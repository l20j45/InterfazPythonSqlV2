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13\"/>
    </mc:Choice>
  </mc:AlternateContent>
  <xr:revisionPtr revIDLastSave="0" documentId="8_{0132CA21-A61D-4E2D-BFB9-5A3280DBE0F4}" xr6:coauthVersionLast="47" xr6:coauthVersionMax="47" xr10:uidLastSave="{00000000-0000-0000-0000-000000000000}"/>
  <bookViews>
    <workbookView xWindow="-19320" yWindow="-2100" windowWidth="19440" windowHeight="15150" xr2:uid="{C4629C50-221B-412B-BAA9-4276A71C39D7}"/>
  </bookViews>
  <sheets>
    <sheet name="Hoja1" sheetId="1" r:id="rId1"/>
    <sheet name="Hoja2" sheetId="2" r:id="rId2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X3" i="1" l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76" i="1"/>
  <c r="AX77" i="1"/>
  <c r="AX78" i="1"/>
  <c r="AX79" i="1"/>
  <c r="AX80" i="1"/>
  <c r="AX81" i="1"/>
  <c r="AX82" i="1"/>
  <c r="AX83" i="1"/>
  <c r="AX84" i="1"/>
  <c r="AX85" i="1"/>
  <c r="AX86" i="1"/>
  <c r="AX87" i="1"/>
  <c r="AX88" i="1"/>
  <c r="AX89" i="1"/>
  <c r="AX90" i="1"/>
  <c r="AX91" i="1"/>
  <c r="AX92" i="1"/>
  <c r="AX93" i="1"/>
  <c r="AX94" i="1"/>
  <c r="AX95" i="1"/>
  <c r="AX96" i="1"/>
  <c r="AX97" i="1"/>
  <c r="AX98" i="1"/>
  <c r="AX99" i="1"/>
  <c r="AX100" i="1"/>
  <c r="AX101" i="1"/>
  <c r="AX102" i="1"/>
  <c r="AX103" i="1"/>
  <c r="AX104" i="1"/>
  <c r="AX105" i="1"/>
  <c r="AX106" i="1"/>
  <c r="AX107" i="1"/>
  <c r="AX108" i="1"/>
  <c r="AX109" i="1"/>
  <c r="AX110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28" i="1"/>
  <c r="AX129" i="1"/>
  <c r="AX130" i="1"/>
  <c r="AX131" i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145" i="1"/>
  <c r="AX146" i="1"/>
  <c r="AX147" i="1"/>
  <c r="AX148" i="1"/>
  <c r="AX149" i="1"/>
  <c r="AX150" i="1"/>
  <c r="AX151" i="1"/>
  <c r="AX152" i="1"/>
  <c r="AX153" i="1"/>
  <c r="AX154" i="1"/>
  <c r="AX155" i="1"/>
  <c r="AX156" i="1"/>
  <c r="AX157" i="1"/>
  <c r="AX158" i="1"/>
  <c r="AX159" i="1"/>
  <c r="AX160" i="1"/>
  <c r="AX161" i="1"/>
  <c r="AX162" i="1"/>
  <c r="AX163" i="1"/>
  <c r="AX164" i="1"/>
  <c r="AX165" i="1"/>
  <c r="AX166" i="1"/>
  <c r="AX167" i="1"/>
  <c r="AX168" i="1"/>
  <c r="AX169" i="1"/>
  <c r="AX170" i="1"/>
  <c r="AX171" i="1"/>
  <c r="AX172" i="1"/>
  <c r="AX173" i="1"/>
  <c r="AX174" i="1"/>
  <c r="AX175" i="1"/>
  <c r="AX176" i="1"/>
  <c r="AX177" i="1"/>
  <c r="AX178" i="1"/>
  <c r="AX179" i="1"/>
  <c r="AX180" i="1"/>
  <c r="AX181" i="1"/>
  <c r="AX182" i="1"/>
  <c r="AX183" i="1"/>
  <c r="AX184" i="1"/>
  <c r="AX185" i="1"/>
  <c r="AX186" i="1"/>
  <c r="AX187" i="1"/>
  <c r="AX188" i="1"/>
  <c r="AX189" i="1"/>
  <c r="AX190" i="1"/>
  <c r="AX191" i="1"/>
  <c r="AX192" i="1"/>
  <c r="AX193" i="1"/>
  <c r="AX194" i="1"/>
  <c r="AX195" i="1"/>
  <c r="AX196" i="1"/>
  <c r="AX197" i="1"/>
  <c r="AX198" i="1"/>
  <c r="AX199" i="1"/>
  <c r="AX200" i="1"/>
  <c r="AX201" i="1"/>
  <c r="AX202" i="1"/>
  <c r="AX203" i="1"/>
  <c r="AX204" i="1"/>
  <c r="AX205" i="1"/>
  <c r="AX206" i="1"/>
  <c r="AX207" i="1"/>
  <c r="AX208" i="1"/>
  <c r="AX209" i="1"/>
  <c r="AX210" i="1"/>
  <c r="AX211" i="1"/>
  <c r="AX212" i="1"/>
  <c r="AX213" i="1"/>
  <c r="AX214" i="1"/>
  <c r="AX215" i="1"/>
  <c r="AX216" i="1"/>
  <c r="AX217" i="1"/>
  <c r="AX218" i="1"/>
  <c r="AX219" i="1"/>
  <c r="AX220" i="1"/>
  <c r="AX221" i="1"/>
  <c r="AX222" i="1"/>
  <c r="AX223" i="1"/>
  <c r="AX224" i="1"/>
  <c r="AX225" i="1"/>
  <c r="AX226" i="1"/>
  <c r="AX227" i="1"/>
  <c r="AX228" i="1"/>
  <c r="AX229" i="1"/>
  <c r="AX230" i="1"/>
  <c r="AX231" i="1"/>
  <c r="AX232" i="1"/>
  <c r="AX233" i="1"/>
  <c r="AX234" i="1"/>
  <c r="AX235" i="1"/>
  <c r="AX236" i="1"/>
  <c r="AX237" i="1"/>
  <c r="AX238" i="1"/>
  <c r="AX239" i="1"/>
  <c r="AX240" i="1"/>
  <c r="AX241" i="1"/>
  <c r="AX242" i="1"/>
  <c r="AX243" i="1"/>
  <c r="AX244" i="1"/>
  <c r="AX245" i="1"/>
  <c r="AX246" i="1"/>
  <c r="AX247" i="1"/>
  <c r="AX248" i="1"/>
  <c r="AX249" i="1"/>
  <c r="AX250" i="1"/>
  <c r="AX251" i="1"/>
  <c r="AX252" i="1"/>
  <c r="AX253" i="1"/>
  <c r="AX254" i="1"/>
  <c r="AX255" i="1"/>
  <c r="AX256" i="1"/>
  <c r="AX257" i="1"/>
  <c r="AX258" i="1"/>
  <c r="AX259" i="1"/>
  <c r="AX260" i="1"/>
  <c r="AX261" i="1"/>
  <c r="AX262" i="1"/>
  <c r="AX263" i="1"/>
  <c r="AX264" i="1"/>
  <c r="AX265" i="1"/>
  <c r="AX266" i="1"/>
  <c r="AX267" i="1"/>
  <c r="AX268" i="1"/>
  <c r="AX269" i="1"/>
  <c r="AX270" i="1"/>
  <c r="AX271" i="1"/>
  <c r="AX272" i="1"/>
  <c r="AX273" i="1"/>
  <c r="AX274" i="1"/>
  <c r="AX275" i="1"/>
  <c r="AX276" i="1"/>
  <c r="AX277" i="1"/>
  <c r="AX278" i="1"/>
  <c r="AX279" i="1"/>
  <c r="AX280" i="1"/>
  <c r="AX281" i="1"/>
  <c r="AX282" i="1"/>
  <c r="AX283" i="1"/>
  <c r="AX284" i="1"/>
  <c r="AX285" i="1"/>
  <c r="AX286" i="1"/>
  <c r="AX287" i="1"/>
  <c r="AX288" i="1"/>
  <c r="AX289" i="1"/>
  <c r="AX290" i="1"/>
  <c r="AX291" i="1"/>
  <c r="AX292" i="1"/>
  <c r="AX293" i="1"/>
  <c r="AX294" i="1"/>
  <c r="AX295" i="1"/>
  <c r="AX296" i="1"/>
  <c r="AX297" i="1"/>
  <c r="AX298" i="1"/>
  <c r="AX299" i="1"/>
  <c r="AX300" i="1"/>
  <c r="AX301" i="1"/>
  <c r="AX302" i="1"/>
  <c r="AX303" i="1"/>
  <c r="AX304" i="1"/>
  <c r="AX305" i="1"/>
  <c r="AX306" i="1"/>
  <c r="AX307" i="1"/>
  <c r="AX308" i="1"/>
  <c r="AX309" i="1"/>
  <c r="AX310" i="1"/>
  <c r="AX311" i="1"/>
  <c r="AX312" i="1"/>
  <c r="AX313" i="1"/>
  <c r="AX314" i="1"/>
  <c r="AX315" i="1"/>
  <c r="AX316" i="1"/>
  <c r="AX317" i="1"/>
  <c r="AX318" i="1"/>
  <c r="AX319" i="1"/>
  <c r="AX320" i="1"/>
  <c r="AX321" i="1"/>
  <c r="AX322" i="1"/>
  <c r="AX323" i="1"/>
  <c r="AX324" i="1"/>
  <c r="AX325" i="1"/>
  <c r="AX326" i="1"/>
  <c r="AX327" i="1"/>
  <c r="AX328" i="1"/>
  <c r="AX329" i="1"/>
  <c r="AX330" i="1"/>
  <c r="AX331" i="1"/>
  <c r="AX332" i="1"/>
  <c r="AX333" i="1"/>
  <c r="AX334" i="1"/>
  <c r="AX335" i="1"/>
  <c r="AX336" i="1"/>
  <c r="AX337" i="1"/>
  <c r="AX338" i="1"/>
  <c r="AX339" i="1"/>
  <c r="AX340" i="1"/>
  <c r="AX341" i="1"/>
  <c r="AX342" i="1"/>
  <c r="AX343" i="1"/>
  <c r="AX344" i="1"/>
  <c r="AX345" i="1"/>
  <c r="AX346" i="1"/>
  <c r="AX347" i="1"/>
  <c r="AX348" i="1"/>
  <c r="AX349" i="1"/>
  <c r="AX350" i="1"/>
  <c r="AX351" i="1"/>
  <c r="AX352" i="1"/>
  <c r="AX353" i="1"/>
  <c r="AX354" i="1"/>
  <c r="AX355" i="1"/>
  <c r="AX356" i="1"/>
  <c r="AX357" i="1"/>
  <c r="AX358" i="1"/>
  <c r="AX359" i="1"/>
  <c r="AX360" i="1"/>
  <c r="AX361" i="1"/>
  <c r="AX362" i="1"/>
  <c r="AX363" i="1"/>
  <c r="AX364" i="1"/>
  <c r="AX365" i="1"/>
  <c r="AX366" i="1"/>
  <c r="AX367" i="1"/>
  <c r="AX368" i="1"/>
  <c r="AX369" i="1"/>
  <c r="AX370" i="1"/>
  <c r="AX371" i="1"/>
  <c r="AX372" i="1"/>
  <c r="AX373" i="1"/>
  <c r="AX374" i="1"/>
  <c r="AX375" i="1"/>
  <c r="AX376" i="1"/>
  <c r="AX377" i="1"/>
  <c r="AX378" i="1"/>
  <c r="AX379" i="1"/>
  <c r="AX380" i="1"/>
  <c r="AX381" i="1"/>
  <c r="AX382" i="1"/>
  <c r="AX383" i="1"/>
  <c r="AX384" i="1"/>
  <c r="AX385" i="1"/>
  <c r="AX386" i="1"/>
  <c r="AX387" i="1"/>
  <c r="AX388" i="1"/>
  <c r="AX389" i="1"/>
  <c r="AX390" i="1"/>
  <c r="AX391" i="1"/>
  <c r="AX392" i="1"/>
  <c r="AX393" i="1"/>
  <c r="AX394" i="1"/>
  <c r="AX395" i="1"/>
  <c r="AX396" i="1"/>
  <c r="AX397" i="1"/>
  <c r="AX398" i="1"/>
  <c r="AX399" i="1"/>
  <c r="AX400" i="1"/>
  <c r="AX401" i="1"/>
  <c r="AX402" i="1"/>
  <c r="AX403" i="1"/>
  <c r="AX404" i="1"/>
  <c r="AX405" i="1"/>
  <c r="AX406" i="1"/>
  <c r="AX407" i="1"/>
  <c r="AX408" i="1"/>
  <c r="AX409" i="1"/>
  <c r="AX410" i="1"/>
  <c r="AX411" i="1"/>
  <c r="AX412" i="1"/>
  <c r="AX413" i="1"/>
  <c r="AX414" i="1"/>
  <c r="AX415" i="1"/>
  <c r="AX416" i="1"/>
  <c r="AX417" i="1"/>
  <c r="AX418" i="1"/>
  <c r="AX419" i="1"/>
  <c r="AX420" i="1"/>
  <c r="AX421" i="1"/>
  <c r="AX422" i="1"/>
  <c r="AX423" i="1"/>
  <c r="AX424" i="1"/>
  <c r="AX425" i="1"/>
  <c r="AX426" i="1"/>
  <c r="AX427" i="1"/>
  <c r="AX428" i="1"/>
  <c r="AX429" i="1"/>
  <c r="AX430" i="1"/>
  <c r="AX431" i="1"/>
  <c r="AX432" i="1"/>
  <c r="AX433" i="1"/>
  <c r="AX434" i="1"/>
  <c r="AX435" i="1"/>
  <c r="AX436" i="1"/>
  <c r="AX437" i="1"/>
  <c r="AX438" i="1"/>
  <c r="AX439" i="1"/>
  <c r="AX440" i="1"/>
  <c r="AX441" i="1"/>
  <c r="AX442" i="1"/>
  <c r="AX443" i="1"/>
  <c r="AX444" i="1"/>
  <c r="AX445" i="1"/>
  <c r="AX446" i="1"/>
  <c r="AX447" i="1"/>
  <c r="AX448" i="1"/>
  <c r="AX449" i="1"/>
  <c r="AX450" i="1"/>
  <c r="AX451" i="1"/>
  <c r="AX452" i="1"/>
  <c r="AX453" i="1"/>
  <c r="AX454" i="1"/>
  <c r="AX455" i="1"/>
  <c r="AX456" i="1"/>
  <c r="AX457" i="1"/>
  <c r="AX458" i="1"/>
  <c r="AX459" i="1"/>
  <c r="AX460" i="1"/>
  <c r="AX461" i="1"/>
  <c r="AX462" i="1"/>
  <c r="AX463" i="1"/>
  <c r="AX464" i="1"/>
  <c r="AX465" i="1"/>
  <c r="AX466" i="1"/>
  <c r="AX467" i="1"/>
  <c r="AX468" i="1"/>
  <c r="AX469" i="1"/>
  <c r="AX470" i="1"/>
  <c r="AX471" i="1"/>
  <c r="AX472" i="1"/>
  <c r="AX473" i="1"/>
  <c r="AX474" i="1"/>
  <c r="AX475" i="1"/>
  <c r="AX476" i="1"/>
  <c r="AX477" i="1"/>
  <c r="AX478" i="1"/>
  <c r="AX479" i="1"/>
  <c r="AX480" i="1"/>
  <c r="AX481" i="1"/>
  <c r="AX482" i="1"/>
  <c r="AX483" i="1"/>
  <c r="AX484" i="1"/>
  <c r="AX485" i="1"/>
  <c r="AX486" i="1"/>
  <c r="AX487" i="1"/>
  <c r="AX488" i="1"/>
  <c r="AX489" i="1"/>
  <c r="AX490" i="1"/>
  <c r="AX491" i="1"/>
  <c r="AX492" i="1"/>
  <c r="AX493" i="1"/>
  <c r="AX494" i="1"/>
  <c r="AX495" i="1"/>
  <c r="AX496" i="1"/>
  <c r="AX497" i="1"/>
  <c r="AX498" i="1"/>
  <c r="AX499" i="1"/>
  <c r="AX500" i="1"/>
  <c r="AX501" i="1"/>
  <c r="AX502" i="1"/>
  <c r="AX503" i="1"/>
  <c r="AX504" i="1"/>
  <c r="AX505" i="1"/>
  <c r="AX506" i="1"/>
  <c r="AX507" i="1"/>
  <c r="AX508" i="1"/>
  <c r="AX509" i="1"/>
  <c r="AX510" i="1"/>
  <c r="AX511" i="1"/>
  <c r="AX512" i="1"/>
  <c r="AX513" i="1"/>
  <c r="AX514" i="1"/>
  <c r="AX515" i="1"/>
  <c r="AX516" i="1"/>
  <c r="AX517" i="1"/>
  <c r="AX518" i="1"/>
  <c r="AX519" i="1"/>
  <c r="AX520" i="1"/>
  <c r="AX521" i="1"/>
  <c r="AX522" i="1"/>
  <c r="AX523" i="1"/>
  <c r="AX524" i="1"/>
  <c r="AX525" i="1"/>
  <c r="AX526" i="1"/>
  <c r="AX527" i="1"/>
  <c r="AX528" i="1"/>
  <c r="AX529" i="1"/>
  <c r="AX530" i="1"/>
  <c r="AX531" i="1"/>
  <c r="AX532" i="1"/>
  <c r="AX533" i="1"/>
  <c r="AX534" i="1"/>
  <c r="AX535" i="1"/>
  <c r="AX536" i="1"/>
  <c r="AX537" i="1"/>
  <c r="AX538" i="1"/>
  <c r="AX539" i="1"/>
  <c r="AX540" i="1"/>
  <c r="AX541" i="1"/>
  <c r="AX542" i="1"/>
  <c r="AX543" i="1"/>
  <c r="AX544" i="1"/>
  <c r="AX545" i="1"/>
  <c r="AX546" i="1"/>
  <c r="AX547" i="1"/>
  <c r="AX548" i="1"/>
  <c r="AX549" i="1"/>
  <c r="AX550" i="1"/>
  <c r="AX551" i="1"/>
  <c r="AX552" i="1"/>
  <c r="AX553" i="1"/>
  <c r="AX554" i="1"/>
  <c r="AX555" i="1"/>
  <c r="AX556" i="1"/>
  <c r="AX557" i="1"/>
  <c r="AX558" i="1"/>
  <c r="AX559" i="1"/>
  <c r="AX560" i="1"/>
  <c r="AX561" i="1"/>
  <c r="AX562" i="1"/>
  <c r="AX563" i="1"/>
  <c r="AX564" i="1"/>
  <c r="AX565" i="1"/>
  <c r="AX566" i="1"/>
  <c r="AX567" i="1"/>
  <c r="AX568" i="1"/>
  <c r="AX569" i="1"/>
  <c r="AX570" i="1"/>
  <c r="AX571" i="1"/>
  <c r="AX572" i="1"/>
  <c r="AX573" i="1"/>
  <c r="AX574" i="1"/>
  <c r="AX575" i="1"/>
  <c r="AX576" i="1"/>
  <c r="AX577" i="1"/>
  <c r="AX578" i="1"/>
  <c r="AX579" i="1"/>
  <c r="AX580" i="1"/>
  <c r="AX581" i="1"/>
  <c r="AX582" i="1"/>
  <c r="AX583" i="1"/>
  <c r="AX584" i="1"/>
  <c r="AX585" i="1"/>
  <c r="AX586" i="1"/>
  <c r="AX587" i="1"/>
  <c r="AX588" i="1"/>
  <c r="AX589" i="1"/>
  <c r="AX590" i="1"/>
  <c r="AX591" i="1"/>
  <c r="AX592" i="1"/>
  <c r="AX593" i="1"/>
  <c r="AX594" i="1"/>
  <c r="AX595" i="1"/>
  <c r="AX596" i="1"/>
  <c r="AX597" i="1"/>
  <c r="AX598" i="1"/>
  <c r="AX599" i="1"/>
  <c r="AX600" i="1"/>
  <c r="AX601" i="1"/>
  <c r="AX602" i="1"/>
  <c r="AX603" i="1"/>
  <c r="AX604" i="1"/>
  <c r="AX605" i="1"/>
  <c r="AX606" i="1"/>
  <c r="AX607" i="1"/>
  <c r="AX608" i="1"/>
  <c r="AX609" i="1"/>
  <c r="AX610" i="1"/>
  <c r="AX611" i="1"/>
  <c r="AX612" i="1"/>
  <c r="AX613" i="1"/>
  <c r="AX614" i="1"/>
  <c r="AX615" i="1"/>
  <c r="AX616" i="1"/>
  <c r="AX617" i="1"/>
  <c r="AX618" i="1"/>
  <c r="AX619" i="1"/>
  <c r="AX620" i="1"/>
  <c r="AX621" i="1"/>
  <c r="AX622" i="1"/>
  <c r="AX623" i="1"/>
  <c r="AX624" i="1"/>
  <c r="AX625" i="1"/>
  <c r="AX626" i="1"/>
  <c r="AX627" i="1"/>
  <c r="AX628" i="1"/>
  <c r="AX629" i="1"/>
  <c r="AX630" i="1"/>
  <c r="AX631" i="1"/>
  <c r="AX632" i="1"/>
  <c r="AX633" i="1"/>
  <c r="AX634" i="1"/>
  <c r="AX635" i="1"/>
  <c r="AX636" i="1"/>
  <c r="AX637" i="1"/>
  <c r="AX638" i="1"/>
  <c r="AX639" i="1"/>
  <c r="AX640" i="1"/>
  <c r="AX641" i="1"/>
  <c r="AX642" i="1"/>
  <c r="AX643" i="1"/>
  <c r="AX644" i="1"/>
  <c r="AX645" i="1"/>
  <c r="AX646" i="1"/>
  <c r="AX647" i="1"/>
  <c r="AX648" i="1"/>
  <c r="AX649" i="1"/>
  <c r="AX650" i="1"/>
  <c r="AX651" i="1"/>
  <c r="AX652" i="1"/>
  <c r="AX653" i="1"/>
  <c r="AX654" i="1"/>
  <c r="AX655" i="1"/>
  <c r="AX656" i="1"/>
  <c r="AX657" i="1"/>
  <c r="AX658" i="1"/>
  <c r="AX659" i="1"/>
  <c r="AX660" i="1"/>
  <c r="AX661" i="1"/>
  <c r="AX662" i="1"/>
  <c r="AX663" i="1"/>
  <c r="AX664" i="1"/>
  <c r="AX665" i="1"/>
  <c r="AX666" i="1"/>
  <c r="AX667" i="1"/>
  <c r="AX668" i="1"/>
  <c r="AX669" i="1"/>
  <c r="AX670" i="1"/>
  <c r="AX671" i="1"/>
  <c r="AX672" i="1"/>
  <c r="AX673" i="1"/>
  <c r="AX674" i="1"/>
  <c r="AX675" i="1"/>
  <c r="AX676" i="1"/>
  <c r="AX677" i="1"/>
  <c r="AX678" i="1"/>
  <c r="AX679" i="1"/>
  <c r="AX680" i="1"/>
  <c r="AX681" i="1"/>
  <c r="AX682" i="1"/>
  <c r="AX683" i="1"/>
  <c r="AX684" i="1"/>
  <c r="AX685" i="1"/>
  <c r="AX686" i="1"/>
  <c r="AX687" i="1"/>
  <c r="AX688" i="1"/>
  <c r="AX689" i="1"/>
  <c r="AX690" i="1"/>
  <c r="AX691" i="1"/>
  <c r="AX692" i="1"/>
  <c r="AX693" i="1"/>
  <c r="AX694" i="1"/>
  <c r="AX695" i="1"/>
  <c r="AX696" i="1"/>
  <c r="AX697" i="1"/>
  <c r="AX698" i="1"/>
  <c r="AX699" i="1"/>
  <c r="AX700" i="1"/>
  <c r="AX701" i="1"/>
  <c r="AX702" i="1"/>
  <c r="AX703" i="1"/>
  <c r="AX704" i="1"/>
  <c r="AX705" i="1"/>
  <c r="AX706" i="1"/>
  <c r="AX707" i="1"/>
  <c r="AX708" i="1"/>
  <c r="AX709" i="1"/>
  <c r="AX710" i="1"/>
  <c r="AX711" i="1"/>
  <c r="AX712" i="1"/>
  <c r="AX713" i="1"/>
  <c r="AX714" i="1"/>
  <c r="AX715" i="1"/>
  <c r="AX716" i="1"/>
  <c r="AX717" i="1"/>
  <c r="AX718" i="1"/>
  <c r="AX719" i="1"/>
  <c r="AX720" i="1"/>
  <c r="AX721" i="1"/>
  <c r="AX722" i="1"/>
  <c r="AX723" i="1"/>
  <c r="AX724" i="1"/>
  <c r="AX725" i="1"/>
  <c r="AX726" i="1"/>
  <c r="AX727" i="1"/>
  <c r="AX728" i="1"/>
  <c r="AX729" i="1"/>
  <c r="AX730" i="1"/>
  <c r="AX731" i="1"/>
  <c r="AX732" i="1"/>
  <c r="AX733" i="1"/>
  <c r="AX734" i="1"/>
  <c r="AX735" i="1"/>
  <c r="AX736" i="1"/>
  <c r="AX737" i="1"/>
  <c r="AX738" i="1"/>
  <c r="AX739" i="1"/>
  <c r="AX740" i="1"/>
  <c r="AX741" i="1"/>
  <c r="AX742" i="1"/>
  <c r="AX743" i="1"/>
  <c r="AX744" i="1"/>
  <c r="AX745" i="1"/>
  <c r="AX746" i="1"/>
  <c r="AX747" i="1"/>
  <c r="AX748" i="1"/>
  <c r="AX749" i="1"/>
  <c r="AX750" i="1"/>
  <c r="AX751" i="1"/>
  <c r="AX752" i="1"/>
  <c r="AX753" i="1"/>
  <c r="AX754" i="1"/>
  <c r="AX755" i="1"/>
  <c r="AX756" i="1"/>
  <c r="AX757" i="1"/>
  <c r="AX758" i="1"/>
  <c r="AX759" i="1"/>
  <c r="AX760" i="1"/>
  <c r="AX761" i="1"/>
  <c r="AX762" i="1"/>
  <c r="AX763" i="1"/>
  <c r="AX764" i="1"/>
  <c r="AX765" i="1"/>
  <c r="AX766" i="1"/>
  <c r="AX767" i="1"/>
  <c r="AX768" i="1"/>
  <c r="AX769" i="1"/>
  <c r="AX770" i="1"/>
  <c r="AX771" i="1"/>
  <c r="AX772" i="1"/>
  <c r="AX773" i="1"/>
  <c r="AX774" i="1"/>
  <c r="AX775" i="1"/>
  <c r="AX776" i="1"/>
  <c r="AX777" i="1"/>
  <c r="AX778" i="1"/>
  <c r="AX779" i="1"/>
  <c r="AX780" i="1"/>
  <c r="AX781" i="1"/>
  <c r="AX782" i="1"/>
  <c r="AX783" i="1"/>
  <c r="AX784" i="1"/>
  <c r="AX785" i="1"/>
  <c r="AX786" i="1"/>
  <c r="AX787" i="1"/>
  <c r="AX788" i="1"/>
  <c r="AX789" i="1"/>
  <c r="AX790" i="1"/>
  <c r="AX791" i="1"/>
  <c r="AX792" i="1"/>
  <c r="AX793" i="1"/>
  <c r="AX794" i="1"/>
  <c r="AX795" i="1"/>
  <c r="AX796" i="1"/>
  <c r="AX797" i="1"/>
  <c r="AX798" i="1"/>
  <c r="AX799" i="1"/>
  <c r="AX800" i="1"/>
  <c r="AX801" i="1"/>
  <c r="AX802" i="1"/>
  <c r="AX803" i="1"/>
  <c r="AX804" i="1"/>
  <c r="AX805" i="1"/>
  <c r="AX806" i="1"/>
  <c r="AX807" i="1"/>
  <c r="AX808" i="1"/>
  <c r="AX809" i="1"/>
  <c r="AX810" i="1"/>
  <c r="AX811" i="1"/>
  <c r="AX812" i="1"/>
  <c r="AX813" i="1"/>
  <c r="AX814" i="1"/>
  <c r="AX815" i="1"/>
  <c r="AX816" i="1"/>
  <c r="AX817" i="1"/>
  <c r="AX818" i="1"/>
  <c r="AX819" i="1"/>
  <c r="AX820" i="1"/>
  <c r="AX821" i="1"/>
  <c r="AX822" i="1"/>
  <c r="AX823" i="1"/>
  <c r="AX824" i="1"/>
  <c r="AX825" i="1"/>
  <c r="AX826" i="1"/>
  <c r="AX827" i="1"/>
  <c r="AX828" i="1"/>
  <c r="AX829" i="1"/>
  <c r="AX830" i="1"/>
  <c r="AX831" i="1"/>
  <c r="AX832" i="1"/>
  <c r="AX833" i="1"/>
  <c r="AX834" i="1"/>
  <c r="AX835" i="1"/>
  <c r="AX836" i="1"/>
  <c r="AX837" i="1"/>
  <c r="AX838" i="1"/>
  <c r="AX839" i="1"/>
  <c r="AX840" i="1"/>
  <c r="AX841" i="1"/>
  <c r="AX842" i="1"/>
  <c r="AX843" i="1"/>
  <c r="AX844" i="1"/>
  <c r="AX845" i="1"/>
  <c r="AX846" i="1"/>
  <c r="AX847" i="1"/>
  <c r="AX848" i="1"/>
  <c r="AX849" i="1"/>
  <c r="AX850" i="1"/>
  <c r="AX851" i="1"/>
  <c r="AX852" i="1"/>
  <c r="AX853" i="1"/>
  <c r="AX854" i="1"/>
  <c r="AX855" i="1"/>
  <c r="AX856" i="1"/>
  <c r="AX857" i="1"/>
  <c r="AX858" i="1"/>
  <c r="AX859" i="1"/>
  <c r="AX860" i="1"/>
  <c r="AX861" i="1"/>
  <c r="AX862" i="1"/>
  <c r="AX863" i="1"/>
  <c r="AX864" i="1"/>
  <c r="AX865" i="1"/>
  <c r="AX866" i="1"/>
  <c r="AX867" i="1"/>
  <c r="AX868" i="1"/>
  <c r="AX869" i="1"/>
  <c r="AX870" i="1"/>
  <c r="AX871" i="1"/>
  <c r="AX872" i="1"/>
  <c r="AX873" i="1"/>
  <c r="AX874" i="1"/>
  <c r="AX875" i="1"/>
  <c r="AX876" i="1"/>
  <c r="AX877" i="1"/>
  <c r="AX878" i="1"/>
  <c r="AX879" i="1"/>
  <c r="AX880" i="1"/>
  <c r="AX881" i="1"/>
  <c r="AX882" i="1"/>
  <c r="AX883" i="1"/>
  <c r="AX884" i="1"/>
  <c r="AX885" i="1"/>
  <c r="AX886" i="1"/>
  <c r="AX887" i="1"/>
  <c r="AX888" i="1"/>
  <c r="AX889" i="1"/>
  <c r="AX890" i="1"/>
  <c r="AX891" i="1"/>
  <c r="AX892" i="1"/>
  <c r="AX893" i="1"/>
  <c r="AX894" i="1"/>
  <c r="AX895" i="1"/>
  <c r="AX896" i="1"/>
  <c r="AX897" i="1"/>
  <c r="AX898" i="1"/>
  <c r="AX899" i="1"/>
  <c r="AX900" i="1"/>
  <c r="AX901" i="1"/>
  <c r="AX902" i="1"/>
  <c r="AX903" i="1"/>
  <c r="AX904" i="1"/>
  <c r="AX905" i="1"/>
  <c r="AX906" i="1"/>
  <c r="AX907" i="1"/>
  <c r="AX908" i="1"/>
  <c r="AX909" i="1"/>
  <c r="AX910" i="1"/>
  <c r="AX911" i="1"/>
  <c r="AX912" i="1"/>
  <c r="AX913" i="1"/>
  <c r="AX914" i="1"/>
  <c r="AX915" i="1"/>
  <c r="AX916" i="1"/>
  <c r="AX917" i="1"/>
  <c r="AX918" i="1"/>
  <c r="AX919" i="1"/>
  <c r="AX920" i="1"/>
  <c r="AX921" i="1"/>
  <c r="AX922" i="1"/>
  <c r="AX923" i="1"/>
  <c r="AX924" i="1"/>
  <c r="AX925" i="1"/>
  <c r="AX926" i="1"/>
  <c r="AX927" i="1"/>
  <c r="AX928" i="1"/>
  <c r="AX929" i="1"/>
  <c r="AX930" i="1"/>
  <c r="AX931" i="1"/>
  <c r="AX932" i="1"/>
  <c r="AX933" i="1"/>
  <c r="AX934" i="1"/>
  <c r="AX935" i="1"/>
  <c r="AX936" i="1"/>
  <c r="AX937" i="1"/>
  <c r="AX938" i="1"/>
  <c r="AX939" i="1"/>
  <c r="AX940" i="1"/>
  <c r="AX941" i="1"/>
  <c r="AX942" i="1"/>
  <c r="AX943" i="1"/>
  <c r="AX944" i="1"/>
  <c r="AX945" i="1"/>
  <c r="AX946" i="1"/>
  <c r="AX947" i="1"/>
  <c r="AX948" i="1"/>
  <c r="AX949" i="1"/>
  <c r="AX950" i="1"/>
  <c r="AX951" i="1"/>
  <c r="AX952" i="1"/>
  <c r="AX953" i="1"/>
  <c r="AX954" i="1"/>
  <c r="AX955" i="1"/>
  <c r="AX956" i="1"/>
  <c r="AX957" i="1"/>
  <c r="AX958" i="1"/>
  <c r="AX959" i="1"/>
  <c r="AX960" i="1"/>
  <c r="AX961" i="1"/>
  <c r="AX962" i="1"/>
  <c r="AX963" i="1"/>
  <c r="AX964" i="1"/>
  <c r="AX965" i="1"/>
  <c r="AX966" i="1"/>
  <c r="AX967" i="1"/>
  <c r="AX968" i="1"/>
  <c r="AX969" i="1"/>
  <c r="AX970" i="1"/>
  <c r="AX971" i="1"/>
  <c r="AX972" i="1"/>
  <c r="AX973" i="1"/>
  <c r="AX974" i="1"/>
  <c r="AX975" i="1"/>
  <c r="AX976" i="1"/>
  <c r="AX977" i="1"/>
  <c r="AX978" i="1"/>
  <c r="AX979" i="1"/>
  <c r="AX980" i="1"/>
  <c r="AX981" i="1"/>
  <c r="AX982" i="1"/>
  <c r="AX983" i="1"/>
  <c r="AX984" i="1"/>
  <c r="AX985" i="1"/>
  <c r="AX986" i="1"/>
  <c r="AX987" i="1"/>
  <c r="AX988" i="1"/>
  <c r="AX989" i="1"/>
  <c r="AX990" i="1"/>
  <c r="AX991" i="1"/>
  <c r="AX992" i="1"/>
  <c r="AX993" i="1"/>
  <c r="AX994" i="1"/>
  <c r="AX995" i="1"/>
  <c r="AX996" i="1"/>
  <c r="AX997" i="1"/>
  <c r="AX998" i="1"/>
  <c r="AX999" i="1"/>
  <c r="AX1000" i="1"/>
  <c r="AX1001" i="1"/>
  <c r="AX1002" i="1"/>
  <c r="AX1003" i="1"/>
  <c r="AX1004" i="1"/>
  <c r="AX1005" i="1"/>
  <c r="AX1006" i="1"/>
  <c r="AX1007" i="1"/>
  <c r="AX1008" i="1"/>
  <c r="AX1009" i="1"/>
  <c r="B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CD1" i="1" a="1"/>
  <c r="CD5" i="1" a="1"/>
  <c r="CD9" i="1" a="1"/>
  <c r="CD13" i="1" a="1"/>
  <c r="CD17" i="1" a="1"/>
  <c r="CD21" i="1" a="1"/>
  <c r="CD25" i="1" a="1"/>
  <c r="CD29" i="1" a="1"/>
  <c r="CD33" i="1" a="1"/>
  <c r="CD37" i="1" a="1"/>
  <c r="CD41" i="1" a="1"/>
  <c r="CD45" i="1" a="1"/>
  <c r="CD49" i="1" a="1"/>
  <c r="CD53" i="1" a="1"/>
  <c r="CD57" i="1" a="1"/>
  <c r="CD6" i="1" a="1"/>
  <c r="CD10" i="1" a="1"/>
  <c r="CD14" i="1" a="1"/>
  <c r="CD18" i="1" a="1"/>
  <c r="CD22" i="1" a="1"/>
  <c r="CD26" i="1" a="1"/>
  <c r="CD30" i="1" a="1"/>
  <c r="CD34" i="1" a="1"/>
  <c r="CD38" i="1" a="1"/>
  <c r="CD42" i="1" a="1"/>
  <c r="CD46" i="1" a="1"/>
  <c r="CD50" i="1" a="1"/>
  <c r="CD54" i="1" a="1"/>
  <c r="CD58" i="1" a="1"/>
  <c r="CD62" i="1" a="1"/>
  <c r="CD3" i="1" a="1"/>
  <c r="CD7" i="1" a="1"/>
  <c r="CD11" i="1" a="1"/>
  <c r="CD15" i="1" a="1"/>
  <c r="CD19" i="1" a="1"/>
  <c r="CD23" i="1" a="1"/>
  <c r="CD27" i="1" a="1"/>
  <c r="CD31" i="1" a="1"/>
  <c r="CD35" i="1" a="1"/>
  <c r="CD39" i="1" a="1"/>
  <c r="CD43" i="1" a="1"/>
  <c r="CD47" i="1" a="1"/>
  <c r="CD51" i="1" a="1"/>
  <c r="CD55" i="1" a="1"/>
  <c r="CD59" i="1" a="1"/>
  <c r="CD4" i="1" a="1"/>
  <c r="CD71" i="1" a="1"/>
  <c r="CD77" i="1" a="1"/>
  <c r="CD84" i="1" a="1"/>
  <c r="CD90" i="1" a="1"/>
  <c r="CD103" i="1" a="1"/>
  <c r="CD109" i="1" a="1"/>
  <c r="CD116" i="1" a="1"/>
  <c r="CD122" i="1" a="1"/>
  <c r="CD135" i="1" a="1"/>
  <c r="CD141" i="1" a="1"/>
  <c r="CD148" i="1" a="1"/>
  <c r="CD154" i="1" a="1"/>
  <c r="CD167" i="1" a="1"/>
  <c r="CD173" i="1" a="1"/>
  <c r="CD180" i="1" a="1"/>
  <c r="CD186" i="1" a="1"/>
  <c r="CD199" i="1" a="1"/>
  <c r="CD205" i="1" a="1"/>
  <c r="CD212" i="1" a="1"/>
  <c r="CD218" i="1" a="1"/>
  <c r="CD231" i="1" a="1"/>
  <c r="CD237" i="1" a="1"/>
  <c r="CD244" i="1" a="1"/>
  <c r="CD250" i="1" a="1"/>
  <c r="CD263" i="1" a="1"/>
  <c r="CD269" i="1" a="1"/>
  <c r="CD276" i="1" a="1"/>
  <c r="CD282" i="1" a="1"/>
  <c r="CD295" i="1" a="1"/>
  <c r="CD301" i="1" a="1"/>
  <c r="CD308" i="1" a="1"/>
  <c r="CD314" i="1" a="1"/>
  <c r="CD327" i="1" a="1"/>
  <c r="CD333" i="1" a="1"/>
  <c r="CD340" i="1" a="1"/>
  <c r="CD344" i="1" a="1"/>
  <c r="CD348" i="1" a="1"/>
  <c r="CD352" i="1" a="1"/>
  <c r="CD356" i="1" a="1"/>
  <c r="CD360" i="1" a="1"/>
  <c r="CD364" i="1" a="1"/>
  <c r="CD368" i="1" a="1"/>
  <c r="CD372" i="1" a="1"/>
  <c r="CD376" i="1" a="1"/>
  <c r="CD380" i="1" a="1"/>
  <c r="CD384" i="1" a="1"/>
  <c r="CD388" i="1" a="1"/>
  <c r="CD392" i="1" a="1"/>
  <c r="CD396" i="1" a="1"/>
  <c r="CD8" i="1" a="1"/>
  <c r="CD24" i="1" a="1"/>
  <c r="CD40" i="1" a="1"/>
  <c r="CD56" i="1" a="1"/>
  <c r="CD65" i="1" a="1"/>
  <c r="CD72" i="1" a="1"/>
  <c r="CD78" i="1" a="1"/>
  <c r="CD91" i="1" a="1"/>
  <c r="CD97" i="1" a="1"/>
  <c r="CD104" i="1" a="1"/>
  <c r="CD110" i="1" a="1"/>
  <c r="CD123" i="1" a="1"/>
  <c r="CD129" i="1" a="1"/>
  <c r="CD136" i="1" a="1"/>
  <c r="CD142" i="1" a="1"/>
  <c r="CD155" i="1" a="1"/>
  <c r="CD161" i="1" a="1"/>
  <c r="CD168" i="1" a="1"/>
  <c r="CD174" i="1" a="1"/>
  <c r="CD187" i="1" a="1"/>
  <c r="CD193" i="1" a="1"/>
  <c r="CD200" i="1" a="1"/>
  <c r="CD206" i="1" a="1"/>
  <c r="CD219" i="1" a="1"/>
  <c r="CD225" i="1" a="1"/>
  <c r="CD232" i="1" a="1"/>
  <c r="CD238" i="1" a="1"/>
  <c r="CD251" i="1" a="1"/>
  <c r="CD257" i="1" a="1"/>
  <c r="CD264" i="1" a="1"/>
  <c r="CD270" i="1" a="1"/>
  <c r="CD283" i="1" a="1"/>
  <c r="CD289" i="1" a="1"/>
  <c r="CD296" i="1" a="1"/>
  <c r="CD302" i="1" a="1"/>
  <c r="CD315" i="1" a="1"/>
  <c r="CD321" i="1" a="1"/>
  <c r="CD328" i="1" a="1"/>
  <c r="CD334" i="1" a="1"/>
  <c r="CD66" i="1" a="1"/>
  <c r="CD79" i="1" a="1"/>
  <c r="CD85" i="1" a="1"/>
  <c r="CD92" i="1" a="1"/>
  <c r="CD98" i="1" a="1"/>
  <c r="CD111" i="1" a="1"/>
  <c r="CD117" i="1" a="1"/>
  <c r="CD124" i="1" a="1"/>
  <c r="CD130" i="1" a="1"/>
  <c r="CD143" i="1" a="1"/>
  <c r="CD149" i="1" a="1"/>
  <c r="CD156" i="1" a="1"/>
  <c r="CD162" i="1" a="1"/>
  <c r="CD175" i="1" a="1"/>
  <c r="CD181" i="1" a="1"/>
  <c r="CD188" i="1" a="1"/>
  <c r="CD194" i="1" a="1"/>
  <c r="CD207" i="1" a="1"/>
  <c r="CD213" i="1" a="1"/>
  <c r="CD220" i="1" a="1"/>
  <c r="CD226" i="1" a="1"/>
  <c r="CD239" i="1" a="1"/>
  <c r="CD245" i="1" a="1"/>
  <c r="CD252" i="1" a="1"/>
  <c r="CD258" i="1" a="1"/>
  <c r="CD271" i="1" a="1"/>
  <c r="CD277" i="1" a="1"/>
  <c r="CD284" i="1" a="1"/>
  <c r="CD290" i="1" a="1"/>
  <c r="CD303" i="1" a="1"/>
  <c r="CD309" i="1" a="1"/>
  <c r="CD316" i="1" a="1"/>
  <c r="CD322" i="1" a="1"/>
  <c r="CD335" i="1" a="1"/>
  <c r="CD341" i="1" a="1"/>
  <c r="CD345" i="1" a="1"/>
  <c r="CD349" i="1" a="1"/>
  <c r="CD353" i="1" a="1"/>
  <c r="CD357" i="1" a="1"/>
  <c r="CD12" i="1" a="1"/>
  <c r="CD28" i="1" a="1"/>
  <c r="CD44" i="1" a="1"/>
  <c r="CD60" i="1" a="1"/>
  <c r="CD67" i="1" a="1"/>
  <c r="CD73" i="1" a="1"/>
  <c r="CD80" i="1" a="1"/>
  <c r="CD86" i="1" a="1"/>
  <c r="CD99" i="1" a="1"/>
  <c r="CD105" i="1" a="1"/>
  <c r="CD112" i="1" a="1"/>
  <c r="CD118" i="1" a="1"/>
  <c r="CD131" i="1" a="1"/>
  <c r="CD137" i="1" a="1"/>
  <c r="CD144" i="1" a="1"/>
  <c r="CD150" i="1" a="1"/>
  <c r="CD163" i="1" a="1"/>
  <c r="CD169" i="1" a="1"/>
  <c r="CD176" i="1" a="1"/>
  <c r="CD182" i="1" a="1"/>
  <c r="CD195" i="1" a="1"/>
  <c r="CD201" i="1" a="1"/>
  <c r="CD208" i="1" a="1"/>
  <c r="CD214" i="1" a="1"/>
  <c r="CD227" i="1" a="1"/>
  <c r="CD233" i="1" a="1"/>
  <c r="CD240" i="1" a="1"/>
  <c r="CD246" i="1" a="1"/>
  <c r="CD259" i="1" a="1"/>
  <c r="CD265" i="1" a="1"/>
  <c r="CD272" i="1" a="1"/>
  <c r="CD278" i="1" a="1"/>
  <c r="CD291" i="1" a="1"/>
  <c r="CD297" i="1" a="1"/>
  <c r="CD304" i="1" a="1"/>
  <c r="CD310" i="1" a="1"/>
  <c r="CD323" i="1" a="1"/>
  <c r="CD329" i="1" a="1"/>
  <c r="CD336" i="1" a="1"/>
  <c r="CD68" i="1" a="1"/>
  <c r="CD74" i="1" a="1"/>
  <c r="CD87" i="1" a="1"/>
  <c r="CD93" i="1" a="1"/>
  <c r="CD100" i="1" a="1"/>
  <c r="CD106" i="1" a="1"/>
  <c r="CD119" i="1" a="1"/>
  <c r="CD125" i="1" a="1"/>
  <c r="CD132" i="1" a="1"/>
  <c r="CD138" i="1" a="1"/>
  <c r="CD151" i="1" a="1"/>
  <c r="CD157" i="1" a="1"/>
  <c r="CD164" i="1" a="1"/>
  <c r="CD170" i="1" a="1"/>
  <c r="CD183" i="1" a="1"/>
  <c r="CD189" i="1" a="1"/>
  <c r="CD196" i="1" a="1"/>
  <c r="CD202" i="1" a="1"/>
  <c r="CD215" i="1" a="1"/>
  <c r="CD221" i="1" a="1"/>
  <c r="CD228" i="1" a="1"/>
  <c r="CD234" i="1" a="1"/>
  <c r="CD247" i="1" a="1"/>
  <c r="CD253" i="1" a="1"/>
  <c r="CD260" i="1" a="1"/>
  <c r="CD266" i="1" a="1"/>
  <c r="CD279" i="1" a="1"/>
  <c r="CD285" i="1" a="1"/>
  <c r="CD292" i="1" a="1"/>
  <c r="CD298" i="1" a="1"/>
  <c r="CD311" i="1" a="1"/>
  <c r="CD317" i="1" a="1"/>
  <c r="CD324" i="1" a="1"/>
  <c r="CD330" i="1" a="1"/>
  <c r="CD342" i="1" a="1"/>
  <c r="CD346" i="1" a="1"/>
  <c r="CD350" i="1" a="1"/>
  <c r="CD354" i="1" a="1"/>
  <c r="CD358" i="1" a="1"/>
  <c r="CD362" i="1" a="1"/>
  <c r="CD366" i="1" a="1"/>
  <c r="CD370" i="1" a="1"/>
  <c r="CD16" i="1" a="1"/>
  <c r="CD32" i="1" a="1"/>
  <c r="CD48" i="1" a="1"/>
  <c r="CD61" i="1" a="1"/>
  <c r="CD75" i="1" a="1"/>
  <c r="CD81" i="1" a="1"/>
  <c r="CD88" i="1" a="1"/>
  <c r="CD94" i="1" a="1"/>
  <c r="CD107" i="1" a="1"/>
  <c r="CD113" i="1" a="1"/>
  <c r="CD120" i="1" a="1"/>
  <c r="CD126" i="1" a="1"/>
  <c r="CD139" i="1" a="1"/>
  <c r="CD145" i="1" a="1"/>
  <c r="CD152" i="1" a="1"/>
  <c r="CD158" i="1" a="1"/>
  <c r="CD171" i="1" a="1"/>
  <c r="CD177" i="1" a="1"/>
  <c r="CD184" i="1" a="1"/>
  <c r="CD190" i="1" a="1"/>
  <c r="CD203" i="1" a="1"/>
  <c r="CD209" i="1" a="1"/>
  <c r="CD216" i="1" a="1"/>
  <c r="CD222" i="1" a="1"/>
  <c r="CD235" i="1" a="1"/>
  <c r="CD241" i="1" a="1"/>
  <c r="CD248" i="1" a="1"/>
  <c r="CD254" i="1" a="1"/>
  <c r="CD267" i="1" a="1"/>
  <c r="CD273" i="1" a="1"/>
  <c r="CD280" i="1" a="1"/>
  <c r="CD286" i="1" a="1"/>
  <c r="CD299" i="1" a="1"/>
  <c r="CD305" i="1" a="1"/>
  <c r="CD312" i="1" a="1"/>
  <c r="CD318" i="1" a="1"/>
  <c r="CD331" i="1" a="1"/>
  <c r="CD337" i="1" a="1"/>
  <c r="CD20" i="1" a="1"/>
  <c r="CD36" i="1" a="1"/>
  <c r="CD52" i="1" a="1"/>
  <c r="CD64" i="1" a="1"/>
  <c r="CD70" i="1" a="1"/>
  <c r="CD83" i="1" a="1"/>
  <c r="CD89" i="1" a="1"/>
  <c r="CD96" i="1" a="1"/>
  <c r="CD102" i="1" a="1"/>
  <c r="CD115" i="1" a="1"/>
  <c r="CD121" i="1" a="1"/>
  <c r="CD128" i="1" a="1"/>
  <c r="CD134" i="1" a="1"/>
  <c r="CD147" i="1" a="1"/>
  <c r="CD153" i="1" a="1"/>
  <c r="CD160" i="1" a="1"/>
  <c r="CD166" i="1" a="1"/>
  <c r="CD179" i="1" a="1"/>
  <c r="CD185" i="1" a="1"/>
  <c r="CD192" i="1" a="1"/>
  <c r="CD198" i="1" a="1"/>
  <c r="CD211" i="1" a="1"/>
  <c r="CD217" i="1" a="1"/>
  <c r="CD224" i="1" a="1"/>
  <c r="CD230" i="1" a="1"/>
  <c r="CD243" i="1" a="1"/>
  <c r="CD249" i="1" a="1"/>
  <c r="CD256" i="1" a="1"/>
  <c r="CD262" i="1" a="1"/>
  <c r="CD275" i="1" a="1"/>
  <c r="CD281" i="1" a="1"/>
  <c r="CD288" i="1" a="1"/>
  <c r="CD294" i="1" a="1"/>
  <c r="CD307" i="1" a="1"/>
  <c r="CD313" i="1" a="1"/>
  <c r="CD320" i="1" a="1"/>
  <c r="CD326" i="1" a="1"/>
  <c r="CD339" i="1" a="1"/>
  <c r="CD95" i="1" a="1"/>
  <c r="CD146" i="1" a="1"/>
  <c r="CD197" i="1" a="1"/>
  <c r="CD300" i="1" a="1"/>
  <c r="CD347" i="1" a="1"/>
  <c r="CD369" i="1" a="1"/>
  <c r="CD381" i="1" a="1"/>
  <c r="CD391" i="1" a="1"/>
  <c r="CD401" i="1" a="1"/>
  <c r="CD409" i="1" a="1"/>
  <c r="CD417" i="1" a="1"/>
  <c r="CD425" i="1" a="1"/>
  <c r="CD433" i="1" a="1"/>
  <c r="CD441" i="1" a="1"/>
  <c r="CD449" i="1" a="1"/>
  <c r="CD457" i="1" a="1"/>
  <c r="CD464" i="1" a="1"/>
  <c r="CD470" i="1" a="1"/>
  <c r="CD477" i="1" a="1"/>
  <c r="CD483" i="1" a="1"/>
  <c r="CD496" i="1" a="1"/>
  <c r="CD502" i="1" a="1"/>
  <c r="CD509" i="1" a="1"/>
  <c r="CD515" i="1" a="1"/>
  <c r="CD520" i="1" a="1"/>
  <c r="CD531" i="1" a="1"/>
  <c r="CD536" i="1" a="1"/>
  <c r="CD101" i="1" a="1"/>
  <c r="CD204" i="1" a="1"/>
  <c r="CD255" i="1" a="1"/>
  <c r="CD306" i="1" a="1"/>
  <c r="CD351" i="1" a="1"/>
  <c r="CD371" i="1" a="1"/>
  <c r="CD382" i="1" a="1"/>
  <c r="CD393" i="1" a="1"/>
  <c r="CD402" i="1" a="1"/>
  <c r="CD410" i="1" a="1"/>
  <c r="CD418" i="1" a="1"/>
  <c r="CD426" i="1" a="1"/>
  <c r="CD434" i="1" a="1"/>
  <c r="CD442" i="1" a="1"/>
  <c r="CD450" i="1" a="1"/>
  <c r="CD458" i="1" a="1"/>
  <c r="CD465" i="1" a="1"/>
  <c r="CD471" i="1" a="1"/>
  <c r="CD484" i="1" a="1"/>
  <c r="CD490" i="1" a="1"/>
  <c r="CD497" i="1" a="1"/>
  <c r="CD503" i="1" a="1"/>
  <c r="CD521" i="1" a="1"/>
  <c r="CD526" i="1" a="1"/>
  <c r="CD537" i="1" a="1"/>
  <c r="CD542" i="1" a="1"/>
  <c r="CD547" i="1" a="1"/>
  <c r="CD551" i="1" a="1"/>
  <c r="CD555" i="1" a="1"/>
  <c r="CD559" i="1" a="1"/>
  <c r="CD563" i="1" a="1"/>
  <c r="CD567" i="1" a="1"/>
  <c r="CD571" i="1" a="1"/>
  <c r="CD575" i="1" a="1"/>
  <c r="CD579" i="1" a="1"/>
  <c r="CD583" i="1" a="1"/>
  <c r="CD587" i="1" a="1"/>
  <c r="CD591" i="1" a="1"/>
  <c r="CD595" i="1" a="1"/>
  <c r="CD599" i="1" a="1"/>
  <c r="CD603" i="1" a="1"/>
  <c r="CD108" i="1" a="1"/>
  <c r="CD159" i="1" a="1"/>
  <c r="CD210" i="1" a="1"/>
  <c r="CD261" i="1" a="1"/>
  <c r="CD355" i="1" a="1"/>
  <c r="CD373" i="1" a="1"/>
  <c r="CD383" i="1" a="1"/>
  <c r="CD394" i="1" a="1"/>
  <c r="CD403" i="1" a="1"/>
  <c r="CD411" i="1" a="1"/>
  <c r="CD419" i="1" a="1"/>
  <c r="CD427" i="1" a="1"/>
  <c r="CD435" i="1" a="1"/>
  <c r="CD443" i="1" a="1"/>
  <c r="CD451" i="1" a="1"/>
  <c r="CD459" i="1" a="1"/>
  <c r="CD472" i="1" a="1"/>
  <c r="CD478" i="1" a="1"/>
  <c r="CD485" i="1" a="1"/>
  <c r="CD491" i="1" a="1"/>
  <c r="CD504" i="1" a="1"/>
  <c r="CD510" i="1" a="1"/>
  <c r="CD516" i="1" a="1"/>
  <c r="CD527" i="1" a="1"/>
  <c r="CD532" i="1" a="1"/>
  <c r="CD543" i="1" a="1"/>
  <c r="CD63" i="1" a="1"/>
  <c r="CD114" i="1" a="1"/>
  <c r="CD165" i="1" a="1"/>
  <c r="CD268" i="1" a="1"/>
  <c r="CD319" i="1" a="1"/>
  <c r="CD359" i="1" a="1"/>
  <c r="CD374" i="1" a="1"/>
  <c r="CD385" i="1" a="1"/>
  <c r="CD395" i="1" a="1"/>
  <c r="CD404" i="1" a="1"/>
  <c r="CD412" i="1" a="1"/>
  <c r="CD420" i="1" a="1"/>
  <c r="CD428" i="1" a="1"/>
  <c r="CD436" i="1" a="1"/>
  <c r="CD444" i="1" a="1"/>
  <c r="CD452" i="1" a="1"/>
  <c r="CD460" i="1" a="1"/>
  <c r="CD466" i="1" a="1"/>
  <c r="CD473" i="1" a="1"/>
  <c r="CD479" i="1" a="1"/>
  <c r="CD492" i="1" a="1"/>
  <c r="CD498" i="1" a="1"/>
  <c r="CD505" i="1" a="1"/>
  <c r="CD511" i="1" a="1"/>
  <c r="CD517" i="1" a="1"/>
  <c r="CD522" i="1" a="1"/>
  <c r="CD533" i="1" a="1"/>
  <c r="CD538" i="1" a="1"/>
  <c r="CD548" i="1" a="1"/>
  <c r="CD552" i="1" a="1"/>
  <c r="CD556" i="1" a="1"/>
  <c r="CD560" i="1" a="1"/>
  <c r="CD564" i="1" a="1"/>
  <c r="CD568" i="1" a="1"/>
  <c r="CD572" i="1" a="1"/>
  <c r="CD576" i="1" a="1"/>
  <c r="CD580" i="1" a="1"/>
  <c r="CD584" i="1" a="1"/>
  <c r="CD588" i="1" a="1"/>
  <c r="CD592" i="1" a="1"/>
  <c r="CD69" i="1" a="1"/>
  <c r="CD172" i="1" a="1"/>
  <c r="CD223" i="1" a="1"/>
  <c r="CD274" i="1" a="1"/>
  <c r="CD325" i="1" a="1"/>
  <c r="CD361" i="1" a="1"/>
  <c r="CD375" i="1" a="1"/>
  <c r="CD386" i="1" a="1"/>
  <c r="CD397" i="1" a="1"/>
  <c r="CD405" i="1" a="1"/>
  <c r="CD413" i="1" a="1"/>
  <c r="CD421" i="1" a="1"/>
  <c r="CD429" i="1" a="1"/>
  <c r="CD437" i="1" a="1"/>
  <c r="CD445" i="1" a="1"/>
  <c r="CD453" i="1" a="1"/>
  <c r="CD461" i="1" a="1"/>
  <c r="CD467" i="1" a="1"/>
  <c r="CD480" i="1" a="1"/>
  <c r="CD486" i="1" a="1"/>
  <c r="CD493" i="1" a="1"/>
  <c r="CD499" i="1" a="1"/>
  <c r="CD512" i="1" a="1"/>
  <c r="CD523" i="1" a="1"/>
  <c r="CD528" i="1" a="1"/>
  <c r="CD539" i="1" a="1"/>
  <c r="CD544" i="1" a="1"/>
  <c r="CD76" i="1" a="1"/>
  <c r="CD127" i="1" a="1"/>
  <c r="CD178" i="1" a="1"/>
  <c r="CD229" i="1" a="1"/>
  <c r="CD332" i="1" a="1"/>
  <c r="CD363" i="1" a="1"/>
  <c r="CD377" i="1" a="1"/>
  <c r="CD387" i="1" a="1"/>
  <c r="CD398" i="1" a="1"/>
  <c r="CD406" i="1" a="1"/>
  <c r="CD414" i="1" a="1"/>
  <c r="CD422" i="1" a="1"/>
  <c r="CD430" i="1" a="1"/>
  <c r="CD438" i="1" a="1"/>
  <c r="CD446" i="1" a="1"/>
  <c r="CD454" i="1" a="1"/>
  <c r="CD468" i="1" a="1"/>
  <c r="CD474" i="1" a="1"/>
  <c r="CD481" i="1" a="1"/>
  <c r="CD487" i="1" a="1"/>
  <c r="CD500" i="1" a="1"/>
  <c r="CD506" i="1" a="1"/>
  <c r="CD513" i="1" a="1"/>
  <c r="CD518" i="1" a="1"/>
  <c r="CD529" i="1" a="1"/>
  <c r="CD534" i="1" a="1"/>
  <c r="CD545" i="1" a="1"/>
  <c r="CD549" i="1" a="1"/>
  <c r="CD553" i="1" a="1"/>
  <c r="CD557" i="1" a="1"/>
  <c r="CD561" i="1" a="1"/>
  <c r="CD565" i="1" a="1"/>
  <c r="CD569" i="1" a="1"/>
  <c r="CD573" i="1" a="1"/>
  <c r="CD577" i="1" a="1"/>
  <c r="CD581" i="1" a="1"/>
  <c r="CD585" i="1" a="1"/>
  <c r="CD589" i="1" a="1"/>
  <c r="CD593" i="1" a="1"/>
  <c r="CD597" i="1" a="1"/>
  <c r="CD601" i="1" a="1"/>
  <c r="CD605" i="1" a="1"/>
  <c r="CD140" i="1" a="1"/>
  <c r="CD191" i="1" a="1"/>
  <c r="CD242" i="1" a="1"/>
  <c r="CD293" i="1" a="1"/>
  <c r="CD343" i="1" a="1"/>
  <c r="CD367" i="1" a="1"/>
  <c r="CD379" i="1" a="1"/>
  <c r="CD390" i="1" a="1"/>
  <c r="CD400" i="1" a="1"/>
  <c r="CD408" i="1" a="1"/>
  <c r="CD416" i="1" a="1"/>
  <c r="CD424" i="1" a="1"/>
  <c r="CD432" i="1" a="1"/>
  <c r="CD440" i="1" a="1"/>
  <c r="CD448" i="1" a="1"/>
  <c r="CD456" i="1" a="1"/>
  <c r="CD463" i="1" a="1"/>
  <c r="CD476" i="1" a="1"/>
  <c r="CD482" i="1" a="1"/>
  <c r="CD489" i="1" a="1"/>
  <c r="CD495" i="1" a="1"/>
  <c r="CD508" i="1" a="1"/>
  <c r="CD514" i="1" a="1"/>
  <c r="CD525" i="1" a="1"/>
  <c r="CD530" i="1" a="1"/>
  <c r="CD541" i="1" a="1"/>
  <c r="CD546" i="1" a="1"/>
  <c r="CD550" i="1" a="1"/>
  <c r="CD554" i="1" a="1"/>
  <c r="CD558" i="1" a="1"/>
  <c r="CD562" i="1" a="1"/>
  <c r="CD566" i="1" a="1"/>
  <c r="CD570" i="1" a="1"/>
  <c r="CD574" i="1" a="1"/>
  <c r="CD578" i="1" a="1"/>
  <c r="CD582" i="1" a="1"/>
  <c r="CD586" i="1" a="1"/>
  <c r="CD590" i="1" a="1"/>
  <c r="CD594" i="1" a="1"/>
  <c r="CD598" i="1" a="1"/>
  <c r="CD602" i="1" a="1"/>
  <c r="CD82" i="1" a="1"/>
  <c r="CD389" i="1" a="1"/>
  <c r="CD455" i="1" a="1"/>
  <c r="CD507" i="1" a="1"/>
  <c r="CD613" i="1" a="1"/>
  <c r="CD618" i="1" a="1"/>
  <c r="CD629" i="1" a="1"/>
  <c r="CD634" i="1" a="1"/>
  <c r="CD645" i="1" a="1"/>
  <c r="CD650" i="1" a="1"/>
  <c r="CD661" i="1" a="1"/>
  <c r="CD666" i="1" a="1"/>
  <c r="CD677" i="1" a="1"/>
  <c r="CD682" i="1" a="1"/>
  <c r="CD693" i="1" a="1"/>
  <c r="CD698" i="1" a="1"/>
  <c r="CD709" i="1" a="1"/>
  <c r="CD714" i="1" a="1"/>
  <c r="CD725" i="1" a="1"/>
  <c r="CD730" i="1" a="1"/>
  <c r="CD741" i="1" a="1"/>
  <c r="CD746" i="1" a="1"/>
  <c r="CD757" i="1" a="1"/>
  <c r="CD762" i="1" a="1"/>
  <c r="CD773" i="1" a="1"/>
  <c r="CD778" i="1" a="1"/>
  <c r="CD789" i="1" a="1"/>
  <c r="CD794" i="1" a="1"/>
  <c r="CD798" i="1" a="1"/>
  <c r="CD802" i="1" a="1"/>
  <c r="CD806" i="1" a="1"/>
  <c r="CD810" i="1" a="1"/>
  <c r="CD814" i="1" a="1"/>
  <c r="CD818" i="1" a="1"/>
  <c r="CD822" i="1" a="1"/>
  <c r="CD826" i="1" a="1"/>
  <c r="CD830" i="1" a="1"/>
  <c r="CD834" i="1" a="1"/>
  <c r="CD838" i="1" a="1"/>
  <c r="CD842" i="1" a="1"/>
  <c r="CD133" i="1" a="1"/>
  <c r="CD399" i="1" a="1"/>
  <c r="CD462" i="1" a="1"/>
  <c r="CD600" i="1" a="1"/>
  <c r="CD608" i="1" a="1"/>
  <c r="CD619" i="1" a="1"/>
  <c r="CD624" i="1" a="1"/>
  <c r="CD635" i="1" a="1"/>
  <c r="CD640" i="1" a="1"/>
  <c r="CD651" i="1" a="1"/>
  <c r="CD656" i="1" a="1"/>
  <c r="CD667" i="1" a="1"/>
  <c r="CD672" i="1" a="1"/>
  <c r="CD683" i="1" a="1"/>
  <c r="CD688" i="1" a="1"/>
  <c r="CD699" i="1" a="1"/>
  <c r="CD704" i="1" a="1"/>
  <c r="CD715" i="1" a="1"/>
  <c r="CD720" i="1" a="1"/>
  <c r="CD731" i="1" a="1"/>
  <c r="CD736" i="1" a="1"/>
  <c r="CD747" i="1" a="1"/>
  <c r="CD752" i="1" a="1"/>
  <c r="CD763" i="1" a="1"/>
  <c r="CD768" i="1" a="1"/>
  <c r="CD779" i="1" a="1"/>
  <c r="CD784" i="1" a="1"/>
  <c r="CD407" i="1" a="1"/>
  <c r="CD469" i="1" a="1"/>
  <c r="CD519" i="1" a="1"/>
  <c r="CD609" i="1" a="1"/>
  <c r="CD614" i="1" a="1"/>
  <c r="CD625" i="1" a="1"/>
  <c r="CD630" i="1" a="1"/>
  <c r="CD641" i="1" a="1"/>
  <c r="CD646" i="1" a="1"/>
  <c r="CD657" i="1" a="1"/>
  <c r="CD662" i="1" a="1"/>
  <c r="CD673" i="1" a="1"/>
  <c r="CD678" i="1" a="1"/>
  <c r="CD689" i="1" a="1"/>
  <c r="CD694" i="1" a="1"/>
  <c r="CD705" i="1" a="1"/>
  <c r="CD710" i="1" a="1"/>
  <c r="CD721" i="1" a="1"/>
  <c r="CD726" i="1" a="1"/>
  <c r="CD737" i="1" a="1"/>
  <c r="CD742" i="1" a="1"/>
  <c r="CD753" i="1" a="1"/>
  <c r="CD758" i="1" a="1"/>
  <c r="CD769" i="1" a="1"/>
  <c r="CD774" i="1" a="1"/>
  <c r="CD785" i="1" a="1"/>
  <c r="CD790" i="1" a="1"/>
  <c r="CD795" i="1" a="1"/>
  <c r="CD799" i="1" a="1"/>
  <c r="CD803" i="1" a="1"/>
  <c r="CD807" i="1" a="1"/>
  <c r="CD811" i="1" a="1"/>
  <c r="CD815" i="1" a="1"/>
  <c r="CD236" i="1" a="1"/>
  <c r="CD415" i="1" a="1"/>
  <c r="CD475" i="1" a="1"/>
  <c r="CD524" i="1" a="1"/>
  <c r="CD615" i="1" a="1"/>
  <c r="CD620" i="1" a="1"/>
  <c r="CD631" i="1" a="1"/>
  <c r="CD636" i="1" a="1"/>
  <c r="CD647" i="1" a="1"/>
  <c r="CD652" i="1" a="1"/>
  <c r="CD663" i="1" a="1"/>
  <c r="CD668" i="1" a="1"/>
  <c r="CD679" i="1" a="1"/>
  <c r="CD684" i="1" a="1"/>
  <c r="CD695" i="1" a="1"/>
  <c r="CD700" i="1" a="1"/>
  <c r="CD711" i="1" a="1"/>
  <c r="CD716" i="1" a="1"/>
  <c r="CD727" i="1" a="1"/>
  <c r="CD732" i="1" a="1"/>
  <c r="CD743" i="1" a="1"/>
  <c r="CD748" i="1" a="1"/>
  <c r="CD759" i="1" a="1"/>
  <c r="CD764" i="1" a="1"/>
  <c r="CD775" i="1" a="1"/>
  <c r="CD780" i="1" a="1"/>
  <c r="CD791" i="1" a="1"/>
  <c r="CD287" i="1" a="1"/>
  <c r="CD423" i="1" a="1"/>
  <c r="CD604" i="1" a="1"/>
  <c r="CD610" i="1" a="1"/>
  <c r="CD621" i="1" a="1"/>
  <c r="CD626" i="1" a="1"/>
  <c r="CD637" i="1" a="1"/>
  <c r="CD642" i="1" a="1"/>
  <c r="CD653" i="1" a="1"/>
  <c r="CD658" i="1" a="1"/>
  <c r="CD669" i="1" a="1"/>
  <c r="CD674" i="1" a="1"/>
  <c r="CD685" i="1" a="1"/>
  <c r="CD690" i="1" a="1"/>
  <c r="CD701" i="1" a="1"/>
  <c r="CD706" i="1" a="1"/>
  <c r="CD717" i="1" a="1"/>
  <c r="CD722" i="1" a="1"/>
  <c r="CD733" i="1" a="1"/>
  <c r="CD738" i="1" a="1"/>
  <c r="CD749" i="1" a="1"/>
  <c r="CD754" i="1" a="1"/>
  <c r="CD765" i="1" a="1"/>
  <c r="CD770" i="1" a="1"/>
  <c r="CD781" i="1" a="1"/>
  <c r="CD786" i="1" a="1"/>
  <c r="CD796" i="1" a="1"/>
  <c r="CD800" i="1" a="1"/>
  <c r="CD804" i="1" a="1"/>
  <c r="CD808" i="1" a="1"/>
  <c r="CD812" i="1" a="1"/>
  <c r="CD816" i="1" a="1"/>
  <c r="CD820" i="1" a="1"/>
  <c r="CD824" i="1" a="1"/>
  <c r="CD828" i="1" a="1"/>
  <c r="CD832" i="1" a="1"/>
  <c r="CD338" i="1" a="1"/>
  <c r="CD431" i="1" a="1"/>
  <c r="CD488" i="1" a="1"/>
  <c r="CD535" i="1" a="1"/>
  <c r="CD611" i="1" a="1"/>
  <c r="CD616" i="1" a="1"/>
  <c r="CD627" i="1" a="1"/>
  <c r="CD632" i="1" a="1"/>
  <c r="CD643" i="1" a="1"/>
  <c r="CD648" i="1" a="1"/>
  <c r="CD659" i="1" a="1"/>
  <c r="CD664" i="1" a="1"/>
  <c r="CD675" i="1" a="1"/>
  <c r="CD680" i="1" a="1"/>
  <c r="CD691" i="1" a="1"/>
  <c r="CD696" i="1" a="1"/>
  <c r="CD707" i="1" a="1"/>
  <c r="CD712" i="1" a="1"/>
  <c r="CD723" i="1" a="1"/>
  <c r="CD728" i="1" a="1"/>
  <c r="CD739" i="1" a="1"/>
  <c r="CD744" i="1" a="1"/>
  <c r="CD755" i="1" a="1"/>
  <c r="CD760" i="1" a="1"/>
  <c r="CD771" i="1" a="1"/>
  <c r="CD776" i="1" a="1"/>
  <c r="CD787" i="1" a="1"/>
  <c r="CD792" i="1" a="1"/>
  <c r="CD378" i="1" a="1"/>
  <c r="CD447" i="1" a="1"/>
  <c r="CD501" i="1" a="1"/>
  <c r="CD607" i="1" a="1"/>
  <c r="CD612" i="1" a="1"/>
  <c r="CD623" i="1" a="1"/>
  <c r="CD628" i="1" a="1"/>
  <c r="CD639" i="1" a="1"/>
  <c r="CD644" i="1" a="1"/>
  <c r="CD655" i="1" a="1"/>
  <c r="CD660" i="1" a="1"/>
  <c r="CD671" i="1" a="1"/>
  <c r="CD676" i="1" a="1"/>
  <c r="CD687" i="1" a="1"/>
  <c r="CD692" i="1" a="1"/>
  <c r="CD703" i="1" a="1"/>
  <c r="CD708" i="1" a="1"/>
  <c r="CD719" i="1" a="1"/>
  <c r="CD724" i="1" a="1"/>
  <c r="CD735" i="1" a="1"/>
  <c r="CD740" i="1" a="1"/>
  <c r="CD751" i="1" a="1"/>
  <c r="CD756" i="1" a="1"/>
  <c r="CD767" i="1" a="1"/>
  <c r="CD772" i="1" a="1"/>
  <c r="CD783" i="1" a="1"/>
  <c r="CD788" i="1" a="1"/>
  <c r="CD365" i="1" a="1"/>
  <c r="CD654" i="1" a="1"/>
  <c r="CD697" i="1" a="1"/>
  <c r="CD782" i="1" a="1"/>
  <c r="CD817" i="1" a="1"/>
  <c r="CD833" i="1" a="1"/>
  <c r="CD844" i="1" a="1"/>
  <c r="CD852" i="1" a="1"/>
  <c r="CD860" i="1" a="1"/>
  <c r="CD868" i="1" a="1"/>
  <c r="CD876" i="1" a="1"/>
  <c r="CD884" i="1" a="1"/>
  <c r="CD892" i="1" a="1"/>
  <c r="CD900" i="1" a="1"/>
  <c r="CD908" i="1" a="1"/>
  <c r="CD916" i="1" a="1"/>
  <c r="CD924" i="1" a="1"/>
  <c r="CD932" i="1" a="1"/>
  <c r="CD940" i="1" a="1"/>
  <c r="CD948" i="1" a="1"/>
  <c r="CD956" i="1" a="1"/>
  <c r="CD964" i="1" a="1"/>
  <c r="CD972" i="1" a="1"/>
  <c r="CD980" i="1" a="1"/>
  <c r="CD988" i="1" a="1"/>
  <c r="CD996" i="1" a="1"/>
  <c r="CD1002" i="1" a="1"/>
  <c r="CD829" i="1" a="1"/>
  <c r="CD922" i="1" a="1"/>
  <c r="CD978" i="1" a="1"/>
  <c r="CD439" i="1" a="1"/>
  <c r="CD617" i="1" a="1"/>
  <c r="CD702" i="1" a="1"/>
  <c r="CD745" i="1" a="1"/>
  <c r="CD819" i="1" a="1"/>
  <c r="CD835" i="1" a="1"/>
  <c r="CD845" i="1" a="1"/>
  <c r="CD853" i="1" a="1"/>
  <c r="CD861" i="1" a="1"/>
  <c r="CD869" i="1" a="1"/>
  <c r="CD877" i="1" a="1"/>
  <c r="CD885" i="1" a="1"/>
  <c r="CD893" i="1" a="1"/>
  <c r="CD901" i="1" a="1"/>
  <c r="CD909" i="1" a="1"/>
  <c r="CD917" i="1" a="1"/>
  <c r="CD925" i="1" a="1"/>
  <c r="CD933" i="1" a="1"/>
  <c r="CD941" i="1" a="1"/>
  <c r="CD949" i="1" a="1"/>
  <c r="CD957" i="1" a="1"/>
  <c r="CD965" i="1" a="1"/>
  <c r="CD973" i="1" a="1"/>
  <c r="CD981" i="1" a="1"/>
  <c r="CD989" i="1" a="1"/>
  <c r="CD997" i="1" a="1"/>
  <c r="CD1003" i="1" a="1"/>
  <c r="CD1008" i="1" a="1"/>
  <c r="CD841" i="1" a="1"/>
  <c r="CD494" i="1" a="1"/>
  <c r="CD622" i="1" a="1"/>
  <c r="CD665" i="1" a="1"/>
  <c r="CD750" i="1" a="1"/>
  <c r="CD793" i="1" a="1"/>
  <c r="CD821" i="1" a="1"/>
  <c r="CD836" i="1" a="1"/>
  <c r="CD846" i="1" a="1"/>
  <c r="CD854" i="1" a="1"/>
  <c r="CD862" i="1" a="1"/>
  <c r="CD870" i="1" a="1"/>
  <c r="CD878" i="1" a="1"/>
  <c r="CD886" i="1" a="1"/>
  <c r="CD894" i="1" a="1"/>
  <c r="CD902" i="1" a="1"/>
  <c r="CD910" i="1" a="1"/>
  <c r="CD918" i="1" a="1"/>
  <c r="CD926" i="1" a="1"/>
  <c r="CD934" i="1" a="1"/>
  <c r="CD942" i="1" a="1"/>
  <c r="CD950" i="1" a="1"/>
  <c r="CD958" i="1" a="1"/>
  <c r="CD966" i="1" a="1"/>
  <c r="CD974" i="1" a="1"/>
  <c r="CD982" i="1" a="1"/>
  <c r="CD990" i="1" a="1"/>
  <c r="CD998" i="1" a="1"/>
  <c r="CD1009" i="1" a="1"/>
  <c r="CD729" i="1" a="1"/>
  <c r="CD938" i="1" a="1"/>
  <c r="CD1001" i="1" a="1"/>
  <c r="CD540" i="1" a="1"/>
  <c r="CD670" i="1" a="1"/>
  <c r="CD713" i="1" a="1"/>
  <c r="CD797" i="1" a="1"/>
  <c r="CD823" i="1" a="1"/>
  <c r="CD837" i="1" a="1"/>
  <c r="CD847" i="1" a="1"/>
  <c r="CD855" i="1" a="1"/>
  <c r="CD863" i="1" a="1"/>
  <c r="CD871" i="1" a="1"/>
  <c r="CD879" i="1" a="1"/>
  <c r="CD887" i="1" a="1"/>
  <c r="CD895" i="1" a="1"/>
  <c r="CD903" i="1" a="1"/>
  <c r="CD911" i="1" a="1"/>
  <c r="CD919" i="1" a="1"/>
  <c r="CD927" i="1" a="1"/>
  <c r="CD935" i="1" a="1"/>
  <c r="CD943" i="1" a="1"/>
  <c r="CD951" i="1" a="1"/>
  <c r="CD959" i="1" a="1"/>
  <c r="CD967" i="1" a="1"/>
  <c r="CD975" i="1" a="1"/>
  <c r="CD983" i="1" a="1"/>
  <c r="CD991" i="1" a="1"/>
  <c r="CD999" i="1" a="1"/>
  <c r="CD1004" i="1" a="1"/>
  <c r="CD898" i="1" a="1"/>
  <c r="CD954" i="1" a="1"/>
  <c r="CD986" i="1" a="1"/>
  <c r="CD633" i="1" a="1"/>
  <c r="CD718" i="1" a="1"/>
  <c r="CD761" i="1" a="1"/>
  <c r="CD801" i="1" a="1"/>
  <c r="CD825" i="1" a="1"/>
  <c r="CD839" i="1" a="1"/>
  <c r="CD848" i="1" a="1"/>
  <c r="CD856" i="1" a="1"/>
  <c r="CD864" i="1" a="1"/>
  <c r="CD872" i="1" a="1"/>
  <c r="CD880" i="1" a="1"/>
  <c r="CD888" i="1" a="1"/>
  <c r="CD896" i="1" a="1"/>
  <c r="CD904" i="1" a="1"/>
  <c r="CD912" i="1" a="1"/>
  <c r="CD920" i="1" a="1"/>
  <c r="CD928" i="1" a="1"/>
  <c r="CD936" i="1" a="1"/>
  <c r="CD944" i="1" a="1"/>
  <c r="CD952" i="1" a="1"/>
  <c r="CD960" i="1" a="1"/>
  <c r="CD968" i="1" a="1"/>
  <c r="CD976" i="1" a="1"/>
  <c r="CD984" i="1" a="1"/>
  <c r="CD992" i="1" a="1"/>
  <c r="CD1005" i="1" a="1"/>
  <c r="CD686" i="1" a="1"/>
  <c r="CD946" i="1" a="1"/>
  <c r="CD1006" i="1" a="1"/>
  <c r="CD638" i="1" a="1"/>
  <c r="CD681" i="1" a="1"/>
  <c r="CD766" i="1" a="1"/>
  <c r="CD805" i="1" a="1"/>
  <c r="CD827" i="1" a="1"/>
  <c r="CD840" i="1" a="1"/>
  <c r="CD849" i="1" a="1"/>
  <c r="CD857" i="1" a="1"/>
  <c r="CD865" i="1" a="1"/>
  <c r="CD873" i="1" a="1"/>
  <c r="CD881" i="1" a="1"/>
  <c r="CD889" i="1" a="1"/>
  <c r="CD897" i="1" a="1"/>
  <c r="CD905" i="1" a="1"/>
  <c r="CD913" i="1" a="1"/>
  <c r="CD921" i="1" a="1"/>
  <c r="CD929" i="1" a="1"/>
  <c r="CD937" i="1" a="1"/>
  <c r="CD945" i="1" a="1"/>
  <c r="CD953" i="1" a="1"/>
  <c r="CD961" i="1" a="1"/>
  <c r="CD969" i="1" a="1"/>
  <c r="CD977" i="1" a="1"/>
  <c r="CD985" i="1" a="1"/>
  <c r="CD993" i="1" a="1"/>
  <c r="CD1000" i="1" a="1"/>
  <c r="CD906" i="1" a="1"/>
  <c r="CD962" i="1" a="1"/>
  <c r="CD596" i="1" a="1"/>
  <c r="CD850" i="1" a="1"/>
  <c r="CD858" i="1" a="1"/>
  <c r="CD866" i="1" a="1"/>
  <c r="CD874" i="1" a="1"/>
  <c r="CD882" i="1" a="1"/>
  <c r="CD890" i="1" a="1"/>
  <c r="CD914" i="1" a="1"/>
  <c r="CD970" i="1" a="1"/>
  <c r="CD606" i="1" a="1"/>
  <c r="CD649" i="1" a="1"/>
  <c r="CD734" i="1" a="1"/>
  <c r="CD777" i="1" a="1"/>
  <c r="CD813" i="1" a="1"/>
  <c r="CD831" i="1" a="1"/>
  <c r="CD843" i="1" a="1"/>
  <c r="CD851" i="1" a="1"/>
  <c r="CD859" i="1" a="1"/>
  <c r="CD867" i="1" a="1"/>
  <c r="CD875" i="1" a="1"/>
  <c r="CD883" i="1" a="1"/>
  <c r="CD891" i="1" a="1"/>
  <c r="CD899" i="1" a="1"/>
  <c r="CD907" i="1" a="1"/>
  <c r="CD915" i="1" a="1"/>
  <c r="CD923" i="1" a="1"/>
  <c r="CD931" i="1" a="1"/>
  <c r="CD939" i="1" a="1"/>
  <c r="CD947" i="1" a="1"/>
  <c r="CD955" i="1" a="1"/>
  <c r="CD963" i="1" a="1"/>
  <c r="CD971" i="1" a="1"/>
  <c r="CD979" i="1" a="1"/>
  <c r="CD987" i="1" a="1"/>
  <c r="CD995" i="1" a="1"/>
  <c r="CD1007" i="1" a="1"/>
  <c r="CD809" i="1" a="1"/>
  <c r="CD930" i="1" a="1"/>
  <c r="CD994" i="1" a="1"/>
  <c r="CD1062" i="1" a="1"/>
  <c r="CD1065" i="1" a="1"/>
  <c r="CD1059" i="1" a="1"/>
  <c r="CD1067" i="1" a="1"/>
  <c r="CD1060" i="1" a="1"/>
  <c r="CD1056" i="1" a="1"/>
  <c r="CD1058" i="1" a="1"/>
  <c r="CD1055" i="1" a="1"/>
  <c r="CD1066" i="1" a="1"/>
  <c r="CD1063" i="1" a="1"/>
  <c r="CD1057" i="1" a="1"/>
  <c r="CD1064" i="1" a="1"/>
  <c r="CD1061" i="1" a="1"/>
  <c r="CD994" i="1" l="1"/>
  <c r="CD930" i="1"/>
  <c r="CD809" i="1"/>
  <c r="CD1007" i="1"/>
  <c r="CD995" i="1"/>
  <c r="CD987" i="1"/>
  <c r="CD979" i="1"/>
  <c r="CD971" i="1"/>
  <c r="CD963" i="1"/>
  <c r="CD955" i="1"/>
  <c r="CD947" i="1"/>
  <c r="CD939" i="1"/>
  <c r="CD931" i="1"/>
  <c r="CD923" i="1"/>
  <c r="CD915" i="1"/>
  <c r="CD907" i="1"/>
  <c r="CD899" i="1"/>
  <c r="CD891" i="1"/>
  <c r="CD883" i="1"/>
  <c r="CD875" i="1"/>
  <c r="CD867" i="1"/>
  <c r="CD859" i="1"/>
  <c r="CD851" i="1"/>
  <c r="CD843" i="1"/>
  <c r="CD831" i="1"/>
  <c r="CD813" i="1"/>
  <c r="CD777" i="1"/>
  <c r="CD734" i="1"/>
  <c r="CD649" i="1"/>
  <c r="CD606" i="1"/>
  <c r="CD970" i="1"/>
  <c r="CD914" i="1"/>
  <c r="CD890" i="1"/>
  <c r="CD882" i="1"/>
  <c r="CD874" i="1"/>
  <c r="CD866" i="1"/>
  <c r="CD858" i="1"/>
  <c r="CD850" i="1"/>
  <c r="CD596" i="1"/>
  <c r="CD962" i="1"/>
  <c r="CD906" i="1"/>
  <c r="CD1000" i="1"/>
  <c r="CD993" i="1"/>
  <c r="CD985" i="1"/>
  <c r="CD977" i="1"/>
  <c r="CD969" i="1"/>
  <c r="CD961" i="1"/>
  <c r="CD953" i="1"/>
  <c r="CD945" i="1"/>
  <c r="CD937" i="1"/>
  <c r="CD929" i="1"/>
  <c r="CD921" i="1"/>
  <c r="CD913" i="1"/>
  <c r="CD905" i="1"/>
  <c r="CD897" i="1"/>
  <c r="CD889" i="1"/>
  <c r="CD881" i="1"/>
  <c r="CD873" i="1"/>
  <c r="CD865" i="1"/>
  <c r="CD857" i="1"/>
  <c r="CD849" i="1"/>
  <c r="CD840" i="1"/>
  <c r="CD827" i="1"/>
  <c r="CD805" i="1"/>
  <c r="CD766" i="1"/>
  <c r="CD681" i="1"/>
  <c r="CD638" i="1"/>
  <c r="CD1006" i="1"/>
  <c r="CD946" i="1"/>
  <c r="CD686" i="1"/>
  <c r="CD1005" i="1"/>
  <c r="CD992" i="1"/>
  <c r="CD984" i="1"/>
  <c r="CD976" i="1"/>
  <c r="CD968" i="1"/>
  <c r="CD960" i="1"/>
  <c r="CD952" i="1"/>
  <c r="CD944" i="1"/>
  <c r="CD936" i="1"/>
  <c r="CD928" i="1"/>
  <c r="CD920" i="1"/>
  <c r="CD912" i="1"/>
  <c r="CD904" i="1"/>
  <c r="CD896" i="1"/>
  <c r="CD888" i="1"/>
  <c r="CD880" i="1"/>
  <c r="CD872" i="1"/>
  <c r="CD864" i="1"/>
  <c r="CD856" i="1"/>
  <c r="CD848" i="1"/>
  <c r="CD839" i="1"/>
  <c r="CD825" i="1"/>
  <c r="CD801" i="1"/>
  <c r="CD761" i="1"/>
  <c r="CD718" i="1"/>
  <c r="CD633" i="1"/>
  <c r="CD986" i="1"/>
  <c r="CD954" i="1"/>
  <c r="CD898" i="1"/>
  <c r="CD1004" i="1"/>
  <c r="CD999" i="1"/>
  <c r="CD991" i="1"/>
  <c r="CD983" i="1"/>
  <c r="CD975" i="1"/>
  <c r="CD967" i="1"/>
  <c r="CD959" i="1"/>
  <c r="CD951" i="1"/>
  <c r="CD943" i="1"/>
  <c r="CD935" i="1"/>
  <c r="CD927" i="1"/>
  <c r="CD919" i="1"/>
  <c r="CD911" i="1"/>
  <c r="CD903" i="1"/>
  <c r="CD895" i="1"/>
  <c r="CD887" i="1"/>
  <c r="CD879" i="1"/>
  <c r="CD871" i="1"/>
  <c r="CD863" i="1"/>
  <c r="CD855" i="1"/>
  <c r="CD847" i="1"/>
  <c r="CD837" i="1"/>
  <c r="CD823" i="1"/>
  <c r="CD797" i="1"/>
  <c r="CD713" i="1"/>
  <c r="CD670" i="1"/>
  <c r="CD540" i="1"/>
  <c r="CD1001" i="1"/>
  <c r="CD938" i="1"/>
  <c r="CD729" i="1"/>
  <c r="CD1009" i="1"/>
  <c r="CD998" i="1"/>
  <c r="CD990" i="1"/>
  <c r="CD982" i="1"/>
  <c r="CD974" i="1"/>
  <c r="CD966" i="1"/>
  <c r="CD958" i="1"/>
  <c r="CD950" i="1"/>
  <c r="CD942" i="1"/>
  <c r="CD934" i="1"/>
  <c r="CD926" i="1"/>
  <c r="CD918" i="1"/>
  <c r="CD910" i="1"/>
  <c r="CD902" i="1"/>
  <c r="CD894" i="1"/>
  <c r="CD886" i="1"/>
  <c r="CD878" i="1"/>
  <c r="CD870" i="1"/>
  <c r="CD862" i="1"/>
  <c r="CD854" i="1"/>
  <c r="CD846" i="1"/>
  <c r="CD836" i="1"/>
  <c r="CD821" i="1"/>
  <c r="CD793" i="1"/>
  <c r="CD750" i="1"/>
  <c r="CD665" i="1"/>
  <c r="CD622" i="1"/>
  <c r="CD494" i="1"/>
  <c r="CD841" i="1"/>
  <c r="CD1008" i="1"/>
  <c r="CD1003" i="1"/>
  <c r="CD997" i="1"/>
  <c r="CD989" i="1"/>
  <c r="CD981" i="1"/>
  <c r="CD973" i="1"/>
  <c r="CD965" i="1"/>
  <c r="CD957" i="1"/>
  <c r="CD949" i="1"/>
  <c r="CD941" i="1"/>
  <c r="CD933" i="1"/>
  <c r="CD925" i="1"/>
  <c r="CD917" i="1"/>
  <c r="CD909" i="1"/>
  <c r="CD901" i="1"/>
  <c r="CD893" i="1"/>
  <c r="CD885" i="1"/>
  <c r="CD877" i="1"/>
  <c r="CD869" i="1"/>
  <c r="CD861" i="1"/>
  <c r="CD853" i="1"/>
  <c r="CD845" i="1"/>
  <c r="CD835" i="1"/>
  <c r="CD819" i="1"/>
  <c r="CD745" i="1"/>
  <c r="CD702" i="1"/>
  <c r="CD617" i="1"/>
  <c r="CD439" i="1"/>
  <c r="CD978" i="1"/>
  <c r="CD922" i="1"/>
  <c r="CD829" i="1"/>
  <c r="CD1002" i="1"/>
  <c r="CD996" i="1"/>
  <c r="CD988" i="1"/>
  <c r="CD980" i="1"/>
  <c r="CD972" i="1"/>
  <c r="CD964" i="1"/>
  <c r="CD956" i="1"/>
  <c r="CD948" i="1"/>
  <c r="CD940" i="1"/>
  <c r="CD932" i="1"/>
  <c r="CD924" i="1"/>
  <c r="CD916" i="1"/>
  <c r="CD908" i="1"/>
  <c r="CD900" i="1"/>
  <c r="CD892" i="1"/>
  <c r="CD884" i="1"/>
  <c r="CD876" i="1"/>
  <c r="CD868" i="1"/>
  <c r="CD860" i="1"/>
  <c r="CD852" i="1"/>
  <c r="CD844" i="1"/>
  <c r="CD833" i="1"/>
  <c r="CD817" i="1"/>
  <c r="CD782" i="1"/>
  <c r="CD697" i="1"/>
  <c r="CD654" i="1"/>
  <c r="CD365" i="1"/>
  <c r="CD788" i="1"/>
  <c r="CD783" i="1"/>
  <c r="CD772" i="1"/>
  <c r="CD767" i="1"/>
  <c r="CD756" i="1"/>
  <c r="CD751" i="1"/>
  <c r="CD740" i="1"/>
  <c r="CD735" i="1"/>
  <c r="CD724" i="1"/>
  <c r="CD719" i="1"/>
  <c r="CD708" i="1"/>
  <c r="CD703" i="1"/>
  <c r="CD692" i="1"/>
  <c r="CD687" i="1"/>
  <c r="CD676" i="1"/>
  <c r="CD671" i="1"/>
  <c r="CD660" i="1"/>
  <c r="CD655" i="1"/>
  <c r="CD644" i="1"/>
  <c r="CD639" i="1"/>
  <c r="CD628" i="1"/>
  <c r="CD623" i="1"/>
  <c r="CD612" i="1"/>
  <c r="CD607" i="1"/>
  <c r="CD501" i="1"/>
  <c r="CD447" i="1"/>
  <c r="CD378" i="1"/>
  <c r="CD792" i="1"/>
  <c r="CD787" i="1"/>
  <c r="CD776" i="1"/>
  <c r="CD771" i="1"/>
  <c r="CD760" i="1"/>
  <c r="CD755" i="1"/>
  <c r="CD744" i="1"/>
  <c r="CD739" i="1"/>
  <c r="CD728" i="1"/>
  <c r="CD723" i="1"/>
  <c r="CD712" i="1"/>
  <c r="CD707" i="1"/>
  <c r="CD696" i="1"/>
  <c r="CD691" i="1"/>
  <c r="CD680" i="1"/>
  <c r="CD675" i="1"/>
  <c r="CD664" i="1"/>
  <c r="CD659" i="1"/>
  <c r="CD648" i="1"/>
  <c r="CD643" i="1"/>
  <c r="CD632" i="1"/>
  <c r="CD627" i="1"/>
  <c r="CD616" i="1"/>
  <c r="CD611" i="1"/>
  <c r="CD535" i="1"/>
  <c r="CD488" i="1"/>
  <c r="CD431" i="1"/>
  <c r="CD338" i="1"/>
  <c r="CD832" i="1"/>
  <c r="CD828" i="1"/>
  <c r="CD824" i="1"/>
  <c r="CD820" i="1"/>
  <c r="CD816" i="1"/>
  <c r="CD812" i="1"/>
  <c r="CD808" i="1"/>
  <c r="CD804" i="1"/>
  <c r="CD800" i="1"/>
  <c r="CD796" i="1"/>
  <c r="CD786" i="1"/>
  <c r="CD781" i="1"/>
  <c r="CD770" i="1"/>
  <c r="CD765" i="1"/>
  <c r="CD754" i="1"/>
  <c r="CD749" i="1"/>
  <c r="CD738" i="1"/>
  <c r="CD733" i="1"/>
  <c r="CD722" i="1"/>
  <c r="CD717" i="1"/>
  <c r="CD706" i="1"/>
  <c r="CD701" i="1"/>
  <c r="CD690" i="1"/>
  <c r="CD685" i="1"/>
  <c r="CD674" i="1"/>
  <c r="CD669" i="1"/>
  <c r="CD658" i="1"/>
  <c r="CD653" i="1"/>
  <c r="CD642" i="1"/>
  <c r="CD637" i="1"/>
  <c r="CD626" i="1"/>
  <c r="CD621" i="1"/>
  <c r="CD610" i="1"/>
  <c r="CD604" i="1"/>
  <c r="CD423" i="1"/>
  <c r="CD287" i="1"/>
  <c r="CD791" i="1"/>
  <c r="CD780" i="1"/>
  <c r="CD775" i="1"/>
  <c r="CD764" i="1"/>
  <c r="CD759" i="1"/>
  <c r="CD748" i="1"/>
  <c r="CD743" i="1"/>
  <c r="CD732" i="1"/>
  <c r="CD727" i="1"/>
  <c r="CD716" i="1"/>
  <c r="CD711" i="1"/>
  <c r="CD700" i="1"/>
  <c r="CD695" i="1"/>
  <c r="CD684" i="1"/>
  <c r="CD679" i="1"/>
  <c r="CD668" i="1"/>
  <c r="CD663" i="1"/>
  <c r="CD652" i="1"/>
  <c r="CD647" i="1"/>
  <c r="CD636" i="1"/>
  <c r="CD631" i="1"/>
  <c r="CD620" i="1"/>
  <c r="CD615" i="1"/>
  <c r="CD524" i="1"/>
  <c r="CD475" i="1"/>
  <c r="CD415" i="1"/>
  <c r="CD236" i="1"/>
  <c r="CD815" i="1"/>
  <c r="CD811" i="1"/>
  <c r="CD807" i="1"/>
  <c r="CD803" i="1"/>
  <c r="CD799" i="1"/>
  <c r="CD795" i="1"/>
  <c r="CD790" i="1"/>
  <c r="CD785" i="1"/>
  <c r="CD774" i="1"/>
  <c r="CD769" i="1"/>
  <c r="CD758" i="1"/>
  <c r="CD753" i="1"/>
  <c r="CD742" i="1"/>
  <c r="CD737" i="1"/>
  <c r="CD726" i="1"/>
  <c r="CD721" i="1"/>
  <c r="CD710" i="1"/>
  <c r="CD705" i="1"/>
  <c r="CD694" i="1"/>
  <c r="CD689" i="1"/>
  <c r="CD678" i="1"/>
  <c r="CD673" i="1"/>
  <c r="CD662" i="1"/>
  <c r="CD657" i="1"/>
  <c r="CD646" i="1"/>
  <c r="CD641" i="1"/>
  <c r="CD630" i="1"/>
  <c r="CD625" i="1"/>
  <c r="CD614" i="1"/>
  <c r="CD609" i="1"/>
  <c r="CD519" i="1"/>
  <c r="CD469" i="1"/>
  <c r="CD407" i="1"/>
  <c r="CD784" i="1"/>
  <c r="CD779" i="1"/>
  <c r="CD768" i="1"/>
  <c r="CD763" i="1"/>
  <c r="CD752" i="1"/>
  <c r="CD747" i="1"/>
  <c r="CD736" i="1"/>
  <c r="CD731" i="1"/>
  <c r="CD720" i="1"/>
  <c r="CD715" i="1"/>
  <c r="CD704" i="1"/>
  <c r="CD699" i="1"/>
  <c r="CD688" i="1"/>
  <c r="CD683" i="1"/>
  <c r="CD672" i="1"/>
  <c r="CD667" i="1"/>
  <c r="CD656" i="1"/>
  <c r="CD651" i="1"/>
  <c r="CD640" i="1"/>
  <c r="CD635" i="1"/>
  <c r="CD624" i="1"/>
  <c r="CD619" i="1"/>
  <c r="CD608" i="1"/>
  <c r="CD600" i="1"/>
  <c r="CD462" i="1"/>
  <c r="CD399" i="1"/>
  <c r="CD133" i="1"/>
  <c r="CD842" i="1"/>
  <c r="CD838" i="1"/>
  <c r="CD834" i="1"/>
  <c r="CD830" i="1"/>
  <c r="CD826" i="1"/>
  <c r="CD822" i="1"/>
  <c r="CD818" i="1"/>
  <c r="CD814" i="1"/>
  <c r="CD810" i="1"/>
  <c r="CD806" i="1"/>
  <c r="CD802" i="1"/>
  <c r="CD798" i="1"/>
  <c r="CD794" i="1"/>
  <c r="CD789" i="1"/>
  <c r="CD778" i="1"/>
  <c r="CD773" i="1"/>
  <c r="CD762" i="1"/>
  <c r="CD757" i="1"/>
  <c r="CD746" i="1"/>
  <c r="CD741" i="1"/>
  <c r="CD730" i="1"/>
  <c r="CD725" i="1"/>
  <c r="CD714" i="1"/>
  <c r="CD709" i="1"/>
  <c r="CD698" i="1"/>
  <c r="CD693" i="1"/>
  <c r="CD682" i="1"/>
  <c r="CD677" i="1"/>
  <c r="CD666" i="1"/>
  <c r="CD661" i="1"/>
  <c r="CD650" i="1"/>
  <c r="CD645" i="1"/>
  <c r="CD634" i="1"/>
  <c r="CD629" i="1"/>
  <c r="CD618" i="1"/>
  <c r="CD613" i="1"/>
  <c r="CD507" i="1"/>
  <c r="CD455" i="1"/>
  <c r="CD389" i="1"/>
  <c r="CD82" i="1"/>
  <c r="CD602" i="1"/>
  <c r="CD598" i="1"/>
  <c r="CD594" i="1"/>
  <c r="CD590" i="1"/>
  <c r="CD586" i="1"/>
  <c r="CD582" i="1"/>
  <c r="CD578" i="1"/>
  <c r="CD574" i="1"/>
  <c r="CD570" i="1"/>
  <c r="CD566" i="1"/>
  <c r="CD562" i="1"/>
  <c r="CD558" i="1"/>
  <c r="CD554" i="1"/>
  <c r="CD550" i="1"/>
  <c r="CD546" i="1"/>
  <c r="CD541" i="1"/>
  <c r="CD530" i="1"/>
  <c r="CD525" i="1"/>
  <c r="CD514" i="1"/>
  <c r="CD508" i="1"/>
  <c r="CD495" i="1"/>
  <c r="CD489" i="1"/>
  <c r="CD482" i="1"/>
  <c r="CD476" i="1"/>
  <c r="CD463" i="1"/>
  <c r="CD456" i="1"/>
  <c r="CD448" i="1"/>
  <c r="CD440" i="1"/>
  <c r="CD432" i="1"/>
  <c r="CD424" i="1"/>
  <c r="CD416" i="1"/>
  <c r="CD408" i="1"/>
  <c r="CD400" i="1"/>
  <c r="CD390" i="1"/>
  <c r="CD379" i="1"/>
  <c r="CD367" i="1"/>
  <c r="CD343" i="1"/>
  <c r="CD293" i="1"/>
  <c r="CD242" i="1"/>
  <c r="CD191" i="1"/>
  <c r="CD140" i="1"/>
  <c r="CD605" i="1"/>
  <c r="CD601" i="1"/>
  <c r="CD597" i="1"/>
  <c r="CD593" i="1"/>
  <c r="CD589" i="1"/>
  <c r="CD585" i="1"/>
  <c r="CD581" i="1"/>
  <c r="CD577" i="1"/>
  <c r="CD573" i="1"/>
  <c r="CD569" i="1"/>
  <c r="CD565" i="1"/>
  <c r="CD561" i="1"/>
  <c r="CD557" i="1"/>
  <c r="CD553" i="1"/>
  <c r="CD549" i="1"/>
  <c r="CD545" i="1"/>
  <c r="CD534" i="1"/>
  <c r="CD529" i="1"/>
  <c r="CD518" i="1"/>
  <c r="CD513" i="1"/>
  <c r="CD506" i="1"/>
  <c r="CD500" i="1"/>
  <c r="CD487" i="1"/>
  <c r="CD481" i="1"/>
  <c r="CD474" i="1"/>
  <c r="CD468" i="1"/>
  <c r="CD454" i="1"/>
  <c r="CD446" i="1"/>
  <c r="CD438" i="1"/>
  <c r="CD430" i="1"/>
  <c r="CD422" i="1"/>
  <c r="CD414" i="1"/>
  <c r="CD406" i="1"/>
  <c r="CD398" i="1"/>
  <c r="CD387" i="1"/>
  <c r="CD377" i="1"/>
  <c r="CD363" i="1"/>
  <c r="CD332" i="1"/>
  <c r="CD229" i="1"/>
  <c r="CD178" i="1"/>
  <c r="CD127" i="1"/>
  <c r="CD76" i="1"/>
  <c r="CD544" i="1"/>
  <c r="CD539" i="1"/>
  <c r="CD528" i="1"/>
  <c r="CD523" i="1"/>
  <c r="CD512" i="1"/>
  <c r="CD499" i="1"/>
  <c r="CD493" i="1"/>
  <c r="CD486" i="1"/>
  <c r="CD480" i="1"/>
  <c r="CD467" i="1"/>
  <c r="CD461" i="1"/>
  <c r="CD453" i="1"/>
  <c r="CD445" i="1"/>
  <c r="CD437" i="1"/>
  <c r="CD429" i="1"/>
  <c r="CD421" i="1"/>
  <c r="CD413" i="1"/>
  <c r="CD405" i="1"/>
  <c r="CD397" i="1"/>
  <c r="CD386" i="1"/>
  <c r="CD375" i="1"/>
  <c r="CD361" i="1"/>
  <c r="CD325" i="1"/>
  <c r="CD274" i="1"/>
  <c r="CD223" i="1"/>
  <c r="CD172" i="1"/>
  <c r="CD69" i="1"/>
  <c r="CD592" i="1"/>
  <c r="CD588" i="1"/>
  <c r="CD584" i="1"/>
  <c r="CD580" i="1"/>
  <c r="CD576" i="1"/>
  <c r="CD572" i="1"/>
  <c r="CD568" i="1"/>
  <c r="CD564" i="1"/>
  <c r="CD560" i="1"/>
  <c r="CD556" i="1"/>
  <c r="CD552" i="1"/>
  <c r="CD548" i="1"/>
  <c r="CD538" i="1"/>
  <c r="CD533" i="1"/>
  <c r="CD522" i="1"/>
  <c r="CD517" i="1"/>
  <c r="CD511" i="1"/>
  <c r="CD505" i="1"/>
  <c r="CD498" i="1"/>
  <c r="CD492" i="1"/>
  <c r="CD479" i="1"/>
  <c r="CD473" i="1"/>
  <c r="CD466" i="1"/>
  <c r="CD460" i="1"/>
  <c r="CD452" i="1"/>
  <c r="CD444" i="1"/>
  <c r="CD436" i="1"/>
  <c r="CD428" i="1"/>
  <c r="CD420" i="1"/>
  <c r="CD412" i="1"/>
  <c r="CD404" i="1"/>
  <c r="CD395" i="1"/>
  <c r="CD385" i="1"/>
  <c r="CD374" i="1"/>
  <c r="CD359" i="1"/>
  <c r="CD319" i="1"/>
  <c r="CD268" i="1"/>
  <c r="CD165" i="1"/>
  <c r="CD114" i="1"/>
  <c r="CD63" i="1"/>
  <c r="CD543" i="1"/>
  <c r="CD532" i="1"/>
  <c r="CD527" i="1"/>
  <c r="CD516" i="1"/>
  <c r="CD510" i="1"/>
  <c r="CD504" i="1"/>
  <c r="CD491" i="1"/>
  <c r="CD485" i="1"/>
  <c r="CD478" i="1"/>
  <c r="CD472" i="1"/>
  <c r="CD459" i="1"/>
  <c r="CD451" i="1"/>
  <c r="CD443" i="1"/>
  <c r="CD435" i="1"/>
  <c r="CD427" i="1"/>
  <c r="CD419" i="1"/>
  <c r="CD411" i="1"/>
  <c r="CD403" i="1"/>
  <c r="CD394" i="1"/>
  <c r="CD383" i="1"/>
  <c r="CD373" i="1"/>
  <c r="CD355" i="1"/>
  <c r="CD261" i="1"/>
  <c r="CD210" i="1"/>
  <c r="CD159" i="1"/>
  <c r="CD108" i="1"/>
  <c r="CD603" i="1"/>
  <c r="CD599" i="1"/>
  <c r="CD595" i="1"/>
  <c r="CD591" i="1"/>
  <c r="CD587" i="1"/>
  <c r="CD583" i="1"/>
  <c r="CD579" i="1"/>
  <c r="CD575" i="1"/>
  <c r="CD571" i="1"/>
  <c r="CD567" i="1"/>
  <c r="CD563" i="1"/>
  <c r="CD559" i="1"/>
  <c r="CD555" i="1"/>
  <c r="CD551" i="1"/>
  <c r="CD547" i="1"/>
  <c r="CD542" i="1"/>
  <c r="CD537" i="1"/>
  <c r="CD526" i="1"/>
  <c r="CD521" i="1"/>
  <c r="CD503" i="1"/>
  <c r="CD497" i="1"/>
  <c r="CD490" i="1"/>
  <c r="CD484" i="1"/>
  <c r="CD471" i="1"/>
  <c r="CD465" i="1"/>
  <c r="CD458" i="1"/>
  <c r="CD450" i="1"/>
  <c r="CD442" i="1"/>
  <c r="CD434" i="1"/>
  <c r="CD426" i="1"/>
  <c r="CD418" i="1"/>
  <c r="CD410" i="1"/>
  <c r="CD402" i="1"/>
  <c r="CD393" i="1"/>
  <c r="CD382" i="1"/>
  <c r="CD371" i="1"/>
  <c r="CD351" i="1"/>
  <c r="CD306" i="1"/>
  <c r="CD255" i="1"/>
  <c r="CD204" i="1"/>
  <c r="CD101" i="1"/>
  <c r="CD536" i="1"/>
  <c r="CD531" i="1"/>
  <c r="CD520" i="1"/>
  <c r="CD515" i="1"/>
  <c r="CD509" i="1"/>
  <c r="CD502" i="1"/>
  <c r="CD496" i="1"/>
  <c r="CD483" i="1"/>
  <c r="CD477" i="1"/>
  <c r="CD470" i="1"/>
  <c r="CD464" i="1"/>
  <c r="CD457" i="1"/>
  <c r="CD449" i="1"/>
  <c r="CD441" i="1"/>
  <c r="CD433" i="1"/>
  <c r="CD425" i="1"/>
  <c r="CD417" i="1"/>
  <c r="CD409" i="1"/>
  <c r="CD401" i="1"/>
  <c r="CD391" i="1"/>
  <c r="CD381" i="1"/>
  <c r="CD369" i="1"/>
  <c r="CD347" i="1"/>
  <c r="CD300" i="1"/>
  <c r="CD197" i="1"/>
  <c r="CD146" i="1"/>
  <c r="CD95" i="1"/>
  <c r="CD339" i="1"/>
  <c r="CD326" i="1"/>
  <c r="CD320" i="1"/>
  <c r="CD313" i="1"/>
  <c r="CD307" i="1"/>
  <c r="CD294" i="1"/>
  <c r="CD288" i="1"/>
  <c r="CD281" i="1"/>
  <c r="CD275" i="1"/>
  <c r="CD262" i="1"/>
  <c r="CD256" i="1"/>
  <c r="CD249" i="1"/>
  <c r="CD243" i="1"/>
  <c r="CD230" i="1"/>
  <c r="CD224" i="1"/>
  <c r="CD217" i="1"/>
  <c r="CD211" i="1"/>
  <c r="CD198" i="1"/>
  <c r="CD192" i="1"/>
  <c r="CD185" i="1"/>
  <c r="CD179" i="1"/>
  <c r="CD166" i="1"/>
  <c r="CD160" i="1"/>
  <c r="CD153" i="1"/>
  <c r="CD147" i="1"/>
  <c r="CD134" i="1"/>
  <c r="CD128" i="1"/>
  <c r="CD121" i="1"/>
  <c r="CD115" i="1"/>
  <c r="CD102" i="1"/>
  <c r="CD96" i="1"/>
  <c r="CD89" i="1"/>
  <c r="CD83" i="1"/>
  <c r="CD70" i="1"/>
  <c r="CD64" i="1"/>
  <c r="CD52" i="1"/>
  <c r="CD36" i="1"/>
  <c r="CD20" i="1"/>
  <c r="CD337" i="1"/>
  <c r="CD331" i="1"/>
  <c r="CD318" i="1"/>
  <c r="CD312" i="1"/>
  <c r="CD305" i="1"/>
  <c r="CD299" i="1"/>
  <c r="CD286" i="1"/>
  <c r="CD280" i="1"/>
  <c r="CD273" i="1"/>
  <c r="CD267" i="1"/>
  <c r="CD254" i="1"/>
  <c r="CD248" i="1"/>
  <c r="CD241" i="1"/>
  <c r="CD235" i="1"/>
  <c r="CD222" i="1"/>
  <c r="CD216" i="1"/>
  <c r="CD209" i="1"/>
  <c r="CD203" i="1"/>
  <c r="CD190" i="1"/>
  <c r="CD184" i="1"/>
  <c r="CD177" i="1"/>
  <c r="CD171" i="1"/>
  <c r="CD158" i="1"/>
  <c r="CD152" i="1"/>
  <c r="CD145" i="1"/>
  <c r="CD139" i="1"/>
  <c r="CD126" i="1"/>
  <c r="CD120" i="1"/>
  <c r="CD113" i="1"/>
  <c r="CD107" i="1"/>
  <c r="CD94" i="1"/>
  <c r="CD88" i="1"/>
  <c r="CD81" i="1"/>
  <c r="CD75" i="1"/>
  <c r="CD61" i="1"/>
  <c r="CD48" i="1"/>
  <c r="CD32" i="1"/>
  <c r="CD16" i="1"/>
  <c r="CD370" i="1"/>
  <c r="CD366" i="1"/>
  <c r="CD362" i="1"/>
  <c r="CD358" i="1"/>
  <c r="CD354" i="1"/>
  <c r="CD350" i="1"/>
  <c r="CD346" i="1"/>
  <c r="CD342" i="1"/>
  <c r="CD330" i="1"/>
  <c r="CD324" i="1"/>
  <c r="CD317" i="1"/>
  <c r="CD311" i="1"/>
  <c r="CD298" i="1"/>
  <c r="CD292" i="1"/>
  <c r="CD285" i="1"/>
  <c r="CD279" i="1"/>
  <c r="CD266" i="1"/>
  <c r="CD260" i="1"/>
  <c r="CD253" i="1"/>
  <c r="CD247" i="1"/>
  <c r="CD234" i="1"/>
  <c r="CD228" i="1"/>
  <c r="CD221" i="1"/>
  <c r="CD215" i="1"/>
  <c r="CD202" i="1"/>
  <c r="CD196" i="1"/>
  <c r="CD189" i="1"/>
  <c r="CD183" i="1"/>
  <c r="CD170" i="1"/>
  <c r="CD164" i="1"/>
  <c r="CD157" i="1"/>
  <c r="CD151" i="1"/>
  <c r="CD138" i="1"/>
  <c r="CD132" i="1"/>
  <c r="CD125" i="1"/>
  <c r="CD119" i="1"/>
  <c r="CD106" i="1"/>
  <c r="CD100" i="1"/>
  <c r="CD93" i="1"/>
  <c r="CD87" i="1"/>
  <c r="CD74" i="1"/>
  <c r="CD68" i="1"/>
  <c r="CD336" i="1"/>
  <c r="CD329" i="1"/>
  <c r="CD323" i="1"/>
  <c r="CD310" i="1"/>
  <c r="CD304" i="1"/>
  <c r="CD297" i="1"/>
  <c r="CD291" i="1"/>
  <c r="CD278" i="1"/>
  <c r="CD272" i="1"/>
  <c r="CD265" i="1"/>
  <c r="CD259" i="1"/>
  <c r="CD246" i="1"/>
  <c r="CD240" i="1"/>
  <c r="CD233" i="1"/>
  <c r="CD227" i="1"/>
  <c r="CD214" i="1"/>
  <c r="CD208" i="1"/>
  <c r="CD201" i="1"/>
  <c r="CD195" i="1"/>
  <c r="CD182" i="1"/>
  <c r="CD176" i="1"/>
  <c r="CD169" i="1"/>
  <c r="CD163" i="1"/>
  <c r="CD150" i="1"/>
  <c r="CD144" i="1"/>
  <c r="CD137" i="1"/>
  <c r="CD131" i="1"/>
  <c r="CD118" i="1"/>
  <c r="CD112" i="1"/>
  <c r="CD105" i="1"/>
  <c r="CD99" i="1"/>
  <c r="CD86" i="1"/>
  <c r="CD80" i="1"/>
  <c r="CD73" i="1"/>
  <c r="CD67" i="1"/>
  <c r="CD60" i="1"/>
  <c r="CD44" i="1"/>
  <c r="CD28" i="1"/>
  <c r="CD12" i="1"/>
  <c r="CD357" i="1"/>
  <c r="CD353" i="1"/>
  <c r="CD349" i="1"/>
  <c r="CD345" i="1"/>
  <c r="CD341" i="1"/>
  <c r="CD335" i="1"/>
  <c r="CD322" i="1"/>
  <c r="CD316" i="1"/>
  <c r="CD309" i="1"/>
  <c r="CD303" i="1"/>
  <c r="CD290" i="1"/>
  <c r="CD284" i="1"/>
  <c r="CD277" i="1"/>
  <c r="CD271" i="1"/>
  <c r="CD258" i="1"/>
  <c r="CD252" i="1"/>
  <c r="CD245" i="1"/>
  <c r="CD239" i="1"/>
  <c r="CD226" i="1"/>
  <c r="CD220" i="1"/>
  <c r="CD213" i="1"/>
  <c r="CD207" i="1"/>
  <c r="CD194" i="1"/>
  <c r="CD188" i="1"/>
  <c r="CD181" i="1"/>
  <c r="CD175" i="1"/>
  <c r="CD162" i="1"/>
  <c r="CD156" i="1"/>
  <c r="CD149" i="1"/>
  <c r="CD143" i="1"/>
  <c r="CD130" i="1"/>
  <c r="CD124" i="1"/>
  <c r="CD117" i="1"/>
  <c r="CD111" i="1"/>
  <c r="CD98" i="1"/>
  <c r="CD92" i="1"/>
  <c r="CD85" i="1"/>
  <c r="CD79" i="1"/>
  <c r="CD66" i="1"/>
  <c r="CD334" i="1"/>
  <c r="CD328" i="1"/>
  <c r="CD321" i="1"/>
  <c r="CD315" i="1"/>
  <c r="CD302" i="1"/>
  <c r="CD296" i="1"/>
  <c r="CD289" i="1"/>
  <c r="CD283" i="1"/>
  <c r="CD270" i="1"/>
  <c r="CD264" i="1"/>
  <c r="CD257" i="1"/>
  <c r="CD251" i="1"/>
  <c r="CD238" i="1"/>
  <c r="CD232" i="1"/>
  <c r="CD225" i="1"/>
  <c r="CD219" i="1"/>
  <c r="CD206" i="1"/>
  <c r="CD200" i="1"/>
  <c r="CD193" i="1"/>
  <c r="CD187" i="1"/>
  <c r="CD174" i="1"/>
  <c r="CD168" i="1"/>
  <c r="CD161" i="1"/>
  <c r="CD155" i="1"/>
  <c r="CD142" i="1"/>
  <c r="CD136" i="1"/>
  <c r="CD129" i="1"/>
  <c r="CD123" i="1"/>
  <c r="CD110" i="1"/>
  <c r="CD104" i="1"/>
  <c r="CD97" i="1"/>
  <c r="CD91" i="1"/>
  <c r="CD78" i="1"/>
  <c r="CD72" i="1"/>
  <c r="CD65" i="1"/>
  <c r="CD56" i="1"/>
  <c r="CD40" i="1"/>
  <c r="CD24" i="1"/>
  <c r="CD8" i="1"/>
  <c r="CD396" i="1"/>
  <c r="CD392" i="1"/>
  <c r="CD388" i="1"/>
  <c r="CD384" i="1"/>
  <c r="CD380" i="1"/>
  <c r="CD376" i="1"/>
  <c r="CD372" i="1"/>
  <c r="CD368" i="1"/>
  <c r="CD364" i="1"/>
  <c r="CD360" i="1"/>
  <c r="CD356" i="1"/>
  <c r="CD352" i="1"/>
  <c r="CD348" i="1"/>
  <c r="CD344" i="1"/>
  <c r="CD340" i="1"/>
  <c r="CD333" i="1"/>
  <c r="CD327" i="1"/>
  <c r="CD314" i="1"/>
  <c r="CD308" i="1"/>
  <c r="CD301" i="1"/>
  <c r="CD295" i="1"/>
  <c r="CD282" i="1"/>
  <c r="CD276" i="1"/>
  <c r="CD269" i="1"/>
  <c r="CD263" i="1"/>
  <c r="CD250" i="1"/>
  <c r="CD244" i="1"/>
  <c r="CD237" i="1"/>
  <c r="CD231" i="1"/>
  <c r="CD218" i="1"/>
  <c r="CD212" i="1"/>
  <c r="CD205" i="1"/>
  <c r="CD199" i="1"/>
  <c r="CD186" i="1"/>
  <c r="CD180" i="1"/>
  <c r="CD173" i="1"/>
  <c r="CD167" i="1"/>
  <c r="CD154" i="1"/>
  <c r="CD148" i="1"/>
  <c r="CD141" i="1"/>
  <c r="CD135" i="1"/>
  <c r="CD122" i="1"/>
  <c r="CD116" i="1"/>
  <c r="CD109" i="1"/>
  <c r="CD103" i="1"/>
  <c r="CD90" i="1"/>
  <c r="CD84" i="1"/>
  <c r="CD77" i="1"/>
  <c r="CD71" i="1"/>
  <c r="CD4" i="1"/>
  <c r="CD59" i="1"/>
  <c r="CD55" i="1"/>
  <c r="CD51" i="1"/>
  <c r="CD47" i="1"/>
  <c r="CD43" i="1"/>
  <c r="CD39" i="1"/>
  <c r="CD35" i="1"/>
  <c r="CD31" i="1"/>
  <c r="CD27" i="1"/>
  <c r="CD23" i="1"/>
  <c r="CD19" i="1"/>
  <c r="CD15" i="1"/>
  <c r="CD11" i="1"/>
  <c r="CD7" i="1"/>
  <c r="CD3" i="1"/>
  <c r="CD62" i="1"/>
  <c r="CD58" i="1"/>
  <c r="CD54" i="1"/>
  <c r="CD50" i="1"/>
  <c r="CD46" i="1"/>
  <c r="CD42" i="1"/>
  <c r="CD38" i="1"/>
  <c r="CD34" i="1"/>
  <c r="CD30" i="1"/>
  <c r="CD26" i="1"/>
  <c r="CD22" i="1"/>
  <c r="CD18" i="1"/>
  <c r="CD14" i="1"/>
  <c r="CD10" i="1"/>
  <c r="CD6" i="1"/>
  <c r="CD57" i="1"/>
  <c r="CD53" i="1"/>
  <c r="CD49" i="1"/>
  <c r="CD45" i="1"/>
  <c r="CD41" i="1"/>
  <c r="CD37" i="1"/>
  <c r="CD33" i="1"/>
  <c r="CD29" i="1"/>
  <c r="CD25" i="1"/>
  <c r="CD21" i="1"/>
  <c r="CD17" i="1"/>
  <c r="CD13" i="1"/>
  <c r="CD9" i="1"/>
  <c r="CD5" i="1"/>
  <c r="CD1" i="1"/>
  <c r="CD1062" i="1"/>
  <c r="CD1066" i="1"/>
  <c r="CD1061" i="1"/>
  <c r="CD1067" i="1"/>
  <c r="CD1065" i="1"/>
  <c r="CD1064" i="1"/>
  <c r="CD1063" i="1"/>
  <c r="CD1060" i="1"/>
  <c r="CD1055" i="1"/>
  <c r="CD1058" i="1"/>
  <c r="CD1057" i="1"/>
  <c r="CD1059" i="1"/>
  <c r="CD1056" i="1"/>
  <c r="C2" i="1"/>
  <c r="D2" i="1" l="1"/>
  <c r="E2" i="1" s="1"/>
  <c r="F2" i="1" s="1"/>
  <c r="G2" i="1" s="1"/>
  <c r="H2" i="1" s="1"/>
  <c r="I2" i="1" s="1"/>
  <c r="J2" i="1" l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D2" i="1" a="1"/>
  <c r="CD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<sst xmlns="http://schemas.openxmlformats.org/spreadsheetml/2006/main" count="54612" uniqueCount="5017">
  <si>
    <t>CARDENAS</t>
  </si>
  <si>
    <t>X</t>
  </si>
  <si>
    <t>LUNES</t>
  </si>
  <si>
    <t>x</t>
  </si>
  <si>
    <t>SOLTERO</t>
  </si>
  <si>
    <t>LOPEZ</t>
  </si>
  <si>
    <t>GOMEZ</t>
  </si>
  <si>
    <t>ROBERTO</t>
  </si>
  <si>
    <t xml:space="preserve">CARDENAS </t>
  </si>
  <si>
    <t xml:space="preserve">DOMICILIO </t>
  </si>
  <si>
    <t xml:space="preserve">TABASCO </t>
  </si>
  <si>
    <t>GUTIERREZ</t>
  </si>
  <si>
    <t xml:space="preserve">ECONOLINE </t>
  </si>
  <si>
    <t>cadenaEs[ecial</t>
  </si>
  <si>
    <t>Folio del contrato</t>
  </si>
  <si>
    <t>Estatus</t>
  </si>
  <si>
    <t>Paquete</t>
  </si>
  <si>
    <t>Estado</t>
  </si>
  <si>
    <t>Municipio</t>
  </si>
  <si>
    <t>Localidad</t>
  </si>
  <si>
    <t>Fecha de inscripcion</t>
  </si>
  <si>
    <t>precio del paquete</t>
  </si>
  <si>
    <t>promocion</t>
  </si>
  <si>
    <t>pago_inicial</t>
  </si>
  <si>
    <t>Abonos_de</t>
  </si>
  <si>
    <t>Plan_de_Pago</t>
  </si>
  <si>
    <t>limite_asignado</t>
  </si>
  <si>
    <t>Funeraria_Procedencia</t>
  </si>
  <si>
    <t>archivo_adjunto</t>
  </si>
  <si>
    <t>Nombre del Vendedor</t>
  </si>
  <si>
    <t>Comision_Vendedor</t>
  </si>
  <si>
    <t>comision de vendedor pagada</t>
  </si>
  <si>
    <t>Comision_Lider</t>
  </si>
  <si>
    <t>comision de lider  pagada</t>
  </si>
  <si>
    <t>Comision_Gerente</t>
  </si>
  <si>
    <t>comision de gerente pagada</t>
  </si>
  <si>
    <t>Bono</t>
  </si>
  <si>
    <t>Bono_Asignado</t>
  </si>
  <si>
    <t>Inscripcion</t>
  </si>
  <si>
    <t>Inscripcion_Asignado</t>
  </si>
  <si>
    <t>Apellido_Paterno</t>
  </si>
  <si>
    <t>Apellido_Materno</t>
  </si>
  <si>
    <t>Nombre</t>
  </si>
  <si>
    <t>Estado_Civil</t>
  </si>
  <si>
    <t>Nacimiento del cliente</t>
  </si>
  <si>
    <t>IFE</t>
  </si>
  <si>
    <t>Domicilio</t>
  </si>
  <si>
    <t>Colonia</t>
  </si>
  <si>
    <t>Entre_Calles</t>
  </si>
  <si>
    <t>Telefono</t>
  </si>
  <si>
    <t>Beneficiario</t>
  </si>
  <si>
    <t>Observaciones</t>
  </si>
  <si>
    <t>archivo_contrato</t>
  </si>
  <si>
    <t>Domicilio2</t>
  </si>
  <si>
    <t>Correo</t>
  </si>
  <si>
    <t>dia_cobro</t>
  </si>
  <si>
    <t>firma1</t>
  </si>
  <si>
    <t>firma2</t>
  </si>
  <si>
    <t>plazo_entrega</t>
  </si>
  <si>
    <t>latitud</t>
  </si>
  <si>
    <t>longitud</t>
  </si>
  <si>
    <t>Tipo_Cobranza</t>
  </si>
  <si>
    <t>Monto_Liquidado a la fecha</t>
  </si>
  <si>
    <t>Saldo_Deudor</t>
  </si>
  <si>
    <t>horario_cobro</t>
  </si>
  <si>
    <t>Estado_Cobro</t>
  </si>
  <si>
    <t>Retrasos dias retrasados</t>
  </si>
  <si>
    <t>ultimo_pago</t>
  </si>
  <si>
    <t>pago_programado</t>
  </si>
  <si>
    <t>fecha_entrega</t>
  </si>
  <si>
    <t>idgrupo</t>
  </si>
  <si>
    <t>idvendedor</t>
  </si>
  <si>
    <t>idlider</t>
  </si>
  <si>
    <t>idgerente</t>
  </si>
  <si>
    <t>Colonia de cobranza</t>
  </si>
  <si>
    <t>edad</t>
  </si>
  <si>
    <t>genero</t>
  </si>
  <si>
    <t>hora_calle</t>
  </si>
  <si>
    <t>precio_paquete</t>
  </si>
  <si>
    <t>NumeroServicio</t>
  </si>
  <si>
    <t>NumeroFactura</t>
  </si>
  <si>
    <t>NumeroTitulo</t>
  </si>
  <si>
    <t>Fecha_Cancelacion</t>
  </si>
  <si>
    <t>Fecha_Pagado</t>
  </si>
  <si>
    <t>Fecha_Utilizado</t>
  </si>
  <si>
    <t>idpaquete_kit</t>
  </si>
  <si>
    <t>deleted</t>
  </si>
  <si>
    <t>idsucursal</t>
  </si>
  <si>
    <t>pagos</t>
  </si>
  <si>
    <t>tipo_comision_vendedor</t>
  </si>
  <si>
    <t>tipo_comision_lider</t>
  </si>
  <si>
    <t>tipo_comision_gerente</t>
  </si>
  <si>
    <t>final</t>
  </si>
  <si>
    <t xml:space="preserve">ORIENTE PRIMERA SECCION </t>
  </si>
  <si>
    <t xml:space="preserve">COMALCALCO </t>
  </si>
  <si>
    <t xml:space="preserve">CUNDUACAN </t>
  </si>
  <si>
    <t>HOMBRE</t>
  </si>
  <si>
    <t>NL2E7OEHPWYUH7Y</t>
  </si>
  <si>
    <t>tixyISJIIfizBhiO</t>
  </si>
  <si>
    <t>NKgeYNpy3ATojSso</t>
  </si>
  <si>
    <t>5NuKHP3wOlJtM3tR</t>
  </si>
  <si>
    <t>yMtJAOIEz1m2LYhP</t>
  </si>
  <si>
    <t>zchpMdMdj92lOkGc</t>
  </si>
  <si>
    <t>hpzJRcroWgQlSDYV</t>
  </si>
  <si>
    <t>A9vOTaSoazoF9FbQ</t>
  </si>
  <si>
    <t>WxMe9YJYZpwqyO4o</t>
  </si>
  <si>
    <t>xsoSt1bnCvnS8rPs</t>
  </si>
  <si>
    <t>WMF6Yentvck1dv6s</t>
  </si>
  <si>
    <t>vGTtHLpGeWYj1wri</t>
  </si>
  <si>
    <t>PEuIhyKud8hqRpbJ</t>
  </si>
  <si>
    <t>QtN5vSZypt1lGihd</t>
  </si>
  <si>
    <t>mvf5EO9hk41TAmnd</t>
  </si>
  <si>
    <t>bG44AiX1Yu8XtUQU</t>
  </si>
  <si>
    <t>0CmZNWV885Tsa0g0</t>
  </si>
  <si>
    <t>zEcdNJe4bOEXgUyy</t>
  </si>
  <si>
    <t>pD2E0cBxgCExHvG1</t>
  </si>
  <si>
    <t>dS4wk9pzvq37hRhp</t>
  </si>
  <si>
    <t>ulbOAyidlL6fJEej</t>
  </si>
  <si>
    <t>hUN46n6E1yT74AAY</t>
  </si>
  <si>
    <t>x3judfOmhBXM0m24</t>
  </si>
  <si>
    <t>w1RoRrWFTXuEfJYg</t>
  </si>
  <si>
    <t>OcdwKjG0OYZc9KOr</t>
  </si>
  <si>
    <t>rH4VhS0rKdyJmcAn</t>
  </si>
  <si>
    <t>W6t6dxvi9AV3f2AN</t>
  </si>
  <si>
    <t>fA8cuRorQvyLq0Hl</t>
  </si>
  <si>
    <t>j9JQiPKF1B7DVAkP</t>
  </si>
  <si>
    <t>UAfsVwXc4v6qelAY</t>
  </si>
  <si>
    <t>t1j0j2nZWIDgNECs</t>
  </si>
  <si>
    <t>xrwwEeeuyuAXDrwG</t>
  </si>
  <si>
    <t>Icm1ifcwHj2xiTSd</t>
  </si>
  <si>
    <t>GhjKZangfBSiDAQ6</t>
  </si>
  <si>
    <t>zFrr4GSFdOPkX3ni</t>
  </si>
  <si>
    <t>LkZDHPtVWtOUFIqZ</t>
  </si>
  <si>
    <t>knO95rUgC8YYCb4W</t>
  </si>
  <si>
    <t>pGOEbXVPlKY6tZFe</t>
  </si>
  <si>
    <t>YyZ8TRJvOnWIP81F</t>
  </si>
  <si>
    <t>yTBy6FEurUFx4btM</t>
  </si>
  <si>
    <t>v47RxhX0xgaPcPbd</t>
  </si>
  <si>
    <t>dFnTarfxr9RBix8q</t>
  </si>
  <si>
    <t>aoa1FCKwX90bMi1U</t>
  </si>
  <si>
    <t>if0QFLorfTYWOiqn</t>
  </si>
  <si>
    <t>X37VaKNB2GqJoXeS</t>
  </si>
  <si>
    <t>RFlvMZaVUfh7PXVw</t>
  </si>
  <si>
    <t>LIGqkQd20QKMGlck</t>
  </si>
  <si>
    <t>HRguNZiV89ICyw5w</t>
  </si>
  <si>
    <t>RwPII3XjA7WyHf2W</t>
  </si>
  <si>
    <t>5cjHfavZy8TnVgXN</t>
  </si>
  <si>
    <t>dNYQTigir6HcM0pu</t>
  </si>
  <si>
    <t>HwXtUrwQVHv4baqo</t>
  </si>
  <si>
    <t>YG1xz7EgYH1v2J9W</t>
  </si>
  <si>
    <t>Xgvuu3zLd7sW2yFI</t>
  </si>
  <si>
    <t>fmzKMqbQZPihA1Qt</t>
  </si>
  <si>
    <t>JBNmwdm762cmuF7p</t>
  </si>
  <si>
    <t>h1jmzK6fRe30GzG8</t>
  </si>
  <si>
    <t>TKNVRqNN8SHgYNsg</t>
  </si>
  <si>
    <t>qk72UR3HFuuZ2aHS</t>
  </si>
  <si>
    <t>9GRC4Lz76uLaBWPT</t>
  </si>
  <si>
    <t>sOAp2Ak00FjI6QEX</t>
  </si>
  <si>
    <t>b1HZWB71chgo5tHJ</t>
  </si>
  <si>
    <t>al7bwK5QdTZeqt9P</t>
  </si>
  <si>
    <t>CA2vM6lEGmo566oO</t>
  </si>
  <si>
    <t>vgFUolc92cexmthr</t>
  </si>
  <si>
    <t>1JcLF6sFDtQFKoxO</t>
  </si>
  <si>
    <t>6Jdu7QS4ueNWVqzu</t>
  </si>
  <si>
    <t>ri94aHPmEkfMFxCm</t>
  </si>
  <si>
    <t>VRdzDwwN4ZrFTohD</t>
  </si>
  <si>
    <t>9u9ijktCNKpRrvYV</t>
  </si>
  <si>
    <t>TcF2DUx9CAsKzhhM</t>
  </si>
  <si>
    <t>8X7xqdMlhHpyUhMO</t>
  </si>
  <si>
    <t>Aceng3xFqQXD8MhL</t>
  </si>
  <si>
    <t>ILjI04pBGUBVo7HA</t>
  </si>
  <si>
    <t>y7EtKrpZsUqhGvTl</t>
  </si>
  <si>
    <t>41yetwhfc6IQejU4</t>
  </si>
  <si>
    <t>EI7xMp89CKMbbtdq</t>
  </si>
  <si>
    <t>5itbDmQ1zudZFs9l</t>
  </si>
  <si>
    <t>ekQOHLfgGioxIEnT</t>
  </si>
  <si>
    <t>IyhgqlSV0AtpnjOE</t>
  </si>
  <si>
    <t>qj2eFVmxsBo6vYFx</t>
  </si>
  <si>
    <t>aTzaaKRThqBLOqVT</t>
  </si>
  <si>
    <t>FysPDJ5KJyLAEt6d</t>
  </si>
  <si>
    <t>jwcIx3lb6C344egx</t>
  </si>
  <si>
    <t>g4OhAGTAHcRfIRC4</t>
  </si>
  <si>
    <t>lVI2WddsW8eA9B5Y</t>
  </si>
  <si>
    <t>Qgm6MLGPY3stt1VB</t>
  </si>
  <si>
    <t>xmZtQpZJHmNTULoj</t>
  </si>
  <si>
    <t>q80gJubIdZNV0231</t>
  </si>
  <si>
    <t>V06lX9HGfDPUBtDh</t>
  </si>
  <si>
    <t>eDHHxAyJnVLb1m4F</t>
  </si>
  <si>
    <t>fyEX6eI5eLyBvBJl</t>
  </si>
  <si>
    <t>QluoZpiSZddw3ymN</t>
  </si>
  <si>
    <t>QFdxmSxyxHUJ7mCn</t>
  </si>
  <si>
    <t>F39NB9hkFLIb3XNH</t>
  </si>
  <si>
    <t>6bIo3bxRQ5VKyMpU</t>
  </si>
  <si>
    <t>DGJIBr0qHN95KDkn</t>
  </si>
  <si>
    <t>qBvDgnXZmwje755d</t>
  </si>
  <si>
    <t>mZqXRvEa0vikqz8T</t>
  </si>
  <si>
    <t>UWsLNRfCHc0G2jqF</t>
  </si>
  <si>
    <t>ri1gwJUoOnmAtlXb</t>
  </si>
  <si>
    <t>Bb0Hv9wBqlcKyIX9</t>
  </si>
  <si>
    <t>YHS0On4Nii3VuqWx</t>
  </si>
  <si>
    <t>4UKxp4NzHE4FF94N</t>
  </si>
  <si>
    <t>iI7NvRl3IVokq1mw</t>
  </si>
  <si>
    <t>PnXgbArG1TrHhsR7</t>
  </si>
  <si>
    <t>0kLJbO0nRxjCCHDR</t>
  </si>
  <si>
    <t>IdYz9GQBhfW5AVSb</t>
  </si>
  <si>
    <t>GmLZqw5ebX95cEzR</t>
  </si>
  <si>
    <t>nsRoPGD6rlmADPB9</t>
  </si>
  <si>
    <t>KZdeWwcpm6CdRpUG</t>
  </si>
  <si>
    <t>kcpBbIzQ6V9AaTNs</t>
  </si>
  <si>
    <t>CvMFZSHkG6w060IA</t>
  </si>
  <si>
    <t>gJOgI4Sbdmk6cLMh</t>
  </si>
  <si>
    <t>m4aBDGrbzIUqzoaZ</t>
  </si>
  <si>
    <t>olhO67ykXEQWV3D4</t>
  </si>
  <si>
    <t>SsvmiCfdcJ4QyM8Z</t>
  </si>
  <si>
    <t>pe93gQbs8WZXGYQW</t>
  </si>
  <si>
    <t>FqSHamXmmSzTOkwO</t>
  </si>
  <si>
    <t>xjCtK5HYyIk6ZApN</t>
  </si>
  <si>
    <t>94lljNYCsBAtwtWj</t>
  </si>
  <si>
    <t>DF2gW1eV2nOve2Pq</t>
  </si>
  <si>
    <t>txyZqT2IrOoxxGi3</t>
  </si>
  <si>
    <t>bLFTiLbkUta6boAj</t>
  </si>
  <si>
    <t>rN6EXg6ZvVuMb4md</t>
  </si>
  <si>
    <t>5lgYVVAYMd2FQBwO</t>
  </si>
  <si>
    <t>etWoKKhnD7j8ge60</t>
  </si>
  <si>
    <t>TO6fsQf1ZFt5VKRH</t>
  </si>
  <si>
    <t>aCGXFyus8t5sac89</t>
  </si>
  <si>
    <t>tmmxXGvFrfhBiWie</t>
  </si>
  <si>
    <t>rzHIHmomgv80q50u</t>
  </si>
  <si>
    <t>rpQsCalsJEkU2OJu</t>
  </si>
  <si>
    <t>9m4n969gfSjU5fe6</t>
  </si>
  <si>
    <t>KEGmtUqUxCaN3iDk</t>
  </si>
  <si>
    <t>B07yXRkmWBUJqrIH</t>
  </si>
  <si>
    <t>U3ahWOfR805rmJOP</t>
  </si>
  <si>
    <t>3xNZRiCEmwOy0Nqv</t>
  </si>
  <si>
    <t>YhvCZSSZPxrFYXh9</t>
  </si>
  <si>
    <t>EjpjYhA7XcMUJBA5</t>
  </si>
  <si>
    <t>Ea01l5jVo4cubR7Z</t>
  </si>
  <si>
    <t>eNDl6PL21JGOl7Rs</t>
  </si>
  <si>
    <t>T3PBuDOXO1tWBBfa</t>
  </si>
  <si>
    <t>LzXbU25IYkgzqnex</t>
  </si>
  <si>
    <t>7vvOvczPav2cOLYs</t>
  </si>
  <si>
    <t>maTjxkWld3HK7XaC</t>
  </si>
  <si>
    <t>B9NIYVvdsHWB0XMA</t>
  </si>
  <si>
    <t>i3MRVwMVVgGAxuXa</t>
  </si>
  <si>
    <t>snio9D59l5A4gVOC</t>
  </si>
  <si>
    <t>njZCdLNFlJv3j0wU</t>
  </si>
  <si>
    <t>iQhFk0l6FZ5YGc1u</t>
  </si>
  <si>
    <t>9GORlvzIVp3VZyxM</t>
  </si>
  <si>
    <t>9UUGdd84vhVqXpcj</t>
  </si>
  <si>
    <t>LOijRnPGOjTaiH4p</t>
  </si>
  <si>
    <t>NT5KCs6GSm3IST4K</t>
  </si>
  <si>
    <t>KLXe42HO2oN9INO6</t>
  </si>
  <si>
    <t>ho16AJQUYxJcc3SG</t>
  </si>
  <si>
    <t>MLFfGHG3gYdOWkdB</t>
  </si>
  <si>
    <t>oMXvAXMPclaAoL8Q</t>
  </si>
  <si>
    <t>hblsLUwLTnrjPASh</t>
  </si>
  <si>
    <t>11WPL6VyWP5hybn9</t>
  </si>
  <si>
    <t>7ihX1B5DjRZWoVTc</t>
  </si>
  <si>
    <t>ierqLOt8CeTcN2ps</t>
  </si>
  <si>
    <t>mQ39Yf2xx0AOod3l</t>
  </si>
  <si>
    <t>yMQTXD5FfGMjant0</t>
  </si>
  <si>
    <t>9gyxyTU5GRalKdkO</t>
  </si>
  <si>
    <t>ORAP4umblb2m2Ew0</t>
  </si>
  <si>
    <t>EVFSRgHEeI3NvYQy</t>
  </si>
  <si>
    <t>1tCq9NZJlzJvHskm</t>
  </si>
  <si>
    <t>1ibynIEgkcyVO8c7</t>
  </si>
  <si>
    <t>4baDaYwB5qeKSWC4</t>
  </si>
  <si>
    <t>Oq24dUHzhSwJ9T4J</t>
  </si>
  <si>
    <t>K5F4WMmgAuZcvLkD</t>
  </si>
  <si>
    <t>EuOytiSlALr1aHoI</t>
  </si>
  <si>
    <t>lr0mqUZtYGPgivIP</t>
  </si>
  <si>
    <t>sKzx48MQyXvfNzGL</t>
  </si>
  <si>
    <t>Yq19yUDOeZFqDcHI</t>
  </si>
  <si>
    <t>r6kzpRz8HuHMmofo</t>
  </si>
  <si>
    <t>iNn87KphXIl7Jzt3</t>
  </si>
  <si>
    <t>dkMDkRMfwVpkVskN</t>
  </si>
  <si>
    <t>SJFgIa1LYpXpKw3o</t>
  </si>
  <si>
    <t>wW3wfQtd1WM6XkwK</t>
  </si>
  <si>
    <t>YiT4PFXxg0H0W9eS</t>
  </si>
  <si>
    <t>YLrvGCm6pEKGfjjR</t>
  </si>
  <si>
    <t>LST13YdOIeSSbO2z</t>
  </si>
  <si>
    <t>NRvcHKIA3vWUVDyT</t>
  </si>
  <si>
    <t>ByuuPDPF0cahCZca</t>
  </si>
  <si>
    <t>iDgAvKUvvww3Lqhj</t>
  </si>
  <si>
    <t>fIEgc0szs95vICFu</t>
  </si>
  <si>
    <t>oZbVW2OICGBhqssf</t>
  </si>
  <si>
    <t>I2GKrnGCM7MF7H7B</t>
  </si>
  <si>
    <t>xQYP1DIdzIgTd1fY</t>
  </si>
  <si>
    <t>IeXUPl847NSuS0hu</t>
  </si>
  <si>
    <t>l4vnpAjBP9kK05X7</t>
  </si>
  <si>
    <t>xdFzodbfw5VR93aB</t>
  </si>
  <si>
    <t>TCQJq8Hn5a7e9p34</t>
  </si>
  <si>
    <t>5DCVBmqFM0Qvn2s9</t>
  </si>
  <si>
    <t>mEapW7RmRkAtJYPx</t>
  </si>
  <si>
    <t>O2p4743BuO9JnZYs</t>
  </si>
  <si>
    <t>SHWNnZOgsfsUIYBF</t>
  </si>
  <si>
    <t>tFnbCDPpZaV1IUhY</t>
  </si>
  <si>
    <t>eBJLZ3UnoNPNhiS0</t>
  </si>
  <si>
    <t>87P73eYKt2497JoP</t>
  </si>
  <si>
    <t>ldelMRAYs89sGQ24</t>
  </si>
  <si>
    <t>CZFR1AqjD1wsKCKX</t>
  </si>
  <si>
    <t>TC1hcoa9MMW9gZvh</t>
  </si>
  <si>
    <t>eolaHZ50g2AWcul2</t>
  </si>
  <si>
    <t>viHiZLQ3Fpalf9jF</t>
  </si>
  <si>
    <t>O1B1r3Wn0LaEqBVY</t>
  </si>
  <si>
    <t>0n6V4PS80WEhhR6N</t>
  </si>
  <si>
    <t>rxF67cynebMsHVYW</t>
  </si>
  <si>
    <t>knkELYDSQSHgYlO7</t>
  </si>
  <si>
    <t>frEuHM9HPMTdfkPd</t>
  </si>
  <si>
    <t>OayDTqDJJzAGoQea</t>
  </si>
  <si>
    <t>SUS77Ww56CftMSGU</t>
  </si>
  <si>
    <t>JxLWkOxommPPI7JA</t>
  </si>
  <si>
    <t>dw3XZOmPTVr5domS</t>
  </si>
  <si>
    <t>FHrGu6PL1l1gIvGF</t>
  </si>
  <si>
    <t>WI6a80hKIVAfKNC4</t>
  </si>
  <si>
    <t>j0a6i1cV8qRceNIY</t>
  </si>
  <si>
    <t>XBC6jh8pkRLeTyaC</t>
  </si>
  <si>
    <t>ZDAnGbE0pdntnzEd</t>
  </si>
  <si>
    <t>9wvZFPr6E8EmOAsa</t>
  </si>
  <si>
    <t>NkGxODmQEcUThLZv</t>
  </si>
  <si>
    <t>HhQLdnWyGvyxl1cl</t>
  </si>
  <si>
    <t>u3nWO0V4ysOfSEow</t>
  </si>
  <si>
    <t>bqKohzZ1WB88Hg4l</t>
  </si>
  <si>
    <t>oKK1BKcbwl4Cw9Jn</t>
  </si>
  <si>
    <t>cNcYPhYrk1w15DkB</t>
  </si>
  <si>
    <t>72r18pip9AdIVgLj</t>
  </si>
  <si>
    <t>fSUIiwmiuzWRPzOU</t>
  </si>
  <si>
    <t>cSbAtvSr8ZpZJkIX</t>
  </si>
  <si>
    <t>foQsgOUvtw7yE8fO</t>
  </si>
  <si>
    <t>vtwls2siF2cUJVfl</t>
  </si>
  <si>
    <t>0d1mWn3QYHxaqm6g</t>
  </si>
  <si>
    <t>gZWTk57gIu1xjkgu</t>
  </si>
  <si>
    <t>IZau0jRWKne5QyQg</t>
  </si>
  <si>
    <t>PHEW6M131SlBYmVo</t>
  </si>
  <si>
    <t>fxBXrY7CRwqnob1W</t>
  </si>
  <si>
    <t>PdGsyc9FVORSUmba</t>
  </si>
  <si>
    <t>hnL6hkDilK8lkrxn</t>
  </si>
  <si>
    <t>evvjRu8LbA4WFlfi</t>
  </si>
  <si>
    <t>Dd2IFIbeMwKhjui7</t>
  </si>
  <si>
    <t>HGHXntkfNUniSGuD</t>
  </si>
  <si>
    <t>TSN8rEgwOZQ1G73I</t>
  </si>
  <si>
    <t>3fWx10LhMjNS2Trh</t>
  </si>
  <si>
    <t>UEArV50ZW7xwbDdE</t>
  </si>
  <si>
    <t>lHgD4EuFM29UeCoA</t>
  </si>
  <si>
    <t>e6h3CLiy1r1Yv0uz</t>
  </si>
  <si>
    <t>zbykeqFfSal2FRHI</t>
  </si>
  <si>
    <t>9iC09vJVFgwc0KMO</t>
  </si>
  <si>
    <t>0XRZqEMQNRxdTBiI</t>
  </si>
  <si>
    <t>0IAqWn1kjowPLUVH</t>
  </si>
  <si>
    <t>gMzrjI7hFjfNbKow</t>
  </si>
  <si>
    <t>IwJWkCivP5wKcn49</t>
  </si>
  <si>
    <t>iSv8AdKm9VaJDy7J</t>
  </si>
  <si>
    <t>2UOkfL8cQNA1Mvne</t>
  </si>
  <si>
    <t>n8NJf97R3py0ri0i</t>
  </si>
  <si>
    <t>DAE8eyvMepsPCLWq</t>
  </si>
  <si>
    <t>6qP3bIPwrirCLMFE</t>
  </si>
  <si>
    <t>fRGYtTenODb82721</t>
  </si>
  <si>
    <t>LUdfn1iy6S5NPduN</t>
  </si>
  <si>
    <t>NMdByOfDPw0orHfj</t>
  </si>
  <si>
    <t>UhXidt14rfeVlPq3</t>
  </si>
  <si>
    <t>35SlYJBtuzsYepYm</t>
  </si>
  <si>
    <t>lFuTSXg6PwSA8MD2</t>
  </si>
  <si>
    <t>AoNggT6ogbPVcFza</t>
  </si>
  <si>
    <t>VdAfVRsARt0ERMoS</t>
  </si>
  <si>
    <t>6o2QucFt4EsI7SSJ</t>
  </si>
  <si>
    <t>k9VglfpJ9rHpsjni</t>
  </si>
  <si>
    <t>wncQb13EoZWGBrvI</t>
  </si>
  <si>
    <t>PWHhWwdTOnKZaqQK</t>
  </si>
  <si>
    <t>KTxzYYy86oFjpy2i</t>
  </si>
  <si>
    <t>L4FdR90TCIy2gvRv</t>
  </si>
  <si>
    <t>APE2jUj8Gb44qPgt</t>
  </si>
  <si>
    <t>5tsopvgzAlCpnAXg</t>
  </si>
  <si>
    <t>IGSwfli0jolyQWys</t>
  </si>
  <si>
    <t>t0v3HUJstJ04YZhT</t>
  </si>
  <si>
    <t>i7LehJoAsKkvWTkj</t>
  </si>
  <si>
    <t>NJjPdYgx6Ny774rJ</t>
  </si>
  <si>
    <t>YZDAvyN8tHYXf8Wy</t>
  </si>
  <si>
    <t>DTxH4q0vWJovCBkf</t>
  </si>
  <si>
    <t>kR4nrDVTGVgdYl3O</t>
  </si>
  <si>
    <t>6a1PjnxrGZghE0LM</t>
  </si>
  <si>
    <t>phec3bnWRgY7RzZk</t>
  </si>
  <si>
    <t>kMvbrcWDQNmZWBkx</t>
  </si>
  <si>
    <t>yzpnmq87auTNxV8j</t>
  </si>
  <si>
    <t>ZTNAnAmggw4uuPQ1</t>
  </si>
  <si>
    <t>TkLG7scCwenxcgvs</t>
  </si>
  <si>
    <t>d83XhEksy1HLWlxp</t>
  </si>
  <si>
    <t>g5TA03x3u0B7ixrK</t>
  </si>
  <si>
    <t>NqYxp80puSiIte2P</t>
  </si>
  <si>
    <t>NtzOz1QwYPEykzky</t>
  </si>
  <si>
    <t>XtmcZ9IKoOF9joMs</t>
  </si>
  <si>
    <t>VECl3kLjWz32Wobu</t>
  </si>
  <si>
    <t>vRf2BW3mHe89j2Zs</t>
  </si>
  <si>
    <t>4jJy2DQcBm04hbCN</t>
  </si>
  <si>
    <t>ynv12eU966QoGuiu</t>
  </si>
  <si>
    <t>pJ5vbyqINFjbsrE6</t>
  </si>
  <si>
    <t>0DFEEx7HT1DqOPb2</t>
  </si>
  <si>
    <t>JE7DqjCfqzBgD7JY</t>
  </si>
  <si>
    <t>pMzGXZw2B2q7fSma</t>
  </si>
  <si>
    <t>sKOBvZOHgMHUBWwr</t>
  </si>
  <si>
    <t>CdHCOy9pnkUErFvw</t>
  </si>
  <si>
    <t>RPp7EtSFBdHj1gJ5</t>
  </si>
  <si>
    <t>eV2Tb6fgHukgF4FF</t>
  </si>
  <si>
    <t>T3NPw24AI6F4oU20</t>
  </si>
  <si>
    <t>SC9r8qLQRoXAZ35Z</t>
  </si>
  <si>
    <t>fxZ7gzpI9Ha8B2uW</t>
  </si>
  <si>
    <t>FwQwc44vg6behF5d</t>
  </si>
  <si>
    <t>9QHch3gBUFuZzvOg</t>
  </si>
  <si>
    <t>2L0GNkrIKH259HN2</t>
  </si>
  <si>
    <t>z2yPizay32mhsVkr</t>
  </si>
  <si>
    <t>tefbE1f7rs3Rjj55</t>
  </si>
  <si>
    <t>aTEb43tPA9hYEiWb</t>
  </si>
  <si>
    <t>xzEyeqEX1PNuigZe</t>
  </si>
  <si>
    <t>ssZ3SAzZuNFeGXtM</t>
  </si>
  <si>
    <t>wwL4kWrIKS9WDDfC</t>
  </si>
  <si>
    <t>P7KPU9b0VxvDD0Uk</t>
  </si>
  <si>
    <t>E9Yva6xCFIEqjGPN</t>
  </si>
  <si>
    <t>IbPQYDx5ojcGZmby</t>
  </si>
  <si>
    <t>EaBf16zwZG5zyiqF</t>
  </si>
  <si>
    <t>3gjuKGgIesTTVQoE</t>
  </si>
  <si>
    <t>46gqgrp13XlT0CdG</t>
  </si>
  <si>
    <t>hVDD2QY0IQSECI5p</t>
  </si>
  <si>
    <t>qEiwG1pmvBoeq1nt</t>
  </si>
  <si>
    <t>DVsuY5wlo2Bi55xR</t>
  </si>
  <si>
    <t>LgvPyYtQJuFIy0Xg</t>
  </si>
  <si>
    <t>NFOkJCZgGGRoSNLD</t>
  </si>
  <si>
    <t>8jwNRmOQdZ0vNkMS</t>
  </si>
  <si>
    <t>jvv9CImHcYEYBFgo</t>
  </si>
  <si>
    <t>YGTp7RLPj00xAMXb</t>
  </si>
  <si>
    <t>AgmVFDzo6VcaqWRw</t>
  </si>
  <si>
    <t>9MOXzk6qj5FiKvOY</t>
  </si>
  <si>
    <t>kA2uYeAT4Wg0ZVYK</t>
  </si>
  <si>
    <t>PbfRYqxgzOhANIcn</t>
  </si>
  <si>
    <t>l2qK81XZsygCKXmp</t>
  </si>
  <si>
    <t>v8dJJxR49HFua5k5</t>
  </si>
  <si>
    <t>OjIljRNN5OsNp3AV</t>
  </si>
  <si>
    <t>ymFrqi6rGgy3UymV</t>
  </si>
  <si>
    <t>psjBaHA9RY2lsMmn</t>
  </si>
  <si>
    <t>1VhkDorRM69Mmqa6</t>
  </si>
  <si>
    <t>263bJWrIpssNpQtw</t>
  </si>
  <si>
    <t>0Y5Gs8QmOtir1KcK</t>
  </si>
  <si>
    <t>EWD1ZCXn86gPrOx5</t>
  </si>
  <si>
    <t>lyNz2z1cid8Hn5dy</t>
  </si>
  <si>
    <t>07hcz9gyCWT9adDF</t>
  </si>
  <si>
    <t>8Hf9AxDeaYXmAEto</t>
  </si>
  <si>
    <t>XM3qx2t9oBVfmxyw</t>
  </si>
  <si>
    <t>45s6NjJGCl1iB3m4</t>
  </si>
  <si>
    <t>Kpk1DuzP3HVZpm5p</t>
  </si>
  <si>
    <t>dPdhfsLtki95Bpxm</t>
  </si>
  <si>
    <t>mKpY3ceBYuF535VV</t>
  </si>
  <si>
    <t>FU74Arr2fHtLu0BI</t>
  </si>
  <si>
    <t>Jaq2bvcaSv3Czfv5</t>
  </si>
  <si>
    <t>yv4h0r7q2ZPCZc1Z</t>
  </si>
  <si>
    <t>VJJvyh44ARIhBLce</t>
  </si>
  <si>
    <t>aSNC9ceAhDVtucaC</t>
  </si>
  <si>
    <t>3kEFWSuGN7KiBXGB</t>
  </si>
  <si>
    <t>tncxkagXvQdn9PPe</t>
  </si>
  <si>
    <t>I0TSlZxC7Gv8gpnn</t>
  </si>
  <si>
    <t>APLgDKlDSjx77tLZ</t>
  </si>
  <si>
    <t>9xToO19OkIa2ksLz</t>
  </si>
  <si>
    <t>PzuBTVp4nJrqty8T</t>
  </si>
  <si>
    <t>WsYISXM0m1BKqxDh</t>
  </si>
  <si>
    <t>d2LWK0eAjG5jngo3</t>
  </si>
  <si>
    <t>Idub8oszdY6NBr4d</t>
  </si>
  <si>
    <t>vewjzHYXweE3glkn</t>
  </si>
  <si>
    <t>5ZqurW8QahBwbOHF</t>
  </si>
  <si>
    <t>OyuWHEVQ4XXupWjT</t>
  </si>
  <si>
    <t>WMBSveCZFZ6QkLXd</t>
  </si>
  <si>
    <t>T1kZz4sWWXLfCzit</t>
  </si>
  <si>
    <t>XErkiRDPrHQjnrsj</t>
  </si>
  <si>
    <t>s6zXUjaC3HZ5kZBH</t>
  </si>
  <si>
    <t>uVvdtwUd6MGtRnoJ</t>
  </si>
  <si>
    <t>x78MhwNpC8hFnXPu</t>
  </si>
  <si>
    <t>W6a6Nd9A4cYd8ra3</t>
  </si>
  <si>
    <t>qmMrgTc85Z1LSRvB</t>
  </si>
  <si>
    <t>rusp2tIMCG0BS4VW</t>
  </si>
  <si>
    <t>nCZKmC88BKSlwZhm</t>
  </si>
  <si>
    <t>c2wfHRRq8C5A2TlJ</t>
  </si>
  <si>
    <t>8twcxydDKwCAu6fr</t>
  </si>
  <si>
    <t>O9iUlfZU8tk7LotF</t>
  </si>
  <si>
    <t>xpMzHGkBsfsRvvCS</t>
  </si>
  <si>
    <t>9cM2lC4djyUHdAS9</t>
  </si>
  <si>
    <t>U1rjxBoB3gW0aQHC</t>
  </si>
  <si>
    <t>LMmeat1p3jmswAQY</t>
  </si>
  <si>
    <t>4v7jwKDmFJ5EiY3c</t>
  </si>
  <si>
    <t>qEb70B2SiZM5pBJj</t>
  </si>
  <si>
    <t>xPlaeKTIPxFTg1Z9</t>
  </si>
  <si>
    <t>xFBjHiuCqe9eCgdt</t>
  </si>
  <si>
    <t>gyR5LKw5hOrZHSr5</t>
  </si>
  <si>
    <t>C0C74Yqj337OsAF6</t>
  </si>
  <si>
    <t>IohZI83DS455s6rV</t>
  </si>
  <si>
    <t>YT8uHwZDTylZDSWJ</t>
  </si>
  <si>
    <t>OnSjeZ6QuPrD9uku</t>
  </si>
  <si>
    <t>9frSMoutD3KoRSFx</t>
  </si>
  <si>
    <t>HdhrRCO4X3zaIyx5</t>
  </si>
  <si>
    <t>dSXrjSkpP0E8R5Zr</t>
  </si>
  <si>
    <t>vTLrfSxQeGJbEpsq</t>
  </si>
  <si>
    <t>AWpblIFMRxjTW7Lh</t>
  </si>
  <si>
    <t>Blibnups2Kik1uq6</t>
  </si>
  <si>
    <t>sFIFi9fTr8TgxpAs</t>
  </si>
  <si>
    <t>JH1eFxNH0gZkB9FR</t>
  </si>
  <si>
    <t>bFgaT5jWBpMPVNkH</t>
  </si>
  <si>
    <t>PBVeqGXea6OuURIJ</t>
  </si>
  <si>
    <t>T2CQZAkhCvNQmTS6</t>
  </si>
  <si>
    <t>mH6sOcX1EKhMLB80</t>
  </si>
  <si>
    <t>N0aJb21fWvnklWSm</t>
  </si>
  <si>
    <t>MHQ4DwsLuO266Yvm</t>
  </si>
  <si>
    <t>uAbdOwAzYqhCFD0t</t>
  </si>
  <si>
    <t>zSRvK0nq2X6iG9Le</t>
  </si>
  <si>
    <t>QkmStJz5bYwTGbwW</t>
  </si>
  <si>
    <t>fov093oc9V9pTBa7</t>
  </si>
  <si>
    <t>G4KZI2zIEPTd3qP9</t>
  </si>
  <si>
    <t>vHaRe4jTB06IVOoj</t>
  </si>
  <si>
    <t>bFyieCIRH6QfqmT6</t>
  </si>
  <si>
    <t>oafd2at5BdFKpokR</t>
  </si>
  <si>
    <t>cXz3FOPXDIDaIp9G</t>
  </si>
  <si>
    <t>SNmeigvz1aAhsdZs</t>
  </si>
  <si>
    <t>c8VU3KDI7P4EUYVz</t>
  </si>
  <si>
    <t>z8NBaLxz64nQ8WjW</t>
  </si>
  <si>
    <t>9AFOvWZ4EXEMcvDQ</t>
  </si>
  <si>
    <t>MMh5AuTs3cNXvlX3</t>
  </si>
  <si>
    <t>x88r51IA0C7ZlClh</t>
  </si>
  <si>
    <t>0kTjsRu86GeGDO5A</t>
  </si>
  <si>
    <t>2s12SWvFoVPPMFTL</t>
  </si>
  <si>
    <t>U58gYCG76y0GJvZu</t>
  </si>
  <si>
    <t>grEDcCsOIUX5a7o4</t>
  </si>
  <si>
    <t>tO9sOX9zOr6p7bYe</t>
  </si>
  <si>
    <t>g3VaZU2z4zIthkc3</t>
  </si>
  <si>
    <t>0aZDaqAyvJOJuUzp</t>
  </si>
  <si>
    <t>mNO0wHsqe6hjPlrw</t>
  </si>
  <si>
    <t>QxhNHgFR45YYrEYt</t>
  </si>
  <si>
    <t>DGW0PgoHaOCZo1d4</t>
  </si>
  <si>
    <t>5YNy1ok9QNz1K3S8</t>
  </si>
  <si>
    <t>9l94WzDNjnmONAWK</t>
  </si>
  <si>
    <t>oyfI91Qts5DD0AVP</t>
  </si>
  <si>
    <t>ndKxc8fRqsrODEJi</t>
  </si>
  <si>
    <t>C9LDR2n4Ulz14YX0</t>
  </si>
  <si>
    <t>L5BcUhxuriIz2E98</t>
  </si>
  <si>
    <t>dL8LW6VduefZtcB5</t>
  </si>
  <si>
    <t>ceNk6ADQEH9pepgr</t>
  </si>
  <si>
    <t>8UhpBYeks0WImBDG</t>
  </si>
  <si>
    <t>iHh4pqRXNuXQmaZ3</t>
  </si>
  <si>
    <t>XtNxnLawQcImUqOg</t>
  </si>
  <si>
    <t>QT1O52wXFqbgrKfv</t>
  </si>
  <si>
    <t>C75khUozcWfVB4js</t>
  </si>
  <si>
    <t>e8x46R1b1cGeQB1y</t>
  </si>
  <si>
    <t>JjVISmRKAQ9mkMjy</t>
  </si>
  <si>
    <t>j24U5tFCPMfYQgC4</t>
  </si>
  <si>
    <t>pCNrt1PLx5PxG6TV</t>
  </si>
  <si>
    <t>f44BNeiIdG0YVCtY</t>
  </si>
  <si>
    <t>wZ6ADUlLwMURn8Vj</t>
  </si>
  <si>
    <t>r31wnKb8Ukzgmk6q</t>
  </si>
  <si>
    <t>zaRVKW1FkDZ0fb1C</t>
  </si>
  <si>
    <t>kss2kGvHybrBKxM3</t>
  </si>
  <si>
    <t>L4UTPMrWH2Yq3a1G</t>
  </si>
  <si>
    <t>hhUXiVQKO4tS7kiq</t>
  </si>
  <si>
    <t>fl0ZWlGdruD1SFwy</t>
  </si>
  <si>
    <t>Tg1fT4GRjOjISKZS</t>
  </si>
  <si>
    <t>HeGOTXMRiMy5ZT26</t>
  </si>
  <si>
    <t>Lce1dFGVYUCFnoqf</t>
  </si>
  <si>
    <t>Dp8TiLoD7broxB8x</t>
  </si>
  <si>
    <t>AZYKxr9knveiQONI</t>
  </si>
  <si>
    <t>ZaFAI2ZUnYMjIrnO</t>
  </si>
  <si>
    <t>wwFdkRS2XHyUkGYY</t>
  </si>
  <si>
    <t>opFG512TIE20B2sT</t>
  </si>
  <si>
    <t>ZDg8gLdzpP3PL3lg</t>
  </si>
  <si>
    <t>ddW2MAtaz9bggJEu</t>
  </si>
  <si>
    <t>XpDnWN85CvbCRhFA</t>
  </si>
  <si>
    <t>utyuber0vqkolqsO</t>
  </si>
  <si>
    <t>T0WFlEWONJDLQE5h</t>
  </si>
  <si>
    <t>8yQTrvBlXRF1gf0p</t>
  </si>
  <si>
    <t>vCuPTZcVhEUc2vPJ</t>
  </si>
  <si>
    <t>G3hXa79zt4zAAriq</t>
  </si>
  <si>
    <t>5fbAhiIQH6U4U0rD</t>
  </si>
  <si>
    <t>EE2kk49BQc4Cwy9g</t>
  </si>
  <si>
    <t>pKSurHR1sKdfFt04</t>
  </si>
  <si>
    <t>DvBqZu1jvNciJu6b</t>
  </si>
  <si>
    <t>RjI93gYJhRy7r3qI</t>
  </si>
  <si>
    <t>BAkEt9Ev7Tjb6pgq</t>
  </si>
  <si>
    <t>YKtCnOa9SuITTgAi</t>
  </si>
  <si>
    <t>o3QkfPuioCp2B63N</t>
  </si>
  <si>
    <t>jEB35hQK7ZjCpsED</t>
  </si>
  <si>
    <t>2YPAD1p2MAWo9eo2</t>
  </si>
  <si>
    <t>GlvVWyJ1dvzqESDd</t>
  </si>
  <si>
    <t>ed3jbknoFZTih2L4</t>
  </si>
  <si>
    <t>j68e0oOcOCdMMwud</t>
  </si>
  <si>
    <t>gXKIwdbDLEQwMNoQ</t>
  </si>
  <si>
    <t>paXHRLclgAWYiUgX</t>
  </si>
  <si>
    <t>GTWX7YQ3c3oZE25R</t>
  </si>
  <si>
    <t>wGGK1oiGzLxRJpRf</t>
  </si>
  <si>
    <t>LmqRZuWgAi6qfG7O</t>
  </si>
  <si>
    <t>QRmmmMz47xwazAcC</t>
  </si>
  <si>
    <t>dWdvnNWSICNrvota</t>
  </si>
  <si>
    <t>U8bSEiSreGQSg15e</t>
  </si>
  <si>
    <t>Cmn8S7tGgBP6C9pV</t>
  </si>
  <si>
    <t>a14ijzVX6GkZI64n</t>
  </si>
  <si>
    <t>I5Y0OnZx4YbGheir</t>
  </si>
  <si>
    <t>UYadkaaXDtjjx7Tc</t>
  </si>
  <si>
    <t>HR6I4qDtpynWtm9Z</t>
  </si>
  <si>
    <t>YQo4xR8T5RRbaf4n</t>
  </si>
  <si>
    <t>BIOetzYUX16BlzoF</t>
  </si>
  <si>
    <t>G25peOfg6C1OHzpy</t>
  </si>
  <si>
    <t>PGEOdnyoduxn0oFp</t>
  </si>
  <si>
    <t>quxtCADg3Mh2JqTZ</t>
  </si>
  <si>
    <t>WOXytScMK50M6VQd</t>
  </si>
  <si>
    <t>mxpG3IQRkAB3ryYF</t>
  </si>
  <si>
    <t>nVLlHJgXC1O7xIcS</t>
  </si>
  <si>
    <t>KGi1hTdbOKhcRBeP</t>
  </si>
  <si>
    <t>Jcy6EfFhaLC9OAGc</t>
  </si>
  <si>
    <t>vI5wBHCaAqkYkC4u</t>
  </si>
  <si>
    <t>SZyD99fxEyPA0HXS</t>
  </si>
  <si>
    <t>sHl9jFM3iph2g5rX</t>
  </si>
  <si>
    <t>fmeOXZTAReqsRj9F</t>
  </si>
  <si>
    <t>KVgRFDswxNovkky0</t>
  </si>
  <si>
    <t>YC7emf0CuGEhouqG</t>
  </si>
  <si>
    <t>QFMYzHTqeFeleUyn</t>
  </si>
  <si>
    <t>3CnOriM7OIBv3eVj</t>
  </si>
  <si>
    <t>7jXXxmJ4bQ36evz3</t>
  </si>
  <si>
    <t>wcx7EVEx7WsRhFr9</t>
  </si>
  <si>
    <t>P8IlnPz1H5uQZIr3</t>
  </si>
  <si>
    <t>6QYJTbZYp7WGpmFZ</t>
  </si>
  <si>
    <t>VvX909jL9QvZBOXq</t>
  </si>
  <si>
    <t>emr6eNDZpbXR35Fv</t>
  </si>
  <si>
    <t>JMGPWfmarFamrkzf</t>
  </si>
  <si>
    <t>meECm5PE1OuiXs0i</t>
  </si>
  <si>
    <t>zkoOPsVZ32z8u0u5</t>
  </si>
  <si>
    <t>yiVKQM5wsh2YcEO2</t>
  </si>
  <si>
    <t>ECwbxxfbYpsGdCvj</t>
  </si>
  <si>
    <t>KsDBbtZ0RDIM61Yl</t>
  </si>
  <si>
    <t>IAth00tsufnQw9T4</t>
  </si>
  <si>
    <t>WfnOBRotJbk7SmXf</t>
  </si>
  <si>
    <t>yylqLeeCuGWNyBfI</t>
  </si>
  <si>
    <t>kHUauCtCc67PHX4C</t>
  </si>
  <si>
    <t>RO6LF8J0EYrWs9Q7</t>
  </si>
  <si>
    <t>xDbv3QBmu1ejvUxI</t>
  </si>
  <si>
    <t>LIQhwrdjiSOho4i7</t>
  </si>
  <si>
    <t>PjMBOoRv5EDeZHa6</t>
  </si>
  <si>
    <t>fYmOo82yXAy5MyZo</t>
  </si>
  <si>
    <t>0TuDzoQ8Ut32p678</t>
  </si>
  <si>
    <t>LXbJ8LcbAYsO6xtE</t>
  </si>
  <si>
    <t>rJ5dEQlQLHW2iIwT</t>
  </si>
  <si>
    <t>KVOcDUGqmYuqYMrO</t>
  </si>
  <si>
    <t>IV1rYejqgTZKG7ei</t>
  </si>
  <si>
    <t>vmhJ3pUqSWia6TcK</t>
  </si>
  <si>
    <t>IZ1dH11qHBTxY7fv</t>
  </si>
  <si>
    <t>2C91gX4j6bju7IhF</t>
  </si>
  <si>
    <t>1aDj25kdT0IPK98k</t>
  </si>
  <si>
    <t>Cwp8rdqC3JepK0k2</t>
  </si>
  <si>
    <t>Fdya6pz0hnJiBRnj</t>
  </si>
  <si>
    <t>aPgB1vQ2EE6sFIfO</t>
  </si>
  <si>
    <t>vlYmzcQ3GkX2LRtp</t>
  </si>
  <si>
    <t>2h9Uqy7U3Ww55Dkc</t>
  </si>
  <si>
    <t>4nenrZjTo1RUgOAf</t>
  </si>
  <si>
    <t>qQEe4Uj213XqeMeQ</t>
  </si>
  <si>
    <t>SpuRzpvzR9OV40VN</t>
  </si>
  <si>
    <t>c9kPkQTSuYrAkcQ3</t>
  </si>
  <si>
    <t>7F8rmEMm7pW3uckX</t>
  </si>
  <si>
    <t>9GoIgkCxPoaT6LEZ</t>
  </si>
  <si>
    <t>6eYa93djGsl3ew3r</t>
  </si>
  <si>
    <t>SuMuGxZzyXQwLvwo</t>
  </si>
  <si>
    <t>ESFjPwCiblTxHF0V</t>
  </si>
  <si>
    <t>yYSm1F1Wkx0Gj5UJ</t>
  </si>
  <si>
    <t>ByiyGTtG3b1nFaYL</t>
  </si>
  <si>
    <t>8olklqk7cx3Hfq9N</t>
  </si>
  <si>
    <t>bUfpVoJRwYJAdnFI</t>
  </si>
  <si>
    <t>lt6Eqovj7mQHIx28</t>
  </si>
  <si>
    <t>0LYyjSeFQWiyEr7l</t>
  </si>
  <si>
    <t>9YIO0msANgVa2I5P</t>
  </si>
  <si>
    <t>nrMUVBmwwfsO6w5d</t>
  </si>
  <si>
    <t>cqy1im2J1uRSj5Zj</t>
  </si>
  <si>
    <t>tZwApdfP41lctvyr</t>
  </si>
  <si>
    <t>prHWO8jwInX0fXyS</t>
  </si>
  <si>
    <t>NVSd6erkv62fNqDU</t>
  </si>
  <si>
    <t>5v7tFw67F5AowCpY</t>
  </si>
  <si>
    <t>XWJiNrTmSKqF57GL</t>
  </si>
  <si>
    <t>uUYTQK9ajyijgXeR</t>
  </si>
  <si>
    <t>m8hYSba416vU2RW6</t>
  </si>
  <si>
    <t>hrWRu7dGecsxh4Uf</t>
  </si>
  <si>
    <t>KvTemY7mwlzGCJ8s</t>
  </si>
  <si>
    <t>RqHTnlIpqDCjKls5</t>
  </si>
  <si>
    <t>e7pVvOACi9W9z9bl</t>
  </si>
  <si>
    <t>S4apXRzAZQhI0ZEK</t>
  </si>
  <si>
    <t>a1Nxh6JfxFHvMMff</t>
  </si>
  <si>
    <t>PcPjbRs0AuBl6Dyh</t>
  </si>
  <si>
    <t>t3hg36L6e1yW1RcZ</t>
  </si>
  <si>
    <t>AqLABWnALvasMxMY</t>
  </si>
  <si>
    <t>Hpv0U2XQffAY3A47</t>
  </si>
  <si>
    <t>ybhPp0S50xyGtB7u</t>
  </si>
  <si>
    <t>wfsCj4o1sPg5hwnw</t>
  </si>
  <si>
    <t>jT2po30KmzbOcpDm</t>
  </si>
  <si>
    <t>lheExkyvsxv9NCJW</t>
  </si>
  <si>
    <t>Tn4qOTxxvkAx9NcB</t>
  </si>
  <si>
    <t>Nr2FQUODcxZ2RsCX</t>
  </si>
  <si>
    <t>f7y7b175CX6ceYwL</t>
  </si>
  <si>
    <t>zz8x1GCMInu9ZyHZ</t>
  </si>
  <si>
    <t>6AoJtYVGVPsYINcl</t>
  </si>
  <si>
    <t>uLW491BPWIKCMLRH</t>
  </si>
  <si>
    <t>IomXqOLxeDtfwBd0</t>
  </si>
  <si>
    <t>Tua2ClviPXZgqWtv</t>
  </si>
  <si>
    <t>25BWHqBRPb5EHoWI</t>
  </si>
  <si>
    <t>muFuZBNkuSTTDkGi</t>
  </si>
  <si>
    <t>dkBYBJCvBKc0833j</t>
  </si>
  <si>
    <t>D3Wa84KpU96fogfr</t>
  </si>
  <si>
    <t>X3CLZaybBKlSzo16</t>
  </si>
  <si>
    <t>tyaztOV3EZImMelp</t>
  </si>
  <si>
    <t>szTgb7aJPWbaABl7</t>
  </si>
  <si>
    <t>OlmxtGiU8TVj2DEy</t>
  </si>
  <si>
    <t>R5Lmzx2MWsYDPIzO</t>
  </si>
  <si>
    <t>RUz9MK10bK49lHWQ</t>
  </si>
  <si>
    <t>LaLwdgHLhFbNqcck</t>
  </si>
  <si>
    <t>051W83FGnhwdQDx8</t>
  </si>
  <si>
    <t>K9AZk5DNeRGs8xXA</t>
  </si>
  <si>
    <t>lSght5SHJOtFbf0j</t>
  </si>
  <si>
    <t>w2YnrGGOYBKloEDU</t>
  </si>
  <si>
    <t>spfUwFy8zsyAI4jt</t>
  </si>
  <si>
    <t>26r2rW6zIAXUhSGe</t>
  </si>
  <si>
    <t>k7pIoC0kcL3O5Y4H</t>
  </si>
  <si>
    <t>4jEhqDCtdsuowI72</t>
  </si>
  <si>
    <t>iYreeUeS34Vf4cWC</t>
  </si>
  <si>
    <t>5NTfAwo9ra5m99a8</t>
  </si>
  <si>
    <t>E8CrOkquuv4CGB6u</t>
  </si>
  <si>
    <t>DII07Vo4kDvltLvz</t>
  </si>
  <si>
    <t>wQpYK56O6dFynmJ2</t>
  </si>
  <si>
    <t>i2LxJ2cYGxnB5Wvf</t>
  </si>
  <si>
    <t>axkE9azsJWhgxXfh</t>
  </si>
  <si>
    <t>jAJ5kSXs7VuRjTF7</t>
  </si>
  <si>
    <t>luwh3x3o7IpiuTpg</t>
  </si>
  <si>
    <t>w7HO44kNT5jZHp13</t>
  </si>
  <si>
    <t>agNS4qYHGVlN6fuq</t>
  </si>
  <si>
    <t>Ho1T3kYlBYpbI82E</t>
  </si>
  <si>
    <t>mudTH0FqqfgvbYOx</t>
  </si>
  <si>
    <t>LOvyabopWUxY5zXF</t>
  </si>
  <si>
    <t>JHKcetZdzGHjGIGU</t>
  </si>
  <si>
    <t>WwOwd5cliOoeCZqX</t>
  </si>
  <si>
    <t>LJ70yPDcnW9xhHAe</t>
  </si>
  <si>
    <t>y7L2moa9g83AK3KF</t>
  </si>
  <si>
    <t>zAHAJTxYvTVbPp5v</t>
  </si>
  <si>
    <t>hJItrozA28vIzO0R</t>
  </si>
  <si>
    <t>9bWvpe8gsmJtrBPj</t>
  </si>
  <si>
    <t>w2OZ4e3g8Pkcw4o8</t>
  </si>
  <si>
    <t>Cl1RKvJS233pqhQu</t>
  </si>
  <si>
    <t>b70fg2Qh32mzxW4X</t>
  </si>
  <si>
    <t>Q0uLcF20w8GvkfkN</t>
  </si>
  <si>
    <t>t6iLdtFEmM36fdSH</t>
  </si>
  <si>
    <t>WZv2BW2X07vMiJ96</t>
  </si>
  <si>
    <t>JC9L18KBp2N4cb6i</t>
  </si>
  <si>
    <t>VLY3QsslQacwvvhl</t>
  </si>
  <si>
    <t>T6WeHhTjtklX9w7l</t>
  </si>
  <si>
    <t>rBuYlXcP0EXabtEn</t>
  </si>
  <si>
    <t>7x8CIyg6Z6FF2ZV3</t>
  </si>
  <si>
    <t>uVKSME21hhD42DBI</t>
  </si>
  <si>
    <t>UJLbvBw4Bi5NxBXS</t>
  </si>
  <si>
    <t>SXaB7wSRd01jk7S5</t>
  </si>
  <si>
    <t>oqy4TzbsLeXstq2J</t>
  </si>
  <si>
    <t>JWnD0KDJNTrwGRhd</t>
  </si>
  <si>
    <t>Se7uK0Q1xclSZypK</t>
  </si>
  <si>
    <t>bsRxX3IAoLY0U9qO</t>
  </si>
  <si>
    <t>RmrbRuvA7iV4p1LC</t>
  </si>
  <si>
    <t>6NTJcGxwWRWNYzCY</t>
  </si>
  <si>
    <t>ZhqJ7wKmMbkSdUR0</t>
  </si>
  <si>
    <t>fXvDv5QlTTmVgAX0</t>
  </si>
  <si>
    <t>WZDNfRVi0rGQ1qg4</t>
  </si>
  <si>
    <t>IIWOwlfKyRbWyDIW</t>
  </si>
  <si>
    <t>ZcynLVLHJ6HYBkmZ</t>
  </si>
  <si>
    <t>9zPUZ4kwQ0AIMNny</t>
  </si>
  <si>
    <t>kYfxYQTI2sQigRaU</t>
  </si>
  <si>
    <t>gIEYMwjgu417J0Rj</t>
  </si>
  <si>
    <t>pSTDQ6mghtFyUQ9u</t>
  </si>
  <si>
    <t>FEurZLL2BYe731YH</t>
  </si>
  <si>
    <t>iCQ1OYZ2x8deGYX3</t>
  </si>
  <si>
    <t>UEpdcM9LgXfB3yhW</t>
  </si>
  <si>
    <t>j97sd3cf6pMLYmJ6</t>
  </si>
  <si>
    <t>Jhf93W328QKpJFKE</t>
  </si>
  <si>
    <t>0f7T1FyZLwrGqguL</t>
  </si>
  <si>
    <t>rOlF2SstCIdGyLXb</t>
  </si>
  <si>
    <t>4WVKJXBrxugND6o8</t>
  </si>
  <si>
    <t>7AH3zLiA44B3UaDJ</t>
  </si>
  <si>
    <t>LGr8Z9cdXcUTUQr7</t>
  </si>
  <si>
    <t>q0gaLKXyJzeZ3JLu</t>
  </si>
  <si>
    <t>4Yao5mLDv84nRZOG</t>
  </si>
  <si>
    <t>U7nrPNegfDCPalja</t>
  </si>
  <si>
    <t>cg9RgOScNC2IGjY7</t>
  </si>
  <si>
    <t>lbMAOulZBkOhhRN6</t>
  </si>
  <si>
    <t>BJetsZYvVLSlzHCZ</t>
  </si>
  <si>
    <t>OktUB6HQgCujycI0</t>
  </si>
  <si>
    <t>s9voPIvH4j4eQu46</t>
  </si>
  <si>
    <t>fXpDgv1GLI1YCyXQ</t>
  </si>
  <si>
    <t>mAbozHABqn1YgXbq</t>
  </si>
  <si>
    <t>9xJmQ4zAUSGmtYn0</t>
  </si>
  <si>
    <t>A1PO9GhgkAVuXhVE</t>
  </si>
  <si>
    <t>J0dvoBfiey1S1pxE</t>
  </si>
  <si>
    <t>Abl1cojtEjGpJ7rt</t>
  </si>
  <si>
    <t>lObkGtxFZXm48J2N</t>
  </si>
  <si>
    <t>DlYPZpjwLTTsnk6Q</t>
  </si>
  <si>
    <t>DoSuK8bUC5bJlzgm</t>
  </si>
  <si>
    <t>84F922TbK26g3hYz</t>
  </si>
  <si>
    <t>7oYjrtFAx4fFzLvp</t>
  </si>
  <si>
    <t>5mWX61qzg8cyidFw</t>
  </si>
  <si>
    <t>sxYoOJA1NKNAmzmq</t>
  </si>
  <si>
    <t>eLCBoxHjyjIIIb6c</t>
  </si>
  <si>
    <t>sSqyWC4oI90lFGbH</t>
  </si>
  <si>
    <t>Ds5yRDjcoKVHfg6G</t>
  </si>
  <si>
    <t>dNXAiL3SRiEDEDys</t>
  </si>
  <si>
    <t>X3qoHjugk2ok7smY</t>
  </si>
  <si>
    <t>ZF5Vb6dJBARnJLP8</t>
  </si>
  <si>
    <t>4EC4isPL6R0j9xh3</t>
  </si>
  <si>
    <t>qeZn4SIe1FWPwB1L</t>
  </si>
  <si>
    <t>SsPxApLWMOSkX4Tm</t>
  </si>
  <si>
    <t>nZPSpGkbmRO3Jvot</t>
  </si>
  <si>
    <t>E4vqZlUznvxtMs6X</t>
  </si>
  <si>
    <t>sLfBtq9L0TflpjuJ</t>
  </si>
  <si>
    <t>L5LO7IJzL1NrwdBg</t>
  </si>
  <si>
    <t>lUMkj36qVm6qeSIw</t>
  </si>
  <si>
    <t>TTL6WxgtDfTlsqmV</t>
  </si>
  <si>
    <t>WuESwOKnd7nU7WLv</t>
  </si>
  <si>
    <t>4jOGyuQETK65so0s</t>
  </si>
  <si>
    <t>4YwAePtV3a55XSPU</t>
  </si>
  <si>
    <t>rsbyYJDcq8UAcy2m</t>
  </si>
  <si>
    <t>ocs7RWhbbMk01RnH</t>
  </si>
  <si>
    <t>5YPUkLTYtL2afxMV</t>
  </si>
  <si>
    <t>eBPdr7NAx47V4SwL</t>
  </si>
  <si>
    <t>cCLhbfxy1b4UeHcO</t>
  </si>
  <si>
    <t>Yo50mMXZX23x2YE2</t>
  </si>
  <si>
    <t>WO5XRB8rHNvVQ8Nz</t>
  </si>
  <si>
    <t>6CGv1YLiRTatAOdV</t>
  </si>
  <si>
    <t>Vjug2mOjmTFh3vG9</t>
  </si>
  <si>
    <t>CqHWmhJkOqjI49YG</t>
  </si>
  <si>
    <t>zNI0BXDlygCifz9H</t>
  </si>
  <si>
    <t>2D2uJH5OoU61fN1s</t>
  </si>
  <si>
    <t>kPVa5V0afoQwq1Rz</t>
  </si>
  <si>
    <t>vW5on8sfWg2iig0g</t>
  </si>
  <si>
    <t>nOkx6oWxTHlsPTX2</t>
  </si>
  <si>
    <t>gIg6LjVvbCwbTBpP</t>
  </si>
  <si>
    <t>7P2lLvzufAjA36FR</t>
  </si>
  <si>
    <t>pHFceJaKBMm0P7LJ</t>
  </si>
  <si>
    <t>VYolplOnxiR6RGUp</t>
  </si>
  <si>
    <t>0IznALSLqGmDOBCb</t>
  </si>
  <si>
    <t>8uAdtORUtBbfXyrn</t>
  </si>
  <si>
    <t>GW4ULByIyATveBgQ</t>
  </si>
  <si>
    <t>ZoArkiWQ1QzX7fah</t>
  </si>
  <si>
    <t>IoNnG6FWOvHNJxxg</t>
  </si>
  <si>
    <t>fcTLXpMjrt6DjMIh</t>
  </si>
  <si>
    <t>gsZpQfugyRWlFZYx</t>
  </si>
  <si>
    <t>BJum0i4WjzK5M48e</t>
  </si>
  <si>
    <t>zhz2bdlglOCC4GgZ</t>
  </si>
  <si>
    <t>AhNN8vngKYNtJ8MF</t>
  </si>
  <si>
    <t>2CQJpPgDJvseRjg3</t>
  </si>
  <si>
    <t>x3LQx0THFasAoud6</t>
  </si>
  <si>
    <t>YVmjCTNq8IvZqC0g</t>
  </si>
  <si>
    <t>r9ZAT1uPWdZ2g8x3</t>
  </si>
  <si>
    <t>fTf1pIbdRHnJYa74</t>
  </si>
  <si>
    <t>cPDFHiFSl34irBAW</t>
  </si>
  <si>
    <t>QdwbVOhgnamKiQQI</t>
  </si>
  <si>
    <t>iq1jyZTjpZdK7Xp1</t>
  </si>
  <si>
    <t>UpccTMwlk8ZtyMQg</t>
  </si>
  <si>
    <t>2XAuQ4pZapBh2T6o</t>
  </si>
  <si>
    <t>hxFxhr0kYWWW9g9R</t>
  </si>
  <si>
    <t>MgRuJhr6b1t9U4Z0</t>
  </si>
  <si>
    <t>pkGNET3kMSbxwvjs</t>
  </si>
  <si>
    <t>HJBYk2mAmdEAbwVX</t>
  </si>
  <si>
    <t>YzDPRsQd1fQFos97</t>
  </si>
  <si>
    <t>oLCdeZa8YPGQaMSL</t>
  </si>
  <si>
    <t>wmQYbjCGicqyF15F</t>
  </si>
  <si>
    <t>Jyt1XzdjKGG5R8Xs</t>
  </si>
  <si>
    <t>QfH8RXj1b5NE2vpd</t>
  </si>
  <si>
    <t>2txRU0IsFLgxkKqU</t>
  </si>
  <si>
    <t>JnX43uLgAe435Rwh</t>
  </si>
  <si>
    <t>llexA039EICbg1q4</t>
  </si>
  <si>
    <t>57KxyYPmP2czZNIY</t>
  </si>
  <si>
    <t>RPs45X86ohyQvQSi</t>
  </si>
  <si>
    <t>cvVjLtVO6pSAsTTM</t>
  </si>
  <si>
    <t>whMeIzCuQvhYWXDN</t>
  </si>
  <si>
    <t>LgM9MqviH72KISWa</t>
  </si>
  <si>
    <t>ziLByC1whiImw8wc</t>
  </si>
  <si>
    <t>WoB9SVybIC33SfVq</t>
  </si>
  <si>
    <t>OlwkaWiAu4u82VQZ</t>
  </si>
  <si>
    <t>HmJKKXAbZGKNIRYk</t>
  </si>
  <si>
    <t>d3JRwmAGqDHmq0XA</t>
  </si>
  <si>
    <t>R4GQSVDNcCHOf9ju</t>
  </si>
  <si>
    <t>9g4Mk4Xc9hZaRicw</t>
  </si>
  <si>
    <t>BDTdfMoWTB5BcONS</t>
  </si>
  <si>
    <t>ffhocl8AgQ27rBaR</t>
  </si>
  <si>
    <t>GYMs0UbopIvpjJfL</t>
  </si>
  <si>
    <t>zeVpRc7mQUweTBmh</t>
  </si>
  <si>
    <t>LQF7CiCncYGMBAtD</t>
  </si>
  <si>
    <t>RrTIJN7xOZNIUY0P</t>
  </si>
  <si>
    <t>feGy9aDVthStNkdB</t>
  </si>
  <si>
    <t>JykqTYpaD5uyaigg</t>
  </si>
  <si>
    <t>DDk2GNyDeYA1yT3g</t>
  </si>
  <si>
    <t>pMGqhatFrVb4j7iv</t>
  </si>
  <si>
    <t>Z9TxHc2Lbd6h61Jg</t>
  </si>
  <si>
    <t>ifKBgLVdXC4O7IPf</t>
  </si>
  <si>
    <t>SHv5FbBfbTWgI8RE</t>
  </si>
  <si>
    <t>LaZNBklTBlz2PsNh</t>
  </si>
  <si>
    <t>XLQD2ziNguOV3IFe</t>
  </si>
  <si>
    <t>vLFW7IkWFFpdbzzZ</t>
  </si>
  <si>
    <t>2aE2HxH3JgKrmcsW</t>
  </si>
  <si>
    <t>9T18jVkz9J7LFVes</t>
  </si>
  <si>
    <t>o8Cyyih2g8oGJeH2</t>
  </si>
  <si>
    <t>ipLjksABodyElLQk</t>
  </si>
  <si>
    <t>vBOVIZsiFAP46B4V</t>
  </si>
  <si>
    <t>0M0QCc3wfyZklYop</t>
  </si>
  <si>
    <t>AabMcwEKUCgkcEYP</t>
  </si>
  <si>
    <t>eCzevSWZPsjumIJS</t>
  </si>
  <si>
    <t>Pn0bWRdznygQddZR</t>
  </si>
  <si>
    <t>qSRidOzERc3kkg5G</t>
  </si>
  <si>
    <t>wkOjvUxRFjGEDRS5</t>
  </si>
  <si>
    <t>j0pcSas2ipxQFpTi</t>
  </si>
  <si>
    <t>mvefYp4hjuuaOjXm</t>
  </si>
  <si>
    <t>DWrsspK2jqmAmyEu</t>
  </si>
  <si>
    <t>hQSI47ytMhKeBY6U</t>
  </si>
  <si>
    <t>fVxVTM7OPUz5l1NR</t>
  </si>
  <si>
    <t>Kgiy4higBF7ytgSf</t>
  </si>
  <si>
    <t>3PLvEK4fohpbuVm0</t>
  </si>
  <si>
    <t>eSRP4wESzgbKwkbL</t>
  </si>
  <si>
    <t>X17EkUVagh5QBAP5</t>
  </si>
  <si>
    <t>NSaA5QRM40i4Ual4</t>
  </si>
  <si>
    <t>Srkig1knQ5VCIu6c</t>
  </si>
  <si>
    <t>touoJlMeGSLTAzza</t>
  </si>
  <si>
    <t>1zRt7pY8Kov2RrGi</t>
  </si>
  <si>
    <t>fh1QThYCFzlht7ai</t>
  </si>
  <si>
    <t>DoKWpBbpCLiuKeN4</t>
  </si>
  <si>
    <t>qqkjjv8RuEAQEw2r</t>
  </si>
  <si>
    <t>QcAdekdZpdzbLHeU</t>
  </si>
  <si>
    <t>j66ODCmXv9XYIFmr</t>
  </si>
  <si>
    <t>tsyflJgII0N1CSer</t>
  </si>
  <si>
    <t>orjPDbHVskmLSbNU</t>
  </si>
  <si>
    <t>l7g4zxbdcS1Ld9e6</t>
  </si>
  <si>
    <t>VfTkuukJvV5tbdvQ</t>
  </si>
  <si>
    <t>qpYQI4R3kRI5FNqy</t>
  </si>
  <si>
    <t>PuW9T7hVtbSSSCjv</t>
  </si>
  <si>
    <t>CaJKV4IUmmdhAv3v</t>
  </si>
  <si>
    <t>QOyHPXV2r55Tkg7k</t>
  </si>
  <si>
    <t>iA0ml2GKVpLv9CJq</t>
  </si>
  <si>
    <t>Pp0IU9yvMcYFfRrd</t>
  </si>
  <si>
    <t>LEThGNWpwnJsT7WI</t>
  </si>
  <si>
    <t>q8P82fQ97QbSUcrE</t>
  </si>
  <si>
    <t>U7VZaxeCKa7h49NY</t>
  </si>
  <si>
    <t>rgNaNHZCvcUnCmge</t>
  </si>
  <si>
    <t>qgwRAzW15FHWvFDI</t>
  </si>
  <si>
    <t>kxjrLxmS5Q2LqMyC</t>
  </si>
  <si>
    <t>Cw12NyBb3aSMp0uS</t>
  </si>
  <si>
    <t>7ugBB3YQ6Tc09yQS</t>
  </si>
  <si>
    <t>THt6VOrbp9PmsqGE</t>
  </si>
  <si>
    <t>HK1gXUB32n7CXOw4</t>
  </si>
  <si>
    <t>IxTQ4gSFqPdbtTWs</t>
  </si>
  <si>
    <t>WCWCmXJphlXkuOY3</t>
  </si>
  <si>
    <t>F1QkvoW4duU0aNTN</t>
  </si>
  <si>
    <t>ef4emETnJS3Bij9Y</t>
  </si>
  <si>
    <t>y2HyIfZHLkwyX7C1</t>
  </si>
  <si>
    <t>cXH651ArZqgcaroe</t>
  </si>
  <si>
    <t>zpgRNipZeB4MDv3k</t>
  </si>
  <si>
    <t>M1N1BOK5kVdJcDPc</t>
  </si>
  <si>
    <t>1HLSQPaHcJZprrzm</t>
  </si>
  <si>
    <t>puCaXWP2goAu16b3</t>
  </si>
  <si>
    <t>OJfXwTr2DIH0rPBT</t>
  </si>
  <si>
    <t>atHFWY1YkAymhKvE</t>
  </si>
  <si>
    <t>QS9Py2ZENp9mu4fu</t>
  </si>
  <si>
    <t>Kmi0sXbJkMSwnNCm</t>
  </si>
  <si>
    <t>fbigJ2kpDdPryaHY</t>
  </si>
  <si>
    <t>R9XkjXeANmdYsUlu</t>
  </si>
  <si>
    <t>7XRPhLbuaBQOyTRK</t>
  </si>
  <si>
    <t>UdfbY5WYAO6e6lkR</t>
  </si>
  <si>
    <t>lfpAsesyoMRfTDRt</t>
  </si>
  <si>
    <t>gKIGzPQxJuyuDRZv</t>
  </si>
  <si>
    <t>NyDGIkMLWl8dfOJl</t>
  </si>
  <si>
    <t>IA5CTWjlMkj0RoGc</t>
  </si>
  <si>
    <t>gFEChk5WVBezy1Sk</t>
  </si>
  <si>
    <t>mU4Mh7k8rKnfiVs1</t>
  </si>
  <si>
    <t>xFPbtDwVS4uH3Bsh</t>
  </si>
  <si>
    <t>SmWFWc7CMFemvAH0</t>
  </si>
  <si>
    <t>XMXP2lXSPlqd9EdP</t>
  </si>
  <si>
    <t>TTM2DLyem7hOijCv</t>
  </si>
  <si>
    <t>LkOR7AuWPmCzimZU</t>
  </si>
  <si>
    <t>o2rarATk2Rr8ldHT</t>
  </si>
  <si>
    <t>lY8wlI7O1G9sxiPy</t>
  </si>
  <si>
    <t>vUTrKZ1FQnnKMaNU</t>
  </si>
  <si>
    <t>FnfWYsZImxhaNFfr</t>
  </si>
  <si>
    <t>inKideEHpXRKSqiJ</t>
  </si>
  <si>
    <t>iF9XtmtMryylnOcI</t>
  </si>
  <si>
    <t>0uT2nG3oiWT0QeDd</t>
  </si>
  <si>
    <t>ROXhVVDCj5fuEMdj</t>
  </si>
  <si>
    <t>d8nEhxdrBwWfbHL1</t>
  </si>
  <si>
    <t>6OiF1OBdtX5WTnMS</t>
  </si>
  <si>
    <t>Jxz0fCYPmm1knTym</t>
  </si>
  <si>
    <t>qyi17KqSrj58oNf2</t>
  </si>
  <si>
    <t>x9XnxfCoVkZJjEaN</t>
  </si>
  <si>
    <t>U4rnVa01y0BsKZhd</t>
  </si>
  <si>
    <t>kkHg5de2ZTUXLGwQ</t>
  </si>
  <si>
    <t>q2g87SH9CaWnvxay</t>
  </si>
  <si>
    <t>PTXMqeO5K2iyYsAt</t>
  </si>
  <si>
    <t>FYO4a7aPeXQfJP53</t>
  </si>
  <si>
    <t>TFq2pGPSNdO97BK0</t>
  </si>
  <si>
    <t>uxQqxML9hmJ04WrM</t>
  </si>
  <si>
    <t>yC6j4cZaIqUi1uG9</t>
  </si>
  <si>
    <t>PmINC9QgCYWhNivr</t>
  </si>
  <si>
    <t>vJkOnS2xzBz4vTHp</t>
  </si>
  <si>
    <t>h49xw2tiTwE6rf5D</t>
  </si>
  <si>
    <t>dk8sT0NH8bfNvLgv</t>
  </si>
  <si>
    <t>tNIqqbf0OFBlrJCL</t>
  </si>
  <si>
    <t>ciykS8KzRCU0QiAd</t>
  </si>
  <si>
    <t>TjQ4JrGlJ4s3sw07</t>
  </si>
  <si>
    <t>q3cjKPiqUtoPWifY</t>
  </si>
  <si>
    <t>jGtjdIn8w1fk1gnk</t>
  </si>
  <si>
    <t>oFsWqBl4MHAOb3Ni</t>
  </si>
  <si>
    <t>nVS7MZTTrjTVcV28</t>
  </si>
  <si>
    <t>gwezwI0duit6SBnj</t>
  </si>
  <si>
    <t>4z2IJ0lhmwSVJ9dv</t>
  </si>
  <si>
    <t>L2seMFSmvbqQZkz6</t>
  </si>
  <si>
    <t>D0wLfuvJOZKAwhTN</t>
  </si>
  <si>
    <t>5LUPwV1eMTVaIzx3</t>
  </si>
  <si>
    <t>DD8A3OYLQfPu7XVw</t>
  </si>
  <si>
    <t>Xrdl9qgLhxBpm9RC</t>
  </si>
  <si>
    <t>IOv2l0oaO52l6CtO</t>
  </si>
  <si>
    <t>KXAdouWfdPEX9Xms</t>
  </si>
  <si>
    <t>KqJsNes1i4W2xZDM</t>
  </si>
  <si>
    <t>m9788rlHhMXrDeMy</t>
  </si>
  <si>
    <t>ch0tap5uOXRfUFPV</t>
  </si>
  <si>
    <t>qAXVk0HTzXZH5oG5</t>
  </si>
  <si>
    <t>YLB9TTbB0g4b5kCK</t>
  </si>
  <si>
    <t>01t29JTJUfsGiQJR</t>
  </si>
  <si>
    <t>W4h9NkaVT37B4BRi</t>
  </si>
  <si>
    <t>waEqH9s6clenv2fQ</t>
  </si>
  <si>
    <t>gbwNbsVQagqa1rdt</t>
  </si>
  <si>
    <t>2U0mCjb2BdNYJIzS</t>
  </si>
  <si>
    <t>EA606olHHOaSXoio</t>
  </si>
  <si>
    <t>QWG300hh0BC5rr3p</t>
  </si>
  <si>
    <t>2tCGQHQ9DoiVRE6P</t>
  </si>
  <si>
    <t>Tt2gcyix0upQx5G6</t>
  </si>
  <si>
    <t>eLxG6sWZ4Dtos5AL</t>
  </si>
  <si>
    <t>P5XNXY29i92WXJr7</t>
  </si>
  <si>
    <t>6phyv7mAE1npqztE</t>
  </si>
  <si>
    <t>hyCXqGnWBDY0QKba</t>
  </si>
  <si>
    <t>dW3ofW4BPxycmuzP</t>
  </si>
  <si>
    <t>LTEGpFw1Y5T9Z6W7</t>
  </si>
  <si>
    <t>SGjsJhrCyTtjLMKn</t>
  </si>
  <si>
    <t>UPZGVxL63ntoKNYJ</t>
  </si>
  <si>
    <t>OjYdPbXj5Cn4oYEY</t>
  </si>
  <si>
    <t>0jTSxrCrs4PNRWw4</t>
  </si>
  <si>
    <t>LQ1KkwX2RBTffoRP</t>
  </si>
  <si>
    <t>JhI4cMIJh8t5l0yV</t>
  </si>
  <si>
    <t>B9lOnirR1cjrWCTM</t>
  </si>
  <si>
    <t>mJh2He7hR5Goqtui</t>
  </si>
  <si>
    <t>hy9oftwmyW4kbKWx</t>
  </si>
  <si>
    <t>du54VUthUUcZdqcz</t>
  </si>
  <si>
    <t>UbtI8eaNJPOgH1Ci</t>
  </si>
  <si>
    <t>ueqoNDLkJQMQoDCi</t>
  </si>
  <si>
    <t>JYldqnbkVIDOLDQE</t>
  </si>
  <si>
    <t>r9f59p1NhfCzoJTj</t>
  </si>
  <si>
    <t>EVhXsfuXmz0x3ZT3</t>
  </si>
  <si>
    <t>b1uUsPjyrlVTLACw</t>
  </si>
  <si>
    <t>obfwgiS5SiDC4u68</t>
  </si>
  <si>
    <t>s3K9xmWDeki5YWTJ</t>
  </si>
  <si>
    <t>18sI6MT9vcb1h4O8</t>
  </si>
  <si>
    <t>t3eMf7gMREtOSROM</t>
  </si>
  <si>
    <t>cmgcSqHbFuRj6X1h</t>
  </si>
  <si>
    <t>SHTI9gc55WNynM7q</t>
  </si>
  <si>
    <t>tWX5D1t6e8KlUgYF</t>
  </si>
  <si>
    <t>EP9dmqiFVKRd57iA</t>
  </si>
  <si>
    <t>L1JJBIuntkHHt0sJ</t>
  </si>
  <si>
    <t>TFNDuopN9UDzRtPS</t>
  </si>
  <si>
    <t>6rJteKujieKgjztY</t>
  </si>
  <si>
    <t>7MvdGerBjRa8fmeP</t>
  </si>
  <si>
    <t>WebVYBBlYaqzdhat</t>
  </si>
  <si>
    <t>6Uc2iVjid6QytkMR</t>
  </si>
  <si>
    <t>Nmxl20JQlTiAHNRF</t>
  </si>
  <si>
    <t>SyvtV2HK6h5p1vzZ</t>
  </si>
  <si>
    <t>GzCvilF3PmyOnJKk</t>
  </si>
  <si>
    <t>cadMKzDOS7imR68R</t>
  </si>
  <si>
    <t>yccJ8x3NaC0AwCmk</t>
  </si>
  <si>
    <t>e3BQJna1JV8orvkh</t>
  </si>
  <si>
    <t>1Q0PY3BUzlYMo4Y6</t>
  </si>
  <si>
    <t>7GwlF8MffvaDlUKb</t>
  </si>
  <si>
    <t>WMKYfYO7OJTe0hsm</t>
  </si>
  <si>
    <t>8fKZh9ldUxeh6V7H</t>
  </si>
  <si>
    <t>KNPJ5lQ1SF8i8VpJ</t>
  </si>
  <si>
    <t>E7odlFeFinAhvZY3</t>
  </si>
  <si>
    <t>AMGc6SR2FIyfy4oq</t>
  </si>
  <si>
    <t>f1dw8CiQfdIgu0o5</t>
  </si>
  <si>
    <t>lb6rompB5mADZaMJ</t>
  </si>
  <si>
    <t>b4KY42sNOGO54xFW</t>
  </si>
  <si>
    <t>rd4bFFXvMBfnlZ5c</t>
  </si>
  <si>
    <t>c5ojqBxe9kR6TJ4Q</t>
  </si>
  <si>
    <t>NnvVPINJhA3YF6PI</t>
  </si>
  <si>
    <t>PUAPrhfUcLGXsRmv</t>
  </si>
  <si>
    <t>CHprjKSYlnELXEQo</t>
  </si>
  <si>
    <t>4K75M6oxrK4drMiM</t>
  </si>
  <si>
    <t>giJP8F7wip9jppof</t>
  </si>
  <si>
    <t>8ieWUAXYfXUhts91</t>
  </si>
  <si>
    <t>Woy4Taw4WRHpUPsE</t>
  </si>
  <si>
    <t>JkPCrYPNxkzJAFjv</t>
  </si>
  <si>
    <t>TsZyD8WY2nRuauW0</t>
  </si>
  <si>
    <t>Z4WNa3wOsEL9pKg3</t>
  </si>
  <si>
    <t>VhGZKNkYBcmtIwsd</t>
  </si>
  <si>
    <t>PJouAwSOK3f0IOJ7</t>
  </si>
  <si>
    <t>nwJqtqjkjFZ1hl31</t>
  </si>
  <si>
    <t>AT1gmCPJry0LxEHz</t>
  </si>
  <si>
    <t>S01aUs0am28GQLRJ</t>
  </si>
  <si>
    <t>VDSlmjObvgtHO1rx</t>
  </si>
  <si>
    <t>qXtIB4wGPJsbH5DI</t>
  </si>
  <si>
    <t>Qjz4p1ysbtOtzqmX</t>
  </si>
  <si>
    <t>BbHRdm0CdlouR7VD</t>
  </si>
  <si>
    <t>YIapUbkJLv9bgVdK</t>
  </si>
  <si>
    <t>xJJ1j87Pi3BGi6pi</t>
  </si>
  <si>
    <t>kwPrTA5DKh5bAMQ8</t>
  </si>
  <si>
    <t>ntG8Yjj4AwlnV9AD</t>
  </si>
  <si>
    <t>CAR2019-0891</t>
  </si>
  <si>
    <t>CAR2021-6208</t>
  </si>
  <si>
    <t>COM2021-3105</t>
  </si>
  <si>
    <t>CAR2021-7607</t>
  </si>
  <si>
    <t>CAR2021-7602</t>
  </si>
  <si>
    <t>CAR2021-6403</t>
  </si>
  <si>
    <t>CAR2021-6474</t>
  </si>
  <si>
    <t>CAR2021-6487</t>
  </si>
  <si>
    <t>CAR2021-6681</t>
  </si>
  <si>
    <t>CAR2021-7288</t>
  </si>
  <si>
    <t>CAR2021-7035</t>
  </si>
  <si>
    <t>PAR2021-2249</t>
  </si>
  <si>
    <t>PAR2021-3349</t>
  </si>
  <si>
    <t>PAR2021-0101</t>
  </si>
  <si>
    <t>COM2021-3709</t>
  </si>
  <si>
    <t>COM2021-3716</t>
  </si>
  <si>
    <t>COM2021-3967</t>
  </si>
  <si>
    <t>COM2021-3327</t>
  </si>
  <si>
    <t>COM2021-3329</t>
  </si>
  <si>
    <t>COM2022-0425</t>
  </si>
  <si>
    <t>CAR2022-0490</t>
  </si>
  <si>
    <t>CAR2021-0274</t>
  </si>
  <si>
    <t>CAR2021-7452</t>
  </si>
  <si>
    <t>CAR2021-6209</t>
  </si>
  <si>
    <t>CAR2021-0805</t>
  </si>
  <si>
    <t>CAR2021-5496</t>
  </si>
  <si>
    <t>CAR2021-6210</t>
  </si>
  <si>
    <t>COM2020-0979</t>
  </si>
  <si>
    <t>PAR2018-1817</t>
  </si>
  <si>
    <t>PAR2020-0158</t>
  </si>
  <si>
    <t>CAR2021-6628</t>
  </si>
  <si>
    <t>CAR2021-5481</t>
  </si>
  <si>
    <t>CAR2021-5653</t>
  </si>
  <si>
    <t>CAR2921-5618</t>
  </si>
  <si>
    <t>CAR2021-6682</t>
  </si>
  <si>
    <t>CAR2019-3580</t>
  </si>
  <si>
    <t>CAR2021-6077</t>
  </si>
  <si>
    <t>CAR2017-2704</t>
  </si>
  <si>
    <t>CAR2021-5484</t>
  </si>
  <si>
    <t>CAR2021-6895</t>
  </si>
  <si>
    <t>CAR2021-6418</t>
  </si>
  <si>
    <t>CAR2021-6641</t>
  </si>
  <si>
    <t>CAR2021-5211</t>
  </si>
  <si>
    <t>CAR2021-5801</t>
  </si>
  <si>
    <t>CAR2021-7442</t>
  </si>
  <si>
    <t>PAR2021-3176</t>
  </si>
  <si>
    <t>CAR2020-1048</t>
  </si>
  <si>
    <t>COM2022-0105</t>
  </si>
  <si>
    <t>COM2021-3108</t>
  </si>
  <si>
    <t>PAR2020-3396</t>
  </si>
  <si>
    <t>PAR2017-3369</t>
  </si>
  <si>
    <t>CAR2021-5843</t>
  </si>
  <si>
    <t>CAR2021-5485</t>
  </si>
  <si>
    <t>CAR2017-2921</t>
  </si>
  <si>
    <t>CAR2021-6283</t>
  </si>
  <si>
    <t>PAR2021-3321</t>
  </si>
  <si>
    <t>PAR2021-3578</t>
  </si>
  <si>
    <t>PAR2021-3547</t>
  </si>
  <si>
    <t>CAR2021-7546</t>
  </si>
  <si>
    <t>CAR2021-5434</t>
  </si>
  <si>
    <t>PAR2021-0707</t>
  </si>
  <si>
    <t>PAR2021-1158</t>
  </si>
  <si>
    <t>PAR2021-3383</t>
  </si>
  <si>
    <t>PAR2021-3385</t>
  </si>
  <si>
    <t>COM2021-1136</t>
  </si>
  <si>
    <t>PAR2021-3334</t>
  </si>
  <si>
    <t>PAR2021-3142</t>
  </si>
  <si>
    <t>PAR2021-3573</t>
  </si>
  <si>
    <t>PAR2021-3500</t>
  </si>
  <si>
    <t>COM2021-3168</t>
  </si>
  <si>
    <t>PAR2021-3359</t>
  </si>
  <si>
    <t>COM2020-3531</t>
  </si>
  <si>
    <t>PAR2021-1171</t>
  </si>
  <si>
    <t>PAR2021-1133</t>
  </si>
  <si>
    <t>PAR2019-1418</t>
  </si>
  <si>
    <t>PAR2020-3162</t>
  </si>
  <si>
    <t>PAR2021-2157</t>
  </si>
  <si>
    <t>PAR2021-3376</t>
  </si>
  <si>
    <t>PAR2020-1762</t>
  </si>
  <si>
    <t>PAR2019-2551</t>
  </si>
  <si>
    <t>PAR2020-3528</t>
  </si>
  <si>
    <t>PAR2021-1142</t>
  </si>
  <si>
    <t>COM2021-3917</t>
  </si>
  <si>
    <t>COM2022-0131</t>
  </si>
  <si>
    <t>COM2021-3541</t>
  </si>
  <si>
    <t>COM2021-3522</t>
  </si>
  <si>
    <t>CAR2020-4252</t>
  </si>
  <si>
    <t>CAR2021-7604</t>
  </si>
  <si>
    <t>CAR2021-7610</t>
  </si>
  <si>
    <t>CAR2019-1908</t>
  </si>
  <si>
    <t>COM2020-1716</t>
  </si>
  <si>
    <t>CAR2021-6091</t>
  </si>
  <si>
    <t>COM2020-1997</t>
  </si>
  <si>
    <t>CAR2019-3748</t>
  </si>
  <si>
    <t>CAR2021-0445</t>
  </si>
  <si>
    <t>PAR2021-3971</t>
  </si>
  <si>
    <t>CAR2021-0547</t>
  </si>
  <si>
    <t>CAR2020-4620</t>
  </si>
  <si>
    <t>CAR2020-2017</t>
  </si>
  <si>
    <t>PAR2020-0187</t>
  </si>
  <si>
    <t>PAR2021-3514</t>
  </si>
  <si>
    <t>CAR2021-1550</t>
  </si>
  <si>
    <t>CAR2021-7580</t>
  </si>
  <si>
    <t>CAR2021-7431</t>
  </si>
  <si>
    <t>CAR2021-7542</t>
  </si>
  <si>
    <t>CAR2021-5688</t>
  </si>
  <si>
    <t>PAR2022-0235</t>
  </si>
  <si>
    <t>CAR2021-0413</t>
  </si>
  <si>
    <t>CAR2021-6828</t>
  </si>
  <si>
    <t>CAR2022-0422</t>
  </si>
  <si>
    <t>CAR2020-4448</t>
  </si>
  <si>
    <t>COM2021-3157</t>
  </si>
  <si>
    <t>CAR2021-5807</t>
  </si>
  <si>
    <t>PAR2021-3515</t>
  </si>
  <si>
    <t>PAR2021-3396</t>
  </si>
  <si>
    <t>PAR2021-3397</t>
  </si>
  <si>
    <t>PAR2021-3399</t>
  </si>
  <si>
    <t>CAR2021-0467</t>
  </si>
  <si>
    <t>CAR2021-7475</t>
  </si>
  <si>
    <t>CAR2021-6821</t>
  </si>
  <si>
    <t>CAR2021-6691</t>
  </si>
  <si>
    <t>CAR2021-5897</t>
  </si>
  <si>
    <t>CAR2021-7586</t>
  </si>
  <si>
    <t>COM2021-3789</t>
  </si>
  <si>
    <t>COM2021-2512</t>
  </si>
  <si>
    <t>CAR2021-6649</t>
  </si>
  <si>
    <t>CAR2021-5802</t>
  </si>
  <si>
    <t>CAR2021-1431</t>
  </si>
  <si>
    <t>CAR2021-7275</t>
  </si>
  <si>
    <t>CAR2021-7439</t>
  </si>
  <si>
    <t>CAR2020-1691</t>
  </si>
  <si>
    <t>CAR2020-3226</t>
  </si>
  <si>
    <t>CAR2020-5452</t>
  </si>
  <si>
    <t>CAR2021-7450</t>
  </si>
  <si>
    <t>CAR2021-6072</t>
  </si>
  <si>
    <t>CAR2019-2144</t>
  </si>
  <si>
    <t>COM2019-0524</t>
  </si>
  <si>
    <t>CAR2020-3867</t>
  </si>
  <si>
    <t>CAR2021-2673</t>
  </si>
  <si>
    <t>CAR2021-5608</t>
  </si>
  <si>
    <t>CAR2021-0632</t>
  </si>
  <si>
    <t>CAR2020-0088</t>
  </si>
  <si>
    <t>CAR2020-4421</t>
  </si>
  <si>
    <t>CAR2020-0817</t>
  </si>
  <si>
    <t>CAR2021-0626</t>
  </si>
  <si>
    <t>CAR2020-4476</t>
  </si>
  <si>
    <t>COM2021-3799</t>
  </si>
  <si>
    <t>CAR2021-7210</t>
  </si>
  <si>
    <t>CAR2019-1091</t>
  </si>
  <si>
    <t>CAR2021-5858</t>
  </si>
  <si>
    <t>CAR2021-7005</t>
  </si>
  <si>
    <t>CAR2021-6840</t>
  </si>
  <si>
    <t>CAR2021-6637</t>
  </si>
  <si>
    <t>PAR2021-3333</t>
  </si>
  <si>
    <t>COM2019-3415</t>
  </si>
  <si>
    <t>COM2020-0191</t>
  </si>
  <si>
    <t>CAR2021-5808</t>
  </si>
  <si>
    <t>CAR2021-7055</t>
  </si>
  <si>
    <t>CAR2021-7052</t>
  </si>
  <si>
    <t>CAR2022-6684</t>
  </si>
  <si>
    <t>CAR2021-7201</t>
  </si>
  <si>
    <t>CAR2021-5695</t>
  </si>
  <si>
    <t>CAR2021-7479</t>
  </si>
  <si>
    <t>CAR2021-7401</t>
  </si>
  <si>
    <t>CAR2021-6415</t>
  </si>
  <si>
    <t>CAR2018-2638</t>
  </si>
  <si>
    <t>COM2021-3916</t>
  </si>
  <si>
    <t>CAR2020-3870</t>
  </si>
  <si>
    <t>COM2021-3197</t>
  </si>
  <si>
    <t>COM2020-0918</t>
  </si>
  <si>
    <t>COM2021-3366</t>
  </si>
  <si>
    <t>COM2021-1573</t>
  </si>
  <si>
    <t>CAR2021-7095</t>
  </si>
  <si>
    <t>CAR2021-7075</t>
  </si>
  <si>
    <t>CAR2018-2469</t>
  </si>
  <si>
    <t>CAR2021-0640</t>
  </si>
  <si>
    <t>CAR2021-3553</t>
  </si>
  <si>
    <t>CAR2021-0663</t>
  </si>
  <si>
    <t>PAR2019-2943</t>
  </si>
  <si>
    <t>PAR2019-2949</t>
  </si>
  <si>
    <t>PAR2022-0118</t>
  </si>
  <si>
    <t>PAR2022-0104</t>
  </si>
  <si>
    <t>PAR2019-2487</t>
  </si>
  <si>
    <t>PAR2019-2924</t>
  </si>
  <si>
    <t>PAR2019-1676</t>
  </si>
  <si>
    <t>PAR2019-1681</t>
  </si>
  <si>
    <t>CAR2021-1290</t>
  </si>
  <si>
    <t>CAR2019-1327</t>
  </si>
  <si>
    <t>CAR2021-6076</t>
  </si>
  <si>
    <t>CAR2021-0680</t>
  </si>
  <si>
    <t>CAR2019-2613</t>
  </si>
  <si>
    <t>PAR2021-0483</t>
  </si>
  <si>
    <t>PAR2021-3959</t>
  </si>
  <si>
    <t>PAR2019-2964</t>
  </si>
  <si>
    <t>PAR2021-3597</t>
  </si>
  <si>
    <t>PAR2020-3134</t>
  </si>
  <si>
    <t>PAR2019-1645</t>
  </si>
  <si>
    <t>PAR2021-3529</t>
  </si>
  <si>
    <t>PAR2019-2765</t>
  </si>
  <si>
    <t>PAR2021-1923</t>
  </si>
  <si>
    <t>PAR2021-3904</t>
  </si>
  <si>
    <t>PAR2019-2965</t>
  </si>
  <si>
    <t>CAR2021-6022</t>
  </si>
  <si>
    <t>CAR2021-6833</t>
  </si>
  <si>
    <t>CAR2021-5299</t>
  </si>
  <si>
    <t>CAR2020-4654</t>
  </si>
  <si>
    <t>CAR2021-5690</t>
  </si>
  <si>
    <t>COM2021-2913</t>
  </si>
  <si>
    <t>CAR2021-6438</t>
  </si>
  <si>
    <t>CAR2021-6670</t>
  </si>
  <si>
    <t>CAR2021-5841</t>
  </si>
  <si>
    <t>CAR2021-5846</t>
  </si>
  <si>
    <t>CAR2021-7216</t>
  </si>
  <si>
    <t>CAR2021-7215</t>
  </si>
  <si>
    <t>CAR2021-6464</t>
  </si>
  <si>
    <t>CAR2021-5647</t>
  </si>
  <si>
    <t>CAR2019-1504</t>
  </si>
  <si>
    <t>CAR2021-5657</t>
  </si>
  <si>
    <t>CAR2021-6442</t>
  </si>
  <si>
    <t>CAR2021-5649</t>
  </si>
  <si>
    <t>CAR2021-0891</t>
  </si>
  <si>
    <t>CAR2021-6466</t>
  </si>
  <si>
    <t>CAR2021-7072</t>
  </si>
  <si>
    <t>CAR2021-5625</t>
  </si>
  <si>
    <t>CAR2021-5645</t>
  </si>
  <si>
    <t>CAR2021-5046</t>
  </si>
  <si>
    <t>CAR2021-5845</t>
  </si>
  <si>
    <t>COM2021-7717</t>
  </si>
  <si>
    <t>CAR2018-3343</t>
  </si>
  <si>
    <t>CAR2021-6277</t>
  </si>
  <si>
    <t>PAR2021-2777</t>
  </si>
  <si>
    <t>PAR2021-3580</t>
  </si>
  <si>
    <t>PAR2021-3703</t>
  </si>
  <si>
    <t>PAR2019-2136</t>
  </si>
  <si>
    <t>PAR2019-3046</t>
  </si>
  <si>
    <t>CAR2019-1988</t>
  </si>
  <si>
    <t>CAR2021-5673</t>
  </si>
  <si>
    <t>CAR2021-5019</t>
  </si>
  <si>
    <t>CAR2021-1066</t>
  </si>
  <si>
    <t>CAR2021-6040</t>
  </si>
  <si>
    <t>CAR2019-0442</t>
  </si>
  <si>
    <t>COM2021-7471</t>
  </si>
  <si>
    <t>COM2021-7611</t>
  </si>
  <si>
    <t>PAR2019-0259</t>
  </si>
  <si>
    <t>PAR2020-1720</t>
  </si>
  <si>
    <t>PAR2021-3510</t>
  </si>
  <si>
    <t>PAR2021-3511</t>
  </si>
  <si>
    <t>PAR2021-3584</t>
  </si>
  <si>
    <t>PAR2019-2755</t>
  </si>
  <si>
    <t>PAR2019-2559</t>
  </si>
  <si>
    <t>PAR2020-1721</t>
  </si>
  <si>
    <t>PAR2020-3124</t>
  </si>
  <si>
    <t>PAR2019-0583</t>
  </si>
  <si>
    <t>CAR2021-4086</t>
  </si>
  <si>
    <t>PAR2020-3555</t>
  </si>
  <si>
    <t>PAR2021-0983</t>
  </si>
  <si>
    <t>PAR2021-0941</t>
  </si>
  <si>
    <t>PAR2021-1759</t>
  </si>
  <si>
    <t>PAR2021-3540</t>
  </si>
  <si>
    <t>PAR2021-2381</t>
  </si>
  <si>
    <t>PAR2021-2388</t>
  </si>
  <si>
    <t>PAR2021-2158</t>
  </si>
  <si>
    <t>PAR2021-1172</t>
  </si>
  <si>
    <t>CAR2021-6082</t>
  </si>
  <si>
    <t>CAR2021-6286</t>
  </si>
  <si>
    <t>CAR2021-7018</t>
  </si>
  <si>
    <t>CAR2021-6622</t>
  </si>
  <si>
    <t>CAR2021-6084</t>
  </si>
  <si>
    <t>CAR2021-7437</t>
  </si>
  <si>
    <t>CAR2021-6019</t>
  </si>
  <si>
    <t>COM2020-0143</t>
  </si>
  <si>
    <t>COM2021-3103</t>
  </si>
  <si>
    <t>CAR2019-1357</t>
  </si>
  <si>
    <t>CAR2020-1400</t>
  </si>
  <si>
    <t>CAR2021-5614</t>
  </si>
  <si>
    <t>COM2021-3309</t>
  </si>
  <si>
    <t>COM2021-3339</t>
  </si>
  <si>
    <t>CAR2021-6627</t>
  </si>
  <si>
    <t>CAR2020-1699</t>
  </si>
  <si>
    <t>CAR2021-6824</t>
  </si>
  <si>
    <t>CAR2021-6919</t>
  </si>
  <si>
    <t>CAR2021-5873</t>
  </si>
  <si>
    <t>CAR2021-7445</t>
  </si>
  <si>
    <t>PAR2020-0730</t>
  </si>
  <si>
    <t>PAR2021-3354</t>
  </si>
  <si>
    <t>PAR2021-3363</t>
  </si>
  <si>
    <t>PAR2021-3773</t>
  </si>
  <si>
    <t>PAR2019-1460</t>
  </si>
  <si>
    <t>CAR2020-4840</t>
  </si>
  <si>
    <t>CAR2021-5206</t>
  </si>
  <si>
    <t>CAR2021-2473</t>
  </si>
  <si>
    <t>CAR2021-7090</t>
  </si>
  <si>
    <t>PAR2021-3337</t>
  </si>
  <si>
    <t>CAR2019-1146</t>
  </si>
  <si>
    <t>PAR2018-0504</t>
  </si>
  <si>
    <t>PAR2022-0129</t>
  </si>
  <si>
    <t>PAR2022-0130</t>
  </si>
  <si>
    <t>PAR2022-0126</t>
  </si>
  <si>
    <t>COM2021-2987</t>
  </si>
  <si>
    <t>COM2021-2997</t>
  </si>
  <si>
    <t>COM2021-2500</t>
  </si>
  <si>
    <t>COM2021-3106</t>
  </si>
  <si>
    <t>PAR2021-3172</t>
  </si>
  <si>
    <t>PAR2021-2357</t>
  </si>
  <si>
    <t>COM2021-3572</t>
  </si>
  <si>
    <t>PAR2021-3193</t>
  </si>
  <si>
    <t>COM2021-1717</t>
  </si>
  <si>
    <t>COM2021-1721</t>
  </si>
  <si>
    <t>COM2021-2989</t>
  </si>
  <si>
    <t>COM2021-3116</t>
  </si>
  <si>
    <t>COM2021-3577</t>
  </si>
  <si>
    <t>PAR2021-3387</t>
  </si>
  <si>
    <t>COM2019-2103</t>
  </si>
  <si>
    <t>PAR2019-1822</t>
  </si>
  <si>
    <t>COM2021-2738</t>
  </si>
  <si>
    <t>COM2021-3997</t>
  </si>
  <si>
    <t>CAR2018-2932</t>
  </si>
  <si>
    <t>CAR2021-0883</t>
  </si>
  <si>
    <t>CAR2021-7525</t>
  </si>
  <si>
    <t>CAR2021-7527</t>
  </si>
  <si>
    <t>CAR2021-7489</t>
  </si>
  <si>
    <t>CAR2021-7486</t>
  </si>
  <si>
    <t>CAR2021-7484</t>
  </si>
  <si>
    <t>CAR2021-7478</t>
  </si>
  <si>
    <t>CAR2021-7529</t>
  </si>
  <si>
    <t>CAR2021-7522</t>
  </si>
  <si>
    <t>CAR2021-7523</t>
  </si>
  <si>
    <t>CAR2021-5809</t>
  </si>
  <si>
    <t>CAR2021-6808</t>
  </si>
  <si>
    <t>COM2021-2974</t>
  </si>
  <si>
    <t>COM2021-2752</t>
  </si>
  <si>
    <t>COM2021-3720</t>
  </si>
  <si>
    <t>COM2021-0747</t>
  </si>
  <si>
    <t>PAR2021-1991</t>
  </si>
  <si>
    <t>CAR2021-7046</t>
  </si>
  <si>
    <t>CAR2021-6685</t>
  </si>
  <si>
    <t>CAR2021-7605</t>
  </si>
  <si>
    <t>CAR2021-7606</t>
  </si>
  <si>
    <t>CAR2021-0012</t>
  </si>
  <si>
    <t>CAR2021-7536</t>
  </si>
  <si>
    <t>CAR2021-6090</t>
  </si>
  <si>
    <t>CAR2021-5685</t>
  </si>
  <si>
    <t>CAR2021-7538</t>
  </si>
  <si>
    <t>CAR2021-7451</t>
  </si>
  <si>
    <t>CAR2020-4262</t>
  </si>
  <si>
    <t>CAR2021-5264</t>
  </si>
  <si>
    <t>COM2020-1486</t>
  </si>
  <si>
    <t>PAR2019-1649</t>
  </si>
  <si>
    <t>PAR2019-1686</t>
  </si>
  <si>
    <t>PAR2019-0343</t>
  </si>
  <si>
    <t>PAR2021-3741</t>
  </si>
  <si>
    <t>PAR2019-2758</t>
  </si>
  <si>
    <t>PAR2020-0156</t>
  </si>
  <si>
    <t>PAR2019-2759</t>
  </si>
  <si>
    <t>CAR2021-5279</t>
  </si>
  <si>
    <t>CAR2021-7205</t>
  </si>
  <si>
    <t>COM2021-3171</t>
  </si>
  <si>
    <t>COM2021-3998</t>
  </si>
  <si>
    <t>CAR2021-6071</t>
  </si>
  <si>
    <t>CAR2021-5822</t>
  </si>
  <si>
    <t>PAR2021-0178</t>
  </si>
  <si>
    <t>COM2021-2995</t>
  </si>
  <si>
    <t>PAR2021-7548</t>
  </si>
  <si>
    <t>CAR2021-7673</t>
  </si>
  <si>
    <t>CAR2020-0694</t>
  </si>
  <si>
    <t>CAR2021-5876</t>
  </si>
  <si>
    <t>CAR2020-1238</t>
  </si>
  <si>
    <t>CAR2021-5857</t>
  </si>
  <si>
    <t>PAR2020-0188</t>
  </si>
  <si>
    <t>CAR2021-7534</t>
  </si>
  <si>
    <t>CAR2021-7541</t>
  </si>
  <si>
    <t>PAR2021-0731</t>
  </si>
  <si>
    <t>PAR2021-0582</t>
  </si>
  <si>
    <t>PAR2021-0579</t>
  </si>
  <si>
    <t>PAR2021-3320</t>
  </si>
  <si>
    <t>PAR2021-3982</t>
  </si>
  <si>
    <t>PAR2021-3134</t>
  </si>
  <si>
    <t>COM2021-3908</t>
  </si>
  <si>
    <t>COM2020-3164</t>
  </si>
  <si>
    <t>COM2017-4214</t>
  </si>
  <si>
    <t>COM2017-4083</t>
  </si>
  <si>
    <t>PAR2021-3585</t>
  </si>
  <si>
    <t>CAR2019-0931</t>
  </si>
  <si>
    <t>CAR2019-3037</t>
  </si>
  <si>
    <t>CAR2021-7017</t>
  </si>
  <si>
    <t>CAR2021-0835</t>
  </si>
  <si>
    <t>COM2019-0356</t>
  </si>
  <si>
    <t>CAR2021-5844</t>
  </si>
  <si>
    <t>CAR2020-1086</t>
  </si>
  <si>
    <t>COM2021-3191</t>
  </si>
  <si>
    <t>CAR2021-3549</t>
  </si>
  <si>
    <t>CAR2021-7535</t>
  </si>
  <si>
    <t>CAR2021-5088</t>
  </si>
  <si>
    <t>COM2021-0782</t>
  </si>
  <si>
    <t>COM2021-3160</t>
  </si>
  <si>
    <t>CAR2021-1211</t>
  </si>
  <si>
    <t>CAR2021-5659</t>
  </si>
  <si>
    <t>CAR2021-6235</t>
  </si>
  <si>
    <t>CAR2021-7204</t>
  </si>
  <si>
    <t>PAR2021-7229</t>
  </si>
  <si>
    <t>CAR2021-7226</t>
  </si>
  <si>
    <t>CAR2021-7227</t>
  </si>
  <si>
    <t>PAR2021-7228</t>
  </si>
  <si>
    <t>COM2018-1932</t>
  </si>
  <si>
    <t>COM2021-3147</t>
  </si>
  <si>
    <t>CAR2021-6809</t>
  </si>
  <si>
    <t>COM2021-3755</t>
  </si>
  <si>
    <t>COM2021-3308</t>
  </si>
  <si>
    <t>PAR2021-3150</t>
  </si>
  <si>
    <t>PAR2021-3145</t>
  </si>
  <si>
    <t>PAR2021-1100</t>
  </si>
  <si>
    <t>PAR2021-3307</t>
  </si>
  <si>
    <t>PAR2021-0979</t>
  </si>
  <si>
    <t>PAR2021-6618</t>
  </si>
  <si>
    <t>PAR2021-3153</t>
  </si>
  <si>
    <t>PAR2021-3757</t>
  </si>
  <si>
    <t>CAR2021-6890</t>
  </si>
  <si>
    <t>COM2018-1499</t>
  </si>
  <si>
    <t>CAR2021-3715</t>
  </si>
  <si>
    <t>PAR2021-0777</t>
  </si>
  <si>
    <t>COM2021-0026</t>
  </si>
  <si>
    <t>PAR2021-0369</t>
  </si>
  <si>
    <t>COM2021-3178</t>
  </si>
  <si>
    <t>CAR2021-7015</t>
  </si>
  <si>
    <t>CAR2021-7039</t>
  </si>
  <si>
    <t>CAR2020-3405</t>
  </si>
  <si>
    <t>CAR2021-3891</t>
  </si>
  <si>
    <t>CAR2021-2851</t>
  </si>
  <si>
    <t>CAR2021-6251</t>
  </si>
  <si>
    <t>CAR2021-6250</t>
  </si>
  <si>
    <t>CAR2021-6699</t>
  </si>
  <si>
    <t>CAR2021-6619</t>
  </si>
  <si>
    <t>CAR2021-6698</t>
  </si>
  <si>
    <t>PAR2019-0104</t>
  </si>
  <si>
    <t>PAR2021-3520</t>
  </si>
  <si>
    <t>PAR2019-2528</t>
  </si>
  <si>
    <t>PAR2021-3519</t>
  </si>
  <si>
    <t>PAR2022-0101</t>
  </si>
  <si>
    <t>PAR2021-1311</t>
  </si>
  <si>
    <t>CAR2021-5414</t>
  </si>
  <si>
    <t>CAR2021-7543</t>
  </si>
  <si>
    <t>COM2021-1719</t>
  </si>
  <si>
    <t>PAR2021-2756</t>
  </si>
  <si>
    <t>PAR2021-2855</t>
  </si>
  <si>
    <t>CAR2021-7414</t>
  </si>
  <si>
    <t>CAR2021-7011</t>
  </si>
  <si>
    <t>COM2022-0176</t>
  </si>
  <si>
    <t>COM2022-0108</t>
  </si>
  <si>
    <t>COM2021-1304</t>
  </si>
  <si>
    <t>PAR2021-0901</t>
  </si>
  <si>
    <t>PAR2021-1358</t>
  </si>
  <si>
    <t>PAR2021-0166</t>
  </si>
  <si>
    <t>COM2021-2984</t>
  </si>
  <si>
    <t>PAR2021-2538</t>
  </si>
  <si>
    <t>CAR2021-7507</t>
  </si>
  <si>
    <t>CAR2021-7219</t>
  </si>
  <si>
    <t>COM2021-6615</t>
  </si>
  <si>
    <t>COM2021-7298</t>
  </si>
  <si>
    <t>COM2021-2729</t>
  </si>
  <si>
    <t>PAR2019-2948</t>
  </si>
  <si>
    <t>PAR2021-3360</t>
  </si>
  <si>
    <t>PAR2019-2568</t>
  </si>
  <si>
    <t>CAR2021-0228</t>
  </si>
  <si>
    <t>COM2019-2672</t>
  </si>
  <si>
    <t>CAR2021-5831</t>
  </si>
  <si>
    <t>CAR2021-5629</t>
  </si>
  <si>
    <t>CAR2021-5615</t>
  </si>
  <si>
    <t>CAR2021-6486</t>
  </si>
  <si>
    <t>CAR2021-6433</t>
  </si>
  <si>
    <t>CAR2021-5867</t>
  </si>
  <si>
    <t>CAR2022-0002</t>
  </si>
  <si>
    <t>CAR2021-5859</t>
  </si>
  <si>
    <t>CAR2020-1073</t>
  </si>
  <si>
    <t>CAR2021-1685</t>
  </si>
  <si>
    <t>CAR2021-1624</t>
  </si>
  <si>
    <t>CAR2021-1637</t>
  </si>
  <si>
    <t>CAR2021-2404</t>
  </si>
  <si>
    <t>CAR2021-5259</t>
  </si>
  <si>
    <t>CAR2020-0424</t>
  </si>
  <si>
    <t>CAR2019-2333</t>
  </si>
  <si>
    <t>CAR2021-6856</t>
  </si>
  <si>
    <t>CAR2021-6858</t>
  </si>
  <si>
    <t>CAR2021-6686</t>
  </si>
  <si>
    <t>CAR2021-6662</t>
  </si>
  <si>
    <t>CAR2021-5651</t>
  </si>
  <si>
    <t>CAR2020-0278</t>
  </si>
  <si>
    <t>COM2021-3994</t>
  </si>
  <si>
    <t>PAR2021-1532</t>
  </si>
  <si>
    <t>PAR2021-1713</t>
  </si>
  <si>
    <t>PAR2022-0122</t>
  </si>
  <si>
    <t>PAR2021-4110</t>
  </si>
  <si>
    <t>PAR2021-4107</t>
  </si>
  <si>
    <t>PAR2022-0173</t>
  </si>
  <si>
    <t>COM2021-4112</t>
  </si>
  <si>
    <t>PAR2021-4113</t>
  </si>
  <si>
    <t>CAR2018-1499</t>
  </si>
  <si>
    <t>PAR2021-3392</t>
  </si>
  <si>
    <t>CAR2021-7239</t>
  </si>
  <si>
    <t>CAR2021-7260</t>
  </si>
  <si>
    <t>CAR2021-7248</t>
  </si>
  <si>
    <t>CAR2021-6273</t>
  </si>
  <si>
    <t>CAR2021-6489</t>
  </si>
  <si>
    <t>COM2020-2585</t>
  </si>
  <si>
    <t>PAR2021-3700</t>
  </si>
  <si>
    <t>PAR2021-3557</t>
  </si>
  <si>
    <t>PAR2021-0726</t>
  </si>
  <si>
    <t>PAR2021-3708</t>
  </si>
  <si>
    <t>PAR2021-3503</t>
  </si>
  <si>
    <t>PAR2019-0001</t>
  </si>
  <si>
    <t>PAR2021-1951</t>
  </si>
  <si>
    <t>PAR2021-1952</t>
  </si>
  <si>
    <t>PAR2021-1372</t>
  </si>
  <si>
    <t>PAR2019-0718</t>
  </si>
  <si>
    <t>PAR2020-3121</t>
  </si>
  <si>
    <t>PAR2021-3705</t>
  </si>
  <si>
    <t>PAR2020-3120</t>
  </si>
  <si>
    <t>PAR2021-1387</t>
  </si>
  <si>
    <t>PAR2021-1356</t>
  </si>
  <si>
    <t>PAR2016-1361</t>
  </si>
  <si>
    <t>PAR2021-1129</t>
  </si>
  <si>
    <t>PAR2019-0018</t>
  </si>
  <si>
    <t>PAR2021-1946</t>
  </si>
  <si>
    <t>PAR2021-0325</t>
  </si>
  <si>
    <t>PAR2021-0316</t>
  </si>
  <si>
    <t>PAR2021-1715</t>
  </si>
  <si>
    <t>PAR2021-1351</t>
  </si>
  <si>
    <t>PAR2021-0517</t>
  </si>
  <si>
    <t>PAR2021-0394</t>
  </si>
  <si>
    <t>PAR2021-7051</t>
  </si>
  <si>
    <t>PAR2021-3753</t>
  </si>
  <si>
    <t>PAR2020-0112</t>
  </si>
  <si>
    <t>PAR2021-0879</t>
  </si>
  <si>
    <t>PAR2019-2320</t>
  </si>
  <si>
    <t>PAR2021-2779</t>
  </si>
  <si>
    <t>PAR2018-2734</t>
  </si>
  <si>
    <t>PAR2019-2763</t>
  </si>
  <si>
    <t>COM2021-0396</t>
  </si>
  <si>
    <t>COM2021-2994</t>
  </si>
  <si>
    <t>COM2021-2993</t>
  </si>
  <si>
    <t>CAR2021-1040</t>
  </si>
  <si>
    <t>COM2020-3558</t>
  </si>
  <si>
    <t>PAR2022-0148</t>
  </si>
  <si>
    <t>PAR2019-2841</t>
  </si>
  <si>
    <t>PAR2021-2702</t>
  </si>
  <si>
    <t>COM2021-3107</t>
  </si>
  <si>
    <t>COM2021-3315</t>
  </si>
  <si>
    <t>CAR2021-1485</t>
  </si>
  <si>
    <t>CAR2020-0618</t>
  </si>
  <si>
    <t>CAR2021-1361</t>
  </si>
  <si>
    <t>CAR2021-1940</t>
  </si>
  <si>
    <t>PAR2021-7490</t>
  </si>
  <si>
    <t>CAR2021-7487</t>
  </si>
  <si>
    <t>PAR2019-3281</t>
  </si>
  <si>
    <t>COM2021-0783</t>
  </si>
  <si>
    <t>COM2018-2844</t>
  </si>
  <si>
    <t>CAR2021-3374</t>
  </si>
  <si>
    <t>PAR2021-3744</t>
  </si>
  <si>
    <t>PAR2019-1793</t>
  </si>
  <si>
    <t>PAR2021-2906</t>
  </si>
  <si>
    <t>PAR2021-3735</t>
  </si>
  <si>
    <t>PAR2019-2927</t>
  </si>
  <si>
    <t>PAR2021-3537</t>
  </si>
  <si>
    <t>PAR2019-2735</t>
  </si>
  <si>
    <t>PAR2021-3536</t>
  </si>
  <si>
    <t>CAR2018-1680</t>
  </si>
  <si>
    <t>PAR2021-3975</t>
  </si>
  <si>
    <t>PAR2021-3983</t>
  </si>
  <si>
    <t>PAR2022-0133</t>
  </si>
  <si>
    <t>COM2021-3906</t>
  </si>
  <si>
    <t>COM2021-3907</t>
  </si>
  <si>
    <t>COM2021-7299</t>
  </si>
  <si>
    <t>PAR2021-4102</t>
  </si>
  <si>
    <t>PAR2019-0371</t>
  </si>
  <si>
    <t>PAR2021-0312</t>
  </si>
  <si>
    <t>PAR2019-3223</t>
  </si>
  <si>
    <t>PAR2021-2778</t>
  </si>
  <si>
    <t>PAR2021-7277</t>
  </si>
  <si>
    <t>PAR2021-6412</t>
  </si>
  <si>
    <t>PAR2020-0318</t>
  </si>
  <si>
    <t>CAR2021-5082</t>
  </si>
  <si>
    <t>CAR2020-5665</t>
  </si>
  <si>
    <t>CAR2021-6288</t>
  </si>
  <si>
    <t>CAR202113049</t>
  </si>
  <si>
    <t>CAR2021-3051</t>
  </si>
  <si>
    <t>COM2021-2771</t>
  </si>
  <si>
    <t>COM2020-0583</t>
  </si>
  <si>
    <t>CAR2021-1792</t>
  </si>
  <si>
    <t>PAR2021-3727</t>
  </si>
  <si>
    <t>PAR2021-4106</t>
  </si>
  <si>
    <t>PAR2021-4105</t>
  </si>
  <si>
    <t>PAR2021-0585</t>
  </si>
  <si>
    <t>PAR2021-3955</t>
  </si>
  <si>
    <t>PAR2021-3990</t>
  </si>
  <si>
    <t>PAR2021-3721</t>
  </si>
  <si>
    <t>PAR2021-2153</t>
  </si>
  <si>
    <t>PAR2021-3938</t>
  </si>
  <si>
    <t>COM2019-3236</t>
  </si>
  <si>
    <t>COM2019-1218</t>
  </si>
  <si>
    <t>COM2019-3072</t>
  </si>
  <si>
    <t>COM2020-0782</t>
  </si>
  <si>
    <t>PAR2021-2586</t>
  </si>
  <si>
    <t>COM2020-1314</t>
  </si>
  <si>
    <t>COM2019-2327</t>
  </si>
  <si>
    <t>PAR2019-2328</t>
  </si>
  <si>
    <t>PAR2019-2341</t>
  </si>
  <si>
    <t>PAR2022-0179</t>
  </si>
  <si>
    <t>PAR2022-0180</t>
  </si>
  <si>
    <t>COM2018-1152</t>
  </si>
  <si>
    <t>PAR2022-0163</t>
  </si>
  <si>
    <t>COM2021-2773</t>
  </si>
  <si>
    <t>COM2019-2308</t>
  </si>
  <si>
    <t>PAR2021-0360</t>
  </si>
  <si>
    <t>PAR2021-0161</t>
  </si>
  <si>
    <t>COM2022-0109</t>
  </si>
  <si>
    <t>COM2020-0915</t>
  </si>
  <si>
    <t>COM2021-3702</t>
  </si>
  <si>
    <t>COM2018-2895</t>
  </si>
  <si>
    <t>COM2019-1458</t>
  </si>
  <si>
    <t>PAR2021-3931</t>
  </si>
  <si>
    <t>COM2017-2638</t>
  </si>
  <si>
    <t>COM2020-2325</t>
  </si>
  <si>
    <t>COM2019-2631</t>
  </si>
  <si>
    <t>CAR2020-3866</t>
  </si>
  <si>
    <t>CAR2021-7256</t>
  </si>
  <si>
    <t>CAR2021-7461</t>
  </si>
  <si>
    <t>CAR2021-2641</t>
  </si>
  <si>
    <t>COM2021-2942</t>
  </si>
  <si>
    <t>PAR2021-3714</t>
  </si>
  <si>
    <t>CAR2021-6008</t>
  </si>
  <si>
    <t>COM2021-6818</t>
  </si>
  <si>
    <t>COM2021-4628</t>
  </si>
  <si>
    <t>CAR2017-4087</t>
  </si>
  <si>
    <t>COM2021-6817</t>
  </si>
  <si>
    <t>CAR2021-5213</t>
  </si>
  <si>
    <t>CAR2021-5224</t>
  </si>
  <si>
    <t>CAR2021-5812</t>
  </si>
  <si>
    <t>CAR2021-0270</t>
  </si>
  <si>
    <t>CAR2021-5891</t>
  </si>
  <si>
    <t>CAR2021-7417</t>
  </si>
  <si>
    <t>CAR2021-7428</t>
  </si>
  <si>
    <t>CAR2021-6002</t>
  </si>
  <si>
    <t>CAR2021-5216</t>
  </si>
  <si>
    <t>CAR2021-5899</t>
  </si>
  <si>
    <t>CAR2021-5815</t>
  </si>
  <si>
    <t>CAR2021-7440</t>
  </si>
  <si>
    <t>CAR2021-6000</t>
  </si>
  <si>
    <t>CAR2021-6204</t>
  </si>
  <si>
    <t>COM2019-1426</t>
  </si>
  <si>
    <t>COM2022-0141</t>
  </si>
  <si>
    <t>COM2022-0140</t>
  </si>
  <si>
    <t>COM2020-1913</t>
  </si>
  <si>
    <t>COM2021-3761</t>
  </si>
  <si>
    <t>COM2021-3775</t>
  </si>
  <si>
    <t>COM2021-3769</t>
  </si>
  <si>
    <t>CAR2021-1217</t>
  </si>
  <si>
    <t>COM2021-3369</t>
  </si>
  <si>
    <t>COM2021-2980</t>
  </si>
  <si>
    <t>COM2021-3949</t>
  </si>
  <si>
    <t>COM2020-3192</t>
  </si>
  <si>
    <t>COM2021-3948</t>
  </si>
  <si>
    <t>CAR2020-0248</t>
  </si>
  <si>
    <t>CAR2020-0247</t>
  </si>
  <si>
    <t>CAR2021-5671</t>
  </si>
  <si>
    <t>CAR2021-5461</t>
  </si>
  <si>
    <t>CAR2021-3470</t>
  </si>
  <si>
    <t>CAR2022-0419</t>
  </si>
  <si>
    <t>CAR2021-6680</t>
  </si>
  <si>
    <t>CAR2021-7572</t>
  </si>
  <si>
    <t>CAR2021-7223</t>
  </si>
  <si>
    <t>CAR2021-5214</t>
  </si>
  <si>
    <t>CAR2021-6047</t>
  </si>
  <si>
    <t>COM2021-3182</t>
  </si>
  <si>
    <t>COM2020-2336</t>
  </si>
  <si>
    <t>COM2020-2928</t>
  </si>
  <si>
    <t>PAR2020-0338</t>
  </si>
  <si>
    <t>PAR2019-1238</t>
  </si>
  <si>
    <t>CAR2021-7061</t>
  </si>
  <si>
    <t>CAR2021-6096</t>
  </si>
  <si>
    <t>CAR2021-7054</t>
  </si>
  <si>
    <t>CAR2021-0248</t>
  </si>
  <si>
    <t>CAR2021-7496</t>
  </si>
  <si>
    <t>CAR2021-2808</t>
  </si>
  <si>
    <t>CAR2021-6899</t>
  </si>
  <si>
    <t>CAR2021-7446</t>
  </si>
  <si>
    <t>CAR2021-5818</t>
  </si>
  <si>
    <t>CAR2021-7447</t>
  </si>
  <si>
    <t>CAR2020-5000</t>
  </si>
  <si>
    <t>CAR2021-7426</t>
  </si>
  <si>
    <t>CAR2021-7425</t>
  </si>
  <si>
    <t>CAR2021-5814</t>
  </si>
  <si>
    <t>CAR2021-5816</t>
  </si>
  <si>
    <t>CAR2019-0856</t>
  </si>
  <si>
    <t>CAR2020-5085</t>
  </si>
  <si>
    <t>CAR2021-5811</t>
  </si>
  <si>
    <t>CAR2020-4896</t>
  </si>
  <si>
    <t>CAR2021-6001</t>
  </si>
  <si>
    <t>CAR2021-5894</t>
  </si>
  <si>
    <t>CAR2021-7019</t>
  </si>
  <si>
    <t>CAR2021-6003</t>
  </si>
  <si>
    <t>COM2021-1707</t>
  </si>
  <si>
    <t>CAR2021-6080</t>
  </si>
  <si>
    <t>CAR2021-7630</t>
  </si>
  <si>
    <t>COM2021-3313</t>
  </si>
  <si>
    <t>COM2021-3184</t>
  </si>
  <si>
    <t>COM2021-3316</t>
  </si>
  <si>
    <t>COM2020-0973</t>
  </si>
  <si>
    <t>COM2020-0984</t>
  </si>
  <si>
    <t>CAR2021-3314</t>
  </si>
  <si>
    <t>COM2021-3765</t>
  </si>
  <si>
    <t>COM2021-3375</t>
  </si>
  <si>
    <t>COM2018-1379</t>
  </si>
  <si>
    <t>COM2021-2935</t>
  </si>
  <si>
    <t>COM2021-2931</t>
  </si>
  <si>
    <t>COM2018-0678</t>
  </si>
  <si>
    <t>COM2020-2970</t>
  </si>
  <si>
    <t>COM2021-2965</t>
  </si>
  <si>
    <t>COM2021-2937</t>
  </si>
  <si>
    <t>COM2021-3918</t>
  </si>
  <si>
    <t>COM2021-3927</t>
  </si>
  <si>
    <t>COM2018-1714</t>
  </si>
  <si>
    <t>COM2018-2132</t>
  </si>
  <si>
    <t>CAR2021-5421</t>
  </si>
  <si>
    <t>CAR2021-5849</t>
  </si>
  <si>
    <t>CAR2021-6863</t>
  </si>
  <si>
    <t>PAR2020-1535</t>
  </si>
  <si>
    <t>PAR2020-1557</t>
  </si>
  <si>
    <t>PAR2021-3521</t>
  </si>
  <si>
    <t>CAR2021-6010</t>
  </si>
  <si>
    <t>CAR2021-6013</t>
  </si>
  <si>
    <t>CAR2021-6028</t>
  </si>
  <si>
    <t>CAR2021-6239</t>
  </si>
  <si>
    <t>CAR2021-6023</t>
  </si>
  <si>
    <t>CAR2021-6041</t>
  </si>
  <si>
    <t>CAR2021-6038</t>
  </si>
  <si>
    <t>CAR2021-7245</t>
  </si>
  <si>
    <t>CAR2022-0006</t>
  </si>
  <si>
    <t>CAR2021-0646</t>
  </si>
  <si>
    <t>CAR2021-5670</t>
  </si>
  <si>
    <t>COM2017-4230</t>
  </si>
  <si>
    <t>COM2021-1724</t>
  </si>
  <si>
    <t>COM2021-3996</t>
  </si>
  <si>
    <t>COM2021-3945</t>
  </si>
  <si>
    <t>COM2018-2371</t>
  </si>
  <si>
    <t>COM2021-3935</t>
  </si>
  <si>
    <t>COM2020-5045</t>
  </si>
  <si>
    <t>COM2021-0179</t>
  </si>
  <si>
    <t>COM2018-2180</t>
  </si>
  <si>
    <t>COM2021-3781</t>
  </si>
  <si>
    <t>COM2021-3988</t>
  </si>
  <si>
    <t>COM2021-3985</t>
  </si>
  <si>
    <t>COM2021-3986</t>
  </si>
  <si>
    <t>COM2021-3544</t>
  </si>
  <si>
    <t>COM2021-3932</t>
  </si>
  <si>
    <t>COM2018-2846</t>
  </si>
  <si>
    <t>COM2021-1739</t>
  </si>
  <si>
    <t>COM2021-3987</t>
  </si>
  <si>
    <t>CAR2021-5842</t>
  </si>
  <si>
    <t>CAR2021-6613</t>
  </si>
  <si>
    <t>PAR2022-0106</t>
  </si>
  <si>
    <t>PAR2022-0115</t>
  </si>
  <si>
    <t>PAR2021-3586</t>
  </si>
  <si>
    <t>PAR2021-3587</t>
  </si>
  <si>
    <t>PAR2022-0116</t>
  </si>
  <si>
    <t>PAR2021-0350</t>
  </si>
  <si>
    <t>COM2021-1316</t>
  </si>
  <si>
    <t>COM2021-3794</t>
  </si>
  <si>
    <t>COM2021-2920</t>
  </si>
  <si>
    <t>COM2021-3784</t>
  </si>
  <si>
    <t>COM2021-3941</t>
  </si>
  <si>
    <t>PAR2022-0114</t>
  </si>
  <si>
    <t>CAR2019-1110</t>
  </si>
  <si>
    <t>COM2019-2022</t>
  </si>
  <si>
    <t>PAR2021-5821</t>
  </si>
  <si>
    <t>CAR2021-5820</t>
  </si>
  <si>
    <t>PAR2021-5839</t>
  </si>
  <si>
    <t>COM2021-1925</t>
  </si>
  <si>
    <t>CAR2021-7505</t>
  </si>
  <si>
    <t>PAR2021-3378</t>
  </si>
  <si>
    <t>COM2022-0144</t>
  </si>
  <si>
    <t>COM2021-3367</t>
  </si>
  <si>
    <t>PAR2021-3368</t>
  </si>
  <si>
    <t>COM2020-1970</t>
  </si>
  <si>
    <t>COM2020-1909</t>
  </si>
  <si>
    <t>COM2021-3181</t>
  </si>
  <si>
    <t>COM2022-0112</t>
  </si>
  <si>
    <t>PAR2021-1957</t>
  </si>
  <si>
    <t>COM2021-2711</t>
  </si>
  <si>
    <t>COM2022-0322</t>
  </si>
  <si>
    <t>CAR2019-2509</t>
  </si>
  <si>
    <t>CAR2021-2779</t>
  </si>
  <si>
    <t>CAR2019-2568</t>
  </si>
  <si>
    <t>CAR2017-3343</t>
  </si>
  <si>
    <t>CAR2019-0651</t>
  </si>
  <si>
    <t>CAR2019-0498</t>
  </si>
  <si>
    <t>PAR2021-2755</t>
  </si>
  <si>
    <t>PAR2021-1726</t>
  </si>
  <si>
    <t>PAR2021-4104</t>
  </si>
  <si>
    <t>PAR2021-3969</t>
  </si>
  <si>
    <t>CAR2020-0825</t>
  </si>
  <si>
    <t>CAR2019-1020</t>
  </si>
  <si>
    <t>CAR2021-6636</t>
  </si>
  <si>
    <t>CAR2021-2266</t>
  </si>
  <si>
    <t>CAR2019-0899</t>
  </si>
  <si>
    <t>CAR2021-7462</t>
  </si>
  <si>
    <t>CAR2019-1025</t>
  </si>
  <si>
    <t>CAR2019-3108</t>
  </si>
  <si>
    <t>CAR2019-1105</t>
  </si>
  <si>
    <t>CAR2021-2456</t>
  </si>
  <si>
    <t>CAR2021-3838</t>
  </si>
  <si>
    <t>CAR2019-1117</t>
  </si>
  <si>
    <t>CAR2019-1201</t>
  </si>
  <si>
    <t>CAR2019-1224</t>
  </si>
  <si>
    <t>CAR2019-3198</t>
  </si>
  <si>
    <t>CAR2021-3248</t>
  </si>
  <si>
    <t>CAR2019-1051</t>
  </si>
  <si>
    <t>CAR2021-2604</t>
  </si>
  <si>
    <t>CAR2017-3086</t>
  </si>
  <si>
    <t>CAR2022-0482</t>
  </si>
  <si>
    <t>CAR2019-1580</t>
  </si>
  <si>
    <t>CAR2019-1094</t>
  </si>
  <si>
    <t>CAR2019-1044</t>
  </si>
  <si>
    <t>CAR2022-0479</t>
  </si>
  <si>
    <t>CAR2022-0480</t>
  </si>
  <si>
    <t>CAR2020-0404</t>
  </si>
  <si>
    <t>CAR2019-3543</t>
  </si>
  <si>
    <t>CAR2019-1008</t>
  </si>
  <si>
    <t>CAR2019-0692</t>
  </si>
  <si>
    <t>CAR2019-1071</t>
  </si>
  <si>
    <t>CAR2020-0028</t>
  </si>
  <si>
    <t>CAR2019-0466</t>
  </si>
  <si>
    <t>CAR2019-0606</t>
  </si>
  <si>
    <t>CAR2019-1039</t>
  </si>
  <si>
    <t>CAR2019-1083</t>
  </si>
  <si>
    <t>CAR2019-0275</t>
  </si>
  <si>
    <t>CAR2019-1216</t>
  </si>
  <si>
    <t>CAR2019-1069</t>
  </si>
  <si>
    <t>CAR2018-1249</t>
  </si>
  <si>
    <t>CAR2019-1127</t>
  </si>
  <si>
    <t>CAR2021-7668</t>
  </si>
  <si>
    <t>CAR2018-1859</t>
  </si>
  <si>
    <t>CAR2021-5679</t>
  </si>
  <si>
    <t>CAR2020-1208</t>
  </si>
  <si>
    <t>CAR2021-7228</t>
  </si>
  <si>
    <t>CAR2022-0416</t>
  </si>
  <si>
    <t>CAR2018-2561</t>
  </si>
  <si>
    <t>CAR2018-2261</t>
  </si>
  <si>
    <t>CAR2018-2410</t>
  </si>
  <si>
    <t>CAR2022-0602</t>
  </si>
  <si>
    <t>CAR2022-0600</t>
  </si>
  <si>
    <t>CAR2022-0499</t>
  </si>
  <si>
    <t>CAR2022-0603</t>
  </si>
  <si>
    <t>CAR2022-0601</t>
  </si>
  <si>
    <t>CAR2022-0495</t>
  </si>
  <si>
    <t>CAR2021-5656</t>
  </si>
  <si>
    <t>CAR2021-2684</t>
  </si>
  <si>
    <t>CAR2021-5480</t>
  </si>
  <si>
    <t>CAR2020-2201</t>
  </si>
  <si>
    <t>CAR2019-3148</t>
  </si>
  <si>
    <t>CAR2019-1350</t>
  </si>
  <si>
    <t>CAR2019-1570</t>
  </si>
  <si>
    <t>CAR2021-3059</t>
  </si>
  <si>
    <t>CAR2021-2883</t>
  </si>
  <si>
    <t>CAR2019-0288</t>
  </si>
  <si>
    <t>CAR20212464</t>
  </si>
  <si>
    <t>CAR2021-5086</t>
  </si>
  <si>
    <t>CAR2022-0041</t>
  </si>
  <si>
    <t>CAR2021-6654</t>
  </si>
  <si>
    <t>CAR2021-0011</t>
  </si>
  <si>
    <t>CAR2022-0008</t>
  </si>
  <si>
    <t>CAR2022-0031</t>
  </si>
  <si>
    <t>CAR2021-4012</t>
  </si>
  <si>
    <t>CAR2022-0009</t>
  </si>
  <si>
    <t>CAR2021-7202</t>
  </si>
  <si>
    <t>CAR2021-6666</t>
  </si>
  <si>
    <t>CAR2021-3844</t>
  </si>
  <si>
    <t>CAR2021-3405</t>
  </si>
  <si>
    <t>CAR2021-6244</t>
  </si>
  <si>
    <t>CAR2021-7016</t>
  </si>
  <si>
    <t>CAR2021-6883</t>
  </si>
  <si>
    <t>CAR2021-6885</t>
  </si>
  <si>
    <t>CAR2021-6269</t>
  </si>
  <si>
    <t>CAR2021-7561</t>
  </si>
  <si>
    <t>CAR2021-4632</t>
  </si>
  <si>
    <t>CAR2021-4444</t>
  </si>
  <si>
    <t>CAR2021-4633</t>
  </si>
  <si>
    <t>CAR2021-4834</t>
  </si>
  <si>
    <t>CAR2022-0032</t>
  </si>
  <si>
    <t>CAR2021-5834</t>
  </si>
  <si>
    <t>CAR2021-5827</t>
  </si>
  <si>
    <t>CAR2021-6633</t>
  </si>
  <si>
    <t>CAR2021-3408</t>
  </si>
  <si>
    <t>CAR2021-3082</t>
  </si>
  <si>
    <t>CAR2021-38424</t>
  </si>
  <si>
    <t>CAR2021-3423</t>
  </si>
  <si>
    <t>CAR2021-4661</t>
  </si>
  <si>
    <t>CAR2022-0018</t>
  </si>
  <si>
    <t>CAR2022-0440</t>
  </si>
  <si>
    <t>CAR2022-0003</t>
  </si>
  <si>
    <t>CAR2021-6240</t>
  </si>
  <si>
    <t>CAR2021-7565</t>
  </si>
  <si>
    <t>CAR2021-3862</t>
  </si>
  <si>
    <t>CAR2021-3040</t>
  </si>
  <si>
    <t>CAR2021-4835</t>
  </si>
  <si>
    <t>CAR2022-0013</t>
  </si>
  <si>
    <t>CAR2021-7659</t>
  </si>
  <si>
    <t>CAR2021-7007</t>
  </si>
  <si>
    <t>CAR2022-0021</t>
  </si>
  <si>
    <t>CAR2021-6665</t>
  </si>
  <si>
    <t>CAR2022-0478</t>
  </si>
  <si>
    <t>CAR2021-7559</t>
  </si>
  <si>
    <t>CAR2022-0264</t>
  </si>
  <si>
    <t>CAR2021-4011</t>
  </si>
  <si>
    <t>CAR2021-6219</t>
  </si>
  <si>
    <t>CAR2021-7552</t>
  </si>
  <si>
    <t>COM2020-1189</t>
  </si>
  <si>
    <t>COM2020-0964</t>
  </si>
  <si>
    <t>COM2019-3207</t>
  </si>
  <si>
    <t>COM2019-3206</t>
  </si>
  <si>
    <t>COM2020-0347</t>
  </si>
  <si>
    <t>CAR2021-7404</t>
  </si>
  <si>
    <t>CAR2021-7454</t>
  </si>
  <si>
    <t>CAR2021-4000</t>
  </si>
  <si>
    <t>CAR2021-3462</t>
  </si>
  <si>
    <t>CAR2021-7025</t>
  </si>
  <si>
    <t>CAR2018-2602</t>
  </si>
  <si>
    <t>CAR2021-3919</t>
  </si>
  <si>
    <t>CAR2021-7576</t>
  </si>
  <si>
    <t>PAR2021-0860</t>
  </si>
  <si>
    <t>CAR2021-6830</t>
  </si>
  <si>
    <t>CAR2021-6457</t>
  </si>
  <si>
    <t>CAR2021-6611</t>
  </si>
  <si>
    <t>CAR2021-7677</t>
  </si>
  <si>
    <t>CAR2021-7676</t>
  </si>
  <si>
    <t>CAR2021-7547</t>
  </si>
  <si>
    <t>CAR2021-7453</t>
  </si>
  <si>
    <t>CAR2021-5654</t>
  </si>
  <si>
    <t>CAR2017-4086</t>
  </si>
  <si>
    <t>COM2021-0348</t>
  </si>
  <si>
    <t>CAR2021-4020</t>
  </si>
  <si>
    <t>PAR2019-0584</t>
  </si>
  <si>
    <t>CAR2021-3859</t>
  </si>
  <si>
    <t>CAR2021-4232</t>
  </si>
  <si>
    <t>CAR2021-7422</t>
  </si>
  <si>
    <t>CAR2021-3867</t>
  </si>
  <si>
    <t>CAR2021-3291</t>
  </si>
  <si>
    <t>CAR2021-7581</t>
  </si>
  <si>
    <t>CAR2021-7568</t>
  </si>
  <si>
    <t>CAR2021-7658</t>
  </si>
  <si>
    <t>CAR2021-2255</t>
  </si>
  <si>
    <t>CAR2021-3831</t>
  </si>
  <si>
    <t>PAR2022-0132</t>
  </si>
  <si>
    <t>CAR2021-2833</t>
  </si>
  <si>
    <t>CAR2021-4248</t>
  </si>
  <si>
    <t>CAR2021-4211</t>
  </si>
  <si>
    <t>CAR2021-4405</t>
  </si>
  <si>
    <t>CAR2021-7010</t>
  </si>
  <si>
    <t>CAR2021-3098</t>
  </si>
  <si>
    <t>CAR2021-3221</t>
  </si>
  <si>
    <t>CAR2021-4040</t>
  </si>
  <si>
    <t>CAR2021.3058</t>
  </si>
  <si>
    <t>CAR2021-3042</t>
  </si>
  <si>
    <t>CAR2021-3057</t>
  </si>
  <si>
    <t>CAR2021-3019</t>
  </si>
  <si>
    <t>CAR2021-6243</t>
  </si>
  <si>
    <t>CAR2021-5819</t>
  </si>
  <si>
    <t>PAR2020-0556</t>
  </si>
  <si>
    <t>CAR2021-4064</t>
  </si>
  <si>
    <t>CAR2021-4016</t>
  </si>
  <si>
    <t>CAR2021-3257</t>
  </si>
  <si>
    <t>CAR2021-3474</t>
  </si>
  <si>
    <t>CAR2021-3640</t>
  </si>
  <si>
    <t>CAR2021-3805</t>
  </si>
  <si>
    <t>CAR2021-3473</t>
  </si>
  <si>
    <t>CAR2021-4857</t>
  </si>
  <si>
    <t>CAR2021-7031</t>
  </si>
  <si>
    <t>CAR2021-6230</t>
  </si>
  <si>
    <t>CAR2021-6221</t>
  </si>
  <si>
    <t>CAR2021-7096</t>
  </si>
  <si>
    <t>CAR2021-7093</t>
  </si>
  <si>
    <t>CAR2021-7405</t>
  </si>
  <si>
    <t>CAR2021-7498</t>
  </si>
  <si>
    <t>CAR2021-7098</t>
  </si>
  <si>
    <t>CAR2022-0297</t>
  </si>
  <si>
    <t>CAR2021-5835</t>
  </si>
  <si>
    <t>CAR2021-6262</t>
  </si>
  <si>
    <t>CAR2021-5833</t>
  </si>
  <si>
    <t>CAR2022-0262</t>
  </si>
  <si>
    <t>CAR2022-0290</t>
  </si>
  <si>
    <t>CAR2021-7560</t>
  </si>
  <si>
    <t>CAR2021-7034</t>
  </si>
  <si>
    <t>CAR2022-0291</t>
  </si>
  <si>
    <t>CAR2022-0494</t>
  </si>
  <si>
    <t>CAR2021-6278</t>
  </si>
  <si>
    <t>CAR2022-0010</t>
  </si>
  <si>
    <t>CAR2021-7711</t>
  </si>
  <si>
    <t>CAR2021-7708</t>
  </si>
  <si>
    <t>CAR2022-0015</t>
  </si>
  <si>
    <t>CAR2022-0016</t>
  </si>
  <si>
    <t>CAR2022-0017</t>
  </si>
  <si>
    <t>CAR2022-0019</t>
  </si>
  <si>
    <t>CAR2021-7709</t>
  </si>
  <si>
    <t>CAR2021-7710</t>
  </si>
  <si>
    <t>CAR2022-0026</t>
  </si>
  <si>
    <t>CAR2022-0014</t>
  </si>
  <si>
    <t>CAR2022-0012</t>
  </si>
  <si>
    <t>CAR2021-6886</t>
  </si>
  <si>
    <t>CAR2021-7022</t>
  </si>
  <si>
    <t>CAR2021-4249</t>
  </si>
  <si>
    <t>PAR2019-2744</t>
  </si>
  <si>
    <t>CAR2021-3287</t>
  </si>
  <si>
    <t>CAR2021-3204</t>
  </si>
  <si>
    <t>CAR2021-3097</t>
  </si>
  <si>
    <t>CAR2021-3626</t>
  </si>
  <si>
    <t>CAR2021-3403</t>
  </si>
  <si>
    <t>CAR2021-3207</t>
  </si>
  <si>
    <t>CAR2021-3272</t>
  </si>
  <si>
    <t>CAR2021-3280</t>
  </si>
  <si>
    <t>CAR2021-3288</t>
  </si>
  <si>
    <t>CAR2021-4290</t>
  </si>
  <si>
    <t>CAR2021-3203</t>
  </si>
  <si>
    <t>CAR2021-7013</t>
  </si>
  <si>
    <t>CAR2021-4411</t>
  </si>
  <si>
    <t>CAR2021-3686</t>
  </si>
  <si>
    <t>CAR2021-3247</t>
  </si>
  <si>
    <t>COM2022-0143</t>
  </si>
  <si>
    <t>PAR2022-0113</t>
  </si>
  <si>
    <t>PAR2019-2711</t>
  </si>
  <si>
    <t>CAR2021-4425</t>
  </si>
  <si>
    <t>CAR2020-3285</t>
  </si>
  <si>
    <t>CAR2021-5478</t>
  </si>
  <si>
    <t>CAR2021-0431</t>
  </si>
  <si>
    <t>CAR2019-3569</t>
  </si>
  <si>
    <t>COM2020-2991</t>
  </si>
  <si>
    <t>COM2021-1728</t>
  </si>
  <si>
    <t>COM2021-2133</t>
  </si>
  <si>
    <t>CAR2021-1082</t>
  </si>
  <si>
    <t>CAR2022-0287</t>
  </si>
  <si>
    <t>CAR2022-0289</t>
  </si>
  <si>
    <t>CAR2022-0272</t>
  </si>
  <si>
    <t>CAR2022-0254</t>
  </si>
  <si>
    <t>CAR2022-0282</t>
  </si>
  <si>
    <t>CAR2022-0299</t>
  </si>
  <si>
    <t>CAR2021-7590</t>
  </si>
  <si>
    <t>CAR2021-0081</t>
  </si>
  <si>
    <t>CAR2021-2667</t>
  </si>
  <si>
    <t>PAR2019-0518</t>
  </si>
  <si>
    <t>PAR2018-2777</t>
  </si>
  <si>
    <t>PAR2020-1765</t>
  </si>
  <si>
    <t>MEMORIAL</t>
  </si>
  <si>
    <t>DIGNITY</t>
  </si>
  <si>
    <t>IMPERIAL DE LUJO</t>
  </si>
  <si>
    <t>ZAFIRO</t>
  </si>
  <si>
    <t>ECONOLINE</t>
  </si>
  <si>
    <t>TABASCO</t>
  </si>
  <si>
    <t>COMALCALCO</t>
  </si>
  <si>
    <t>HUIMANGUILLO</t>
  </si>
  <si>
    <t>CUNDUACAN</t>
  </si>
  <si>
    <t>PARAISO</t>
  </si>
  <si>
    <t>VILLAHERMOSA</t>
  </si>
  <si>
    <t>CENTLA</t>
  </si>
  <si>
    <t xml:space="preserve">PARAISO </t>
  </si>
  <si>
    <t>11 DE FEBRERO</t>
  </si>
  <si>
    <t xml:space="preserve">11 DE FEBRERO </t>
  </si>
  <si>
    <t>ALDAMA CUARTA SECCION EL NARANJITO</t>
  </si>
  <si>
    <t>ALFA Y OMEGA</t>
  </si>
  <si>
    <t>LA ALIZANZA</t>
  </si>
  <si>
    <t>AMADO GOMEZ</t>
  </si>
  <si>
    <t xml:space="preserve">AMADO GOMEZ </t>
  </si>
  <si>
    <t xml:space="preserve">AMPLIACION CAÃƒâ€˜ALES TERCERA ETAPA SUR </t>
  </si>
  <si>
    <t>ANDADOR JUAN RUIZ DE ALARCAN</t>
  </si>
  <si>
    <t>AQUILES SERDAN</t>
  </si>
  <si>
    <t xml:space="preserve">AQUILES SERDAN </t>
  </si>
  <si>
    <t>ARENA PRIMERA SECCION</t>
  </si>
  <si>
    <t>ARENA SEXTA SECCION</t>
  </si>
  <si>
    <t xml:space="preserve">ARROLLO HONDA 2 </t>
  </si>
  <si>
    <t>ARROYO HONDO SEGUNDA SECCION</t>
  </si>
  <si>
    <t>ARROYO HONDO TERCERA SECCION</t>
  </si>
  <si>
    <t xml:space="preserve">BAJIO </t>
  </si>
  <si>
    <t xml:space="preserve">BAJIO 1RA </t>
  </si>
  <si>
    <t>BAJIO PRIMERA SECCION</t>
  </si>
  <si>
    <t>BENITO JUAREZ</t>
  </si>
  <si>
    <t xml:space="preserve">BENITO JUAREZ </t>
  </si>
  <si>
    <t>BETANIA</t>
  </si>
  <si>
    <t>BUANA AVENTURA</t>
  </si>
  <si>
    <t>BUENA VISTA</t>
  </si>
  <si>
    <t>C-25 ISIDRO CORTES RUEDA</t>
  </si>
  <si>
    <t>C-27 EDUARDO CHAVEZ</t>
  </si>
  <si>
    <t>C-29 VICENTE GUERRERO</t>
  </si>
  <si>
    <t xml:space="preserve">C-29 VICENTE GUERRERO </t>
  </si>
  <si>
    <t>C-32</t>
  </si>
  <si>
    <t>C-9 FRANCISCO I MADERO</t>
  </si>
  <si>
    <t xml:space="preserve">CALLE FRANCISCO J SANTA MARIA </t>
  </si>
  <si>
    <t xml:space="preserve">CALLE NUMERO 9 CASA NUMERO 17 </t>
  </si>
  <si>
    <t xml:space="preserve">CALZADA </t>
  </si>
  <si>
    <t>CALZADA 2DA SECCION</t>
  </si>
  <si>
    <t>CALZADA SEGUNDA SECCION</t>
  </si>
  <si>
    <t>CAMPAMENTO SARH</t>
  </si>
  <si>
    <t>CAÃ‘ALES 1RA ETAPA</t>
  </si>
  <si>
    <t>CAÃ‘ALES II</t>
  </si>
  <si>
    <t>CARLOS A MADRAZO</t>
  </si>
  <si>
    <t>CARRETERA CARDENAS COMALCALCO</t>
  </si>
  <si>
    <t>CARRETERA FEDERAL PARAISO COMALCALCO</t>
  </si>
  <si>
    <t>CARRETERA PRINCIPAL SIN NUMERO</t>
  </si>
  <si>
    <t>CARRIZAL</t>
  </si>
  <si>
    <t>CASA BLANCA SEGUNDA</t>
  </si>
  <si>
    <t xml:space="preserve">CASA BLANCA SEGUNDA </t>
  </si>
  <si>
    <t>CASI ESQUINA MOCTEZUMA</t>
  </si>
  <si>
    <t>CARDENAS CENTRO</t>
  </si>
  <si>
    <t>CENTRO PARAISO</t>
  </si>
  <si>
    <t>CHICOZAPOTE</t>
  </si>
  <si>
    <t>CHILTEPEC</t>
  </si>
  <si>
    <t xml:space="preserve">CHILTEPEC   </t>
  </si>
  <si>
    <t>CHILTEPEC SECCION TANQUE</t>
  </si>
  <si>
    <t>CIUDAD TECOLUTILLA</t>
  </si>
  <si>
    <t>COCOHITAL</t>
  </si>
  <si>
    <t>COLONIA ADA ISABEL</t>
  </si>
  <si>
    <t>COLONIA ARBOLEDA</t>
  </si>
  <si>
    <t>COLONIA ARBOLEDAS</t>
  </si>
  <si>
    <t>COLONIA ARROYO HONDO</t>
  </si>
  <si>
    <t>COLONIA BELEN</t>
  </si>
  <si>
    <t>COLONIA BENITO JUAREZ</t>
  </si>
  <si>
    <t>COLONIA BETANIA</t>
  </si>
  <si>
    <t>COLONIA CALZADA PRIMERA SECCION</t>
  </si>
  <si>
    <t xml:space="preserve">COLONIA CENCE </t>
  </si>
  <si>
    <t>COLONIA CENTRO</t>
  </si>
  <si>
    <t>EMPLEADOS DEL CSAT</t>
  </si>
  <si>
    <t>COLONIA EL COCOHITE</t>
  </si>
  <si>
    <t>COLONIA EL GRINGO</t>
  </si>
  <si>
    <t>COLONIA EL LIMON</t>
  </si>
  <si>
    <t>COLONIA EL TOLOQUE</t>
  </si>
  <si>
    <t>COLONIA FRANCISCO MARQUEZ</t>
  </si>
  <si>
    <t>GOBERNADORES</t>
  </si>
  <si>
    <t xml:space="preserve">GUSTAVO DE LA FUENTE DORANTES </t>
  </si>
  <si>
    <t xml:space="preserve">COLONIA INFONAVIT DEPORTIVA </t>
  </si>
  <si>
    <t>COLONIA INVITAB</t>
  </si>
  <si>
    <t>COLONIA JACINTO LOPEZ</t>
  </si>
  <si>
    <t>COLONIA JOSE EDUARDO DE CARDENAS</t>
  </si>
  <si>
    <t>COLONIA LA CEIBA</t>
  </si>
  <si>
    <t>COLONIA LA PLAYITA</t>
  </si>
  <si>
    <t>COLONIA LAS DELICIAS</t>
  </si>
  <si>
    <t>COLONIA LAZARO CARDENAS</t>
  </si>
  <si>
    <t>COLONIA LOS PINOS</t>
  </si>
  <si>
    <t>COLONIA MELCHOR OCAMPO</t>
  </si>
  <si>
    <t>COLONIA MIGUEL CUITLAHUAC</t>
  </si>
  <si>
    <t>COLONIA NUEVO PROGRESO</t>
  </si>
  <si>
    <t>COLONIA OBRERA</t>
  </si>
  <si>
    <t>COLONIA OBRERA ALFA Y OMEGA</t>
  </si>
  <si>
    <t>COLONIA ORIENTE</t>
  </si>
  <si>
    <t>COLONIA PASO Y PLAYA</t>
  </si>
  <si>
    <t>COLONIA PETROLERA</t>
  </si>
  <si>
    <t>COLONIA PLAYITA</t>
  </si>
  <si>
    <t>COLONIA PUEBLO NUEVO</t>
  </si>
  <si>
    <t>COLONIA QUINTIN ARAUZ</t>
  </si>
  <si>
    <t>COLONIA SAN SILVERIO</t>
  </si>
  <si>
    <t>COLONIA SANTA AMALIA</t>
  </si>
  <si>
    <t>COLONIA SANTA CRUZ</t>
  </si>
  <si>
    <t>COLONIA SANTA MARIA DE GUADALUPE</t>
  </si>
  <si>
    <t>COLONIA SANTA MARIA PERIFERICO</t>
  </si>
  <si>
    <t>COLONIA SECCION 10 DE AZUCAREROS</t>
  </si>
  <si>
    <t>COLONIA SECCION 40</t>
  </si>
  <si>
    <t>COLONIA TABSCOOB</t>
  </si>
  <si>
    <t>COLONIA TECOLUTILLA</t>
  </si>
  <si>
    <t>COLONIA TOLOQUE</t>
  </si>
  <si>
    <t>COLONIA TOMAS GARRIDO</t>
  </si>
  <si>
    <t>COLONIA VILLAS DE ORIENTE</t>
  </si>
  <si>
    <t>COLONIA ZOILA ESPERANZA PEÃ‘A FALCONI</t>
  </si>
  <si>
    <t>CSAT</t>
  </si>
  <si>
    <t>DUPLES</t>
  </si>
  <si>
    <t>EJIDA CARDENAS</t>
  </si>
  <si>
    <t>EJIDO 5 DE MAYO</t>
  </si>
  <si>
    <t>EJIDO AQUILES  SERDAN</t>
  </si>
  <si>
    <t>EJIDO AQUILES SERDAN</t>
  </si>
  <si>
    <t xml:space="preserve">EJIDO ARROYO HONDO PRIMERA SECCION </t>
  </si>
  <si>
    <t>EJIDO ARROYO HONDO SANTA TERESA</t>
  </si>
  <si>
    <t xml:space="preserve">EJIDO BAJIO 2 SECCION </t>
  </si>
  <si>
    <t>EJIDO BUENA VISTA</t>
  </si>
  <si>
    <t>EJIDO CHILTEPEC</t>
  </si>
  <si>
    <t xml:space="preserve">EJIDO CHILTEPEC   </t>
  </si>
  <si>
    <t>EJIDO CHILTEPEC SECCION BANCO</t>
  </si>
  <si>
    <t>EJIDO CHILTEPEC SECCION TANQUE</t>
  </si>
  <si>
    <t>EJIDO EL TULAR</t>
  </si>
  <si>
    <t>EJIDO EMILIANO ZAPATA</t>
  </si>
  <si>
    <t xml:space="preserve">EJIDO ENCRUCIJADA CUARTA SECCION A </t>
  </si>
  <si>
    <t>EJIDO GENARO VAZQUEZ</t>
  </si>
  <si>
    <t>EJIDO GONZALEZ PEDRERO</t>
  </si>
  <si>
    <t>EJIDO GUATEMALAN</t>
  </si>
  <si>
    <t>EJIDO HABANERO PRIMERA SECCION</t>
  </si>
  <si>
    <t>EJIDO LIBERTAD</t>
  </si>
  <si>
    <t>EJIDO LIBERTAD SEGUNDA SECCION</t>
  </si>
  <si>
    <t>EJIDO LIBERTAD TERCERA SECCION</t>
  </si>
  <si>
    <t xml:space="preserve">EJIDO LIBERTAD TERCERA SECCION </t>
  </si>
  <si>
    <t xml:space="preserve">EJIDO LIBERTAS CUARTA SECCION </t>
  </si>
  <si>
    <t>EJIDO MANTILLA</t>
  </si>
  <si>
    <t>EJIDO MIGUEL HIDALGO</t>
  </si>
  <si>
    <t>EJIDO MONTE GRANDE</t>
  </si>
  <si>
    <t>EJIDO MORALES PIEDRA TERCERA SECCION</t>
  </si>
  <si>
    <t>EJIDO ONCE DE FEBRERO</t>
  </si>
  <si>
    <t>EJIDO ONCE DE FEBRERO CAMPO BELLOTA</t>
  </si>
  <si>
    <t>EJIDO PASO Y PLAYA</t>
  </si>
  <si>
    <t>EJIDO PEDRERO ENRIQUE GONZALEZ</t>
  </si>
  <si>
    <t>EJIDO PICO DE ORO</t>
  </si>
  <si>
    <t>EJIDO PINO SUAREZ</t>
  </si>
  <si>
    <t>EJIDO POZA REDONDA SEGUNDA SECCION</t>
  </si>
  <si>
    <t>EJIDO PUERTO CEIBA</t>
  </si>
  <si>
    <t>EJIDO PUERTO CEIBA CARRIZAL</t>
  </si>
  <si>
    <t>EJIDO QUINTIN ARAUZ</t>
  </si>
  <si>
    <t>EJIDO RUBEN JARAMILLO</t>
  </si>
  <si>
    <t>EJIDO TIERRA Y LIBERTAD</t>
  </si>
  <si>
    <t>EJIDO TIERRA Y LIBERTAD AMPLIACION PLAYITA</t>
  </si>
  <si>
    <t>EJIDO TULAR</t>
  </si>
  <si>
    <t>EJIDO TULIPAN</t>
  </si>
  <si>
    <t>EL BELLOTE</t>
  </si>
  <si>
    <t>EL CHARCO</t>
  </si>
  <si>
    <t>EL COQUITO</t>
  </si>
  <si>
    <t>EL LIMON</t>
  </si>
  <si>
    <t>EL LIMONCITO</t>
  </si>
  <si>
    <t>EL PENJAMO</t>
  </si>
  <si>
    <t>EL PORVENIR</t>
  </si>
  <si>
    <t xml:space="preserve">EL PORVENIR SANTA ROSALIA </t>
  </si>
  <si>
    <t>EL TOLOQUE</t>
  </si>
  <si>
    <t xml:space="preserve">EL TULAR </t>
  </si>
  <si>
    <t>EMILIANO ZAPATA PRIMERA</t>
  </si>
  <si>
    <t xml:space="preserve">ENCRUCIJADA 3RA </t>
  </si>
  <si>
    <t xml:space="preserve">ENRIQUE GONZALEZ PEDRERO </t>
  </si>
  <si>
    <t>ENTRADA AL PANTEON SIN NUMERO</t>
  </si>
  <si>
    <t>ERMENEGILDO GALEANA</t>
  </si>
  <si>
    <t>FRACCIONAMIENTO CAÃ‘ALES</t>
  </si>
  <si>
    <t>FRACCIONAMIENTO EL ENCANTO</t>
  </si>
  <si>
    <t>FRACCIONAMIENTO HACIENDA SAN FRANCISCO</t>
  </si>
  <si>
    <t>FRACCIONAMIENTO JARDINES DE TABASCO</t>
  </si>
  <si>
    <t xml:space="preserve">FRACCIONAMIENTO LA CEIBA </t>
  </si>
  <si>
    <t>FRACCIONAMIENTO LICENCIADO CARLOS A MADRAZO</t>
  </si>
  <si>
    <t>FRACCIONAMIENTO LOS COCOS</t>
  </si>
  <si>
    <t>FRACCIONAMIENTO POMOCA</t>
  </si>
  <si>
    <t>FRACCIONAMIENTO POMOCA BICENTENARIO</t>
  </si>
  <si>
    <t>FRACCIONAMIENTO PRIMAVERA</t>
  </si>
  <si>
    <t>FRANCISCO I MADERO</t>
  </si>
  <si>
    <t xml:space="preserve">FRANCISCO I MADERO </t>
  </si>
  <si>
    <t>FRANCISCO I MADERO PRIMERA</t>
  </si>
  <si>
    <t>FRANCISCO I MADERO SEGUNDA SECCION</t>
  </si>
  <si>
    <t>GALEANA</t>
  </si>
  <si>
    <t>GERTUDRIS SANCHEZ TERCERA SECCION A</t>
  </si>
  <si>
    <t>GREFORIO MENDEZ</t>
  </si>
  <si>
    <t>GREGORIO MENDEZ PRIMERA</t>
  </si>
  <si>
    <t>GREGORIO MENDEZ SEGUNDA</t>
  </si>
  <si>
    <t>GUADALUPE VICTORIA</t>
  </si>
  <si>
    <t xml:space="preserve">HIDALGO 2DA </t>
  </si>
  <si>
    <t>HUAPACAL PRIMERA SECCION</t>
  </si>
  <si>
    <t>HUAPACAL SEGUNDA SECCION</t>
  </si>
  <si>
    <t xml:space="preserve">IDANCA SEGUNDA SECCION </t>
  </si>
  <si>
    <t>IGNACIO GUTIERREZ GOMEZ</t>
  </si>
  <si>
    <t>IGNACIO ZARAGOZA 3RA SECCION</t>
  </si>
  <si>
    <t>INDEPENDENCIA PRIMERA</t>
  </si>
  <si>
    <t xml:space="preserve">INDEPENDENCIA PRIMERA </t>
  </si>
  <si>
    <t xml:space="preserve">INDEPENDENCIA SEGUNDA SECCION </t>
  </si>
  <si>
    <t>INFONAVIT DEPORTIVA</t>
  </si>
  <si>
    <t>INFONAVIT LOMABONITA</t>
  </si>
  <si>
    <t>INFONAVIT SANTA RITA</t>
  </si>
  <si>
    <t>INGENIO SANA ROSALIA</t>
  </si>
  <si>
    <t>INGENIO SANTA ROSALIA</t>
  </si>
  <si>
    <t>JACINTO LOPEZ</t>
  </si>
  <si>
    <t>JALAPITA</t>
  </si>
  <si>
    <t>JALAPITA CENTLA</t>
  </si>
  <si>
    <t>JALAPITA COLONIA SAN JUAN</t>
  </si>
  <si>
    <t>JARAMILLO LAZO 8</t>
  </si>
  <si>
    <t xml:space="preserve">JOSE MARIA PINO SUAREZ </t>
  </si>
  <si>
    <t>JOSE MARIA PINO SUAREZ SEGUNDA SECCION</t>
  </si>
  <si>
    <t>LA ISLA</t>
  </si>
  <si>
    <t xml:space="preserve">LA LUCHA </t>
  </si>
  <si>
    <t>LA MADRID</t>
  </si>
  <si>
    <t xml:space="preserve">LA NUEVA CREACION </t>
  </si>
  <si>
    <t>LA PIEDRA 1RA SECCION</t>
  </si>
  <si>
    <t>LA PIEDRA 2DA SECCION</t>
  </si>
  <si>
    <t>LA PLAYITA</t>
  </si>
  <si>
    <t xml:space="preserve">LA PLAYITA </t>
  </si>
  <si>
    <t>LA QUINTA</t>
  </si>
  <si>
    <t xml:space="preserve">LA UNION </t>
  </si>
  <si>
    <t>LA VEREDA</t>
  </si>
  <si>
    <t xml:space="preserve">LAS FLORES </t>
  </si>
  <si>
    <t>LAS FLORES PRIMERA SECCION</t>
  </si>
  <si>
    <t xml:space="preserve">LAS FLORES PRIMERA SECCION </t>
  </si>
  <si>
    <t>LAS FLORES SIN NUMERO</t>
  </si>
  <si>
    <t>LAS FLORES TERCREA SECCION</t>
  </si>
  <si>
    <t>LAZARO CRADENAS PRIMERA</t>
  </si>
  <si>
    <t>LEON ZARATE</t>
  </si>
  <si>
    <t>LEON ZARATE SEGUNDA SECCION</t>
  </si>
  <si>
    <t>LIBERTAD</t>
  </si>
  <si>
    <t xml:space="preserve">LIBERTAD </t>
  </si>
  <si>
    <t>LIBERTAD 3RA SECCION</t>
  </si>
  <si>
    <t xml:space="preserve">LIBERTAD PRIMERA SECCION </t>
  </si>
  <si>
    <t>LIBERTAD SEGUNDA SECCION</t>
  </si>
  <si>
    <t>LIBRAMIENTO 2 BOCAS</t>
  </si>
  <si>
    <t>LINO MORINO</t>
  </si>
  <si>
    <t xml:space="preserve">LIRIO CASA NUMERO 20 </t>
  </si>
  <si>
    <t>LOS NARANJOS</t>
  </si>
  <si>
    <t xml:space="preserve">LOS PINOS SIN NUMERO </t>
  </si>
  <si>
    <t xml:space="preserve">MARIA PINO SUAREZ SEGUNDA </t>
  </si>
  <si>
    <t>MELCHOR OCAMPO</t>
  </si>
  <si>
    <t xml:space="preserve">MELCHOR OCAMPO </t>
  </si>
  <si>
    <t>MIAHUATLAN SEGUNDA SECCION</t>
  </si>
  <si>
    <t>MIGUEL HIDALGO</t>
  </si>
  <si>
    <t>MIGUEL HIDALGO 2DA SECCION</t>
  </si>
  <si>
    <t>MOCTEZUMA</t>
  </si>
  <si>
    <t xml:space="preserve">MOCTEZUMA </t>
  </si>
  <si>
    <t xml:space="preserve">MOCTEZUMA 2DA </t>
  </si>
  <si>
    <t>MOCTEZUMA PRIMERA</t>
  </si>
  <si>
    <t xml:space="preserve">MOCTEZUMA PRIMERA </t>
  </si>
  <si>
    <t>MOCTEZUMA PRIMERA SECCION</t>
  </si>
  <si>
    <t xml:space="preserve">MOCTEZUMA SEGUNDA </t>
  </si>
  <si>
    <t>MOCTEZUMA TERCERA</t>
  </si>
  <si>
    <t>MONTERREY</t>
  </si>
  <si>
    <t xml:space="preserve">MONTERREY </t>
  </si>
  <si>
    <t xml:space="preserve">NICOLAS BRAVO </t>
  </si>
  <si>
    <t>NORTE 1RA SECCION</t>
  </si>
  <si>
    <t xml:space="preserve">NORTE PRIMERA SECCION </t>
  </si>
  <si>
    <t>NORTE SEGUNDA</t>
  </si>
  <si>
    <t>NUEVA CREACION</t>
  </si>
  <si>
    <t xml:space="preserve">NUEVA ESPERANZA </t>
  </si>
  <si>
    <t xml:space="preserve">NUEVA ZELANDIA </t>
  </si>
  <si>
    <t>NUEVO PROGRESO</t>
  </si>
  <si>
    <t>NUEVO TORNO LARGO</t>
  </si>
  <si>
    <t>OBLADO C-10</t>
  </si>
  <si>
    <t>OCAMPO CALLE EUGENIO  AMAT</t>
  </si>
  <si>
    <t>OCCIDENTE PRIMERA SECCION</t>
  </si>
  <si>
    <t xml:space="preserve">OCCIDENTE SAN FRANCISCO </t>
  </si>
  <si>
    <t>ONCE DE FEBRERO</t>
  </si>
  <si>
    <t>ONCE DE FEBRERO 2DA SECCION</t>
  </si>
  <si>
    <t>ORIENTE PRIMERA</t>
  </si>
  <si>
    <t>ORIENTE PRIMERA SECCION</t>
  </si>
  <si>
    <t>ORIENTE SEGUNDA</t>
  </si>
  <si>
    <t>ORIENTE SIN NUMERO</t>
  </si>
  <si>
    <t xml:space="preserve">ORIENTE TERCERA SECCION </t>
  </si>
  <si>
    <t>PASO Y PLAYA</t>
  </si>
  <si>
    <t xml:space="preserve">PASO Y PLAYA </t>
  </si>
  <si>
    <t>PATASTAL PRIMERA SECCION</t>
  </si>
  <si>
    <t>PATASTAL SEGUNDA SECCION</t>
  </si>
  <si>
    <t xml:space="preserve">PATASTAL SEGUNDA SECCION </t>
  </si>
  <si>
    <t>PENJAMO</t>
  </si>
  <si>
    <t>PERIFERICO CARLOS A MOLINA</t>
  </si>
  <si>
    <t>PINO SUAREZ PRIMERA</t>
  </si>
  <si>
    <t>PLAYITA</t>
  </si>
  <si>
    <t>POBLADO 11 DE FEBRERO</t>
  </si>
  <si>
    <t>POBLADO AMADO GOMEZ</t>
  </si>
  <si>
    <t>POBLADO C-10 CALLE 1</t>
  </si>
  <si>
    <t>POBLADO C-10 GENERAL LAZARO CARDENAS</t>
  </si>
  <si>
    <t xml:space="preserve">POBLADO C-17 INDEPENDENCIA </t>
  </si>
  <si>
    <t>POBLADO C-20 MIGUEL HIDALGO</t>
  </si>
  <si>
    <t>POBLADO C-29</t>
  </si>
  <si>
    <t>POBLADO C-29 VICENTE GUERRERO</t>
  </si>
  <si>
    <t>POBLADO COCOHITAL</t>
  </si>
  <si>
    <t>POBLADO IGNACIO ZARAGOZA</t>
  </si>
  <si>
    <t>POBLADO NICOLAS BRAVO</t>
  </si>
  <si>
    <t>POBLADO ONCE DE FEBRERO</t>
  </si>
  <si>
    <t>POBLADO PUERTO CHILTEPEC</t>
  </si>
  <si>
    <t xml:space="preserve">POMOCA </t>
  </si>
  <si>
    <t>POMOCA BICENTENARIO</t>
  </si>
  <si>
    <t>POZA REDONDA 3RA SECCION</t>
  </si>
  <si>
    <t>PROGRESO TULAR PRIMERA</t>
  </si>
  <si>
    <t>PUERTO CEIBA</t>
  </si>
  <si>
    <t>PUERTO CEIBA CARRIZAL</t>
  </si>
  <si>
    <t xml:space="preserve">PUERTO CEIBA CARRIZAL </t>
  </si>
  <si>
    <t>PUERTO CHILTEPEC</t>
  </si>
  <si>
    <t>PUIERTO CEIBA</t>
  </si>
  <si>
    <t>QUINTIN ARAUZ</t>
  </si>
  <si>
    <t>RANCHERIA AQUILES SERDAN</t>
  </si>
  <si>
    <t xml:space="preserve">RANCHERIA ARROLLO HONDO </t>
  </si>
  <si>
    <t>RANCHERIA ARROLLO HONDO 4</t>
  </si>
  <si>
    <t>RANCHERIA ARROYO HONDO PRIMERA SECCION</t>
  </si>
  <si>
    <t xml:space="preserve">RANCHERIA CALZADA PRIMERA SECCION </t>
  </si>
  <si>
    <t>RANCHERIA CUCUXAPA</t>
  </si>
  <si>
    <t>RANCHERIA EL ESCRIBANO</t>
  </si>
  <si>
    <t xml:space="preserve">RANCHERIA FRANCISCO I MADERO SEGUNDA SECCION </t>
  </si>
  <si>
    <t>RANCHERIA FRANCISCO Y MADERO</t>
  </si>
  <si>
    <t>RANCHERIA GUAYO TERCERA</t>
  </si>
  <si>
    <t xml:space="preserve">RANCHERIA HIDALGO PRIMERA SECCION </t>
  </si>
  <si>
    <t>RANCHERIA HIDALGO SEGUNDA SECCION</t>
  </si>
  <si>
    <t>RANCHERIA HUAPACAL PRIMERA SECCION</t>
  </si>
  <si>
    <t>RANCHERIA HUAPACAL SEGUNDA SECCION</t>
  </si>
  <si>
    <t xml:space="preserve">RANCHERIA HUAPACAL SEGUNDA SECCION </t>
  </si>
  <si>
    <t>RANCHERIA INDEPENDENCIA PRIMERA</t>
  </si>
  <si>
    <t>RANCHERIA INDEPENDENCIA SEGUNDA SECCION</t>
  </si>
  <si>
    <t>RANCHERIA JALAPITA</t>
  </si>
  <si>
    <t>RANCHERIA JALAPITA CENTLA</t>
  </si>
  <si>
    <t>RANCHERIA JOSE MARIA MORELOS</t>
  </si>
  <si>
    <t>RANCHERIA JOSE MARIA MORELOS BELLOTE</t>
  </si>
  <si>
    <t>RANCHERIA LA PIEDRA CUARTA SECCION</t>
  </si>
  <si>
    <t>RANCHERIA LAS FLORES</t>
  </si>
  <si>
    <t xml:space="preserve">RANCHERIA LAS FLORES TERCERA SECCION </t>
  </si>
  <si>
    <t>RANCHERIA LAZARO CARDENAS</t>
  </si>
  <si>
    <t xml:space="preserve">RANCHERIA LAZARO CARDENAS  1 </t>
  </si>
  <si>
    <t>RANCHERIA LAZARO CARDENAS 1</t>
  </si>
  <si>
    <t>RANCHERIA LIBERTAD PRIMERA</t>
  </si>
  <si>
    <t>RANCHERIA LIBERTAD PRIMERA SECCION</t>
  </si>
  <si>
    <t xml:space="preserve">RANCHERIA LIBERTAD SEGUNDA SECCION </t>
  </si>
  <si>
    <t>RANCHERIA LOS NARANJOS</t>
  </si>
  <si>
    <t>RANCHERIA MANTILLA</t>
  </si>
  <si>
    <t>RANCHERIA MELCHOR OCAMPO</t>
  </si>
  <si>
    <t xml:space="preserve">RANCHERIA MIGUEL HIDALGO </t>
  </si>
  <si>
    <t>RANCHERIA NICOLAS BRAVO</t>
  </si>
  <si>
    <t xml:space="preserve">RANCHERIA NICOLAS BRAVO CUARTA SECCION </t>
  </si>
  <si>
    <t>RANCHERIA NICOLAS BRAVO PRIMERA SECCION</t>
  </si>
  <si>
    <t>RANCHERIA NICOLAS BRAVO QUINTA SECCION</t>
  </si>
  <si>
    <t>RANCHERIA NICOLAS BRAVO SIN NUMERO</t>
  </si>
  <si>
    <t>RANCHERIA NICOLAS BRAVO TERCERA SECCION</t>
  </si>
  <si>
    <t>RANCHERIA NORTE PRIMERA SECCION</t>
  </si>
  <si>
    <t>RANCHERIA NORTE SEGUNDA SECCION</t>
  </si>
  <si>
    <t>RANCHERIA OCCIDENTE PRIMERA SECCION</t>
  </si>
  <si>
    <t>RANCHERIA ORIENTE CUARTA SECCION</t>
  </si>
  <si>
    <t>RANCHERIA ORIENTE PRIMERA SECCION</t>
  </si>
  <si>
    <t xml:space="preserve">RANCHERIA ORIENTE PRIMERA SECCION </t>
  </si>
  <si>
    <t>RANCHERIA ORIENTE SAN CAYETANO</t>
  </si>
  <si>
    <t>RANCHERIA ORIENTE SEGUNDA</t>
  </si>
  <si>
    <t>RANCHERIA ORIENTE SEGUNDA SECCION</t>
  </si>
  <si>
    <t xml:space="preserve">RANCHERIA ORIENTE SEGUNDA SECCION </t>
  </si>
  <si>
    <t>RANCHERIA ORIENTE TERCERA SECCION</t>
  </si>
  <si>
    <t xml:space="preserve">RANCHERIA ORIENTE TERCERA SECCION </t>
  </si>
  <si>
    <t>RANCHERIA PASO Y PLAYA</t>
  </si>
  <si>
    <t>RANCHERIA PATASTAL SEGUNDA</t>
  </si>
  <si>
    <t>RANCHERIA QUINTIN ARAUZ</t>
  </si>
  <si>
    <t>RANCHERIA RIO SECO PRIMERA SECCION</t>
  </si>
  <si>
    <t xml:space="preserve">RANCHERIA RIO SECO SEGUNDA </t>
  </si>
  <si>
    <t>RANCHERIA RIO SECO SEGUNDA SECCION</t>
  </si>
  <si>
    <t xml:space="preserve">RANCHERIA RIO SECO Y MONTAÃ‘A </t>
  </si>
  <si>
    <t>RANCHERIA SANTANA PRIMERA SECCION</t>
  </si>
  <si>
    <t>RANCHERIA SANTANA SEGUNDA SECCION</t>
  </si>
  <si>
    <t>RANCHERIA SANTANA SEGUNDA SECCION A</t>
  </si>
  <si>
    <t>RANCHERIA SANTUARIO PRIMERA SECCION</t>
  </si>
  <si>
    <t xml:space="preserve">RANCHERIA SARGENTO LOPEZ    </t>
  </si>
  <si>
    <t>RANCHERIA SARGENTO LOPEZ PRIMERA SECCION</t>
  </si>
  <si>
    <t xml:space="preserve">RANCHERIA SUR PRIMERA SECCION </t>
  </si>
  <si>
    <t>RANCHERIA SUR QUINTA SECCION</t>
  </si>
  <si>
    <t>RANCHERIA SUR TERCERA SECCION</t>
  </si>
  <si>
    <t xml:space="preserve">RANCHERIA ZAPOTAL TERCERA SECCION </t>
  </si>
  <si>
    <t>RANCHERRIA ARROYO HONDO SEGUNDA</t>
  </si>
  <si>
    <t>REFORMA</t>
  </si>
  <si>
    <t>REYES HERNANDES SIN NUMERO</t>
  </si>
  <si>
    <t>REYES HERNANDEZ PRIMERA</t>
  </si>
  <si>
    <t>REYES HERNANDEZ SEGUNDA</t>
  </si>
  <si>
    <t>RIO SECO 2DA SECCION</t>
  </si>
  <si>
    <t>RIO SECO SEGUNDA SECCION</t>
  </si>
  <si>
    <t xml:space="preserve">RIO SECO SEGUNDA SECCION </t>
  </si>
  <si>
    <t>RIO SECO Y MONTAÃ‘A</t>
  </si>
  <si>
    <t>RIO SECO Y MONTAÃ‘A PRIMERA</t>
  </si>
  <si>
    <t>RUBEN JARAMILLO</t>
  </si>
  <si>
    <t>SAN JORGE</t>
  </si>
  <si>
    <t>SANCHEZ MORMAL</t>
  </si>
  <si>
    <t>SANTA AMALIA</t>
  </si>
  <si>
    <t>SANTA MARIA DE GUADALUPE</t>
  </si>
  <si>
    <t xml:space="preserve">SANTA MARIA DE GUADALUPE </t>
  </si>
  <si>
    <t xml:space="preserve">SANTA MARIA GUADALUPE </t>
  </si>
  <si>
    <t>SANTA ROSA</t>
  </si>
  <si>
    <t xml:space="preserve">SANTANA 1RA </t>
  </si>
  <si>
    <t>SANTANA 1RA SECCION</t>
  </si>
  <si>
    <t>SANTANA 1RA SECCION A</t>
  </si>
  <si>
    <t>SANTANA 2DA</t>
  </si>
  <si>
    <t>SANTANA 2DA SECCION A</t>
  </si>
  <si>
    <t>SANTANA PRIMERA SECCION</t>
  </si>
  <si>
    <t>SANTANA SEGUNDA SECCION</t>
  </si>
  <si>
    <t>SANTO TOMAS</t>
  </si>
  <si>
    <t xml:space="preserve">SANTUARIO 1RA </t>
  </si>
  <si>
    <t>SARGENTO LOPEZ</t>
  </si>
  <si>
    <t xml:space="preserve">SARGENTO LOPEZ </t>
  </si>
  <si>
    <t>SARGENTO LOPEZ TERCERA SECCION</t>
  </si>
  <si>
    <t>SUR CUARTA SECCION</t>
  </si>
  <si>
    <t>SUR PRIMERA SECCION</t>
  </si>
  <si>
    <t>SUR QUINTA SECCION</t>
  </si>
  <si>
    <t>SUR SEGUNDA SECCION</t>
  </si>
  <si>
    <t xml:space="preserve">SUR SEGUNDA SECCION </t>
  </si>
  <si>
    <t>SUR TERCERA SECCION</t>
  </si>
  <si>
    <t>TECOLUTILLA</t>
  </si>
  <si>
    <t>TIERRA Y LIBERTAD</t>
  </si>
  <si>
    <t>TOLOQUE</t>
  </si>
  <si>
    <t>TORNO LARGO</t>
  </si>
  <si>
    <t xml:space="preserve">TORNO LARGO </t>
  </si>
  <si>
    <t>TORNO LARGO TERCREA SECCION</t>
  </si>
  <si>
    <t>TULAR</t>
  </si>
  <si>
    <t xml:space="preserve">TULAR </t>
  </si>
  <si>
    <t>TULIPAN</t>
  </si>
  <si>
    <t>UNIDAD HABITACIONAL INFONAVIT DEPORTIVA</t>
  </si>
  <si>
    <t>VAQUEIRO SANTA ROSALIA</t>
  </si>
  <si>
    <t>VAQUEIROS</t>
  </si>
  <si>
    <t>VILLA ALDAMA</t>
  </si>
  <si>
    <t xml:space="preserve">VILLA ALDAMA </t>
  </si>
  <si>
    <t>VILLA CHICHICAPA</t>
  </si>
  <si>
    <t>VILLA ESMERALDA</t>
  </si>
  <si>
    <t>VILLA PUERTO CEIBA</t>
  </si>
  <si>
    <t xml:space="preserve">VILLA PUERTO CEIBA </t>
  </si>
  <si>
    <t>VILLA TECOLUTILLA</t>
  </si>
  <si>
    <t>VILLAPUERTO CEIBA</t>
  </si>
  <si>
    <t xml:space="preserve">YOLOXOCHILT </t>
  </si>
  <si>
    <t>YOLOXOCHILT 2DA SECCION</t>
  </si>
  <si>
    <t xml:space="preserve">YOLOXOCHILT SEGUNDA </t>
  </si>
  <si>
    <t>ZAPATA 2DA SECCION</t>
  </si>
  <si>
    <t>ZAPOTAL 1RA SECCION</t>
  </si>
  <si>
    <t>ZAPOTAL PRIMERA</t>
  </si>
  <si>
    <t xml:space="preserve">ZAPOTAL PRIMERA </t>
  </si>
  <si>
    <t>ZAPOTAL PRIMERA SECCION</t>
  </si>
  <si>
    <t xml:space="preserve">ZAPOTAL PRIMERA SECCION </t>
  </si>
  <si>
    <t>ZAPOTAL SEGUNDA SECCION</t>
  </si>
  <si>
    <t xml:space="preserve">ZAPOTAL TERCERA SECCION </t>
  </si>
  <si>
    <t>ZARAGOZA TERCERA SECCION</t>
  </si>
  <si>
    <t>RANCHERIA MIAHUATLAN SEGUNDA SECCION</t>
  </si>
  <si>
    <t>EJIDO CHILTEPEC EL PENJAMO</t>
  </si>
  <si>
    <t>RANCHERIA JOSE MARIA MORELOS EL BELLOTE</t>
  </si>
  <si>
    <t>RANCHERIA ZAPOTAL PRIMERA SECCION</t>
  </si>
  <si>
    <t>RANCHERIA OCCIDENTE SAN FRANCISCO</t>
  </si>
  <si>
    <t>POBLADO FRANCISCO I MADERO</t>
  </si>
  <si>
    <t>COLONIA ROGER FALCONI</t>
  </si>
  <si>
    <t>COLONIA INFONAVIT DEPORTIVA</t>
  </si>
  <si>
    <t>COLONONIA EMBUDO EL FOVISSTE</t>
  </si>
  <si>
    <t>COLONIA CARDENAS CENTRO</t>
  </si>
  <si>
    <t>COLONIA LAZARO CARDENAS DEL RIO</t>
  </si>
  <si>
    <t>COLONIA NUEVA ESPERANZA</t>
  </si>
  <si>
    <t>COLONIA CALZADA PRIMERA SECCION SUR</t>
  </si>
  <si>
    <t>COLONIA CALZADA SEGUNDA SECCION</t>
  </si>
  <si>
    <t xml:space="preserve">COLONIA CALZADA PRIMERA SECCION </t>
  </si>
  <si>
    <t>COLONIA CALZADA SECTOR SAN ANTONIO</t>
  </si>
  <si>
    <t>EJIDO EL PALMAR</t>
  </si>
  <si>
    <t>RANCHERIA RENULCALCO SEGUNDA SECCION</t>
  </si>
  <si>
    <t>EJIDO CARDENAS</t>
  </si>
  <si>
    <t>RANCHERIA YOLOXOCHITL</t>
  </si>
  <si>
    <t>RANCHERIA BENITO JUAREZ SEGUNDA SECCION</t>
  </si>
  <si>
    <t xml:space="preserve">RANCHERIA MANTILLA </t>
  </si>
  <si>
    <t>RANCHERIA YOLOXOCHITL SEGUNDA SECCION</t>
  </si>
  <si>
    <t>RANCHERIA YOLOXOCHITL SAN SERENO</t>
  </si>
  <si>
    <t>RANCHERIA YOLOXOCHTIL SAN SEVERO</t>
  </si>
  <si>
    <t>COLONIA LA COIVA</t>
  </si>
  <si>
    <t>COLONONIA ROGER FALCONI</t>
  </si>
  <si>
    <t>EJIDO CARRIZAL</t>
  </si>
  <si>
    <t>COLONIA CAÃ‘ALES SEGUNDA ETAPA SUR</t>
  </si>
  <si>
    <t>COLONIA ALAMEDA</t>
  </si>
  <si>
    <t>POBLADO C-9 LICENCIADO FRANCISCO I MADERO</t>
  </si>
  <si>
    <t>COLONIA SANTA CATALINA</t>
  </si>
  <si>
    <t>POBLADO C-28 CORONEL GREGORIO MENDEZ</t>
  </si>
  <si>
    <t>FRACCIONAMIENTO EL BAJIO SEGUNDA SECCION</t>
  </si>
  <si>
    <t>EJIDO SANTUARIO SEGUNDA SECCION</t>
  </si>
  <si>
    <t>RANCHERIA POZA REDONDA PRIMERA SECCION</t>
  </si>
  <si>
    <t>POBLADO C-16 EMILIANO ZAPATA</t>
  </si>
  <si>
    <t>FRACCIONAMIENTO EL BAJIO PRIMERA SECCION</t>
  </si>
  <si>
    <t>RANCHERIA EL BAJIO PRIMERA SECCION</t>
  </si>
  <si>
    <t>COLONIA JOSE TORRUCO</t>
  </si>
  <si>
    <t>COLONIA TABSCOOP</t>
  </si>
  <si>
    <t>RANCHERIA EL GOLPE SEGUNDA SECCION</t>
  </si>
  <si>
    <t>RANCHERIA SANTUARIO SEGUNDA SECCION</t>
  </si>
  <si>
    <t>COLONIA EMILIANO ZAPATA</t>
  </si>
  <si>
    <t>RANCHERIA RIO SECO Y MONTAÃ‘A TERCERA SECCION</t>
  </si>
  <si>
    <t>COLONIA INFONAVIT LOMA BONITA</t>
  </si>
  <si>
    <t>RANCHERIA ZAPOTAL SEGUNDA SECCION</t>
  </si>
  <si>
    <t>COLONIA CAÃƒâ€˜ALES TERCERA ETAPA NORTE</t>
  </si>
  <si>
    <t>COLONIA INGENIO SANTA ROSALIA</t>
  </si>
  <si>
    <t>EJIDO EMILIANO ZAPATA (SAN MATEO)</t>
  </si>
  <si>
    <t>EJIDO HUIMANGUILLO SEGUNDA SECCION</t>
  </si>
  <si>
    <t>EJIDO MORELOS PIEDRA TERCERA SECCION</t>
  </si>
  <si>
    <t>EJIDO RIO SECO TERCERA SECCION</t>
  </si>
  <si>
    <t xml:space="preserve">EJIDO SANTO TOMAS </t>
  </si>
  <si>
    <t xml:space="preserve">RANCHERIA A LA PIEDRA CUARTA SECCION </t>
  </si>
  <si>
    <t xml:space="preserve">RANCHERIA FRANCISCO VILLA </t>
  </si>
  <si>
    <t>RANCHERIA HABANERO PRIMERA SECCION</t>
  </si>
  <si>
    <t xml:space="preserve">RANCHERIA LA PIEDRA CUARTA SECCION </t>
  </si>
  <si>
    <t xml:space="preserve">RANCHERIA LA PIEDRA PRIMERA  SECCION </t>
  </si>
  <si>
    <t>BELLOTE</t>
  </si>
  <si>
    <t xml:space="preserve">EJIDO EL BAJIO SEGUNDA SECCION </t>
  </si>
  <si>
    <t>COLONIA LA MADRID</t>
  </si>
  <si>
    <t xml:space="preserve">EJIDO 11 DE FEBRERO </t>
  </si>
  <si>
    <t>RANCHERIA BLASILLO PRIMERA SECCION NICOLAS BRAVO</t>
  </si>
  <si>
    <t>EJIDO BUENA VENTURA</t>
  </si>
  <si>
    <t xml:space="preserve">EJIDO HUIMANGO SEGUNDA SECCCION </t>
  </si>
  <si>
    <t xml:space="preserve">RANCHERIA LAS MANTILLAS CUARTA SECCION </t>
  </si>
  <si>
    <t xml:space="preserve">RANCHERIA SANTUARIO SEGUNDA SECCION </t>
  </si>
  <si>
    <t xml:space="preserve">EJIDO YOLOKOCHITL SEGUDA SECCION </t>
  </si>
  <si>
    <t>COLONIA EL BELLOTE</t>
  </si>
  <si>
    <t>FRACCIONAMIENTO CAÃƒâ€˜ALES DOS</t>
  </si>
  <si>
    <t xml:space="preserve">RANCHERIA LA PIEDRA TERCERA SECCION </t>
  </si>
  <si>
    <t>RANCHERIA MIAHUATLAN SAN ISIDRO</t>
  </si>
  <si>
    <t xml:space="preserve">POBLADO C-10 </t>
  </si>
  <si>
    <t xml:space="preserve">POBLADO C-16 EMILIANO ZAPATA </t>
  </si>
  <si>
    <t>EJIDO C-20 MIGUEL HIDALGO</t>
  </si>
  <si>
    <t xml:space="preserve">POBLADO C-28  GREGORIO MENDEZ MAGAÃƒâ€˜A 1 </t>
  </si>
  <si>
    <t>POBLADO C-9 LICENCIADO FRANCISCO I. MADERO</t>
  </si>
  <si>
    <t xml:space="preserve">RANCHERIA POZA REDONDA  PRIMERA SECION </t>
  </si>
  <si>
    <t>PROLONGACION SANTOS DEGOLLADO</t>
  </si>
  <si>
    <t>RANCHERIA LAS MANTILLAS CUARTA SECCION SAN ANTONIO</t>
  </si>
  <si>
    <t xml:space="preserve">RANCHERIA BENITO JUAREZ SEGUNDA SECCION </t>
  </si>
  <si>
    <t xml:space="preserve">RANCHERIA HABANERO SEGUNDA SECCION </t>
  </si>
  <si>
    <t xml:space="preserve">RANCHERIA LA PIEDRA PRIMERA SECCION </t>
  </si>
  <si>
    <t>POBLADO PECHUCALCO</t>
  </si>
  <si>
    <t xml:space="preserve">RANCHERIA RIO SECO SEGUNDA SECCION C </t>
  </si>
  <si>
    <t>RANCHERIA YOLOXOCHIYL SEGUNDA SECCION</t>
  </si>
  <si>
    <t>EJIDO ZAPOTAL PRIMERA SECCION SAN MIGUEL</t>
  </si>
  <si>
    <t xml:space="preserve">CENTRO </t>
  </si>
  <si>
    <t>ALIANZA</t>
  </si>
  <si>
    <t>2019-04-05</t>
  </si>
  <si>
    <t>2021-10-16</t>
  </si>
  <si>
    <t>2021-01-10</t>
  </si>
  <si>
    <t>2021-12-17</t>
  </si>
  <si>
    <t>2021-10-22</t>
  </si>
  <si>
    <t>2021-10-28</t>
  </si>
  <si>
    <t>2021-10-29</t>
  </si>
  <si>
    <t>2021-06-11</t>
  </si>
  <si>
    <t>2021-11-30</t>
  </si>
  <si>
    <t>2021-11-18</t>
  </si>
  <si>
    <t>2022-02-01</t>
  </si>
  <si>
    <t>2021-05-01</t>
  </si>
  <si>
    <t>2021-11-16</t>
  </si>
  <si>
    <t>2021-10-12</t>
  </si>
  <si>
    <t>2021-10-20</t>
  </si>
  <si>
    <t>2022-01-22</t>
  </si>
  <si>
    <t>2022-01-29</t>
  </si>
  <si>
    <t>2021-01-28</t>
  </si>
  <si>
    <t>2021-06-12</t>
  </si>
  <si>
    <t>2021-05-03</t>
  </si>
  <si>
    <t>2021-09-22</t>
  </si>
  <si>
    <t>2020-07-29</t>
  </si>
  <si>
    <t>2018-09-14</t>
  </si>
  <si>
    <t>2020-01-14</t>
  </si>
  <si>
    <t>2021-03-11</t>
  </si>
  <si>
    <t>2021-09-27</t>
  </si>
  <si>
    <t>2021-09-24</t>
  </si>
  <si>
    <t>2019-11-30</t>
  </si>
  <si>
    <t>2021-11-13</t>
  </si>
  <si>
    <t>2017-07-02</t>
  </si>
  <si>
    <t>2021-10-23</t>
  </si>
  <si>
    <t>2021-05-11</t>
  </si>
  <si>
    <t>2021-07-09</t>
  </si>
  <si>
    <t>2021-04-12</t>
  </si>
  <si>
    <t>2021-12-10</t>
  </si>
  <si>
    <t>2020-03-31</t>
  </si>
  <si>
    <t>2022-03-01</t>
  </si>
  <si>
    <t>2020-12-22</t>
  </si>
  <si>
    <t>2017-01-06</t>
  </si>
  <si>
    <t>2021-05-10</t>
  </si>
  <si>
    <t>2017-11-03</t>
  </si>
  <si>
    <t>2021-10-19</t>
  </si>
  <si>
    <t>2021-10-11</t>
  </si>
  <si>
    <t>2021-12-13</t>
  </si>
  <si>
    <t>2021-09-18</t>
  </si>
  <si>
    <t>2021-02-22</t>
  </si>
  <si>
    <t>2021-03-26</t>
  </si>
  <si>
    <t>2021-03-23</t>
  </si>
  <si>
    <t>2021-08-10</t>
  </si>
  <si>
    <t>2021-11-10</t>
  </si>
  <si>
    <t>2021-03-30</t>
  </si>
  <si>
    <t>2019-05-29</t>
  </si>
  <si>
    <t>2020-01-12</t>
  </si>
  <si>
    <t>2021-06-23</t>
  </si>
  <si>
    <t>2020-08-28</t>
  </si>
  <si>
    <t>2019-12-09</t>
  </si>
  <si>
    <t>2020-12-28</t>
  </si>
  <si>
    <t>2021-03-25</t>
  </si>
  <si>
    <t>2022-01-12</t>
  </si>
  <si>
    <t>2022-10-01</t>
  </si>
  <si>
    <t>2021-04-11</t>
  </si>
  <si>
    <t>2021-01-11</t>
  </si>
  <si>
    <t>2020-10-23</t>
  </si>
  <si>
    <t>2020-08-25</t>
  </si>
  <si>
    <t>2021-10-15</t>
  </si>
  <si>
    <t>2020-09-17</t>
  </si>
  <si>
    <t>2019-12-18</t>
  </si>
  <si>
    <t>2021-10-02</t>
  </si>
  <si>
    <t>2021-02-13</t>
  </si>
  <si>
    <t>2020-11-11</t>
  </si>
  <si>
    <t>2020-08-17</t>
  </si>
  <si>
    <t>2021-10-30</t>
  </si>
  <si>
    <t>2021-12-14</t>
  </si>
  <si>
    <t>2021-11-29</t>
  </si>
  <si>
    <t>2022-01-14</t>
  </si>
  <si>
    <t>2021-03-02</t>
  </si>
  <si>
    <t>2020-10-30</t>
  </si>
  <si>
    <t>2021-09-10</t>
  </si>
  <si>
    <t>2021-12-02</t>
  </si>
  <si>
    <t>2021-09-11</t>
  </si>
  <si>
    <t>2021-08-11</t>
  </si>
  <si>
    <t>2021-07-10</t>
  </si>
  <si>
    <t>2021-12-16</t>
  </si>
  <si>
    <t>2021-11-27</t>
  </si>
  <si>
    <t>2021-07-20</t>
  </si>
  <si>
    <t>2021-04-19</t>
  </si>
  <si>
    <t>2020-07-20</t>
  </si>
  <si>
    <t>2020-09-16</t>
  </si>
  <si>
    <t>2020-12-18</t>
  </si>
  <si>
    <t>2021-10-14</t>
  </si>
  <si>
    <t>2019-12-08</t>
  </si>
  <si>
    <t>2019-04-03</t>
  </si>
  <si>
    <t>2020-12-10</t>
  </si>
  <si>
    <t>2021-06-18</t>
  </si>
  <si>
    <t>2021-09-23</t>
  </si>
  <si>
    <t>2021-02-23</t>
  </si>
  <si>
    <t>2020-01-16</t>
  </si>
  <si>
    <t>2020-10-27</t>
  </si>
  <si>
    <t>2020-03-13</t>
  </si>
  <si>
    <t>2020-04-11</t>
  </si>
  <si>
    <t>2021-11-24</t>
  </si>
  <si>
    <t>2021-06-10</t>
  </si>
  <si>
    <t>2019-12-27</t>
  </si>
  <si>
    <t>2020-01-17</t>
  </si>
  <si>
    <t>2021-02-10</t>
  </si>
  <si>
    <t>2021-11-19</t>
  </si>
  <si>
    <t>2021-09-30</t>
  </si>
  <si>
    <t>2021-07-12</t>
  </si>
  <si>
    <t>2021-02-12</t>
  </si>
  <si>
    <t>2021-01-01</t>
  </si>
  <si>
    <t>2021-08-29</t>
  </si>
  <si>
    <t>2021-10-25</t>
  </si>
  <si>
    <t>2021-05-13</t>
  </si>
  <si>
    <t>2021-11-23</t>
  </si>
  <si>
    <t>2021-11-22</t>
  </si>
  <si>
    <t>2021-02-25</t>
  </si>
  <si>
    <t>2019-11-26</t>
  </si>
  <si>
    <t>2021-01-03</t>
  </si>
  <si>
    <t>2019-05-10</t>
  </si>
  <si>
    <t>2019-07-10</t>
  </si>
  <si>
    <t>2021-06-01</t>
  </si>
  <si>
    <t>2019-09-17</t>
  </si>
  <si>
    <t>2019-02-10</t>
  </si>
  <si>
    <t>2019-06-30</t>
  </si>
  <si>
    <t>2021-01-04</t>
  </si>
  <si>
    <t>2021-03-03</t>
  </si>
  <si>
    <t>2019-09-25</t>
  </si>
  <si>
    <t>2021-02-15</t>
  </si>
  <si>
    <t>2019-08-10</t>
  </si>
  <si>
    <t>2021-11-12</t>
  </si>
  <si>
    <t>2020-11-28</t>
  </si>
  <si>
    <t>2021-08-06</t>
  </si>
  <si>
    <t>2021-09-14</t>
  </si>
  <si>
    <t>2020-11-16</t>
  </si>
  <si>
    <t>2021-09-13</t>
  </si>
  <si>
    <t>2021-11-25</t>
  </si>
  <si>
    <t>2021-10-26</t>
  </si>
  <si>
    <t>2021-09-25</t>
  </si>
  <si>
    <t>2019-06-06</t>
  </si>
  <si>
    <t>2021-03-13</t>
  </si>
  <si>
    <t>2021-01-26</t>
  </si>
  <si>
    <t>2021-11-20</t>
  </si>
  <si>
    <t>2021-02-09</t>
  </si>
  <si>
    <t>2021-12-31</t>
  </si>
  <si>
    <t>2018-04-14</t>
  </si>
  <si>
    <t>2021-10-21</t>
  </si>
  <si>
    <t>2021-04-09</t>
  </si>
  <si>
    <t>2021-12-11</t>
  </si>
  <si>
    <t>2019-09-08</t>
  </si>
  <si>
    <t>2019-04-11</t>
  </si>
  <si>
    <t>2019-02-08</t>
  </si>
  <si>
    <t>2021-09-29</t>
  </si>
  <si>
    <t>2021-08-30</t>
  </si>
  <si>
    <t>2021-12-23</t>
  </si>
  <si>
    <t>2020-08-24</t>
  </si>
  <si>
    <t>2019-09-24</t>
  </si>
  <si>
    <t>2020-11-26</t>
  </si>
  <si>
    <t>2021-07-30</t>
  </si>
  <si>
    <t>2020-12-31</t>
  </si>
  <si>
    <t>2021-03-15</t>
  </si>
  <si>
    <t>2021-08-03</t>
  </si>
  <si>
    <t>2021-05-28</t>
  </si>
  <si>
    <t>2021-07-13</t>
  </si>
  <si>
    <t>2020-07-21</t>
  </si>
  <si>
    <t>2020-03-14</t>
  </si>
  <si>
    <t>2019-04-06</t>
  </si>
  <si>
    <t>2020-11-25</t>
  </si>
  <si>
    <t>2021-05-06</t>
  </si>
  <si>
    <t>2018-04-20</t>
  </si>
  <si>
    <t>2022-08-01</t>
  </si>
  <si>
    <t>2021-09-28</t>
  </si>
  <si>
    <t>2021-07-15</t>
  </si>
  <si>
    <t>2021-05-20</t>
  </si>
  <si>
    <t>2021-12-07</t>
  </si>
  <si>
    <t>2021-08-26</t>
  </si>
  <si>
    <t>2021-12-28</t>
  </si>
  <si>
    <t>2018-12-24</t>
  </si>
  <si>
    <t>2021-12-08</t>
  </si>
  <si>
    <t>2021-08-12</t>
  </si>
  <si>
    <t>2021-08-31</t>
  </si>
  <si>
    <t>2021-06-15</t>
  </si>
  <si>
    <t>2019-06-26</t>
  </si>
  <si>
    <t>2019-12-02</t>
  </si>
  <si>
    <t>2021-01-21</t>
  </si>
  <si>
    <t>2020-04-03</t>
  </si>
  <si>
    <t>2020-06-25</t>
  </si>
  <si>
    <t>2020-05-17</t>
  </si>
  <si>
    <t>2021-12-18</t>
  </si>
  <si>
    <t>2021-02-24</t>
  </si>
  <si>
    <t>2021-02-19</t>
  </si>
  <si>
    <t>2020-02-12</t>
  </si>
  <si>
    <t>2017-11-17</t>
  </si>
  <si>
    <t>2017-09-11</t>
  </si>
  <si>
    <t>2021-02-11</t>
  </si>
  <si>
    <t>2019-03-20</t>
  </si>
  <si>
    <t>2019-10-31</t>
  </si>
  <si>
    <t>2019-02-15</t>
  </si>
  <si>
    <t>2020-06-21</t>
  </si>
  <si>
    <t>2021-02-04</t>
  </si>
  <si>
    <t>2021-03-18</t>
  </si>
  <si>
    <t>2021-12-03</t>
  </si>
  <si>
    <t>2021-07-01</t>
  </si>
  <si>
    <t>2021-05-02</t>
  </si>
  <si>
    <t>2020-09-23</t>
  </si>
  <si>
    <t>2021-07-26</t>
  </si>
  <si>
    <t>2021-06-24</t>
  </si>
  <si>
    <t>2021-03-01</t>
  </si>
  <si>
    <t>2021-09-15</t>
  </si>
  <si>
    <t>2021-03-12</t>
  </si>
  <si>
    <t>2022-01-19</t>
  </si>
  <si>
    <t>2022-04-01</t>
  </si>
  <si>
    <t>2020-03-04</t>
  </si>
  <si>
    <t>2021-04-03</t>
  </si>
  <si>
    <t>2021-04-15</t>
  </si>
  <si>
    <t>2021-01-19</t>
  </si>
  <si>
    <t>2021-07-25</t>
  </si>
  <si>
    <t>2021-09-12</t>
  </si>
  <si>
    <t>2021-08-24</t>
  </si>
  <si>
    <t>2019-07-08</t>
  </si>
  <si>
    <t>2021-04-10</t>
  </si>
  <si>
    <t>2022-05-01</t>
  </si>
  <si>
    <t>2020-06-16</t>
  </si>
  <si>
    <t>2021-04-27</t>
  </si>
  <si>
    <t>2021-11-09</t>
  </si>
  <si>
    <t>2020-07-02</t>
  </si>
  <si>
    <t>2019-08-24</t>
  </si>
  <si>
    <t>2021-06-05</t>
  </si>
  <si>
    <t>2022-07-01</t>
  </si>
  <si>
    <t>2021-12-29</t>
  </si>
  <si>
    <t>2022-01-17</t>
  </si>
  <si>
    <t>2018-08-29</t>
  </si>
  <si>
    <t>2021-11-26</t>
  </si>
  <si>
    <t>2022-01-15</t>
  </si>
  <si>
    <t>2021-11-15</t>
  </si>
  <si>
    <t>2019-03-01</t>
  </si>
  <si>
    <t>2021-09-06</t>
  </si>
  <si>
    <t>2019-03-04</t>
  </si>
  <si>
    <t>2021-04-22</t>
  </si>
  <si>
    <t>2021-09-19</t>
  </si>
  <si>
    <t>2016-08-04</t>
  </si>
  <si>
    <t>2021-01-30</t>
  </si>
  <si>
    <t>2021-04-14</t>
  </si>
  <si>
    <t>2021-09-02</t>
  </si>
  <si>
    <t>2020-06-01</t>
  </si>
  <si>
    <t>2019-08-22</t>
  </si>
  <si>
    <t>2021-06-09</t>
  </si>
  <si>
    <t>2018-04-12</t>
  </si>
  <si>
    <t>2021-03-20</t>
  </si>
  <si>
    <t>2020-03-12</t>
  </si>
  <si>
    <t>2022-12-01</t>
  </si>
  <si>
    <t>2019-10-15</t>
  </si>
  <si>
    <t>2021-08-16</t>
  </si>
  <si>
    <t>2021-10-18</t>
  </si>
  <si>
    <t>2020-02-20</t>
  </si>
  <si>
    <t>2019-12-13</t>
  </si>
  <si>
    <t>2019-12-07</t>
  </si>
  <si>
    <t>2019-09-20</t>
  </si>
  <si>
    <t>2018-08-09</t>
  </si>
  <si>
    <t>2019-02-18</t>
  </si>
  <si>
    <t>2019-11-28</t>
  </si>
  <si>
    <t>2020-01-23</t>
  </si>
  <si>
    <t>2020-11-12</t>
  </si>
  <si>
    <t>2021-06-19</t>
  </si>
  <si>
    <t>2021-06-30</t>
  </si>
  <si>
    <t>2020-10-03</t>
  </si>
  <si>
    <t>2021-05-31</t>
  </si>
  <si>
    <t>2021-01-06</t>
  </si>
  <si>
    <t>2019-12-05</t>
  </si>
  <si>
    <t>2019-11-19</t>
  </si>
  <si>
    <t>2022-07-23</t>
  </si>
  <si>
    <t>2019-08-23</t>
  </si>
  <si>
    <t>2010-08-26</t>
  </si>
  <si>
    <t>2018-06-28</t>
  </si>
  <si>
    <t>2019-08-21</t>
  </si>
  <si>
    <t>2021-04-02</t>
  </si>
  <si>
    <t>2020-03-28</t>
  </si>
  <si>
    <t>2018-12-23</t>
  </si>
  <si>
    <t>2019-03-06</t>
  </si>
  <si>
    <t>2021-05-12</t>
  </si>
  <si>
    <t>2017-03-15</t>
  </si>
  <si>
    <t>2020-06-09</t>
  </si>
  <si>
    <t>2021-06-16</t>
  </si>
  <si>
    <t>2021-09-17</t>
  </si>
  <si>
    <t>2017-03-11</t>
  </si>
  <si>
    <t>2021-08-09</t>
  </si>
  <si>
    <t>2021-02-27</t>
  </si>
  <si>
    <t>2022-11-01</t>
  </si>
  <si>
    <t>2020-05-09</t>
  </si>
  <si>
    <t>2021-05-04</t>
  </si>
  <si>
    <t>2020-07-12</t>
  </si>
  <si>
    <t>2020-01-24</t>
  </si>
  <si>
    <t>2021-09-20</t>
  </si>
  <si>
    <t>2021-07-14</t>
  </si>
  <si>
    <t>2020-08-10</t>
  </si>
  <si>
    <t>2020-12-11</t>
  </si>
  <si>
    <t>2020-01-27</t>
  </si>
  <si>
    <t>2019-05-14</t>
  </si>
  <si>
    <t>2021-01-27</t>
  </si>
  <si>
    <t>2021-06-22</t>
  </si>
  <si>
    <t>2020-11-30</t>
  </si>
  <si>
    <t>2020-04-12</t>
  </si>
  <si>
    <t>2020-01-30</t>
  </si>
  <si>
    <t>2021-01-18</t>
  </si>
  <si>
    <t>2020-06-27</t>
  </si>
  <si>
    <t>2020-06-29</t>
  </si>
  <si>
    <t>2018-03-08</t>
  </si>
  <si>
    <t>2018-11-11</t>
  </si>
  <si>
    <t>2020-11-17</t>
  </si>
  <si>
    <t>2022-09-22</t>
  </si>
  <si>
    <t>2021-01-12</t>
  </si>
  <si>
    <t>2021-09-16</t>
  </si>
  <si>
    <t>2020-05-08</t>
  </si>
  <si>
    <t>2021-08-01</t>
  </si>
  <si>
    <t>2010-09-10</t>
  </si>
  <si>
    <t>2021-02-26</t>
  </si>
  <si>
    <t>2017-11-23</t>
  </si>
  <si>
    <t>2020-01-15</t>
  </si>
  <si>
    <t>2021-12-21</t>
  </si>
  <si>
    <t>2018-12-26</t>
  </si>
  <si>
    <t>2021-05-25</t>
  </si>
  <si>
    <t>2022-06-01</t>
  </si>
  <si>
    <t>2021-02-02</t>
  </si>
  <si>
    <t>2021-09-04</t>
  </si>
  <si>
    <t>2021-10-04</t>
  </si>
  <si>
    <t>2021-10-27</t>
  </si>
  <si>
    <t>2020-04-09</t>
  </si>
  <si>
    <t>2021-10-06</t>
  </si>
  <si>
    <t>2021-08-18</t>
  </si>
  <si>
    <t>2022-01-26</t>
  </si>
  <si>
    <t>2017-05-30</t>
  </si>
  <si>
    <t>2019-02-03</t>
  </si>
  <si>
    <t>2019-02-25</t>
  </si>
  <si>
    <t>2021-05-22</t>
  </si>
  <si>
    <t>2019-11-04</t>
  </si>
  <si>
    <t>2019-06-04</t>
  </si>
  <si>
    <t>2019-04-30</t>
  </si>
  <si>
    <t>2021-07-27</t>
  </si>
  <si>
    <t>2019-01-05</t>
  </si>
  <si>
    <t>2019-05-18</t>
  </si>
  <si>
    <t>2019-10-26</t>
  </si>
  <si>
    <t>2021-06-07</t>
  </si>
  <si>
    <t>2019-04-15</t>
  </si>
  <si>
    <t>2021-12-06</t>
  </si>
  <si>
    <t>2017-04-25</t>
  </si>
  <si>
    <t>2022-01-28</t>
  </si>
  <si>
    <t>2019-06-19</t>
  </si>
  <si>
    <t>2019-04-25</t>
  </si>
  <si>
    <t>2019-04-13</t>
  </si>
  <si>
    <t>2020-04-02</t>
  </si>
  <si>
    <t>2019-07-04</t>
  </si>
  <si>
    <t>2019-09-03</t>
  </si>
  <si>
    <t>2019-04-19</t>
  </si>
  <si>
    <t>2020-10-01</t>
  </si>
  <si>
    <t>2019-02-19</t>
  </si>
  <si>
    <t>2020-02-18</t>
  </si>
  <si>
    <t>2019-12-04</t>
  </si>
  <si>
    <t>2019-04-24</t>
  </si>
  <si>
    <t>2019-06-02</t>
  </si>
  <si>
    <t>2019-05-17</t>
  </si>
  <si>
    <t>2019-04-18</t>
  </si>
  <si>
    <t>2018-07-30</t>
  </si>
  <si>
    <t>2019-05-31</t>
  </si>
  <si>
    <t>2021-12-27</t>
  </si>
  <si>
    <t>2018-09-24</t>
  </si>
  <si>
    <t>2020-06-20</t>
  </si>
  <si>
    <t>2022-01-21</t>
  </si>
  <si>
    <t>2018-12-11</t>
  </si>
  <si>
    <t>2018-10-17</t>
  </si>
  <si>
    <t>2018-10-22</t>
  </si>
  <si>
    <t>2020-04-08</t>
  </si>
  <si>
    <t>2019-10-22</t>
  </si>
  <si>
    <t>2019-05-30</t>
  </si>
  <si>
    <t>2021-05-30</t>
  </si>
  <si>
    <t>2021-06-25</t>
  </si>
  <si>
    <t>2021-07-31</t>
  </si>
  <si>
    <t>2021-07-23</t>
  </si>
  <si>
    <t>2021-12-15</t>
  </si>
  <si>
    <t>2021-08-14</t>
  </si>
  <si>
    <t>2021-07-08</t>
  </si>
  <si>
    <t>2021-08-25</t>
  </si>
  <si>
    <t>2021-10-07</t>
  </si>
  <si>
    <t>2021-07-22</t>
  </si>
  <si>
    <t>2022-01-24</t>
  </si>
  <si>
    <t>2021-07-24</t>
  </si>
  <si>
    <t>2021-01-07</t>
  </si>
  <si>
    <t>2021-07-28</t>
  </si>
  <si>
    <t>2020-11-14</t>
  </si>
  <si>
    <t>2019-11-23</t>
  </si>
  <si>
    <t>2020-10-02</t>
  </si>
  <si>
    <t>2021-11-17</t>
  </si>
  <si>
    <t>2018-11-21</t>
  </si>
  <si>
    <t>2021-10-03</t>
  </si>
  <si>
    <t>2021-08-07</t>
  </si>
  <si>
    <t>2021-03-08</t>
  </si>
  <si>
    <t>2021-06-08</t>
  </si>
  <si>
    <t>2021-02-07</t>
  </si>
  <si>
    <t>2021-07-29</t>
  </si>
  <si>
    <t>2021-06-26</t>
  </si>
  <si>
    <t>2021-07-07</t>
  </si>
  <si>
    <t>2021-06-14</t>
  </si>
  <si>
    <t>2021-07-17</t>
  </si>
  <si>
    <t>2021-07-21</t>
  </si>
  <si>
    <t>2022-01-20</t>
  </si>
  <si>
    <t>2021-11-28</t>
  </si>
  <si>
    <t>2021-03-07</t>
  </si>
  <si>
    <t>2021-05-08</t>
  </si>
  <si>
    <t>2022-04-02</t>
  </si>
  <si>
    <t>2019-09-15</t>
  </si>
  <si>
    <t>2021-11-01</t>
  </si>
  <si>
    <t>SEMANAL</t>
  </si>
  <si>
    <t>PRESIDENCIAL</t>
  </si>
  <si>
    <t>DELUX</t>
  </si>
  <si>
    <t>CREMACION</t>
  </si>
  <si>
    <t>ECONO LINE</t>
  </si>
  <si>
    <t>QUINCENAL</t>
  </si>
  <si>
    <t xml:space="preserve">DIGNITY </t>
  </si>
  <si>
    <t xml:space="preserve">GOBERNADOR </t>
  </si>
  <si>
    <t>ESPECIAL ANGELES</t>
  </si>
  <si>
    <t>DE LA CRUZ</t>
  </si>
  <si>
    <t>PEREZ</t>
  </si>
  <si>
    <t>ANA MARIA</t>
  </si>
  <si>
    <t>GARCIA</t>
  </si>
  <si>
    <t>PASCUAL</t>
  </si>
  <si>
    <t>ARIAS</t>
  </si>
  <si>
    <t>MARIA CRUZ</t>
  </si>
  <si>
    <t>OLIVA</t>
  </si>
  <si>
    <t>FUENTES</t>
  </si>
  <si>
    <t>RUBEN</t>
  </si>
  <si>
    <t>SOTO</t>
  </si>
  <si>
    <t>VILLAR</t>
  </si>
  <si>
    <t>GEORGINA</t>
  </si>
  <si>
    <t>AGUILAR</t>
  </si>
  <si>
    <t>RAFAEL</t>
  </si>
  <si>
    <t>JUAREZ</t>
  </si>
  <si>
    <t>MARIA</t>
  </si>
  <si>
    <t>MARQUEZ</t>
  </si>
  <si>
    <t>HERNANDEZ</t>
  </si>
  <si>
    <t>SANTIAGO</t>
  </si>
  <si>
    <t>SOBERANO</t>
  </si>
  <si>
    <t>AVALOS</t>
  </si>
  <si>
    <t>SALATIEL</t>
  </si>
  <si>
    <t>MARTINEZ</t>
  </si>
  <si>
    <t>VICENTE</t>
  </si>
  <si>
    <t>RENE HERIBERTO</t>
  </si>
  <si>
    <t>TRUJILLO</t>
  </si>
  <si>
    <t>MIRANDA</t>
  </si>
  <si>
    <t>JANET</t>
  </si>
  <si>
    <t>RAMIREZ</t>
  </si>
  <si>
    <t>TEJEDA</t>
  </si>
  <si>
    <t>YASMIN MARIA</t>
  </si>
  <si>
    <t>COLLADO</t>
  </si>
  <si>
    <t>ISAIAS</t>
  </si>
  <si>
    <t>RODRIGUEZ</t>
  </si>
  <si>
    <t>EFRAIN</t>
  </si>
  <si>
    <t>RUIZ</t>
  </si>
  <si>
    <t>NELLI</t>
  </si>
  <si>
    <t>GONZALEZ</t>
  </si>
  <si>
    <t>HARLEY</t>
  </si>
  <si>
    <t>SERVIN</t>
  </si>
  <si>
    <t>DOMINGUEZ</t>
  </si>
  <si>
    <t>JUANA</t>
  </si>
  <si>
    <t>CRUZ</t>
  </si>
  <si>
    <t>CANUTO</t>
  </si>
  <si>
    <t>VENTURA</t>
  </si>
  <si>
    <t>MERCEDES</t>
  </si>
  <si>
    <t>VELAZQUEZ</t>
  </si>
  <si>
    <t>MORALES</t>
  </si>
  <si>
    <t>HOFILIA</t>
  </si>
  <si>
    <t>MARCHENA</t>
  </si>
  <si>
    <t>GLADYS</t>
  </si>
  <si>
    <t>MARIA DALILA</t>
  </si>
  <si>
    <t>PINEDA</t>
  </si>
  <si>
    <t>ALEJANDRO</t>
  </si>
  <si>
    <t>AGUSTIN CEVERO</t>
  </si>
  <si>
    <t>ROCIO</t>
  </si>
  <si>
    <t>ALCAZAR</t>
  </si>
  <si>
    <t>CANCINO</t>
  </si>
  <si>
    <t>RODOLFO</t>
  </si>
  <si>
    <t>ALPUCHE</t>
  </si>
  <si>
    <t>AGUIRRE</t>
  </si>
  <si>
    <t>CLEVER RAMON</t>
  </si>
  <si>
    <t>JIMENEZ</t>
  </si>
  <si>
    <t>MENDEZ</t>
  </si>
  <si>
    <t>JORGE</t>
  </si>
  <si>
    <t>NARANJO</t>
  </si>
  <si>
    <t>ALEJO</t>
  </si>
  <si>
    <t>GERMAN</t>
  </si>
  <si>
    <t>CARRASCO</t>
  </si>
  <si>
    <t>GAMAS</t>
  </si>
  <si>
    <t>CARMEN</t>
  </si>
  <si>
    <t>ALVARADO</t>
  </si>
  <si>
    <t>IRMA</t>
  </si>
  <si>
    <t>VICTORIANO</t>
  </si>
  <si>
    <t>MANUEL</t>
  </si>
  <si>
    <t>JOSE</t>
  </si>
  <si>
    <t>JOSE DE LOS SANTOS</t>
  </si>
  <si>
    <t>MAURICIO</t>
  </si>
  <si>
    <t>OLAN</t>
  </si>
  <si>
    <t>ABENAMAR</t>
  </si>
  <si>
    <t>AREVALO</t>
  </si>
  <si>
    <t>LEYVA</t>
  </si>
  <si>
    <t>YOLANDA</t>
  </si>
  <si>
    <t>ENRIQUE</t>
  </si>
  <si>
    <t>VIRIDIANA</t>
  </si>
  <si>
    <t>ELOY</t>
  </si>
  <si>
    <t>HONORIA</t>
  </si>
  <si>
    <t>MONTEJO</t>
  </si>
  <si>
    <t>BOLAINA</t>
  </si>
  <si>
    <t>FLOR</t>
  </si>
  <si>
    <t>EVER</t>
  </si>
  <si>
    <t>MAGNOLIA</t>
  </si>
  <si>
    <t>VIVIANA CRISTELL</t>
  </si>
  <si>
    <t>VIDAL</t>
  </si>
  <si>
    <t>CORA</t>
  </si>
  <si>
    <t>FAUSTINO</t>
  </si>
  <si>
    <t>MARIA JESUS</t>
  </si>
  <si>
    <t>ROSA</t>
  </si>
  <si>
    <t>CORDOA</t>
  </si>
  <si>
    <t>CORDOVA</t>
  </si>
  <si>
    <t>MADAY</t>
  </si>
  <si>
    <t>MARIO</t>
  </si>
  <si>
    <t>CASTELLANO</t>
  </si>
  <si>
    <t>BERTHA MARIA</t>
  </si>
  <si>
    <t>BAIUTISTA</t>
  </si>
  <si>
    <t>PEDRO</t>
  </si>
  <si>
    <t>BROCA</t>
  </si>
  <si>
    <t>ANAI</t>
  </si>
  <si>
    <t>HEREDIA</t>
  </si>
  <si>
    <t>AURORA</t>
  </si>
  <si>
    <t>LAZARO</t>
  </si>
  <si>
    <t>AVENIDA</t>
  </si>
  <si>
    <t>MENESES</t>
  </si>
  <si>
    <t>DANTORI</t>
  </si>
  <si>
    <t>TERECITA DE JESUS</t>
  </si>
  <si>
    <t>OYOSA</t>
  </si>
  <si>
    <t>OSCAR</t>
  </si>
  <si>
    <t>ORTIZ</t>
  </si>
  <si>
    <t>CLEMENTE ALONSO</t>
  </si>
  <si>
    <t>BAÃ‘O</t>
  </si>
  <si>
    <t>CARLOS ANTONIO</t>
  </si>
  <si>
    <t>SANCHEZ</t>
  </si>
  <si>
    <t>GUADALUPE</t>
  </si>
  <si>
    <t>ESTRADA</t>
  </si>
  <si>
    <t>OFELIA</t>
  </si>
  <si>
    <t>PEREGRINO</t>
  </si>
  <si>
    <t>ALVAREZ</t>
  </si>
  <si>
    <t>MARVIN</t>
  </si>
  <si>
    <t>CASTELLANOS</t>
  </si>
  <si>
    <t>MARIA DE LOS ANGELES</t>
  </si>
  <si>
    <t>CASTILLO</t>
  </si>
  <si>
    <t>GALLEGOS</t>
  </si>
  <si>
    <t>FERNANDO</t>
  </si>
  <si>
    <t>PAULO CESAR</t>
  </si>
  <si>
    <t>GALMICHE</t>
  </si>
  <si>
    <t>RUTH</t>
  </si>
  <si>
    <t>CARLOS</t>
  </si>
  <si>
    <t>PABLO</t>
  </si>
  <si>
    <t>GUILLEN</t>
  </si>
  <si>
    <t>ARAYO</t>
  </si>
  <si>
    <t>HERMINIA FIDELMA</t>
  </si>
  <si>
    <t>SEGURA</t>
  </si>
  <si>
    <t>ANTONIO</t>
  </si>
  <si>
    <t>CONSUELO</t>
  </si>
  <si>
    <t>CUPIL</t>
  </si>
  <si>
    <t>OVANDO</t>
  </si>
  <si>
    <t>NURI</t>
  </si>
  <si>
    <t>CONTRERAS</t>
  </si>
  <si>
    <t>CERINO</t>
  </si>
  <si>
    <t>ESPERANZA</t>
  </si>
  <si>
    <t>DEL CARMEN</t>
  </si>
  <si>
    <t>EDIT</t>
  </si>
  <si>
    <t>LUCIA</t>
  </si>
  <si>
    <t>LIGARIO</t>
  </si>
  <si>
    <t>MARIA DEL CARMEN</t>
  </si>
  <si>
    <t>CALDERON</t>
  </si>
  <si>
    <t>MARTHA EDITH</t>
  </si>
  <si>
    <t>ASUNCION</t>
  </si>
  <si>
    <t>RAYA</t>
  </si>
  <si>
    <t>JUILIA</t>
  </si>
  <si>
    <t>HEROCEEDIS</t>
  </si>
  <si>
    <t>FLORES</t>
  </si>
  <si>
    <t>ELIAS</t>
  </si>
  <si>
    <t>SALVADOR</t>
  </si>
  <si>
    <t>ANDRES MANUEL</t>
  </si>
  <si>
    <t>LEON</t>
  </si>
  <si>
    <t>PETRONA</t>
  </si>
  <si>
    <t>AMADILDA</t>
  </si>
  <si>
    <t>BARTOLO</t>
  </si>
  <si>
    <t>ALAMILLA</t>
  </si>
  <si>
    <t>MARIBEL</t>
  </si>
  <si>
    <t>MARIA REYES</t>
  </si>
  <si>
    <t>REYNA MARIA</t>
  </si>
  <si>
    <t>MARIN</t>
  </si>
  <si>
    <t>FLORICEL</t>
  </si>
  <si>
    <t>TORRES</t>
  </si>
  <si>
    <t>GONGORA</t>
  </si>
  <si>
    <t>EZEQUIEL</t>
  </si>
  <si>
    <t>CARMITA</t>
  </si>
  <si>
    <t>CALLADO</t>
  </si>
  <si>
    <t>VALENZUELA</t>
  </si>
  <si>
    <t>FREDI</t>
  </si>
  <si>
    <t>SALAZAR</t>
  </si>
  <si>
    <t>CHAPUZ</t>
  </si>
  <si>
    <t>FERNANDO EDAURDO</t>
  </si>
  <si>
    <t>GUILLERMO</t>
  </si>
  <si>
    <t>RICARDO</t>
  </si>
  <si>
    <t>PERALTA</t>
  </si>
  <si>
    <t>WILDIO</t>
  </si>
  <si>
    <t>MAGAÃ‘A</t>
  </si>
  <si>
    <t>CHIQUITO</t>
  </si>
  <si>
    <t>DALIA ESTRELLA</t>
  </si>
  <si>
    <t>MERIDA</t>
  </si>
  <si>
    <t>DELGADO</t>
  </si>
  <si>
    <t>ISIDRO</t>
  </si>
  <si>
    <t>RAMOS</t>
  </si>
  <si>
    <t>DE DIOS</t>
  </si>
  <si>
    <t>RUBI ESMERALDA</t>
  </si>
  <si>
    <t>ANGELES</t>
  </si>
  <si>
    <t>JOYCE KRISTEL</t>
  </si>
  <si>
    <t>SANTOS</t>
  </si>
  <si>
    <t>TERESA</t>
  </si>
  <si>
    <t>GARDUZA</t>
  </si>
  <si>
    <t>BRITO</t>
  </si>
  <si>
    <t>MARCO ANTONIO</t>
  </si>
  <si>
    <t>BAXIN</t>
  </si>
  <si>
    <t>HILARIA GUADALUPE</t>
  </si>
  <si>
    <t>ALCUDIA</t>
  </si>
  <si>
    <t>JUAN JOSE</t>
  </si>
  <si>
    <t>IVARRA</t>
  </si>
  <si>
    <t>GABRIELA</t>
  </si>
  <si>
    <t>AGUSTIN</t>
  </si>
  <si>
    <t>SUAREZ</t>
  </si>
  <si>
    <t>LORENZA</t>
  </si>
  <si>
    <t>BARRITAS</t>
  </si>
  <si>
    <t>GUSTAVO MIGUEL</t>
  </si>
  <si>
    <t>MONTALVO</t>
  </si>
  <si>
    <t>MARIANA</t>
  </si>
  <si>
    <t>NICOLAS</t>
  </si>
  <si>
    <t>ZOET SAUL</t>
  </si>
  <si>
    <t>BALCAZAR</t>
  </si>
  <si>
    <t>ALFREDO</t>
  </si>
  <si>
    <t>MAY</t>
  </si>
  <si>
    <t>MARIA TRINIDAD</t>
  </si>
  <si>
    <t>DENIS</t>
  </si>
  <si>
    <t>LILIANA</t>
  </si>
  <si>
    <t>CECILIO</t>
  </si>
  <si>
    <t>ACOPA</t>
  </si>
  <si>
    <t>XOCHITL YERENA</t>
  </si>
  <si>
    <t>JOSE ALFREDO</t>
  </si>
  <si>
    <t>ANGLES</t>
  </si>
  <si>
    <t>PARRA</t>
  </si>
  <si>
    <t>CALIXTO</t>
  </si>
  <si>
    <t>VALENCIA</t>
  </si>
  <si>
    <t>QUEVEDO</t>
  </si>
  <si>
    <t>JESUS DEL CARMEN</t>
  </si>
  <si>
    <t>SORAYA</t>
  </si>
  <si>
    <t>DE LA ROSA</t>
  </si>
  <si>
    <t>OLGA LIDIA</t>
  </si>
  <si>
    <t>ESCALANTE</t>
  </si>
  <si>
    <t>EDI</t>
  </si>
  <si>
    <t>DORA MARIA</t>
  </si>
  <si>
    <t>IZQUIERDO</t>
  </si>
  <si>
    <t>ELADIO</t>
  </si>
  <si>
    <t>LUIS</t>
  </si>
  <si>
    <t>LEDEZMA</t>
  </si>
  <si>
    <t>LEONARDO</t>
  </si>
  <si>
    <t>RIVERA</t>
  </si>
  <si>
    <t>ALEXIS DE JESUS</t>
  </si>
  <si>
    <t>VINAGRE</t>
  </si>
  <si>
    <t>YAZMIN ARLETTE</t>
  </si>
  <si>
    <t>ESMERALDA</t>
  </si>
  <si>
    <t>PALMA</t>
  </si>
  <si>
    <t>CHAVEZ</t>
  </si>
  <si>
    <t>YULMA</t>
  </si>
  <si>
    <t>MARIA ANTONIA</t>
  </si>
  <si>
    <t>JOSE LUIS</t>
  </si>
  <si>
    <t>JUAN CARLOS</t>
  </si>
  <si>
    <t>MENDOZA</t>
  </si>
  <si>
    <t>AMANDA</t>
  </si>
  <si>
    <t>BARRIOS</t>
  </si>
  <si>
    <t>MARIA ENEYDA</t>
  </si>
  <si>
    <t>MARIA ELENA</t>
  </si>
  <si>
    <t>CANO</t>
  </si>
  <si>
    <t>RICARDEZ</t>
  </si>
  <si>
    <t>MARIA DEL ROSARIO</t>
  </si>
  <si>
    <t>MOSIOSO</t>
  </si>
  <si>
    <t>CORTEZ</t>
  </si>
  <si>
    <t>JAVIER</t>
  </si>
  <si>
    <t>DE LA FUENTE</t>
  </si>
  <si>
    <t>NORMA LILIA</t>
  </si>
  <si>
    <t>EMILIA</t>
  </si>
  <si>
    <t>DURAN</t>
  </si>
  <si>
    <t>JOEL</t>
  </si>
  <si>
    <t>VICTOR MANUEL</t>
  </si>
  <si>
    <t>CARRETA</t>
  </si>
  <si>
    <t>BEATRIZ</t>
  </si>
  <si>
    <t>ANTONIA</t>
  </si>
  <si>
    <t>NATANAEL</t>
  </si>
  <si>
    <t>ALEXIS</t>
  </si>
  <si>
    <t>MOLINA</t>
  </si>
  <si>
    <t>SAMUEL</t>
  </si>
  <si>
    <t>ARENAL</t>
  </si>
  <si>
    <t>CATARINO</t>
  </si>
  <si>
    <t>TRINIDAD</t>
  </si>
  <si>
    <t>TORREZ</t>
  </si>
  <si>
    <t>SALOMON</t>
  </si>
  <si>
    <t>MEDEL</t>
  </si>
  <si>
    <t>VERONICA</t>
  </si>
  <si>
    <t>CHAVARRA</t>
  </si>
  <si>
    <t>BELLA LIVIS</t>
  </si>
  <si>
    <t>AIDEE LUVIA</t>
  </si>
  <si>
    <t>EVELIA</t>
  </si>
  <si>
    <t>FATIMA</t>
  </si>
  <si>
    <t>CORTES</t>
  </si>
  <si>
    <t>DORIS</t>
  </si>
  <si>
    <t>IGNACIA</t>
  </si>
  <si>
    <t>COLORADO</t>
  </si>
  <si>
    <t>NOE</t>
  </si>
  <si>
    <t>LIGONIO</t>
  </si>
  <si>
    <t>ARACELI</t>
  </si>
  <si>
    <t>ELSA</t>
  </si>
  <si>
    <t>RAMON</t>
  </si>
  <si>
    <t>NELDA</t>
  </si>
  <si>
    <t>ROSELIA</t>
  </si>
  <si>
    <t>CHABLE</t>
  </si>
  <si>
    <t>GREGORIO</t>
  </si>
  <si>
    <t>MIRNA</t>
  </si>
  <si>
    <t>DIAZ</t>
  </si>
  <si>
    <t>MARQUEZA</t>
  </si>
  <si>
    <t>MAZA</t>
  </si>
  <si>
    <t>JOSE MANUEL</t>
  </si>
  <si>
    <t>GABRIEL</t>
  </si>
  <si>
    <t>JUAN</t>
  </si>
  <si>
    <t>NELLY</t>
  </si>
  <si>
    <t>GIL</t>
  </si>
  <si>
    <t>ELVIRA</t>
  </si>
  <si>
    <t>SAUL</t>
  </si>
  <si>
    <t>BELTRAN</t>
  </si>
  <si>
    <t>SANTA</t>
  </si>
  <si>
    <t>BAEZ</t>
  </si>
  <si>
    <t>MANUEL ANTONIO</t>
  </si>
  <si>
    <t>REINALDO</t>
  </si>
  <si>
    <t>MARLENE</t>
  </si>
  <si>
    <t>NILSA</t>
  </si>
  <si>
    <t>MONTERO</t>
  </si>
  <si>
    <t>ROSALINO</t>
  </si>
  <si>
    <t>SILVAN</t>
  </si>
  <si>
    <t>CRECONCIA</t>
  </si>
  <si>
    <t>DARNELLY</t>
  </si>
  <si>
    <t>VILLEGA</t>
  </si>
  <si>
    <t>LUCIA DEL ROSARIO</t>
  </si>
  <si>
    <t>ALICIA</t>
  </si>
  <si>
    <t>JUAN ANTONIO</t>
  </si>
  <si>
    <t>LORENA</t>
  </si>
  <si>
    <t>OLADYS</t>
  </si>
  <si>
    <t>JOSUE</t>
  </si>
  <si>
    <t>SONIA</t>
  </si>
  <si>
    <t>BURELO</t>
  </si>
  <si>
    <t>CARMELA</t>
  </si>
  <si>
    <t>BERNARD</t>
  </si>
  <si>
    <t>HOMERO MARIN</t>
  </si>
  <si>
    <t>ELIZABETH</t>
  </si>
  <si>
    <t>BERTHA LILA</t>
  </si>
  <si>
    <t>MARIA INES</t>
  </si>
  <si>
    <t>MARIA DE LA CRUZ</t>
  </si>
  <si>
    <t>GARCIAR</t>
  </si>
  <si>
    <t>PONS</t>
  </si>
  <si>
    <t>EDDY</t>
  </si>
  <si>
    <t>NELVIS</t>
  </si>
  <si>
    <t>ROSARIO</t>
  </si>
  <si>
    <t>MARINA</t>
  </si>
  <si>
    <t>FLORE</t>
  </si>
  <si>
    <t>FERMIN</t>
  </si>
  <si>
    <t>MARSELO</t>
  </si>
  <si>
    <t>MADRIGAL</t>
  </si>
  <si>
    <t>JORAN</t>
  </si>
  <si>
    <t>DE LOS SANTOS</t>
  </si>
  <si>
    <t>LUISA</t>
  </si>
  <si>
    <t>SANTANA</t>
  </si>
  <si>
    <t>MARGARITA</t>
  </si>
  <si>
    <t>SANDERO</t>
  </si>
  <si>
    <t>CANDELARIA</t>
  </si>
  <si>
    <t>ULIN</t>
  </si>
  <si>
    <t>VICTOR</t>
  </si>
  <si>
    <t>YERALDINA</t>
  </si>
  <si>
    <t>MARIA GUADALUPE</t>
  </si>
  <si>
    <t>PUIG</t>
  </si>
  <si>
    <t>MIGUEL</t>
  </si>
  <si>
    <t>WILSON</t>
  </si>
  <si>
    <t>FUERTES</t>
  </si>
  <si>
    <t>ARDREN</t>
  </si>
  <si>
    <t>MARTINA MARIA</t>
  </si>
  <si>
    <t>MARIA GLORIA</t>
  </si>
  <si>
    <t>ELENA</t>
  </si>
  <si>
    <t>MARTIN</t>
  </si>
  <si>
    <t>ACOSTA</t>
  </si>
  <si>
    <t>ISMAEL</t>
  </si>
  <si>
    <t>ANGEL</t>
  </si>
  <si>
    <t>ARJONA</t>
  </si>
  <si>
    <t>FRANCISCO</t>
  </si>
  <si>
    <t>ANGULO</t>
  </si>
  <si>
    <t>JULIO CESAR</t>
  </si>
  <si>
    <t>PATRICIA</t>
  </si>
  <si>
    <t>AIDALINA</t>
  </si>
  <si>
    <t>ARIAN</t>
  </si>
  <si>
    <t>MARIA FELIPA</t>
  </si>
  <si>
    <t>EDEN</t>
  </si>
  <si>
    <t>JORGE LUIS</t>
  </si>
  <si>
    <t>VURELOS</t>
  </si>
  <si>
    <t>OLGA ODILIA</t>
  </si>
  <si>
    <t>ESTHER</t>
  </si>
  <si>
    <t>COFIN</t>
  </si>
  <si>
    <t>EISIDE</t>
  </si>
  <si>
    <t>MAGDALENO</t>
  </si>
  <si>
    <t>CACHO</t>
  </si>
  <si>
    <t>YANIRA</t>
  </si>
  <si>
    <t>QUINTANA</t>
  </si>
  <si>
    <t>FELIPE</t>
  </si>
  <si>
    <t>VELASCO</t>
  </si>
  <si>
    <t>ELEUTERIO</t>
  </si>
  <si>
    <t>CANDIA</t>
  </si>
  <si>
    <t>BERENICE</t>
  </si>
  <si>
    <t>ZAMUDIO</t>
  </si>
  <si>
    <t>LILIANA AURORA</t>
  </si>
  <si>
    <t>FERNANDEZ</t>
  </si>
  <si>
    <t>DORALIA</t>
  </si>
  <si>
    <t>ROSANA</t>
  </si>
  <si>
    <t>LANDERO</t>
  </si>
  <si>
    <t>ELEAZER</t>
  </si>
  <si>
    <t>HORACIO ROMAN</t>
  </si>
  <si>
    <t>ROMERO</t>
  </si>
  <si>
    <t>ROSA ELENA</t>
  </si>
  <si>
    <t>NATIVIDAD</t>
  </si>
  <si>
    <t>JOAQUIN</t>
  </si>
  <si>
    <t>QUIROGA</t>
  </si>
  <si>
    <t>MELY BERENICE</t>
  </si>
  <si>
    <t>IVET MARGARITA</t>
  </si>
  <si>
    <t>DANTERI</t>
  </si>
  <si>
    <t>DORIBEL</t>
  </si>
  <si>
    <t>MURILLO</t>
  </si>
  <si>
    <t>ANA CRISTELL</t>
  </si>
  <si>
    <t>EUNICE</t>
  </si>
  <si>
    <t>MARTRHA</t>
  </si>
  <si>
    <t>CANDELERO</t>
  </si>
  <si>
    <t>ADELITA</t>
  </si>
  <si>
    <t>ESTHEPHANIE</t>
  </si>
  <si>
    <t>OLIVIA</t>
  </si>
  <si>
    <t>DE GUADALUPE</t>
  </si>
  <si>
    <t>CHEN</t>
  </si>
  <si>
    <t>HIPOLITO</t>
  </si>
  <si>
    <t>ALEGRIAS</t>
  </si>
  <si>
    <t>HERRERA</t>
  </si>
  <si>
    <t>MIGUELINA</t>
  </si>
  <si>
    <t>DELFINA</t>
  </si>
  <si>
    <t>CONCEPCION</t>
  </si>
  <si>
    <t>AMARO</t>
  </si>
  <si>
    <t>MARTHA PATRICIA</t>
  </si>
  <si>
    <t>MONTIEL</t>
  </si>
  <si>
    <t>VIVAS</t>
  </si>
  <si>
    <t>ESTEBAN</t>
  </si>
  <si>
    <t>HIPOLGO</t>
  </si>
  <si>
    <t>MARIA ESTHER</t>
  </si>
  <si>
    <t>ZAPATA</t>
  </si>
  <si>
    <t>LEYDI PAOLA</t>
  </si>
  <si>
    <t>ORDOÃ‘EZ</t>
  </si>
  <si>
    <t>JUVENCIO</t>
  </si>
  <si>
    <t>ALMEIDA</t>
  </si>
  <si>
    <t>SEBAASTIAN</t>
  </si>
  <si>
    <t>ARTEMIA</t>
  </si>
  <si>
    <t>ROSA MARIA</t>
  </si>
  <si>
    <t>HERNAN</t>
  </si>
  <si>
    <t>JULIAN</t>
  </si>
  <si>
    <t>CARRILLO</t>
  </si>
  <si>
    <t>ELVIA</t>
  </si>
  <si>
    <t>RUBI</t>
  </si>
  <si>
    <t>TORES</t>
  </si>
  <si>
    <t>NAVARRE</t>
  </si>
  <si>
    <t>ORLANDO</t>
  </si>
  <si>
    <t>JORGE ALBERTO</t>
  </si>
  <si>
    <t>CELESTINO</t>
  </si>
  <si>
    <t>ERNESTINA</t>
  </si>
  <si>
    <t>BADAL</t>
  </si>
  <si>
    <t>MARIA LILIA</t>
  </si>
  <si>
    <t>MARIEL</t>
  </si>
  <si>
    <t>PEREYRA</t>
  </si>
  <si>
    <t>NOEL</t>
  </si>
  <si>
    <t>GASPAR</t>
  </si>
  <si>
    <t>ANDRES</t>
  </si>
  <si>
    <t>CUPILMENDEZ</t>
  </si>
  <si>
    <t>MARTEL</t>
  </si>
  <si>
    <t>DARVI</t>
  </si>
  <si>
    <t>AMISADAY</t>
  </si>
  <si>
    <t>RODRIGUES</t>
  </si>
  <si>
    <t>ERNESTO</t>
  </si>
  <si>
    <t>DIONISIO</t>
  </si>
  <si>
    <t>MANACE</t>
  </si>
  <si>
    <t>VIRGINIA</t>
  </si>
  <si>
    <t>PALACIO</t>
  </si>
  <si>
    <t>ALMA CECILIA</t>
  </si>
  <si>
    <t>URIEL</t>
  </si>
  <si>
    <t>ADARELIS</t>
  </si>
  <si>
    <t>ARAGAN</t>
  </si>
  <si>
    <t>SEBASTIANA</t>
  </si>
  <si>
    <t>NEMESIO</t>
  </si>
  <si>
    <t>REYES</t>
  </si>
  <si>
    <t>MARIO DEL CARMEN</t>
  </si>
  <si>
    <t>RAMIRO</t>
  </si>
  <si>
    <t>JOSE IGNACIO</t>
  </si>
  <si>
    <t>MAGDALENA</t>
  </si>
  <si>
    <t>NERI</t>
  </si>
  <si>
    <t>VALCAZAR</t>
  </si>
  <si>
    <t>ROSITA</t>
  </si>
  <si>
    <t>MARIA ASUNCION</t>
  </si>
  <si>
    <t>GRISELDA</t>
  </si>
  <si>
    <t>JOSE MARIA</t>
  </si>
  <si>
    <t>MARGARITO</t>
  </si>
  <si>
    <t>MIRIAM</t>
  </si>
  <si>
    <t>MA DEL CARMEN</t>
  </si>
  <si>
    <t>MOISES</t>
  </si>
  <si>
    <t>NUBILUDMILA</t>
  </si>
  <si>
    <t>YSAIAS</t>
  </si>
  <si>
    <t>MARIA VICTORIA</t>
  </si>
  <si>
    <t>CELIA VICTORIA</t>
  </si>
  <si>
    <t>MARCOLFA</t>
  </si>
  <si>
    <t>ADAN</t>
  </si>
  <si>
    <t>MIGUELA</t>
  </si>
  <si>
    <t>PASCUAL HUGO</t>
  </si>
  <si>
    <t>LEJANDRO</t>
  </si>
  <si>
    <t>LUZ MARIA</t>
  </si>
  <si>
    <t>LILIA</t>
  </si>
  <si>
    <t>TERENCIO</t>
  </si>
  <si>
    <t>BARAHONA</t>
  </si>
  <si>
    <t>CORREA</t>
  </si>
  <si>
    <t>BAUTISTA</t>
  </si>
  <si>
    <t>TRIANO</t>
  </si>
  <si>
    <t>POLOMERO</t>
  </si>
  <si>
    <t>GERONIMO</t>
  </si>
  <si>
    <t>MAYO</t>
  </si>
  <si>
    <t>LOAMMI</t>
  </si>
  <si>
    <t>CLARIVEL</t>
  </si>
  <si>
    <t>MELCHOR</t>
  </si>
  <si>
    <t>CHAN</t>
  </si>
  <si>
    <t>LUIS MIGUEL</t>
  </si>
  <si>
    <t>ASUNCION ROBERTO</t>
  </si>
  <si>
    <t>BENJAMIN</t>
  </si>
  <si>
    <t>ALEJANDRA</t>
  </si>
  <si>
    <t>MARIA LUISA</t>
  </si>
  <si>
    <t>ROSA VERONICA</t>
  </si>
  <si>
    <t>DALIA</t>
  </si>
  <si>
    <t>GRACIELA</t>
  </si>
  <si>
    <t>RICRADEZ</t>
  </si>
  <si>
    <t>CELEDINO</t>
  </si>
  <si>
    <t>EDUARDO</t>
  </si>
  <si>
    <t>OROZCO</t>
  </si>
  <si>
    <t>FLOR DE MARIA</t>
  </si>
  <si>
    <t>MARIA DOLORES</t>
  </si>
  <si>
    <t>COLLI</t>
  </si>
  <si>
    <t>UCAN</t>
  </si>
  <si>
    <t>JESUS HONORO</t>
  </si>
  <si>
    <t>DUINA</t>
  </si>
  <si>
    <t>OSORIO</t>
  </si>
  <si>
    <t>MATEO</t>
  </si>
  <si>
    <t>VASCONCELO</t>
  </si>
  <si>
    <t>MARILU</t>
  </si>
  <si>
    <t>MISAEL</t>
  </si>
  <si>
    <t>ZENAIDA</t>
  </si>
  <si>
    <t>GONZALI</t>
  </si>
  <si>
    <t>MARCIAL ENRIQUE</t>
  </si>
  <si>
    <t>MARIA DELIA</t>
  </si>
  <si>
    <t>DOMOSTENE</t>
  </si>
  <si>
    <t>CECILIA</t>
  </si>
  <si>
    <t>VICTOR HIGINIO</t>
  </si>
  <si>
    <t>CHACHA</t>
  </si>
  <si>
    <t>JUAN DIEGO</t>
  </si>
  <si>
    <t>MARQUES</t>
  </si>
  <si>
    <t>CORNELIO</t>
  </si>
  <si>
    <t>FREDDY</t>
  </si>
  <si>
    <t>ELDA</t>
  </si>
  <si>
    <t>MANTILLA</t>
  </si>
  <si>
    <t>MIGUEL ALEJANDRO</t>
  </si>
  <si>
    <t>FEDERICO</t>
  </si>
  <si>
    <t>CANDELARIO</t>
  </si>
  <si>
    <t>MAYGE</t>
  </si>
  <si>
    <t>MIGDALIA</t>
  </si>
  <si>
    <t>TERESITA</t>
  </si>
  <si>
    <t>LUIS ALBERTO</t>
  </si>
  <si>
    <t>DURCIDENIAS</t>
  </si>
  <si>
    <t>ALEXIS ALBERTO</t>
  </si>
  <si>
    <t>DANIEL</t>
  </si>
  <si>
    <t>ANAYELI</t>
  </si>
  <si>
    <t>VAZQUEZ</t>
  </si>
  <si>
    <t>EURIA</t>
  </si>
  <si>
    <t>GLORIA</t>
  </si>
  <si>
    <t>ALVA</t>
  </si>
  <si>
    <t>MILDRE</t>
  </si>
  <si>
    <t>MARCELINO</t>
  </si>
  <si>
    <t>MARIA ELIZABETH</t>
  </si>
  <si>
    <t>HIDALGO</t>
  </si>
  <si>
    <t>MARTHA LAURA</t>
  </si>
  <si>
    <t>ADELA</t>
  </si>
  <si>
    <t>ARTURO</t>
  </si>
  <si>
    <t>BORTHA PATILLA</t>
  </si>
  <si>
    <t>NAVAREZ</t>
  </si>
  <si>
    <t>GLENDYS</t>
  </si>
  <si>
    <t>ADELINA</t>
  </si>
  <si>
    <t>LORETO</t>
  </si>
  <si>
    <t>MARIA MAGDALENA</t>
  </si>
  <si>
    <t>ANA PATRICIA</t>
  </si>
  <si>
    <t>JOSE ADRIAN</t>
  </si>
  <si>
    <t>CALCANIO</t>
  </si>
  <si>
    <t>OLGA</t>
  </si>
  <si>
    <t>VIOLETA</t>
  </si>
  <si>
    <t>ROSALINA</t>
  </si>
  <si>
    <t>YOVANY</t>
  </si>
  <si>
    <t>HUGO</t>
  </si>
  <si>
    <t>FRIAS</t>
  </si>
  <si>
    <t>EULALIA</t>
  </si>
  <si>
    <t>MARTHA ELVIRA</t>
  </si>
  <si>
    <t>SEBATIANA</t>
  </si>
  <si>
    <t>MARIA DE LOURDES</t>
  </si>
  <si>
    <t>BELEN</t>
  </si>
  <si>
    <t>BARTOLA</t>
  </si>
  <si>
    <t>DELIA MARIA</t>
  </si>
  <si>
    <t>CARLOS MARIO</t>
  </si>
  <si>
    <t>LIZARRAGA</t>
  </si>
  <si>
    <t>MARBELLA</t>
  </si>
  <si>
    <t>PERES</t>
  </si>
  <si>
    <t>JOSE JESUS</t>
  </si>
  <si>
    <t>GISELA</t>
  </si>
  <si>
    <t>MANUELITA</t>
  </si>
  <si>
    <t>CHARO</t>
  </si>
  <si>
    <t>LORENZO</t>
  </si>
  <si>
    <t>EMERITO</t>
  </si>
  <si>
    <t>RAYMON</t>
  </si>
  <si>
    <t>JAQUEL</t>
  </si>
  <si>
    <t>JUDID</t>
  </si>
  <si>
    <t>BENEDICTO</t>
  </si>
  <si>
    <t>REYES ALBERTO</t>
  </si>
  <si>
    <t>ANDREA</t>
  </si>
  <si>
    <t>JULIO</t>
  </si>
  <si>
    <t>FATIMA DEL CARMEN</t>
  </si>
  <si>
    <t>JOSE ARMANDO</t>
  </si>
  <si>
    <t>CORONEL</t>
  </si>
  <si>
    <t>JESUS</t>
  </si>
  <si>
    <t>LUCRA</t>
  </si>
  <si>
    <t>EFREN</t>
  </si>
  <si>
    <t>LENIS</t>
  </si>
  <si>
    <t>ELRONAY</t>
  </si>
  <si>
    <t>ANAMIN</t>
  </si>
  <si>
    <t>LEIVA</t>
  </si>
  <si>
    <t>GERARDO</t>
  </si>
  <si>
    <t>LEOVINO</t>
  </si>
  <si>
    <t>ARELLANO</t>
  </si>
  <si>
    <t>VASCONCELOS</t>
  </si>
  <si>
    <t>MARTHA</t>
  </si>
  <si>
    <t>DELFINO</t>
  </si>
  <si>
    <t>DARVYN</t>
  </si>
  <si>
    <t>DEYSI KARINA</t>
  </si>
  <si>
    <t>REMIGIO</t>
  </si>
  <si>
    <t>AQUINO</t>
  </si>
  <si>
    <t>ELIA GUADALUPE</t>
  </si>
  <si>
    <t>CUAL</t>
  </si>
  <si>
    <t>CANDIDA</t>
  </si>
  <si>
    <t>URBANO</t>
  </si>
  <si>
    <t>RUBICELA</t>
  </si>
  <si>
    <t>CORTAZAR</t>
  </si>
  <si>
    <t>JOSEFINA</t>
  </si>
  <si>
    <t>ELIUD</t>
  </si>
  <si>
    <t>MERTINEZ</t>
  </si>
  <si>
    <t>BRAULIO</t>
  </si>
  <si>
    <t>BENITA VENESIA</t>
  </si>
  <si>
    <t>CASTRO</t>
  </si>
  <si>
    <t>NELSON</t>
  </si>
  <si>
    <t>EMILIO</t>
  </si>
  <si>
    <t>JERONIMO</t>
  </si>
  <si>
    <t>DE LA PEÃ‘A</t>
  </si>
  <si>
    <t>LIBNI</t>
  </si>
  <si>
    <t>CAIN</t>
  </si>
  <si>
    <t>DEL VALLE</t>
  </si>
  <si>
    <t>JOSEFA</t>
  </si>
  <si>
    <t>DAVID GUSTAVO</t>
  </si>
  <si>
    <t>OLIVER</t>
  </si>
  <si>
    <t>YRMA</t>
  </si>
  <si>
    <t>ROSALBA</t>
  </si>
  <si>
    <t>MARIA ESTRELLA</t>
  </si>
  <si>
    <t>BLANCA ESTELA</t>
  </si>
  <si>
    <t>ERBEY</t>
  </si>
  <si>
    <t>MIGUEL ANGEL</t>
  </si>
  <si>
    <t>PROCOPIO</t>
  </si>
  <si>
    <t>RABANALES</t>
  </si>
  <si>
    <t>CARLOS DANIEL</t>
  </si>
  <si>
    <t>DAVID</t>
  </si>
  <si>
    <t>FLORELLA</t>
  </si>
  <si>
    <t>RANGEL</t>
  </si>
  <si>
    <t>LETICIA</t>
  </si>
  <si>
    <t>LEILA</t>
  </si>
  <si>
    <t>MARIA DEL SOCORRO</t>
  </si>
  <si>
    <t>OVIDIO</t>
  </si>
  <si>
    <t>XOCHIL ADRIANA</t>
  </si>
  <si>
    <t>PATRACA</t>
  </si>
  <si>
    <t>JULIA JAEL</t>
  </si>
  <si>
    <t>CRISTINA</t>
  </si>
  <si>
    <t>CORDERO</t>
  </si>
  <si>
    <t>FRANKLIN</t>
  </si>
  <si>
    <t>SASTRE</t>
  </si>
  <si>
    <t>AMNIE ESBEYDY</t>
  </si>
  <si>
    <t>PALOMERA</t>
  </si>
  <si>
    <t>MARCELINA</t>
  </si>
  <si>
    <t>CUSTODIO</t>
  </si>
  <si>
    <t>ALBERTO</t>
  </si>
  <si>
    <t>ESCALENTE</t>
  </si>
  <si>
    <t>AMAYA</t>
  </si>
  <si>
    <t>MIRNA DEL SOCORRO</t>
  </si>
  <si>
    <t>TELLEZ</t>
  </si>
  <si>
    <t>MELQUIADES</t>
  </si>
  <si>
    <t>MARIA ASUNCIONA</t>
  </si>
  <si>
    <t>AGUILERA</t>
  </si>
  <si>
    <t>NINIVE</t>
  </si>
  <si>
    <t>BALTAZAR</t>
  </si>
  <si>
    <t>MIROSLAVA</t>
  </si>
  <si>
    <t>CEBALLOS</t>
  </si>
  <si>
    <t>MARIA LILA</t>
  </si>
  <si>
    <t>LARA</t>
  </si>
  <si>
    <t>JULIA</t>
  </si>
  <si>
    <t>GRICELIA</t>
  </si>
  <si>
    <t>LUNA</t>
  </si>
  <si>
    <t>SARA</t>
  </si>
  <si>
    <t>CALIZ</t>
  </si>
  <si>
    <t>LAURA</t>
  </si>
  <si>
    <t>MORENO</t>
  </si>
  <si>
    <t>DORA LUZ</t>
  </si>
  <si>
    <t>ISAMUEL</t>
  </si>
  <si>
    <t>BALADARIN</t>
  </si>
  <si>
    <t>HAMBRUS</t>
  </si>
  <si>
    <t>RAUL</t>
  </si>
  <si>
    <t>HORACIO</t>
  </si>
  <si>
    <t>QUINTO</t>
  </si>
  <si>
    <t>ELIADA</t>
  </si>
  <si>
    <t>ELISA</t>
  </si>
  <si>
    <t>URANIA</t>
  </si>
  <si>
    <t>NORIEGA</t>
  </si>
  <si>
    <t>GALVEZ</t>
  </si>
  <si>
    <t>CABRALES</t>
  </si>
  <si>
    <t>CAROLINA</t>
  </si>
  <si>
    <t>IBARRA</t>
  </si>
  <si>
    <t>ANGEL ANTONIO</t>
  </si>
  <si>
    <t>JUAN GABRIEL</t>
  </si>
  <si>
    <t>MARTA</t>
  </si>
  <si>
    <t>IRACEMA</t>
  </si>
  <si>
    <t>JIEMENEZ</t>
  </si>
  <si>
    <t>RAYMUNDO</t>
  </si>
  <si>
    <t>NORMA</t>
  </si>
  <si>
    <t>CALIX</t>
  </si>
  <si>
    <t>ALIDA</t>
  </si>
  <si>
    <t>SARRACINO</t>
  </si>
  <si>
    <t>PIÃ‘A</t>
  </si>
  <si>
    <t>FLORENTINO</t>
  </si>
  <si>
    <t>ARGELIA</t>
  </si>
  <si>
    <t>NEHEMI</t>
  </si>
  <si>
    <t>UTIMINO</t>
  </si>
  <si>
    <t>SARA DEL CARMEN</t>
  </si>
  <si>
    <t>HELA</t>
  </si>
  <si>
    <t>JEREMIAS</t>
  </si>
  <si>
    <t>MIREYA</t>
  </si>
  <si>
    <t>FILIBERTO</t>
  </si>
  <si>
    <t>JESUS MANUEL</t>
  </si>
  <si>
    <t>ULLOA</t>
  </si>
  <si>
    <t>SOLIS</t>
  </si>
  <si>
    <t>CINTIA LIZBETH</t>
  </si>
  <si>
    <t>ARMENIA</t>
  </si>
  <si>
    <t>OCHOA</t>
  </si>
  <si>
    <t>DALIZA</t>
  </si>
  <si>
    <t>ELI</t>
  </si>
  <si>
    <t>TIQUE</t>
  </si>
  <si>
    <t>MANAIN</t>
  </si>
  <si>
    <t>MARIA TERESA</t>
  </si>
  <si>
    <t>TOMAS</t>
  </si>
  <si>
    <t>MARTHA LETICIA</t>
  </si>
  <si>
    <t>MARISOL</t>
  </si>
  <si>
    <t>ADONICAN</t>
  </si>
  <si>
    <t>ROBERT</t>
  </si>
  <si>
    <t>HIGINIO</t>
  </si>
  <si>
    <t>ELIBERTA</t>
  </si>
  <si>
    <t>ZENTELLA</t>
  </si>
  <si>
    <t>COOL</t>
  </si>
  <si>
    <t>KARLA ALEJANDRA</t>
  </si>
  <si>
    <t>DORIA</t>
  </si>
  <si>
    <t>ACEVEDO</t>
  </si>
  <si>
    <t>JULIETA</t>
  </si>
  <si>
    <t>SANDIVEL</t>
  </si>
  <si>
    <t>MINERVA</t>
  </si>
  <si>
    <t>MARIA AZUCENA</t>
  </si>
  <si>
    <t>SERGIO</t>
  </si>
  <si>
    <t>SEGOVIA</t>
  </si>
  <si>
    <t>ROMEO</t>
  </si>
  <si>
    <t>JENNER FERNANDO</t>
  </si>
  <si>
    <t>DORA MIRIAM</t>
  </si>
  <si>
    <t>NADIA MISHELE</t>
  </si>
  <si>
    <t>JANETH</t>
  </si>
  <si>
    <t>HERMOSILLO</t>
  </si>
  <si>
    <t>MARIA NATIVIDAD</t>
  </si>
  <si>
    <t>ROSABELI</t>
  </si>
  <si>
    <t>MARIA LUZ</t>
  </si>
  <si>
    <t>MORENA</t>
  </si>
  <si>
    <t>ISABEL</t>
  </si>
  <si>
    <t>LUDIN</t>
  </si>
  <si>
    <t>ESPINOZA</t>
  </si>
  <si>
    <t>ONORIA</t>
  </si>
  <si>
    <t>LEO</t>
  </si>
  <si>
    <t>ABIGAIL</t>
  </si>
  <si>
    <t>ZURITA</t>
  </si>
  <si>
    <t>FLORIBERTA</t>
  </si>
  <si>
    <t>ALMELDA</t>
  </si>
  <si>
    <t>VALLADARES</t>
  </si>
  <si>
    <t>IRENE</t>
  </si>
  <si>
    <t>DANTORIE</t>
  </si>
  <si>
    <t>JOSE LIVIO</t>
  </si>
  <si>
    <t>CAMPECHANO</t>
  </si>
  <si>
    <t>TOTO</t>
  </si>
  <si>
    <t>OLIMPIA</t>
  </si>
  <si>
    <t>LUCRECIA</t>
  </si>
  <si>
    <t>MRGARITO</t>
  </si>
  <si>
    <t>LUCAS</t>
  </si>
  <si>
    <t>OCAÃ‘A</t>
  </si>
  <si>
    <t>SATURNINO</t>
  </si>
  <si>
    <t>CRISTOBALINA</t>
  </si>
  <si>
    <t>EMETERIO</t>
  </si>
  <si>
    <t>ERNILDA</t>
  </si>
  <si>
    <t>AMINADAD</t>
  </si>
  <si>
    <t>AMADOR</t>
  </si>
  <si>
    <t>NAYELI</t>
  </si>
  <si>
    <t>OLIVE</t>
  </si>
  <si>
    <t>LICTHER</t>
  </si>
  <si>
    <t>YAMINA</t>
  </si>
  <si>
    <t>FREDY</t>
  </si>
  <si>
    <t>AURY</t>
  </si>
  <si>
    <t>AMARELIS</t>
  </si>
  <si>
    <t>LOZANO</t>
  </si>
  <si>
    <t>MARIA BARTOLA</t>
  </si>
  <si>
    <t>MORA</t>
  </si>
  <si>
    <t>MATILDE</t>
  </si>
  <si>
    <t>HEMERA</t>
  </si>
  <si>
    <t>MARIA KARLA</t>
  </si>
  <si>
    <t>TADEO</t>
  </si>
  <si>
    <t>BERNARDO</t>
  </si>
  <si>
    <t>GINES</t>
  </si>
  <si>
    <t>PERLA ELIGIA</t>
  </si>
  <si>
    <t>TEJO</t>
  </si>
  <si>
    <t>PICHARDO</t>
  </si>
  <si>
    <t>SERGIO ENRIQUE</t>
  </si>
  <si>
    <t>MARIA LOURDES</t>
  </si>
  <si>
    <t>CLAUDIO</t>
  </si>
  <si>
    <t>DELIA</t>
  </si>
  <si>
    <t>THALIA</t>
  </si>
  <si>
    <t>ANA ISABEL</t>
  </si>
  <si>
    <t>SAUZ</t>
  </si>
  <si>
    <t>CRISTINA VIVIANA</t>
  </si>
  <si>
    <t>MARTIN LAZARO</t>
  </si>
  <si>
    <t>NORY</t>
  </si>
  <si>
    <t>ARPAIZ</t>
  </si>
  <si>
    <t>MEDINA</t>
  </si>
  <si>
    <t>RUEDA</t>
  </si>
  <si>
    <t>RUBICEL</t>
  </si>
  <si>
    <t>OCAMPO</t>
  </si>
  <si>
    <t>MANTOYA</t>
  </si>
  <si>
    <t>ALFONSO</t>
  </si>
  <si>
    <t>JOSE DOLORES</t>
  </si>
  <si>
    <t>REYNA</t>
  </si>
  <si>
    <t>DAYSI</t>
  </si>
  <si>
    <t>ELIA</t>
  </si>
  <si>
    <t>CASANGO</t>
  </si>
  <si>
    <t>USTIQUIO</t>
  </si>
  <si>
    <t>FIDEL</t>
  </si>
  <si>
    <t>UBILDRO</t>
  </si>
  <si>
    <t>RUBALCABAR</t>
  </si>
  <si>
    <t>YZQUIERDO</t>
  </si>
  <si>
    <t>ABEL</t>
  </si>
  <si>
    <t>FRANCISCA</t>
  </si>
  <si>
    <t>YSQUIERDO</t>
  </si>
  <si>
    <t>LIDIA</t>
  </si>
  <si>
    <t>MALTA</t>
  </si>
  <si>
    <t>REBECA</t>
  </si>
  <si>
    <t>MANUEL ELIAS</t>
  </si>
  <si>
    <t>ELVIS</t>
  </si>
  <si>
    <t>TREJO</t>
  </si>
  <si>
    <t>BRIZEIDY</t>
  </si>
  <si>
    <t>MARIA ELVIRA</t>
  </si>
  <si>
    <t>TOMAS ALBERTO</t>
  </si>
  <si>
    <t>OCIEL</t>
  </si>
  <si>
    <t>YESSICA RUBI</t>
  </si>
  <si>
    <t>ANA BERTHA</t>
  </si>
  <si>
    <t>MARIA VITALIA</t>
  </si>
  <si>
    <t>ANASTACIA</t>
  </si>
  <si>
    <t>TIMOTEO</t>
  </si>
  <si>
    <t>BELTRUY</t>
  </si>
  <si>
    <t>NECTHALI</t>
  </si>
  <si>
    <t>ISMARI</t>
  </si>
  <si>
    <t>JUAN GUADALUPE</t>
  </si>
  <si>
    <t>JUSTINA</t>
  </si>
  <si>
    <t>BENITO</t>
  </si>
  <si>
    <t>PINTO</t>
  </si>
  <si>
    <t>ENEIDA</t>
  </si>
  <si>
    <t>ELMER</t>
  </si>
  <si>
    <t>BIALAURA</t>
  </si>
  <si>
    <t>ZOQUACTOC</t>
  </si>
  <si>
    <t>PALMIRA</t>
  </si>
  <si>
    <t>LILY</t>
  </si>
  <si>
    <t>DICONSA MELBA</t>
  </si>
  <si>
    <t>JOSE EDUARDO</t>
  </si>
  <si>
    <t>ERITA</t>
  </si>
  <si>
    <t>ORVELIN</t>
  </si>
  <si>
    <t>MENA</t>
  </si>
  <si>
    <t>ORBELIN</t>
  </si>
  <si>
    <t>ADIEL</t>
  </si>
  <si>
    <t>AIDA LUCY</t>
  </si>
  <si>
    <t>DEL RIO</t>
  </si>
  <si>
    <t>GONZALES</t>
  </si>
  <si>
    <t>MARIA ROSARIO</t>
  </si>
  <si>
    <t>CEBALLO</t>
  </si>
  <si>
    <t>BERNAL</t>
  </si>
  <si>
    <t>CARLOS ARTURO</t>
  </si>
  <si>
    <t>MICAELA</t>
  </si>
  <si>
    <t>ARIA</t>
  </si>
  <si>
    <t>FLOR DE LIZ</t>
  </si>
  <si>
    <t>AVILA</t>
  </si>
  <si>
    <t>MELBI ROMANA</t>
  </si>
  <si>
    <t>ASENCIO</t>
  </si>
  <si>
    <t>MAYA</t>
  </si>
  <si>
    <t>CRISOFORO</t>
  </si>
  <si>
    <t>CORTAZA</t>
  </si>
  <si>
    <t>DEYSI</t>
  </si>
  <si>
    <t>HUMBERTO</t>
  </si>
  <si>
    <t>ROGER</t>
  </si>
  <si>
    <t>LAGUNES</t>
  </si>
  <si>
    <t>GUZ</t>
  </si>
  <si>
    <t>MARIA TOMASA</t>
  </si>
  <si>
    <t>MAGALI</t>
  </si>
  <si>
    <t>DEISY</t>
  </si>
  <si>
    <t>RENE</t>
  </si>
  <si>
    <t>RAQUEL</t>
  </si>
  <si>
    <t>CAMARGO</t>
  </si>
  <si>
    <t>MARITZA DEL CARMEN</t>
  </si>
  <si>
    <t>MUÃ‘OZ</t>
  </si>
  <si>
    <t>ANACELY</t>
  </si>
  <si>
    <t>ESCANGA</t>
  </si>
  <si>
    <t>MOLALES</t>
  </si>
  <si>
    <t>CAMPOS</t>
  </si>
  <si>
    <t>IGNACIO</t>
  </si>
  <si>
    <t>YSIDRA</t>
  </si>
  <si>
    <t>ANTONIA GUADALUPE</t>
  </si>
  <si>
    <t>JUANA DEL CARMEN</t>
  </si>
  <si>
    <t>MATEA</t>
  </si>
  <si>
    <t>WENDY PAOLA</t>
  </si>
  <si>
    <t>YSABEL</t>
  </si>
  <si>
    <t>ADRIAN</t>
  </si>
  <si>
    <t>AMPARO</t>
  </si>
  <si>
    <t>MAGDA LIZBETH</t>
  </si>
  <si>
    <t>ANA JULIA</t>
  </si>
  <si>
    <t>ESCOBAR</t>
  </si>
  <si>
    <t>ISAAC</t>
  </si>
  <si>
    <t>LUZ DEL ALBA</t>
  </si>
  <si>
    <t>LEOCADIO</t>
  </si>
  <si>
    <t>COBA</t>
  </si>
  <si>
    <t>JUAN FELIX</t>
  </si>
  <si>
    <t>MANUELA</t>
  </si>
  <si>
    <t>GERTRUDIS</t>
  </si>
  <si>
    <t>JOSMAR</t>
  </si>
  <si>
    <t>RONULFO</t>
  </si>
  <si>
    <t>MANACES</t>
  </si>
  <si>
    <t>DIEGO</t>
  </si>
  <si>
    <t>ELIDA</t>
  </si>
  <si>
    <t>JUAN PABLO</t>
  </si>
  <si>
    <t>FLOR SILVESTRE</t>
  </si>
  <si>
    <t>EUVANIA</t>
  </si>
  <si>
    <t>YADIRA</t>
  </si>
  <si>
    <t>RODRIGO</t>
  </si>
  <si>
    <t>ANDRONICIO</t>
  </si>
  <si>
    <t>ADALINDA</t>
  </si>
  <si>
    <t>REYES SERATIN</t>
  </si>
  <si>
    <t>JOSEHN ALEJANDRO</t>
  </si>
  <si>
    <t>SANDRA</t>
  </si>
  <si>
    <t>ALMA ROSA</t>
  </si>
  <si>
    <t>SELENE DEL CARMEN</t>
  </si>
  <si>
    <t>HADIS</t>
  </si>
  <si>
    <t>IMARA</t>
  </si>
  <si>
    <t>ELIODORO</t>
  </si>
  <si>
    <t>LUNAS</t>
  </si>
  <si>
    <t>ESPAÃ‘A</t>
  </si>
  <si>
    <t>ANABELLA</t>
  </si>
  <si>
    <t>BLANCA ESPERANZA</t>
  </si>
  <si>
    <t>CLARA ESTELA</t>
  </si>
  <si>
    <t>MARIA CONCEPCION</t>
  </si>
  <si>
    <t>RUTH MINI</t>
  </si>
  <si>
    <t>CARRETERA A REFORMA SIN NUMERO</t>
  </si>
  <si>
    <t xml:space="preserve">CALLE MACUILIS MANZANA NUMERO 7 </t>
  </si>
  <si>
    <t>CALLE TULIPANES</t>
  </si>
  <si>
    <t>CALLE DEL TANQUE ELEVADO</t>
  </si>
  <si>
    <t>CALLE BEL PANTEON SIN NUMERO</t>
  </si>
  <si>
    <t>CALLE 9 CASA NUMERO 32</t>
  </si>
  <si>
    <t>INGENIO BENITO JUAREZ</t>
  </si>
  <si>
    <t>CARRETERA PARAISO JALAPITA</t>
  </si>
  <si>
    <t>CARRETERA PRINCIPAL</t>
  </si>
  <si>
    <t>CARRETERA A SANTANA</t>
  </si>
  <si>
    <t xml:space="preserve">CARRETERA PRINCIPAL </t>
  </si>
  <si>
    <t>CARRETERA ARROYO HONDO CUARTA</t>
  </si>
  <si>
    <t xml:space="preserve">CALLE LA MEXICANA </t>
  </si>
  <si>
    <t xml:space="preserve">AVENIDA LAS FLORES </t>
  </si>
  <si>
    <t xml:space="preserve">CALLEJON LOS CAROLINA </t>
  </si>
  <si>
    <t>BAJIO 1RA CALLE PERIFERICO</t>
  </si>
  <si>
    <t>CALLE TARDES DE TABASCO LOTE NUMERO 8</t>
  </si>
  <si>
    <t xml:space="preserve">EMILIANO ZAPATA </t>
  </si>
  <si>
    <t>CARRTERA A TECO</t>
  </si>
  <si>
    <t>BUENA AVENTURA</t>
  </si>
  <si>
    <t>CALLE AQUILES SERDAN</t>
  </si>
  <si>
    <t>CALLE NUMERO 2</t>
  </si>
  <si>
    <t xml:space="preserve">CALLE NUMERO 8 CASA NUMERO 140 </t>
  </si>
  <si>
    <t>CALLE NUMERO 2 CASA NUMERO 102</t>
  </si>
  <si>
    <t xml:space="preserve">CALLE 2 ZONA VERDE </t>
  </si>
  <si>
    <t>CALLE NUMERO 1 AMPLIACION SIN NUMERO</t>
  </si>
  <si>
    <t>CALLE 1 CASA NUMERO 7</t>
  </si>
  <si>
    <t xml:space="preserve">CALLE ANDRES SANCHEZ MAGALLANES </t>
  </si>
  <si>
    <t>C-27 EDUARDO CHAVEZ RAMIREZ</t>
  </si>
  <si>
    <t xml:space="preserve">SAN MARCOS </t>
  </si>
  <si>
    <t xml:space="preserve">CALZADA 2DA SECCION </t>
  </si>
  <si>
    <t>CALLE 5 DE MAYO</t>
  </si>
  <si>
    <t>CALLE NETZAHUALCOYOLT NUMERO 10</t>
  </si>
  <si>
    <t xml:space="preserve">CALLE LA MIEL </t>
  </si>
  <si>
    <t>CALLE CANAHUA ANTES DEL TANQUE DE AGUA</t>
  </si>
  <si>
    <t>CALLE EVELIO ALEJANDRO</t>
  </si>
  <si>
    <t>CARRETERA FEDERAL CARDENAS - COMALCALCO</t>
  </si>
  <si>
    <t>QUINTIN ARAUZ PEREZ</t>
  </si>
  <si>
    <t xml:space="preserve">LEON ZARATE </t>
  </si>
  <si>
    <t>CARRETERA TULIPAN LIBERTAD</t>
  </si>
  <si>
    <t>CASA BALANCA SEGUNDA SECCION</t>
  </si>
  <si>
    <t>CALLE AURELIO SOSA TORRES NUMERO 104</t>
  </si>
  <si>
    <t>CALLE REFORMA NUMERO 508</t>
  </si>
  <si>
    <t>CALLE BUENOS AIRES</t>
  </si>
  <si>
    <t>SANTOS DEGOLLADOS</t>
  </si>
  <si>
    <t>REYES HERNANDEZ</t>
  </si>
  <si>
    <t>SANTOS DEGOLLADOS SIN NUMERO</t>
  </si>
  <si>
    <t>CALLE MANUEL LERDO</t>
  </si>
  <si>
    <t xml:space="preserve">CALLE NICOLAS BRAVO </t>
  </si>
  <si>
    <t>CALLE NICOLAS BRAVO SIN NUMERO</t>
  </si>
  <si>
    <t xml:space="preserve"> CENTRO BUENOS AIRES  SIN NUMERO</t>
  </si>
  <si>
    <t xml:space="preserve">CALLE 18 DE MARZO </t>
  </si>
  <si>
    <t>GUTIERREZ ZAMORA</t>
  </si>
  <si>
    <t>CALLE MELCHOR OCAMPO 211</t>
  </si>
  <si>
    <t>CALLE REGINO HERNANDEZ</t>
  </si>
  <si>
    <t>CARRETERA A COCOHITAL</t>
  </si>
  <si>
    <t>ENTRADA DEL RESTAURANT EL PULPO</t>
  </si>
  <si>
    <t>CALLE BENITO JUAREZ SIN NUMERO</t>
  </si>
  <si>
    <t>CHILTEPEC SECCION BANCO</t>
  </si>
  <si>
    <t>CALLE JOSE MARIA PINO SUAREZ</t>
  </si>
  <si>
    <t xml:space="preserve">ENTRADA A LA PESCADERIA </t>
  </si>
  <si>
    <t>PASANDO SAN ANTONIO POR LA IGLESIA</t>
  </si>
  <si>
    <t>ENTRADA DE LOS ALMACENES</t>
  </si>
  <si>
    <t>CARRETERA A VILLA ALDAMA</t>
  </si>
  <si>
    <t xml:space="preserve">COCOHITAL </t>
  </si>
  <si>
    <t>CARRETERA A LA UNION SIN NUMERO</t>
  </si>
  <si>
    <t>CALLE GUAYACAN</t>
  </si>
  <si>
    <t>CALLE FRAMBOYAN SON NUMERO</t>
  </si>
  <si>
    <t>CALLE EL MANGO SIN NUMERO</t>
  </si>
  <si>
    <t xml:space="preserve">CALLE CARLOS ECHEVERRIA </t>
  </si>
  <si>
    <t>CARRETERA A TECOLUTILLA</t>
  </si>
  <si>
    <t>PERIFERICO</t>
  </si>
  <si>
    <t>PROLONGACION 5 DE MAYO</t>
  </si>
  <si>
    <t>CALLE NOE DE LA FLOR NUMERO 26</t>
  </si>
  <si>
    <t>ANDADOR GUARAGUAO NUMERO 19</t>
  </si>
  <si>
    <t>CALLE BUENOS AIRES NUMERO 104</t>
  </si>
  <si>
    <t>CALLE MELCHOR OCAMPO 309</t>
  </si>
  <si>
    <t>CALLE NOE DE LA FLOR CASANOVA NUMERO 302</t>
  </si>
  <si>
    <t xml:space="preserve">CALLE AURELIO SOSA TORRES NUMERO 44 </t>
  </si>
  <si>
    <t>CALLE REFORMA NUMERO 103</t>
  </si>
  <si>
    <t>CALLE CUAHUCTEMOC NUMERO 117</t>
  </si>
  <si>
    <t>CALLE LIC MANUEL SANCHEZ MARMOL NUMERO 128</t>
  </si>
  <si>
    <t>CALLE CUAHUCTEMOC NUMERO 207 INTERIOR</t>
  </si>
  <si>
    <t>CALLE PIJIJE NUMERO 48</t>
  </si>
  <si>
    <t>CALLE POCHITOQUE</t>
  </si>
  <si>
    <t xml:space="preserve">POBLADO MIGUEL HIDALGO </t>
  </si>
  <si>
    <t>CALLE JOSE MARIA PINO SUAREZ NUMERO 6</t>
  </si>
  <si>
    <t xml:space="preserve">CARRETERA DOS BOCAS </t>
  </si>
  <si>
    <t>CERRADA 5 DE MAYO SIN NUMERO</t>
  </si>
  <si>
    <t>CALLE JUAN SANTO ROMERO SIN NUMERO</t>
  </si>
  <si>
    <t>CALLE TOMAS GARRIDO CANABAL NUMERO 55</t>
  </si>
  <si>
    <t>VICENTE GUERRERO CASA 96</t>
  </si>
  <si>
    <t>PROLONGACION VICENTE GUERRERO CALLEJON NUMERO 6</t>
  </si>
  <si>
    <t xml:space="preserve">PROLONGACION VICENTE GUERRERO   </t>
  </si>
  <si>
    <t>CALLE RAMON LOPEZ VALVERDE 100 B</t>
  </si>
  <si>
    <t>CALLE EMILIANO ZAPATA MANZANA 2 LOTE 4</t>
  </si>
  <si>
    <t>CALLE MANUEL R MORA</t>
  </si>
  <si>
    <t>CALLE 24 MANZANA 18 LOTE 5</t>
  </si>
  <si>
    <t xml:space="preserve">ANDADOR HALCON NUMERO 231 </t>
  </si>
  <si>
    <t>ANDADOR COCOA MANZANA 18 LOTE 13</t>
  </si>
  <si>
    <t>CALLE CACAO ORIENTE MANZANA A LOTE 14</t>
  </si>
  <si>
    <t>ANDADOR EL MAIZ</t>
  </si>
  <si>
    <t>ANDADOR COCOA MANZANA 17 LOTE 1</t>
  </si>
  <si>
    <t>CALLE ARABIA 1 MANZANA 1 LOTE 10</t>
  </si>
  <si>
    <t>CASA COLOR ROSA ALADO DEL CAMPO DE FUTBOOL</t>
  </si>
  <si>
    <t>CALLE 16 DE NOVIEMBRE MANZANA 6 LOTE 5</t>
  </si>
  <si>
    <t>CALLE ANDADOR 8 MANZANA 5 LOTE 3</t>
  </si>
  <si>
    <t>CALLE GRACILIANO NUMERO 24</t>
  </si>
  <si>
    <t>CALLE DE LA ENTRADA IGLESIA RURAL</t>
  </si>
  <si>
    <t>MANZANA 3 LOTE 6</t>
  </si>
  <si>
    <t>CALLE LAS PALMAS</t>
  </si>
  <si>
    <t>CALLE CARLOS A MADRAZO BECERRA</t>
  </si>
  <si>
    <t>CARRETERA CARDENAS A COMALCALCO</t>
  </si>
  <si>
    <t xml:space="preserve">CERRADA SAN PEDRO </t>
  </si>
  <si>
    <t>CALLE ALCATRACES</t>
  </si>
  <si>
    <t>CALLE EMILIANO ZAPATA NUMERO 542</t>
  </si>
  <si>
    <t>CARRETERA CARDENAS - HUIMANGUILLO</t>
  </si>
  <si>
    <t>CAÃ‘ATEL 2 PRIMERA ENTRADA</t>
  </si>
  <si>
    <t>CARRETERA CARDENAS VILLAHERMOSA</t>
  </si>
  <si>
    <t>FRENTE AL DEPOSITO QUILILA</t>
  </si>
  <si>
    <t>CALLE CARMEN DE LA CRUZ PEREZ CASA NUMERO 5</t>
  </si>
  <si>
    <t>CALLE FRANCISCO TRUJILLO 111</t>
  </si>
  <si>
    <t>CALLE JOAQUIN CUEVA NUMERO 637</t>
  </si>
  <si>
    <t>CALLE MANUEL LEYVA NUMERO 150</t>
  </si>
  <si>
    <t>CALLE LEONEL MAGAÃ‘A INTERIOR 128</t>
  </si>
  <si>
    <t>CALLE JUSTO SIERRA NUMERO 22</t>
  </si>
  <si>
    <t>CALLE ROCENDO TARASENA PADRON NUMERO 120</t>
  </si>
  <si>
    <t>CALLE ABASOLO NUMERO 115</t>
  </si>
  <si>
    <t xml:space="preserve">PROLONGACION GUADALUPE VICTORIA </t>
  </si>
  <si>
    <t>CALLE SIN NOMBRE Y SIN NUMERO</t>
  </si>
  <si>
    <t>CERRADA BENITO JUAREZ CASA NUMERO 6</t>
  </si>
  <si>
    <t>CALLE AURELIO SOSA TORRE NUMERO 8</t>
  </si>
  <si>
    <t>CALLE JOSE MARTI NUMERO 42</t>
  </si>
  <si>
    <t xml:space="preserve">CALLE MANGOS NUMERO 13 </t>
  </si>
  <si>
    <t>CALLE TULIPAN SIN NUMERO</t>
  </si>
  <si>
    <t>CALLE FRONTERA NUMERO 35 ENTRE JONUTA Y ZAPATA</t>
  </si>
  <si>
    <t>CALLE RIO SAMARIA MANZANA 13 LOTE 9</t>
  </si>
  <si>
    <t>CALLE BENITO JUAREZ</t>
  </si>
  <si>
    <t>CALLE TOMAS GARRIDO CANAVAL NUMERO 120</t>
  </si>
  <si>
    <t>CALLE CORREGIDORA</t>
  </si>
  <si>
    <t>MANZANA 4 LOTE 12</t>
  </si>
  <si>
    <t>CALLE CEDRO SIN NUMERO</t>
  </si>
  <si>
    <t>CARRETERA VECINAL A CHICHICAPA SIN NUMERO</t>
  </si>
  <si>
    <t>CALLE PEPE TORRUCO VERA</t>
  </si>
  <si>
    <t xml:space="preserve">CALLE SEREQUEN </t>
  </si>
  <si>
    <t>SANTA ROSALIA ANDADOR DUPLES</t>
  </si>
  <si>
    <t>CARRETERA CARDENAS-VILLAHERMOSA</t>
  </si>
  <si>
    <t>CALLE DEL VIVERO</t>
  </si>
  <si>
    <t>POR LA LAGUNA</t>
  </si>
  <si>
    <t>CARRETERA A JALAPITA</t>
  </si>
  <si>
    <t>CARRETERA A JALAPITA SIN NUMERO</t>
  </si>
  <si>
    <t>SANTA TERESA</t>
  </si>
  <si>
    <t>CARRETERA KILOMETRO 2 SIN NUMERO</t>
  </si>
  <si>
    <t>CALLE SIN NOMBRE</t>
  </si>
  <si>
    <t>CARRETERA ABEJONAL A CHICHICAPA</t>
  </si>
  <si>
    <t>CALLE DEL MALECON</t>
  </si>
  <si>
    <t>LOCALIDAD CHILTEPEC SECCION TANQUE</t>
  </si>
  <si>
    <t>ENTRADA DEL PUESTO</t>
  </si>
  <si>
    <t>CALLE LOS MAGAÃ‘A SIN NUMER</t>
  </si>
  <si>
    <t>ENTRADA LOS MAGAÃ‘AS</t>
  </si>
  <si>
    <t xml:space="preserve">CARRETERA PRINCIPAL  </t>
  </si>
  <si>
    <t xml:space="preserve">CALLE PRINCIPAL </t>
  </si>
  <si>
    <t>CALLE POR LA PALAPA EL GRINGO</t>
  </si>
  <si>
    <t>CAMINO VECINAL</t>
  </si>
  <si>
    <t>CARRETERA VECINAL SIN NUMERO</t>
  </si>
  <si>
    <t>CARRETERA TULIPAN - LIBERTAD</t>
  </si>
  <si>
    <t>CARRETERA RUMBO  A LAS CALZADAS ENCRUCIJADA CUARTA SECCION KILOMETRO 23</t>
  </si>
  <si>
    <t>CALLE VICENTE GUERRERO NUMERO 3</t>
  </si>
  <si>
    <t>CARRETERA A SANTA ROSA SIN NUMERO</t>
  </si>
  <si>
    <t>CALLE DEL PANTEON</t>
  </si>
  <si>
    <t>CARRETERA A LA LUCHA</t>
  </si>
  <si>
    <t xml:space="preserve">CALLE DE LA IGLESIA </t>
  </si>
  <si>
    <t>CALLE DE LA IGLESIA MONTE GRANDE</t>
  </si>
  <si>
    <t>CARRETERA A MONTE GRANDE SIN NUMERO</t>
  </si>
  <si>
    <t>CARRETERA A TULIPAN SIN NUMERO</t>
  </si>
  <si>
    <t>LA MODITA</t>
  </si>
  <si>
    <t>CARRETERA CARDENAS - CUNDUACAN</t>
  </si>
  <si>
    <t>CARRETERA A TULIPAN</t>
  </si>
  <si>
    <t>PASANDO EL TANQUE DE AGUA</t>
  </si>
  <si>
    <t>CAMPO BELLOTA</t>
  </si>
  <si>
    <t>CARRETERA CARDENAS NUEVA ZELANDA SIN NUMERO</t>
  </si>
  <si>
    <t>CALLE DE LA IGLESIA</t>
  </si>
  <si>
    <t>CARRETERA CARDENAS-COATZACOALCOS</t>
  </si>
  <si>
    <t>CARRETERA A EJIDO MONTAÃ‘A</t>
  </si>
  <si>
    <t>ENTRADA LOS PESCADORES SIN NUMERO</t>
  </si>
  <si>
    <t>CALLE LOS PESCADORES</t>
  </si>
  <si>
    <t>CALLE BENIGNO CARRILLO</t>
  </si>
  <si>
    <t>CALLE ANTONIO ANGULO</t>
  </si>
  <si>
    <t>CARRETERA SANTA ROSALIA</t>
  </si>
  <si>
    <t>CALLE MANUEL PERALTA</t>
  </si>
  <si>
    <t>CALLE DEL CHIVO TEMPLO MARANATHA</t>
  </si>
  <si>
    <t>CARRETERA A POBLADO LIBERTAD</t>
  </si>
  <si>
    <t>CARRETERA FEDERAL CARDENAS-COMALCALCO</t>
  </si>
  <si>
    <t>ENTRADA DEL P</t>
  </si>
  <si>
    <t xml:space="preserve">LOS NARANJO 2 SECCION </t>
  </si>
  <si>
    <t>CALLE 18 DE MARZO SIN NUMERO</t>
  </si>
  <si>
    <t>CARRETERA A DOS BOCA</t>
  </si>
  <si>
    <t>ENTRADA EL ESCRIBANO</t>
  </si>
  <si>
    <t xml:space="preserve">EL LIMON </t>
  </si>
  <si>
    <t>PROLONGACION GREGORIO MENDEZ SIN NUMERO</t>
  </si>
  <si>
    <t>ENTRADA CHILTEPEC</t>
  </si>
  <si>
    <t>CARRETERA AL POBLADO CHILTEPEC</t>
  </si>
  <si>
    <t>ENTRADA AL PANTEON</t>
  </si>
  <si>
    <t>ENTRADA DE LA PISTA</t>
  </si>
  <si>
    <t xml:space="preserve">EL PORVENIR </t>
  </si>
  <si>
    <t xml:space="preserve">CARRETERA AL MULATO </t>
  </si>
  <si>
    <t xml:space="preserve">EL PORVENIR LIBERTAD SEXTA SECCION </t>
  </si>
  <si>
    <t>EL PORVENIR SIN NUMERO</t>
  </si>
  <si>
    <t xml:space="preserve">CALLE RAMON LOPEZ </t>
  </si>
  <si>
    <t xml:space="preserve">CARRETERA PRINCIPAL A LIBERTAD </t>
  </si>
  <si>
    <t>ENTRADA LOS VINAGRES SIN NUMERO</t>
  </si>
  <si>
    <t>CARRETERA A SANTA ROSA</t>
  </si>
  <si>
    <t>CASA BLANCA</t>
  </si>
  <si>
    <t>CALLE ANDADOR CAOBA NUMERO 114</t>
  </si>
  <si>
    <t>CALLE FRAMBOYAN NUMERO 103</t>
  </si>
  <si>
    <t>CALLE FRAMBOYAN NUMERO 109</t>
  </si>
  <si>
    <t xml:space="preserve">CALLE GUAYACAN CASA 108 </t>
  </si>
  <si>
    <t>CALLE SACUA MANZANA NUMERO 2</t>
  </si>
  <si>
    <t>CALLE EVELIO ALEXANDRO ROMERO</t>
  </si>
  <si>
    <t>AVENIDA DOS COCOS MANZANA 9 LOTE 12</t>
  </si>
  <si>
    <t xml:space="preserve">AVENIDA COCOS </t>
  </si>
  <si>
    <t>PALMA REAL MANZANA 16 LOTE 31</t>
  </si>
  <si>
    <t>CALLE NUEVO LEON</t>
  </si>
  <si>
    <t>CALLE 7 DEPARTAMENTO 5-3</t>
  </si>
  <si>
    <t>CALLE NUMERO 20 MANZAN 33 DEPARTAMENTO 3-4</t>
  </si>
  <si>
    <t>CALLE 25 MANZANA 37 MODULO 4 CASA 23</t>
  </si>
  <si>
    <t>CALLE 18 A MANZANA 27 MODULO 12</t>
  </si>
  <si>
    <t>CALLE GUAYACANES SIN NUMERO</t>
  </si>
  <si>
    <t>ENTRADA DE LAS TIENDAS</t>
  </si>
  <si>
    <t>CALLE BERNARDINO SANCHEZ ALEJANDRO</t>
  </si>
  <si>
    <t>CALLE JOSE ANGEL IZQUIERDO SIN NUMERO</t>
  </si>
  <si>
    <t>CARRETERA A LA IGLESIA SANTO TOMAS</t>
  </si>
  <si>
    <t>CARRETERA A PROGRESO TULARSIN NUMERO</t>
  </si>
  <si>
    <t>CALLE DE LA ESCUELA PRIMARIA SIN NUMERO</t>
  </si>
  <si>
    <t>CALLE ARTURO PEREZ FLORES</t>
  </si>
  <si>
    <t>CALLE ISAAC DOMINGUEZ HERNANDEZ</t>
  </si>
  <si>
    <t xml:space="preserve">FRANCISCO I MADERO  </t>
  </si>
  <si>
    <t>ENTRADA AL ESTABLO SIN NUMERO</t>
  </si>
  <si>
    <t>HERMEREGILDO</t>
  </si>
  <si>
    <t>CALLE NORTE</t>
  </si>
  <si>
    <t>GREGORIO MENDEZ</t>
  </si>
  <si>
    <t>CARRETERA PRINCIPAL A GREGORIO MENDEZ PRIMERA</t>
  </si>
  <si>
    <t xml:space="preserve">CARRETERA A MIGUEL HIDALGO </t>
  </si>
  <si>
    <t xml:space="preserve">GUADALUPE VICTORIA </t>
  </si>
  <si>
    <t>HIDALGO SEGUNDA SECCION  EL EDEN CALLE DEL PANTEON</t>
  </si>
  <si>
    <t>CARRETERA BORDO IZQUIERDO</t>
  </si>
  <si>
    <t>CARRETERA AL BORDO</t>
  </si>
  <si>
    <t>CARRETERA AL BORDO IZQUIERDO SIN NUMERO</t>
  </si>
  <si>
    <t>CARRETERA A LA VIA CORTA SIN NUMERO</t>
  </si>
  <si>
    <t>CALLE DE LA IGLESIA ENFRENTE</t>
  </si>
  <si>
    <t>CARRETERA VIA CORTA SIN NUMERO</t>
  </si>
  <si>
    <t xml:space="preserve">CARRETERA A LIBERTAD </t>
  </si>
  <si>
    <t>CALLE ALVARO OBREGON NUMERO 333</t>
  </si>
  <si>
    <t>CARRETERA A INDEPENDENCIA SEGUNDA SIN NUMERO</t>
  </si>
  <si>
    <t>INDEPENDENCIA PRIMERA SECCION</t>
  </si>
  <si>
    <t xml:space="preserve">CARRETERA A NICOLAS BRAVO SIN NUMERO </t>
  </si>
  <si>
    <t xml:space="preserve">INFONAVIT DEPORTIVA </t>
  </si>
  <si>
    <t>ANDADOR DANIEL GONZALEZ</t>
  </si>
  <si>
    <t>CALLE JIMENEZ ESQUINA TULIPANES</t>
  </si>
  <si>
    <t xml:space="preserve">CARRETERA PRINCIPAL INGENIO </t>
  </si>
  <si>
    <t>ENTRADA EL ARENAL</t>
  </si>
  <si>
    <t>CALLE ROMANIA</t>
  </si>
  <si>
    <t>CALLE FRENTE AL TANQUE DE AGUA</t>
  </si>
  <si>
    <t>CALLE ARABIA 6 MANZANA 30 LOTE 14</t>
  </si>
  <si>
    <t xml:space="preserve">CALLE EL AGUILA </t>
  </si>
  <si>
    <t>ENTRANDO AL AGUILA</t>
  </si>
  <si>
    <t>CARRETERA A VILLA</t>
  </si>
  <si>
    <t xml:space="preserve">PASANDO EL KINDER </t>
  </si>
  <si>
    <t xml:space="preserve">JARAMILLO LAZO 8 </t>
  </si>
  <si>
    <t xml:space="preserve">CARRETERA VECINAL A COMALCALCO SIN NUMERO </t>
  </si>
  <si>
    <t xml:space="preserve">CARRETERA AL TULAR </t>
  </si>
  <si>
    <t xml:space="preserve">CARRETERA PRINCIPAL SIN NUMERO </t>
  </si>
  <si>
    <t>MIGUEL HIDALGO PRIMERA</t>
  </si>
  <si>
    <t xml:space="preserve">LA PIEDRA 2DA SECCION </t>
  </si>
  <si>
    <t xml:space="preserve">CARRETERA RIO SECO </t>
  </si>
  <si>
    <t xml:space="preserve">LA PLAYITA CALLE HERCILIA GOMEZ CONTRERAS </t>
  </si>
  <si>
    <t>CALLE ANDRES RAFAEL MANZANA 5 LOTE19 CALLE 2</t>
  </si>
  <si>
    <t>CALLE NUMERO 6</t>
  </si>
  <si>
    <t>ENTRADA LA RINCONADA</t>
  </si>
  <si>
    <t>CALLE BUGAMBILIA</t>
  </si>
  <si>
    <t>LAS FLORES PRIMERA</t>
  </si>
  <si>
    <t>ENTRADA LOS GOMEZ SIN NUMERO</t>
  </si>
  <si>
    <t>LAS FLORES TERCERA SECCION</t>
  </si>
  <si>
    <t>ENTRADA EL PANTEON SIN NUMERO</t>
  </si>
  <si>
    <t>CALLE A GUATEMALAN SIN NUMERO</t>
  </si>
  <si>
    <t>LAS PALMAS</t>
  </si>
  <si>
    <t xml:space="preserve">CARRETERA LIBERTAD TULIPAN </t>
  </si>
  <si>
    <t xml:space="preserve">CELIA VICTORIA CARRETA RAMIREZ </t>
  </si>
  <si>
    <t>CARRETERA VECINAL</t>
  </si>
  <si>
    <t>CARRETERA A REFORMA</t>
  </si>
  <si>
    <t>SANTA ROSALIA</t>
  </si>
  <si>
    <t>CALLEJON PRINCIPAL SIN NUMERO</t>
  </si>
  <si>
    <t xml:space="preserve">INDEPENDENCIA PRIMERA SECCION </t>
  </si>
  <si>
    <t>CARRETERA A CHICOZAPOTE</t>
  </si>
  <si>
    <t>CARRETERA CARDENAS - COMALCALCO</t>
  </si>
  <si>
    <t xml:space="preserve">MELCHOR OCAMPO AL FONDO </t>
  </si>
  <si>
    <t>MIGUEL HIDALGO SEGUNDA SECCION</t>
  </si>
  <si>
    <t>CALLE LA VACA SIN NUMERO</t>
  </si>
  <si>
    <t>ENTRADA EL KINDER SIN NUMERO</t>
  </si>
  <si>
    <t xml:space="preserve">ISLITA SIN NUMERO </t>
  </si>
  <si>
    <t>ENTRADA LA ISLITA SIN NUMERO</t>
  </si>
  <si>
    <t xml:space="preserve">CAMINO VECINAL </t>
  </si>
  <si>
    <t xml:space="preserve">CARRETERA VECINAL PARAISO COMALCALCO </t>
  </si>
  <si>
    <t>CARRETERA A SAN FRANCISCO SIN NUMERO</t>
  </si>
  <si>
    <t>CALLE DE LA CONASUPO</t>
  </si>
  <si>
    <t xml:space="preserve">CALLE DE LA CONASUPO SIN NUMERO </t>
  </si>
  <si>
    <t>NICOLAS BRAVO</t>
  </si>
  <si>
    <t>NORTE PRIMERA SECCION</t>
  </si>
  <si>
    <t xml:space="preserve">CALLE MAGISTRAL </t>
  </si>
  <si>
    <t xml:space="preserve">CALLE SANTOS DOMINGUEZ SIN NUMERO </t>
  </si>
  <si>
    <t xml:space="preserve">CALLE PERIFERICO NORTE SIN NUMERO </t>
  </si>
  <si>
    <t xml:space="preserve">ENTRADA A NUEVA ZELANCIA </t>
  </si>
  <si>
    <t>CALLE GREGORIO MENDEZ NUMERO 144</t>
  </si>
  <si>
    <t>CALLE FERNANDO MONTES DE OCA</t>
  </si>
  <si>
    <t>CALLE GREGORIO MENDEZ</t>
  </si>
  <si>
    <t>CERRADA JAIME NUNOS</t>
  </si>
  <si>
    <t>CALLE LUIS DONALDO COLOSIO MURIATAS</t>
  </si>
  <si>
    <t xml:space="preserve">CERRADA FRANCISCO I MADERO </t>
  </si>
  <si>
    <t>AVENIDA DOS BOCAS LOTE 1 FRENTE DEL PARQUE</t>
  </si>
  <si>
    <t>PROLONGACION DOS BOCAS</t>
  </si>
  <si>
    <t>ANDADOR CANGREJO MANZANA 10 LOTE 15</t>
  </si>
  <si>
    <t>POBLADO C-10 CALLE 8</t>
  </si>
  <si>
    <t>OCAMPO CALLE EUGENIO AMAT</t>
  </si>
  <si>
    <t>OCCIDENTE 1RA SECCION</t>
  </si>
  <si>
    <t xml:space="preserve">CALLE LAZARO CARDENAS </t>
  </si>
  <si>
    <t>CALLE MIGUEL HIDALGO</t>
  </si>
  <si>
    <t>CARRETERA FEDERAL COMALCALCO - CARDENAS</t>
  </si>
  <si>
    <t>CARRETERA FEDERAL PARAISO</t>
  </si>
  <si>
    <t xml:space="preserve">CARRETERA FEDERAL PARAISO COMALCALCO </t>
  </si>
  <si>
    <t xml:space="preserve">ORIENTE SEGUNDA </t>
  </si>
  <si>
    <t xml:space="preserve">CARRETERA VECINAL A PARAISO SIN NUMERO </t>
  </si>
  <si>
    <t xml:space="preserve">ENFRENEDE LA OBRERA  CSRRETERS CARDENAS A HUIMANGUILLO </t>
  </si>
  <si>
    <t>CARRETERA A PATASTAL TERCERA SECCION</t>
  </si>
  <si>
    <t>CARRETERA A ZARAGOZA</t>
  </si>
  <si>
    <t>CARRETERA A ZARAGOZA SEGUNDA</t>
  </si>
  <si>
    <t>CARRETERA A PLAYA BRUJA SIN NUMERO</t>
  </si>
  <si>
    <t>LA PLAYITA CALLE MIGUEL DE LA CRUZ</t>
  </si>
  <si>
    <t>CARRETERA CARDENAS - COMALCALCO SIN NUMERO</t>
  </si>
  <si>
    <t>ENTRADA DEL CAMPO</t>
  </si>
  <si>
    <t>CALLE 7 CASA NUMERO 17</t>
  </si>
  <si>
    <t xml:space="preserve">CARRETERA PRINCIPAL ZONA VERDE SIN NUMERO </t>
  </si>
  <si>
    <t>CALLE 2 ZONA VERDE</t>
  </si>
  <si>
    <t>CALLE UNO NUMERO 55</t>
  </si>
  <si>
    <t>CALLE NUMERO 2 CASA NUMERO 98</t>
  </si>
  <si>
    <t>CALLE SIETE CASA NUMERO 186</t>
  </si>
  <si>
    <t xml:space="preserve">CALLE 7 ZONA VERDE </t>
  </si>
  <si>
    <t>CALLE 4 ZONA AMPLIACION</t>
  </si>
  <si>
    <t>ENTRE CALLE 2 Y 3</t>
  </si>
  <si>
    <t>ENTRE CALLE 3 Y 4</t>
  </si>
  <si>
    <t>CALLE 6 NUMERO 137</t>
  </si>
  <si>
    <t>CALLE 6 CASA NUMERO 155</t>
  </si>
  <si>
    <t>A 3 CASAS DE LA CALLE PRINCIPAL</t>
  </si>
  <si>
    <t>ENTRE CALLE 7 Y 8</t>
  </si>
  <si>
    <t>CARRETERA VECINAL AL PASO LA UNION</t>
  </si>
  <si>
    <t>CALLE LINDO MERINO SIN NUMERO</t>
  </si>
  <si>
    <t>CALLE NARCIZO MENDOZA ESQUINA LINO MERINO</t>
  </si>
  <si>
    <t>CALLE DON URIEL</t>
  </si>
  <si>
    <t>ENTRADA AMADOR MORALES</t>
  </si>
  <si>
    <t>CARRETERA A PUNTA BRAVA SIN NUMERO</t>
  </si>
  <si>
    <t>CARRETERA A MECOACAN</t>
  </si>
  <si>
    <t>CARRETERA A LA PUNTA SIN NUMERO</t>
  </si>
  <si>
    <t>ENTRADA EL GUANAL SIN NUMERO</t>
  </si>
  <si>
    <t>CALLE EMILIANO ZAPATA SIN NUMERO</t>
  </si>
  <si>
    <t xml:space="preserve">CALLE FRANCISCO I MADERO </t>
  </si>
  <si>
    <t>CALLE 14 EDIFICIO MANZANA-24 DEPARTAMENTO 3-4</t>
  </si>
  <si>
    <t xml:space="preserve">CALLE 18 MANZANA 32  MODULO 2 </t>
  </si>
  <si>
    <t>CALLE 20 DE NOVIEMBRE PROGRESO</t>
  </si>
  <si>
    <t>ENTRADA BOCHILER</t>
  </si>
  <si>
    <t>CALLE LAS FLORES</t>
  </si>
  <si>
    <t>CALLE LOS DELFINES</t>
  </si>
  <si>
    <t>CALLE 27 DE FEBRERO SIN NUMERO</t>
  </si>
  <si>
    <t xml:space="preserve">CALLE LOS PESCADORES </t>
  </si>
  <si>
    <t xml:space="preserve">PUERTO CEIBA </t>
  </si>
  <si>
    <t>CALLE FREDY LOVERA SIN NUMERO</t>
  </si>
  <si>
    <t xml:space="preserve">CALLE  LAS FLORES </t>
  </si>
  <si>
    <t>CALLE 8 DE OCTUBRE</t>
  </si>
  <si>
    <t>CALLE SIN NOMBRE SIN NUMERO</t>
  </si>
  <si>
    <t>CALLE FRANCISCO I MADERO</t>
  </si>
  <si>
    <t>GONZALEZ SIN NUMERO</t>
  </si>
  <si>
    <t>CALLE JUAREZ</t>
  </si>
  <si>
    <t>CALLE MAXIMINO DOMINGUEZ LOPEZ</t>
  </si>
  <si>
    <t xml:space="preserve">CALLE FRANCISCO VILLA NUMERO 6 </t>
  </si>
  <si>
    <t xml:space="preserve">CALLE FRANCISCO TRUJILLO </t>
  </si>
  <si>
    <t xml:space="preserve">ENTRADA DEL TEMPLO SIN NUMERO </t>
  </si>
  <si>
    <t xml:space="preserve">ENTRADA DEL TEMPLO </t>
  </si>
  <si>
    <t>ENTRADA LAS PALMAS</t>
  </si>
  <si>
    <t>ANTES DEL KINDER</t>
  </si>
  <si>
    <t>ENTRADA EL EMBUDO SIN NUMERO</t>
  </si>
  <si>
    <t>ENTRADA EL EMBUDO</t>
  </si>
  <si>
    <t>CALLE DEL CENTRO DE SALUD</t>
  </si>
  <si>
    <t>CARRETERA PARAISO - JALAPITA</t>
  </si>
  <si>
    <t>ENTRADA POLLO AMY</t>
  </si>
  <si>
    <t xml:space="preserve">CARRETERA A CARLOS GREEN </t>
  </si>
  <si>
    <t xml:space="preserve">CARRETERA A CARLOS GREEN SIN NUMERO </t>
  </si>
  <si>
    <t>CARRETERA PRINCIPAL A CARLOS GREEN</t>
  </si>
  <si>
    <t xml:space="preserve">AVENIDA DEL RETEN NUMERO 202 </t>
  </si>
  <si>
    <t>ENTRADA LOS RICARDEZ</t>
  </si>
  <si>
    <t>CARRETERA A LAS FLORES SIN NUMERO</t>
  </si>
  <si>
    <t>ENTRADA LOS GARCIAS</t>
  </si>
  <si>
    <t>CARRETERA VECINAL PARAISO COMALCALCO</t>
  </si>
  <si>
    <t xml:space="preserve">CARRETERA AL ESTADIO </t>
  </si>
  <si>
    <t xml:space="preserve">CARRETERA LAZARO CARDENAS SEGUNDA </t>
  </si>
  <si>
    <t>CARRETERA CARDERNAS COMALCALCO KILOMETRO 5 1/2</t>
  </si>
  <si>
    <t>CASA COLOR AMARILLO</t>
  </si>
  <si>
    <t xml:space="preserve">CALLE HUAPACAL PRIMERA SECCION </t>
  </si>
  <si>
    <t>CARRETERA AL CARMEN</t>
  </si>
  <si>
    <t xml:space="preserve">CARRETERA A LOS CERROS </t>
  </si>
  <si>
    <t>ENTRADA LOS PINOS</t>
  </si>
  <si>
    <t>CARRETERA A NICOLAS BRAVO CHICHICAPA SIN NUMERO</t>
  </si>
  <si>
    <t>ENTRADA ISLA ISABEL</t>
  </si>
  <si>
    <t>CALLE EL MORRAL</t>
  </si>
  <si>
    <t>CALLE EL AGUILA</t>
  </si>
  <si>
    <t>CARRETERA A LA PLAYA EL MORRAL</t>
  </si>
  <si>
    <t>CALLE PRINCIPAL SIN NUMERO</t>
  </si>
  <si>
    <t>CARRETERA A CENTLA</t>
  </si>
  <si>
    <t>EL BELLOTE CARRETERA A CHILTEPEC</t>
  </si>
  <si>
    <t>CARRETERA A CHILTEPEC</t>
  </si>
  <si>
    <t>CARRETERA PARAISO - CHILTEPEC</t>
  </si>
  <si>
    <t>CARRETERA A LA BARRA</t>
  </si>
  <si>
    <t>ENTRADA LOS DOMINGUEZ</t>
  </si>
  <si>
    <t xml:space="preserve">CARRETERA ALA BARRA </t>
  </si>
  <si>
    <t xml:space="preserve">CARRETERA A LA BARRA </t>
  </si>
  <si>
    <t>CARRETERA PALMAHUACA</t>
  </si>
  <si>
    <t>LIBERTAD PRIMERA SECCION</t>
  </si>
  <si>
    <t>ENTRADA LOS HERNANDEZ</t>
  </si>
  <si>
    <t xml:space="preserve">RANCHERIA LIBERTAD SEGUNDA </t>
  </si>
  <si>
    <t>CARRETERA A NICOLAS BRAVO</t>
  </si>
  <si>
    <t xml:space="preserve">CARRETERA HUIMANGUILLO </t>
  </si>
  <si>
    <t>CARRETERA A CALZADA SIN NUMERO</t>
  </si>
  <si>
    <t>CASA COLOR BLANCO FRENTE A PANADERIA</t>
  </si>
  <si>
    <t>CARRETERA CARDENAS-COMALCALCO NUMERO 259</t>
  </si>
  <si>
    <t>CARRETERA A LEON ZARATE</t>
  </si>
  <si>
    <t>CARRETERA A PUNTA BRAVA</t>
  </si>
  <si>
    <t>CARRETERA A TILAPA SIN NUMERO</t>
  </si>
  <si>
    <t>ENTRADA DE LA TUBERIA SIN NUMERO</t>
  </si>
  <si>
    <t>ENTRADA LA ISLA MALAPA SIN NUMERO</t>
  </si>
  <si>
    <t>ENTRADA DEL TACO SIN NUMERO</t>
  </si>
  <si>
    <t>CARRETERA FEDERAL COMALCALCO SIN NUMERO</t>
  </si>
  <si>
    <t>ENTRADA EL REGALO</t>
  </si>
  <si>
    <t>ENTRADA A HERNAN RABELO</t>
  </si>
  <si>
    <t>CARRETERA A COMALCALCO</t>
  </si>
  <si>
    <t xml:space="preserve">RANCHERIA NORTE SEGUNDA SECCION </t>
  </si>
  <si>
    <t>ENTRE EL REGALO</t>
  </si>
  <si>
    <t>CARRETERA A PARAISO SIN NUMERO</t>
  </si>
  <si>
    <t>CARRETERA LA PASADITA</t>
  </si>
  <si>
    <t>ENTRADA A LA MERCED REAL</t>
  </si>
  <si>
    <t>ENTRE CALLE LOS RODRIGUEZ</t>
  </si>
  <si>
    <t>ENTRE CALLE MERCED REAL</t>
  </si>
  <si>
    <t>ENTRADA DEL TEMPLO</t>
  </si>
  <si>
    <t>CARRETERA FEDERAL</t>
  </si>
  <si>
    <t>COLONIA LA ESCONDIDA SIN NUMERO</t>
  </si>
  <si>
    <t>CALLE MARIO BURELOS RAMIREZ</t>
  </si>
  <si>
    <t>CASA VERDE CON PILARES</t>
  </si>
  <si>
    <t>RESTAURANTE</t>
  </si>
  <si>
    <t>CARRETERA FEDERAL COMALCALCO</t>
  </si>
  <si>
    <t>SAN CAYERANO CARRETERA FEDERAL COMALCALCO-CARDENAS</t>
  </si>
  <si>
    <t>CARRETERA FEDERAL CARDENAS COMALCALCO</t>
  </si>
  <si>
    <t>ENTRADA EL CHIPILIN</t>
  </si>
  <si>
    <t>ENTRADA AL CHIPILIN</t>
  </si>
  <si>
    <t xml:space="preserve">ENTRADA DE LA VIA </t>
  </si>
  <si>
    <t>CARRETERA CARDENAS HUIMANHUILLO</t>
  </si>
  <si>
    <t xml:space="preserve">CALLE LOS SAUCES </t>
  </si>
  <si>
    <t>CARRETERA CARDENAS A HUIMANGUILLO KILOMETRO 26</t>
  </si>
  <si>
    <t>CARRETERA AL CHESCHIN</t>
  </si>
  <si>
    <t>CARRETERA A SANTA ROSALIA SIN NUMERO</t>
  </si>
  <si>
    <t>CALLE RIO SECO SEGUNDA SECCION</t>
  </si>
  <si>
    <t>PASANDO TULIPAN EN AVENIDA 3 HERMANOS</t>
  </si>
  <si>
    <t>CARRETERA VIA CORTA A SANTANA</t>
  </si>
  <si>
    <t>CARRETERA COMALCALCO CARDENAS</t>
  </si>
  <si>
    <t>ENTRADA LA VIA SIN NUMERO</t>
  </si>
  <si>
    <t>CARRETERA A LA MINA SIN NUMERO</t>
  </si>
  <si>
    <t>CASA ROSA PASANDO EL KINDER JOSE MARIA PINO SUAREZ</t>
  </si>
  <si>
    <t>CAMINO VECINAL 25 METROS DEL TEMPLO ARBOL DE VIDA</t>
  </si>
  <si>
    <t>CARRETERA A LA LUCHA SIN NUMERO SIN NUMERO</t>
  </si>
  <si>
    <t xml:space="preserve">CARRETERA A LA LUCHA    </t>
  </si>
  <si>
    <t>COLONIA AGAPITO DOMINGUEZ SIN NUMERO</t>
  </si>
  <si>
    <t>CARRETERA VECINAL A TULIPAN</t>
  </si>
  <si>
    <t>ENTRADA EL ZAPOTE SIN NUMERO</t>
  </si>
  <si>
    <t>CARRETERA A RIO SECA SIN NUMERO</t>
  </si>
  <si>
    <t>CARRETERA AL TAMARINDO</t>
  </si>
  <si>
    <t>CARRETERA A LIBERTAD SIN NUMERO</t>
  </si>
  <si>
    <t>CAMINO VIEJO</t>
  </si>
  <si>
    <t>CARRETERA A TECOLUTILLA SIN NUMERO</t>
  </si>
  <si>
    <t xml:space="preserve">PRINCIPAL RIO EL CHINAL </t>
  </si>
  <si>
    <t xml:space="preserve"> CALLE GUADALUPE VICTORIA </t>
  </si>
  <si>
    <t>SARGENTO LOPEZ TERCERA</t>
  </si>
  <si>
    <t>CERRADA TECOLUTILLA</t>
  </si>
  <si>
    <t>CALLE ZARAGOZA NUMERO 1130</t>
  </si>
  <si>
    <t>PROFESOR ANGUSTO</t>
  </si>
  <si>
    <t>CALLE RAYON NUMERO 17</t>
  </si>
  <si>
    <t xml:space="preserve">PORLONGACION GUADALUPE VICTORIA </t>
  </si>
  <si>
    <t xml:space="preserve">SANTA 1RA </t>
  </si>
  <si>
    <t>SARA DEL CARMEN MIRANDA CALIX</t>
  </si>
  <si>
    <t>CALLE DE LA DELEGACION MUNICIPAL SIN NUMERO</t>
  </si>
  <si>
    <t>ENTRADA LA BANQUETA</t>
  </si>
  <si>
    <t xml:space="preserve">ENTRADA LA BANQUETA </t>
  </si>
  <si>
    <t xml:space="preserve">MANZANA 16 </t>
  </si>
  <si>
    <t>SANTUARIO 1RA</t>
  </si>
  <si>
    <t>SANTUARIO 1RA SECCION</t>
  </si>
  <si>
    <t>ENTRADA SAN JORGE</t>
  </si>
  <si>
    <t xml:space="preserve">CARRETERA A SAN JORGE </t>
  </si>
  <si>
    <t>CARRETERA VECINAL A COMALCALCO TULIPAN SIN NUMERO</t>
  </si>
  <si>
    <t>CARRETERA VECINAL CUARTA CALLE FLORIDA</t>
  </si>
  <si>
    <t>CARRETERA VECINAL TULIPAN</t>
  </si>
  <si>
    <t>ABARROTES ESTIAVEL LAVADORA DE AUTOS CASA COLOR VERDE AGUA</t>
  </si>
  <si>
    <t>CARRETERA VECINAL A TULIPAN SIN NUMERO</t>
  </si>
  <si>
    <t>ENTRADA DE LA ESCUELA PRIMARIA</t>
  </si>
  <si>
    <t>CARRETERA VECINAL COMALCALCO TULIPAN</t>
  </si>
  <si>
    <t>ENTRADA EL ZAPOTE</t>
  </si>
  <si>
    <t>ZAPOTE</t>
  </si>
  <si>
    <t>CALLE IGNACIO ZARAGOZA SIN NUMERO</t>
  </si>
  <si>
    <t>CALLE NICOLAS BRAVO</t>
  </si>
  <si>
    <t>CARRETERA A ALDAVAN RIVERITA</t>
  </si>
  <si>
    <t xml:space="preserve">CALLE VICENTE GUERRERO </t>
  </si>
  <si>
    <t xml:space="preserve">TIERRA Y LIBERTAD </t>
  </si>
  <si>
    <t xml:space="preserve">TIRRE Y LIBERTAD </t>
  </si>
  <si>
    <t>CALLE DE LA ABARROTERA</t>
  </si>
  <si>
    <t xml:space="preserve">TORNO LARGO TERCERA SECCION </t>
  </si>
  <si>
    <t>ENTRADA LA PERA SIN NUMERO</t>
  </si>
  <si>
    <t xml:space="preserve">CALLE SIN NOMBRE </t>
  </si>
  <si>
    <t>CALLE LA PERA SIN NUMERO</t>
  </si>
  <si>
    <t>TULAR CARRETERA TULIPAN - LIBERTAD</t>
  </si>
  <si>
    <t xml:space="preserve">A TULIPAN SIN NUMERO </t>
  </si>
  <si>
    <t xml:space="preserve">CARRETERA TULAR LIBERTAD </t>
  </si>
  <si>
    <t>CERRADA SECCIO 10 DE AZUCAREROS</t>
  </si>
  <si>
    <t>ANDADOR DE LOS CONDORES ESQUINA AGUILAS SIN NUMERO</t>
  </si>
  <si>
    <t xml:space="preserve">VAQUEIRO SANTA ROSALIA </t>
  </si>
  <si>
    <t>VAQUEIROS CALLE 3</t>
  </si>
  <si>
    <t xml:space="preserve">CALLE IGNACIO GUTIERREZ </t>
  </si>
  <si>
    <t>IGANCIO GUTIERREZ GOMEZ</t>
  </si>
  <si>
    <t>CALLE 27 DE FEBRERO</t>
  </si>
  <si>
    <t xml:space="preserve">OCCIDENTE SIN NUMERO </t>
  </si>
  <si>
    <t>CALLE GUADALUPE LAZARO SIN NUMERO</t>
  </si>
  <si>
    <t>CALLE GUADALUPE LAZARO</t>
  </si>
  <si>
    <t>CALLE JOSE MARIA MORELOS SIN NUMERO</t>
  </si>
  <si>
    <t>CALLE ROCENDO TARACENA</t>
  </si>
  <si>
    <t>PROLONGACION HEROES NUMERO 12</t>
  </si>
  <si>
    <t>CALLE NIÃ‘OS HEROES SIN NUMERO</t>
  </si>
  <si>
    <t xml:space="preserve">CALLE JOSE NARCISO ROVIROSA SIN NUMERO </t>
  </si>
  <si>
    <t xml:space="preserve">CALLE 27 DE FEBRERO </t>
  </si>
  <si>
    <t>CALLE ZAFIRO LOTE 8</t>
  </si>
  <si>
    <t>FRACCIONAMIENTO VILLA ESMERALDA</t>
  </si>
  <si>
    <t>CALLE JOSE COFFIN SANCHEZ SIN NUMERO ESQUINA MIGUEL HIDALGO</t>
  </si>
  <si>
    <t>CALLE 8 DE OCTUBRE SIN NUMERO</t>
  </si>
  <si>
    <t>CALLE 20 DE NOVIEMBRE SIN NUMERO</t>
  </si>
  <si>
    <t>CALLE 12 DE OCTUBRE ESQUINA CON CALLE OSTION</t>
  </si>
  <si>
    <t>CALLE PRIMERO DE JUNIO</t>
  </si>
  <si>
    <t>RAYON CON ESQUINA GALEANA</t>
  </si>
  <si>
    <t>CALLE IGNACIO RAYON SIN NUMERO</t>
  </si>
  <si>
    <t>AVENIDA 5 DE FEBRERO SIN NUMERO</t>
  </si>
  <si>
    <t xml:space="preserve">RANCHERIA CARLOS GREEN TERCERA SECCION </t>
  </si>
  <si>
    <t>YOLOXOCOCHITL</t>
  </si>
  <si>
    <t xml:space="preserve">ZAPATA 2DA SECCION </t>
  </si>
  <si>
    <t>CARRETERA A GREGORIO MENDEZ SIN NUMERO</t>
  </si>
  <si>
    <t xml:space="preserve">ZAPOTAL 1RA SECCION </t>
  </si>
  <si>
    <t xml:space="preserve">CARRETERA A POTRERITOS SIN NUMERO </t>
  </si>
  <si>
    <t>FRENTE AL CENTRO DE SALUD</t>
  </si>
  <si>
    <t>CALLE ENFRENTE DE DON DANIEL</t>
  </si>
  <si>
    <t>CALLE LAZARO CARDENAS</t>
  </si>
  <si>
    <t>CALLE DE LA FRUTERIA</t>
  </si>
  <si>
    <t>ENTRADA LA PASADITA</t>
  </si>
  <si>
    <t>CARRETERA A CUNDUACAN</t>
  </si>
  <si>
    <t>ENTRADA LA CURVA SIN NUMERO</t>
  </si>
  <si>
    <t>AVENIDA EL RETEN NUMERO 22</t>
  </si>
  <si>
    <t>CERRADA SAN JUAN NUMERO 25</t>
  </si>
  <si>
    <t>CALLE DELIA MARIA A LA VUELTA DEL RECLUSORIO</t>
  </si>
  <si>
    <t>CALLE DE LA TAQUERIA</t>
  </si>
  <si>
    <t>FRACCIONAMIENTO LOS MORALES</t>
  </si>
  <si>
    <t>CALLE FELIPE CARRILLO PUERTO</t>
  </si>
  <si>
    <t>ANDADOR HALCON MANZANA J LOTE 6 EDIFICIO 409 DEPARTAMENTO 102</t>
  </si>
  <si>
    <t>ANDADOR CAÃ‘AVERAL LOTE 3</t>
  </si>
  <si>
    <t>CALLE NARCISO MENDOZA</t>
  </si>
  <si>
    <t>CALLE ATRÃS DE LA NISSAN</t>
  </si>
  <si>
    <t>ANDADOR EUCALIPTO MANZANA 10 LOTE 7</t>
  </si>
  <si>
    <t>CALLE SECCION 29 CASA NUMERO 2</t>
  </si>
  <si>
    <t>CALLE SANTA ROSALIA</t>
  </si>
  <si>
    <t>PROLONGACION IGNACIO GUTIERREZ</t>
  </si>
  <si>
    <t>CALLE AGUSTIN MELGAR NUMERO 75</t>
  </si>
  <si>
    <t>CERRADA ROMAN LPEZ VELARDE CASA NUMERO 4</t>
  </si>
  <si>
    <t>CALL ECARMITA CORNELIO</t>
  </si>
  <si>
    <t>CALLE ARMITA CORNELIO</t>
  </si>
  <si>
    <t>CALLE JAIME NUÃ‘O</t>
  </si>
  <si>
    <t>CALLE AL PERIFERICO</t>
  </si>
  <si>
    <t>CALLE DEL HOJALATERO</t>
  </si>
  <si>
    <t>CALLE SAN FRANCISCO</t>
  </si>
  <si>
    <t>CALLE MOCTEZUMA</t>
  </si>
  <si>
    <t>CALLE FRANCISCO VILLA</t>
  </si>
  <si>
    <t>CALL PRINCIPAL</t>
  </si>
  <si>
    <t>CALLE DE LA PRIMARIA</t>
  </si>
  <si>
    <t>CALLE EL INGENIO</t>
  </si>
  <si>
    <t>CALLE EUGENIO AMAT CASA NUMERO 318</t>
  </si>
  <si>
    <t>ENTRADA LOS PRIEGOS</t>
  </si>
  <si>
    <t>COLONIA CALZADA PRIMERA SEGUNDA SECCION</t>
  </si>
  <si>
    <t>CALLE DE LA IGLESIA ENCARNACION</t>
  </si>
  <si>
    <t>CARRETERA SIN NUMERO</t>
  </si>
  <si>
    <t xml:space="preserve">ENTRADA DEL DRON </t>
  </si>
  <si>
    <t>CALLEJON SIN NUMERO</t>
  </si>
  <si>
    <t>CARRETER PRINCIPAL SIN NUMERO</t>
  </si>
  <si>
    <t>CARRETERA VIA CORTA</t>
  </si>
  <si>
    <t>CARRETERA A YOLOXOCHITL</t>
  </si>
  <si>
    <t>ENTRADA A SAN SEVERA SIN NUMERO</t>
  </si>
  <si>
    <t>ENTRADA SAN SEVERO SIN NUMERO</t>
  </si>
  <si>
    <t xml:space="preserve">EJIDO 11 DE FEBERERO SECTOR BELLOTA </t>
  </si>
  <si>
    <t>CALLE SANCHEZ MAGALLANES</t>
  </si>
  <si>
    <t>ENTRADA CALLE SACUA 416</t>
  </si>
  <si>
    <t>CALLE PRINCIPAL</t>
  </si>
  <si>
    <t>CARRETERA RIO SECO SANTA ROSA</t>
  </si>
  <si>
    <t>ENTRADA AL CARRIZAL</t>
  </si>
  <si>
    <t>AVENIDA MESOAMERICA MANZANA 12 LOTE 2</t>
  </si>
  <si>
    <t>CALLE 4</t>
  </si>
  <si>
    <t>CALLE 10 MANZANA 42 LOTE 7 CASA NUMERO 247</t>
  </si>
  <si>
    <t>CALLE VENUSTIANO CARRANZA SIN NUMERO</t>
  </si>
  <si>
    <t>CALLE 8 VENUSTIANO CARRANZA SIN NUMERO</t>
  </si>
  <si>
    <t>CALLE 3 SIN NUMERO NUMERO 70</t>
  </si>
  <si>
    <t>CALLE EMILIANO ZAPATA NUMERO 102</t>
  </si>
  <si>
    <t>CALLE SAN JOSE SIN NUMERO</t>
  </si>
  <si>
    <t>CALLE EMILIANO ZAPATA NUMERO 68 MANZANA 10 LOTE 38</t>
  </si>
  <si>
    <t>CALLE 7 Y 8 FRENTE DE ANEXO</t>
  </si>
  <si>
    <t>CALLE NUMERO 1 SIN NUMERO</t>
  </si>
  <si>
    <t>CARRETERA AL HABANERO SIN NUMERO</t>
  </si>
  <si>
    <t>CALLE NUMERO 8</t>
  </si>
  <si>
    <t>CARRETERA PRINCIPAL NUMERO 111</t>
  </si>
  <si>
    <t>CALLE 3 ZONA VERDE SIN NUMERO</t>
  </si>
  <si>
    <t>CALLE 9 BENITO JUAREZ NUMERO 168</t>
  </si>
  <si>
    <t>CALLE 10 CASA NUMERO 184</t>
  </si>
  <si>
    <t>CALLE 4 NUMERO 137</t>
  </si>
  <si>
    <t>CALLE LOS ISADORAS</t>
  </si>
  <si>
    <t>ANDADOR LAS PALOMAS MANZANA K LOTE 2 DEPARTAMENTO 301</t>
  </si>
  <si>
    <t>CALLE NUMERO 10 MIGUEL HIDALGO CASA NUMERO 270</t>
  </si>
  <si>
    <t>CALLE NUMERO 2 CASA NUMERO 96</t>
  </si>
  <si>
    <t>CALLE 2 AMPLIACION SIN NUMERO</t>
  </si>
  <si>
    <t>CALLE 6 CASA NUMERO 234</t>
  </si>
  <si>
    <t>AVENIDA LAS FLORES NUMERO 324</t>
  </si>
  <si>
    <t>CALLE TULIPANES MANZANA 6 LOTE 7</t>
  </si>
  <si>
    <t>ANDADOR PALCIDO AGUILERA NUMERO 134</t>
  </si>
  <si>
    <t>CALLE RIO SAMARIA MANZANA 13 LOTE 7</t>
  </si>
  <si>
    <t>CALLE 8 VENUSTIANO CARRANZA NUMERO 135</t>
  </si>
  <si>
    <t>CARRETERA PRINCIPAL CARMEN SANCHEZ</t>
  </si>
  <si>
    <t>CALLE GUADALUPE SIN NUMERO</t>
  </si>
  <si>
    <t>CALLE 5 JOSEFA ORTIZ MANZANA 11 LOTE 8</t>
  </si>
  <si>
    <t>CARRETERA A ZONA AGRICOLA</t>
  </si>
  <si>
    <t>CALLE 8 CON CALLE FRANCISCO VILLA SIN NUMERO</t>
  </si>
  <si>
    <t>CALLE 9 CASA NUMERO 159</t>
  </si>
  <si>
    <t>ZONA VERDE ENTRE CALLE 4 Y 5 SIN NUMERO</t>
  </si>
  <si>
    <t>CALLE BENITO JUAREZ 9 CASA NUMERO 147</t>
  </si>
  <si>
    <t>CALLE 7 CASA NUMERO 198</t>
  </si>
  <si>
    <t>CALLE 6 CASA NUMERO 183</t>
  </si>
  <si>
    <t>CALLE 4 ZONA VERDE SIN NUMERO</t>
  </si>
  <si>
    <t>ANDADOR ERNESTO GUEVARA EDIFICIO 7</t>
  </si>
  <si>
    <t xml:space="preserve">CALLE 9 </t>
  </si>
  <si>
    <t>CARRETERA LA PULGA MANGAL</t>
  </si>
  <si>
    <t>CARRETERA A ZAPOTAL SEGUNDA SECCION</t>
  </si>
  <si>
    <t>ENTRADA DEL KINDER</t>
  </si>
  <si>
    <t>CALLE DE LA IGLESIA SAN FRANCISCO</t>
  </si>
  <si>
    <t xml:space="preserve">ANDADOR CANULA </t>
  </si>
  <si>
    <t xml:space="preserve">CALLE PINOS </t>
  </si>
  <si>
    <t xml:space="preserve">ANDADOR CASA DUPLEX </t>
  </si>
  <si>
    <t xml:space="preserve">CALLE 5 DE MAYO </t>
  </si>
  <si>
    <t>CALLE DE LAS HERMANAS JIMENEZ</t>
  </si>
  <si>
    <t xml:space="preserve">CARRETERA PRINCIPAL POR LA CHONITA </t>
  </si>
  <si>
    <t xml:space="preserve">ENTRADA DON MIGUELITO </t>
  </si>
  <si>
    <t xml:space="preserve">CARRRETERA ALA COLMENA </t>
  </si>
  <si>
    <t>CALLE MARTINI</t>
  </si>
  <si>
    <t>CALLE 8</t>
  </si>
  <si>
    <t xml:space="preserve">ENTRADA LA COLMENA </t>
  </si>
  <si>
    <t>CARRETERA LA TRINIDAD</t>
  </si>
  <si>
    <t xml:space="preserve">ENTRADA A LOS JIMENEZ </t>
  </si>
  <si>
    <t xml:space="preserve">PASANDO EL TEMPLO ORET </t>
  </si>
  <si>
    <t>ENFRENTE DEL TEMPLO MONTE HOREL</t>
  </si>
  <si>
    <t>CALLE OCHOA MANZANA 2 LOTE 725</t>
  </si>
  <si>
    <t>CALLE VICENTE GUERRERO NUMERO 902 NEGOCIO DE CLIENTE</t>
  </si>
  <si>
    <t xml:space="preserve">CALLE VENUSTIANO CARRANZA </t>
  </si>
  <si>
    <t xml:space="preserve">CERRADA SANTO DOMINGO SIN NUMERO </t>
  </si>
  <si>
    <t xml:space="preserve">CALLE SIN NOMBRE Y SIN NUMERO </t>
  </si>
  <si>
    <t xml:space="preserve">CALLE HERMINIO ARIAS </t>
  </si>
  <si>
    <t xml:space="preserve">CALLE MIGUEL HIDALGO Y COSTILLA LOTE 24 </t>
  </si>
  <si>
    <t>CALLE 3 VICENTE GUERRERO NUMERO 29</t>
  </si>
  <si>
    <t xml:space="preserve">CALLE 5 </t>
  </si>
  <si>
    <t>CALLE ARABOA 2</t>
  </si>
  <si>
    <t xml:space="preserve">CARRETERA AL BELLOTE </t>
  </si>
  <si>
    <t>PROLONGACION IGNACIO GUTIERREZ NUMERO 204</t>
  </si>
  <si>
    <t>PROLONGACION GUADALUPE VICTORIA</t>
  </si>
  <si>
    <t>SECTOR BELLOTA</t>
  </si>
  <si>
    <t xml:space="preserve">CARRETERA A TULIPAN SIN NUMERO </t>
  </si>
  <si>
    <t xml:space="preserve">CARRETERA A MANTILLA </t>
  </si>
  <si>
    <t xml:space="preserve">70 METROS DE LA ENTRADA PRINCIPAL </t>
  </si>
  <si>
    <t>A 20 METROS DE LA ANTIGUA FERMENTADORA</t>
  </si>
  <si>
    <t>CALLE PRINCIPAL CARDENAS CUNDUACAN</t>
  </si>
  <si>
    <t>ENTRADA DE SAN SEVERO SIN NUMERO</t>
  </si>
  <si>
    <t>ANDADOR CANILLA MANZANA 8 LOTE 16</t>
  </si>
  <si>
    <t>AVENIDA CAÃ‘AVERALES MANZANA 5 LOTE 2</t>
  </si>
  <si>
    <t>CALLE ANAHUA MANZANA 35 LOTE 11</t>
  </si>
  <si>
    <t xml:space="preserve">CARRETERA CARDENAS VILLAHERMOSA </t>
  </si>
  <si>
    <t xml:space="preserve">CARRETERA CARDENAS COMALCALCO </t>
  </si>
  <si>
    <t xml:space="preserve">CALLE EMILIANO ZAPATA SIN NUMERO </t>
  </si>
  <si>
    <t>CALLE NUMERO 2 102</t>
  </si>
  <si>
    <t xml:space="preserve">CALLE 1 CASA NUMERO 344 </t>
  </si>
  <si>
    <t>CALLE 7 SIN NUMERO</t>
  </si>
  <si>
    <t>CALLE 6 CASA NUMERO 139</t>
  </si>
  <si>
    <t>CARRETERA W-61 SIN NUMERO</t>
  </si>
  <si>
    <t xml:space="preserve">CALLE NUMERO 7 </t>
  </si>
  <si>
    <t>CALLE 4 ZONA COMERCIAL SIN NUMERO</t>
  </si>
  <si>
    <t xml:space="preserve">CALLE 3 SIN NUMERO ATRÃS DE TELESECUNDARIA </t>
  </si>
  <si>
    <t>CARRETERA KILOMETRO 7SIN NUMERO</t>
  </si>
  <si>
    <t xml:space="preserve">CARRETERA KILOMETRO 79 </t>
  </si>
  <si>
    <t>CALLE 4 NUMERO 125</t>
  </si>
  <si>
    <t>CALLE 1 SIN NUMERO</t>
  </si>
  <si>
    <t>CALLE NUMERO 4</t>
  </si>
  <si>
    <t>ENTRE CALLE 6 Y 7 FRENTE A CAMPO</t>
  </si>
  <si>
    <t>CALLE 2 NUMERO 77 CASI ESQUINA A PRONLOGACION</t>
  </si>
  <si>
    <t>CALLE 9 NUMERO 189</t>
  </si>
  <si>
    <t>CARRETERA KILOMETRO 19 ALFREDO BONFIL SIN NUMERO</t>
  </si>
  <si>
    <t>CALLE DOS ZONA VERDE SIN NUMERO</t>
  </si>
  <si>
    <t xml:space="preserve">CALLE 2 PROLONGACION </t>
  </si>
  <si>
    <t xml:space="preserve">CALLE 9 CASA NUMERO 163 </t>
  </si>
  <si>
    <t xml:space="preserve">CARRETERA KILOMETRO 19   </t>
  </si>
  <si>
    <t>CALLE LAZARO CARDENAS MANZANA 2 LOTE 29</t>
  </si>
  <si>
    <t>CALLE 3 SIN NUMERO</t>
  </si>
  <si>
    <t>CALLE LAZARO CARDENAS DEL RIO SIN NUMERO</t>
  </si>
  <si>
    <t>CALLE PRINCIPAL MANZANA 17 LOTE 29</t>
  </si>
  <si>
    <t xml:space="preserve">CASA NUMERO 64 </t>
  </si>
  <si>
    <t>CALLEJON DEL CARMEN NUMERO 5</t>
  </si>
  <si>
    <t xml:space="preserve">CALLE 8 DE OCTUBRE </t>
  </si>
  <si>
    <t xml:space="preserve">CARRETERA A HUAPACAL PRIMERA SECCION </t>
  </si>
  <si>
    <t xml:space="preserve">CARRETERA A MIHUATLAN </t>
  </si>
  <si>
    <t>ANTES DEL RANCHO TARACENA</t>
  </si>
  <si>
    <t>COLONIA LOS HERNANDEZ SIN NUMERO</t>
  </si>
  <si>
    <t>PASANDO LA ENTRADA DE LA BELLOTA</t>
  </si>
  <si>
    <t>CARRETERA PRINCIPAL A CUNDUACAN</t>
  </si>
  <si>
    <t>CERRADA DE LA PEPSI</t>
  </si>
  <si>
    <t>CARRETERA A LA TRINIDAD SIN NUMERO LAS CRUCES</t>
  </si>
  <si>
    <t xml:space="preserve">ENTRADA EL YERSI NUMERO 58 </t>
  </si>
  <si>
    <t>CARRETERA A CALZADA</t>
  </si>
  <si>
    <t xml:space="preserve">CARRETERA A ZAPOTAL PRIMERA SECCION </t>
  </si>
  <si>
    <t xml:space="preserve">CALLE TOMAS GARRIDO CANABAL </t>
  </si>
  <si>
    <t>ESQUINA 8 DE OCTUBRE CALLE 1 DE MAYO</t>
  </si>
  <si>
    <t xml:space="preserve">CALLEJON EN LA DELEGACION </t>
  </si>
  <si>
    <t>2022-01-25</t>
  </si>
  <si>
    <t>2022-01-31</t>
  </si>
  <si>
    <t>2022-01-13</t>
  </si>
  <si>
    <t>2022-01-27</t>
  </si>
  <si>
    <t>2022-02-02</t>
  </si>
  <si>
    <t>2021-10-17</t>
  </si>
  <si>
    <t>2022-06-08</t>
  </si>
  <si>
    <t>2022-12-23</t>
  </si>
  <si>
    <t>2022-05-02</t>
  </si>
  <si>
    <t>2022-01-01</t>
  </si>
  <si>
    <t>2022-09-11</t>
  </si>
  <si>
    <t>2021-02-16</t>
  </si>
  <si>
    <t>2021-05-18</t>
  </si>
  <si>
    <t>2021-04-20</t>
  </si>
  <si>
    <t>2021-04-17</t>
  </si>
  <si>
    <t>2022-03-02</t>
  </si>
  <si>
    <t>2022-11-21</t>
  </si>
  <si>
    <t>2021-04-01</t>
  </si>
  <si>
    <t>2021-06-03</t>
  </si>
  <si>
    <t>2021-05-26</t>
  </si>
  <si>
    <t>2021-12-05</t>
  </si>
  <si>
    <t>2022-01-18</t>
  </si>
  <si>
    <t>2021-02-03</t>
  </si>
  <si>
    <t>2021-12-30</t>
  </si>
  <si>
    <t>2022-07-20</t>
  </si>
  <si>
    <t>2022-01-07</t>
  </si>
  <si>
    <t>2021-07-11</t>
  </si>
  <si>
    <t>2020-02-10</t>
  </si>
  <si>
    <t>2021-12-24</t>
  </si>
  <si>
    <t>2022-01-08</t>
  </si>
  <si>
    <t>2022-12-21</t>
  </si>
  <si>
    <t>2022-09-25</t>
  </si>
  <si>
    <t>2021-12-25</t>
  </si>
  <si>
    <t>2021-04-29</t>
  </si>
  <si>
    <t>2022-01-16</t>
  </si>
  <si>
    <t>2021-12-19</t>
  </si>
  <si>
    <t>2012-05-11</t>
  </si>
  <si>
    <t>2022-09-21</t>
  </si>
  <si>
    <t>2021-04-21</t>
  </si>
  <si>
    <t>2022-02-12</t>
  </si>
  <si>
    <t>2021-01-05</t>
  </si>
  <si>
    <t>2021-04-23</t>
  </si>
  <si>
    <t>2021-11-21</t>
  </si>
  <si>
    <t>2021-11-14</t>
  </si>
  <si>
    <t>2021-01-14</t>
  </si>
  <si>
    <t>2021-05-19</t>
  </si>
  <si>
    <t>2022-11-08</t>
  </si>
  <si>
    <t>2022-07-02</t>
  </si>
  <si>
    <t>2022-08-02</t>
  </si>
  <si>
    <t>2021-12-22</t>
  </si>
  <si>
    <t>2022-11-19</t>
  </si>
  <si>
    <t>2021-11-11</t>
  </si>
  <si>
    <t>2022-11-28</t>
  </si>
  <si>
    <t>2021-08-13</t>
  </si>
  <si>
    <t>2022-01-02</t>
  </si>
  <si>
    <t>2022-11-17</t>
  </si>
  <si>
    <t>2021-06-02</t>
  </si>
  <si>
    <t>2022-10-02</t>
  </si>
  <si>
    <t>2022-09-02</t>
  </si>
  <si>
    <t>2022-09-07</t>
  </si>
  <si>
    <t>2021-08-02</t>
  </si>
  <si>
    <t>2022-08-12</t>
  </si>
  <si>
    <t>2022-07-11</t>
  </si>
  <si>
    <t>2022-02-19</t>
  </si>
  <si>
    <t>2022-07-31</t>
  </si>
  <si>
    <t>2022-10-31</t>
  </si>
  <si>
    <t>2022-10-07</t>
  </si>
  <si>
    <t>2021-09-21</t>
  </si>
  <si>
    <t>2021-12-12</t>
  </si>
  <si>
    <t>2022-02-07</t>
  </si>
  <si>
    <t>2022-05-08</t>
  </si>
  <si>
    <t>2022-04-09</t>
  </si>
  <si>
    <t>2022-04-08</t>
  </si>
  <si>
    <t>2022-02-08</t>
  </si>
  <si>
    <t>2022-02-03</t>
  </si>
  <si>
    <t>2022-02-05</t>
  </si>
  <si>
    <t>2021-12-20</t>
  </si>
  <si>
    <t>2022-08-08</t>
  </si>
  <si>
    <t>2022-03-08</t>
  </si>
  <si>
    <t>2022-10-08</t>
  </si>
  <si>
    <t>2022-02-09</t>
  </si>
  <si>
    <t>2021-04-26</t>
  </si>
  <si>
    <t>2021-10-24</t>
  </si>
  <si>
    <t>2021-08-04</t>
  </si>
  <si>
    <t>2022-07-08</t>
  </si>
  <si>
    <t>2022-06-15</t>
  </si>
  <si>
    <t>2021-09-07</t>
  </si>
  <si>
    <t>2022-12-30</t>
  </si>
  <si>
    <t>2022-02-04</t>
  </si>
  <si>
    <t>2022-05-09</t>
  </si>
  <si>
    <t>2021-01-13</t>
  </si>
  <si>
    <t>2020-11-06</t>
  </si>
  <si>
    <t>2022-12-08</t>
  </si>
  <si>
    <t>2021-12-09</t>
  </si>
  <si>
    <t>2022-09-18</t>
  </si>
  <si>
    <t>2021-03-27</t>
  </si>
  <si>
    <t>2021-07-19</t>
  </si>
  <si>
    <t>2021-10-09</t>
  </si>
  <si>
    <t>2019-02-17</t>
  </si>
  <si>
    <t>2021-04-24</t>
  </si>
  <si>
    <t>2022-03-09</t>
  </si>
  <si>
    <t>2021-03-19</t>
  </si>
  <si>
    <t>2020-12-29</t>
  </si>
  <si>
    <t>2021-04-08</t>
  </si>
  <si>
    <t>2021-02-18</t>
  </si>
  <si>
    <t>2021-03-10</t>
  </si>
  <si>
    <t>2021-08-19</t>
  </si>
  <si>
    <t>2021-05-17</t>
  </si>
  <si>
    <t>2021-07-16</t>
  </si>
  <si>
    <t>2022-01-06</t>
  </si>
  <si>
    <t>2022-01-03</t>
  </si>
  <si>
    <t>2017-03-18</t>
  </si>
  <si>
    <t>2022-07-27</t>
  </si>
  <si>
    <t>2021-02-17</t>
  </si>
  <si>
    <t>2021-07-18</t>
  </si>
  <si>
    <t>2021-12-01</t>
  </si>
  <si>
    <t>2020-02-17</t>
  </si>
  <si>
    <t>2022-12-28</t>
  </si>
  <si>
    <t>2021-08-21</t>
  </si>
  <si>
    <t>2022-01-23</t>
  </si>
  <si>
    <t>2021-08-05</t>
  </si>
  <si>
    <t>2021-12-26</t>
  </si>
  <si>
    <t>2012-05-18</t>
  </si>
  <si>
    <t>2022-09-28</t>
  </si>
  <si>
    <t>2021-04-28</t>
  </si>
  <si>
    <t>2020-12-03</t>
  </si>
  <si>
    <t>2021-06-17</t>
  </si>
  <si>
    <t>2021-08-17</t>
  </si>
  <si>
    <t>2021-04-30</t>
  </si>
  <si>
    <t>2021-04-16</t>
  </si>
  <si>
    <t>2021-01-25</t>
  </si>
  <si>
    <t>2020-07-19</t>
  </si>
  <si>
    <t>2022-01-05</t>
  </si>
  <si>
    <t>2021-11-05</t>
  </si>
  <si>
    <t>2022-11-15</t>
  </si>
  <si>
    <t>2021-11-04</t>
  </si>
  <si>
    <t>2022-07-09</t>
  </si>
  <si>
    <t>2022-08-09</t>
  </si>
  <si>
    <t>2022-01-04</t>
  </si>
  <si>
    <t>2022-11-26</t>
  </si>
  <si>
    <t>2021-12-04</t>
  </si>
  <si>
    <t>2022-12-05</t>
  </si>
  <si>
    <t>2021-08-20</t>
  </si>
  <si>
    <t>2022-01-09</t>
  </si>
  <si>
    <t>2022-11-24</t>
  </si>
  <si>
    <t>2022-10-09</t>
  </si>
  <si>
    <t>2022-09-09</t>
  </si>
  <si>
    <t>2021-11-06</t>
  </si>
  <si>
    <t>2022-09-14</t>
  </si>
  <si>
    <t>2022-08-19</t>
  </si>
  <si>
    <t>2022-07-18</t>
  </si>
  <si>
    <t>2022-02-26</t>
  </si>
  <si>
    <t>2022-08-07</t>
  </si>
  <si>
    <t>2022-11-07</t>
  </si>
  <si>
    <t>2022-10-14</t>
  </si>
  <si>
    <t>2021-05-09</t>
  </si>
  <si>
    <t>VGPXMZBAHZ6IEPI</t>
  </si>
  <si>
    <t>QWZHGJ0U9KVTQO</t>
  </si>
  <si>
    <t>2DFOYRA5IQNIWWH</t>
  </si>
  <si>
    <t>QWZBUBTG9KVTQO</t>
  </si>
  <si>
    <t>2I10NYNXIAWALFA</t>
  </si>
  <si>
    <t>EJCRE545VMMBBOQ</t>
  </si>
  <si>
    <t>QX002LUS9KVTQO</t>
  </si>
  <si>
    <t>LM6I5BLUSKQS1VM</t>
  </si>
  <si>
    <t>QWZBUE029KVTQO</t>
  </si>
  <si>
    <t>DSYPMZPXEANHGLM</t>
  </si>
  <si>
    <t>YCRYFAU92K60AMA</t>
  </si>
  <si>
    <t>QWZGYSX69KVTQO</t>
  </si>
  <si>
    <t>MYEDVABVTAZ4TPF</t>
  </si>
  <si>
    <t>QWZBUES49KVTQO</t>
  </si>
  <si>
    <t>USLKFPYMMH7MCT1</t>
  </si>
  <si>
    <t>W5OV8PESRAEJZYS</t>
  </si>
  <si>
    <t>QWZGYT4O9KVTQO</t>
  </si>
  <si>
    <t>QWZGYVYW9KVTQO</t>
  </si>
  <si>
    <t>QWZGYZFM9KVTQO</t>
  </si>
  <si>
    <t>UOV7KOSR3LUDMNX</t>
  </si>
  <si>
    <t>QWZHGIJM9KVTQO</t>
  </si>
  <si>
    <t>QX002L4E9KVTQO</t>
  </si>
  <si>
    <t>INFHQSH0B2NMACS</t>
  </si>
  <si>
    <t>ETDFHETZQDZYCPE</t>
  </si>
  <si>
    <t>QX002MIY9KVTQO</t>
  </si>
  <si>
    <t>PIZ5DTWQQTZRNTG</t>
  </si>
  <si>
    <t>QWZGYS8Q9KVTQO</t>
  </si>
  <si>
    <t>AARMQKP7RFVCNAK</t>
  </si>
  <si>
    <t>3O8PTA2AZPGA3HB</t>
  </si>
  <si>
    <t>ZGSYJGLZUXA73WJ</t>
  </si>
  <si>
    <t>QXTXF5MC9KVTQO</t>
  </si>
  <si>
    <t>RJC990KJLQSW15E</t>
  </si>
  <si>
    <t>D7MKLZTCDQVFP55</t>
  </si>
  <si>
    <t>VJ75ZUQQ7PEINAS</t>
  </si>
  <si>
    <t>TQPNUNDB8OSMS5B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</si>
</sst>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theme="0" tint="-0.14999847407452621"/>
        <bgColor theme="0" tint="-0.14999847407452621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0" fillId="0" borderId="1" xfId="0" applyBorder="1" applyAlignment="1">
      <alignment horizontal="center" vertical="center"/>
    </xf>
    <xf numFmtId="0" fontId="0" fillId="4" borderId="2" xfId="0" applyFill="1" applyBorder="1"/>
    <xf numFmtId="0" fontId="0" fillId="5" borderId="2" xfId="0" applyFill="1" applyBorder="1"/>
    <xf numFmtId="0" fontId="0" fillId="0" borderId="0" xfId="0" applyNumberFormat="1"/>
    <xf numFmtId="0" fontId="0" fillId="3" borderId="0" xfId="0" applyNumberFormat="1" applyFill="1"/>
    <xf numFmtId="0" fontId="0" fillId="0" borderId="3" xfId="0" applyFont="1" applyBorder="1"/>
    <xf numFmtId="0" fontId="0" fillId="0" borderId="4" xfId="0" applyFont="1" applyBorder="1"/>
  </cellXfs>
  <cellStyles count="2">
    <cellStyle name="Moneda 2" xfId="1" xr:uid="{65286637-67D4-41F9-854F-EBC87CB06439}"/>
    <cellStyle name="Normal" xfId="0" builtinId="0"/>
  </cellStyles>
  <dxfs count="4">
    <dxf>
      <numFmt numFmtId="19" formatCode="dd/mm/yyyy"/>
    </dxf>
    <dxf>
      <numFmt numFmtId="19" formatCode="dd/mm/yyyy"/>
    </dxf>
    <dxf>
      <numFmt numFmtId="0" formatCode="General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A7A67-4D60-4300-AE16-AF4C5E2D204F}" name="Tabla1" displayName="Tabla1" ref="A1:CB1051" totalsRowShown="0">
  <autoFilter ref="A1:CB1051" xr:uid="{EB8A7A67-4D60-4300-AE16-AF4C5E2D204F}"/>
  <tableColumns count="80">
    <tableColumn id="1" xr3:uid="{6EE81817-A61A-403F-AAE3-A487DFCCEC28}" name="cadenaEs[ecial"/>
    <tableColumn id="2" xr3:uid="{42C2E691-B014-4583-8795-1A33EA59A4C7}" name="Folio del contrato"/>
    <tableColumn id="3" xr3:uid="{71575AC9-404E-4FE5-9655-6E205B699685}" name="Estatus"/>
    <tableColumn id="4" xr3:uid="{092EB295-61F0-4C61-BC9A-4956887BF0D4}" name="Paquete"/>
    <tableColumn id="5" xr3:uid="{73C601FB-9837-41A2-8E44-45956C457C7C}" name="Estado"/>
    <tableColumn id="6" xr3:uid="{30EF9166-54D9-4401-BF9E-F445FACDBC3F}" name="Municipio"/>
    <tableColumn id="7" xr3:uid="{E93B23F5-4B32-42F6-B548-533E3D561776}" name="Localidad"/>
    <tableColumn id="8" xr3:uid="{916F836D-694A-44ED-90F5-2D4C1DD9CE4F}" name="Fecha de inscripcion" dataDxfId="3"/>
    <tableColumn id="9" xr3:uid="{81C5E4DE-57F1-4BD3-A991-9999A97BEFC8}" name="precio del paquete"/>
    <tableColumn id="10" xr3:uid="{6575B13A-F5A9-4741-83D0-F6F8F417BA29}" name="promocion"/>
    <tableColumn id="11" xr3:uid="{80E65003-D644-47BA-97C6-D0A8B2470176}" name="pago_inicial"/>
    <tableColumn id="12" xr3:uid="{E4D8B8D0-E52A-46F9-A3F7-F9AFF26AC815}" name="Abonos_de"/>
    <tableColumn id="13" xr3:uid="{706EECC0-BD0E-47BC-BFD2-2999BD1BB823}" name="Plan_de_Pago"/>
    <tableColumn id="14" xr3:uid="{D4A50245-FA7A-46A7-90FF-729C877644CB}" name="limite_asignado"/>
    <tableColumn id="15" xr3:uid="{6225B735-3D04-449A-BABF-A5BB13DC9E22}" name="Funeraria_Procedencia"/>
    <tableColumn id="16" xr3:uid="{E25C1ED6-0BCE-46C1-88E4-1C2989F0C7C4}" name="archivo_adjunto"/>
    <tableColumn id="17" xr3:uid="{E513EFE9-426A-450E-975E-5FB5C29257B8}" name="Nombre del Vendedor"/>
    <tableColumn id="18" xr3:uid="{245236BA-25F6-42DF-B763-9F4AB93F4F63}" name="Comision_Vendedor"/>
    <tableColumn id="19" xr3:uid="{4693254F-FC9C-4B2B-818D-82235FCDACF2}" name="comision de vendedor pagada"/>
    <tableColumn id="20" xr3:uid="{AF9FA43A-F4D8-4E74-AE4B-E046EFBE21AC}" name="Comision_Lider"/>
    <tableColumn id="21" xr3:uid="{3D21CCEB-C1A4-4F38-8D2D-1987F081D5DA}" name="comision de lider  pagada"/>
    <tableColumn id="22" xr3:uid="{964F0C02-184A-4B24-96AB-83665349A0D3}" name="Comision_Gerente"/>
    <tableColumn id="23" xr3:uid="{48BBDC26-2F37-46E1-9976-63F1D98844C6}" name="comision de gerente pagada"/>
    <tableColumn id="24" xr3:uid="{6165E166-D577-47B2-86C2-381BED6E7837}" name="Bono"/>
    <tableColumn id="25" xr3:uid="{BE85C255-6D33-455A-90FE-97F0C9FC8EBF}" name="Bono_Asignado"/>
    <tableColumn id="26" xr3:uid="{20EBA629-4AE1-45AE-90B7-A9F0077E4C95}" name="Inscripcion"/>
    <tableColumn id="27" xr3:uid="{6F1EA1DD-843E-47E2-A0B3-C3D0CF98E235}" name="Inscripcion_Asignado"/>
    <tableColumn id="28" xr3:uid="{0B837D0E-7859-470A-99A3-2F4E11E2CD8F}" name="Apellido_Paterno"/>
    <tableColumn id="29" xr3:uid="{DB7335C3-0B2B-4561-8ABC-A7F39C974C09}" name="Apellido_Materno"/>
    <tableColumn id="30" xr3:uid="{B45A1019-564D-4495-A048-80C5F7BE85E5}" name="Nombre"/>
    <tableColumn id="31" xr3:uid="{4B038F1B-1E9E-4653-88DE-79887CE2F9F3}" name="Estado_Civil"/>
    <tableColumn id="32" xr3:uid="{D47D5AB7-05AF-4E41-A063-EA309D5FF18E}" name="Nacimiento del cliente"/>
    <tableColumn id="33" xr3:uid="{2295DEDA-ADCF-420B-924C-E00D36191D76}" name="IFE"/>
    <tableColumn id="34" xr3:uid="{CA5356FA-2864-4EB7-9E79-4E57F54F9F38}" name="Domicilio"/>
    <tableColumn id="35" xr3:uid="{9785B3DB-5F4D-4337-AFD8-67942F24C9DB}" name="Colonia"/>
    <tableColumn id="36" xr3:uid="{E8651F6D-2BF0-417D-A091-0A9E0226926F}" name="Entre_Calles"/>
    <tableColumn id="37" xr3:uid="{D88E29A1-901C-4457-B3CB-CB3A21ECCE95}" name="Telefono"/>
    <tableColumn id="38" xr3:uid="{081E94E4-A487-439D-9924-C2FF97F8A240}" name="Beneficiario"/>
    <tableColumn id="39" xr3:uid="{D2F0460C-CC41-4E57-813C-D2DCC934CB2E}" name="Observaciones"/>
    <tableColumn id="40" xr3:uid="{F6AA92C0-9338-491B-9236-56DD54E3D660}" name="archivo_contrato"/>
    <tableColumn id="41" xr3:uid="{2F815C2C-3B6E-4802-9CE6-26C9BDA2CF0E}" name="Domicilio2"/>
    <tableColumn id="42" xr3:uid="{C6997930-4E69-462B-A41D-8378D88EBDAC}" name="Correo"/>
    <tableColumn id="43" xr3:uid="{A1B3E9DD-AA9F-41CD-BB5C-DBCC23475F29}" name="dia_cobro"/>
    <tableColumn id="44" xr3:uid="{4B89E7AB-36AE-4352-B9EF-3BB4E0194786}" name="firma1"/>
    <tableColumn id="45" xr3:uid="{DE8BD210-3ACA-4506-BE9E-1522246490EF}" name="firma2"/>
    <tableColumn id="46" xr3:uid="{51FD87F5-E9DD-4487-B4A8-DA4FA12EA401}" name="plazo_entrega"/>
    <tableColumn id="47" xr3:uid="{9268935F-B07B-46C3-8E45-DE58C527E713}" name="latitud"/>
    <tableColumn id="48" xr3:uid="{CD0A5782-7449-4248-AF59-0C9E617617C0}" name="longitud"/>
    <tableColumn id="49" xr3:uid="{93178ECF-BACF-41AA-A62B-FFEC34B400A1}" name="Tipo_Cobranza"/>
    <tableColumn id="50" xr3:uid="{B52D0D53-0D87-4320-9E10-45CA1F720C08}" name="Monto_Liquidado a la fecha"/>
    <tableColumn id="51" xr3:uid="{9CA59E71-EF13-49E4-99BF-19D7DCD7C7D1}" name="Saldo_Deudor"/>
    <tableColumn id="52" xr3:uid="{A3DD1391-949C-4A51-AA9D-2B1989EBAA9E}" name="horario_cobro"/>
    <tableColumn id="53" xr3:uid="{CFACBDD6-A01C-49D3-8001-F806DB68553A}" name="Estado_Cobro"/>
    <tableColumn id="54" xr3:uid="{7ED8E854-5A18-48C0-912A-0082B578060A}" name="Retrasos dias retrasados" dataDxfId="2"/>
    <tableColumn id="55" xr3:uid="{61A3AEC9-0FAC-4AC3-B5E1-27B9F8ADC8A6}" name="ultimo_pago" dataDxfId="1"/>
    <tableColumn id="56" xr3:uid="{7D644F3F-0303-4573-97DD-1DA9F4FDD082}" name="pago_programado" dataDxfId="0"/>
    <tableColumn id="57" xr3:uid="{C51F63DB-CFF7-47FF-A919-67C30A7F68F1}" name="fecha_entrega"/>
    <tableColumn id="58" xr3:uid="{8B7D5031-E59B-4832-8D7B-F454F3A2E872}" name="idgrupo"/>
    <tableColumn id="59" xr3:uid="{EA86780A-F672-4942-9206-D39242EF37DA}" name="idvendedor"/>
    <tableColumn id="60" xr3:uid="{C1008E4E-8F1A-4FE9-AE20-E0E8D9118727}" name="idlider"/>
    <tableColumn id="61" xr3:uid="{4EC4357A-2615-481B-A8E8-20317BD5A8EC}" name="idgerente"/>
    <tableColumn id="62" xr3:uid="{C4B90D6F-CFCC-44F7-8D1A-95A49041AE48}" name="Colonia de cobranza"/>
    <tableColumn id="63" xr3:uid="{743AFF1A-9278-4C53-93D7-2F33EFD4FA4A}" name="edad"/>
    <tableColumn id="64" xr3:uid="{8BB2C0A1-4DE7-4ADB-A3FD-1EC4C6D6B107}" name="genero"/>
    <tableColumn id="65" xr3:uid="{73E34992-FDC6-4371-9D6F-BDC83CB2A34E}" name="hora_calle"/>
    <tableColumn id="66" xr3:uid="{1CDF2A3B-7B10-4AF4-9CE8-C92F6D623A79}" name="precio_paquete"/>
    <tableColumn id="67" xr3:uid="{D3FDDDB2-CA57-4BB2-9829-0A9D2D02F040}" name="NumeroServicio"/>
    <tableColumn id="68" xr3:uid="{FBEE1470-37E9-41CC-8737-247C25992B6C}" name="NumeroFactura"/>
    <tableColumn id="69" xr3:uid="{ABDD0D10-5120-4A77-BF0E-84551667F62F}" name="NumeroTitulo"/>
    <tableColumn id="70" xr3:uid="{DB13B7C9-74DA-4565-BE48-DA926F5B619E}" name="Fecha_Cancelacion"/>
    <tableColumn id="71" xr3:uid="{8259198A-E33C-409A-A46E-F3B29CC22E29}" name="Fecha_Pagado"/>
    <tableColumn id="72" xr3:uid="{D0600241-E1D4-4878-B350-50C0496815AE}" name="Fecha_Utilizado"/>
    <tableColumn id="73" xr3:uid="{66C41323-8C88-41B8-9F0F-4CAFACCB3FFE}" name="idpaquete_kit"/>
    <tableColumn id="74" xr3:uid="{EC535FC8-9DB1-41B9-A6C7-B2E7C5309B31}" name="deleted"/>
    <tableColumn id="75" xr3:uid="{AF182406-D79D-4725-ADCD-9B3174A04D31}" name="idsucursal"/>
    <tableColumn id="76" xr3:uid="{C956D5D4-4B9C-4F19-AFBA-CE85A49E51AC}" name="pagos"/>
    <tableColumn id="77" xr3:uid="{DFA2064B-1CAC-4906-8A06-66466ADA4F25}" name="tipo_comision_vendedor"/>
    <tableColumn id="78" xr3:uid="{320F5F5D-4CBF-412F-A9B4-B380CF4FE8FE}" name="tipo_comision_lider"/>
    <tableColumn id="79" xr3:uid="{412A5A90-71D8-4663-847C-15E8B4854718}" name="tipo_comision_gerente"/>
    <tableColumn id="80" xr3:uid="{75ECC750-BAD5-4E3C-B506-1BD3DEA412C7}" name="final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96FF-F4EE-488F-8C8A-E9E0B0499D75}">
  <sheetPr codeName="Hoja1"/>
  <dimension ref="A1:CD1067"/>
  <sheetViews>
    <sheetView tabSelected="1" topLeftCell="AP1" zoomScaleNormal="100" workbookViewId="0">
      <pane ySplit="1" topLeftCell="A976" activePane="bottomLeft" state="frozen"/>
      <selection activeCell="BP1" sqref="BP1"/>
      <selection pane="bottomLeft" activeCell="AX3" sqref="AX3:AX1009"/>
    </sheetView>
  </sheetViews>
  <sheetFormatPr baseColWidth="10" defaultRowHeight="15" x14ac:dyDescent="0.25"/>
  <cols>
    <col min="1" max="1" width="22.140625" bestFit="1" customWidth="1"/>
    <col min="2" max="2" width="19" bestFit="1" customWidth="1"/>
    <col min="6" max="6" width="12" customWidth="1"/>
    <col min="8" max="8" width="21" customWidth="1"/>
    <col min="9" max="9" width="19.85546875" customWidth="1"/>
    <col min="10" max="10" width="12.7109375" customWidth="1"/>
    <col min="11" max="11" width="13.7109375" customWidth="1"/>
    <col min="12" max="12" width="13.140625" customWidth="1"/>
    <col min="13" max="13" width="15.5703125" customWidth="1"/>
    <col min="14" max="14" width="17.28515625" customWidth="1"/>
    <col min="15" max="15" width="23.42578125" customWidth="1"/>
    <col min="16" max="16" width="17.42578125" customWidth="1"/>
    <col min="17" max="17" width="23" customWidth="1"/>
    <col min="18" max="18" width="21.28515625" customWidth="1"/>
    <col min="19" max="19" width="29.5703125" customWidth="1"/>
    <col min="20" max="20" width="16.85546875" customWidth="1"/>
    <col min="21" max="21" width="25.5703125" customWidth="1"/>
    <col min="22" max="22" width="19.7109375" customWidth="1"/>
    <col min="23" max="23" width="28" customWidth="1"/>
    <col min="25" max="25" width="16.85546875" customWidth="1"/>
    <col min="26" max="26" width="12.7109375" customWidth="1"/>
    <col min="27" max="27" width="21.85546875" customWidth="1"/>
    <col min="28" max="28" width="18.7109375" customWidth="1"/>
    <col min="29" max="29" width="19.28515625" customWidth="1"/>
    <col min="31" max="31" width="13.85546875" customWidth="1"/>
    <col min="32" max="32" width="23.28515625" customWidth="1"/>
    <col min="34" max="34" width="78.7109375" bestFit="1" customWidth="1"/>
    <col min="35" max="35" width="53.140625" bestFit="1" customWidth="1"/>
    <col min="36" max="36" width="14.140625" customWidth="1"/>
    <col min="38" max="38" width="13.85546875" customWidth="1"/>
    <col min="39" max="39" width="56.28515625" bestFit="1" customWidth="1"/>
    <col min="40" max="40" width="43.140625" bestFit="1" customWidth="1"/>
    <col min="41" max="41" width="74.7109375" bestFit="1" customWidth="1"/>
    <col min="43" max="43" width="11.85546875" customWidth="1"/>
    <col min="46" max="46" width="15.7109375" customWidth="1"/>
    <col min="49" max="49" width="16.140625" customWidth="1"/>
    <col min="50" max="50" width="27.42578125" customWidth="1"/>
    <col min="51" max="52" width="15.5703125" customWidth="1"/>
    <col min="53" max="53" width="15.28515625" customWidth="1"/>
    <col min="54" max="54" width="24.42578125" customWidth="1"/>
    <col min="55" max="55" width="14.28515625" customWidth="1"/>
    <col min="56" max="56" width="19.140625" customWidth="1"/>
    <col min="57" max="57" width="15.85546875" customWidth="1"/>
    <col min="59" max="59" width="13.42578125" customWidth="1"/>
    <col min="61" max="61" width="11.85546875" customWidth="1"/>
    <col min="62" max="62" width="20.85546875" customWidth="1"/>
    <col min="65" max="65" width="12.28515625" customWidth="1"/>
    <col min="66" max="66" width="17.140625" customWidth="1"/>
    <col min="67" max="67" width="17.42578125" customWidth="1"/>
    <col min="68" max="68" width="16.85546875" customWidth="1"/>
    <col min="69" max="69" width="15.5703125" customWidth="1"/>
    <col min="70" max="70" width="19.85546875" customWidth="1"/>
    <col min="71" max="71" width="15.7109375" customWidth="1"/>
    <col min="72" max="72" width="17.140625" customWidth="1"/>
    <col min="73" max="73" width="15.5703125" customWidth="1"/>
    <col min="75" max="75" width="12" customWidth="1"/>
    <col min="77" max="77" width="25.28515625" customWidth="1"/>
    <col min="78" max="78" width="20.85546875" customWidth="1"/>
    <col min="79" max="79" width="23.7109375" customWidth="1"/>
    <col min="82" max="82" width="255.7109375" bestFit="1" customWidth="1"/>
  </cols>
  <sheetData>
    <row r="1" spans="1:82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t="s">
        <v>27</v>
      </c>
      <c r="P1" t="s">
        <v>28</v>
      </c>
      <c r="Q1" t="s">
        <v>29</v>
      </c>
      <c r="R1" t="s">
        <v>30</v>
      </c>
      <c r="S1" t="s">
        <v>31</v>
      </c>
      <c r="T1" t="s">
        <v>32</v>
      </c>
      <c r="U1" t="s">
        <v>33</v>
      </c>
      <c r="V1" t="s">
        <v>34</v>
      </c>
      <c r="W1" t="s">
        <v>35</v>
      </c>
      <c r="X1" t="s">
        <v>36</v>
      </c>
      <c r="Y1" t="s">
        <v>37</v>
      </c>
      <c r="Z1" t="s">
        <v>38</v>
      </c>
      <c r="AA1" t="s">
        <v>39</v>
      </c>
      <c r="AB1" t="s">
        <v>40</v>
      </c>
      <c r="AC1" t="s">
        <v>41</v>
      </c>
      <c r="AD1" t="s">
        <v>42</v>
      </c>
      <c r="AE1" t="s">
        <v>43</v>
      </c>
      <c r="AF1" t="s">
        <v>44</v>
      </c>
      <c r="AG1" t="s">
        <v>45</v>
      </c>
      <c r="AH1" t="s">
        <v>46</v>
      </c>
      <c r="AI1" t="s">
        <v>47</v>
      </c>
      <c r="AJ1" t="s">
        <v>48</v>
      </c>
      <c r="AK1" t="s">
        <v>49</v>
      </c>
      <c r="AL1" t="s">
        <v>50</v>
      </c>
      <c r="AM1" t="s">
        <v>51</v>
      </c>
      <c r="AN1" t="s">
        <v>52</v>
      </c>
      <c r="AO1" t="s">
        <v>53</v>
      </c>
      <c r="AP1" t="s">
        <v>54</v>
      </c>
      <c r="AQ1" t="s">
        <v>55</v>
      </c>
      <c r="AR1" t="s">
        <v>56</v>
      </c>
      <c r="AS1" t="s">
        <v>57</v>
      </c>
      <c r="AT1" t="s">
        <v>58</v>
      </c>
      <c r="AU1" t="s">
        <v>59</v>
      </c>
      <c r="AV1" t="s">
        <v>60</v>
      </c>
      <c r="AW1" t="s">
        <v>61</v>
      </c>
      <c r="AX1" t="s">
        <v>62</v>
      </c>
      <c r="AY1" t="s">
        <v>63</v>
      </c>
      <c r="AZ1" t="s">
        <v>64</v>
      </c>
      <c r="BA1" t="s">
        <v>65</v>
      </c>
      <c r="BB1" t="s">
        <v>66</v>
      </c>
      <c r="BC1" t="s">
        <v>67</v>
      </c>
      <c r="BD1" t="s">
        <v>68</v>
      </c>
      <c r="BE1" t="s">
        <v>69</v>
      </c>
      <c r="BF1" t="s">
        <v>70</v>
      </c>
      <c r="BG1" t="s">
        <v>71</v>
      </c>
      <c r="BH1" t="s">
        <v>72</v>
      </c>
      <c r="BI1" t="s">
        <v>73</v>
      </c>
      <c r="BJ1" t="s">
        <v>74</v>
      </c>
      <c r="BK1" t="s">
        <v>75</v>
      </c>
      <c r="BL1" t="s">
        <v>76</v>
      </c>
      <c r="BM1" t="s">
        <v>77</v>
      </c>
      <c r="BN1" t="s">
        <v>78</v>
      </c>
      <c r="BO1" t="s">
        <v>79</v>
      </c>
      <c r="BP1" t="s">
        <v>80</v>
      </c>
      <c r="BQ1" t="s">
        <v>81</v>
      </c>
      <c r="BR1" t="s">
        <v>82</v>
      </c>
      <c r="BS1" t="s">
        <v>83</v>
      </c>
      <c r="BT1" t="s">
        <v>84</v>
      </c>
      <c r="BU1" t="s">
        <v>85</v>
      </c>
      <c r="BV1" t="s">
        <v>86</v>
      </c>
      <c r="BW1" t="s">
        <v>87</v>
      </c>
      <c r="BX1" t="s">
        <v>88</v>
      </c>
      <c r="BY1" t="s">
        <v>89</v>
      </c>
      <c r="BZ1" t="s">
        <v>90</v>
      </c>
      <c r="CA1" t="s">
        <v>91</v>
      </c>
      <c r="CB1" t="s">
        <v>92</v>
      </c>
      <c r="CC1" t="s">
        <v>1</v>
      </c>
      <c r="CD1" t="e" cm="1">
        <f t="array" aca="1" ref="CD1" ca="1">eConcatenar(A1:CB1,"|")</f>
        <v>#NAME?</v>
      </c>
    </row>
    <row r="2" spans="1:82" x14ac:dyDescent="0.25">
      <c r="A2">
        <v>0</v>
      </c>
      <c r="B2">
        <v>1</v>
      </c>
      <c r="C2">
        <f>Tabla1[[#This Row],[Folio del contrato]]+1</f>
        <v>2</v>
      </c>
      <c r="D2">
        <f>Tabla1[[#This Row],[Estatus]]+1</f>
        <v>3</v>
      </c>
      <c r="E2">
        <f>Tabla1[[#This Row],[Paquete]]+1</f>
        <v>4</v>
      </c>
      <c r="F2">
        <f>Tabla1[[#This Row],[Estado]]+1</f>
        <v>5</v>
      </c>
      <c r="G2">
        <f>Tabla1[[#This Row],[Municipio]]+1</f>
        <v>6</v>
      </c>
      <c r="H2">
        <f>Tabla1[[#This Row],[Localidad]]+1</f>
        <v>7</v>
      </c>
      <c r="I2">
        <f>Tabla1[[#This Row],[Fecha de inscripcion]]+1</f>
        <v>8</v>
      </c>
      <c r="J2">
        <f>Tabla1[[#This Row],[precio del paquete]]+1</f>
        <v>9</v>
      </c>
      <c r="K2">
        <f>Tabla1[[#This Row],[promocion]]+1</f>
        <v>10</v>
      </c>
      <c r="L2">
        <f>Tabla1[[#This Row],[pago_inicial]]+1</f>
        <v>11</v>
      </c>
      <c r="M2">
        <f>Tabla1[[#This Row],[Abonos_de]]+1</f>
        <v>12</v>
      </c>
      <c r="N2">
        <f>Tabla1[[#This Row],[Plan_de_Pago]]+1</f>
        <v>13</v>
      </c>
      <c r="O2">
        <f>Tabla1[[#This Row],[limite_asignado]]+1</f>
        <v>14</v>
      </c>
      <c r="P2">
        <f>Tabla1[[#This Row],[Funeraria_Procedencia]]+1</f>
        <v>15</v>
      </c>
      <c r="Q2">
        <f>Tabla1[[#This Row],[archivo_adjunto]]+1</f>
        <v>16</v>
      </c>
      <c r="R2">
        <f>Tabla1[[#This Row],[Nombre del Vendedor]]+1</f>
        <v>17</v>
      </c>
      <c r="S2">
        <f>Tabla1[[#This Row],[Comision_Vendedor]]+1</f>
        <v>18</v>
      </c>
      <c r="T2">
        <f>Tabla1[[#This Row],[comision de vendedor pagada]]+1</f>
        <v>19</v>
      </c>
      <c r="U2">
        <f>Tabla1[[#This Row],[Comision_Lider]]+1</f>
        <v>20</v>
      </c>
      <c r="V2">
        <f>Tabla1[[#This Row],[comision de lider  pagada]]+1</f>
        <v>21</v>
      </c>
      <c r="W2">
        <f>Tabla1[[#This Row],[Comision_Gerente]]+1</f>
        <v>22</v>
      </c>
      <c r="X2">
        <f>Tabla1[[#This Row],[comision de gerente pagada]]+1</f>
        <v>23</v>
      </c>
      <c r="Y2">
        <f>Tabla1[[#This Row],[Bono]]+1</f>
        <v>24</v>
      </c>
      <c r="Z2">
        <f>Tabla1[[#This Row],[Bono_Asignado]]+1</f>
        <v>25</v>
      </c>
      <c r="AA2">
        <f>Tabla1[[#This Row],[Inscripcion]]+1</f>
        <v>26</v>
      </c>
      <c r="AB2">
        <f>Tabla1[[#This Row],[Inscripcion_Asignado]]+1</f>
        <v>27</v>
      </c>
      <c r="AC2">
        <f>Tabla1[[#This Row],[Apellido_Paterno]]+1</f>
        <v>28</v>
      </c>
      <c r="AD2">
        <f>Tabla1[[#This Row],[Apellido_Materno]]+1</f>
        <v>29</v>
      </c>
      <c r="AE2">
        <f>Tabla1[[#This Row],[Nombre]]+1</f>
        <v>30</v>
      </c>
      <c r="AF2">
        <f>Tabla1[[#This Row],[Estado_Civil]]+1</f>
        <v>31</v>
      </c>
      <c r="AG2">
        <f>Tabla1[[#This Row],[Nacimiento del cliente]]+1</f>
        <v>32</v>
      </c>
      <c r="AH2">
        <f>Tabla1[[#This Row],[IFE]]+1</f>
        <v>33</v>
      </c>
      <c r="AI2">
        <f>Tabla1[[#This Row],[Domicilio]]+1</f>
        <v>34</v>
      </c>
      <c r="AJ2">
        <f>Tabla1[[#This Row],[Colonia]]+1</f>
        <v>35</v>
      </c>
      <c r="AK2">
        <f>Tabla1[[#This Row],[Entre_Calles]]+1</f>
        <v>36</v>
      </c>
      <c r="AL2">
        <f>Tabla1[[#This Row],[Telefono]]+1</f>
        <v>37</v>
      </c>
      <c r="AM2">
        <f>Tabla1[[#This Row],[Beneficiario]]+1</f>
        <v>38</v>
      </c>
      <c r="AN2">
        <f>Tabla1[[#This Row],[Observaciones]]+1</f>
        <v>39</v>
      </c>
      <c r="AO2">
        <f>Tabla1[[#This Row],[archivo_contrato]]+1</f>
        <v>40</v>
      </c>
      <c r="AP2">
        <f>Tabla1[[#This Row],[Domicilio2]]+1</f>
        <v>41</v>
      </c>
      <c r="AQ2">
        <f>Tabla1[[#This Row],[Correo]]+1</f>
        <v>42</v>
      </c>
      <c r="AR2">
        <f>Tabla1[[#This Row],[dia_cobro]]+1</f>
        <v>43</v>
      </c>
      <c r="AS2">
        <f>Tabla1[[#This Row],[firma1]]+1</f>
        <v>44</v>
      </c>
      <c r="AT2">
        <f>Tabla1[[#This Row],[firma2]]+1</f>
        <v>45</v>
      </c>
      <c r="AU2">
        <f>Tabla1[[#This Row],[plazo_entrega]]+1</f>
        <v>46</v>
      </c>
      <c r="AV2">
        <f>Tabla1[[#This Row],[latitud]]+1</f>
        <v>47</v>
      </c>
      <c r="AW2">
        <f>Tabla1[[#This Row],[longitud]]+1</f>
        <v>48</v>
      </c>
      <c r="AX2">
        <f>Tabla1[[#This Row],[Tipo_Cobranza]]+1</f>
        <v>49</v>
      </c>
      <c r="AY2">
        <f>Tabla1[[#This Row],[Monto_Liquidado a la fecha]]+1</f>
        <v>50</v>
      </c>
      <c r="AZ2">
        <f>Tabla1[[#This Row],[Saldo_Deudor]]+1</f>
        <v>51</v>
      </c>
      <c r="BA2">
        <f>Tabla1[[#This Row],[horario_cobro]]+1</f>
        <v>52</v>
      </c>
      <c r="BB2" s="7">
        <f>Tabla1[[#This Row],[Estado_Cobro]]+1</f>
        <v>53</v>
      </c>
      <c r="BC2">
        <f>Tabla1[[#This Row],[Retrasos dias retrasados]]+1</f>
        <v>54</v>
      </c>
      <c r="BD2">
        <f>Tabla1[[#This Row],[ultimo_pago]]+1</f>
        <v>55</v>
      </c>
      <c r="BE2">
        <f>Tabla1[[#This Row],[pago_programado]]+1</f>
        <v>56</v>
      </c>
      <c r="BF2">
        <f>Tabla1[[#This Row],[fecha_entrega]]+1</f>
        <v>57</v>
      </c>
      <c r="BG2">
        <f>Tabla1[[#This Row],[idgrupo]]+1</f>
        <v>58</v>
      </c>
      <c r="BH2">
        <f>Tabla1[[#This Row],[idvendedor]]+1</f>
        <v>59</v>
      </c>
      <c r="BI2">
        <f>Tabla1[[#This Row],[idlider]]+1</f>
        <v>60</v>
      </c>
      <c r="BJ2">
        <f>Tabla1[[#This Row],[idgerente]]+1</f>
        <v>61</v>
      </c>
      <c r="BK2">
        <f>Tabla1[[#This Row],[Colonia de cobranza]]+1</f>
        <v>62</v>
      </c>
      <c r="BL2">
        <f>Tabla1[[#This Row],[edad]]+1</f>
        <v>63</v>
      </c>
      <c r="BM2">
        <f>Tabla1[[#This Row],[genero]]+1</f>
        <v>64</v>
      </c>
      <c r="BN2">
        <f>Tabla1[[#This Row],[hora_calle]]+1</f>
        <v>65</v>
      </c>
      <c r="BO2">
        <f>Tabla1[[#This Row],[precio_paquete]]+1</f>
        <v>66</v>
      </c>
      <c r="BP2">
        <f>Tabla1[[#This Row],[NumeroServicio]]+1</f>
        <v>67</v>
      </c>
      <c r="BQ2">
        <f>Tabla1[[#This Row],[NumeroFactura]]+1</f>
        <v>68</v>
      </c>
      <c r="BR2">
        <f>Tabla1[[#This Row],[NumeroTitulo]]+1</f>
        <v>69</v>
      </c>
      <c r="BS2">
        <f>Tabla1[[#This Row],[Fecha_Cancelacion]]+1</f>
        <v>70</v>
      </c>
      <c r="BT2">
        <f>Tabla1[[#This Row],[Fecha_Pagado]]+1</f>
        <v>71</v>
      </c>
      <c r="BU2">
        <f>Tabla1[[#This Row],[Fecha_Utilizado]]+1</f>
        <v>72</v>
      </c>
      <c r="BV2">
        <f>Tabla1[[#This Row],[idpaquete_kit]]+1</f>
        <v>73</v>
      </c>
      <c r="BW2">
        <f>Tabla1[[#This Row],[deleted]]+1</f>
        <v>74</v>
      </c>
      <c r="BX2">
        <f>Tabla1[[#This Row],[idsucursal]]+1</f>
        <v>75</v>
      </c>
      <c r="BY2">
        <f>Tabla1[[#This Row],[pagos]]+1</f>
        <v>76</v>
      </c>
      <c r="BZ2">
        <f>Tabla1[[#This Row],[tipo_comision_vendedor]]+1</f>
        <v>77</v>
      </c>
      <c r="CA2">
        <f>Tabla1[[#This Row],[tipo_comision_lider]]+1</f>
        <v>78</v>
      </c>
      <c r="CB2" t="s">
        <v>92</v>
      </c>
      <c r="CC2" t="s">
        <v>1</v>
      </c>
      <c r="CD2" t="e" cm="1">
        <f t="array" aca="1" ref="CD2" ca="1">eConcatenar(A2:CB2,"|")</f>
        <v>#NAME?</v>
      </c>
    </row>
    <row r="3" spans="1:82" x14ac:dyDescent="0.25">
      <c r="A3" t="s">
        <v>98</v>
      </c>
      <c r="B3" t="s">
        <v>1105</v>
      </c>
      <c r="C3">
        <v>3</v>
      </c>
      <c r="D3" t="s">
        <v>2153</v>
      </c>
      <c r="E3" t="s">
        <v>2158</v>
      </c>
      <c r="F3" t="s">
        <v>0</v>
      </c>
      <c r="G3" t="s">
        <v>2166</v>
      </c>
      <c r="H3" t="s">
        <v>2696</v>
      </c>
      <c r="I3">
        <v>14800</v>
      </c>
      <c r="J3">
        <v>0</v>
      </c>
      <c r="K3">
        <v>200</v>
      </c>
      <c r="L3">
        <v>50</v>
      </c>
      <c r="M3">
        <v>1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 t="s">
        <v>3114</v>
      </c>
      <c r="AC3" t="s">
        <v>3115</v>
      </c>
      <c r="AD3" t="s">
        <v>3116</v>
      </c>
      <c r="AE3" t="s">
        <v>4</v>
      </c>
      <c r="AF3" t="s">
        <v>1</v>
      </c>
      <c r="AG3" t="s">
        <v>1</v>
      </c>
      <c r="AH3" t="s">
        <v>2167</v>
      </c>
      <c r="AI3" t="s">
        <v>2166</v>
      </c>
      <c r="AJ3" t="s">
        <v>1</v>
      </c>
      <c r="AK3">
        <v>9141249814</v>
      </c>
      <c r="AL3" t="s">
        <v>1</v>
      </c>
      <c r="AM3" t="s">
        <v>1</v>
      </c>
      <c r="AN3" t="s">
        <v>1</v>
      </c>
      <c r="AO3" t="s">
        <v>2167</v>
      </c>
      <c r="AP3" t="s">
        <v>1</v>
      </c>
      <c r="AQ3" t="s">
        <v>2</v>
      </c>
      <c r="AR3" t="s">
        <v>1</v>
      </c>
      <c r="AS3" t="s">
        <v>1</v>
      </c>
      <c r="AT3" t="s">
        <v>1</v>
      </c>
      <c r="AU3" t="s">
        <v>1</v>
      </c>
      <c r="AV3" t="s">
        <v>1</v>
      </c>
      <c r="AW3" t="s">
        <v>9</v>
      </c>
      <c r="AX3">
        <f>Tabla1[[#This Row],[precio del paquete]]-Tabla1[[#This Row],[Saldo_Deudor]]</f>
        <v>9850</v>
      </c>
      <c r="AY3">
        <v>4950</v>
      </c>
      <c r="AZ3">
        <v>0</v>
      </c>
      <c r="BA3">
        <v>0</v>
      </c>
      <c r="BB3">
        <v>0</v>
      </c>
      <c r="BC3" t="s">
        <v>4826</v>
      </c>
      <c r="BD3" t="s">
        <v>2706</v>
      </c>
      <c r="BE3" t="s">
        <v>3</v>
      </c>
      <c r="BF3" t="s">
        <v>3</v>
      </c>
      <c r="BG3" t="s">
        <v>3</v>
      </c>
      <c r="BH3" t="s">
        <v>3</v>
      </c>
      <c r="BI3" t="s">
        <v>3</v>
      </c>
      <c r="BJ3" t="s">
        <v>4982</v>
      </c>
      <c r="BK3" t="s">
        <v>3</v>
      </c>
      <c r="BL3" t="s">
        <v>96</v>
      </c>
      <c r="BM3" t="s">
        <v>1</v>
      </c>
      <c r="BN3">
        <v>14800</v>
      </c>
      <c r="BO3" t="s">
        <v>1</v>
      </c>
      <c r="BP3" t="s">
        <v>1</v>
      </c>
      <c r="BQ3" t="s">
        <v>1</v>
      </c>
      <c r="BR3" t="s">
        <v>1</v>
      </c>
      <c r="BS3" t="s">
        <v>1</v>
      </c>
      <c r="BT3" t="s">
        <v>1</v>
      </c>
      <c r="BU3" t="s">
        <v>1</v>
      </c>
      <c r="BV3" t="s">
        <v>1</v>
      </c>
      <c r="BW3" t="s">
        <v>0</v>
      </c>
      <c r="BX3" t="s">
        <v>1</v>
      </c>
      <c r="BY3" t="s">
        <v>1</v>
      </c>
      <c r="BZ3" t="s">
        <v>1</v>
      </c>
      <c r="CA3" t="s">
        <v>1</v>
      </c>
      <c r="CB3" t="s">
        <v>1</v>
      </c>
      <c r="CC3" t="s">
        <v>1</v>
      </c>
      <c r="CD3" t="e" cm="1">
        <f t="array" aca="1" ref="CD3" ca="1">eConcatenar(A3:CB3,"|")</f>
        <v>#NAME?</v>
      </c>
    </row>
    <row r="4" spans="1:82" x14ac:dyDescent="0.25">
      <c r="A4" t="s">
        <v>99</v>
      </c>
      <c r="B4" t="s">
        <v>1106</v>
      </c>
      <c r="C4">
        <v>3</v>
      </c>
      <c r="D4" t="s">
        <v>2154</v>
      </c>
      <c r="E4" t="s">
        <v>10</v>
      </c>
      <c r="F4" t="s">
        <v>95</v>
      </c>
      <c r="G4" t="s">
        <v>2167</v>
      </c>
      <c r="H4" t="s">
        <v>2697</v>
      </c>
      <c r="I4">
        <v>24500</v>
      </c>
      <c r="J4">
        <v>0</v>
      </c>
      <c r="K4">
        <v>200</v>
      </c>
      <c r="L4">
        <v>50</v>
      </c>
      <c r="M4">
        <v>2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 t="s">
        <v>5</v>
      </c>
      <c r="AC4" t="s">
        <v>3117</v>
      </c>
      <c r="AD4" t="s">
        <v>3118</v>
      </c>
      <c r="AE4" t="s">
        <v>4</v>
      </c>
      <c r="AF4" t="s">
        <v>1</v>
      </c>
      <c r="AG4" t="s">
        <v>1</v>
      </c>
      <c r="AH4" t="s">
        <v>2205</v>
      </c>
      <c r="AI4" t="s">
        <v>2167</v>
      </c>
      <c r="AJ4" t="s">
        <v>1</v>
      </c>
      <c r="AK4">
        <v>9371423266</v>
      </c>
      <c r="AL4" t="s">
        <v>1</v>
      </c>
      <c r="AM4" t="s">
        <v>1</v>
      </c>
      <c r="AN4" t="s">
        <v>1</v>
      </c>
      <c r="AO4" t="s">
        <v>2205</v>
      </c>
      <c r="AP4" t="s">
        <v>1</v>
      </c>
      <c r="AQ4" t="s">
        <v>2</v>
      </c>
      <c r="AR4" t="s">
        <v>1</v>
      </c>
      <c r="AS4" t="s">
        <v>1</v>
      </c>
      <c r="AT4" t="s">
        <v>1</v>
      </c>
      <c r="AU4" t="s">
        <v>1</v>
      </c>
      <c r="AV4" t="s">
        <v>1</v>
      </c>
      <c r="AW4" t="s">
        <v>9</v>
      </c>
      <c r="AX4">
        <f>Tabla1[[#This Row],[precio del paquete]]-Tabla1[[#This Row],[Saldo_Deudor]]</f>
        <v>3350</v>
      </c>
      <c r="AY4">
        <v>21150</v>
      </c>
      <c r="AZ4">
        <v>0</v>
      </c>
      <c r="BA4">
        <v>0</v>
      </c>
      <c r="BB4">
        <v>0</v>
      </c>
      <c r="BC4" t="s">
        <v>2912</v>
      </c>
      <c r="BD4" t="s">
        <v>2934</v>
      </c>
      <c r="BE4" t="s">
        <v>3</v>
      </c>
      <c r="BF4" t="s">
        <v>3</v>
      </c>
      <c r="BG4" t="s">
        <v>3</v>
      </c>
      <c r="BH4" t="s">
        <v>3</v>
      </c>
      <c r="BI4" t="s">
        <v>3</v>
      </c>
      <c r="BJ4" t="s">
        <v>4982</v>
      </c>
      <c r="BK4" t="s">
        <v>3</v>
      </c>
      <c r="BL4" t="s">
        <v>96</v>
      </c>
      <c r="BM4" t="s">
        <v>1</v>
      </c>
      <c r="BN4">
        <v>24500</v>
      </c>
      <c r="BO4" t="s">
        <v>1</v>
      </c>
      <c r="BP4" t="s">
        <v>1</v>
      </c>
      <c r="BQ4" t="s">
        <v>1</v>
      </c>
      <c r="BR4" t="s">
        <v>1</v>
      </c>
      <c r="BS4" t="s">
        <v>1</v>
      </c>
      <c r="BT4" t="s">
        <v>1</v>
      </c>
      <c r="BU4" t="s">
        <v>1</v>
      </c>
      <c r="BV4" t="s">
        <v>1</v>
      </c>
      <c r="BW4" t="s">
        <v>0</v>
      </c>
      <c r="BX4" t="s">
        <v>1</v>
      </c>
      <c r="BY4" t="s">
        <v>1</v>
      </c>
      <c r="BZ4" t="s">
        <v>1</v>
      </c>
      <c r="CA4" t="s">
        <v>1</v>
      </c>
      <c r="CB4" t="s">
        <v>1</v>
      </c>
      <c r="CC4" t="s">
        <v>1</v>
      </c>
      <c r="CD4" t="e" cm="1">
        <f t="array" aca="1" ref="CD4" ca="1">eConcatenar(A4:CB4,"|")</f>
        <v>#NAME?</v>
      </c>
    </row>
    <row r="5" spans="1:82" x14ac:dyDescent="0.25">
      <c r="A5" t="s">
        <v>100</v>
      </c>
      <c r="B5" t="s">
        <v>1107</v>
      </c>
      <c r="C5">
        <v>3</v>
      </c>
      <c r="D5" t="s">
        <v>2153</v>
      </c>
      <c r="E5" t="s">
        <v>2158</v>
      </c>
      <c r="F5" t="s">
        <v>2159</v>
      </c>
      <c r="G5" t="s">
        <v>2168</v>
      </c>
      <c r="H5" t="s">
        <v>2698</v>
      </c>
      <c r="I5">
        <v>14800</v>
      </c>
      <c r="J5">
        <v>0</v>
      </c>
      <c r="K5">
        <v>100</v>
      </c>
      <c r="L5">
        <v>50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 t="s">
        <v>3119</v>
      </c>
      <c r="AC5" t="s">
        <v>3114</v>
      </c>
      <c r="AD5" t="s">
        <v>3120</v>
      </c>
      <c r="AE5" t="s">
        <v>4</v>
      </c>
      <c r="AF5" t="s">
        <v>1</v>
      </c>
      <c r="AG5" t="s">
        <v>1</v>
      </c>
      <c r="AH5" t="s">
        <v>4089</v>
      </c>
      <c r="AI5" t="s">
        <v>2168</v>
      </c>
      <c r="AJ5" t="s">
        <v>1</v>
      </c>
      <c r="AK5">
        <v>9331250623</v>
      </c>
      <c r="AL5" t="s">
        <v>1</v>
      </c>
      <c r="AM5" t="s">
        <v>1</v>
      </c>
      <c r="AN5" t="s">
        <v>1</v>
      </c>
      <c r="AO5" t="s">
        <v>4089</v>
      </c>
      <c r="AP5" t="s">
        <v>1</v>
      </c>
      <c r="AQ5" t="s">
        <v>2</v>
      </c>
      <c r="AR5" t="s">
        <v>1</v>
      </c>
      <c r="AS5" t="s">
        <v>1</v>
      </c>
      <c r="AT5" t="s">
        <v>1</v>
      </c>
      <c r="AU5" t="s">
        <v>1</v>
      </c>
      <c r="AV5" t="s">
        <v>1</v>
      </c>
      <c r="AW5" t="s">
        <v>9</v>
      </c>
      <c r="AX5">
        <f>Tabla1[[#This Row],[precio del paquete]]-Tabla1[[#This Row],[Saldo_Deudor]]</f>
        <v>1700</v>
      </c>
      <c r="AY5">
        <v>13100</v>
      </c>
      <c r="AZ5">
        <v>0</v>
      </c>
      <c r="BA5">
        <v>0</v>
      </c>
      <c r="BB5">
        <v>0</v>
      </c>
      <c r="BC5" t="s">
        <v>2711</v>
      </c>
      <c r="BD5" t="s">
        <v>2712</v>
      </c>
      <c r="BE5" t="s">
        <v>3</v>
      </c>
      <c r="BF5" t="s">
        <v>3</v>
      </c>
      <c r="BG5" t="s">
        <v>3</v>
      </c>
      <c r="BH5" t="s">
        <v>3</v>
      </c>
      <c r="BI5" t="s">
        <v>3</v>
      </c>
      <c r="BJ5" t="s">
        <v>4983</v>
      </c>
      <c r="BK5" t="s">
        <v>3</v>
      </c>
      <c r="BL5" t="s">
        <v>96</v>
      </c>
      <c r="BM5" t="s">
        <v>1</v>
      </c>
      <c r="BN5">
        <v>14800</v>
      </c>
      <c r="BO5" t="s">
        <v>1</v>
      </c>
      <c r="BP5" t="s">
        <v>1</v>
      </c>
      <c r="BQ5" t="s">
        <v>1</v>
      </c>
      <c r="BR5" t="s">
        <v>1</v>
      </c>
      <c r="BS5" t="s">
        <v>1</v>
      </c>
      <c r="BT5" t="s">
        <v>1</v>
      </c>
      <c r="BU5" t="s">
        <v>1</v>
      </c>
      <c r="BV5" t="s">
        <v>1</v>
      </c>
      <c r="BW5" t="s">
        <v>0</v>
      </c>
      <c r="BX5" t="s">
        <v>1</v>
      </c>
      <c r="BY5" t="s">
        <v>1</v>
      </c>
      <c r="BZ5" t="s">
        <v>1</v>
      </c>
      <c r="CA5" t="s">
        <v>1</v>
      </c>
      <c r="CB5" t="s">
        <v>1</v>
      </c>
      <c r="CC5" t="s">
        <v>1</v>
      </c>
      <c r="CD5" t="e" cm="1">
        <f t="array" aca="1" ref="CD5" ca="1">eConcatenar(A5:CB5,"|")</f>
        <v>#NAME?</v>
      </c>
    </row>
    <row r="6" spans="1:82" x14ac:dyDescent="0.25">
      <c r="A6" t="s">
        <v>101</v>
      </c>
      <c r="B6" t="s">
        <v>1108</v>
      </c>
      <c r="C6">
        <v>3</v>
      </c>
      <c r="D6" t="s">
        <v>2153</v>
      </c>
      <c r="E6" t="s">
        <v>2158</v>
      </c>
      <c r="F6" t="s">
        <v>2160</v>
      </c>
      <c r="G6" t="s">
        <v>2169</v>
      </c>
      <c r="H6" t="s">
        <v>2699</v>
      </c>
      <c r="I6">
        <v>14800</v>
      </c>
      <c r="J6">
        <v>0</v>
      </c>
      <c r="K6">
        <v>500</v>
      </c>
      <c r="L6">
        <v>50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 t="s">
        <v>3121</v>
      </c>
      <c r="AC6" t="s">
        <v>3122</v>
      </c>
      <c r="AD6" t="s">
        <v>3123</v>
      </c>
      <c r="AE6" t="s">
        <v>4</v>
      </c>
      <c r="AF6" t="s">
        <v>1</v>
      </c>
      <c r="AG6" t="s">
        <v>1</v>
      </c>
      <c r="AH6" t="s">
        <v>4090</v>
      </c>
      <c r="AI6" t="s">
        <v>2169</v>
      </c>
      <c r="AJ6" t="s">
        <v>1</v>
      </c>
      <c r="AK6">
        <v>9371896259</v>
      </c>
      <c r="AL6" t="s">
        <v>1</v>
      </c>
      <c r="AM6" t="s">
        <v>1</v>
      </c>
      <c r="AN6" t="s">
        <v>1</v>
      </c>
      <c r="AO6" t="s">
        <v>4090</v>
      </c>
      <c r="AP6" t="s">
        <v>1</v>
      </c>
      <c r="AQ6" t="s">
        <v>2</v>
      </c>
      <c r="AR6" t="s">
        <v>1</v>
      </c>
      <c r="AS6" t="s">
        <v>1</v>
      </c>
      <c r="AT6" t="s">
        <v>1</v>
      </c>
      <c r="AU6" t="s">
        <v>1</v>
      </c>
      <c r="AV6" t="s">
        <v>1</v>
      </c>
      <c r="AW6" t="s">
        <v>9</v>
      </c>
      <c r="AX6">
        <f>Tabla1[[#This Row],[precio del paquete]]-Tabla1[[#This Row],[Saldo_Deudor]]</f>
        <v>1100</v>
      </c>
      <c r="AY6">
        <v>13700</v>
      </c>
      <c r="AZ6">
        <v>0</v>
      </c>
      <c r="BA6">
        <v>0</v>
      </c>
      <c r="BB6">
        <v>0</v>
      </c>
      <c r="BC6" t="s">
        <v>4827</v>
      </c>
      <c r="BD6" t="s">
        <v>4895</v>
      </c>
      <c r="BE6" t="s">
        <v>3</v>
      </c>
      <c r="BF6" t="s">
        <v>3</v>
      </c>
      <c r="BG6" t="s">
        <v>3</v>
      </c>
      <c r="BH6" t="s">
        <v>3</v>
      </c>
      <c r="BI6" t="s">
        <v>3</v>
      </c>
      <c r="BJ6" t="s">
        <v>4984</v>
      </c>
      <c r="BK6" t="s">
        <v>3</v>
      </c>
      <c r="BL6" t="s">
        <v>96</v>
      </c>
      <c r="BM6" t="s">
        <v>1</v>
      </c>
      <c r="BN6">
        <v>14800</v>
      </c>
      <c r="BO6" t="s">
        <v>1</v>
      </c>
      <c r="BP6" t="s">
        <v>1</v>
      </c>
      <c r="BQ6" t="s">
        <v>1</v>
      </c>
      <c r="BR6" t="s">
        <v>1</v>
      </c>
      <c r="BS6" t="s">
        <v>1</v>
      </c>
      <c r="BT6" t="s">
        <v>1</v>
      </c>
      <c r="BU6" t="s">
        <v>1</v>
      </c>
      <c r="BV6" t="s">
        <v>1</v>
      </c>
      <c r="BW6" t="s">
        <v>0</v>
      </c>
      <c r="BX6" t="s">
        <v>1</v>
      </c>
      <c r="BY6" t="s">
        <v>1</v>
      </c>
      <c r="BZ6" t="s">
        <v>1</v>
      </c>
      <c r="CA6" t="s">
        <v>1</v>
      </c>
      <c r="CB6" t="s">
        <v>1</v>
      </c>
      <c r="CC6" t="s">
        <v>1</v>
      </c>
      <c r="CD6" t="e" cm="1">
        <f t="array" aca="1" ref="CD6" ca="1">eConcatenar(A6:CB6,"|")</f>
        <v>#NAME?</v>
      </c>
    </row>
    <row r="7" spans="1:82" x14ac:dyDescent="0.25">
      <c r="A7" t="s">
        <v>102</v>
      </c>
      <c r="B7" t="s">
        <v>1109</v>
      </c>
      <c r="C7">
        <v>3</v>
      </c>
      <c r="D7" t="s">
        <v>2153</v>
      </c>
      <c r="E7" t="s">
        <v>2158</v>
      </c>
      <c r="F7" t="s">
        <v>2160</v>
      </c>
      <c r="G7" t="s">
        <v>2169</v>
      </c>
      <c r="H7" t="s">
        <v>2699</v>
      </c>
      <c r="I7">
        <v>14800</v>
      </c>
      <c r="J7">
        <v>0</v>
      </c>
      <c r="K7">
        <v>100</v>
      </c>
      <c r="L7">
        <v>50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 t="s">
        <v>3124</v>
      </c>
      <c r="AC7" t="s">
        <v>3125</v>
      </c>
      <c r="AD7" t="s">
        <v>3126</v>
      </c>
      <c r="AE7" t="s">
        <v>4</v>
      </c>
      <c r="AF7" t="s">
        <v>1</v>
      </c>
      <c r="AG7" t="s">
        <v>1</v>
      </c>
      <c r="AH7" t="s">
        <v>4091</v>
      </c>
      <c r="AI7" t="s">
        <v>2169</v>
      </c>
      <c r="AJ7" t="s">
        <v>1</v>
      </c>
      <c r="AK7">
        <v>9371901484</v>
      </c>
      <c r="AL7" t="s">
        <v>1</v>
      </c>
      <c r="AM7" t="s">
        <v>1</v>
      </c>
      <c r="AN7" t="s">
        <v>1</v>
      </c>
      <c r="AO7" t="s">
        <v>4091</v>
      </c>
      <c r="AP7" t="s">
        <v>1</v>
      </c>
      <c r="AQ7" t="s">
        <v>2</v>
      </c>
      <c r="AR7" t="s">
        <v>1</v>
      </c>
      <c r="AS7" t="s">
        <v>1</v>
      </c>
      <c r="AT7" t="s">
        <v>1</v>
      </c>
      <c r="AU7" t="s">
        <v>1</v>
      </c>
      <c r="AV7" t="s">
        <v>1</v>
      </c>
      <c r="AW7" t="s">
        <v>9</v>
      </c>
      <c r="AX7">
        <f>Tabla1[[#This Row],[precio del paquete]]-Tabla1[[#This Row],[Saldo_Deudor]]</f>
        <v>500</v>
      </c>
      <c r="AY7">
        <v>14300</v>
      </c>
      <c r="AZ7">
        <v>0</v>
      </c>
      <c r="BA7">
        <v>0</v>
      </c>
      <c r="BB7">
        <v>0</v>
      </c>
      <c r="BC7" t="s">
        <v>4827</v>
      </c>
      <c r="BD7" t="s">
        <v>4895</v>
      </c>
      <c r="BE7" t="s">
        <v>3</v>
      </c>
      <c r="BF7" t="s">
        <v>3</v>
      </c>
      <c r="BG7" t="s">
        <v>3</v>
      </c>
      <c r="BH7" t="s">
        <v>3</v>
      </c>
      <c r="BI7" t="s">
        <v>3</v>
      </c>
      <c r="BJ7" t="s">
        <v>4985</v>
      </c>
      <c r="BK7" t="s">
        <v>3</v>
      </c>
      <c r="BL7" t="s">
        <v>96</v>
      </c>
      <c r="BM7" t="s">
        <v>1</v>
      </c>
      <c r="BN7">
        <v>14800</v>
      </c>
      <c r="BO7" t="s">
        <v>1</v>
      </c>
      <c r="BP7" t="s">
        <v>1</v>
      </c>
      <c r="BQ7" t="s">
        <v>1</v>
      </c>
      <c r="BR7" t="s">
        <v>1</v>
      </c>
      <c r="BS7" t="s">
        <v>1</v>
      </c>
      <c r="BT7" t="s">
        <v>1</v>
      </c>
      <c r="BU7" t="s">
        <v>1</v>
      </c>
      <c r="BV7" t="s">
        <v>1</v>
      </c>
      <c r="BW7" t="s">
        <v>0</v>
      </c>
      <c r="BX7" t="s">
        <v>1</v>
      </c>
      <c r="BY7" t="s">
        <v>1</v>
      </c>
      <c r="BZ7" t="s">
        <v>1</v>
      </c>
      <c r="CA7" t="s">
        <v>1</v>
      </c>
      <c r="CB7" t="s">
        <v>1</v>
      </c>
      <c r="CC7" t="s">
        <v>1</v>
      </c>
      <c r="CD7" t="e" cm="1">
        <f t="array" aca="1" ref="CD7" ca="1">eConcatenar(A7:CB7,"|")</f>
        <v>#NAME?</v>
      </c>
    </row>
    <row r="8" spans="1:82" x14ac:dyDescent="0.25">
      <c r="A8" t="s">
        <v>103</v>
      </c>
      <c r="B8" t="s">
        <v>1110</v>
      </c>
      <c r="C8">
        <v>3</v>
      </c>
      <c r="D8" t="s">
        <v>2153</v>
      </c>
      <c r="E8" t="s">
        <v>2158</v>
      </c>
      <c r="F8" t="s">
        <v>2161</v>
      </c>
      <c r="G8" t="s">
        <v>2170</v>
      </c>
      <c r="H8" t="s">
        <v>2700</v>
      </c>
      <c r="I8">
        <v>14800</v>
      </c>
      <c r="J8">
        <v>0</v>
      </c>
      <c r="K8">
        <v>100</v>
      </c>
      <c r="L8">
        <v>50</v>
      </c>
      <c r="M8">
        <v>1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 t="s">
        <v>3127</v>
      </c>
      <c r="AC8" t="s">
        <v>6</v>
      </c>
      <c r="AD8" t="s">
        <v>3128</v>
      </c>
      <c r="AE8" t="s">
        <v>4</v>
      </c>
      <c r="AF8" t="s">
        <v>1</v>
      </c>
      <c r="AG8" t="s">
        <v>1</v>
      </c>
      <c r="AH8" t="s">
        <v>2695</v>
      </c>
      <c r="AI8" t="s">
        <v>2170</v>
      </c>
      <c r="AJ8" t="s">
        <v>1</v>
      </c>
      <c r="AK8">
        <v>9141201494</v>
      </c>
      <c r="AL8" t="s">
        <v>1</v>
      </c>
      <c r="AM8" t="s">
        <v>1</v>
      </c>
      <c r="AN8" t="s">
        <v>1</v>
      </c>
      <c r="AO8" t="s">
        <v>2695</v>
      </c>
      <c r="AP8" t="s">
        <v>1</v>
      </c>
      <c r="AQ8" t="s">
        <v>2</v>
      </c>
      <c r="AR8" t="s">
        <v>1</v>
      </c>
      <c r="AS8" t="s">
        <v>1</v>
      </c>
      <c r="AT8" t="s">
        <v>1</v>
      </c>
      <c r="AU8" t="s">
        <v>1</v>
      </c>
      <c r="AV8" t="s">
        <v>1</v>
      </c>
      <c r="AW8" t="s">
        <v>9</v>
      </c>
      <c r="AX8">
        <f>Tabla1[[#This Row],[precio del paquete]]-Tabla1[[#This Row],[Saldo_Deudor]]</f>
        <v>1300</v>
      </c>
      <c r="AY8">
        <v>13500</v>
      </c>
      <c r="AZ8">
        <v>0</v>
      </c>
      <c r="BA8">
        <v>0</v>
      </c>
      <c r="BB8">
        <v>0</v>
      </c>
      <c r="BC8" t="s">
        <v>2700</v>
      </c>
      <c r="BD8" t="s">
        <v>2702</v>
      </c>
      <c r="BE8" t="s">
        <v>3</v>
      </c>
      <c r="BF8" t="s">
        <v>3</v>
      </c>
      <c r="BG8" t="s">
        <v>3</v>
      </c>
      <c r="BH8" t="s">
        <v>3</v>
      </c>
      <c r="BI8" t="s">
        <v>3</v>
      </c>
      <c r="BJ8" t="s">
        <v>4985</v>
      </c>
      <c r="BK8" t="s">
        <v>3</v>
      </c>
      <c r="BL8" t="s">
        <v>96</v>
      </c>
      <c r="BM8" t="s">
        <v>1</v>
      </c>
      <c r="BN8">
        <v>14800</v>
      </c>
      <c r="BO8" t="s">
        <v>1</v>
      </c>
      <c r="BP8" t="s">
        <v>1</v>
      </c>
      <c r="BQ8" t="s">
        <v>1</v>
      </c>
      <c r="BR8" t="s">
        <v>1</v>
      </c>
      <c r="BS8" t="s">
        <v>1</v>
      </c>
      <c r="BT8" t="s">
        <v>1</v>
      </c>
      <c r="BU8" t="s">
        <v>1</v>
      </c>
      <c r="BV8" t="s">
        <v>1</v>
      </c>
      <c r="BW8" t="s">
        <v>0</v>
      </c>
      <c r="BX8" t="s">
        <v>1</v>
      </c>
      <c r="BY8" t="s">
        <v>1</v>
      </c>
      <c r="BZ8" t="s">
        <v>1</v>
      </c>
      <c r="CA8" t="s">
        <v>1</v>
      </c>
      <c r="CB8" t="s">
        <v>1</v>
      </c>
      <c r="CD8" t="e" cm="1">
        <f t="array" aca="1" ref="CD8" ca="1">eConcatenar(A8:CB8,"|")</f>
        <v>#NAME?</v>
      </c>
    </row>
    <row r="9" spans="1:82" s="2" customFormat="1" x14ac:dyDescent="0.25">
      <c r="A9" t="s">
        <v>104</v>
      </c>
      <c r="B9" t="s">
        <v>1111</v>
      </c>
      <c r="C9">
        <v>3</v>
      </c>
      <c r="D9" t="s">
        <v>2153</v>
      </c>
      <c r="E9" t="s">
        <v>2158</v>
      </c>
      <c r="F9" t="s">
        <v>2161</v>
      </c>
      <c r="G9" t="s">
        <v>2171</v>
      </c>
      <c r="H9" t="s">
        <v>2701</v>
      </c>
      <c r="I9">
        <v>14800</v>
      </c>
      <c r="J9">
        <v>0</v>
      </c>
      <c r="K9">
        <v>200</v>
      </c>
      <c r="L9">
        <v>50</v>
      </c>
      <c r="M9">
        <v>1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 t="s">
        <v>3117</v>
      </c>
      <c r="AC9" t="s">
        <v>3129</v>
      </c>
      <c r="AD9" t="s">
        <v>3130</v>
      </c>
      <c r="AE9" t="s">
        <v>4</v>
      </c>
      <c r="AF9" t="s">
        <v>1</v>
      </c>
      <c r="AG9" t="s">
        <v>1</v>
      </c>
      <c r="AH9" t="s">
        <v>4092</v>
      </c>
      <c r="AI9" t="s">
        <v>2171</v>
      </c>
      <c r="AJ9" t="s">
        <v>1</v>
      </c>
      <c r="AK9">
        <v>9934532893</v>
      </c>
      <c r="AL9" t="s">
        <v>1</v>
      </c>
      <c r="AM9" t="s">
        <v>1</v>
      </c>
      <c r="AN9" t="s">
        <v>1</v>
      </c>
      <c r="AO9" t="s">
        <v>4092</v>
      </c>
      <c r="AP9" t="s">
        <v>1</v>
      </c>
      <c r="AQ9" t="s">
        <v>2</v>
      </c>
      <c r="AR9" t="s">
        <v>1</v>
      </c>
      <c r="AS9" t="s">
        <v>1</v>
      </c>
      <c r="AT9" t="s">
        <v>1</v>
      </c>
      <c r="AU9" t="s">
        <v>1</v>
      </c>
      <c r="AV9" t="s">
        <v>1</v>
      </c>
      <c r="AW9" t="s">
        <v>9</v>
      </c>
      <c r="AX9">
        <f>Tabla1[[#This Row],[precio del paquete]]-Tabla1[[#This Row],[Saldo_Deudor]]</f>
        <v>850</v>
      </c>
      <c r="AY9">
        <v>13950</v>
      </c>
      <c r="AZ9">
        <v>0</v>
      </c>
      <c r="BA9">
        <v>0</v>
      </c>
      <c r="BB9">
        <v>0</v>
      </c>
      <c r="BC9" t="s">
        <v>2916</v>
      </c>
      <c r="BD9" t="s">
        <v>4896</v>
      </c>
      <c r="BE9" t="s">
        <v>3</v>
      </c>
      <c r="BF9" t="s">
        <v>3</v>
      </c>
      <c r="BG9" t="s">
        <v>3</v>
      </c>
      <c r="BH9" t="s">
        <v>3</v>
      </c>
      <c r="BI9" t="s">
        <v>3</v>
      </c>
      <c r="BJ9" t="s">
        <v>4986</v>
      </c>
      <c r="BK9" t="s">
        <v>3</v>
      </c>
      <c r="BL9" t="s">
        <v>96</v>
      </c>
      <c r="BM9" t="s">
        <v>1</v>
      </c>
      <c r="BN9">
        <v>14800</v>
      </c>
      <c r="BO9" t="s">
        <v>1</v>
      </c>
      <c r="BP9" t="s">
        <v>1</v>
      </c>
      <c r="BQ9" t="s">
        <v>1</v>
      </c>
      <c r="BR9" t="s">
        <v>1</v>
      </c>
      <c r="BS9" t="s">
        <v>1</v>
      </c>
      <c r="BT9" t="s">
        <v>1</v>
      </c>
      <c r="BU9" t="s">
        <v>1</v>
      </c>
      <c r="BV9" t="s">
        <v>1</v>
      </c>
      <c r="BW9" t="s">
        <v>0</v>
      </c>
      <c r="BX9" t="s">
        <v>1</v>
      </c>
      <c r="BY9" t="s">
        <v>1</v>
      </c>
      <c r="BZ9" t="s">
        <v>1</v>
      </c>
      <c r="CA9" t="s">
        <v>1</v>
      </c>
      <c r="CB9" t="s">
        <v>1</v>
      </c>
      <c r="CD9" s="2" t="e" cm="1">
        <f t="array" aca="1" ref="CD9" ca="1">eConcatenar(A9:CB9,"|")</f>
        <v>#NAME?</v>
      </c>
    </row>
    <row r="10" spans="1:82" x14ac:dyDescent="0.25">
      <c r="A10" t="s">
        <v>105</v>
      </c>
      <c r="B10" t="s">
        <v>1112</v>
      </c>
      <c r="C10">
        <v>3</v>
      </c>
      <c r="D10" t="s">
        <v>2153</v>
      </c>
      <c r="E10" t="s">
        <v>2158</v>
      </c>
      <c r="F10" t="s">
        <v>2161</v>
      </c>
      <c r="G10" t="s">
        <v>2171</v>
      </c>
      <c r="H10" t="s">
        <v>2702</v>
      </c>
      <c r="I10">
        <v>14800</v>
      </c>
      <c r="J10">
        <v>0</v>
      </c>
      <c r="K10">
        <v>200</v>
      </c>
      <c r="L10">
        <v>50</v>
      </c>
      <c r="M10">
        <v>1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 t="s">
        <v>3131</v>
      </c>
      <c r="AC10" t="s">
        <v>3132</v>
      </c>
      <c r="AD10" t="s">
        <v>3133</v>
      </c>
      <c r="AE10" t="s">
        <v>4</v>
      </c>
      <c r="AF10" t="s">
        <v>1</v>
      </c>
      <c r="AG10" t="s">
        <v>1</v>
      </c>
      <c r="AH10" t="s">
        <v>2171</v>
      </c>
      <c r="AI10" t="s">
        <v>2171</v>
      </c>
      <c r="AJ10" t="s">
        <v>1</v>
      </c>
      <c r="AK10">
        <v>9141258627</v>
      </c>
      <c r="AL10" t="s">
        <v>1</v>
      </c>
      <c r="AM10" t="s">
        <v>1</v>
      </c>
      <c r="AN10" t="s">
        <v>1</v>
      </c>
      <c r="AO10" t="s">
        <v>2171</v>
      </c>
      <c r="AP10" t="s">
        <v>1</v>
      </c>
      <c r="AQ10" t="s">
        <v>2</v>
      </c>
      <c r="AR10" t="s">
        <v>1</v>
      </c>
      <c r="AS10" t="s">
        <v>1</v>
      </c>
      <c r="AT10" t="s">
        <v>1</v>
      </c>
      <c r="AU10" t="s">
        <v>1</v>
      </c>
      <c r="AV10" t="s">
        <v>1</v>
      </c>
      <c r="AW10" t="s">
        <v>9</v>
      </c>
      <c r="AX10">
        <f>Tabla1[[#This Row],[precio del paquete]]-Tabla1[[#This Row],[Saldo_Deudor]]</f>
        <v>1400</v>
      </c>
      <c r="AY10">
        <v>13400</v>
      </c>
      <c r="AZ10">
        <v>0</v>
      </c>
      <c r="BA10">
        <v>0</v>
      </c>
      <c r="BB10">
        <v>0</v>
      </c>
      <c r="BC10" t="s">
        <v>2905</v>
      </c>
      <c r="BD10" t="s">
        <v>3024</v>
      </c>
      <c r="BE10" t="s">
        <v>3</v>
      </c>
      <c r="BF10" t="s">
        <v>3</v>
      </c>
      <c r="BG10" t="s">
        <v>3</v>
      </c>
      <c r="BH10" t="s">
        <v>3</v>
      </c>
      <c r="BI10" t="s">
        <v>3</v>
      </c>
      <c r="BJ10" t="s">
        <v>4986</v>
      </c>
      <c r="BK10" t="s">
        <v>3</v>
      </c>
      <c r="BL10" t="s">
        <v>96</v>
      </c>
      <c r="BM10" t="s">
        <v>1</v>
      </c>
      <c r="BN10">
        <v>14800</v>
      </c>
      <c r="BO10" t="s">
        <v>1</v>
      </c>
      <c r="BP10" t="s">
        <v>1</v>
      </c>
      <c r="BQ10" t="s">
        <v>1</v>
      </c>
      <c r="BR10" t="s">
        <v>1</v>
      </c>
      <c r="BS10" t="s">
        <v>1</v>
      </c>
      <c r="BT10" t="s">
        <v>1</v>
      </c>
      <c r="BU10" t="s">
        <v>1</v>
      </c>
      <c r="BV10" t="s">
        <v>1</v>
      </c>
      <c r="BW10" t="s">
        <v>0</v>
      </c>
      <c r="BX10" t="s">
        <v>1</v>
      </c>
      <c r="BY10" t="s">
        <v>1</v>
      </c>
      <c r="BZ10" t="s">
        <v>1</v>
      </c>
      <c r="CA10" t="s">
        <v>1</v>
      </c>
      <c r="CB10" t="s">
        <v>1</v>
      </c>
      <c r="CD10" t="e" cm="1">
        <f t="array" aca="1" ref="CD10" ca="1">eConcatenar(A10:CB10,"|")</f>
        <v>#NAME?</v>
      </c>
    </row>
    <row r="11" spans="1:82" x14ac:dyDescent="0.25">
      <c r="A11" t="s">
        <v>106</v>
      </c>
      <c r="B11" t="s">
        <v>1113</v>
      </c>
      <c r="C11">
        <v>3</v>
      </c>
      <c r="D11" t="s">
        <v>2153</v>
      </c>
      <c r="E11" t="s">
        <v>10</v>
      </c>
      <c r="F11" t="s">
        <v>95</v>
      </c>
      <c r="G11" t="s">
        <v>2172</v>
      </c>
      <c r="H11" t="s">
        <v>2703</v>
      </c>
      <c r="I11">
        <v>14800</v>
      </c>
      <c r="J11">
        <v>0</v>
      </c>
      <c r="K11">
        <v>500</v>
      </c>
      <c r="L11">
        <v>50</v>
      </c>
      <c r="M11">
        <v>2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 t="s">
        <v>3134</v>
      </c>
      <c r="AC11" t="s">
        <v>3135</v>
      </c>
      <c r="AD11" t="s">
        <v>3136</v>
      </c>
      <c r="AE11" t="s">
        <v>4</v>
      </c>
      <c r="AF11" t="s">
        <v>1</v>
      </c>
      <c r="AG11" t="s">
        <v>1</v>
      </c>
      <c r="AH11" t="s">
        <v>4093</v>
      </c>
      <c r="AI11" t="s">
        <v>2172</v>
      </c>
      <c r="AJ11" t="s">
        <v>1</v>
      </c>
      <c r="AK11">
        <v>9141210315</v>
      </c>
      <c r="AL11" t="s">
        <v>1</v>
      </c>
      <c r="AM11" t="s">
        <v>1</v>
      </c>
      <c r="AN11" t="s">
        <v>1</v>
      </c>
      <c r="AO11" t="s">
        <v>4093</v>
      </c>
      <c r="AP11" t="s">
        <v>1</v>
      </c>
      <c r="AQ11" t="s">
        <v>2</v>
      </c>
      <c r="AR11" t="s">
        <v>1</v>
      </c>
      <c r="AS11" t="s">
        <v>1</v>
      </c>
      <c r="AT11" t="s">
        <v>1</v>
      </c>
      <c r="AU11" t="s">
        <v>1</v>
      </c>
      <c r="AV11" t="s">
        <v>1</v>
      </c>
      <c r="AW11" t="s">
        <v>9</v>
      </c>
      <c r="AX11">
        <f>Tabla1[[#This Row],[precio del paquete]]-Tabla1[[#This Row],[Saldo_Deudor]]</f>
        <v>900</v>
      </c>
      <c r="AY11">
        <v>13900</v>
      </c>
      <c r="AZ11">
        <v>0</v>
      </c>
      <c r="BA11">
        <v>0</v>
      </c>
      <c r="BB11">
        <v>0</v>
      </c>
      <c r="BC11" t="s">
        <v>2912</v>
      </c>
      <c r="BD11" t="s">
        <v>2934</v>
      </c>
      <c r="BE11" t="s">
        <v>3</v>
      </c>
      <c r="BF11" t="s">
        <v>3</v>
      </c>
      <c r="BG11" t="s">
        <v>3</v>
      </c>
      <c r="BH11" t="s">
        <v>3</v>
      </c>
      <c r="BI11" t="s">
        <v>3</v>
      </c>
      <c r="BJ11" t="s">
        <v>4986</v>
      </c>
      <c r="BK11" t="s">
        <v>3</v>
      </c>
      <c r="BL11" t="s">
        <v>96</v>
      </c>
      <c r="BM11" t="s">
        <v>1</v>
      </c>
      <c r="BN11">
        <v>14800</v>
      </c>
      <c r="BO11" t="s">
        <v>1</v>
      </c>
      <c r="BP11" t="s">
        <v>1</v>
      </c>
      <c r="BQ11" t="s">
        <v>1</v>
      </c>
      <c r="BR11" t="s">
        <v>1</v>
      </c>
      <c r="BS11" t="s">
        <v>1</v>
      </c>
      <c r="BT11" t="s">
        <v>1</v>
      </c>
      <c r="BU11" t="s">
        <v>1</v>
      </c>
      <c r="BV11" t="s">
        <v>1</v>
      </c>
      <c r="BW11" t="s">
        <v>0</v>
      </c>
      <c r="BX11" t="s">
        <v>1</v>
      </c>
      <c r="BY11" t="s">
        <v>1</v>
      </c>
      <c r="BZ11" t="s">
        <v>1</v>
      </c>
      <c r="CA11" t="s">
        <v>1</v>
      </c>
      <c r="CB11" t="s">
        <v>1</v>
      </c>
      <c r="CD11" t="e" cm="1">
        <f t="array" aca="1" ref="CD11" ca="1">eConcatenar(A11:CB11,"|")</f>
        <v>#NAME?</v>
      </c>
    </row>
    <row r="12" spans="1:82" x14ac:dyDescent="0.25">
      <c r="A12" t="s">
        <v>107</v>
      </c>
      <c r="B12" t="s">
        <v>1114</v>
      </c>
      <c r="C12">
        <v>3</v>
      </c>
      <c r="D12" t="s">
        <v>2153</v>
      </c>
      <c r="E12" t="s">
        <v>2158</v>
      </c>
      <c r="F12" t="s">
        <v>0</v>
      </c>
      <c r="G12" t="s">
        <v>2173</v>
      </c>
      <c r="H12" t="s">
        <v>2704</v>
      </c>
      <c r="I12">
        <v>14800</v>
      </c>
      <c r="J12">
        <v>0</v>
      </c>
      <c r="K12">
        <v>100</v>
      </c>
      <c r="L12">
        <v>50</v>
      </c>
      <c r="M12">
        <v>1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 t="s">
        <v>3137</v>
      </c>
      <c r="AC12" t="s">
        <v>3138</v>
      </c>
      <c r="AD12" t="s">
        <v>3139</v>
      </c>
      <c r="AE12" t="s">
        <v>4</v>
      </c>
      <c r="AF12" t="s">
        <v>1</v>
      </c>
      <c r="AG12" t="s">
        <v>1</v>
      </c>
      <c r="AH12" t="s">
        <v>4094</v>
      </c>
      <c r="AI12" t="s">
        <v>2173</v>
      </c>
      <c r="AJ12" t="s">
        <v>1</v>
      </c>
      <c r="AK12">
        <v>9371291620</v>
      </c>
      <c r="AL12" t="s">
        <v>1</v>
      </c>
      <c r="AM12" t="s">
        <v>1</v>
      </c>
      <c r="AN12" t="s">
        <v>1</v>
      </c>
      <c r="AO12" t="s">
        <v>4094</v>
      </c>
      <c r="AP12" t="s">
        <v>1</v>
      </c>
      <c r="AQ12" t="s">
        <v>2</v>
      </c>
      <c r="AR12" t="s">
        <v>1</v>
      </c>
      <c r="AS12" t="s">
        <v>1</v>
      </c>
      <c r="AT12" t="s">
        <v>1</v>
      </c>
      <c r="AU12" t="s">
        <v>1</v>
      </c>
      <c r="AV12" t="s">
        <v>1</v>
      </c>
      <c r="AW12" t="s">
        <v>9</v>
      </c>
      <c r="AX12">
        <f>Tabla1[[#This Row],[precio del paquete]]-Tabla1[[#This Row],[Saldo_Deudor]]</f>
        <v>1000</v>
      </c>
      <c r="AY12">
        <v>13800</v>
      </c>
      <c r="AZ12">
        <v>0</v>
      </c>
      <c r="BA12">
        <v>0</v>
      </c>
      <c r="BB12">
        <v>0</v>
      </c>
      <c r="BC12" t="s">
        <v>3102</v>
      </c>
      <c r="BD12" t="s">
        <v>4897</v>
      </c>
      <c r="BE12" t="s">
        <v>3</v>
      </c>
      <c r="BF12" t="s">
        <v>3</v>
      </c>
      <c r="BG12" t="s">
        <v>3</v>
      </c>
      <c r="BH12" t="s">
        <v>3</v>
      </c>
      <c r="BI12" t="s">
        <v>3</v>
      </c>
      <c r="BJ12" t="s">
        <v>4983</v>
      </c>
      <c r="BK12" t="s">
        <v>3</v>
      </c>
      <c r="BL12" t="s">
        <v>96</v>
      </c>
      <c r="BM12" t="s">
        <v>1</v>
      </c>
      <c r="BN12">
        <v>14800</v>
      </c>
      <c r="BO12" t="s">
        <v>1</v>
      </c>
      <c r="BP12" t="s">
        <v>1</v>
      </c>
      <c r="BQ12" t="s">
        <v>1</v>
      </c>
      <c r="BR12" t="s">
        <v>1</v>
      </c>
      <c r="BS12" t="s">
        <v>1</v>
      </c>
      <c r="BT12" t="s">
        <v>1</v>
      </c>
      <c r="BU12" t="s">
        <v>1</v>
      </c>
      <c r="BV12" t="s">
        <v>1</v>
      </c>
      <c r="BW12" t="s">
        <v>0</v>
      </c>
      <c r="BX12" t="s">
        <v>1</v>
      </c>
      <c r="BY12" t="s">
        <v>1</v>
      </c>
      <c r="BZ12" t="s">
        <v>1</v>
      </c>
      <c r="CA12" t="s">
        <v>1</v>
      </c>
      <c r="CB12" t="s">
        <v>1</v>
      </c>
      <c r="CD12" t="e" cm="1">
        <f t="array" aca="1" ref="CD12" ca="1">eConcatenar(A12:CB12,"|")</f>
        <v>#NAME?</v>
      </c>
    </row>
    <row r="13" spans="1:82" x14ac:dyDescent="0.25">
      <c r="A13" t="s">
        <v>108</v>
      </c>
      <c r="B13" t="s">
        <v>1115</v>
      </c>
      <c r="C13">
        <v>3</v>
      </c>
      <c r="D13" t="s">
        <v>2153</v>
      </c>
      <c r="E13" t="s">
        <v>2158</v>
      </c>
      <c r="F13" t="s">
        <v>0</v>
      </c>
      <c r="G13" t="s">
        <v>2174</v>
      </c>
      <c r="H13" t="s">
        <v>2705</v>
      </c>
      <c r="I13">
        <v>14800</v>
      </c>
      <c r="J13">
        <v>0</v>
      </c>
      <c r="K13">
        <v>100</v>
      </c>
      <c r="L13">
        <v>50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 t="s">
        <v>3140</v>
      </c>
      <c r="AC13" t="s">
        <v>3141</v>
      </c>
      <c r="AD13" t="s">
        <v>3142</v>
      </c>
      <c r="AE13" t="s">
        <v>4</v>
      </c>
      <c r="AF13" t="s">
        <v>1</v>
      </c>
      <c r="AG13" t="s">
        <v>1</v>
      </c>
      <c r="AH13" t="s">
        <v>4095</v>
      </c>
      <c r="AI13" t="s">
        <v>2174</v>
      </c>
      <c r="AJ13" t="s">
        <v>1</v>
      </c>
      <c r="AK13">
        <v>9371314226</v>
      </c>
      <c r="AL13" t="s">
        <v>1</v>
      </c>
      <c r="AM13" t="s">
        <v>1</v>
      </c>
      <c r="AN13" t="s">
        <v>1</v>
      </c>
      <c r="AO13" t="s">
        <v>4095</v>
      </c>
      <c r="AP13" t="s">
        <v>1</v>
      </c>
      <c r="AQ13" t="s">
        <v>2</v>
      </c>
      <c r="AR13" t="s">
        <v>1</v>
      </c>
      <c r="AS13" t="s">
        <v>1</v>
      </c>
      <c r="AT13" t="s">
        <v>1</v>
      </c>
      <c r="AU13" t="s">
        <v>1</v>
      </c>
      <c r="AV13" t="s">
        <v>1</v>
      </c>
      <c r="AW13" t="s">
        <v>9</v>
      </c>
      <c r="AX13">
        <f>Tabla1[[#This Row],[precio del paquete]]-Tabla1[[#This Row],[Saldo_Deudor]]</f>
        <v>500</v>
      </c>
      <c r="AY13">
        <v>14300</v>
      </c>
      <c r="AZ13">
        <v>0</v>
      </c>
      <c r="BA13">
        <v>0</v>
      </c>
      <c r="BB13">
        <v>0</v>
      </c>
      <c r="BC13" t="s">
        <v>2906</v>
      </c>
      <c r="BD13" t="s">
        <v>4898</v>
      </c>
      <c r="BE13" t="s">
        <v>3</v>
      </c>
      <c r="BF13" t="s">
        <v>3</v>
      </c>
      <c r="BG13" t="s">
        <v>3</v>
      </c>
      <c r="BH13" t="s">
        <v>3</v>
      </c>
      <c r="BI13" t="s">
        <v>3</v>
      </c>
      <c r="BJ13" t="s">
        <v>4987</v>
      </c>
      <c r="BK13" t="s">
        <v>3</v>
      </c>
      <c r="BL13" t="s">
        <v>96</v>
      </c>
      <c r="BM13" t="s">
        <v>1</v>
      </c>
      <c r="BN13">
        <v>14800</v>
      </c>
      <c r="BO13" t="s">
        <v>1</v>
      </c>
      <c r="BP13" t="s">
        <v>1</v>
      </c>
      <c r="BQ13" t="s">
        <v>1</v>
      </c>
      <c r="BR13" t="s">
        <v>1</v>
      </c>
      <c r="BS13" t="s">
        <v>1</v>
      </c>
      <c r="BT13" t="s">
        <v>1</v>
      </c>
      <c r="BU13" t="s">
        <v>1</v>
      </c>
      <c r="BV13" t="s">
        <v>1</v>
      </c>
      <c r="BW13" t="s">
        <v>0</v>
      </c>
      <c r="BX13" t="s">
        <v>1</v>
      </c>
      <c r="BY13" t="s">
        <v>1</v>
      </c>
      <c r="BZ13" t="s">
        <v>1</v>
      </c>
      <c r="CA13" t="s">
        <v>1</v>
      </c>
      <c r="CB13" t="s">
        <v>1</v>
      </c>
      <c r="CD13" t="e" cm="1">
        <f t="array" aca="1" ref="CD13" ca="1">eConcatenar(A13:CB13,"|")</f>
        <v>#NAME?</v>
      </c>
    </row>
    <row r="14" spans="1:82" x14ac:dyDescent="0.25">
      <c r="A14" t="s">
        <v>109</v>
      </c>
      <c r="B14" t="s">
        <v>1116</v>
      </c>
      <c r="C14">
        <v>3</v>
      </c>
      <c r="D14" t="s">
        <v>2153</v>
      </c>
      <c r="E14" t="s">
        <v>2158</v>
      </c>
      <c r="F14" t="s">
        <v>2162</v>
      </c>
      <c r="G14" t="s">
        <v>2175</v>
      </c>
      <c r="H14" t="s">
        <v>2697</v>
      </c>
      <c r="I14">
        <v>14800</v>
      </c>
      <c r="J14">
        <v>0</v>
      </c>
      <c r="K14">
        <v>200</v>
      </c>
      <c r="L14">
        <v>50</v>
      </c>
      <c r="M14">
        <v>1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 t="s">
        <v>3143</v>
      </c>
      <c r="AC14" t="s">
        <v>3144</v>
      </c>
      <c r="AD14" t="s">
        <v>3145</v>
      </c>
      <c r="AE14" t="s">
        <v>4</v>
      </c>
      <c r="AF14" t="s">
        <v>1</v>
      </c>
      <c r="AG14" t="s">
        <v>1</v>
      </c>
      <c r="AH14" t="s">
        <v>2207</v>
      </c>
      <c r="AI14" t="s">
        <v>2175</v>
      </c>
      <c r="AJ14" t="s">
        <v>1</v>
      </c>
      <c r="AK14">
        <v>9331199930</v>
      </c>
      <c r="AL14" t="s">
        <v>1</v>
      </c>
      <c r="AM14" t="s">
        <v>1</v>
      </c>
      <c r="AN14" t="s">
        <v>1</v>
      </c>
      <c r="AO14" t="s">
        <v>2207</v>
      </c>
      <c r="AP14" t="s">
        <v>1</v>
      </c>
      <c r="AQ14" t="s">
        <v>2</v>
      </c>
      <c r="AR14" t="s">
        <v>1</v>
      </c>
      <c r="AS14" t="s">
        <v>1</v>
      </c>
      <c r="AT14" t="s">
        <v>1</v>
      </c>
      <c r="AU14" t="s">
        <v>1</v>
      </c>
      <c r="AV14" t="s">
        <v>1</v>
      </c>
      <c r="AW14" t="s">
        <v>9</v>
      </c>
      <c r="AX14">
        <f>Tabla1[[#This Row],[precio del paquete]]-Tabla1[[#This Row],[Saldo_Deudor]]</f>
        <v>1100</v>
      </c>
      <c r="AY14">
        <v>13700</v>
      </c>
      <c r="AZ14">
        <v>0</v>
      </c>
      <c r="BA14">
        <v>0</v>
      </c>
      <c r="BB14">
        <v>0</v>
      </c>
      <c r="BC14" t="s">
        <v>4826</v>
      </c>
      <c r="BD14" t="s">
        <v>2706</v>
      </c>
      <c r="BE14" t="s">
        <v>3</v>
      </c>
      <c r="BF14" t="s">
        <v>3</v>
      </c>
      <c r="BG14" t="s">
        <v>3</v>
      </c>
      <c r="BH14" t="s">
        <v>3</v>
      </c>
      <c r="BI14" t="s">
        <v>3</v>
      </c>
      <c r="BJ14" t="s">
        <v>4988</v>
      </c>
      <c r="BK14" t="s">
        <v>3</v>
      </c>
      <c r="BL14" t="s">
        <v>96</v>
      </c>
      <c r="BM14" t="s">
        <v>1</v>
      </c>
      <c r="BN14">
        <v>14800</v>
      </c>
      <c r="BO14" t="s">
        <v>1</v>
      </c>
      <c r="BP14" t="s">
        <v>1</v>
      </c>
      <c r="BQ14" t="s">
        <v>1</v>
      </c>
      <c r="BR14" t="s">
        <v>1</v>
      </c>
      <c r="BS14" t="s">
        <v>1</v>
      </c>
      <c r="BT14" t="s">
        <v>1</v>
      </c>
      <c r="BU14" t="s">
        <v>1</v>
      </c>
      <c r="BV14" t="s">
        <v>1</v>
      </c>
      <c r="BW14" t="s">
        <v>0</v>
      </c>
      <c r="BX14" t="s">
        <v>1</v>
      </c>
      <c r="BY14" t="s">
        <v>1</v>
      </c>
      <c r="BZ14" t="s">
        <v>1</v>
      </c>
      <c r="CA14" t="s">
        <v>1</v>
      </c>
      <c r="CB14" t="s">
        <v>1</v>
      </c>
      <c r="CD14" t="e" cm="1">
        <f t="array" aca="1" ref="CD14" ca="1">eConcatenar(A14:CB14,"|")</f>
        <v>#NAME?</v>
      </c>
    </row>
    <row r="15" spans="1:82" x14ac:dyDescent="0.25">
      <c r="A15" t="s">
        <v>110</v>
      </c>
      <c r="B15" t="s">
        <v>1117</v>
      </c>
      <c r="C15">
        <v>3</v>
      </c>
      <c r="D15" t="s">
        <v>2153</v>
      </c>
      <c r="E15" t="s">
        <v>2158</v>
      </c>
      <c r="F15" t="s">
        <v>2162</v>
      </c>
      <c r="G15" t="s">
        <v>2175</v>
      </c>
      <c r="H15" t="s">
        <v>2706</v>
      </c>
      <c r="I15">
        <v>14800</v>
      </c>
      <c r="J15">
        <v>0</v>
      </c>
      <c r="K15">
        <v>100</v>
      </c>
      <c r="L15">
        <v>50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 t="s">
        <v>3143</v>
      </c>
      <c r="AC15" t="s">
        <v>3146</v>
      </c>
      <c r="AD15" t="s">
        <v>3147</v>
      </c>
      <c r="AE15" t="s">
        <v>4</v>
      </c>
      <c r="AF15" t="s">
        <v>1</v>
      </c>
      <c r="AG15" t="s">
        <v>1</v>
      </c>
      <c r="AH15" t="s">
        <v>2175</v>
      </c>
      <c r="AI15" t="s">
        <v>2175</v>
      </c>
      <c r="AJ15" t="s">
        <v>1</v>
      </c>
      <c r="AK15">
        <v>9331042989</v>
      </c>
      <c r="AL15" t="s">
        <v>1</v>
      </c>
      <c r="AM15" t="s">
        <v>1</v>
      </c>
      <c r="AN15" t="s">
        <v>1</v>
      </c>
      <c r="AO15" t="s">
        <v>2175</v>
      </c>
      <c r="AP15" t="s">
        <v>1</v>
      </c>
      <c r="AQ15" t="s">
        <v>2</v>
      </c>
      <c r="AR15" t="s">
        <v>1</v>
      </c>
      <c r="AS15" t="s">
        <v>1</v>
      </c>
      <c r="AT15" t="s">
        <v>1</v>
      </c>
      <c r="AU15" t="s">
        <v>1</v>
      </c>
      <c r="AV15" t="s">
        <v>1</v>
      </c>
      <c r="AW15" t="s">
        <v>9</v>
      </c>
      <c r="AX15">
        <f>Tabla1[[#This Row],[precio del paquete]]-Tabla1[[#This Row],[Saldo_Deudor]]</f>
        <v>1400</v>
      </c>
      <c r="AY15">
        <v>13400</v>
      </c>
      <c r="AZ15">
        <v>0</v>
      </c>
      <c r="BA15">
        <v>0</v>
      </c>
      <c r="BB15">
        <v>0</v>
      </c>
      <c r="BC15" t="s">
        <v>4826</v>
      </c>
      <c r="BD15" t="s">
        <v>2706</v>
      </c>
      <c r="BE15" t="s">
        <v>3</v>
      </c>
      <c r="BF15" t="s">
        <v>3</v>
      </c>
      <c r="BG15" t="s">
        <v>3</v>
      </c>
      <c r="BH15" t="s">
        <v>3</v>
      </c>
      <c r="BI15" t="s">
        <v>3</v>
      </c>
      <c r="BJ15" t="s">
        <v>4989</v>
      </c>
      <c r="BK15" t="s">
        <v>3</v>
      </c>
      <c r="BL15" t="s">
        <v>96</v>
      </c>
      <c r="BM15" t="s">
        <v>1</v>
      </c>
      <c r="BN15">
        <v>14800</v>
      </c>
      <c r="BO15" t="s">
        <v>1</v>
      </c>
      <c r="BP15" t="s">
        <v>1</v>
      </c>
      <c r="BQ15" t="s">
        <v>1</v>
      </c>
      <c r="BR15" t="s">
        <v>1</v>
      </c>
      <c r="BS15" t="s">
        <v>1</v>
      </c>
      <c r="BT15" t="s">
        <v>1</v>
      </c>
      <c r="BU15" t="s">
        <v>1</v>
      </c>
      <c r="BV15" t="s">
        <v>1</v>
      </c>
      <c r="BW15" t="s">
        <v>0</v>
      </c>
      <c r="BX15" t="s">
        <v>1</v>
      </c>
      <c r="BY15" t="s">
        <v>1</v>
      </c>
      <c r="BZ15" t="s">
        <v>1</v>
      </c>
      <c r="CA15" t="s">
        <v>1</v>
      </c>
      <c r="CB15" t="s">
        <v>1</v>
      </c>
      <c r="CD15" t="e" cm="1">
        <f t="array" aca="1" ref="CD15" ca="1">eConcatenar(A15:CB15,"|")</f>
        <v>#NAME?</v>
      </c>
    </row>
    <row r="16" spans="1:82" x14ac:dyDescent="0.25">
      <c r="A16" t="s">
        <v>111</v>
      </c>
      <c r="B16" t="s">
        <v>1118</v>
      </c>
      <c r="C16">
        <v>3</v>
      </c>
      <c r="D16" t="s">
        <v>2155</v>
      </c>
      <c r="E16" t="s">
        <v>2158</v>
      </c>
      <c r="F16" t="s">
        <v>2162</v>
      </c>
      <c r="G16" t="s">
        <v>2176</v>
      </c>
      <c r="H16" t="s">
        <v>2707</v>
      </c>
      <c r="I16">
        <v>12900</v>
      </c>
      <c r="J16">
        <v>0</v>
      </c>
      <c r="K16">
        <v>200</v>
      </c>
      <c r="L16">
        <v>50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 t="s">
        <v>3148</v>
      </c>
      <c r="AC16" t="s">
        <v>3143</v>
      </c>
      <c r="AD16" t="s">
        <v>3149</v>
      </c>
      <c r="AE16" t="s">
        <v>4</v>
      </c>
      <c r="AF16" t="s">
        <v>1</v>
      </c>
      <c r="AG16" t="s">
        <v>1</v>
      </c>
      <c r="AH16" t="s">
        <v>4096</v>
      </c>
      <c r="AI16" t="s">
        <v>2176</v>
      </c>
      <c r="AJ16" t="s">
        <v>1</v>
      </c>
      <c r="AK16">
        <v>9931116806</v>
      </c>
      <c r="AL16" t="s">
        <v>1</v>
      </c>
      <c r="AM16" t="s">
        <v>1</v>
      </c>
      <c r="AN16" t="s">
        <v>1</v>
      </c>
      <c r="AO16" t="s">
        <v>4096</v>
      </c>
      <c r="AP16" t="s">
        <v>1</v>
      </c>
      <c r="AQ16" t="s">
        <v>2</v>
      </c>
      <c r="AR16" t="s">
        <v>1</v>
      </c>
      <c r="AS16" t="s">
        <v>1</v>
      </c>
      <c r="AT16" t="s">
        <v>1</v>
      </c>
      <c r="AU16" t="s">
        <v>1</v>
      </c>
      <c r="AV16" t="s">
        <v>1</v>
      </c>
      <c r="AW16" t="s">
        <v>9</v>
      </c>
      <c r="AX16">
        <f>Tabla1[[#This Row],[precio del paquete]]-Tabla1[[#This Row],[Saldo_Deudor]]</f>
        <v>2000</v>
      </c>
      <c r="AY16">
        <v>10900</v>
      </c>
      <c r="AZ16">
        <v>0</v>
      </c>
      <c r="BA16">
        <v>0</v>
      </c>
      <c r="BB16">
        <v>0</v>
      </c>
      <c r="BC16" t="s">
        <v>2841</v>
      </c>
      <c r="BD16" t="s">
        <v>2701</v>
      </c>
      <c r="BE16" t="s">
        <v>3</v>
      </c>
      <c r="BF16" t="s">
        <v>3</v>
      </c>
      <c r="BG16" t="s">
        <v>3</v>
      </c>
      <c r="BH16" t="s">
        <v>3</v>
      </c>
      <c r="BI16" t="s">
        <v>3</v>
      </c>
      <c r="BJ16" t="s">
        <v>4989</v>
      </c>
      <c r="BK16" t="s">
        <v>3</v>
      </c>
      <c r="BL16" t="s">
        <v>96</v>
      </c>
      <c r="BM16" t="s">
        <v>1</v>
      </c>
      <c r="BN16">
        <v>12900</v>
      </c>
      <c r="BO16" t="s">
        <v>1</v>
      </c>
      <c r="BP16" t="s">
        <v>1</v>
      </c>
      <c r="BQ16" t="s">
        <v>1</v>
      </c>
      <c r="BR16" t="s">
        <v>1</v>
      </c>
      <c r="BS16" t="s">
        <v>1</v>
      </c>
      <c r="BT16" t="s">
        <v>1</v>
      </c>
      <c r="BU16" t="s">
        <v>1</v>
      </c>
      <c r="BV16" t="s">
        <v>1</v>
      </c>
      <c r="BW16" t="s">
        <v>0</v>
      </c>
      <c r="BX16" t="s">
        <v>1</v>
      </c>
      <c r="BY16" t="s">
        <v>1</v>
      </c>
      <c r="BZ16" t="s">
        <v>1</v>
      </c>
      <c r="CA16" t="s">
        <v>1</v>
      </c>
      <c r="CB16" t="s">
        <v>1</v>
      </c>
      <c r="CD16" t="e" cm="1">
        <f t="array" aca="1" ref="CD16" ca="1">eConcatenar(A16:CB16,"|")</f>
        <v>#NAME?</v>
      </c>
    </row>
    <row r="17" spans="1:82" x14ac:dyDescent="0.25">
      <c r="A17" t="s">
        <v>112</v>
      </c>
      <c r="B17" t="s">
        <v>1119</v>
      </c>
      <c r="C17">
        <v>3</v>
      </c>
      <c r="D17" t="s">
        <v>2153</v>
      </c>
      <c r="E17" t="s">
        <v>2158</v>
      </c>
      <c r="F17" t="s">
        <v>2159</v>
      </c>
      <c r="G17" t="s">
        <v>2177</v>
      </c>
      <c r="H17" t="s">
        <v>2708</v>
      </c>
      <c r="I17">
        <v>14800</v>
      </c>
      <c r="J17">
        <v>0</v>
      </c>
      <c r="K17">
        <v>200</v>
      </c>
      <c r="L17">
        <v>50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 t="s">
        <v>3117</v>
      </c>
      <c r="AC17" t="s">
        <v>3150</v>
      </c>
      <c r="AD17" t="s">
        <v>3151</v>
      </c>
      <c r="AE17" t="s">
        <v>4</v>
      </c>
      <c r="AF17" t="s">
        <v>1</v>
      </c>
      <c r="AG17" t="s">
        <v>1</v>
      </c>
      <c r="AH17" t="s">
        <v>4097</v>
      </c>
      <c r="AI17" t="s">
        <v>2177</v>
      </c>
      <c r="AJ17" t="s">
        <v>1</v>
      </c>
      <c r="AK17">
        <v>9331068186</v>
      </c>
      <c r="AL17" t="s">
        <v>1</v>
      </c>
      <c r="AM17" t="s">
        <v>1</v>
      </c>
      <c r="AN17" t="s">
        <v>1</v>
      </c>
      <c r="AO17" t="s">
        <v>4097</v>
      </c>
      <c r="AP17" t="s">
        <v>1</v>
      </c>
      <c r="AQ17" t="s">
        <v>2</v>
      </c>
      <c r="AR17" t="s">
        <v>1</v>
      </c>
      <c r="AS17" t="s">
        <v>1</v>
      </c>
      <c r="AT17" t="s">
        <v>1</v>
      </c>
      <c r="AU17" t="s">
        <v>1</v>
      </c>
      <c r="AV17" t="s">
        <v>1</v>
      </c>
      <c r="AW17" t="s">
        <v>9</v>
      </c>
      <c r="AX17">
        <f>Tabla1[[#This Row],[precio del paquete]]-Tabla1[[#This Row],[Saldo_Deudor]]</f>
        <v>1000</v>
      </c>
      <c r="AY17">
        <v>13800</v>
      </c>
      <c r="AZ17">
        <v>0</v>
      </c>
      <c r="BA17">
        <v>0</v>
      </c>
      <c r="BB17">
        <v>0</v>
      </c>
      <c r="BC17" t="s">
        <v>3061</v>
      </c>
      <c r="BD17" t="s">
        <v>3040</v>
      </c>
      <c r="BE17" t="s">
        <v>3</v>
      </c>
      <c r="BF17" t="s">
        <v>3</v>
      </c>
      <c r="BG17" t="s">
        <v>3</v>
      </c>
      <c r="BH17" t="s">
        <v>3</v>
      </c>
      <c r="BI17" t="s">
        <v>3</v>
      </c>
      <c r="BJ17" t="s">
        <v>4990</v>
      </c>
      <c r="BK17" t="s">
        <v>3</v>
      </c>
      <c r="BL17" t="s">
        <v>96</v>
      </c>
      <c r="BM17" t="s">
        <v>1</v>
      </c>
      <c r="BN17">
        <v>14800</v>
      </c>
      <c r="BO17" t="s">
        <v>1</v>
      </c>
      <c r="BP17" t="s">
        <v>1</v>
      </c>
      <c r="BQ17" t="s">
        <v>1</v>
      </c>
      <c r="BR17" t="s">
        <v>1</v>
      </c>
      <c r="BS17" t="s">
        <v>1</v>
      </c>
      <c r="BT17" t="s">
        <v>1</v>
      </c>
      <c r="BU17" t="s">
        <v>1</v>
      </c>
      <c r="BV17" t="s">
        <v>1</v>
      </c>
      <c r="BW17" t="s">
        <v>0</v>
      </c>
      <c r="BX17" t="s">
        <v>1</v>
      </c>
      <c r="BY17" t="s">
        <v>1</v>
      </c>
      <c r="BZ17" t="s">
        <v>1</v>
      </c>
      <c r="CA17" t="s">
        <v>1</v>
      </c>
      <c r="CB17" t="s">
        <v>1</v>
      </c>
      <c r="CD17" t="e" cm="1">
        <f t="array" aca="1" ref="CD17" ca="1">eConcatenar(A17:CB17,"|")</f>
        <v>#NAME?</v>
      </c>
    </row>
    <row r="18" spans="1:82" x14ac:dyDescent="0.25">
      <c r="A18" t="s">
        <v>113</v>
      </c>
      <c r="B18" t="s">
        <v>1120</v>
      </c>
      <c r="C18">
        <v>3</v>
      </c>
      <c r="D18" t="s">
        <v>2154</v>
      </c>
      <c r="E18" t="s">
        <v>2158</v>
      </c>
      <c r="F18" t="s">
        <v>2159</v>
      </c>
      <c r="G18" t="s">
        <v>2177</v>
      </c>
      <c r="H18" t="s">
        <v>2708</v>
      </c>
      <c r="I18">
        <v>24500</v>
      </c>
      <c r="J18">
        <v>0</v>
      </c>
      <c r="K18">
        <v>200</v>
      </c>
      <c r="L18">
        <v>50</v>
      </c>
      <c r="M18">
        <v>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 t="s">
        <v>3152</v>
      </c>
      <c r="AC18" t="s">
        <v>5</v>
      </c>
      <c r="AD18" t="s">
        <v>3153</v>
      </c>
      <c r="AE18" t="s">
        <v>4</v>
      </c>
      <c r="AF18" t="s">
        <v>1</v>
      </c>
      <c r="AG18" t="s">
        <v>1</v>
      </c>
      <c r="AH18" t="s">
        <v>2207</v>
      </c>
      <c r="AI18" t="s">
        <v>2177</v>
      </c>
      <c r="AJ18" t="s">
        <v>1</v>
      </c>
      <c r="AK18">
        <v>9331018124</v>
      </c>
      <c r="AL18" t="s">
        <v>1</v>
      </c>
      <c r="AM18" t="s">
        <v>1</v>
      </c>
      <c r="AN18" t="s">
        <v>1</v>
      </c>
      <c r="AO18" t="s">
        <v>2207</v>
      </c>
      <c r="AP18" t="s">
        <v>1</v>
      </c>
      <c r="AQ18" t="s">
        <v>2</v>
      </c>
      <c r="AR18" t="s">
        <v>1</v>
      </c>
      <c r="AS18" t="s">
        <v>1</v>
      </c>
      <c r="AT18" t="s">
        <v>1</v>
      </c>
      <c r="AU18" t="s">
        <v>1</v>
      </c>
      <c r="AV18" t="s">
        <v>1</v>
      </c>
      <c r="AW18" t="s">
        <v>9</v>
      </c>
      <c r="AX18">
        <f>Tabla1[[#This Row],[precio del paquete]]-Tabla1[[#This Row],[Saldo_Deudor]]</f>
        <v>900</v>
      </c>
      <c r="AY18">
        <v>23600</v>
      </c>
      <c r="AZ18">
        <v>0</v>
      </c>
      <c r="BA18">
        <v>0</v>
      </c>
      <c r="BB18">
        <v>0</v>
      </c>
      <c r="BC18" t="s">
        <v>3061</v>
      </c>
      <c r="BD18" t="s">
        <v>3040</v>
      </c>
      <c r="BE18" t="s">
        <v>3</v>
      </c>
      <c r="BF18" t="s">
        <v>3</v>
      </c>
      <c r="BG18" t="s">
        <v>3</v>
      </c>
      <c r="BH18" t="s">
        <v>3</v>
      </c>
      <c r="BI18" t="s">
        <v>3</v>
      </c>
      <c r="BJ18" t="s">
        <v>4991</v>
      </c>
      <c r="BK18" t="s">
        <v>3</v>
      </c>
      <c r="BL18" t="s">
        <v>96</v>
      </c>
      <c r="BM18" t="s">
        <v>1</v>
      </c>
      <c r="BN18">
        <v>24500</v>
      </c>
      <c r="BO18" t="s">
        <v>1</v>
      </c>
      <c r="BP18" t="s">
        <v>1</v>
      </c>
      <c r="BQ18" t="s">
        <v>1</v>
      </c>
      <c r="BR18" t="s">
        <v>1</v>
      </c>
      <c r="BS18" t="s">
        <v>1</v>
      </c>
      <c r="BT18" t="s">
        <v>1</v>
      </c>
      <c r="BU18" t="s">
        <v>1</v>
      </c>
      <c r="BV18" t="s">
        <v>1</v>
      </c>
      <c r="BW18" t="s">
        <v>0</v>
      </c>
      <c r="BX18" t="s">
        <v>1</v>
      </c>
      <c r="BY18" t="s">
        <v>1</v>
      </c>
      <c r="BZ18" t="s">
        <v>1</v>
      </c>
      <c r="CA18" t="s">
        <v>1</v>
      </c>
      <c r="CB18" t="s">
        <v>1</v>
      </c>
      <c r="CD18" t="e" cm="1">
        <f t="array" aca="1" ref="CD18" ca="1">eConcatenar(A18:CB18,"|")</f>
        <v>#NAME?</v>
      </c>
    </row>
    <row r="19" spans="1:82" x14ac:dyDescent="0.25">
      <c r="A19" t="s">
        <v>114</v>
      </c>
      <c r="B19" t="s">
        <v>1121</v>
      </c>
      <c r="C19">
        <v>3</v>
      </c>
      <c r="D19" t="s">
        <v>2153</v>
      </c>
      <c r="E19" t="s">
        <v>2158</v>
      </c>
      <c r="F19" t="s">
        <v>0</v>
      </c>
      <c r="G19" t="s">
        <v>2178</v>
      </c>
      <c r="H19" t="s">
        <v>2709</v>
      </c>
      <c r="I19">
        <v>14800</v>
      </c>
      <c r="J19">
        <v>0</v>
      </c>
      <c r="K19">
        <v>300</v>
      </c>
      <c r="L19">
        <v>50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 t="s">
        <v>3154</v>
      </c>
      <c r="AC19" t="s">
        <v>3155</v>
      </c>
      <c r="AD19" t="s">
        <v>3156</v>
      </c>
      <c r="AE19" t="s">
        <v>4</v>
      </c>
      <c r="AF19" t="s">
        <v>1</v>
      </c>
      <c r="AG19" t="s">
        <v>1</v>
      </c>
      <c r="AH19" t="s">
        <v>4098</v>
      </c>
      <c r="AI19" t="s">
        <v>2178</v>
      </c>
      <c r="AJ19" t="s">
        <v>1</v>
      </c>
      <c r="AK19">
        <v>9331229818</v>
      </c>
      <c r="AL19" t="s">
        <v>1</v>
      </c>
      <c r="AM19" t="s">
        <v>1</v>
      </c>
      <c r="AN19" t="s">
        <v>1</v>
      </c>
      <c r="AO19" t="s">
        <v>4098</v>
      </c>
      <c r="AP19" t="s">
        <v>1</v>
      </c>
      <c r="AQ19" t="s">
        <v>2</v>
      </c>
      <c r="AR19" t="s">
        <v>1</v>
      </c>
      <c r="AS19" t="s">
        <v>1</v>
      </c>
      <c r="AT19" t="s">
        <v>1</v>
      </c>
      <c r="AU19" t="s">
        <v>1</v>
      </c>
      <c r="AV19" t="s">
        <v>1</v>
      </c>
      <c r="AW19" t="s">
        <v>9</v>
      </c>
      <c r="AX19">
        <f>Tabla1[[#This Row],[precio del paquete]]-Tabla1[[#This Row],[Saldo_Deudor]]</f>
        <v>300</v>
      </c>
      <c r="AY19">
        <v>14500</v>
      </c>
      <c r="AZ19">
        <v>0</v>
      </c>
      <c r="BA19">
        <v>0</v>
      </c>
      <c r="BB19">
        <v>0</v>
      </c>
      <c r="BC19" t="s">
        <v>2709</v>
      </c>
      <c r="BD19" t="s">
        <v>2737</v>
      </c>
      <c r="BE19" t="s">
        <v>3</v>
      </c>
      <c r="BF19" t="s">
        <v>3</v>
      </c>
      <c r="BG19" t="s">
        <v>3</v>
      </c>
      <c r="BH19" t="s">
        <v>3</v>
      </c>
      <c r="BI19" t="s">
        <v>3</v>
      </c>
      <c r="BJ19" t="s">
        <v>4991</v>
      </c>
      <c r="BK19" t="s">
        <v>3</v>
      </c>
      <c r="BL19" t="s">
        <v>96</v>
      </c>
      <c r="BM19" t="s">
        <v>1</v>
      </c>
      <c r="BN19">
        <v>14800</v>
      </c>
      <c r="BO19" t="s">
        <v>1</v>
      </c>
      <c r="BP19" t="s">
        <v>1</v>
      </c>
      <c r="BQ19" t="s">
        <v>1</v>
      </c>
      <c r="BR19" t="s">
        <v>1</v>
      </c>
      <c r="BS19" t="s">
        <v>1</v>
      </c>
      <c r="BT19" t="s">
        <v>1</v>
      </c>
      <c r="BU19" t="s">
        <v>1</v>
      </c>
      <c r="BV19" t="s">
        <v>1</v>
      </c>
      <c r="BW19" t="s">
        <v>0</v>
      </c>
      <c r="BX19" t="s">
        <v>1</v>
      </c>
      <c r="BY19" t="s">
        <v>1</v>
      </c>
      <c r="BZ19" t="s">
        <v>1</v>
      </c>
      <c r="CA19" t="s">
        <v>1</v>
      </c>
      <c r="CB19" t="s">
        <v>1</v>
      </c>
      <c r="CD19" t="e" cm="1">
        <f t="array" aca="1" ref="CD19" ca="1">eConcatenar(A19:CB19,"|")</f>
        <v>#NAME?</v>
      </c>
    </row>
    <row r="20" spans="1:82" x14ac:dyDescent="0.25">
      <c r="A20" t="s">
        <v>115</v>
      </c>
      <c r="B20" t="s">
        <v>1122</v>
      </c>
      <c r="C20">
        <v>3</v>
      </c>
      <c r="D20" t="s">
        <v>2153</v>
      </c>
      <c r="E20" t="s">
        <v>10</v>
      </c>
      <c r="F20" t="s">
        <v>2159</v>
      </c>
      <c r="G20" t="s">
        <v>2179</v>
      </c>
      <c r="H20" t="s">
        <v>2710</v>
      </c>
      <c r="I20">
        <v>14800</v>
      </c>
      <c r="J20">
        <v>0</v>
      </c>
      <c r="K20">
        <v>400</v>
      </c>
      <c r="L20">
        <v>50</v>
      </c>
      <c r="M20">
        <v>2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 t="s">
        <v>3114</v>
      </c>
      <c r="AC20" t="s">
        <v>3157</v>
      </c>
      <c r="AD20" t="s">
        <v>3158</v>
      </c>
      <c r="AE20" t="s">
        <v>4</v>
      </c>
      <c r="AF20" t="s">
        <v>1</v>
      </c>
      <c r="AG20" t="s">
        <v>1</v>
      </c>
      <c r="AH20" t="s">
        <v>4099</v>
      </c>
      <c r="AI20" t="s">
        <v>2179</v>
      </c>
      <c r="AJ20" t="s">
        <v>1</v>
      </c>
      <c r="AK20">
        <v>9331572621</v>
      </c>
      <c r="AL20" t="s">
        <v>1</v>
      </c>
      <c r="AM20" t="s">
        <v>1</v>
      </c>
      <c r="AN20" t="s">
        <v>1</v>
      </c>
      <c r="AO20" t="s">
        <v>4099</v>
      </c>
      <c r="AP20" t="s">
        <v>1</v>
      </c>
      <c r="AQ20" t="s">
        <v>2</v>
      </c>
      <c r="AR20" t="s">
        <v>1</v>
      </c>
      <c r="AS20" t="s">
        <v>1</v>
      </c>
      <c r="AT20" t="s">
        <v>1</v>
      </c>
      <c r="AU20" t="s">
        <v>1</v>
      </c>
      <c r="AV20" t="s">
        <v>1</v>
      </c>
      <c r="AW20" t="s">
        <v>9</v>
      </c>
      <c r="AX20">
        <f>Tabla1[[#This Row],[precio del paquete]]-Tabla1[[#This Row],[Saldo_Deudor]]</f>
        <v>1100</v>
      </c>
      <c r="AY20">
        <v>13700</v>
      </c>
      <c r="AZ20">
        <v>0</v>
      </c>
      <c r="BA20">
        <v>0</v>
      </c>
      <c r="BB20">
        <v>0</v>
      </c>
      <c r="BC20" t="s">
        <v>4828</v>
      </c>
      <c r="BD20" t="s">
        <v>3098</v>
      </c>
      <c r="BE20" t="s">
        <v>3</v>
      </c>
      <c r="BF20" t="s">
        <v>3</v>
      </c>
      <c r="BG20" t="s">
        <v>3</v>
      </c>
      <c r="BH20" t="s">
        <v>3</v>
      </c>
      <c r="BI20" t="s">
        <v>3</v>
      </c>
      <c r="BJ20" t="s">
        <v>4992</v>
      </c>
      <c r="BK20" t="s">
        <v>3</v>
      </c>
      <c r="BL20" t="s">
        <v>96</v>
      </c>
      <c r="BM20" t="s">
        <v>1</v>
      </c>
      <c r="BN20">
        <v>14800</v>
      </c>
      <c r="BO20" t="s">
        <v>1</v>
      </c>
      <c r="BP20" t="s">
        <v>1</v>
      </c>
      <c r="BQ20" t="s">
        <v>1</v>
      </c>
      <c r="BR20" t="s">
        <v>1</v>
      </c>
      <c r="BS20" t="s">
        <v>1</v>
      </c>
      <c r="BT20" t="s">
        <v>1</v>
      </c>
      <c r="BU20" t="s">
        <v>1</v>
      </c>
      <c r="BV20" t="s">
        <v>1</v>
      </c>
      <c r="BW20" t="s">
        <v>0</v>
      </c>
      <c r="BX20" t="s">
        <v>1</v>
      </c>
      <c r="BY20" t="s">
        <v>1</v>
      </c>
      <c r="BZ20" t="s">
        <v>1</v>
      </c>
      <c r="CA20" t="s">
        <v>1</v>
      </c>
      <c r="CB20" t="s">
        <v>1</v>
      </c>
      <c r="CD20" t="e" cm="1">
        <f t="array" aca="1" ref="CD20" ca="1">eConcatenar(A20:CB20,"|")</f>
        <v>#NAME?</v>
      </c>
    </row>
    <row r="21" spans="1:82" x14ac:dyDescent="0.25">
      <c r="A21" t="s">
        <v>116</v>
      </c>
      <c r="B21" t="s">
        <v>1123</v>
      </c>
      <c r="C21">
        <v>3</v>
      </c>
      <c r="D21" t="s">
        <v>2153</v>
      </c>
      <c r="E21" t="s">
        <v>2158</v>
      </c>
      <c r="F21" t="s">
        <v>2159</v>
      </c>
      <c r="G21" t="s">
        <v>2180</v>
      </c>
      <c r="H21" t="s">
        <v>2710</v>
      </c>
      <c r="I21">
        <v>14800</v>
      </c>
      <c r="J21">
        <v>0</v>
      </c>
      <c r="K21">
        <v>100</v>
      </c>
      <c r="L21">
        <v>50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 t="s">
        <v>3115</v>
      </c>
      <c r="AC21" t="s">
        <v>3159</v>
      </c>
      <c r="AD21" t="s">
        <v>3160</v>
      </c>
      <c r="AE21" t="s">
        <v>4</v>
      </c>
      <c r="AF21" t="s">
        <v>1</v>
      </c>
      <c r="AG21" t="s">
        <v>1</v>
      </c>
      <c r="AH21" t="s">
        <v>4100</v>
      </c>
      <c r="AI21" t="s">
        <v>2180</v>
      </c>
      <c r="AJ21" t="s">
        <v>1</v>
      </c>
      <c r="AK21">
        <v>9331553853</v>
      </c>
      <c r="AL21" t="s">
        <v>1</v>
      </c>
      <c r="AM21" t="s">
        <v>1</v>
      </c>
      <c r="AN21" t="s">
        <v>1</v>
      </c>
      <c r="AO21" t="s">
        <v>4100</v>
      </c>
      <c r="AP21" t="s">
        <v>1</v>
      </c>
      <c r="AQ21" t="s">
        <v>2</v>
      </c>
      <c r="AR21" t="s">
        <v>1</v>
      </c>
      <c r="AS21" t="s">
        <v>1</v>
      </c>
      <c r="AT21" t="s">
        <v>1</v>
      </c>
      <c r="AU21" t="s">
        <v>1</v>
      </c>
      <c r="AV21" t="s">
        <v>1</v>
      </c>
      <c r="AW21" t="s">
        <v>9</v>
      </c>
      <c r="AX21">
        <f>Tabla1[[#This Row],[precio del paquete]]-Tabla1[[#This Row],[Saldo_Deudor]]</f>
        <v>1300</v>
      </c>
      <c r="AY21">
        <v>13500</v>
      </c>
      <c r="AZ21">
        <v>0</v>
      </c>
      <c r="BA21">
        <v>0</v>
      </c>
      <c r="BB21">
        <v>0</v>
      </c>
      <c r="BC21" t="s">
        <v>2706</v>
      </c>
      <c r="BD21" t="s">
        <v>4899</v>
      </c>
      <c r="BE21" t="s">
        <v>3</v>
      </c>
      <c r="BF21" t="s">
        <v>3</v>
      </c>
      <c r="BG21" t="s">
        <v>3</v>
      </c>
      <c r="BH21" t="s">
        <v>3</v>
      </c>
      <c r="BI21" t="s">
        <v>3</v>
      </c>
      <c r="BJ21" t="s">
        <v>4993</v>
      </c>
      <c r="BK21" t="s">
        <v>3</v>
      </c>
      <c r="BL21" t="s">
        <v>96</v>
      </c>
      <c r="BM21" t="s">
        <v>1</v>
      </c>
      <c r="BN21">
        <v>14800</v>
      </c>
      <c r="BO21" t="s">
        <v>1</v>
      </c>
      <c r="BP21" t="s">
        <v>1</v>
      </c>
      <c r="BQ21" t="s">
        <v>1</v>
      </c>
      <c r="BR21" t="s">
        <v>1</v>
      </c>
      <c r="BS21" t="s">
        <v>1</v>
      </c>
      <c r="BT21" t="s">
        <v>1</v>
      </c>
      <c r="BU21" t="s">
        <v>1</v>
      </c>
      <c r="BV21" t="s">
        <v>1</v>
      </c>
      <c r="BW21" t="s">
        <v>0</v>
      </c>
      <c r="BX21" t="s">
        <v>1</v>
      </c>
      <c r="BY21" t="s">
        <v>1</v>
      </c>
      <c r="BZ21" t="s">
        <v>1</v>
      </c>
      <c r="CA21" t="s">
        <v>1</v>
      </c>
      <c r="CB21" t="s">
        <v>1</v>
      </c>
      <c r="CD21" t="e" cm="1">
        <f t="array" aca="1" ref="CD21" ca="1">eConcatenar(A21:CB21,"|")</f>
        <v>#NAME?</v>
      </c>
    </row>
    <row r="22" spans="1:82" x14ac:dyDescent="0.25">
      <c r="A22" t="s">
        <v>117</v>
      </c>
      <c r="B22" t="s">
        <v>1124</v>
      </c>
      <c r="C22">
        <v>3</v>
      </c>
      <c r="D22" t="s">
        <v>2153</v>
      </c>
      <c r="E22" t="s">
        <v>2158</v>
      </c>
      <c r="F22" t="s">
        <v>2159</v>
      </c>
      <c r="G22" t="s">
        <v>2181</v>
      </c>
      <c r="H22" t="s">
        <v>2711</v>
      </c>
      <c r="I22">
        <v>14800</v>
      </c>
      <c r="J22">
        <v>0</v>
      </c>
      <c r="K22">
        <v>200</v>
      </c>
      <c r="L22">
        <v>50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 t="s">
        <v>3161</v>
      </c>
      <c r="AC22" t="s">
        <v>3162</v>
      </c>
      <c r="AD22" t="s">
        <v>3163</v>
      </c>
      <c r="AE22" t="s">
        <v>4</v>
      </c>
      <c r="AF22" t="s">
        <v>1</v>
      </c>
      <c r="AG22" t="s">
        <v>1</v>
      </c>
      <c r="AH22" t="s">
        <v>2181</v>
      </c>
      <c r="AI22" t="s">
        <v>2181</v>
      </c>
      <c r="AJ22" t="s">
        <v>1</v>
      </c>
      <c r="AK22">
        <v>9331010033</v>
      </c>
      <c r="AL22" t="s">
        <v>1</v>
      </c>
      <c r="AM22" t="s">
        <v>1</v>
      </c>
      <c r="AN22" t="s">
        <v>1</v>
      </c>
      <c r="AO22" t="s">
        <v>2181</v>
      </c>
      <c r="AP22" t="s">
        <v>1</v>
      </c>
      <c r="AQ22" t="s">
        <v>2</v>
      </c>
      <c r="AR22" t="s">
        <v>1</v>
      </c>
      <c r="AS22" t="s">
        <v>1</v>
      </c>
      <c r="AT22" t="s">
        <v>1</v>
      </c>
      <c r="AU22" t="s">
        <v>1</v>
      </c>
      <c r="AV22" t="s">
        <v>1</v>
      </c>
      <c r="AW22" t="s">
        <v>9</v>
      </c>
      <c r="AX22">
        <f>Tabla1[[#This Row],[precio del paquete]]-Tabla1[[#This Row],[Saldo_Deudor]]</f>
        <v>400</v>
      </c>
      <c r="AY22">
        <v>14400</v>
      </c>
      <c r="AZ22">
        <v>0</v>
      </c>
      <c r="BA22">
        <v>0</v>
      </c>
      <c r="BB22">
        <v>0</v>
      </c>
      <c r="BC22" t="s">
        <v>4829</v>
      </c>
      <c r="BD22" t="s">
        <v>4900</v>
      </c>
      <c r="BE22" t="s">
        <v>3</v>
      </c>
      <c r="BF22" t="s">
        <v>3</v>
      </c>
      <c r="BG22" t="s">
        <v>3</v>
      </c>
      <c r="BH22" t="s">
        <v>3</v>
      </c>
      <c r="BI22" t="s">
        <v>3</v>
      </c>
      <c r="BJ22" t="s">
        <v>4993</v>
      </c>
      <c r="BK22" t="s">
        <v>3</v>
      </c>
      <c r="BL22" t="s">
        <v>96</v>
      </c>
      <c r="BM22" t="s">
        <v>1</v>
      </c>
      <c r="BN22">
        <v>14800</v>
      </c>
      <c r="BO22" t="s">
        <v>1</v>
      </c>
      <c r="BP22" t="s">
        <v>1</v>
      </c>
      <c r="BQ22" t="s">
        <v>1</v>
      </c>
      <c r="BR22" t="s">
        <v>1</v>
      </c>
      <c r="BS22" t="s">
        <v>1</v>
      </c>
      <c r="BT22" t="s">
        <v>1</v>
      </c>
      <c r="BU22" t="s">
        <v>1</v>
      </c>
      <c r="BV22" t="s">
        <v>1</v>
      </c>
      <c r="BW22" t="s">
        <v>0</v>
      </c>
      <c r="BX22" t="s">
        <v>1</v>
      </c>
      <c r="BY22" t="s">
        <v>1</v>
      </c>
      <c r="BZ22" t="s">
        <v>1</v>
      </c>
      <c r="CA22" t="s">
        <v>1</v>
      </c>
      <c r="CB22" t="s">
        <v>1</v>
      </c>
      <c r="CD22" t="e" cm="1">
        <f t="array" aca="1" ref="CD22" ca="1">eConcatenar(A22:CB22,"|")</f>
        <v>#NAME?</v>
      </c>
    </row>
    <row r="23" spans="1:82" x14ac:dyDescent="0.25">
      <c r="A23" t="s">
        <v>118</v>
      </c>
      <c r="B23" t="s">
        <v>1125</v>
      </c>
      <c r="C23">
        <v>3</v>
      </c>
      <c r="D23" t="s">
        <v>2153</v>
      </c>
      <c r="E23" t="s">
        <v>10</v>
      </c>
      <c r="F23" t="s">
        <v>0</v>
      </c>
      <c r="G23" t="s">
        <v>2182</v>
      </c>
      <c r="H23" t="s">
        <v>2712</v>
      </c>
      <c r="I23">
        <v>14800</v>
      </c>
      <c r="J23">
        <v>0</v>
      </c>
      <c r="K23">
        <v>50</v>
      </c>
      <c r="L23">
        <v>50</v>
      </c>
      <c r="M23">
        <v>1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 t="s">
        <v>3164</v>
      </c>
      <c r="AC23" t="s">
        <v>3152</v>
      </c>
      <c r="AD23" t="s">
        <v>3165</v>
      </c>
      <c r="AE23" t="s">
        <v>4</v>
      </c>
      <c r="AF23" t="s">
        <v>1</v>
      </c>
      <c r="AG23" t="s">
        <v>1</v>
      </c>
      <c r="AH23" t="s">
        <v>4101</v>
      </c>
      <c r="AI23" t="s">
        <v>2182</v>
      </c>
      <c r="AJ23" t="s">
        <v>1</v>
      </c>
      <c r="AK23">
        <v>9371231944</v>
      </c>
      <c r="AL23" t="s">
        <v>1</v>
      </c>
      <c r="AM23" t="s">
        <v>1</v>
      </c>
      <c r="AN23" t="s">
        <v>1</v>
      </c>
      <c r="AO23" t="s">
        <v>4101</v>
      </c>
      <c r="AP23" t="s">
        <v>1</v>
      </c>
      <c r="AQ23" t="s">
        <v>2</v>
      </c>
      <c r="AR23" t="s">
        <v>1</v>
      </c>
      <c r="AS23" t="s">
        <v>1</v>
      </c>
      <c r="AT23" t="s">
        <v>1</v>
      </c>
      <c r="AU23" t="s">
        <v>1</v>
      </c>
      <c r="AV23" t="s">
        <v>1</v>
      </c>
      <c r="AW23" t="s">
        <v>9</v>
      </c>
      <c r="AX23">
        <f>Tabla1[[#This Row],[precio del paquete]]-Tabla1[[#This Row],[Saldo_Deudor]]</f>
        <v>50</v>
      </c>
      <c r="AY23">
        <v>14750</v>
      </c>
      <c r="AZ23">
        <v>0</v>
      </c>
      <c r="BA23">
        <v>0</v>
      </c>
      <c r="BB23">
        <v>0</v>
      </c>
      <c r="BC23" t="s">
        <v>2712</v>
      </c>
      <c r="BD23" t="s">
        <v>4901</v>
      </c>
      <c r="BE23" t="s">
        <v>3</v>
      </c>
      <c r="BF23" t="s">
        <v>3</v>
      </c>
      <c r="BG23" t="s">
        <v>3</v>
      </c>
      <c r="BH23" t="s">
        <v>3</v>
      </c>
      <c r="BI23" t="s">
        <v>3</v>
      </c>
      <c r="BJ23" t="s">
        <v>4993</v>
      </c>
      <c r="BK23" t="s">
        <v>3</v>
      </c>
      <c r="BL23" t="s">
        <v>96</v>
      </c>
      <c r="BM23" t="s">
        <v>1</v>
      </c>
      <c r="BN23">
        <v>14800</v>
      </c>
      <c r="BO23" t="s">
        <v>1</v>
      </c>
      <c r="BP23" t="s">
        <v>1</v>
      </c>
      <c r="BQ23" t="s">
        <v>1</v>
      </c>
      <c r="BR23" t="s">
        <v>1</v>
      </c>
      <c r="BS23" t="s">
        <v>1</v>
      </c>
      <c r="BT23" t="s">
        <v>1</v>
      </c>
      <c r="BU23" t="s">
        <v>1</v>
      </c>
      <c r="BV23" t="s">
        <v>1</v>
      </c>
      <c r="BW23" t="s">
        <v>0</v>
      </c>
      <c r="BX23" t="s">
        <v>1</v>
      </c>
      <c r="BY23" t="s">
        <v>1</v>
      </c>
      <c r="BZ23" t="s">
        <v>1</v>
      </c>
      <c r="CA23" t="s">
        <v>1</v>
      </c>
      <c r="CB23" t="s">
        <v>1</v>
      </c>
      <c r="CD23" t="e" cm="1">
        <f t="array" aca="1" ref="CD23" ca="1">eConcatenar(A23:CB23,"|")</f>
        <v>#NAME?</v>
      </c>
    </row>
    <row r="24" spans="1:82" x14ac:dyDescent="0.25">
      <c r="A24" t="s">
        <v>119</v>
      </c>
      <c r="B24" t="s">
        <v>1126</v>
      </c>
      <c r="C24">
        <v>3</v>
      </c>
      <c r="D24" t="s">
        <v>2156</v>
      </c>
      <c r="E24" t="s">
        <v>10</v>
      </c>
      <c r="F24" t="s">
        <v>0</v>
      </c>
      <c r="G24" t="s">
        <v>2182</v>
      </c>
      <c r="H24" t="s">
        <v>2713</v>
      </c>
      <c r="I24">
        <v>19800</v>
      </c>
      <c r="J24">
        <v>0</v>
      </c>
      <c r="K24">
        <v>100</v>
      </c>
      <c r="L24">
        <v>50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 t="s">
        <v>6</v>
      </c>
      <c r="AC24" t="s">
        <v>3115</v>
      </c>
      <c r="AD24" t="s">
        <v>3166</v>
      </c>
      <c r="AE24" t="s">
        <v>4</v>
      </c>
      <c r="AF24" t="s">
        <v>1</v>
      </c>
      <c r="AG24" t="s">
        <v>1</v>
      </c>
      <c r="AH24" t="s">
        <v>4102</v>
      </c>
      <c r="AI24" t="s">
        <v>2182</v>
      </c>
      <c r="AJ24" t="s">
        <v>1</v>
      </c>
      <c r="AK24">
        <v>9372711134</v>
      </c>
      <c r="AL24" t="s">
        <v>1</v>
      </c>
      <c r="AM24" t="s">
        <v>1</v>
      </c>
      <c r="AN24" t="s">
        <v>1</v>
      </c>
      <c r="AO24" t="s">
        <v>4102</v>
      </c>
      <c r="AP24" t="s">
        <v>1</v>
      </c>
      <c r="AQ24" t="s">
        <v>2</v>
      </c>
      <c r="AR24" t="s">
        <v>1</v>
      </c>
      <c r="AS24" t="s">
        <v>1</v>
      </c>
      <c r="AT24" t="s">
        <v>1</v>
      </c>
      <c r="AU24" t="s">
        <v>1</v>
      </c>
      <c r="AV24" t="s">
        <v>1</v>
      </c>
      <c r="AW24" t="s">
        <v>9</v>
      </c>
      <c r="AX24">
        <f>Tabla1[[#This Row],[precio del paquete]]-Tabla1[[#This Row],[Saldo_Deudor]]</f>
        <v>2000</v>
      </c>
      <c r="AY24">
        <v>17800</v>
      </c>
      <c r="AZ24">
        <v>0</v>
      </c>
      <c r="BA24">
        <v>0</v>
      </c>
      <c r="BB24">
        <v>0</v>
      </c>
      <c r="BC24" t="s">
        <v>2757</v>
      </c>
      <c r="BD24" t="s">
        <v>2998</v>
      </c>
      <c r="BE24" t="s">
        <v>3</v>
      </c>
      <c r="BF24" t="s">
        <v>3</v>
      </c>
      <c r="BG24" t="s">
        <v>3</v>
      </c>
      <c r="BH24" t="s">
        <v>3</v>
      </c>
      <c r="BI24" t="s">
        <v>3</v>
      </c>
      <c r="BJ24" t="s">
        <v>4985</v>
      </c>
      <c r="BK24" t="s">
        <v>3</v>
      </c>
      <c r="BL24" t="s">
        <v>96</v>
      </c>
      <c r="BM24" t="s">
        <v>1</v>
      </c>
      <c r="BN24">
        <v>19800</v>
      </c>
      <c r="BO24" t="s">
        <v>1</v>
      </c>
      <c r="BP24" t="s">
        <v>1</v>
      </c>
      <c r="BQ24" t="s">
        <v>1</v>
      </c>
      <c r="BR24" t="s">
        <v>1</v>
      </c>
      <c r="BS24" t="s">
        <v>1</v>
      </c>
      <c r="BT24" t="s">
        <v>1</v>
      </c>
      <c r="BU24" t="s">
        <v>1</v>
      </c>
      <c r="BV24" t="s">
        <v>1</v>
      </c>
      <c r="BW24" t="s">
        <v>0</v>
      </c>
      <c r="BX24" t="s">
        <v>1</v>
      </c>
      <c r="BY24" t="s">
        <v>1</v>
      </c>
      <c r="BZ24" t="s">
        <v>1</v>
      </c>
      <c r="CA24" t="s">
        <v>1</v>
      </c>
      <c r="CB24" t="s">
        <v>1</v>
      </c>
      <c r="CD24" t="e" cm="1">
        <f t="array" aca="1" ref="CD24" ca="1">eConcatenar(A24:CB24,"|")</f>
        <v>#NAME?</v>
      </c>
    </row>
    <row r="25" spans="1:82" x14ac:dyDescent="0.25">
      <c r="A25" t="s">
        <v>120</v>
      </c>
      <c r="B25" t="s">
        <v>1127</v>
      </c>
      <c r="C25">
        <v>3</v>
      </c>
      <c r="D25" t="s">
        <v>2153</v>
      </c>
      <c r="E25" t="s">
        <v>10</v>
      </c>
      <c r="F25" t="s">
        <v>0</v>
      </c>
      <c r="G25" t="s">
        <v>2182</v>
      </c>
      <c r="H25" t="s">
        <v>2714</v>
      </c>
      <c r="I25">
        <v>14800</v>
      </c>
      <c r="J25">
        <v>0</v>
      </c>
      <c r="K25">
        <v>100</v>
      </c>
      <c r="L25">
        <v>50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 t="s">
        <v>3167</v>
      </c>
      <c r="AC25" t="s">
        <v>3168</v>
      </c>
      <c r="AD25" t="s">
        <v>3169</v>
      </c>
      <c r="AE25" t="s">
        <v>4</v>
      </c>
      <c r="AF25" t="s">
        <v>1</v>
      </c>
      <c r="AG25" t="s">
        <v>1</v>
      </c>
      <c r="AH25" t="s">
        <v>4103</v>
      </c>
      <c r="AI25" t="s">
        <v>2182</v>
      </c>
      <c r="AJ25" t="s">
        <v>1</v>
      </c>
      <c r="AK25">
        <v>9371663752</v>
      </c>
      <c r="AL25" t="s">
        <v>1</v>
      </c>
      <c r="AM25" t="s">
        <v>1</v>
      </c>
      <c r="AN25" t="s">
        <v>1</v>
      </c>
      <c r="AO25" t="s">
        <v>4103</v>
      </c>
      <c r="AP25" t="s">
        <v>1</v>
      </c>
      <c r="AQ25" t="s">
        <v>2</v>
      </c>
      <c r="AR25" t="s">
        <v>1</v>
      </c>
      <c r="AS25" t="s">
        <v>1</v>
      </c>
      <c r="AT25" t="s">
        <v>1</v>
      </c>
      <c r="AU25" t="s">
        <v>1</v>
      </c>
      <c r="AV25" t="s">
        <v>1</v>
      </c>
      <c r="AW25" t="s">
        <v>9</v>
      </c>
      <c r="AX25">
        <f>Tabla1[[#This Row],[precio del paquete]]-Tabla1[[#This Row],[Saldo_Deudor]]</f>
        <v>100</v>
      </c>
      <c r="AY25">
        <v>14700</v>
      </c>
      <c r="AZ25">
        <v>0</v>
      </c>
      <c r="BA25">
        <v>0</v>
      </c>
      <c r="BB25">
        <v>0</v>
      </c>
      <c r="BC25" t="s">
        <v>2714</v>
      </c>
      <c r="BD25" t="s">
        <v>2958</v>
      </c>
      <c r="BE25" t="s">
        <v>3</v>
      </c>
      <c r="BF25" t="s">
        <v>3</v>
      </c>
      <c r="BG25" t="s">
        <v>3</v>
      </c>
      <c r="BH25" t="s">
        <v>3</v>
      </c>
      <c r="BI25" t="s">
        <v>3</v>
      </c>
      <c r="BJ25" t="s">
        <v>4985</v>
      </c>
      <c r="BK25" t="s">
        <v>3</v>
      </c>
      <c r="BL25" t="s">
        <v>96</v>
      </c>
      <c r="BM25" t="s">
        <v>1</v>
      </c>
      <c r="BN25">
        <v>14800</v>
      </c>
      <c r="BO25" t="s">
        <v>1</v>
      </c>
      <c r="BP25" t="s">
        <v>1</v>
      </c>
      <c r="BQ25" t="s">
        <v>1</v>
      </c>
      <c r="BR25" t="s">
        <v>1</v>
      </c>
      <c r="BS25" t="s">
        <v>1</v>
      </c>
      <c r="BT25" t="s">
        <v>1</v>
      </c>
      <c r="BU25" t="s">
        <v>1</v>
      </c>
      <c r="BV25" t="s">
        <v>1</v>
      </c>
      <c r="BW25" t="s">
        <v>0</v>
      </c>
      <c r="BX25" t="s">
        <v>1</v>
      </c>
      <c r="BY25" t="s">
        <v>1</v>
      </c>
      <c r="BZ25" t="s">
        <v>1</v>
      </c>
      <c r="CA25" t="s">
        <v>1</v>
      </c>
      <c r="CB25" t="s">
        <v>1</v>
      </c>
      <c r="CD25" t="e" cm="1">
        <f t="array" aca="1" ref="CD25" ca="1">eConcatenar(A25:CB25,"|")</f>
        <v>#NAME?</v>
      </c>
    </row>
    <row r="26" spans="1:82" x14ac:dyDescent="0.25">
      <c r="A26" t="s">
        <v>121</v>
      </c>
      <c r="B26" t="s">
        <v>1128</v>
      </c>
      <c r="C26">
        <v>3</v>
      </c>
      <c r="D26" t="s">
        <v>2153</v>
      </c>
      <c r="E26" t="s">
        <v>2158</v>
      </c>
      <c r="F26" t="s">
        <v>0</v>
      </c>
      <c r="G26" t="s">
        <v>2183</v>
      </c>
      <c r="H26" t="s">
        <v>2697</v>
      </c>
      <c r="I26">
        <v>14800</v>
      </c>
      <c r="J26">
        <v>0</v>
      </c>
      <c r="K26">
        <v>50</v>
      </c>
      <c r="L26">
        <v>50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 t="s">
        <v>5</v>
      </c>
      <c r="AC26" t="s">
        <v>3164</v>
      </c>
      <c r="AD26" t="s">
        <v>3170</v>
      </c>
      <c r="AE26" t="s">
        <v>4</v>
      </c>
      <c r="AF26" t="s">
        <v>1</v>
      </c>
      <c r="AG26" t="s">
        <v>1</v>
      </c>
      <c r="AH26" t="s">
        <v>4104</v>
      </c>
      <c r="AI26" t="s">
        <v>2183</v>
      </c>
      <c r="AJ26" t="s">
        <v>1</v>
      </c>
      <c r="AK26">
        <v>9371479107</v>
      </c>
      <c r="AL26" t="s">
        <v>1</v>
      </c>
      <c r="AM26" t="s">
        <v>1</v>
      </c>
      <c r="AN26" t="s">
        <v>1</v>
      </c>
      <c r="AO26" t="s">
        <v>4104</v>
      </c>
      <c r="AP26" t="s">
        <v>1</v>
      </c>
      <c r="AQ26" t="s">
        <v>2</v>
      </c>
      <c r="AR26" t="s">
        <v>1</v>
      </c>
      <c r="AS26" t="s">
        <v>1</v>
      </c>
      <c r="AT26" t="s">
        <v>1</v>
      </c>
      <c r="AU26" t="s">
        <v>1</v>
      </c>
      <c r="AV26" t="s">
        <v>1</v>
      </c>
      <c r="AW26" t="s">
        <v>9</v>
      </c>
      <c r="AX26">
        <f>Tabla1[[#This Row],[precio del paquete]]-Tabla1[[#This Row],[Saldo_Deudor]]</f>
        <v>1250</v>
      </c>
      <c r="AY26">
        <v>13550</v>
      </c>
      <c r="AZ26">
        <v>0</v>
      </c>
      <c r="BA26">
        <v>0</v>
      </c>
      <c r="BB26">
        <v>0</v>
      </c>
      <c r="BC26" t="s">
        <v>2711</v>
      </c>
      <c r="BD26" t="s">
        <v>2712</v>
      </c>
      <c r="BE26" t="s">
        <v>3</v>
      </c>
      <c r="BF26" t="s">
        <v>3</v>
      </c>
      <c r="BG26" t="s">
        <v>3</v>
      </c>
      <c r="BH26" t="s">
        <v>3</v>
      </c>
      <c r="BI26" t="s">
        <v>3</v>
      </c>
      <c r="BJ26" t="s">
        <v>4985</v>
      </c>
      <c r="BK26" t="s">
        <v>3</v>
      </c>
      <c r="BL26" t="s">
        <v>96</v>
      </c>
      <c r="BM26" t="s">
        <v>1</v>
      </c>
      <c r="BN26">
        <v>14800</v>
      </c>
      <c r="BO26" t="s">
        <v>1</v>
      </c>
      <c r="BP26" t="s">
        <v>1</v>
      </c>
      <c r="BQ26" t="s">
        <v>1</v>
      </c>
      <c r="BR26" t="s">
        <v>1</v>
      </c>
      <c r="BS26" t="s">
        <v>1</v>
      </c>
      <c r="BT26" t="s">
        <v>1</v>
      </c>
      <c r="BU26" t="s">
        <v>1</v>
      </c>
      <c r="BV26" t="s">
        <v>1</v>
      </c>
      <c r="BW26" t="s">
        <v>0</v>
      </c>
      <c r="BX26" t="s">
        <v>1</v>
      </c>
      <c r="BY26" t="s">
        <v>1</v>
      </c>
      <c r="BZ26" t="s">
        <v>1</v>
      </c>
      <c r="CA26" t="s">
        <v>1</v>
      </c>
      <c r="CB26" t="s">
        <v>1</v>
      </c>
      <c r="CD26" t="e" cm="1">
        <f t="array" aca="1" ref="CD26" ca="1">eConcatenar(A26:CB26,"|")</f>
        <v>#NAME?</v>
      </c>
    </row>
    <row r="27" spans="1:82" x14ac:dyDescent="0.25">
      <c r="A27" t="s">
        <v>122</v>
      </c>
      <c r="B27" t="s">
        <v>1129</v>
      </c>
      <c r="C27">
        <v>3</v>
      </c>
      <c r="D27" t="s">
        <v>2155</v>
      </c>
      <c r="E27" t="s">
        <v>2158</v>
      </c>
      <c r="F27" t="s">
        <v>0</v>
      </c>
      <c r="G27" t="s">
        <v>2184</v>
      </c>
      <c r="H27" t="s">
        <v>2715</v>
      </c>
      <c r="I27">
        <v>12900</v>
      </c>
      <c r="J27">
        <v>0</v>
      </c>
      <c r="K27">
        <v>200</v>
      </c>
      <c r="L27">
        <v>50</v>
      </c>
      <c r="M27">
        <v>2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 t="s">
        <v>3171</v>
      </c>
      <c r="AC27" t="s">
        <v>3172</v>
      </c>
      <c r="AD27" t="s">
        <v>3173</v>
      </c>
      <c r="AE27" t="s">
        <v>4</v>
      </c>
      <c r="AF27" t="s">
        <v>1</v>
      </c>
      <c r="AG27" t="s">
        <v>1</v>
      </c>
      <c r="AH27" t="s">
        <v>4105</v>
      </c>
      <c r="AI27" t="s">
        <v>2184</v>
      </c>
      <c r="AJ27" t="s">
        <v>1</v>
      </c>
      <c r="AK27">
        <v>9373770627</v>
      </c>
      <c r="AL27" t="s">
        <v>1</v>
      </c>
      <c r="AM27" t="s">
        <v>1</v>
      </c>
      <c r="AN27" t="s">
        <v>1</v>
      </c>
      <c r="AO27" t="s">
        <v>4105</v>
      </c>
      <c r="AP27" t="s">
        <v>1</v>
      </c>
      <c r="AQ27" t="s">
        <v>2</v>
      </c>
      <c r="AR27" t="s">
        <v>1</v>
      </c>
      <c r="AS27" t="s">
        <v>1</v>
      </c>
      <c r="AT27" t="s">
        <v>1</v>
      </c>
      <c r="AU27" t="s">
        <v>1</v>
      </c>
      <c r="AV27" t="s">
        <v>1</v>
      </c>
      <c r="AW27" t="s">
        <v>9</v>
      </c>
      <c r="AX27">
        <f>Tabla1[[#This Row],[precio del paquete]]-Tabla1[[#This Row],[Saldo_Deudor]]</f>
        <v>300</v>
      </c>
      <c r="AY27">
        <v>12600</v>
      </c>
      <c r="AZ27">
        <v>0</v>
      </c>
      <c r="BA27">
        <v>0</v>
      </c>
      <c r="BB27">
        <v>0</v>
      </c>
      <c r="BC27" t="s">
        <v>2909</v>
      </c>
      <c r="BD27" t="s">
        <v>2933</v>
      </c>
      <c r="BE27" t="s">
        <v>3</v>
      </c>
      <c r="BF27" t="s">
        <v>3</v>
      </c>
      <c r="BG27" t="s">
        <v>3</v>
      </c>
      <c r="BH27" t="s">
        <v>3</v>
      </c>
      <c r="BI27" t="s">
        <v>3</v>
      </c>
      <c r="BJ27" t="s">
        <v>4994</v>
      </c>
      <c r="BK27" t="s">
        <v>3</v>
      </c>
      <c r="BL27" t="s">
        <v>96</v>
      </c>
      <c r="BM27" t="s">
        <v>1</v>
      </c>
      <c r="BN27">
        <v>12900</v>
      </c>
      <c r="BO27" t="s">
        <v>1</v>
      </c>
      <c r="BP27" t="s">
        <v>1</v>
      </c>
      <c r="BQ27" t="s">
        <v>1</v>
      </c>
      <c r="BR27" t="s">
        <v>1</v>
      </c>
      <c r="BS27" t="s">
        <v>1</v>
      </c>
      <c r="BT27" t="s">
        <v>1</v>
      </c>
      <c r="BU27" t="s">
        <v>1</v>
      </c>
      <c r="BV27" t="s">
        <v>1</v>
      </c>
      <c r="BW27" t="s">
        <v>0</v>
      </c>
      <c r="BX27" t="s">
        <v>1</v>
      </c>
      <c r="BY27" t="s">
        <v>1</v>
      </c>
      <c r="BZ27" t="s">
        <v>1</v>
      </c>
      <c r="CA27" t="s">
        <v>1</v>
      </c>
      <c r="CB27" t="s">
        <v>1</v>
      </c>
      <c r="CD27" t="e" cm="1">
        <f t="array" aca="1" ref="CD27" ca="1">eConcatenar(A27:CB27,"|")</f>
        <v>#NAME?</v>
      </c>
    </row>
    <row r="28" spans="1:82" x14ac:dyDescent="0.25">
      <c r="A28" t="s">
        <v>123</v>
      </c>
      <c r="B28" t="s">
        <v>1130</v>
      </c>
      <c r="C28">
        <v>3</v>
      </c>
      <c r="D28" t="s">
        <v>2153</v>
      </c>
      <c r="E28" t="s">
        <v>2158</v>
      </c>
      <c r="F28" t="s">
        <v>2160</v>
      </c>
      <c r="G28" t="s">
        <v>2185</v>
      </c>
      <c r="H28" t="s">
        <v>2716</v>
      </c>
      <c r="I28">
        <v>14800</v>
      </c>
      <c r="J28">
        <v>0</v>
      </c>
      <c r="K28">
        <v>100</v>
      </c>
      <c r="L28">
        <v>50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 t="s">
        <v>3174</v>
      </c>
      <c r="AC28" t="s">
        <v>3175</v>
      </c>
      <c r="AD28" t="s">
        <v>3176</v>
      </c>
      <c r="AE28" t="s">
        <v>4</v>
      </c>
      <c r="AF28" t="s">
        <v>1</v>
      </c>
      <c r="AG28" t="s">
        <v>1</v>
      </c>
      <c r="AH28" t="s">
        <v>2185</v>
      </c>
      <c r="AI28" t="s">
        <v>2185</v>
      </c>
      <c r="AJ28" t="s">
        <v>1</v>
      </c>
      <c r="AK28">
        <v>9171180685</v>
      </c>
      <c r="AL28" t="s">
        <v>1</v>
      </c>
      <c r="AM28" t="s">
        <v>1</v>
      </c>
      <c r="AN28" t="s">
        <v>1</v>
      </c>
      <c r="AO28" t="s">
        <v>2185</v>
      </c>
      <c r="AP28" t="s">
        <v>1</v>
      </c>
      <c r="AQ28" t="s">
        <v>2</v>
      </c>
      <c r="AR28" t="s">
        <v>1</v>
      </c>
      <c r="AS28" t="s">
        <v>1</v>
      </c>
      <c r="AT28" t="s">
        <v>1</v>
      </c>
      <c r="AU28" t="s">
        <v>1</v>
      </c>
      <c r="AV28" t="s">
        <v>1</v>
      </c>
      <c r="AW28" t="s">
        <v>9</v>
      </c>
      <c r="AX28">
        <f>Tabla1[[#This Row],[precio del paquete]]-Tabla1[[#This Row],[Saldo_Deudor]]</f>
        <v>1700</v>
      </c>
      <c r="AY28">
        <v>13100</v>
      </c>
      <c r="AZ28">
        <v>0</v>
      </c>
      <c r="BA28">
        <v>0</v>
      </c>
      <c r="BB28">
        <v>0</v>
      </c>
      <c r="BC28" t="s">
        <v>3061</v>
      </c>
      <c r="BD28" t="s">
        <v>3040</v>
      </c>
      <c r="BE28" t="s">
        <v>3</v>
      </c>
      <c r="BF28" t="s">
        <v>3</v>
      </c>
      <c r="BG28" t="s">
        <v>3</v>
      </c>
      <c r="BH28" t="s">
        <v>3</v>
      </c>
      <c r="BI28" t="s">
        <v>3</v>
      </c>
      <c r="BJ28" t="s">
        <v>4995</v>
      </c>
      <c r="BK28" t="s">
        <v>3</v>
      </c>
      <c r="BL28" t="s">
        <v>96</v>
      </c>
      <c r="BM28" t="s">
        <v>1</v>
      </c>
      <c r="BN28">
        <v>14800</v>
      </c>
      <c r="BO28" t="s">
        <v>1</v>
      </c>
      <c r="BP28" t="s">
        <v>1</v>
      </c>
      <c r="BQ28" t="s">
        <v>1</v>
      </c>
      <c r="BR28" t="s">
        <v>1</v>
      </c>
      <c r="BS28" t="s">
        <v>1</v>
      </c>
      <c r="BT28" t="s">
        <v>1</v>
      </c>
      <c r="BU28" t="s">
        <v>1</v>
      </c>
      <c r="BV28" t="s">
        <v>1</v>
      </c>
      <c r="BW28" t="s">
        <v>0</v>
      </c>
      <c r="BX28" t="s">
        <v>1</v>
      </c>
      <c r="BY28" t="s">
        <v>1</v>
      </c>
      <c r="BZ28" t="s">
        <v>1</v>
      </c>
      <c r="CA28" t="s">
        <v>1</v>
      </c>
      <c r="CB28" t="s">
        <v>1</v>
      </c>
      <c r="CD28" t="e" cm="1">
        <f t="array" aca="1" ref="CD28" ca="1">eConcatenar(A28:CB28,"|")</f>
        <v>#NAME?</v>
      </c>
    </row>
    <row r="29" spans="1:82" x14ac:dyDescent="0.25">
      <c r="A29" t="s">
        <v>124</v>
      </c>
      <c r="B29" t="s">
        <v>1131</v>
      </c>
      <c r="C29">
        <v>3</v>
      </c>
      <c r="D29" t="s">
        <v>2153</v>
      </c>
      <c r="E29" t="s">
        <v>10</v>
      </c>
      <c r="F29" t="s">
        <v>0</v>
      </c>
      <c r="G29" t="s">
        <v>2186</v>
      </c>
      <c r="H29" t="s">
        <v>2697</v>
      </c>
      <c r="I29">
        <v>14800</v>
      </c>
      <c r="J29">
        <v>0</v>
      </c>
      <c r="K29">
        <v>50</v>
      </c>
      <c r="L29">
        <v>50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 t="s">
        <v>3168</v>
      </c>
      <c r="AC29" t="s">
        <v>3177</v>
      </c>
      <c r="AD29" t="s">
        <v>3170</v>
      </c>
      <c r="AE29" t="s">
        <v>4</v>
      </c>
      <c r="AF29" t="s">
        <v>1</v>
      </c>
      <c r="AG29" t="s">
        <v>1</v>
      </c>
      <c r="AH29" t="s">
        <v>4106</v>
      </c>
      <c r="AI29" t="s">
        <v>2186</v>
      </c>
      <c r="AJ29" t="s">
        <v>1</v>
      </c>
      <c r="AK29">
        <v>9371677012</v>
      </c>
      <c r="AL29" t="s">
        <v>1</v>
      </c>
      <c r="AM29" t="s">
        <v>1</v>
      </c>
      <c r="AN29" t="s">
        <v>1</v>
      </c>
      <c r="AO29" t="s">
        <v>4106</v>
      </c>
      <c r="AP29" t="s">
        <v>1</v>
      </c>
      <c r="AQ29" t="s">
        <v>2</v>
      </c>
      <c r="AR29" t="s">
        <v>1</v>
      </c>
      <c r="AS29" t="s">
        <v>1</v>
      </c>
      <c r="AT29" t="s">
        <v>1</v>
      </c>
      <c r="AU29" t="s">
        <v>1</v>
      </c>
      <c r="AV29" t="s">
        <v>1</v>
      </c>
      <c r="AW29" t="s">
        <v>9</v>
      </c>
      <c r="AX29">
        <f>Tabla1[[#This Row],[precio del paquete]]-Tabla1[[#This Row],[Saldo_Deudor]]</f>
        <v>1250</v>
      </c>
      <c r="AY29">
        <v>13550</v>
      </c>
      <c r="AZ29">
        <v>0</v>
      </c>
      <c r="BA29">
        <v>0</v>
      </c>
      <c r="BB29">
        <v>0</v>
      </c>
      <c r="BC29" t="s">
        <v>2831</v>
      </c>
      <c r="BD29" t="s">
        <v>2774</v>
      </c>
      <c r="BE29" t="s">
        <v>3</v>
      </c>
      <c r="BF29" t="s">
        <v>3</v>
      </c>
      <c r="BG29" t="s">
        <v>3</v>
      </c>
      <c r="BH29" t="s">
        <v>3</v>
      </c>
      <c r="BI29" t="s">
        <v>3</v>
      </c>
      <c r="BJ29" t="s">
        <v>4996</v>
      </c>
      <c r="BK29" t="s">
        <v>3</v>
      </c>
      <c r="BL29" t="s">
        <v>96</v>
      </c>
      <c r="BM29" t="s">
        <v>1</v>
      </c>
      <c r="BN29">
        <v>14800</v>
      </c>
      <c r="BO29" t="s">
        <v>1</v>
      </c>
      <c r="BP29" t="s">
        <v>1</v>
      </c>
      <c r="BQ29" t="s">
        <v>1</v>
      </c>
      <c r="BR29" t="s">
        <v>1</v>
      </c>
      <c r="BS29" t="s">
        <v>1</v>
      </c>
      <c r="BT29" t="s">
        <v>1</v>
      </c>
      <c r="BU29" t="s">
        <v>1</v>
      </c>
      <c r="BV29" t="s">
        <v>1</v>
      </c>
      <c r="BW29" t="s">
        <v>0</v>
      </c>
      <c r="BX29" t="s">
        <v>1</v>
      </c>
      <c r="BY29" t="s">
        <v>1</v>
      </c>
      <c r="BZ29" t="s">
        <v>1</v>
      </c>
      <c r="CA29" t="s">
        <v>1</v>
      </c>
      <c r="CB29" t="s">
        <v>1</v>
      </c>
      <c r="CD29" t="e" cm="1">
        <f t="array" aca="1" ref="CD29" ca="1">eConcatenar(A29:CB29,"|")</f>
        <v>#NAME?</v>
      </c>
    </row>
    <row r="30" spans="1:82" x14ac:dyDescent="0.25">
      <c r="A30" t="s">
        <v>125</v>
      </c>
      <c r="B30" t="s">
        <v>1132</v>
      </c>
      <c r="C30">
        <v>3</v>
      </c>
      <c r="D30" t="s">
        <v>2155</v>
      </c>
      <c r="E30" t="s">
        <v>2158</v>
      </c>
      <c r="F30" t="s">
        <v>2159</v>
      </c>
      <c r="G30" t="s">
        <v>2187</v>
      </c>
      <c r="H30" t="s">
        <v>2717</v>
      </c>
      <c r="I30">
        <v>12900</v>
      </c>
      <c r="J30">
        <v>0</v>
      </c>
      <c r="K30">
        <v>100</v>
      </c>
      <c r="L30">
        <v>50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 t="s">
        <v>3178</v>
      </c>
      <c r="AC30" t="s">
        <v>3177</v>
      </c>
      <c r="AD30" t="s">
        <v>3179</v>
      </c>
      <c r="AE30" t="s">
        <v>4</v>
      </c>
      <c r="AF30" t="s">
        <v>1</v>
      </c>
      <c r="AG30" t="s">
        <v>1</v>
      </c>
      <c r="AH30" t="s">
        <v>4107</v>
      </c>
      <c r="AI30" t="s">
        <v>2187</v>
      </c>
      <c r="AJ30" t="s">
        <v>1</v>
      </c>
      <c r="AK30">
        <v>9331238932</v>
      </c>
      <c r="AL30" t="s">
        <v>1</v>
      </c>
      <c r="AM30" t="s">
        <v>1</v>
      </c>
      <c r="AN30" t="s">
        <v>1</v>
      </c>
      <c r="AO30" t="s">
        <v>4107</v>
      </c>
      <c r="AP30" t="s">
        <v>1</v>
      </c>
      <c r="AQ30" t="s">
        <v>2</v>
      </c>
      <c r="AR30" t="s">
        <v>1</v>
      </c>
      <c r="AS30" t="s">
        <v>1</v>
      </c>
      <c r="AT30" t="s">
        <v>1</v>
      </c>
      <c r="AU30" t="s">
        <v>1</v>
      </c>
      <c r="AV30" t="s">
        <v>1</v>
      </c>
      <c r="AW30" t="s">
        <v>9</v>
      </c>
      <c r="AX30">
        <f>Tabla1[[#This Row],[precio del paquete]]-Tabla1[[#This Row],[Saldo_Deudor]]</f>
        <v>8200</v>
      </c>
      <c r="AY30">
        <v>4700</v>
      </c>
      <c r="AZ30">
        <v>0</v>
      </c>
      <c r="BA30">
        <v>0</v>
      </c>
      <c r="BB30">
        <v>0</v>
      </c>
      <c r="BC30" t="s">
        <v>4826</v>
      </c>
      <c r="BD30" t="s">
        <v>2706</v>
      </c>
      <c r="BE30" t="s">
        <v>3</v>
      </c>
      <c r="BF30" t="s">
        <v>3</v>
      </c>
      <c r="BG30" t="s">
        <v>3</v>
      </c>
      <c r="BH30" t="s">
        <v>3</v>
      </c>
      <c r="BI30" t="s">
        <v>3</v>
      </c>
      <c r="BJ30" t="s">
        <v>4985</v>
      </c>
      <c r="BK30" t="s">
        <v>3</v>
      </c>
      <c r="BL30" t="s">
        <v>96</v>
      </c>
      <c r="BM30" t="s">
        <v>1</v>
      </c>
      <c r="BN30">
        <v>12900</v>
      </c>
      <c r="BO30" t="s">
        <v>1</v>
      </c>
      <c r="BP30" t="s">
        <v>1</v>
      </c>
      <c r="BQ30" t="s">
        <v>1</v>
      </c>
      <c r="BR30" t="s">
        <v>1</v>
      </c>
      <c r="BS30" t="s">
        <v>1</v>
      </c>
      <c r="BT30" t="s">
        <v>1</v>
      </c>
      <c r="BU30" t="s">
        <v>1</v>
      </c>
      <c r="BV30" t="s">
        <v>1</v>
      </c>
      <c r="BW30" t="s">
        <v>0</v>
      </c>
      <c r="BX30" t="s">
        <v>1</v>
      </c>
      <c r="BY30" t="s">
        <v>1</v>
      </c>
      <c r="BZ30" t="s">
        <v>1</v>
      </c>
      <c r="CA30" t="s">
        <v>1</v>
      </c>
      <c r="CB30" t="s">
        <v>1</v>
      </c>
      <c r="CD30" t="e" cm="1">
        <f t="array" aca="1" ref="CD30" ca="1">eConcatenar(A30:CB30,"|")</f>
        <v>#NAME?</v>
      </c>
    </row>
    <row r="31" spans="1:82" x14ac:dyDescent="0.25">
      <c r="A31" t="s">
        <v>126</v>
      </c>
      <c r="B31" t="s">
        <v>1133</v>
      </c>
      <c r="C31">
        <v>3</v>
      </c>
      <c r="D31" t="s">
        <v>2157</v>
      </c>
      <c r="E31" t="s">
        <v>2158</v>
      </c>
      <c r="F31" t="s">
        <v>2162</v>
      </c>
      <c r="G31" t="s">
        <v>2188</v>
      </c>
      <c r="H31" t="s">
        <v>2718</v>
      </c>
      <c r="I31">
        <v>12900</v>
      </c>
      <c r="J31">
        <v>0</v>
      </c>
      <c r="K31">
        <v>100</v>
      </c>
      <c r="L31">
        <v>50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 t="s">
        <v>3180</v>
      </c>
      <c r="AC31" t="s">
        <v>3181</v>
      </c>
      <c r="AD31" t="s">
        <v>3182</v>
      </c>
      <c r="AE31" t="s">
        <v>4</v>
      </c>
      <c r="AF31" t="s">
        <v>1</v>
      </c>
      <c r="AG31" t="s">
        <v>1</v>
      </c>
      <c r="AH31" t="s">
        <v>4108</v>
      </c>
      <c r="AI31" t="s">
        <v>2188</v>
      </c>
      <c r="AJ31" t="s">
        <v>1</v>
      </c>
      <c r="AK31">
        <v>9141353720</v>
      </c>
      <c r="AL31" t="s">
        <v>1</v>
      </c>
      <c r="AM31" t="s">
        <v>1</v>
      </c>
      <c r="AN31" t="s">
        <v>1</v>
      </c>
      <c r="AO31" t="s">
        <v>4108</v>
      </c>
      <c r="AP31" t="s">
        <v>1</v>
      </c>
      <c r="AQ31" t="s">
        <v>2</v>
      </c>
      <c r="AR31" t="s">
        <v>1</v>
      </c>
      <c r="AS31" t="s">
        <v>1</v>
      </c>
      <c r="AT31" t="s">
        <v>1</v>
      </c>
      <c r="AU31" t="s">
        <v>1</v>
      </c>
      <c r="AV31" t="s">
        <v>1</v>
      </c>
      <c r="AW31" t="s">
        <v>9</v>
      </c>
      <c r="AX31">
        <f>Tabla1[[#This Row],[precio del paquete]]-Tabla1[[#This Row],[Saldo_Deudor]]</f>
        <v>8000</v>
      </c>
      <c r="AY31">
        <v>4900</v>
      </c>
      <c r="AZ31">
        <v>0</v>
      </c>
      <c r="BA31">
        <v>0</v>
      </c>
      <c r="BB31">
        <v>0</v>
      </c>
      <c r="BC31" t="s">
        <v>2928</v>
      </c>
      <c r="BD31" t="s">
        <v>2711</v>
      </c>
      <c r="BE31" t="s">
        <v>3</v>
      </c>
      <c r="BF31" t="s">
        <v>3</v>
      </c>
      <c r="BG31" t="s">
        <v>3</v>
      </c>
      <c r="BH31" t="s">
        <v>3</v>
      </c>
      <c r="BI31" t="s">
        <v>3</v>
      </c>
      <c r="BJ31" t="s">
        <v>4993</v>
      </c>
      <c r="BK31" t="s">
        <v>3</v>
      </c>
      <c r="BL31" t="s">
        <v>96</v>
      </c>
      <c r="BM31" t="s">
        <v>1</v>
      </c>
      <c r="BN31">
        <v>12900</v>
      </c>
      <c r="BO31" t="s">
        <v>1</v>
      </c>
      <c r="BP31" t="s">
        <v>1</v>
      </c>
      <c r="BQ31" t="s">
        <v>1</v>
      </c>
      <c r="BR31" t="s">
        <v>1</v>
      </c>
      <c r="BS31" t="s">
        <v>1</v>
      </c>
      <c r="BT31" t="s">
        <v>1</v>
      </c>
      <c r="BU31" t="s">
        <v>1</v>
      </c>
      <c r="BV31" t="s">
        <v>1</v>
      </c>
      <c r="BW31" t="s">
        <v>0</v>
      </c>
      <c r="BX31" t="s">
        <v>1</v>
      </c>
      <c r="BY31" t="s">
        <v>1</v>
      </c>
      <c r="BZ31" t="s">
        <v>1</v>
      </c>
      <c r="CA31" t="s">
        <v>1</v>
      </c>
      <c r="CB31" t="s">
        <v>1</v>
      </c>
      <c r="CD31" t="e" cm="1">
        <f t="array" aca="1" ref="CD31" ca="1">eConcatenar(A31:CB31,"|")</f>
        <v>#NAME?</v>
      </c>
    </row>
    <row r="32" spans="1:82" x14ac:dyDescent="0.25">
      <c r="A32" t="s">
        <v>127</v>
      </c>
      <c r="B32" t="s">
        <v>1134</v>
      </c>
      <c r="C32">
        <v>3</v>
      </c>
      <c r="D32" t="s">
        <v>2153</v>
      </c>
      <c r="E32" t="s">
        <v>2158</v>
      </c>
      <c r="F32" t="s">
        <v>2162</v>
      </c>
      <c r="G32" t="s">
        <v>2189</v>
      </c>
      <c r="H32" t="s">
        <v>2719</v>
      </c>
      <c r="I32">
        <v>14800</v>
      </c>
      <c r="J32">
        <v>0</v>
      </c>
      <c r="K32">
        <v>100</v>
      </c>
      <c r="L32">
        <v>50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 t="s">
        <v>3183</v>
      </c>
      <c r="AC32" t="s">
        <v>3184</v>
      </c>
      <c r="AD32" t="s">
        <v>3185</v>
      </c>
      <c r="AE32" t="s">
        <v>4</v>
      </c>
      <c r="AF32" t="s">
        <v>1</v>
      </c>
      <c r="AG32" t="s">
        <v>1</v>
      </c>
      <c r="AH32" t="s">
        <v>4109</v>
      </c>
      <c r="AI32" t="s">
        <v>2189</v>
      </c>
      <c r="AJ32" t="s">
        <v>1</v>
      </c>
      <c r="AK32">
        <v>9331392434</v>
      </c>
      <c r="AL32" t="s">
        <v>1</v>
      </c>
      <c r="AM32" t="s">
        <v>1</v>
      </c>
      <c r="AN32" t="s">
        <v>1</v>
      </c>
      <c r="AO32" t="s">
        <v>4109</v>
      </c>
      <c r="AP32" t="s">
        <v>1</v>
      </c>
      <c r="AQ32" t="s">
        <v>2</v>
      </c>
      <c r="AR32" t="s">
        <v>1</v>
      </c>
      <c r="AS32" t="s">
        <v>1</v>
      </c>
      <c r="AT32" t="s">
        <v>1</v>
      </c>
      <c r="AU32" t="s">
        <v>1</v>
      </c>
      <c r="AV32" t="s">
        <v>1</v>
      </c>
      <c r="AW32" t="s">
        <v>9</v>
      </c>
      <c r="AX32">
        <f>Tabla1[[#This Row],[precio del paquete]]-Tabla1[[#This Row],[Saldo_Deudor]]</f>
        <v>11300</v>
      </c>
      <c r="AY32">
        <v>3500</v>
      </c>
      <c r="AZ32">
        <v>0</v>
      </c>
      <c r="BA32">
        <v>0</v>
      </c>
      <c r="BB32">
        <v>0</v>
      </c>
      <c r="BC32" t="s">
        <v>3061</v>
      </c>
      <c r="BD32" t="s">
        <v>3040</v>
      </c>
      <c r="BE32" t="s">
        <v>3</v>
      </c>
      <c r="BF32" t="s">
        <v>3</v>
      </c>
      <c r="BG32" t="s">
        <v>3</v>
      </c>
      <c r="BH32" t="s">
        <v>3</v>
      </c>
      <c r="BI32" t="s">
        <v>3</v>
      </c>
      <c r="BJ32" t="s">
        <v>4997</v>
      </c>
      <c r="BK32" t="s">
        <v>3</v>
      </c>
      <c r="BL32" t="s">
        <v>96</v>
      </c>
      <c r="BM32" t="s">
        <v>1</v>
      </c>
      <c r="BN32">
        <v>14800</v>
      </c>
      <c r="BO32" t="s">
        <v>1</v>
      </c>
      <c r="BP32" t="s">
        <v>1</v>
      </c>
      <c r="BQ32" t="s">
        <v>1</v>
      </c>
      <c r="BR32" t="s">
        <v>1</v>
      </c>
      <c r="BS32" t="s">
        <v>1</v>
      </c>
      <c r="BT32" t="s">
        <v>1</v>
      </c>
      <c r="BU32" t="s">
        <v>1</v>
      </c>
      <c r="BV32" t="s">
        <v>1</v>
      </c>
      <c r="BW32" t="s">
        <v>0</v>
      </c>
      <c r="BX32" t="s">
        <v>1</v>
      </c>
      <c r="BY32" t="s">
        <v>1</v>
      </c>
      <c r="BZ32" t="s">
        <v>1</v>
      </c>
      <c r="CA32" t="s">
        <v>1</v>
      </c>
      <c r="CB32" t="s">
        <v>1</v>
      </c>
      <c r="CD32" t="e" cm="1">
        <f t="array" aca="1" ref="CD32" ca="1">eConcatenar(A32:CB32,"|")</f>
        <v>#NAME?</v>
      </c>
    </row>
    <row r="33" spans="1:82" x14ac:dyDescent="0.25">
      <c r="A33" t="s">
        <v>128</v>
      </c>
      <c r="B33" t="s">
        <v>1135</v>
      </c>
      <c r="C33">
        <v>3</v>
      </c>
      <c r="D33" t="s">
        <v>2153</v>
      </c>
      <c r="E33" t="s">
        <v>2158</v>
      </c>
      <c r="F33" t="s">
        <v>0</v>
      </c>
      <c r="G33" t="s">
        <v>2190</v>
      </c>
      <c r="H33" t="s">
        <v>2720</v>
      </c>
      <c r="I33">
        <v>14800</v>
      </c>
      <c r="J33">
        <v>0</v>
      </c>
      <c r="K33">
        <v>200</v>
      </c>
      <c r="L33">
        <v>50</v>
      </c>
      <c r="M33">
        <v>2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 t="s">
        <v>3152</v>
      </c>
      <c r="AC33" t="s">
        <v>3186</v>
      </c>
      <c r="AD33" t="s">
        <v>3187</v>
      </c>
      <c r="AE33" t="s">
        <v>4</v>
      </c>
      <c r="AF33" t="s">
        <v>1</v>
      </c>
      <c r="AG33" t="s">
        <v>1</v>
      </c>
      <c r="AH33" t="s">
        <v>4110</v>
      </c>
      <c r="AI33" t="s">
        <v>2190</v>
      </c>
      <c r="AJ33" t="s">
        <v>1</v>
      </c>
      <c r="AK33">
        <v>9371374472</v>
      </c>
      <c r="AL33" t="s">
        <v>1</v>
      </c>
      <c r="AM33" t="s">
        <v>1</v>
      </c>
      <c r="AN33" t="s">
        <v>1</v>
      </c>
      <c r="AO33" t="s">
        <v>4110</v>
      </c>
      <c r="AP33" t="s">
        <v>1</v>
      </c>
      <c r="AQ33" t="s">
        <v>2</v>
      </c>
      <c r="AR33" t="s">
        <v>1</v>
      </c>
      <c r="AS33" t="s">
        <v>1</v>
      </c>
      <c r="AT33" t="s">
        <v>1</v>
      </c>
      <c r="AU33" t="s">
        <v>1</v>
      </c>
      <c r="AV33" t="s">
        <v>1</v>
      </c>
      <c r="AW33" t="s">
        <v>9</v>
      </c>
      <c r="AX33">
        <f>Tabla1[[#This Row],[precio del paquete]]-Tabla1[[#This Row],[Saldo_Deudor]]</f>
        <v>200</v>
      </c>
      <c r="AY33">
        <v>14600</v>
      </c>
      <c r="AZ33">
        <v>0</v>
      </c>
      <c r="BA33">
        <v>0</v>
      </c>
      <c r="BB33">
        <v>0</v>
      </c>
      <c r="BC33" t="s">
        <v>2720</v>
      </c>
      <c r="BD33" t="s">
        <v>2895</v>
      </c>
      <c r="BE33" t="s">
        <v>3</v>
      </c>
      <c r="BF33" t="s">
        <v>3</v>
      </c>
      <c r="BG33" t="s">
        <v>3</v>
      </c>
      <c r="BH33" t="s">
        <v>3</v>
      </c>
      <c r="BI33" t="s">
        <v>3</v>
      </c>
      <c r="BJ33" t="s">
        <v>4998</v>
      </c>
      <c r="BK33" t="s">
        <v>3</v>
      </c>
      <c r="BL33" t="s">
        <v>96</v>
      </c>
      <c r="BM33" t="s">
        <v>1</v>
      </c>
      <c r="BN33">
        <v>14800</v>
      </c>
      <c r="BO33" t="s">
        <v>1</v>
      </c>
      <c r="BP33" t="s">
        <v>1</v>
      </c>
      <c r="BQ33" t="s">
        <v>1</v>
      </c>
      <c r="BR33" t="s">
        <v>1</v>
      </c>
      <c r="BS33" t="s">
        <v>1</v>
      </c>
      <c r="BT33" t="s">
        <v>1</v>
      </c>
      <c r="BU33" t="s">
        <v>1</v>
      </c>
      <c r="BV33" t="s">
        <v>1</v>
      </c>
      <c r="BW33" t="s">
        <v>0</v>
      </c>
      <c r="BX33" t="s">
        <v>1</v>
      </c>
      <c r="BY33" t="s">
        <v>1</v>
      </c>
      <c r="BZ33" t="s">
        <v>1</v>
      </c>
      <c r="CA33" t="s">
        <v>1</v>
      </c>
      <c r="CB33" t="s">
        <v>1</v>
      </c>
      <c r="CD33" t="e" cm="1">
        <f t="array" aca="1" ref="CD33" ca="1">eConcatenar(A33:CB33,"|")</f>
        <v>#NAME?</v>
      </c>
    </row>
    <row r="34" spans="1:82" x14ac:dyDescent="0.25">
      <c r="A34" t="s">
        <v>129</v>
      </c>
      <c r="B34" t="s">
        <v>1136</v>
      </c>
      <c r="C34">
        <v>3</v>
      </c>
      <c r="D34" t="s">
        <v>2153</v>
      </c>
      <c r="E34" t="s">
        <v>2158</v>
      </c>
      <c r="F34" t="s">
        <v>0</v>
      </c>
      <c r="G34" t="s">
        <v>2191</v>
      </c>
      <c r="H34" t="s">
        <v>2716</v>
      </c>
      <c r="I34">
        <v>14800</v>
      </c>
      <c r="J34">
        <v>0</v>
      </c>
      <c r="K34">
        <v>100</v>
      </c>
      <c r="L34">
        <v>50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 t="s">
        <v>3117</v>
      </c>
      <c r="AC34" t="s">
        <v>3119</v>
      </c>
      <c r="AD34" t="s">
        <v>3188</v>
      </c>
      <c r="AE34" t="s">
        <v>4</v>
      </c>
      <c r="AF34" t="s">
        <v>1</v>
      </c>
      <c r="AG34" t="s">
        <v>1</v>
      </c>
      <c r="AH34" t="s">
        <v>4111</v>
      </c>
      <c r="AI34" t="s">
        <v>2191</v>
      </c>
      <c r="AJ34" t="s">
        <v>1</v>
      </c>
      <c r="AK34">
        <v>9371620079</v>
      </c>
      <c r="AL34" t="s">
        <v>1</v>
      </c>
      <c r="AM34" t="s">
        <v>1</v>
      </c>
      <c r="AN34" t="s">
        <v>1</v>
      </c>
      <c r="AO34" t="s">
        <v>4111</v>
      </c>
      <c r="AP34" t="s">
        <v>1</v>
      </c>
      <c r="AQ34" t="s">
        <v>2</v>
      </c>
      <c r="AR34" t="s">
        <v>1</v>
      </c>
      <c r="AS34" t="s">
        <v>1</v>
      </c>
      <c r="AT34" t="s">
        <v>1</v>
      </c>
      <c r="AU34" t="s">
        <v>1</v>
      </c>
      <c r="AV34" t="s">
        <v>1</v>
      </c>
      <c r="AW34" t="s">
        <v>9</v>
      </c>
      <c r="AX34">
        <f>Tabla1[[#This Row],[precio del paquete]]-Tabla1[[#This Row],[Saldo_Deudor]]</f>
        <v>1300</v>
      </c>
      <c r="AY34">
        <v>13500</v>
      </c>
      <c r="AZ34">
        <v>0</v>
      </c>
      <c r="BA34">
        <v>0</v>
      </c>
      <c r="BB34">
        <v>0</v>
      </c>
      <c r="BC34" t="s">
        <v>2739</v>
      </c>
      <c r="BD34" t="s">
        <v>4902</v>
      </c>
      <c r="BE34" t="s">
        <v>3</v>
      </c>
      <c r="BF34" t="s">
        <v>3</v>
      </c>
      <c r="BG34" t="s">
        <v>3</v>
      </c>
      <c r="BH34" t="s">
        <v>3</v>
      </c>
      <c r="BI34" t="s">
        <v>3</v>
      </c>
      <c r="BJ34" t="s">
        <v>4988</v>
      </c>
      <c r="BK34" t="s">
        <v>3</v>
      </c>
      <c r="BL34" t="s">
        <v>96</v>
      </c>
      <c r="BM34" t="s">
        <v>1</v>
      </c>
      <c r="BN34">
        <v>14800</v>
      </c>
      <c r="BO34" t="s">
        <v>1</v>
      </c>
      <c r="BP34" t="s">
        <v>1</v>
      </c>
      <c r="BQ34" t="s">
        <v>1</v>
      </c>
      <c r="BR34" t="s">
        <v>1</v>
      </c>
      <c r="BS34" t="s">
        <v>1</v>
      </c>
      <c r="BT34" t="s">
        <v>1</v>
      </c>
      <c r="BU34" t="s">
        <v>1</v>
      </c>
      <c r="BV34" t="s">
        <v>1</v>
      </c>
      <c r="BW34" t="s">
        <v>0</v>
      </c>
      <c r="BX34" t="s">
        <v>1</v>
      </c>
      <c r="BY34" t="s">
        <v>1</v>
      </c>
      <c r="BZ34" t="s">
        <v>1</v>
      </c>
      <c r="CA34" t="s">
        <v>1</v>
      </c>
      <c r="CB34" t="s">
        <v>1</v>
      </c>
      <c r="CD34" t="e" cm="1">
        <f t="array" aca="1" ref="CD34" ca="1">eConcatenar(A34:CB34,"|")</f>
        <v>#NAME?</v>
      </c>
    </row>
    <row r="35" spans="1:82" x14ac:dyDescent="0.25">
      <c r="A35" t="s">
        <v>130</v>
      </c>
      <c r="B35" t="s">
        <v>1137</v>
      </c>
      <c r="C35">
        <v>3</v>
      </c>
      <c r="D35" t="s">
        <v>2153</v>
      </c>
      <c r="E35" t="s">
        <v>2158</v>
      </c>
      <c r="F35" t="s">
        <v>0</v>
      </c>
      <c r="G35" t="s">
        <v>2191</v>
      </c>
      <c r="H35" t="s">
        <v>2721</v>
      </c>
      <c r="I35">
        <v>14800</v>
      </c>
      <c r="J35">
        <v>0</v>
      </c>
      <c r="K35">
        <v>1000</v>
      </c>
      <c r="L35">
        <v>50</v>
      </c>
      <c r="M35">
        <v>2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 t="s">
        <v>3189</v>
      </c>
      <c r="AC35" t="s">
        <v>3132</v>
      </c>
      <c r="AD35" t="s">
        <v>3190</v>
      </c>
      <c r="AE35" t="s">
        <v>4</v>
      </c>
      <c r="AF35" t="s">
        <v>1</v>
      </c>
      <c r="AG35" t="s">
        <v>1</v>
      </c>
      <c r="AH35" t="s">
        <v>4112</v>
      </c>
      <c r="AI35" t="s">
        <v>2191</v>
      </c>
      <c r="AJ35" t="s">
        <v>1</v>
      </c>
      <c r="AK35">
        <v>9371536777</v>
      </c>
      <c r="AL35" t="s">
        <v>1</v>
      </c>
      <c r="AM35" t="s">
        <v>1</v>
      </c>
      <c r="AN35" t="s">
        <v>1</v>
      </c>
      <c r="AO35" t="s">
        <v>4112</v>
      </c>
      <c r="AP35" t="s">
        <v>1</v>
      </c>
      <c r="AQ35" t="s">
        <v>2</v>
      </c>
      <c r="AR35" t="s">
        <v>1</v>
      </c>
      <c r="AS35" t="s">
        <v>1</v>
      </c>
      <c r="AT35" t="s">
        <v>1</v>
      </c>
      <c r="AU35" t="s">
        <v>1</v>
      </c>
      <c r="AV35" t="s">
        <v>1</v>
      </c>
      <c r="AW35" t="s">
        <v>9</v>
      </c>
      <c r="AX35">
        <f>Tabla1[[#This Row],[precio del paquete]]-Tabla1[[#This Row],[Saldo_Deudor]]</f>
        <v>2000</v>
      </c>
      <c r="AY35">
        <v>12800</v>
      </c>
      <c r="AZ35">
        <v>0</v>
      </c>
      <c r="BA35">
        <v>0</v>
      </c>
      <c r="BB35">
        <v>0</v>
      </c>
      <c r="BC35" t="s">
        <v>2775</v>
      </c>
      <c r="BD35" t="s">
        <v>2740</v>
      </c>
      <c r="BE35" t="s">
        <v>3</v>
      </c>
      <c r="BF35" t="s">
        <v>3</v>
      </c>
      <c r="BG35" t="s">
        <v>3</v>
      </c>
      <c r="BH35" t="s">
        <v>3</v>
      </c>
      <c r="BI35" t="s">
        <v>3</v>
      </c>
      <c r="BJ35" t="s">
        <v>4988</v>
      </c>
      <c r="BK35" t="s">
        <v>3</v>
      </c>
      <c r="BL35" t="s">
        <v>96</v>
      </c>
      <c r="BM35" t="s">
        <v>1</v>
      </c>
      <c r="BN35">
        <v>14800</v>
      </c>
      <c r="BO35" t="s">
        <v>1</v>
      </c>
      <c r="BP35" t="s">
        <v>1</v>
      </c>
      <c r="BQ35" t="s">
        <v>1</v>
      </c>
      <c r="BR35" t="s">
        <v>1</v>
      </c>
      <c r="BS35" t="s">
        <v>1</v>
      </c>
      <c r="BT35" t="s">
        <v>1</v>
      </c>
      <c r="BU35" t="s">
        <v>1</v>
      </c>
      <c r="BV35" t="s">
        <v>1</v>
      </c>
      <c r="BW35" t="s">
        <v>0</v>
      </c>
      <c r="BX35" t="s">
        <v>1</v>
      </c>
      <c r="BY35" t="s">
        <v>1</v>
      </c>
      <c r="BZ35" t="s">
        <v>1</v>
      </c>
      <c r="CA35" t="s">
        <v>1</v>
      </c>
      <c r="CB35" t="s">
        <v>1</v>
      </c>
      <c r="CD35" t="e" cm="1">
        <f t="array" aca="1" ref="CD35" ca="1">eConcatenar(A35:CB35,"|")</f>
        <v>#NAME?</v>
      </c>
    </row>
    <row r="36" spans="1:82" x14ac:dyDescent="0.25">
      <c r="A36" t="s">
        <v>131</v>
      </c>
      <c r="B36" t="s">
        <v>1138</v>
      </c>
      <c r="C36">
        <v>3</v>
      </c>
      <c r="D36" t="s">
        <v>2153</v>
      </c>
      <c r="E36" t="s">
        <v>2158</v>
      </c>
      <c r="F36" t="s">
        <v>0</v>
      </c>
      <c r="G36" t="s">
        <v>2192</v>
      </c>
      <c r="H36" t="s">
        <v>2722</v>
      </c>
      <c r="I36">
        <v>14800</v>
      </c>
      <c r="J36">
        <v>0</v>
      </c>
      <c r="K36">
        <v>50</v>
      </c>
      <c r="L36">
        <v>50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 t="s">
        <v>3141</v>
      </c>
      <c r="AC36" t="s">
        <v>3162</v>
      </c>
      <c r="AD36" t="s">
        <v>3191</v>
      </c>
      <c r="AE36" t="s">
        <v>4</v>
      </c>
      <c r="AF36" t="s">
        <v>1</v>
      </c>
      <c r="AG36" t="s">
        <v>1</v>
      </c>
      <c r="AH36" t="s">
        <v>4113</v>
      </c>
      <c r="AI36" t="s">
        <v>2192</v>
      </c>
      <c r="AJ36" t="s">
        <v>1</v>
      </c>
      <c r="AK36">
        <v>9371296793</v>
      </c>
      <c r="AL36" t="s">
        <v>1</v>
      </c>
      <c r="AM36" t="s">
        <v>1</v>
      </c>
      <c r="AN36" t="s">
        <v>1</v>
      </c>
      <c r="AO36" t="s">
        <v>4113</v>
      </c>
      <c r="AP36" t="s">
        <v>1</v>
      </c>
      <c r="AQ36" t="s">
        <v>2</v>
      </c>
      <c r="AR36" t="s">
        <v>1</v>
      </c>
      <c r="AS36" t="s">
        <v>1</v>
      </c>
      <c r="AT36" t="s">
        <v>1</v>
      </c>
      <c r="AU36" t="s">
        <v>1</v>
      </c>
      <c r="AV36" t="s">
        <v>1</v>
      </c>
      <c r="AW36" t="s">
        <v>9</v>
      </c>
      <c r="AX36">
        <f>Tabla1[[#This Row],[precio del paquete]]-Tabla1[[#This Row],[Saldo_Deudor]]</f>
        <v>1400</v>
      </c>
      <c r="AY36">
        <v>13400</v>
      </c>
      <c r="AZ36">
        <v>0</v>
      </c>
      <c r="BA36">
        <v>0</v>
      </c>
      <c r="BB36">
        <v>0</v>
      </c>
      <c r="BC36" t="s">
        <v>2865</v>
      </c>
      <c r="BD36" t="s">
        <v>4903</v>
      </c>
      <c r="BE36" t="s">
        <v>3</v>
      </c>
      <c r="BF36" t="s">
        <v>3</v>
      </c>
      <c r="BG36" t="s">
        <v>3</v>
      </c>
      <c r="BH36" t="s">
        <v>3</v>
      </c>
      <c r="BI36" t="s">
        <v>3</v>
      </c>
      <c r="BJ36" t="s">
        <v>4988</v>
      </c>
      <c r="BK36" t="s">
        <v>3</v>
      </c>
      <c r="BL36" t="s">
        <v>96</v>
      </c>
      <c r="BM36" t="s">
        <v>1</v>
      </c>
      <c r="BN36">
        <v>14800</v>
      </c>
      <c r="BO36" t="s">
        <v>1</v>
      </c>
      <c r="BP36" t="s">
        <v>1</v>
      </c>
      <c r="BQ36" t="s">
        <v>1</v>
      </c>
      <c r="BR36" t="s">
        <v>1</v>
      </c>
      <c r="BS36" t="s">
        <v>1</v>
      </c>
      <c r="BT36" t="s">
        <v>1</v>
      </c>
      <c r="BU36" t="s">
        <v>1</v>
      </c>
      <c r="BV36" t="s">
        <v>1</v>
      </c>
      <c r="BW36" t="s">
        <v>0</v>
      </c>
      <c r="BX36" t="s">
        <v>1</v>
      </c>
      <c r="BY36" t="s">
        <v>1</v>
      </c>
      <c r="BZ36" t="s">
        <v>1</v>
      </c>
      <c r="CA36" t="s">
        <v>1</v>
      </c>
      <c r="CB36" t="s">
        <v>1</v>
      </c>
      <c r="CD36" t="e" cm="1">
        <f t="array" aca="1" ref="CD36" ca="1">eConcatenar(A36:CB36,"|")</f>
        <v>#NAME?</v>
      </c>
    </row>
    <row r="37" spans="1:82" x14ac:dyDescent="0.25">
      <c r="A37" t="s">
        <v>132</v>
      </c>
      <c r="B37" t="s">
        <v>1139</v>
      </c>
      <c r="C37">
        <v>3</v>
      </c>
      <c r="D37" t="s">
        <v>2153</v>
      </c>
      <c r="E37" t="s">
        <v>2158</v>
      </c>
      <c r="F37" t="s">
        <v>0</v>
      </c>
      <c r="G37" t="s">
        <v>2193</v>
      </c>
      <c r="H37" t="s">
        <v>2703</v>
      </c>
      <c r="I37">
        <v>14800</v>
      </c>
      <c r="J37">
        <v>0</v>
      </c>
      <c r="K37">
        <v>50</v>
      </c>
      <c r="L37">
        <v>50</v>
      </c>
      <c r="M37">
        <v>1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 t="s">
        <v>3117</v>
      </c>
      <c r="AC37" t="s">
        <v>3132</v>
      </c>
      <c r="AD37" t="s">
        <v>3192</v>
      </c>
      <c r="AE37" t="s">
        <v>4</v>
      </c>
      <c r="AF37" t="s">
        <v>1</v>
      </c>
      <c r="AG37" t="s">
        <v>1</v>
      </c>
      <c r="AH37" t="s">
        <v>4114</v>
      </c>
      <c r="AI37" t="s">
        <v>2193</v>
      </c>
      <c r="AJ37" t="s">
        <v>1</v>
      </c>
      <c r="AK37">
        <v>9373784755</v>
      </c>
      <c r="AL37" t="s">
        <v>1</v>
      </c>
      <c r="AM37" t="s">
        <v>1</v>
      </c>
      <c r="AN37" t="s">
        <v>1</v>
      </c>
      <c r="AO37" t="s">
        <v>4114</v>
      </c>
      <c r="AP37" t="s">
        <v>1</v>
      </c>
      <c r="AQ37" t="s">
        <v>2</v>
      </c>
      <c r="AR37" t="s">
        <v>1</v>
      </c>
      <c r="AS37" t="s">
        <v>1</v>
      </c>
      <c r="AT37" t="s">
        <v>1</v>
      </c>
      <c r="AU37" t="s">
        <v>1</v>
      </c>
      <c r="AV37" t="s">
        <v>1</v>
      </c>
      <c r="AW37" t="s">
        <v>9</v>
      </c>
      <c r="AX37">
        <f>Tabla1[[#This Row],[precio del paquete]]-Tabla1[[#This Row],[Saldo_Deudor]]</f>
        <v>250</v>
      </c>
      <c r="AY37">
        <v>14550</v>
      </c>
      <c r="AZ37">
        <v>0</v>
      </c>
      <c r="BA37">
        <v>0</v>
      </c>
      <c r="BB37">
        <v>0</v>
      </c>
      <c r="BC37" t="s">
        <v>2906</v>
      </c>
      <c r="BD37" t="s">
        <v>4898</v>
      </c>
      <c r="BE37" t="s">
        <v>3</v>
      </c>
      <c r="BF37" t="s">
        <v>3</v>
      </c>
      <c r="BG37" t="s">
        <v>3</v>
      </c>
      <c r="BH37" t="s">
        <v>3</v>
      </c>
      <c r="BI37" t="s">
        <v>3</v>
      </c>
      <c r="BJ37" t="s">
        <v>4999</v>
      </c>
      <c r="BK37" t="s">
        <v>3</v>
      </c>
      <c r="BL37" t="s">
        <v>96</v>
      </c>
      <c r="BM37" t="s">
        <v>1</v>
      </c>
      <c r="BN37">
        <v>14800</v>
      </c>
      <c r="BO37" t="s">
        <v>1</v>
      </c>
      <c r="BP37" t="s">
        <v>1</v>
      </c>
      <c r="BQ37" t="s">
        <v>1</v>
      </c>
      <c r="BR37" t="s">
        <v>1</v>
      </c>
      <c r="BS37" t="s">
        <v>1</v>
      </c>
      <c r="BT37" t="s">
        <v>1</v>
      </c>
      <c r="BU37" t="s">
        <v>1</v>
      </c>
      <c r="BV37" t="s">
        <v>1</v>
      </c>
      <c r="BW37" t="s">
        <v>0</v>
      </c>
      <c r="BX37" t="s">
        <v>1</v>
      </c>
      <c r="BY37" t="s">
        <v>1</v>
      </c>
      <c r="BZ37" t="s">
        <v>1</v>
      </c>
      <c r="CA37" t="s">
        <v>1</v>
      </c>
      <c r="CB37" t="s">
        <v>1</v>
      </c>
      <c r="CD37" t="e" cm="1">
        <f t="array" aca="1" ref="CD37" ca="1">eConcatenar(A37:CB37,"|")</f>
        <v>#NAME?</v>
      </c>
    </row>
    <row r="38" spans="1:82" x14ac:dyDescent="0.25">
      <c r="A38" t="s">
        <v>133</v>
      </c>
      <c r="B38" t="s">
        <v>1140</v>
      </c>
      <c r="C38">
        <v>3</v>
      </c>
      <c r="D38" t="s">
        <v>2153</v>
      </c>
      <c r="E38" t="s">
        <v>2158</v>
      </c>
      <c r="F38" t="s">
        <v>0</v>
      </c>
      <c r="G38" t="s">
        <v>2194</v>
      </c>
      <c r="H38" t="s">
        <v>2723</v>
      </c>
      <c r="I38">
        <v>14800</v>
      </c>
      <c r="J38">
        <v>0</v>
      </c>
      <c r="K38">
        <v>50</v>
      </c>
      <c r="L38">
        <v>50</v>
      </c>
      <c r="M38">
        <v>1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 t="s">
        <v>3193</v>
      </c>
      <c r="AC38" t="s">
        <v>3177</v>
      </c>
      <c r="AD38" t="s">
        <v>3194</v>
      </c>
      <c r="AE38" t="s">
        <v>4</v>
      </c>
      <c r="AF38" t="s">
        <v>1</v>
      </c>
      <c r="AG38" t="s">
        <v>1</v>
      </c>
      <c r="AH38" t="s">
        <v>4115</v>
      </c>
      <c r="AI38" t="s">
        <v>2194</v>
      </c>
      <c r="AJ38" t="s">
        <v>1</v>
      </c>
      <c r="AK38">
        <v>9372035430</v>
      </c>
      <c r="AL38" t="s">
        <v>1</v>
      </c>
      <c r="AM38" t="s">
        <v>1</v>
      </c>
      <c r="AN38" t="s">
        <v>1</v>
      </c>
      <c r="AO38" t="s">
        <v>4115</v>
      </c>
      <c r="AP38" t="s">
        <v>1</v>
      </c>
      <c r="AQ38" t="s">
        <v>2</v>
      </c>
      <c r="AR38" t="s">
        <v>1</v>
      </c>
      <c r="AS38" t="s">
        <v>1</v>
      </c>
      <c r="AT38" t="s">
        <v>1</v>
      </c>
      <c r="AU38" t="s">
        <v>1</v>
      </c>
      <c r="AV38" t="s">
        <v>1</v>
      </c>
      <c r="AW38" t="s">
        <v>9</v>
      </c>
      <c r="AX38">
        <f>Tabla1[[#This Row],[precio del paquete]]-Tabla1[[#This Row],[Saldo_Deudor]]</f>
        <v>11100</v>
      </c>
      <c r="AY38">
        <v>3700</v>
      </c>
      <c r="AZ38">
        <v>0</v>
      </c>
      <c r="BA38">
        <v>0</v>
      </c>
      <c r="BB38">
        <v>0</v>
      </c>
      <c r="BC38" t="s">
        <v>2732</v>
      </c>
      <c r="BD38" t="s">
        <v>4904</v>
      </c>
      <c r="BE38" t="s">
        <v>3</v>
      </c>
      <c r="BF38" t="s">
        <v>3</v>
      </c>
      <c r="BG38" t="s">
        <v>3</v>
      </c>
      <c r="BH38" t="s">
        <v>3</v>
      </c>
      <c r="BI38" t="s">
        <v>3</v>
      </c>
      <c r="BJ38" t="s">
        <v>4988</v>
      </c>
      <c r="BK38" t="s">
        <v>3</v>
      </c>
      <c r="BL38" t="s">
        <v>96</v>
      </c>
      <c r="BM38" t="s">
        <v>1</v>
      </c>
      <c r="BN38">
        <v>14800</v>
      </c>
      <c r="BO38" t="s">
        <v>1</v>
      </c>
      <c r="BP38" t="s">
        <v>1</v>
      </c>
      <c r="BQ38" t="s">
        <v>1</v>
      </c>
      <c r="BR38" t="s">
        <v>1</v>
      </c>
      <c r="BS38" t="s">
        <v>1</v>
      </c>
      <c r="BT38" t="s">
        <v>1</v>
      </c>
      <c r="BU38" t="s">
        <v>1</v>
      </c>
      <c r="BV38" t="s">
        <v>1</v>
      </c>
      <c r="BW38" t="s">
        <v>0</v>
      </c>
      <c r="BX38" t="s">
        <v>1</v>
      </c>
      <c r="BY38" t="s">
        <v>1</v>
      </c>
      <c r="BZ38" t="s">
        <v>1</v>
      </c>
      <c r="CA38" t="s">
        <v>1</v>
      </c>
      <c r="CB38" t="s">
        <v>1</v>
      </c>
      <c r="CD38" t="e" cm="1">
        <f t="array" aca="1" ref="CD38" ca="1">eConcatenar(A38:CB38,"|")</f>
        <v>#NAME?</v>
      </c>
    </row>
    <row r="39" spans="1:82" x14ac:dyDescent="0.25">
      <c r="A39" t="s">
        <v>134</v>
      </c>
      <c r="B39" t="s">
        <v>1141</v>
      </c>
      <c r="C39">
        <v>3</v>
      </c>
      <c r="D39" t="s">
        <v>2153</v>
      </c>
      <c r="E39" t="s">
        <v>2158</v>
      </c>
      <c r="F39" t="s">
        <v>0</v>
      </c>
      <c r="G39" t="s">
        <v>2195</v>
      </c>
      <c r="H39" t="s">
        <v>2724</v>
      </c>
      <c r="I39">
        <v>14800</v>
      </c>
      <c r="J39">
        <v>0</v>
      </c>
      <c r="K39">
        <v>200</v>
      </c>
      <c r="L39">
        <v>50</v>
      </c>
      <c r="M39">
        <v>2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 t="s">
        <v>3195</v>
      </c>
      <c r="AC39" t="s">
        <v>3196</v>
      </c>
      <c r="AD39" t="s">
        <v>3197</v>
      </c>
      <c r="AE39" t="s">
        <v>4</v>
      </c>
      <c r="AF39" t="s">
        <v>1</v>
      </c>
      <c r="AG39" t="s">
        <v>1</v>
      </c>
      <c r="AH39" t="s">
        <v>4116</v>
      </c>
      <c r="AI39" t="s">
        <v>2195</v>
      </c>
      <c r="AJ39" t="s">
        <v>1</v>
      </c>
      <c r="AK39">
        <v>9372720454</v>
      </c>
      <c r="AL39" t="s">
        <v>1</v>
      </c>
      <c r="AM39" t="s">
        <v>1</v>
      </c>
      <c r="AN39" t="s">
        <v>1</v>
      </c>
      <c r="AO39" t="s">
        <v>4116</v>
      </c>
      <c r="AP39" t="s">
        <v>1</v>
      </c>
      <c r="AQ39" t="s">
        <v>2</v>
      </c>
      <c r="AR39" t="s">
        <v>1</v>
      </c>
      <c r="AS39" t="s">
        <v>1</v>
      </c>
      <c r="AT39" t="s">
        <v>1</v>
      </c>
      <c r="AU39" t="s">
        <v>1</v>
      </c>
      <c r="AV39" t="s">
        <v>1</v>
      </c>
      <c r="AW39" t="s">
        <v>9</v>
      </c>
      <c r="AX39">
        <f>Tabla1[[#This Row],[precio del paquete]]-Tabla1[[#This Row],[Saldo_Deudor]]</f>
        <v>700</v>
      </c>
      <c r="AY39">
        <v>14100</v>
      </c>
      <c r="AZ39">
        <v>0</v>
      </c>
      <c r="BA39">
        <v>0</v>
      </c>
      <c r="BB39">
        <v>0</v>
      </c>
      <c r="BC39" t="s">
        <v>2709</v>
      </c>
      <c r="BD39" t="s">
        <v>2737</v>
      </c>
      <c r="BE39" t="s">
        <v>3</v>
      </c>
      <c r="BF39" t="s">
        <v>3</v>
      </c>
      <c r="BG39" t="s">
        <v>3</v>
      </c>
      <c r="BH39" t="s">
        <v>3</v>
      </c>
      <c r="BI39" t="s">
        <v>3</v>
      </c>
      <c r="BJ39" t="s">
        <v>4988</v>
      </c>
      <c r="BK39" t="s">
        <v>3</v>
      </c>
      <c r="BL39" t="s">
        <v>96</v>
      </c>
      <c r="BM39" t="s">
        <v>1</v>
      </c>
      <c r="BN39">
        <v>14800</v>
      </c>
      <c r="BO39" t="s">
        <v>1</v>
      </c>
      <c r="BP39" t="s">
        <v>1</v>
      </c>
      <c r="BQ39" t="s">
        <v>1</v>
      </c>
      <c r="BR39" t="s">
        <v>1</v>
      </c>
      <c r="BS39" t="s">
        <v>1</v>
      </c>
      <c r="BT39" t="s">
        <v>1</v>
      </c>
      <c r="BU39" t="s">
        <v>1</v>
      </c>
      <c r="BV39" t="s">
        <v>1</v>
      </c>
      <c r="BW39" t="s">
        <v>0</v>
      </c>
      <c r="BX39" t="s">
        <v>1</v>
      </c>
      <c r="BY39" t="s">
        <v>1</v>
      </c>
      <c r="BZ39" t="s">
        <v>1</v>
      </c>
      <c r="CA39" t="s">
        <v>1</v>
      </c>
      <c r="CB39" t="s">
        <v>1</v>
      </c>
      <c r="CD39" t="e" cm="1">
        <f t="array" aca="1" ref="CD39" ca="1">eConcatenar(A39:CB39,"|")</f>
        <v>#NAME?</v>
      </c>
    </row>
    <row r="40" spans="1:82" x14ac:dyDescent="0.25">
      <c r="A40" t="s">
        <v>135</v>
      </c>
      <c r="B40" t="s">
        <v>1142</v>
      </c>
      <c r="C40">
        <v>3</v>
      </c>
      <c r="D40" t="s">
        <v>2153</v>
      </c>
      <c r="E40" t="s">
        <v>2158</v>
      </c>
      <c r="F40" t="s">
        <v>0</v>
      </c>
      <c r="G40" t="s">
        <v>2196</v>
      </c>
      <c r="H40" t="s">
        <v>2725</v>
      </c>
      <c r="I40">
        <v>14800</v>
      </c>
      <c r="J40">
        <v>0</v>
      </c>
      <c r="K40">
        <v>100</v>
      </c>
      <c r="L40">
        <v>50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 t="s">
        <v>3114</v>
      </c>
      <c r="AC40" t="s">
        <v>3198</v>
      </c>
      <c r="AD40" t="s">
        <v>3199</v>
      </c>
      <c r="AE40" t="s">
        <v>4</v>
      </c>
      <c r="AF40" t="s">
        <v>1</v>
      </c>
      <c r="AG40" t="s">
        <v>1</v>
      </c>
      <c r="AH40" t="s">
        <v>2196</v>
      </c>
      <c r="AI40" t="s">
        <v>2196</v>
      </c>
      <c r="AJ40" t="s">
        <v>1</v>
      </c>
      <c r="AK40">
        <v>9371278915</v>
      </c>
      <c r="AL40" t="s">
        <v>1</v>
      </c>
      <c r="AM40" t="s">
        <v>1</v>
      </c>
      <c r="AN40" t="s">
        <v>1</v>
      </c>
      <c r="AO40" t="s">
        <v>2196</v>
      </c>
      <c r="AP40" t="s">
        <v>1</v>
      </c>
      <c r="AQ40" t="s">
        <v>2</v>
      </c>
      <c r="AR40" t="s">
        <v>1</v>
      </c>
      <c r="AS40" t="s">
        <v>1</v>
      </c>
      <c r="AT40" t="s">
        <v>1</v>
      </c>
      <c r="AU40" t="s">
        <v>1</v>
      </c>
      <c r="AV40" t="s">
        <v>1</v>
      </c>
      <c r="AW40" t="s">
        <v>9</v>
      </c>
      <c r="AX40">
        <f>Tabla1[[#This Row],[precio del paquete]]-Tabla1[[#This Row],[Saldo_Deudor]]</f>
        <v>13600</v>
      </c>
      <c r="AY40">
        <v>1200</v>
      </c>
      <c r="AZ40">
        <v>0</v>
      </c>
      <c r="BA40">
        <v>0</v>
      </c>
      <c r="BB40">
        <v>0</v>
      </c>
      <c r="BC40" t="s">
        <v>2711</v>
      </c>
      <c r="BD40" t="s">
        <v>2712</v>
      </c>
      <c r="BE40" t="s">
        <v>3</v>
      </c>
      <c r="BF40" t="s">
        <v>3</v>
      </c>
      <c r="BG40" t="s">
        <v>3</v>
      </c>
      <c r="BH40" t="s">
        <v>3</v>
      </c>
      <c r="BI40" t="s">
        <v>3</v>
      </c>
      <c r="BJ40" t="s">
        <v>4987</v>
      </c>
      <c r="BK40" t="s">
        <v>3</v>
      </c>
      <c r="BL40" t="s">
        <v>96</v>
      </c>
      <c r="BM40" t="s">
        <v>1</v>
      </c>
      <c r="BN40">
        <v>14800</v>
      </c>
      <c r="BO40" t="s">
        <v>1</v>
      </c>
      <c r="BP40" t="s">
        <v>1</v>
      </c>
      <c r="BQ40" t="s">
        <v>1</v>
      </c>
      <c r="BR40" t="s">
        <v>1</v>
      </c>
      <c r="BS40" t="s">
        <v>1</v>
      </c>
      <c r="BT40" t="s">
        <v>1</v>
      </c>
      <c r="BU40" t="s">
        <v>1</v>
      </c>
      <c r="BV40" t="s">
        <v>1</v>
      </c>
      <c r="BW40" t="s">
        <v>0</v>
      </c>
      <c r="BX40" t="s">
        <v>1</v>
      </c>
      <c r="BY40" t="s">
        <v>1</v>
      </c>
      <c r="BZ40" t="s">
        <v>1</v>
      </c>
      <c r="CA40" t="s">
        <v>1</v>
      </c>
      <c r="CB40" t="s">
        <v>1</v>
      </c>
      <c r="CD40" t="e" cm="1">
        <f t="array" aca="1" ref="CD40" ca="1">eConcatenar(A40:CB40,"|")</f>
        <v>#NAME?</v>
      </c>
    </row>
    <row r="41" spans="1:82" x14ac:dyDescent="0.25">
      <c r="A41" t="s">
        <v>136</v>
      </c>
      <c r="B41" t="s">
        <v>1143</v>
      </c>
      <c r="C41">
        <v>3</v>
      </c>
      <c r="D41" t="s">
        <v>2153</v>
      </c>
      <c r="E41" t="s">
        <v>2158</v>
      </c>
      <c r="F41" t="s">
        <v>0</v>
      </c>
      <c r="G41" t="s">
        <v>2197</v>
      </c>
      <c r="H41" t="s">
        <v>2716</v>
      </c>
      <c r="I41">
        <v>14800</v>
      </c>
      <c r="J41">
        <v>0</v>
      </c>
      <c r="K41">
        <v>50</v>
      </c>
      <c r="L41">
        <v>50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 t="s">
        <v>3184</v>
      </c>
      <c r="AC41" t="s">
        <v>3177</v>
      </c>
      <c r="AD41" t="s">
        <v>3200</v>
      </c>
      <c r="AE41" t="s">
        <v>4</v>
      </c>
      <c r="AF41" t="s">
        <v>1</v>
      </c>
      <c r="AG41" t="s">
        <v>1</v>
      </c>
      <c r="AH41" t="s">
        <v>4117</v>
      </c>
      <c r="AI41" t="s">
        <v>2197</v>
      </c>
      <c r="AJ41" t="s">
        <v>1</v>
      </c>
      <c r="AK41">
        <v>9371349868</v>
      </c>
      <c r="AL41" t="s">
        <v>1</v>
      </c>
      <c r="AM41" t="s">
        <v>1</v>
      </c>
      <c r="AN41" t="s">
        <v>1</v>
      </c>
      <c r="AO41" t="s">
        <v>4117</v>
      </c>
      <c r="AP41" t="s">
        <v>1</v>
      </c>
      <c r="AQ41" t="s">
        <v>2</v>
      </c>
      <c r="AR41" t="s">
        <v>1</v>
      </c>
      <c r="AS41" t="s">
        <v>1</v>
      </c>
      <c r="AT41" t="s">
        <v>1</v>
      </c>
      <c r="AU41" t="s">
        <v>1</v>
      </c>
      <c r="AV41" t="s">
        <v>1</v>
      </c>
      <c r="AW41" t="s">
        <v>9</v>
      </c>
      <c r="AX41">
        <f>Tabla1[[#This Row],[precio del paquete]]-Tabla1[[#This Row],[Saldo_Deudor]]</f>
        <v>1650</v>
      </c>
      <c r="AY41">
        <v>13150</v>
      </c>
      <c r="AZ41">
        <v>0</v>
      </c>
      <c r="BA41">
        <v>0</v>
      </c>
      <c r="BB41">
        <v>0</v>
      </c>
      <c r="BC41" t="s">
        <v>2755</v>
      </c>
      <c r="BD41" t="s">
        <v>4905</v>
      </c>
      <c r="BE41" t="s">
        <v>3</v>
      </c>
      <c r="BF41" t="s">
        <v>3</v>
      </c>
      <c r="BG41" t="s">
        <v>3</v>
      </c>
      <c r="BH41" t="s">
        <v>3</v>
      </c>
      <c r="BI41" t="s">
        <v>3</v>
      </c>
      <c r="BJ41" t="s">
        <v>4994</v>
      </c>
      <c r="BK41" t="s">
        <v>3</v>
      </c>
      <c r="BL41" t="s">
        <v>96</v>
      </c>
      <c r="BM41" t="s">
        <v>1</v>
      </c>
      <c r="BN41">
        <v>14800</v>
      </c>
      <c r="BO41" t="s">
        <v>1</v>
      </c>
      <c r="BP41" t="s">
        <v>1</v>
      </c>
      <c r="BQ41" t="s">
        <v>1</v>
      </c>
      <c r="BR41" t="s">
        <v>1</v>
      </c>
      <c r="BS41" t="s">
        <v>1</v>
      </c>
      <c r="BT41" t="s">
        <v>1</v>
      </c>
      <c r="BU41" t="s">
        <v>1</v>
      </c>
      <c r="BV41" t="s">
        <v>1</v>
      </c>
      <c r="BW41" t="s">
        <v>0</v>
      </c>
      <c r="BX41" t="s">
        <v>1</v>
      </c>
      <c r="BY41" t="s">
        <v>1</v>
      </c>
      <c r="BZ41" t="s">
        <v>1</v>
      </c>
      <c r="CA41" t="s">
        <v>1</v>
      </c>
      <c r="CB41" t="s">
        <v>1</v>
      </c>
      <c r="CD41" t="e" cm="1">
        <f t="array" aca="1" ref="CD41" ca="1">eConcatenar(A41:CB41,"|")</f>
        <v>#NAME?</v>
      </c>
    </row>
    <row r="42" spans="1:82" x14ac:dyDescent="0.25">
      <c r="A42" t="s">
        <v>137</v>
      </c>
      <c r="B42" t="s">
        <v>1144</v>
      </c>
      <c r="C42">
        <v>3</v>
      </c>
      <c r="D42" t="s">
        <v>2153</v>
      </c>
      <c r="E42" t="s">
        <v>2158</v>
      </c>
      <c r="F42" t="s">
        <v>0</v>
      </c>
      <c r="G42" t="s">
        <v>2198</v>
      </c>
      <c r="H42" t="s">
        <v>2724</v>
      </c>
      <c r="I42">
        <v>14800</v>
      </c>
      <c r="J42">
        <v>0</v>
      </c>
      <c r="K42">
        <v>200</v>
      </c>
      <c r="L42">
        <v>50</v>
      </c>
      <c r="M42">
        <v>1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 t="s">
        <v>3117</v>
      </c>
      <c r="AC42" t="s">
        <v>3119</v>
      </c>
      <c r="AD42" t="s">
        <v>3201</v>
      </c>
      <c r="AE42" t="s">
        <v>4</v>
      </c>
      <c r="AF42" t="s">
        <v>1</v>
      </c>
      <c r="AG42" t="s">
        <v>1</v>
      </c>
      <c r="AH42" t="s">
        <v>4118</v>
      </c>
      <c r="AI42" t="s">
        <v>2198</v>
      </c>
      <c r="AJ42" t="s">
        <v>1</v>
      </c>
      <c r="AK42">
        <v>9371395826</v>
      </c>
      <c r="AL42" t="s">
        <v>1</v>
      </c>
      <c r="AM42" t="s">
        <v>1</v>
      </c>
      <c r="AN42" t="s">
        <v>1</v>
      </c>
      <c r="AO42" t="s">
        <v>4118</v>
      </c>
      <c r="AP42" t="s">
        <v>1</v>
      </c>
      <c r="AQ42" t="s">
        <v>2</v>
      </c>
      <c r="AR42" t="s">
        <v>1</v>
      </c>
      <c r="AS42" t="s">
        <v>1</v>
      </c>
      <c r="AT42" t="s">
        <v>1</v>
      </c>
      <c r="AU42" t="s">
        <v>1</v>
      </c>
      <c r="AV42" t="s">
        <v>1</v>
      </c>
      <c r="AW42" t="s">
        <v>9</v>
      </c>
      <c r="AX42">
        <f>Tabla1[[#This Row],[precio del paquete]]-Tabla1[[#This Row],[Saldo_Deudor]]</f>
        <v>2200</v>
      </c>
      <c r="AY42">
        <v>12600</v>
      </c>
      <c r="AZ42">
        <v>0</v>
      </c>
      <c r="BA42">
        <v>0</v>
      </c>
      <c r="BB42">
        <v>0</v>
      </c>
      <c r="BC42" t="s">
        <v>2778</v>
      </c>
      <c r="BD42" t="s">
        <v>2849</v>
      </c>
      <c r="BE42" t="s">
        <v>3</v>
      </c>
      <c r="BF42" t="s">
        <v>3</v>
      </c>
      <c r="BG42" t="s">
        <v>3</v>
      </c>
      <c r="BH42" t="s">
        <v>3</v>
      </c>
      <c r="BI42" t="s">
        <v>3</v>
      </c>
      <c r="BJ42" t="s">
        <v>4988</v>
      </c>
      <c r="BK42" t="s">
        <v>3</v>
      </c>
      <c r="BL42" t="s">
        <v>96</v>
      </c>
      <c r="BM42" t="s">
        <v>1</v>
      </c>
      <c r="BN42">
        <v>14800</v>
      </c>
      <c r="BO42" t="s">
        <v>1</v>
      </c>
      <c r="BP42" t="s">
        <v>1</v>
      </c>
      <c r="BQ42" t="s">
        <v>1</v>
      </c>
      <c r="BR42" t="s">
        <v>1</v>
      </c>
      <c r="BS42" t="s">
        <v>1</v>
      </c>
      <c r="BT42" t="s">
        <v>1</v>
      </c>
      <c r="BU42" t="s">
        <v>1</v>
      </c>
      <c r="BV42" t="s">
        <v>1</v>
      </c>
      <c r="BW42" t="s">
        <v>0</v>
      </c>
      <c r="BX42" t="s">
        <v>1</v>
      </c>
      <c r="BY42" t="s">
        <v>1</v>
      </c>
      <c r="BZ42" t="s">
        <v>1</v>
      </c>
      <c r="CA42" t="s">
        <v>1</v>
      </c>
      <c r="CB42" t="s">
        <v>1</v>
      </c>
      <c r="CD42" t="e" cm="1">
        <f t="array" aca="1" ref="CD42" ca="1">eConcatenar(A42:CB42,"|")</f>
        <v>#NAME?</v>
      </c>
    </row>
    <row r="43" spans="1:82" x14ac:dyDescent="0.25">
      <c r="A43" t="s">
        <v>138</v>
      </c>
      <c r="B43" t="s">
        <v>1145</v>
      </c>
      <c r="C43">
        <v>3</v>
      </c>
      <c r="D43" t="s">
        <v>3105</v>
      </c>
      <c r="E43" t="s">
        <v>2158</v>
      </c>
      <c r="F43" t="s">
        <v>2162</v>
      </c>
      <c r="G43" t="s">
        <v>2199</v>
      </c>
      <c r="H43" t="s">
        <v>2726</v>
      </c>
      <c r="I43">
        <v>14800</v>
      </c>
      <c r="J43">
        <v>0</v>
      </c>
      <c r="K43">
        <v>50</v>
      </c>
      <c r="L43">
        <v>50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 t="s">
        <v>3202</v>
      </c>
      <c r="AC43" t="s">
        <v>3203</v>
      </c>
      <c r="AD43" t="s">
        <v>3204</v>
      </c>
      <c r="AE43" t="s">
        <v>4</v>
      </c>
      <c r="AF43" t="s">
        <v>1</v>
      </c>
      <c r="AG43" t="s">
        <v>1</v>
      </c>
      <c r="AH43" t="s">
        <v>4119</v>
      </c>
      <c r="AI43" t="s">
        <v>2199</v>
      </c>
      <c r="AJ43" t="s">
        <v>1</v>
      </c>
      <c r="AK43">
        <v>9371379454</v>
      </c>
      <c r="AL43" t="s">
        <v>1</v>
      </c>
      <c r="AM43" t="s">
        <v>1</v>
      </c>
      <c r="AN43" t="s">
        <v>1</v>
      </c>
      <c r="AO43" t="s">
        <v>4119</v>
      </c>
      <c r="AP43" t="s">
        <v>1</v>
      </c>
      <c r="AQ43" t="s">
        <v>2</v>
      </c>
      <c r="AR43" t="s">
        <v>1</v>
      </c>
      <c r="AS43" t="s">
        <v>1</v>
      </c>
      <c r="AT43" t="s">
        <v>1</v>
      </c>
      <c r="AU43" t="s">
        <v>1</v>
      </c>
      <c r="AV43" t="s">
        <v>1</v>
      </c>
      <c r="AW43" t="s">
        <v>9</v>
      </c>
      <c r="AX43">
        <f>Tabla1[[#This Row],[precio del paquete]]-Tabla1[[#This Row],[Saldo_Deudor]]</f>
        <v>850</v>
      </c>
      <c r="AY43">
        <v>13950</v>
      </c>
      <c r="AZ43">
        <v>0</v>
      </c>
      <c r="BA43">
        <v>0</v>
      </c>
      <c r="BB43">
        <v>0</v>
      </c>
      <c r="BC43" t="s">
        <v>2711</v>
      </c>
      <c r="BD43" t="s">
        <v>2712</v>
      </c>
      <c r="BE43" t="s">
        <v>3</v>
      </c>
      <c r="BF43" t="s">
        <v>3</v>
      </c>
      <c r="BG43" t="s">
        <v>3</v>
      </c>
      <c r="BH43" t="s">
        <v>3</v>
      </c>
      <c r="BI43" t="s">
        <v>3</v>
      </c>
      <c r="BJ43" t="s">
        <v>4983</v>
      </c>
      <c r="BK43" t="s">
        <v>3</v>
      </c>
      <c r="BL43" t="s">
        <v>96</v>
      </c>
      <c r="BM43" t="s">
        <v>1</v>
      </c>
      <c r="BN43">
        <v>14800</v>
      </c>
      <c r="BO43" t="s">
        <v>1</v>
      </c>
      <c r="BP43" t="s">
        <v>1</v>
      </c>
      <c r="BQ43" t="s">
        <v>1</v>
      </c>
      <c r="BR43" t="s">
        <v>1</v>
      </c>
      <c r="BS43" t="s">
        <v>1</v>
      </c>
      <c r="BT43" t="s">
        <v>1</v>
      </c>
      <c r="BU43" t="s">
        <v>1</v>
      </c>
      <c r="BV43" t="s">
        <v>1</v>
      </c>
      <c r="BW43" t="s">
        <v>0</v>
      </c>
      <c r="BX43" t="s">
        <v>1</v>
      </c>
      <c r="BY43" t="s">
        <v>1</v>
      </c>
      <c r="BZ43" t="s">
        <v>1</v>
      </c>
      <c r="CA43" t="s">
        <v>1</v>
      </c>
      <c r="CB43" t="s">
        <v>1</v>
      </c>
      <c r="CD43" t="e" cm="1">
        <f t="array" aca="1" ref="CD43" ca="1">eConcatenar(A43:CB43,"|")</f>
        <v>#NAME?</v>
      </c>
    </row>
    <row r="44" spans="1:82" x14ac:dyDescent="0.25">
      <c r="A44" t="s">
        <v>139</v>
      </c>
      <c r="B44" t="s">
        <v>1146</v>
      </c>
      <c r="C44">
        <v>3</v>
      </c>
      <c r="D44" t="s">
        <v>2154</v>
      </c>
      <c r="E44" t="s">
        <v>2158</v>
      </c>
      <c r="F44" t="s">
        <v>0</v>
      </c>
      <c r="G44" t="s">
        <v>2200</v>
      </c>
      <c r="H44" t="s">
        <v>2727</v>
      </c>
      <c r="I44">
        <v>24500</v>
      </c>
      <c r="J44">
        <v>0</v>
      </c>
      <c r="K44">
        <v>500</v>
      </c>
      <c r="L44">
        <v>50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 t="s">
        <v>3132</v>
      </c>
      <c r="AC44" t="s">
        <v>5</v>
      </c>
      <c r="AD44" t="s">
        <v>3205</v>
      </c>
      <c r="AE44" t="s">
        <v>4</v>
      </c>
      <c r="AF44" t="s">
        <v>1</v>
      </c>
      <c r="AG44" t="s">
        <v>1</v>
      </c>
      <c r="AH44" t="s">
        <v>4120</v>
      </c>
      <c r="AI44" t="s">
        <v>2200</v>
      </c>
      <c r="AJ44" t="s">
        <v>1</v>
      </c>
      <c r="AK44">
        <v>9372292319</v>
      </c>
      <c r="AL44" t="s">
        <v>1</v>
      </c>
      <c r="AM44" t="s">
        <v>1</v>
      </c>
      <c r="AN44" t="s">
        <v>1</v>
      </c>
      <c r="AO44" t="s">
        <v>4120</v>
      </c>
      <c r="AP44" t="s">
        <v>1</v>
      </c>
      <c r="AQ44" t="s">
        <v>2</v>
      </c>
      <c r="AR44" t="s">
        <v>1</v>
      </c>
      <c r="AS44" t="s">
        <v>1</v>
      </c>
      <c r="AT44" t="s">
        <v>1</v>
      </c>
      <c r="AU44" t="s">
        <v>1</v>
      </c>
      <c r="AV44" t="s">
        <v>1</v>
      </c>
      <c r="AW44" t="s">
        <v>9</v>
      </c>
      <c r="AX44">
        <f>Tabla1[[#This Row],[precio del paquete]]-Tabla1[[#This Row],[Saldo_Deudor]]</f>
        <v>1700</v>
      </c>
      <c r="AY44">
        <v>22800</v>
      </c>
      <c r="AZ44">
        <v>0</v>
      </c>
      <c r="BA44">
        <v>0</v>
      </c>
      <c r="BB44">
        <v>0</v>
      </c>
      <c r="BC44" t="s">
        <v>2727</v>
      </c>
      <c r="BD44" t="s">
        <v>4838</v>
      </c>
      <c r="BE44" t="s">
        <v>3</v>
      </c>
      <c r="BF44" t="s">
        <v>3</v>
      </c>
      <c r="BG44" t="s">
        <v>3</v>
      </c>
      <c r="BH44" t="s">
        <v>3</v>
      </c>
      <c r="BI44" t="s">
        <v>3</v>
      </c>
      <c r="BJ44" t="s">
        <v>4997</v>
      </c>
      <c r="BK44" t="s">
        <v>3</v>
      </c>
      <c r="BL44" t="s">
        <v>96</v>
      </c>
      <c r="BM44" t="s">
        <v>1</v>
      </c>
      <c r="BN44">
        <v>24500</v>
      </c>
      <c r="BO44" t="s">
        <v>1</v>
      </c>
      <c r="BP44" t="s">
        <v>1</v>
      </c>
      <c r="BQ44" t="s">
        <v>1</v>
      </c>
      <c r="BR44" t="s">
        <v>1</v>
      </c>
      <c r="BS44" t="s">
        <v>1</v>
      </c>
      <c r="BT44" t="s">
        <v>1</v>
      </c>
      <c r="BU44" t="s">
        <v>1</v>
      </c>
      <c r="BV44" t="s">
        <v>1</v>
      </c>
      <c r="BW44" t="s">
        <v>0</v>
      </c>
      <c r="BX44" t="s">
        <v>1</v>
      </c>
      <c r="BY44" t="s">
        <v>1</v>
      </c>
      <c r="BZ44" t="s">
        <v>1</v>
      </c>
      <c r="CA44" t="s">
        <v>1</v>
      </c>
      <c r="CB44" t="s">
        <v>1</v>
      </c>
      <c r="CD44" t="e" cm="1">
        <f t="array" aca="1" ref="CD44" ca="1">eConcatenar(A44:CB44,"|")</f>
        <v>#NAME?</v>
      </c>
    </row>
    <row r="45" spans="1:82" x14ac:dyDescent="0.25">
      <c r="A45" t="s">
        <v>140</v>
      </c>
      <c r="B45" t="s">
        <v>1147</v>
      </c>
      <c r="C45">
        <v>3</v>
      </c>
      <c r="D45" t="s">
        <v>2153</v>
      </c>
      <c r="E45" t="s">
        <v>2158</v>
      </c>
      <c r="F45" t="s">
        <v>0</v>
      </c>
      <c r="G45" t="s">
        <v>2201</v>
      </c>
      <c r="H45" t="s">
        <v>2728</v>
      </c>
      <c r="I45">
        <v>14800</v>
      </c>
      <c r="J45">
        <v>0</v>
      </c>
      <c r="K45">
        <v>100</v>
      </c>
      <c r="L45">
        <v>50</v>
      </c>
      <c r="M45">
        <v>2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 t="s">
        <v>3178</v>
      </c>
      <c r="AC45" t="s">
        <v>3202</v>
      </c>
      <c r="AD45" t="s">
        <v>3206</v>
      </c>
      <c r="AE45" t="s">
        <v>4</v>
      </c>
      <c r="AF45" t="s">
        <v>1</v>
      </c>
      <c r="AG45" t="s">
        <v>1</v>
      </c>
      <c r="AH45" t="s">
        <v>4121</v>
      </c>
      <c r="AI45" t="s">
        <v>2201</v>
      </c>
      <c r="AJ45" t="s">
        <v>1</v>
      </c>
      <c r="AK45">
        <v>9371002679</v>
      </c>
      <c r="AL45" t="s">
        <v>1</v>
      </c>
      <c r="AM45" t="s">
        <v>1</v>
      </c>
      <c r="AN45" t="s">
        <v>1</v>
      </c>
      <c r="AO45" t="s">
        <v>4121</v>
      </c>
      <c r="AP45" t="s">
        <v>1</v>
      </c>
      <c r="AQ45" t="s">
        <v>2</v>
      </c>
      <c r="AR45" t="s">
        <v>1</v>
      </c>
      <c r="AS45" t="s">
        <v>1</v>
      </c>
      <c r="AT45" t="s">
        <v>1</v>
      </c>
      <c r="AU45" t="s">
        <v>1</v>
      </c>
      <c r="AV45" t="s">
        <v>1</v>
      </c>
      <c r="AW45" t="s">
        <v>9</v>
      </c>
      <c r="AX45">
        <f>Tabla1[[#This Row],[precio del paquete]]-Tabla1[[#This Row],[Saldo_Deudor]]</f>
        <v>1700</v>
      </c>
      <c r="AY45">
        <v>13100</v>
      </c>
      <c r="AZ45">
        <v>0</v>
      </c>
      <c r="BA45">
        <v>0</v>
      </c>
      <c r="BB45">
        <v>0</v>
      </c>
      <c r="BC45" t="s">
        <v>2906</v>
      </c>
      <c r="BD45" t="s">
        <v>4898</v>
      </c>
      <c r="BE45" t="s">
        <v>3</v>
      </c>
      <c r="BF45" t="s">
        <v>3</v>
      </c>
      <c r="BG45" t="s">
        <v>3</v>
      </c>
      <c r="BH45" t="s">
        <v>3</v>
      </c>
      <c r="BI45" t="s">
        <v>3</v>
      </c>
      <c r="BJ45" t="s">
        <v>4999</v>
      </c>
      <c r="BK45" t="s">
        <v>3</v>
      </c>
      <c r="BL45" t="s">
        <v>96</v>
      </c>
      <c r="BM45" t="s">
        <v>1</v>
      </c>
      <c r="BN45">
        <v>14800</v>
      </c>
      <c r="BO45" t="s">
        <v>1</v>
      </c>
      <c r="BP45" t="s">
        <v>1</v>
      </c>
      <c r="BQ45" t="s">
        <v>1</v>
      </c>
      <c r="BR45" t="s">
        <v>1</v>
      </c>
      <c r="BS45" t="s">
        <v>1</v>
      </c>
      <c r="BT45" t="s">
        <v>1</v>
      </c>
      <c r="BU45" t="s">
        <v>1</v>
      </c>
      <c r="BV45" t="s">
        <v>1</v>
      </c>
      <c r="BW45" t="s">
        <v>0</v>
      </c>
      <c r="BX45" t="s">
        <v>1</v>
      </c>
      <c r="BY45" t="s">
        <v>1</v>
      </c>
      <c r="BZ45" t="s">
        <v>1</v>
      </c>
      <c r="CA45" t="s">
        <v>1</v>
      </c>
      <c r="CB45" t="s">
        <v>1</v>
      </c>
      <c r="CD45" t="e" cm="1">
        <f t="array" aca="1" ref="CD45" ca="1">eConcatenar(A45:CB45,"|")</f>
        <v>#NAME?</v>
      </c>
    </row>
    <row r="46" spans="1:82" x14ac:dyDescent="0.25">
      <c r="A46" t="s">
        <v>141</v>
      </c>
      <c r="B46" t="s">
        <v>1148</v>
      </c>
      <c r="C46">
        <v>3</v>
      </c>
      <c r="D46" t="s">
        <v>2153</v>
      </c>
      <c r="E46" t="s">
        <v>2158</v>
      </c>
      <c r="F46" t="s">
        <v>0</v>
      </c>
      <c r="G46" t="s">
        <v>2202</v>
      </c>
      <c r="H46" t="s">
        <v>2698</v>
      </c>
      <c r="I46">
        <v>14200</v>
      </c>
      <c r="J46">
        <v>0</v>
      </c>
      <c r="K46">
        <v>200</v>
      </c>
      <c r="L46">
        <v>50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 t="s">
        <v>0</v>
      </c>
      <c r="AC46" t="s">
        <v>3117</v>
      </c>
      <c r="AD46" t="s">
        <v>3207</v>
      </c>
      <c r="AE46" t="s">
        <v>4</v>
      </c>
      <c r="AF46" t="s">
        <v>1</v>
      </c>
      <c r="AG46" t="s">
        <v>1</v>
      </c>
      <c r="AH46" t="s">
        <v>4122</v>
      </c>
      <c r="AI46" t="s">
        <v>2202</v>
      </c>
      <c r="AJ46" t="s">
        <v>1</v>
      </c>
      <c r="AK46">
        <v>9371263113</v>
      </c>
      <c r="AL46" t="s">
        <v>1</v>
      </c>
      <c r="AM46" t="s">
        <v>1</v>
      </c>
      <c r="AN46" t="s">
        <v>1</v>
      </c>
      <c r="AO46" t="s">
        <v>4122</v>
      </c>
      <c r="AP46" t="s">
        <v>1</v>
      </c>
      <c r="AQ46" t="s">
        <v>2</v>
      </c>
      <c r="AR46" t="s">
        <v>1</v>
      </c>
      <c r="AS46" t="s">
        <v>1</v>
      </c>
      <c r="AT46" t="s">
        <v>1</v>
      </c>
      <c r="AU46" t="s">
        <v>1</v>
      </c>
      <c r="AV46" t="s">
        <v>1</v>
      </c>
      <c r="AW46" t="s">
        <v>9</v>
      </c>
      <c r="AX46">
        <f>Tabla1[[#This Row],[precio del paquete]]-Tabla1[[#This Row],[Saldo_Deudor]]</f>
        <v>0</v>
      </c>
      <c r="AY46">
        <v>14200</v>
      </c>
      <c r="AZ46">
        <v>0</v>
      </c>
      <c r="BA46">
        <v>0</v>
      </c>
      <c r="BB46">
        <v>0</v>
      </c>
      <c r="BC46" t="s">
        <v>2703</v>
      </c>
      <c r="BD46" t="s">
        <v>2789</v>
      </c>
      <c r="BE46" t="s">
        <v>3</v>
      </c>
      <c r="BF46" t="s">
        <v>3</v>
      </c>
      <c r="BG46" t="s">
        <v>3</v>
      </c>
      <c r="BH46" t="s">
        <v>3</v>
      </c>
      <c r="BI46" t="s">
        <v>3</v>
      </c>
      <c r="BJ46" t="s">
        <v>4985</v>
      </c>
      <c r="BK46" t="s">
        <v>3</v>
      </c>
      <c r="BL46" t="s">
        <v>96</v>
      </c>
      <c r="BM46" t="s">
        <v>1</v>
      </c>
      <c r="BN46">
        <v>14200</v>
      </c>
      <c r="BO46" t="s">
        <v>1</v>
      </c>
      <c r="BP46" t="s">
        <v>1</v>
      </c>
      <c r="BQ46" t="s">
        <v>1</v>
      </c>
      <c r="BR46" t="s">
        <v>1</v>
      </c>
      <c r="BS46" t="s">
        <v>1</v>
      </c>
      <c r="BT46" t="s">
        <v>1</v>
      </c>
      <c r="BU46" t="s">
        <v>1</v>
      </c>
      <c r="BV46" t="s">
        <v>1</v>
      </c>
      <c r="BW46" t="s">
        <v>0</v>
      </c>
      <c r="BX46" t="s">
        <v>1</v>
      </c>
      <c r="BY46" t="s">
        <v>1</v>
      </c>
      <c r="BZ46" t="s">
        <v>1</v>
      </c>
      <c r="CA46" t="s">
        <v>1</v>
      </c>
      <c r="CB46" t="s">
        <v>1</v>
      </c>
      <c r="CD46" t="e" cm="1">
        <f t="array" aca="1" ref="CD46" ca="1">eConcatenar(A46:CB46,"|")</f>
        <v>#NAME?</v>
      </c>
    </row>
    <row r="47" spans="1:82" x14ac:dyDescent="0.25">
      <c r="A47" t="s">
        <v>142</v>
      </c>
      <c r="B47" t="s">
        <v>1149</v>
      </c>
      <c r="C47">
        <v>3</v>
      </c>
      <c r="D47" t="s">
        <v>2153</v>
      </c>
      <c r="E47" t="s">
        <v>2158</v>
      </c>
      <c r="F47" t="s">
        <v>0</v>
      </c>
      <c r="G47" t="s">
        <v>2203</v>
      </c>
      <c r="H47" t="s">
        <v>2729</v>
      </c>
      <c r="I47">
        <v>14800</v>
      </c>
      <c r="J47">
        <v>0</v>
      </c>
      <c r="K47">
        <v>100</v>
      </c>
      <c r="L47">
        <v>50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 t="s">
        <v>3202</v>
      </c>
      <c r="AC47" t="s">
        <v>3208</v>
      </c>
      <c r="AD47" t="s">
        <v>3209</v>
      </c>
      <c r="AE47" t="s">
        <v>4</v>
      </c>
      <c r="AF47" t="s">
        <v>1</v>
      </c>
      <c r="AG47" t="s">
        <v>1</v>
      </c>
      <c r="AH47" t="s">
        <v>4123</v>
      </c>
      <c r="AI47" t="s">
        <v>2203</v>
      </c>
      <c r="AJ47" t="s">
        <v>1</v>
      </c>
      <c r="AK47">
        <v>9371532423</v>
      </c>
      <c r="AL47" t="s">
        <v>1</v>
      </c>
      <c r="AM47" t="s">
        <v>1</v>
      </c>
      <c r="AN47" t="s">
        <v>1</v>
      </c>
      <c r="AO47" t="s">
        <v>4123</v>
      </c>
      <c r="AP47" t="s">
        <v>1</v>
      </c>
      <c r="AQ47" t="s">
        <v>2</v>
      </c>
      <c r="AR47" t="s">
        <v>1</v>
      </c>
      <c r="AS47" t="s">
        <v>1</v>
      </c>
      <c r="AT47" t="s">
        <v>1</v>
      </c>
      <c r="AU47" t="s">
        <v>1</v>
      </c>
      <c r="AV47" t="s">
        <v>1</v>
      </c>
      <c r="AW47" t="s">
        <v>9</v>
      </c>
      <c r="AX47">
        <f>Tabla1[[#This Row],[precio del paquete]]-Tabla1[[#This Row],[Saldo_Deudor]]</f>
        <v>850</v>
      </c>
      <c r="AY47">
        <v>13950</v>
      </c>
      <c r="AZ47">
        <v>0</v>
      </c>
      <c r="BA47">
        <v>0</v>
      </c>
      <c r="BB47">
        <v>0</v>
      </c>
      <c r="BC47" t="s">
        <v>3078</v>
      </c>
      <c r="BD47" t="s">
        <v>4827</v>
      </c>
      <c r="BE47" t="s">
        <v>3</v>
      </c>
      <c r="BF47" t="s">
        <v>3</v>
      </c>
      <c r="BG47" t="s">
        <v>3</v>
      </c>
      <c r="BH47" t="s">
        <v>3</v>
      </c>
      <c r="BI47" t="s">
        <v>3</v>
      </c>
      <c r="BJ47" t="s">
        <v>4994</v>
      </c>
      <c r="BK47" t="s">
        <v>3</v>
      </c>
      <c r="BL47" t="s">
        <v>96</v>
      </c>
      <c r="BM47" t="s">
        <v>1</v>
      </c>
      <c r="BN47">
        <v>14800</v>
      </c>
      <c r="BO47" t="s">
        <v>1</v>
      </c>
      <c r="BP47" t="s">
        <v>1</v>
      </c>
      <c r="BQ47" t="s">
        <v>1</v>
      </c>
      <c r="BR47" t="s">
        <v>1</v>
      </c>
      <c r="BS47" t="s">
        <v>1</v>
      </c>
      <c r="BT47" t="s">
        <v>1</v>
      </c>
      <c r="BU47" t="s">
        <v>1</v>
      </c>
      <c r="BV47" t="s">
        <v>1</v>
      </c>
      <c r="BW47" t="s">
        <v>0</v>
      </c>
      <c r="BX47" t="s">
        <v>1</v>
      </c>
      <c r="BY47" t="s">
        <v>1</v>
      </c>
      <c r="BZ47" t="s">
        <v>1</v>
      </c>
      <c r="CA47" t="s">
        <v>1</v>
      </c>
      <c r="CB47" t="s">
        <v>1</v>
      </c>
      <c r="CD47" t="e" cm="1">
        <f t="array" aca="1" ref="CD47" ca="1">eConcatenar(A47:CB47,"|")</f>
        <v>#NAME?</v>
      </c>
    </row>
    <row r="48" spans="1:82" x14ac:dyDescent="0.25">
      <c r="A48" t="s">
        <v>143</v>
      </c>
      <c r="B48" t="s">
        <v>1150</v>
      </c>
      <c r="C48">
        <v>3</v>
      </c>
      <c r="D48" t="s">
        <v>2154</v>
      </c>
      <c r="E48" t="s">
        <v>2158</v>
      </c>
      <c r="F48" t="s">
        <v>2162</v>
      </c>
      <c r="G48" t="s">
        <v>2204</v>
      </c>
      <c r="H48" t="s">
        <v>2730</v>
      </c>
      <c r="I48">
        <v>29000</v>
      </c>
      <c r="J48">
        <v>0</v>
      </c>
      <c r="K48">
        <v>500</v>
      </c>
      <c r="L48">
        <v>50</v>
      </c>
      <c r="M48">
        <v>2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 t="s">
        <v>5</v>
      </c>
      <c r="AC48" t="s">
        <v>3157</v>
      </c>
      <c r="AD48" t="s">
        <v>3210</v>
      </c>
      <c r="AE48" t="s">
        <v>4</v>
      </c>
      <c r="AF48" t="s">
        <v>1</v>
      </c>
      <c r="AG48" t="s">
        <v>1</v>
      </c>
      <c r="AH48" t="s">
        <v>4124</v>
      </c>
      <c r="AI48" t="s">
        <v>2204</v>
      </c>
      <c r="AJ48" t="s">
        <v>1</v>
      </c>
      <c r="AK48">
        <v>9331055700</v>
      </c>
      <c r="AL48" t="s">
        <v>1</v>
      </c>
      <c r="AM48" t="s">
        <v>1</v>
      </c>
      <c r="AN48" t="s">
        <v>1</v>
      </c>
      <c r="AO48" t="s">
        <v>4124</v>
      </c>
      <c r="AP48" t="s">
        <v>1</v>
      </c>
      <c r="AQ48" t="s">
        <v>2</v>
      </c>
      <c r="AR48" t="s">
        <v>1</v>
      </c>
      <c r="AS48" t="s">
        <v>1</v>
      </c>
      <c r="AT48" t="s">
        <v>1</v>
      </c>
      <c r="AU48" t="s">
        <v>1</v>
      </c>
      <c r="AV48" t="s">
        <v>1</v>
      </c>
      <c r="AW48" t="s">
        <v>9</v>
      </c>
      <c r="AX48">
        <f>Tabla1[[#This Row],[precio del paquete]]-Tabla1[[#This Row],[Saldo_Deudor]]</f>
        <v>6200</v>
      </c>
      <c r="AY48">
        <v>22800</v>
      </c>
      <c r="AZ48">
        <v>0</v>
      </c>
      <c r="BA48">
        <v>0</v>
      </c>
      <c r="BB48">
        <v>0</v>
      </c>
      <c r="BC48" t="s">
        <v>3016</v>
      </c>
      <c r="BD48" t="s">
        <v>4832</v>
      </c>
      <c r="BE48" t="s">
        <v>3</v>
      </c>
      <c r="BF48" t="s">
        <v>3</v>
      </c>
      <c r="BG48" t="s">
        <v>3</v>
      </c>
      <c r="BH48" t="s">
        <v>3</v>
      </c>
      <c r="BI48" t="s">
        <v>3</v>
      </c>
      <c r="BJ48" t="s">
        <v>4999</v>
      </c>
      <c r="BK48" t="s">
        <v>3</v>
      </c>
      <c r="BL48" t="s">
        <v>96</v>
      </c>
      <c r="BM48" t="s">
        <v>1</v>
      </c>
      <c r="BN48">
        <v>29000</v>
      </c>
      <c r="BO48" t="s">
        <v>1</v>
      </c>
      <c r="BP48" t="s">
        <v>1</v>
      </c>
      <c r="BQ48" t="s">
        <v>1</v>
      </c>
      <c r="BR48" t="s">
        <v>1</v>
      </c>
      <c r="BS48" t="s">
        <v>1</v>
      </c>
      <c r="BT48" t="s">
        <v>1</v>
      </c>
      <c r="BU48" t="s">
        <v>1</v>
      </c>
      <c r="BV48" t="s">
        <v>1</v>
      </c>
      <c r="BW48" t="s">
        <v>0</v>
      </c>
      <c r="BX48" t="s">
        <v>1</v>
      </c>
      <c r="BY48" t="s">
        <v>1</v>
      </c>
      <c r="BZ48" t="s">
        <v>1</v>
      </c>
      <c r="CA48" t="s">
        <v>1</v>
      </c>
      <c r="CB48" t="s">
        <v>1</v>
      </c>
      <c r="CD48" t="e" cm="1">
        <f t="array" aca="1" ref="CD48" ca="1">eConcatenar(A48:CB48,"|")</f>
        <v>#NAME?</v>
      </c>
    </row>
    <row r="49" spans="1:82" x14ac:dyDescent="0.25">
      <c r="A49" t="s">
        <v>144</v>
      </c>
      <c r="B49" t="s">
        <v>1151</v>
      </c>
      <c r="C49">
        <v>3</v>
      </c>
      <c r="D49" t="s">
        <v>2157</v>
      </c>
      <c r="E49" t="s">
        <v>2158</v>
      </c>
      <c r="F49" t="s">
        <v>0</v>
      </c>
      <c r="G49" t="s">
        <v>2205</v>
      </c>
      <c r="H49" t="s">
        <v>2731</v>
      </c>
      <c r="I49">
        <v>12900</v>
      </c>
      <c r="J49">
        <v>0</v>
      </c>
      <c r="K49">
        <v>400</v>
      </c>
      <c r="L49">
        <v>50</v>
      </c>
      <c r="M49">
        <v>2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 t="s">
        <v>3202</v>
      </c>
      <c r="AC49" t="s">
        <v>6</v>
      </c>
      <c r="AD49" t="s">
        <v>3211</v>
      </c>
      <c r="AE49" t="s">
        <v>4</v>
      </c>
      <c r="AF49" t="s">
        <v>1</v>
      </c>
      <c r="AG49" t="s">
        <v>1</v>
      </c>
      <c r="AH49" t="s">
        <v>4125</v>
      </c>
      <c r="AI49" t="s">
        <v>2205</v>
      </c>
      <c r="AJ49" t="s">
        <v>1</v>
      </c>
      <c r="AK49">
        <v>9141001160</v>
      </c>
      <c r="AL49" t="s">
        <v>1</v>
      </c>
      <c r="AM49" t="s">
        <v>1</v>
      </c>
      <c r="AN49" t="s">
        <v>1</v>
      </c>
      <c r="AO49" t="s">
        <v>4125</v>
      </c>
      <c r="AP49" t="s">
        <v>1</v>
      </c>
      <c r="AQ49" t="s">
        <v>2</v>
      </c>
      <c r="AR49" t="s">
        <v>1</v>
      </c>
      <c r="AS49" t="s">
        <v>1</v>
      </c>
      <c r="AT49" t="s">
        <v>1</v>
      </c>
      <c r="AU49" t="s">
        <v>1</v>
      </c>
      <c r="AV49" t="s">
        <v>1</v>
      </c>
      <c r="AW49" t="s">
        <v>9</v>
      </c>
      <c r="AX49">
        <f>Tabla1[[#This Row],[precio del paquete]]-Tabla1[[#This Row],[Saldo_Deudor]]</f>
        <v>11000</v>
      </c>
      <c r="AY49">
        <v>1900</v>
      </c>
      <c r="AZ49">
        <v>0</v>
      </c>
      <c r="BA49">
        <v>0</v>
      </c>
      <c r="BB49">
        <v>0</v>
      </c>
      <c r="BC49" t="s">
        <v>4826</v>
      </c>
      <c r="BD49" t="s">
        <v>2706</v>
      </c>
      <c r="BE49" t="s">
        <v>3</v>
      </c>
      <c r="BF49" t="s">
        <v>3</v>
      </c>
      <c r="BG49" t="s">
        <v>3</v>
      </c>
      <c r="BH49" t="s">
        <v>3</v>
      </c>
      <c r="BI49" t="s">
        <v>3</v>
      </c>
      <c r="BJ49" t="s">
        <v>5000</v>
      </c>
      <c r="BK49" t="s">
        <v>3</v>
      </c>
      <c r="BL49" t="s">
        <v>96</v>
      </c>
      <c r="BM49" t="s">
        <v>1</v>
      </c>
      <c r="BN49">
        <v>12900</v>
      </c>
      <c r="BO49" t="s">
        <v>1</v>
      </c>
      <c r="BP49" t="s">
        <v>1</v>
      </c>
      <c r="BQ49" t="s">
        <v>1</v>
      </c>
      <c r="BR49" t="s">
        <v>1</v>
      </c>
      <c r="BS49" t="s">
        <v>1</v>
      </c>
      <c r="BT49" t="s">
        <v>1</v>
      </c>
      <c r="BU49" t="s">
        <v>1</v>
      </c>
      <c r="BV49" t="s">
        <v>1</v>
      </c>
      <c r="BW49" t="s">
        <v>0</v>
      </c>
      <c r="BX49" t="s">
        <v>1</v>
      </c>
      <c r="BY49" t="s">
        <v>1</v>
      </c>
      <c r="BZ49" t="s">
        <v>1</v>
      </c>
      <c r="CA49" t="s">
        <v>1</v>
      </c>
      <c r="CB49" t="s">
        <v>1</v>
      </c>
      <c r="CD49" t="e" cm="1">
        <f t="array" aca="1" ref="CD49" ca="1">eConcatenar(A49:CB49,"|")</f>
        <v>#NAME?</v>
      </c>
    </row>
    <row r="50" spans="1:82" x14ac:dyDescent="0.25">
      <c r="A50" t="s">
        <v>145</v>
      </c>
      <c r="B50" t="s">
        <v>1152</v>
      </c>
      <c r="C50">
        <v>3</v>
      </c>
      <c r="D50" t="s">
        <v>2153</v>
      </c>
      <c r="E50" t="s">
        <v>2158</v>
      </c>
      <c r="F50" t="s">
        <v>2159</v>
      </c>
      <c r="G50" t="s">
        <v>2206</v>
      </c>
      <c r="H50" t="s">
        <v>2732</v>
      </c>
      <c r="I50">
        <v>14800</v>
      </c>
      <c r="J50">
        <v>0</v>
      </c>
      <c r="K50">
        <v>200</v>
      </c>
      <c r="L50">
        <v>50</v>
      </c>
      <c r="M50">
        <v>2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 t="s">
        <v>3168</v>
      </c>
      <c r="AC50" t="s">
        <v>3115</v>
      </c>
      <c r="AD50" t="s">
        <v>3212</v>
      </c>
      <c r="AE50" t="s">
        <v>4</v>
      </c>
      <c r="AF50" t="s">
        <v>1</v>
      </c>
      <c r="AG50" t="s">
        <v>1</v>
      </c>
      <c r="AH50" t="s">
        <v>4126</v>
      </c>
      <c r="AI50" t="s">
        <v>2206</v>
      </c>
      <c r="AJ50" t="s">
        <v>1</v>
      </c>
      <c r="AK50">
        <v>9331373949</v>
      </c>
      <c r="AL50" t="s">
        <v>1</v>
      </c>
      <c r="AM50" t="s">
        <v>1</v>
      </c>
      <c r="AN50" t="s">
        <v>1</v>
      </c>
      <c r="AO50" t="s">
        <v>4126</v>
      </c>
      <c r="AP50" t="s">
        <v>1</v>
      </c>
      <c r="AQ50" t="s">
        <v>2</v>
      </c>
      <c r="AR50" t="s">
        <v>1</v>
      </c>
      <c r="AS50" t="s">
        <v>1</v>
      </c>
      <c r="AT50" t="s">
        <v>1</v>
      </c>
      <c r="AU50" t="s">
        <v>1</v>
      </c>
      <c r="AV50" t="s">
        <v>1</v>
      </c>
      <c r="AW50" t="s">
        <v>9</v>
      </c>
      <c r="AX50">
        <f>Tabla1[[#This Row],[precio del paquete]]-Tabla1[[#This Row],[Saldo_Deudor]]</f>
        <v>200</v>
      </c>
      <c r="AY50">
        <v>14600</v>
      </c>
      <c r="AZ50">
        <v>0</v>
      </c>
      <c r="BA50">
        <v>0</v>
      </c>
      <c r="BB50">
        <v>0</v>
      </c>
      <c r="BC50" t="s">
        <v>2732</v>
      </c>
      <c r="BD50" t="s">
        <v>4904</v>
      </c>
      <c r="BE50" t="s">
        <v>3</v>
      </c>
      <c r="BF50" t="s">
        <v>3</v>
      </c>
      <c r="BG50" t="s">
        <v>3</v>
      </c>
      <c r="BH50" t="s">
        <v>3</v>
      </c>
      <c r="BI50" t="s">
        <v>3</v>
      </c>
      <c r="BJ50" t="s">
        <v>4982</v>
      </c>
      <c r="BK50" t="s">
        <v>3</v>
      </c>
      <c r="BL50" t="s">
        <v>96</v>
      </c>
      <c r="BM50" t="s">
        <v>1</v>
      </c>
      <c r="BN50">
        <v>14800</v>
      </c>
      <c r="BO50" t="s">
        <v>1</v>
      </c>
      <c r="BP50" t="s">
        <v>1</v>
      </c>
      <c r="BQ50" t="s">
        <v>1</v>
      </c>
      <c r="BR50" t="s">
        <v>1</v>
      </c>
      <c r="BS50" t="s">
        <v>1</v>
      </c>
      <c r="BT50" t="s">
        <v>1</v>
      </c>
      <c r="BU50" t="s">
        <v>1</v>
      </c>
      <c r="BV50" t="s">
        <v>1</v>
      </c>
      <c r="BW50" t="s">
        <v>0</v>
      </c>
      <c r="BX50" t="s">
        <v>1</v>
      </c>
      <c r="BY50" t="s">
        <v>1</v>
      </c>
      <c r="BZ50" t="s">
        <v>1</v>
      </c>
      <c r="CA50" t="s">
        <v>1</v>
      </c>
      <c r="CB50" t="s">
        <v>1</v>
      </c>
      <c r="CD50" t="e" cm="1">
        <f t="array" aca="1" ref="CD50" ca="1">eConcatenar(A50:CB50,"|")</f>
        <v>#NAME?</v>
      </c>
    </row>
    <row r="51" spans="1:82" x14ac:dyDescent="0.25">
      <c r="A51" t="s">
        <v>146</v>
      </c>
      <c r="B51" t="s">
        <v>1153</v>
      </c>
      <c r="C51">
        <v>3</v>
      </c>
      <c r="D51" t="s">
        <v>2153</v>
      </c>
      <c r="E51" t="s">
        <v>2158</v>
      </c>
      <c r="F51" t="s">
        <v>2159</v>
      </c>
      <c r="G51" t="s">
        <v>2207</v>
      </c>
      <c r="H51" t="s">
        <v>2698</v>
      </c>
      <c r="I51">
        <v>14800</v>
      </c>
      <c r="J51">
        <v>0</v>
      </c>
      <c r="K51">
        <v>200</v>
      </c>
      <c r="L51">
        <v>50</v>
      </c>
      <c r="M51">
        <v>1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 t="s">
        <v>3213</v>
      </c>
      <c r="AC51" t="s">
        <v>3214</v>
      </c>
      <c r="AD51" t="s">
        <v>3215</v>
      </c>
      <c r="AE51" t="s">
        <v>4</v>
      </c>
      <c r="AF51" t="s">
        <v>1</v>
      </c>
      <c r="AG51" t="s">
        <v>1</v>
      </c>
      <c r="AH51" t="s">
        <v>4127</v>
      </c>
      <c r="AI51" t="s">
        <v>2207</v>
      </c>
      <c r="AJ51" t="s">
        <v>1</v>
      </c>
      <c r="AK51">
        <v>9332048027</v>
      </c>
      <c r="AL51" t="s">
        <v>1</v>
      </c>
      <c r="AM51" t="s">
        <v>1</v>
      </c>
      <c r="AN51" t="s">
        <v>1</v>
      </c>
      <c r="AO51" t="s">
        <v>4127</v>
      </c>
      <c r="AP51" t="s">
        <v>1</v>
      </c>
      <c r="AQ51" t="s">
        <v>2</v>
      </c>
      <c r="AR51" t="s">
        <v>1</v>
      </c>
      <c r="AS51" t="s">
        <v>1</v>
      </c>
      <c r="AT51" t="s">
        <v>1</v>
      </c>
      <c r="AU51" t="s">
        <v>1</v>
      </c>
      <c r="AV51" t="s">
        <v>1</v>
      </c>
      <c r="AW51" t="s">
        <v>9</v>
      </c>
      <c r="AX51">
        <f>Tabla1[[#This Row],[precio del paquete]]-Tabla1[[#This Row],[Saldo_Deudor]]</f>
        <v>1600</v>
      </c>
      <c r="AY51">
        <v>13200</v>
      </c>
      <c r="AZ51">
        <v>0</v>
      </c>
      <c r="BA51">
        <v>0</v>
      </c>
      <c r="BB51">
        <v>0</v>
      </c>
      <c r="BC51" t="s">
        <v>4830</v>
      </c>
      <c r="BD51" t="s">
        <v>4906</v>
      </c>
      <c r="BE51" t="s">
        <v>3</v>
      </c>
      <c r="BF51" t="s">
        <v>3</v>
      </c>
      <c r="BG51" t="s">
        <v>3</v>
      </c>
      <c r="BH51" t="s">
        <v>3</v>
      </c>
      <c r="BI51" t="s">
        <v>3</v>
      </c>
      <c r="BJ51" t="s">
        <v>5000</v>
      </c>
      <c r="BK51" t="s">
        <v>3</v>
      </c>
      <c r="BL51" t="s">
        <v>96</v>
      </c>
      <c r="BM51" t="s">
        <v>1</v>
      </c>
      <c r="BN51">
        <v>14800</v>
      </c>
      <c r="BO51" t="s">
        <v>1</v>
      </c>
      <c r="BP51" t="s">
        <v>1</v>
      </c>
      <c r="BQ51" t="s">
        <v>1</v>
      </c>
      <c r="BR51" t="s">
        <v>1</v>
      </c>
      <c r="BS51" t="s">
        <v>1</v>
      </c>
      <c r="BT51" t="s">
        <v>1</v>
      </c>
      <c r="BU51" t="s">
        <v>1</v>
      </c>
      <c r="BV51" t="s">
        <v>1</v>
      </c>
      <c r="BW51" t="s">
        <v>0</v>
      </c>
      <c r="BX51" t="s">
        <v>1</v>
      </c>
      <c r="BY51" t="s">
        <v>1</v>
      </c>
      <c r="BZ51" t="s">
        <v>1</v>
      </c>
      <c r="CA51" t="s">
        <v>1</v>
      </c>
      <c r="CB51" t="s">
        <v>1</v>
      </c>
      <c r="CD51" t="e" cm="1">
        <f t="array" aca="1" ref="CD51" ca="1">eConcatenar(A51:CB51,"|")</f>
        <v>#NAME?</v>
      </c>
    </row>
    <row r="52" spans="1:82" x14ac:dyDescent="0.25">
      <c r="A52" t="s">
        <v>147</v>
      </c>
      <c r="B52" t="s">
        <v>1154</v>
      </c>
      <c r="C52">
        <v>3</v>
      </c>
      <c r="D52" t="s">
        <v>3106</v>
      </c>
      <c r="E52" t="s">
        <v>2158</v>
      </c>
      <c r="F52" t="s">
        <v>2162</v>
      </c>
      <c r="G52" t="s">
        <v>2208</v>
      </c>
      <c r="H52" t="s">
        <v>2733</v>
      </c>
      <c r="I52">
        <v>31500</v>
      </c>
      <c r="J52">
        <v>0</v>
      </c>
      <c r="K52">
        <v>100</v>
      </c>
      <c r="L52">
        <v>50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 t="s">
        <v>3152</v>
      </c>
      <c r="AC52" t="s">
        <v>3177</v>
      </c>
      <c r="AD52" t="s">
        <v>3216</v>
      </c>
      <c r="AE52" t="s">
        <v>4</v>
      </c>
      <c r="AF52" t="s">
        <v>1</v>
      </c>
      <c r="AG52" t="s">
        <v>1</v>
      </c>
      <c r="AH52" t="s">
        <v>2208</v>
      </c>
      <c r="AI52" t="s">
        <v>2208</v>
      </c>
      <c r="AJ52" t="s">
        <v>1</v>
      </c>
      <c r="AK52" t="s">
        <v>1</v>
      </c>
      <c r="AL52" t="s">
        <v>1</v>
      </c>
      <c r="AM52" t="s">
        <v>1</v>
      </c>
      <c r="AN52" t="s">
        <v>1</v>
      </c>
      <c r="AO52" t="s">
        <v>2208</v>
      </c>
      <c r="AP52" t="s">
        <v>1</v>
      </c>
      <c r="AQ52" t="s">
        <v>2</v>
      </c>
      <c r="AR52" t="s">
        <v>1</v>
      </c>
      <c r="AS52" t="s">
        <v>1</v>
      </c>
      <c r="AT52" t="s">
        <v>1</v>
      </c>
      <c r="AU52" t="s">
        <v>1</v>
      </c>
      <c r="AV52" t="s">
        <v>1</v>
      </c>
      <c r="AW52" t="s">
        <v>9</v>
      </c>
      <c r="AX52">
        <f>Tabla1[[#This Row],[precio del paquete]]-Tabla1[[#This Row],[Saldo_Deudor]]</f>
        <v>23000</v>
      </c>
      <c r="AY52">
        <v>8500</v>
      </c>
      <c r="AZ52">
        <v>0</v>
      </c>
      <c r="BA52">
        <v>0</v>
      </c>
      <c r="BB52">
        <v>0</v>
      </c>
      <c r="BC52" t="s">
        <v>2711</v>
      </c>
      <c r="BD52" t="s">
        <v>2712</v>
      </c>
      <c r="BE52" t="s">
        <v>3</v>
      </c>
      <c r="BF52" t="s">
        <v>3</v>
      </c>
      <c r="BG52" t="s">
        <v>3</v>
      </c>
      <c r="BH52" t="s">
        <v>3</v>
      </c>
      <c r="BI52" t="s">
        <v>3</v>
      </c>
      <c r="BJ52" t="s">
        <v>4993</v>
      </c>
      <c r="BK52" t="s">
        <v>3</v>
      </c>
      <c r="BL52" t="s">
        <v>96</v>
      </c>
      <c r="BM52" t="s">
        <v>1</v>
      </c>
      <c r="BN52">
        <v>31500</v>
      </c>
      <c r="BO52" t="s">
        <v>1</v>
      </c>
      <c r="BP52" t="s">
        <v>1</v>
      </c>
      <c r="BQ52" t="s">
        <v>1</v>
      </c>
      <c r="BR52" t="s">
        <v>1</v>
      </c>
      <c r="BS52" t="s">
        <v>1</v>
      </c>
      <c r="BT52" t="s">
        <v>1</v>
      </c>
      <c r="BU52" t="s">
        <v>1</v>
      </c>
      <c r="BV52" t="s">
        <v>1</v>
      </c>
      <c r="BW52" t="s">
        <v>0</v>
      </c>
      <c r="BX52" t="s">
        <v>1</v>
      </c>
      <c r="BY52" t="s">
        <v>1</v>
      </c>
      <c r="BZ52" t="s">
        <v>1</v>
      </c>
      <c r="CA52" t="s">
        <v>1</v>
      </c>
      <c r="CB52" t="s">
        <v>1</v>
      </c>
      <c r="CD52" t="e" cm="1">
        <f t="array" aca="1" ref="CD52" ca="1">eConcatenar(A52:CB52,"|")</f>
        <v>#NAME?</v>
      </c>
    </row>
    <row r="53" spans="1:82" x14ac:dyDescent="0.25">
      <c r="A53" t="s">
        <v>148</v>
      </c>
      <c r="B53" t="s">
        <v>1155</v>
      </c>
      <c r="C53">
        <v>3</v>
      </c>
      <c r="D53" t="s">
        <v>2157</v>
      </c>
      <c r="E53" t="s">
        <v>2158</v>
      </c>
      <c r="F53" t="s">
        <v>2162</v>
      </c>
      <c r="G53" t="s">
        <v>2208</v>
      </c>
      <c r="H53" t="s">
        <v>2734</v>
      </c>
      <c r="I53">
        <v>12900</v>
      </c>
      <c r="J53">
        <v>0</v>
      </c>
      <c r="K53">
        <v>100</v>
      </c>
      <c r="L53">
        <v>50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 t="s">
        <v>3148</v>
      </c>
      <c r="AC53" t="s">
        <v>3217</v>
      </c>
      <c r="AD53" t="s">
        <v>3218</v>
      </c>
      <c r="AE53" t="s">
        <v>4</v>
      </c>
      <c r="AF53" t="s">
        <v>1</v>
      </c>
      <c r="AG53" t="s">
        <v>1</v>
      </c>
      <c r="AH53" t="s">
        <v>2208</v>
      </c>
      <c r="AI53" t="s">
        <v>2208</v>
      </c>
      <c r="AJ53" t="s">
        <v>1</v>
      </c>
      <c r="AK53">
        <v>9331322116</v>
      </c>
      <c r="AL53" t="s">
        <v>1</v>
      </c>
      <c r="AM53" t="s">
        <v>1</v>
      </c>
      <c r="AN53" t="s">
        <v>1</v>
      </c>
      <c r="AO53" t="s">
        <v>2208</v>
      </c>
      <c r="AP53" t="s">
        <v>1</v>
      </c>
      <c r="AQ53" t="s">
        <v>2</v>
      </c>
      <c r="AR53" t="s">
        <v>1</v>
      </c>
      <c r="AS53" t="s">
        <v>1</v>
      </c>
      <c r="AT53" t="s">
        <v>1</v>
      </c>
      <c r="AU53" t="s">
        <v>1</v>
      </c>
      <c r="AV53" t="s">
        <v>1</v>
      </c>
      <c r="AW53" t="s">
        <v>9</v>
      </c>
      <c r="AX53">
        <f>Tabla1[[#This Row],[precio del paquete]]-Tabla1[[#This Row],[Saldo_Deudor]]</f>
        <v>12300</v>
      </c>
      <c r="AY53">
        <v>600</v>
      </c>
      <c r="AZ53">
        <v>0</v>
      </c>
      <c r="BA53">
        <v>0</v>
      </c>
      <c r="BB53">
        <v>0</v>
      </c>
      <c r="BC53" t="s">
        <v>2928</v>
      </c>
      <c r="BD53" t="s">
        <v>2711</v>
      </c>
      <c r="BE53" t="s">
        <v>3</v>
      </c>
      <c r="BF53" t="s">
        <v>3</v>
      </c>
      <c r="BG53" t="s">
        <v>3</v>
      </c>
      <c r="BH53" t="s">
        <v>3</v>
      </c>
      <c r="BI53" t="s">
        <v>3</v>
      </c>
      <c r="BJ53" t="s">
        <v>4998</v>
      </c>
      <c r="BK53" t="s">
        <v>3</v>
      </c>
      <c r="BL53" t="s">
        <v>96</v>
      </c>
      <c r="BM53" t="s">
        <v>1</v>
      </c>
      <c r="BN53">
        <v>12900</v>
      </c>
      <c r="BO53" t="s">
        <v>1</v>
      </c>
      <c r="BP53" t="s">
        <v>1</v>
      </c>
      <c r="BQ53" t="s">
        <v>1</v>
      </c>
      <c r="BR53" t="s">
        <v>1</v>
      </c>
      <c r="BS53" t="s">
        <v>1</v>
      </c>
      <c r="BT53" t="s">
        <v>1</v>
      </c>
      <c r="BU53" t="s">
        <v>1</v>
      </c>
      <c r="BV53" t="s">
        <v>1</v>
      </c>
      <c r="BW53" t="s">
        <v>0</v>
      </c>
      <c r="BX53" t="s">
        <v>1</v>
      </c>
      <c r="BY53" t="s">
        <v>1</v>
      </c>
      <c r="BZ53" t="s">
        <v>1</v>
      </c>
      <c r="CA53" t="s">
        <v>1</v>
      </c>
      <c r="CB53" t="s">
        <v>1</v>
      </c>
      <c r="CD53" t="e" cm="1">
        <f t="array" aca="1" ref="CD53" ca="1">eConcatenar(A53:CB53,"|")</f>
        <v>#NAME?</v>
      </c>
    </row>
    <row r="54" spans="1:82" x14ac:dyDescent="0.25">
      <c r="A54" t="s">
        <v>149</v>
      </c>
      <c r="B54" t="s">
        <v>1156</v>
      </c>
      <c r="C54">
        <v>3</v>
      </c>
      <c r="D54" t="s">
        <v>2153</v>
      </c>
      <c r="E54" t="s">
        <v>2158</v>
      </c>
      <c r="F54" t="s">
        <v>2161</v>
      </c>
      <c r="G54" t="s">
        <v>2209</v>
      </c>
      <c r="H54" t="s">
        <v>2735</v>
      </c>
      <c r="I54">
        <v>14800</v>
      </c>
      <c r="J54">
        <v>0</v>
      </c>
      <c r="K54">
        <v>200</v>
      </c>
      <c r="L54">
        <v>50</v>
      </c>
      <c r="M54">
        <v>1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 t="s">
        <v>3177</v>
      </c>
      <c r="AC54" t="s">
        <v>3219</v>
      </c>
      <c r="AD54" t="s">
        <v>3220</v>
      </c>
      <c r="AE54" t="s">
        <v>4</v>
      </c>
      <c r="AF54" t="s">
        <v>1</v>
      </c>
      <c r="AG54" t="s">
        <v>1</v>
      </c>
      <c r="AH54" t="s">
        <v>4128</v>
      </c>
      <c r="AI54" t="s">
        <v>2209</v>
      </c>
      <c r="AJ54" t="s">
        <v>1</v>
      </c>
      <c r="AK54">
        <v>9141373377</v>
      </c>
      <c r="AL54" t="s">
        <v>1</v>
      </c>
      <c r="AM54" t="s">
        <v>1</v>
      </c>
      <c r="AN54" t="s">
        <v>1</v>
      </c>
      <c r="AO54" t="s">
        <v>4128</v>
      </c>
      <c r="AP54" t="s">
        <v>1</v>
      </c>
      <c r="AQ54" t="s">
        <v>2</v>
      </c>
      <c r="AR54" t="s">
        <v>1</v>
      </c>
      <c r="AS54" t="s">
        <v>1</v>
      </c>
      <c r="AT54" t="s">
        <v>1</v>
      </c>
      <c r="AU54" t="s">
        <v>1</v>
      </c>
      <c r="AV54" t="s">
        <v>1</v>
      </c>
      <c r="AW54" t="s">
        <v>9</v>
      </c>
      <c r="AX54">
        <f>Tabla1[[#This Row],[precio del paquete]]-Tabla1[[#This Row],[Saldo_Deudor]]</f>
        <v>800</v>
      </c>
      <c r="AY54">
        <v>14000</v>
      </c>
      <c r="AZ54">
        <v>0</v>
      </c>
      <c r="BA54">
        <v>0</v>
      </c>
      <c r="BB54">
        <v>0</v>
      </c>
      <c r="BC54" t="s">
        <v>3098</v>
      </c>
      <c r="BD54" t="s">
        <v>4829</v>
      </c>
      <c r="BE54" t="s">
        <v>3</v>
      </c>
      <c r="BF54" t="s">
        <v>3</v>
      </c>
      <c r="BG54" t="s">
        <v>3</v>
      </c>
      <c r="BH54" t="s">
        <v>3</v>
      </c>
      <c r="BI54" t="s">
        <v>3</v>
      </c>
      <c r="BJ54" t="s">
        <v>4998</v>
      </c>
      <c r="BK54" t="s">
        <v>3</v>
      </c>
      <c r="BL54" t="s">
        <v>96</v>
      </c>
      <c r="BM54" t="s">
        <v>1</v>
      </c>
      <c r="BN54">
        <v>14800</v>
      </c>
      <c r="BO54" t="s">
        <v>1</v>
      </c>
      <c r="BP54" t="s">
        <v>1</v>
      </c>
      <c r="BQ54" t="s">
        <v>1</v>
      </c>
      <c r="BR54" t="s">
        <v>1</v>
      </c>
      <c r="BS54" t="s">
        <v>1</v>
      </c>
      <c r="BT54" t="s">
        <v>1</v>
      </c>
      <c r="BU54" t="s">
        <v>1</v>
      </c>
      <c r="BV54" t="s">
        <v>1</v>
      </c>
      <c r="BW54" t="s">
        <v>0</v>
      </c>
      <c r="BX54" t="s">
        <v>1</v>
      </c>
      <c r="BY54" t="s">
        <v>1</v>
      </c>
      <c r="BZ54" t="s">
        <v>1</v>
      </c>
      <c r="CA54" t="s">
        <v>1</v>
      </c>
      <c r="CB54" t="s">
        <v>1</v>
      </c>
      <c r="CD54" t="e" cm="1">
        <f t="array" aca="1" ref="CD54" ca="1">eConcatenar(A54:CB54,"|")</f>
        <v>#NAME?</v>
      </c>
    </row>
    <row r="55" spans="1:82" x14ac:dyDescent="0.25">
      <c r="A55" t="s">
        <v>150</v>
      </c>
      <c r="B55" t="s">
        <v>1157</v>
      </c>
      <c r="C55">
        <v>3</v>
      </c>
      <c r="D55" t="s">
        <v>2153</v>
      </c>
      <c r="E55" t="s">
        <v>2158</v>
      </c>
      <c r="F55" t="s">
        <v>8</v>
      </c>
      <c r="G55" t="s">
        <v>2210</v>
      </c>
      <c r="H55" t="s">
        <v>2716</v>
      </c>
      <c r="I55">
        <v>14800</v>
      </c>
      <c r="J55">
        <v>0</v>
      </c>
      <c r="K55">
        <v>50</v>
      </c>
      <c r="L55">
        <v>50</v>
      </c>
      <c r="M55">
        <v>1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 t="s">
        <v>3221</v>
      </c>
      <c r="AC55" t="s">
        <v>3137</v>
      </c>
      <c r="AD55" t="s">
        <v>3222</v>
      </c>
      <c r="AE55" t="s">
        <v>4</v>
      </c>
      <c r="AF55" t="s">
        <v>1</v>
      </c>
      <c r="AG55" t="s">
        <v>1</v>
      </c>
      <c r="AH55" t="s">
        <v>4129</v>
      </c>
      <c r="AI55" t="s">
        <v>2210</v>
      </c>
      <c r="AJ55" t="s">
        <v>1</v>
      </c>
      <c r="AK55">
        <v>9371070480</v>
      </c>
      <c r="AL55" t="s">
        <v>1</v>
      </c>
      <c r="AM55" t="s">
        <v>1</v>
      </c>
      <c r="AN55" t="s">
        <v>1</v>
      </c>
      <c r="AO55" t="s">
        <v>4129</v>
      </c>
      <c r="AP55" t="s">
        <v>1</v>
      </c>
      <c r="AQ55" t="s">
        <v>2</v>
      </c>
      <c r="AR55" t="s">
        <v>1</v>
      </c>
      <c r="AS55" t="s">
        <v>1</v>
      </c>
      <c r="AT55" t="s">
        <v>1</v>
      </c>
      <c r="AU55" t="s">
        <v>1</v>
      </c>
      <c r="AV55" t="s">
        <v>1</v>
      </c>
      <c r="AW55" t="s">
        <v>9</v>
      </c>
      <c r="AX55">
        <f>Tabla1[[#This Row],[precio del paquete]]-Tabla1[[#This Row],[Saldo_Deudor]]</f>
        <v>250</v>
      </c>
      <c r="AY55">
        <v>14550</v>
      </c>
      <c r="AZ55">
        <v>0</v>
      </c>
      <c r="BA55">
        <v>0</v>
      </c>
      <c r="BB55">
        <v>0</v>
      </c>
      <c r="BC55" t="s">
        <v>2777</v>
      </c>
      <c r="BD55" t="s">
        <v>3096</v>
      </c>
      <c r="BE55" t="s">
        <v>3</v>
      </c>
      <c r="BF55" t="s">
        <v>3</v>
      </c>
      <c r="BG55" t="s">
        <v>3</v>
      </c>
      <c r="BH55" t="s">
        <v>3</v>
      </c>
      <c r="BI55" t="s">
        <v>3</v>
      </c>
      <c r="BJ55" t="s">
        <v>4986</v>
      </c>
      <c r="BK55" t="s">
        <v>3</v>
      </c>
      <c r="BL55" t="s">
        <v>96</v>
      </c>
      <c r="BM55" t="s">
        <v>1</v>
      </c>
      <c r="BN55">
        <v>14800</v>
      </c>
      <c r="BO55" t="s">
        <v>1</v>
      </c>
      <c r="BP55" t="s">
        <v>1</v>
      </c>
      <c r="BQ55" t="s">
        <v>1</v>
      </c>
      <c r="BR55" t="s">
        <v>1</v>
      </c>
      <c r="BS55" t="s">
        <v>1</v>
      </c>
      <c r="BT55" t="s">
        <v>1</v>
      </c>
      <c r="BU55" t="s">
        <v>1</v>
      </c>
      <c r="BV55" t="s">
        <v>1</v>
      </c>
      <c r="BW55" t="s">
        <v>0</v>
      </c>
      <c r="BX55" t="s">
        <v>1</v>
      </c>
      <c r="BY55" t="s">
        <v>1</v>
      </c>
      <c r="BZ55" t="s">
        <v>1</v>
      </c>
      <c r="CA55" t="s">
        <v>1</v>
      </c>
      <c r="CB55" t="s">
        <v>1</v>
      </c>
      <c r="CD55" t="e" cm="1">
        <f t="array" aca="1" ref="CD55" ca="1">eConcatenar(A55:CB55,"|")</f>
        <v>#NAME?</v>
      </c>
    </row>
    <row r="56" spans="1:82" x14ac:dyDescent="0.25">
      <c r="A56" t="s">
        <v>151</v>
      </c>
      <c r="B56" t="s">
        <v>1158</v>
      </c>
      <c r="C56">
        <v>3</v>
      </c>
      <c r="D56" t="s">
        <v>2157</v>
      </c>
      <c r="E56" t="s">
        <v>2158</v>
      </c>
      <c r="F56" t="s">
        <v>0</v>
      </c>
      <c r="G56" t="s">
        <v>2211</v>
      </c>
      <c r="H56" t="s">
        <v>2736</v>
      </c>
      <c r="I56">
        <v>11500</v>
      </c>
      <c r="J56">
        <v>0</v>
      </c>
      <c r="K56">
        <v>100</v>
      </c>
      <c r="L56">
        <v>50</v>
      </c>
      <c r="M56">
        <v>1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 t="s">
        <v>3223</v>
      </c>
      <c r="AC56" t="s">
        <v>3157</v>
      </c>
      <c r="AD56" t="s">
        <v>3224</v>
      </c>
      <c r="AE56" t="s">
        <v>4</v>
      </c>
      <c r="AF56" t="s">
        <v>1</v>
      </c>
      <c r="AG56" t="s">
        <v>1</v>
      </c>
      <c r="AH56" t="s">
        <v>4130</v>
      </c>
      <c r="AI56" t="s">
        <v>2211</v>
      </c>
      <c r="AJ56" t="s">
        <v>1</v>
      </c>
      <c r="AK56" t="s">
        <v>1</v>
      </c>
      <c r="AL56" t="s">
        <v>1</v>
      </c>
      <c r="AM56" t="s">
        <v>1</v>
      </c>
      <c r="AN56" t="s">
        <v>1</v>
      </c>
      <c r="AO56" t="s">
        <v>4130</v>
      </c>
      <c r="AP56" t="s">
        <v>1</v>
      </c>
      <c r="AQ56" t="s">
        <v>2</v>
      </c>
      <c r="AR56" t="s">
        <v>1</v>
      </c>
      <c r="AS56" t="s">
        <v>1</v>
      </c>
      <c r="AT56" t="s">
        <v>1</v>
      </c>
      <c r="AU56" t="s">
        <v>1</v>
      </c>
      <c r="AV56" t="s">
        <v>1</v>
      </c>
      <c r="AW56" t="s">
        <v>9</v>
      </c>
      <c r="AX56">
        <f>Tabla1[[#This Row],[precio del paquete]]-Tabla1[[#This Row],[Saldo_Deudor]]</f>
        <v>10500</v>
      </c>
      <c r="AY56">
        <v>1000</v>
      </c>
      <c r="AZ56">
        <v>0</v>
      </c>
      <c r="BA56">
        <v>0</v>
      </c>
      <c r="BB56">
        <v>0</v>
      </c>
      <c r="BC56" t="s">
        <v>3061</v>
      </c>
      <c r="BD56" t="s">
        <v>3040</v>
      </c>
      <c r="BE56" t="s">
        <v>3</v>
      </c>
      <c r="BF56" t="s">
        <v>3</v>
      </c>
      <c r="BG56" t="s">
        <v>3</v>
      </c>
      <c r="BH56" t="s">
        <v>3</v>
      </c>
      <c r="BI56" t="s">
        <v>3</v>
      </c>
      <c r="BJ56" t="s">
        <v>4983</v>
      </c>
      <c r="BK56" t="s">
        <v>3</v>
      </c>
      <c r="BL56" t="s">
        <v>96</v>
      </c>
      <c r="BM56" t="s">
        <v>1</v>
      </c>
      <c r="BN56">
        <v>11500</v>
      </c>
      <c r="BO56" t="s">
        <v>1</v>
      </c>
      <c r="BP56" t="s">
        <v>1</v>
      </c>
      <c r="BQ56" t="s">
        <v>1</v>
      </c>
      <c r="BR56" t="s">
        <v>1</v>
      </c>
      <c r="BS56" t="s">
        <v>1</v>
      </c>
      <c r="BT56" t="s">
        <v>1</v>
      </c>
      <c r="BU56" t="s">
        <v>1</v>
      </c>
      <c r="BV56" t="s">
        <v>1</v>
      </c>
      <c r="BW56" t="s">
        <v>0</v>
      </c>
      <c r="BX56" t="s">
        <v>1</v>
      </c>
      <c r="BY56" t="s">
        <v>1</v>
      </c>
      <c r="BZ56" t="s">
        <v>1</v>
      </c>
      <c r="CA56" t="s">
        <v>1</v>
      </c>
      <c r="CB56" t="s">
        <v>1</v>
      </c>
      <c r="CD56" t="e" cm="1">
        <f t="array" aca="1" ref="CD56" ca="1">eConcatenar(A56:CB56,"|")</f>
        <v>#NAME?</v>
      </c>
    </row>
    <row r="57" spans="1:82" x14ac:dyDescent="0.25">
      <c r="A57" t="s">
        <v>152</v>
      </c>
      <c r="B57" t="s">
        <v>1159</v>
      </c>
      <c r="C57">
        <v>3</v>
      </c>
      <c r="D57" t="s">
        <v>2154</v>
      </c>
      <c r="E57" t="s">
        <v>2158</v>
      </c>
      <c r="F57" t="s">
        <v>0</v>
      </c>
      <c r="G57" t="s">
        <v>2212</v>
      </c>
      <c r="H57" t="s">
        <v>2700</v>
      </c>
      <c r="I57">
        <v>24500</v>
      </c>
      <c r="J57">
        <v>0</v>
      </c>
      <c r="K57">
        <v>100</v>
      </c>
      <c r="L57">
        <v>50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 t="s">
        <v>3225</v>
      </c>
      <c r="AC57" t="s">
        <v>0</v>
      </c>
      <c r="AD57" t="s">
        <v>3226</v>
      </c>
      <c r="AE57" t="s">
        <v>4</v>
      </c>
      <c r="AF57" t="s">
        <v>1</v>
      </c>
      <c r="AG57" t="s">
        <v>1</v>
      </c>
      <c r="AH57" t="s">
        <v>2694</v>
      </c>
      <c r="AI57" t="s">
        <v>2212</v>
      </c>
      <c r="AJ57" t="s">
        <v>1</v>
      </c>
      <c r="AK57">
        <v>9371316293</v>
      </c>
      <c r="AL57" t="s">
        <v>1</v>
      </c>
      <c r="AM57" t="s">
        <v>1</v>
      </c>
      <c r="AN57" t="s">
        <v>1</v>
      </c>
      <c r="AO57" t="s">
        <v>2694</v>
      </c>
      <c r="AP57" t="s">
        <v>1</v>
      </c>
      <c r="AQ57" t="s">
        <v>2</v>
      </c>
      <c r="AR57" t="s">
        <v>1</v>
      </c>
      <c r="AS57" t="s">
        <v>1</v>
      </c>
      <c r="AT57" t="s">
        <v>1</v>
      </c>
      <c r="AU57" t="s">
        <v>1</v>
      </c>
      <c r="AV57" t="s">
        <v>1</v>
      </c>
      <c r="AW57" t="s">
        <v>9</v>
      </c>
      <c r="AX57">
        <f>Tabla1[[#This Row],[precio del paquete]]-Tabla1[[#This Row],[Saldo_Deudor]]</f>
        <v>500</v>
      </c>
      <c r="AY57">
        <v>24000</v>
      </c>
      <c r="AZ57">
        <v>0</v>
      </c>
      <c r="BA57">
        <v>0</v>
      </c>
      <c r="BB57">
        <v>0</v>
      </c>
      <c r="BC57" t="s">
        <v>2825</v>
      </c>
      <c r="BD57" t="s">
        <v>2801</v>
      </c>
      <c r="BE57" t="s">
        <v>3</v>
      </c>
      <c r="BF57" t="s">
        <v>3</v>
      </c>
      <c r="BG57" t="s">
        <v>3</v>
      </c>
      <c r="BH57" t="s">
        <v>3</v>
      </c>
      <c r="BI57" t="s">
        <v>3</v>
      </c>
      <c r="BJ57" t="s">
        <v>4994</v>
      </c>
      <c r="BK57" t="s">
        <v>3</v>
      </c>
      <c r="BL57" t="s">
        <v>96</v>
      </c>
      <c r="BM57" t="s">
        <v>1</v>
      </c>
      <c r="BN57">
        <v>24500</v>
      </c>
      <c r="BO57" t="s">
        <v>1</v>
      </c>
      <c r="BP57" t="s">
        <v>1</v>
      </c>
      <c r="BQ57" t="s">
        <v>1</v>
      </c>
      <c r="BR57" t="s">
        <v>1</v>
      </c>
      <c r="BS57" t="s">
        <v>1</v>
      </c>
      <c r="BT57" t="s">
        <v>1</v>
      </c>
      <c r="BU57" t="s">
        <v>1</v>
      </c>
      <c r="BV57" t="s">
        <v>1</v>
      </c>
      <c r="BW57" t="s">
        <v>0</v>
      </c>
      <c r="BX57" t="s">
        <v>1</v>
      </c>
      <c r="BY57" t="s">
        <v>1</v>
      </c>
      <c r="BZ57" t="s">
        <v>1</v>
      </c>
      <c r="CA57" t="s">
        <v>1</v>
      </c>
      <c r="CB57" t="s">
        <v>1</v>
      </c>
      <c r="CD57" t="e" cm="1">
        <f t="array" aca="1" ref="CD57" ca="1">eConcatenar(A57:CB57,"|")</f>
        <v>#NAME?</v>
      </c>
    </row>
    <row r="58" spans="1:82" x14ac:dyDescent="0.25">
      <c r="A58" t="s">
        <v>153</v>
      </c>
      <c r="B58" t="s">
        <v>1160</v>
      </c>
      <c r="C58">
        <v>3</v>
      </c>
      <c r="D58" t="s">
        <v>3107</v>
      </c>
      <c r="E58" t="s">
        <v>2158</v>
      </c>
      <c r="F58" t="s">
        <v>0</v>
      </c>
      <c r="G58" t="s">
        <v>2212</v>
      </c>
      <c r="H58" t="s">
        <v>2737</v>
      </c>
      <c r="I58">
        <v>35000</v>
      </c>
      <c r="J58">
        <v>0</v>
      </c>
      <c r="K58">
        <v>200</v>
      </c>
      <c r="L58">
        <v>50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 t="s">
        <v>3227</v>
      </c>
      <c r="AC58" t="s">
        <v>3228</v>
      </c>
      <c r="AD58" t="s">
        <v>3229</v>
      </c>
      <c r="AE58" t="s">
        <v>4</v>
      </c>
      <c r="AF58" t="s">
        <v>1</v>
      </c>
      <c r="AG58" t="s">
        <v>1</v>
      </c>
      <c r="AH58" t="s">
        <v>2694</v>
      </c>
      <c r="AI58" t="s">
        <v>2212</v>
      </c>
      <c r="AJ58" t="s">
        <v>1</v>
      </c>
      <c r="AK58">
        <v>9333034223</v>
      </c>
      <c r="AL58" t="s">
        <v>1</v>
      </c>
      <c r="AM58" t="s">
        <v>1</v>
      </c>
      <c r="AN58" t="s">
        <v>1</v>
      </c>
      <c r="AO58" t="s">
        <v>2694</v>
      </c>
      <c r="AP58" t="s">
        <v>1</v>
      </c>
      <c r="AQ58" t="s">
        <v>2</v>
      </c>
      <c r="AR58" t="s">
        <v>1</v>
      </c>
      <c r="AS58" t="s">
        <v>1</v>
      </c>
      <c r="AT58" t="s">
        <v>1</v>
      </c>
      <c r="AU58" t="s">
        <v>1</v>
      </c>
      <c r="AV58" t="s">
        <v>1</v>
      </c>
      <c r="AW58" t="s">
        <v>9</v>
      </c>
      <c r="AX58">
        <f>Tabla1[[#This Row],[precio del paquete]]-Tabla1[[#This Row],[Saldo_Deudor]]</f>
        <v>2400</v>
      </c>
      <c r="AY58">
        <v>32600</v>
      </c>
      <c r="AZ58">
        <v>0</v>
      </c>
      <c r="BA58">
        <v>0</v>
      </c>
      <c r="BB58">
        <v>0</v>
      </c>
      <c r="BC58" t="s">
        <v>2928</v>
      </c>
      <c r="BD58" t="s">
        <v>2711</v>
      </c>
      <c r="BE58" t="s">
        <v>3</v>
      </c>
      <c r="BF58" t="s">
        <v>3</v>
      </c>
      <c r="BG58" t="s">
        <v>3</v>
      </c>
      <c r="BH58" t="s">
        <v>3</v>
      </c>
      <c r="BI58" t="s">
        <v>3</v>
      </c>
      <c r="BJ58" t="s">
        <v>4994</v>
      </c>
      <c r="BK58" t="s">
        <v>3</v>
      </c>
      <c r="BL58" t="s">
        <v>96</v>
      </c>
      <c r="BM58" t="s">
        <v>1</v>
      </c>
      <c r="BN58">
        <v>35000</v>
      </c>
      <c r="BO58" t="s">
        <v>1</v>
      </c>
      <c r="BP58" t="s">
        <v>1</v>
      </c>
      <c r="BQ58" t="s">
        <v>1</v>
      </c>
      <c r="BR58" t="s">
        <v>1</v>
      </c>
      <c r="BS58" t="s">
        <v>1</v>
      </c>
      <c r="BT58" t="s">
        <v>1</v>
      </c>
      <c r="BU58" t="s">
        <v>1</v>
      </c>
      <c r="BV58" t="s">
        <v>1</v>
      </c>
      <c r="BW58" t="s">
        <v>0</v>
      </c>
      <c r="BX58" t="s">
        <v>1</v>
      </c>
      <c r="BY58" t="s">
        <v>1</v>
      </c>
      <c r="BZ58" t="s">
        <v>1</v>
      </c>
      <c r="CA58" t="s">
        <v>1</v>
      </c>
      <c r="CB58" t="s">
        <v>1</v>
      </c>
      <c r="CD58" t="e" cm="1">
        <f t="array" aca="1" ref="CD58" ca="1">eConcatenar(A58:CB58,"|")</f>
        <v>#NAME?</v>
      </c>
    </row>
    <row r="59" spans="1:82" x14ac:dyDescent="0.25">
      <c r="A59" t="s">
        <v>154</v>
      </c>
      <c r="B59" t="s">
        <v>1161</v>
      </c>
      <c r="C59">
        <v>3</v>
      </c>
      <c r="D59" t="s">
        <v>2153</v>
      </c>
      <c r="E59" t="s">
        <v>2158</v>
      </c>
      <c r="F59" t="s">
        <v>0</v>
      </c>
      <c r="G59" t="s">
        <v>2212</v>
      </c>
      <c r="H59" t="s">
        <v>2738</v>
      </c>
      <c r="I59">
        <v>14800</v>
      </c>
      <c r="J59">
        <v>0</v>
      </c>
      <c r="K59">
        <v>100</v>
      </c>
      <c r="L59">
        <v>50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 t="s">
        <v>6</v>
      </c>
      <c r="AC59" t="s">
        <v>3132</v>
      </c>
      <c r="AD59" t="s">
        <v>3220</v>
      </c>
      <c r="AE59" t="s">
        <v>4</v>
      </c>
      <c r="AF59" t="s">
        <v>1</v>
      </c>
      <c r="AG59" t="s">
        <v>1</v>
      </c>
      <c r="AH59" t="s">
        <v>4131</v>
      </c>
      <c r="AI59" t="s">
        <v>2212</v>
      </c>
      <c r="AJ59" t="s">
        <v>1</v>
      </c>
      <c r="AK59">
        <v>9332079590</v>
      </c>
      <c r="AL59" t="s">
        <v>1</v>
      </c>
      <c r="AM59" t="s">
        <v>1</v>
      </c>
      <c r="AN59" t="s">
        <v>1</v>
      </c>
      <c r="AO59" t="s">
        <v>4131</v>
      </c>
      <c r="AP59" t="s">
        <v>1</v>
      </c>
      <c r="AQ59" t="s">
        <v>2</v>
      </c>
      <c r="AR59" t="s">
        <v>1</v>
      </c>
      <c r="AS59" t="s">
        <v>1</v>
      </c>
      <c r="AT59" t="s">
        <v>1</v>
      </c>
      <c r="AU59" t="s">
        <v>1</v>
      </c>
      <c r="AV59" t="s">
        <v>1</v>
      </c>
      <c r="AW59" t="s">
        <v>9</v>
      </c>
      <c r="AX59">
        <f>Tabla1[[#This Row],[precio del paquete]]-Tabla1[[#This Row],[Saldo_Deudor]]</f>
        <v>600</v>
      </c>
      <c r="AY59">
        <v>14200</v>
      </c>
      <c r="AZ59">
        <v>0</v>
      </c>
      <c r="BA59">
        <v>0</v>
      </c>
      <c r="BB59">
        <v>0</v>
      </c>
      <c r="BC59" t="s">
        <v>2865</v>
      </c>
      <c r="BD59" t="s">
        <v>4903</v>
      </c>
      <c r="BE59" t="s">
        <v>3</v>
      </c>
      <c r="BF59" t="s">
        <v>3</v>
      </c>
      <c r="BG59" t="s">
        <v>3</v>
      </c>
      <c r="BH59" t="s">
        <v>3</v>
      </c>
      <c r="BI59" t="s">
        <v>3</v>
      </c>
      <c r="BJ59" t="s">
        <v>5001</v>
      </c>
      <c r="BK59" t="s">
        <v>3</v>
      </c>
      <c r="BL59" t="s">
        <v>96</v>
      </c>
      <c r="BM59" t="s">
        <v>1</v>
      </c>
      <c r="BN59">
        <v>14800</v>
      </c>
      <c r="BO59" t="s">
        <v>1</v>
      </c>
      <c r="BP59" t="s">
        <v>1</v>
      </c>
      <c r="BQ59" t="s">
        <v>1</v>
      </c>
      <c r="BR59" t="s">
        <v>1</v>
      </c>
      <c r="BS59" t="s">
        <v>1</v>
      </c>
      <c r="BT59" t="s">
        <v>1</v>
      </c>
      <c r="BU59" t="s">
        <v>1</v>
      </c>
      <c r="BV59" t="s">
        <v>1</v>
      </c>
      <c r="BW59" t="s">
        <v>0</v>
      </c>
      <c r="BX59" t="s">
        <v>1</v>
      </c>
      <c r="BY59" t="s">
        <v>1</v>
      </c>
      <c r="BZ59" t="s">
        <v>1</v>
      </c>
      <c r="CA59" t="s">
        <v>1</v>
      </c>
      <c r="CB59" t="s">
        <v>1</v>
      </c>
      <c r="CD59" t="e" cm="1">
        <f t="array" aca="1" ref="CD59" ca="1">eConcatenar(A59:CB59,"|")</f>
        <v>#NAME?</v>
      </c>
    </row>
    <row r="60" spans="1:82" x14ac:dyDescent="0.25">
      <c r="A60" t="s">
        <v>155</v>
      </c>
      <c r="B60" t="s">
        <v>1162</v>
      </c>
      <c r="C60">
        <v>3</v>
      </c>
      <c r="D60" t="s">
        <v>2153</v>
      </c>
      <c r="E60" t="s">
        <v>2158</v>
      </c>
      <c r="F60" t="s">
        <v>0</v>
      </c>
      <c r="G60" t="s">
        <v>2212</v>
      </c>
      <c r="H60" t="s">
        <v>2727</v>
      </c>
      <c r="I60">
        <v>14800</v>
      </c>
      <c r="J60">
        <v>0</v>
      </c>
      <c r="K60">
        <v>100</v>
      </c>
      <c r="L60">
        <v>50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 t="s">
        <v>3230</v>
      </c>
      <c r="AC60" t="s">
        <v>3115</v>
      </c>
      <c r="AD60" t="s">
        <v>3231</v>
      </c>
      <c r="AE60" t="s">
        <v>4</v>
      </c>
      <c r="AF60" t="s">
        <v>1</v>
      </c>
      <c r="AG60" t="s">
        <v>1</v>
      </c>
      <c r="AH60" t="s">
        <v>4132</v>
      </c>
      <c r="AI60" t="s">
        <v>2212</v>
      </c>
      <c r="AJ60" t="s">
        <v>1</v>
      </c>
      <c r="AK60">
        <v>9331349170</v>
      </c>
      <c r="AL60" t="s">
        <v>1</v>
      </c>
      <c r="AM60" t="s">
        <v>1</v>
      </c>
      <c r="AN60" t="s">
        <v>1</v>
      </c>
      <c r="AO60" t="s">
        <v>4132</v>
      </c>
      <c r="AP60" t="s">
        <v>1</v>
      </c>
      <c r="AQ60" t="s">
        <v>2</v>
      </c>
      <c r="AR60" t="s">
        <v>1</v>
      </c>
      <c r="AS60" t="s">
        <v>1</v>
      </c>
      <c r="AT60" t="s">
        <v>1</v>
      </c>
      <c r="AU60" t="s">
        <v>1</v>
      </c>
      <c r="AV60" t="s">
        <v>1</v>
      </c>
      <c r="AW60" t="s">
        <v>9</v>
      </c>
      <c r="AX60">
        <f>Tabla1[[#This Row],[precio del paquete]]-Tabla1[[#This Row],[Saldo_Deudor]]</f>
        <v>600</v>
      </c>
      <c r="AY60">
        <v>14200</v>
      </c>
      <c r="AZ60">
        <v>0</v>
      </c>
      <c r="BA60">
        <v>0</v>
      </c>
      <c r="BB60">
        <v>0</v>
      </c>
      <c r="BC60" t="s">
        <v>2770</v>
      </c>
      <c r="BD60" t="s">
        <v>3061</v>
      </c>
      <c r="BE60" t="s">
        <v>3</v>
      </c>
      <c r="BF60" t="s">
        <v>3</v>
      </c>
      <c r="BG60" t="s">
        <v>3</v>
      </c>
      <c r="BH60" t="s">
        <v>3</v>
      </c>
      <c r="BI60" t="s">
        <v>3</v>
      </c>
      <c r="BJ60" t="s">
        <v>5001</v>
      </c>
      <c r="BK60" t="s">
        <v>3</v>
      </c>
      <c r="BL60" t="s">
        <v>96</v>
      </c>
      <c r="BM60" t="s">
        <v>1</v>
      </c>
      <c r="BN60">
        <v>14800</v>
      </c>
      <c r="BO60" t="s">
        <v>1</v>
      </c>
      <c r="BP60" t="s">
        <v>1</v>
      </c>
      <c r="BQ60" t="s">
        <v>1</v>
      </c>
      <c r="BR60" t="s">
        <v>1</v>
      </c>
      <c r="BS60" t="s">
        <v>1</v>
      </c>
      <c r="BT60" t="s">
        <v>1</v>
      </c>
      <c r="BU60" t="s">
        <v>1</v>
      </c>
      <c r="BV60" t="s">
        <v>1</v>
      </c>
      <c r="BW60" t="s">
        <v>0</v>
      </c>
      <c r="BX60" t="s">
        <v>1</v>
      </c>
      <c r="BY60" t="s">
        <v>1</v>
      </c>
      <c r="BZ60" t="s">
        <v>1</v>
      </c>
      <c r="CA60" t="s">
        <v>1</v>
      </c>
      <c r="CB60" t="s">
        <v>1</v>
      </c>
      <c r="CD60" t="e" cm="1">
        <f t="array" aca="1" ref="CD60" ca="1">eConcatenar(A60:CB60,"|")</f>
        <v>#NAME?</v>
      </c>
    </row>
    <row r="61" spans="1:82" x14ac:dyDescent="0.25">
      <c r="A61" t="s">
        <v>156</v>
      </c>
      <c r="B61" t="s">
        <v>1163</v>
      </c>
      <c r="C61">
        <v>3</v>
      </c>
      <c r="D61" t="s">
        <v>2154</v>
      </c>
      <c r="E61" t="s">
        <v>2158</v>
      </c>
      <c r="F61" t="s">
        <v>0</v>
      </c>
      <c r="G61" t="s">
        <v>2212</v>
      </c>
      <c r="H61" t="s">
        <v>2739</v>
      </c>
      <c r="I61">
        <v>14800</v>
      </c>
      <c r="J61">
        <v>0</v>
      </c>
      <c r="K61">
        <v>200</v>
      </c>
      <c r="L61">
        <v>50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 t="s">
        <v>3132</v>
      </c>
      <c r="AC61" t="s">
        <v>3232</v>
      </c>
      <c r="AD61" t="s">
        <v>3233</v>
      </c>
      <c r="AE61" t="s">
        <v>4</v>
      </c>
      <c r="AF61" t="s">
        <v>1</v>
      </c>
      <c r="AG61" t="s">
        <v>1</v>
      </c>
      <c r="AH61" t="s">
        <v>4133</v>
      </c>
      <c r="AI61" t="s">
        <v>2212</v>
      </c>
      <c r="AJ61" t="s">
        <v>1</v>
      </c>
      <c r="AK61">
        <v>9371191346</v>
      </c>
      <c r="AL61" t="s">
        <v>1</v>
      </c>
      <c r="AM61" t="s">
        <v>1</v>
      </c>
      <c r="AN61" t="s">
        <v>1</v>
      </c>
      <c r="AO61" t="s">
        <v>4133</v>
      </c>
      <c r="AP61" t="s">
        <v>1</v>
      </c>
      <c r="AQ61" t="s">
        <v>2</v>
      </c>
      <c r="AR61" t="s">
        <v>1</v>
      </c>
      <c r="AS61" t="s">
        <v>1</v>
      </c>
      <c r="AT61" t="s">
        <v>1</v>
      </c>
      <c r="AU61" t="s">
        <v>1</v>
      </c>
      <c r="AV61" t="s">
        <v>1</v>
      </c>
      <c r="AW61" t="s">
        <v>9</v>
      </c>
      <c r="AX61">
        <f>Tabla1[[#This Row],[precio del paquete]]-Tabla1[[#This Row],[Saldo_Deudor]]</f>
        <v>-8450</v>
      </c>
      <c r="AY61">
        <v>23250</v>
      </c>
      <c r="AZ61">
        <v>0</v>
      </c>
      <c r="BA61">
        <v>0</v>
      </c>
      <c r="BB61">
        <v>0</v>
      </c>
      <c r="BC61" t="s">
        <v>4826</v>
      </c>
      <c r="BD61" t="s">
        <v>2706</v>
      </c>
      <c r="BE61" t="s">
        <v>3</v>
      </c>
      <c r="BF61" t="s">
        <v>3</v>
      </c>
      <c r="BG61" t="s">
        <v>3</v>
      </c>
      <c r="BH61" t="s">
        <v>3</v>
      </c>
      <c r="BI61" t="s">
        <v>3</v>
      </c>
      <c r="BJ61" t="s">
        <v>5001</v>
      </c>
      <c r="BK61" t="s">
        <v>3</v>
      </c>
      <c r="BL61" t="s">
        <v>96</v>
      </c>
      <c r="BM61" t="s">
        <v>1</v>
      </c>
      <c r="BN61">
        <v>14800</v>
      </c>
      <c r="BO61" t="s">
        <v>1</v>
      </c>
      <c r="BP61" t="s">
        <v>1</v>
      </c>
      <c r="BQ61" t="s">
        <v>1</v>
      </c>
      <c r="BR61" t="s">
        <v>1</v>
      </c>
      <c r="BS61" t="s">
        <v>1</v>
      </c>
      <c r="BT61" t="s">
        <v>1</v>
      </c>
      <c r="BU61" t="s">
        <v>1</v>
      </c>
      <c r="BV61" t="s">
        <v>1</v>
      </c>
      <c r="BW61" t="s">
        <v>0</v>
      </c>
      <c r="BX61" t="s">
        <v>1</v>
      </c>
      <c r="BY61" t="s">
        <v>1</v>
      </c>
      <c r="BZ61" t="s">
        <v>1</v>
      </c>
      <c r="CA61" t="s">
        <v>1</v>
      </c>
      <c r="CB61" t="s">
        <v>1</v>
      </c>
      <c r="CD61" t="e" cm="1">
        <f t="array" aca="1" ref="CD61" ca="1">eConcatenar(A61:CB61,"|")</f>
        <v>#NAME?</v>
      </c>
    </row>
    <row r="62" spans="1:82" x14ac:dyDescent="0.25">
      <c r="A62" t="s">
        <v>157</v>
      </c>
      <c r="B62" t="s">
        <v>1164</v>
      </c>
      <c r="C62">
        <v>3</v>
      </c>
      <c r="D62" t="s">
        <v>2153</v>
      </c>
      <c r="E62" t="s">
        <v>2158</v>
      </c>
      <c r="F62" t="s">
        <v>0</v>
      </c>
      <c r="G62" t="s">
        <v>2212</v>
      </c>
      <c r="H62" t="s">
        <v>2740</v>
      </c>
      <c r="I62">
        <v>14800</v>
      </c>
      <c r="J62">
        <v>0</v>
      </c>
      <c r="K62">
        <v>300</v>
      </c>
      <c r="L62">
        <v>50</v>
      </c>
      <c r="M62">
        <v>1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 t="s">
        <v>3152</v>
      </c>
      <c r="AC62" t="s">
        <v>3234</v>
      </c>
      <c r="AD62" t="s">
        <v>3235</v>
      </c>
      <c r="AE62" t="s">
        <v>4</v>
      </c>
      <c r="AF62" t="s">
        <v>1</v>
      </c>
      <c r="AG62" t="s">
        <v>1</v>
      </c>
      <c r="AH62" t="s">
        <v>4134</v>
      </c>
      <c r="AI62" t="s">
        <v>2212</v>
      </c>
      <c r="AJ62" t="s">
        <v>1</v>
      </c>
      <c r="AK62">
        <v>9371206070</v>
      </c>
      <c r="AL62" t="s">
        <v>1</v>
      </c>
      <c r="AM62" t="s">
        <v>1</v>
      </c>
      <c r="AN62" t="s">
        <v>1</v>
      </c>
      <c r="AO62" t="s">
        <v>4134</v>
      </c>
      <c r="AP62" t="s">
        <v>1</v>
      </c>
      <c r="AQ62" t="s">
        <v>2</v>
      </c>
      <c r="AR62" t="s">
        <v>1</v>
      </c>
      <c r="AS62" t="s">
        <v>1</v>
      </c>
      <c r="AT62" t="s">
        <v>1</v>
      </c>
      <c r="AU62" t="s">
        <v>1</v>
      </c>
      <c r="AV62" t="s">
        <v>1</v>
      </c>
      <c r="AW62" t="s">
        <v>9</v>
      </c>
      <c r="AX62">
        <f>Tabla1[[#This Row],[precio del paquete]]-Tabla1[[#This Row],[Saldo_Deudor]]</f>
        <v>1700</v>
      </c>
      <c r="AY62">
        <v>13100</v>
      </c>
      <c r="AZ62">
        <v>0</v>
      </c>
      <c r="BA62">
        <v>0</v>
      </c>
      <c r="BB62">
        <v>0</v>
      </c>
      <c r="BC62" t="s">
        <v>4826</v>
      </c>
      <c r="BD62" t="s">
        <v>2706</v>
      </c>
      <c r="BE62" t="s">
        <v>3</v>
      </c>
      <c r="BF62" t="s">
        <v>3</v>
      </c>
      <c r="BG62" t="s">
        <v>3</v>
      </c>
      <c r="BH62" t="s">
        <v>3</v>
      </c>
      <c r="BI62" t="s">
        <v>3</v>
      </c>
      <c r="BJ62" t="s">
        <v>4999</v>
      </c>
      <c r="BK62" t="s">
        <v>3</v>
      </c>
      <c r="BL62" t="s">
        <v>96</v>
      </c>
      <c r="BM62" t="s">
        <v>1</v>
      </c>
      <c r="BN62">
        <v>14800</v>
      </c>
      <c r="BO62" t="s">
        <v>1</v>
      </c>
      <c r="BP62" t="s">
        <v>1</v>
      </c>
      <c r="BQ62" t="s">
        <v>1</v>
      </c>
      <c r="BR62" t="s">
        <v>1</v>
      </c>
      <c r="BS62" t="s">
        <v>1</v>
      </c>
      <c r="BT62" t="s">
        <v>1</v>
      </c>
      <c r="BU62" t="s">
        <v>1</v>
      </c>
      <c r="BV62" t="s">
        <v>1</v>
      </c>
      <c r="BW62" t="s">
        <v>0</v>
      </c>
      <c r="BX62" t="s">
        <v>1</v>
      </c>
      <c r="BY62" t="s">
        <v>1</v>
      </c>
      <c r="BZ62" t="s">
        <v>1</v>
      </c>
      <c r="CA62" t="s">
        <v>1</v>
      </c>
      <c r="CB62" t="s">
        <v>1</v>
      </c>
      <c r="CD62" t="e" cm="1">
        <f t="array" aca="1" ref="CD62" ca="1">eConcatenar(A62:CB62,"|")</f>
        <v>#NAME?</v>
      </c>
    </row>
    <row r="63" spans="1:82" x14ac:dyDescent="0.25">
      <c r="A63" t="s">
        <v>158</v>
      </c>
      <c r="B63" t="s">
        <v>1165</v>
      </c>
      <c r="C63">
        <v>3</v>
      </c>
      <c r="D63" t="s">
        <v>2155</v>
      </c>
      <c r="E63" t="s">
        <v>2158</v>
      </c>
      <c r="F63" t="s">
        <v>2162</v>
      </c>
      <c r="G63" t="s">
        <v>2212</v>
      </c>
      <c r="H63" t="s">
        <v>2741</v>
      </c>
      <c r="I63">
        <v>12900</v>
      </c>
      <c r="J63">
        <v>0</v>
      </c>
      <c r="K63">
        <v>200</v>
      </c>
      <c r="L63">
        <v>50</v>
      </c>
      <c r="M63">
        <v>2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 t="s">
        <v>3236</v>
      </c>
      <c r="AC63" t="s">
        <v>3137</v>
      </c>
      <c r="AD63" t="s">
        <v>3237</v>
      </c>
      <c r="AE63" t="s">
        <v>4</v>
      </c>
      <c r="AF63" t="s">
        <v>1</v>
      </c>
      <c r="AG63" t="s">
        <v>1</v>
      </c>
      <c r="AH63" t="s">
        <v>4135</v>
      </c>
      <c r="AI63" t="s">
        <v>2212</v>
      </c>
      <c r="AJ63" t="s">
        <v>1</v>
      </c>
      <c r="AK63">
        <v>9333297766</v>
      </c>
      <c r="AL63" t="s">
        <v>1</v>
      </c>
      <c r="AM63" t="s">
        <v>1</v>
      </c>
      <c r="AN63" t="s">
        <v>1</v>
      </c>
      <c r="AO63" t="s">
        <v>4135</v>
      </c>
      <c r="AP63" t="s">
        <v>1</v>
      </c>
      <c r="AQ63" t="s">
        <v>2</v>
      </c>
      <c r="AR63" t="s">
        <v>1</v>
      </c>
      <c r="AS63" t="s">
        <v>1</v>
      </c>
      <c r="AT63" t="s">
        <v>1</v>
      </c>
      <c r="AU63" t="s">
        <v>1</v>
      </c>
      <c r="AV63" t="s">
        <v>1</v>
      </c>
      <c r="AW63" t="s">
        <v>9</v>
      </c>
      <c r="AX63">
        <f>Tabla1[[#This Row],[precio del paquete]]-Tabla1[[#This Row],[Saldo_Deudor]]</f>
        <v>200</v>
      </c>
      <c r="AY63">
        <v>12700</v>
      </c>
      <c r="AZ63">
        <v>0</v>
      </c>
      <c r="BA63">
        <v>0</v>
      </c>
      <c r="BB63">
        <v>0</v>
      </c>
      <c r="BC63" t="s">
        <v>2741</v>
      </c>
      <c r="BD63" t="s">
        <v>2902</v>
      </c>
      <c r="BE63" t="s">
        <v>3</v>
      </c>
      <c r="BF63" t="s">
        <v>3</v>
      </c>
      <c r="BG63" t="s">
        <v>3</v>
      </c>
      <c r="BH63" t="s">
        <v>3</v>
      </c>
      <c r="BI63" t="s">
        <v>3</v>
      </c>
      <c r="BJ63" t="s">
        <v>4999</v>
      </c>
      <c r="BK63" t="s">
        <v>3</v>
      </c>
      <c r="BL63" t="s">
        <v>96</v>
      </c>
      <c r="BM63" t="s">
        <v>1</v>
      </c>
      <c r="BN63">
        <v>12900</v>
      </c>
      <c r="BO63" t="s">
        <v>1</v>
      </c>
      <c r="BP63" t="s">
        <v>1</v>
      </c>
      <c r="BQ63" t="s">
        <v>1</v>
      </c>
      <c r="BR63" t="s">
        <v>1</v>
      </c>
      <c r="BS63" t="s">
        <v>1</v>
      </c>
      <c r="BT63" t="s">
        <v>1</v>
      </c>
      <c r="BU63" t="s">
        <v>1</v>
      </c>
      <c r="BV63" t="s">
        <v>1</v>
      </c>
      <c r="BW63" t="s">
        <v>0</v>
      </c>
      <c r="BX63" t="s">
        <v>1</v>
      </c>
      <c r="BY63" t="s">
        <v>1</v>
      </c>
      <c r="BZ63" t="s">
        <v>1</v>
      </c>
      <c r="CA63" t="s">
        <v>1</v>
      </c>
      <c r="CB63" t="s">
        <v>1</v>
      </c>
      <c r="CD63" t="e" cm="1">
        <f t="array" aca="1" ref="CD63" ca="1">eConcatenar(A63:CB63,"|")</f>
        <v>#NAME?</v>
      </c>
    </row>
    <row r="64" spans="1:82" x14ac:dyDescent="0.25">
      <c r="A64" t="s">
        <v>159</v>
      </c>
      <c r="B64" t="s">
        <v>1166</v>
      </c>
      <c r="C64">
        <v>3</v>
      </c>
      <c r="D64" t="s">
        <v>2153</v>
      </c>
      <c r="E64" t="s">
        <v>2158</v>
      </c>
      <c r="F64" t="s">
        <v>2162</v>
      </c>
      <c r="G64" t="s">
        <v>2212</v>
      </c>
      <c r="H64" t="s">
        <v>2742</v>
      </c>
      <c r="I64">
        <v>14800</v>
      </c>
      <c r="J64">
        <v>0</v>
      </c>
      <c r="K64">
        <v>200</v>
      </c>
      <c r="L64">
        <v>50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 t="s">
        <v>3238</v>
      </c>
      <c r="AC64" t="s">
        <v>3132</v>
      </c>
      <c r="AD64" t="s">
        <v>3239</v>
      </c>
      <c r="AE64" t="s">
        <v>4</v>
      </c>
      <c r="AF64" t="s">
        <v>1</v>
      </c>
      <c r="AG64" t="s">
        <v>1</v>
      </c>
      <c r="AH64" t="s">
        <v>4136</v>
      </c>
      <c r="AI64" t="s">
        <v>2212</v>
      </c>
      <c r="AJ64" t="s">
        <v>1</v>
      </c>
      <c r="AK64">
        <v>933132900</v>
      </c>
      <c r="AL64" t="s">
        <v>1</v>
      </c>
      <c r="AM64" t="s">
        <v>1</v>
      </c>
      <c r="AN64" t="s">
        <v>1</v>
      </c>
      <c r="AO64" t="s">
        <v>4136</v>
      </c>
      <c r="AP64" t="s">
        <v>1</v>
      </c>
      <c r="AQ64" t="s">
        <v>2</v>
      </c>
      <c r="AR64" t="s">
        <v>1</v>
      </c>
      <c r="AS64" t="s">
        <v>1</v>
      </c>
      <c r="AT64" t="s">
        <v>1</v>
      </c>
      <c r="AU64" t="s">
        <v>1</v>
      </c>
      <c r="AV64" t="s">
        <v>1</v>
      </c>
      <c r="AW64" t="s">
        <v>9</v>
      </c>
      <c r="AX64">
        <f>Tabla1[[#This Row],[precio del paquete]]-Tabla1[[#This Row],[Saldo_Deudor]]</f>
        <v>400</v>
      </c>
      <c r="AY64">
        <v>14400</v>
      </c>
      <c r="AZ64">
        <v>0</v>
      </c>
      <c r="BA64">
        <v>0</v>
      </c>
      <c r="BB64">
        <v>0</v>
      </c>
      <c r="BC64" t="s">
        <v>2781</v>
      </c>
      <c r="BD64" t="s">
        <v>4907</v>
      </c>
      <c r="BE64" t="s">
        <v>3</v>
      </c>
      <c r="BF64" t="s">
        <v>3</v>
      </c>
      <c r="BG64" t="s">
        <v>3</v>
      </c>
      <c r="BH64" t="s">
        <v>3</v>
      </c>
      <c r="BI64" t="s">
        <v>3</v>
      </c>
      <c r="BJ64" t="s">
        <v>4990</v>
      </c>
      <c r="BK64" t="s">
        <v>3</v>
      </c>
      <c r="BL64" t="s">
        <v>96</v>
      </c>
      <c r="BM64" t="s">
        <v>1</v>
      </c>
      <c r="BN64">
        <v>14800</v>
      </c>
      <c r="BO64" t="s">
        <v>1</v>
      </c>
      <c r="BP64" t="s">
        <v>1</v>
      </c>
      <c r="BQ64" t="s">
        <v>1</v>
      </c>
      <c r="BR64" t="s">
        <v>1</v>
      </c>
      <c r="BS64" t="s">
        <v>1</v>
      </c>
      <c r="BT64" t="s">
        <v>1</v>
      </c>
      <c r="BU64" t="s">
        <v>1</v>
      </c>
      <c r="BV64" t="s">
        <v>1</v>
      </c>
      <c r="BW64" t="s">
        <v>0</v>
      </c>
      <c r="BX64" t="s">
        <v>1</v>
      </c>
      <c r="BY64" t="s">
        <v>1</v>
      </c>
      <c r="BZ64" t="s">
        <v>1</v>
      </c>
      <c r="CA64" t="s">
        <v>1</v>
      </c>
      <c r="CB64" t="s">
        <v>1</v>
      </c>
      <c r="CD64" t="e" cm="1">
        <f t="array" aca="1" ref="CD64" ca="1">eConcatenar(A64:CB64,"|")</f>
        <v>#NAME?</v>
      </c>
    </row>
    <row r="65" spans="1:82" x14ac:dyDescent="0.25">
      <c r="A65" t="s">
        <v>160</v>
      </c>
      <c r="B65" t="s">
        <v>1167</v>
      </c>
      <c r="C65">
        <v>3</v>
      </c>
      <c r="D65" t="s">
        <v>2153</v>
      </c>
      <c r="E65" t="s">
        <v>2158</v>
      </c>
      <c r="F65" t="s">
        <v>2162</v>
      </c>
      <c r="G65" t="s">
        <v>2212</v>
      </c>
      <c r="H65" t="s">
        <v>2701</v>
      </c>
      <c r="I65">
        <v>14800</v>
      </c>
      <c r="J65">
        <v>0</v>
      </c>
      <c r="K65">
        <v>200</v>
      </c>
      <c r="L65">
        <v>50</v>
      </c>
      <c r="M65">
        <v>2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 t="s">
        <v>3240</v>
      </c>
      <c r="AC65" t="s">
        <v>3241</v>
      </c>
      <c r="AD65" t="s">
        <v>3242</v>
      </c>
      <c r="AE65" t="s">
        <v>4</v>
      </c>
      <c r="AF65" t="s">
        <v>1</v>
      </c>
      <c r="AG65" t="s">
        <v>1</v>
      </c>
      <c r="AH65" t="s">
        <v>4137</v>
      </c>
      <c r="AI65" t="s">
        <v>2212</v>
      </c>
      <c r="AJ65" t="s">
        <v>1</v>
      </c>
      <c r="AK65">
        <v>9331158391</v>
      </c>
      <c r="AL65" t="s">
        <v>1</v>
      </c>
      <c r="AM65" t="s">
        <v>1</v>
      </c>
      <c r="AN65" t="s">
        <v>1</v>
      </c>
      <c r="AO65" t="s">
        <v>4137</v>
      </c>
      <c r="AP65" t="s">
        <v>1</v>
      </c>
      <c r="AQ65" t="s">
        <v>2</v>
      </c>
      <c r="AR65" t="s">
        <v>1</v>
      </c>
      <c r="AS65" t="s">
        <v>1</v>
      </c>
      <c r="AT65" t="s">
        <v>1</v>
      </c>
      <c r="AU65" t="s">
        <v>1</v>
      </c>
      <c r="AV65" t="s">
        <v>1</v>
      </c>
      <c r="AW65" t="s">
        <v>9</v>
      </c>
      <c r="AX65">
        <f>Tabla1[[#This Row],[precio del paquete]]-Tabla1[[#This Row],[Saldo_Deudor]]</f>
        <v>1150</v>
      </c>
      <c r="AY65">
        <v>13650</v>
      </c>
      <c r="AZ65">
        <v>0</v>
      </c>
      <c r="BA65">
        <v>0</v>
      </c>
      <c r="BB65">
        <v>0</v>
      </c>
      <c r="BC65" t="s">
        <v>3061</v>
      </c>
      <c r="BD65" t="s">
        <v>3040</v>
      </c>
      <c r="BE65" t="s">
        <v>3</v>
      </c>
      <c r="BF65" t="s">
        <v>3</v>
      </c>
      <c r="BG65" t="s">
        <v>3</v>
      </c>
      <c r="BH65" t="s">
        <v>3</v>
      </c>
      <c r="BI65" t="s">
        <v>3</v>
      </c>
      <c r="BJ65" t="s">
        <v>4990</v>
      </c>
      <c r="BK65" t="s">
        <v>3</v>
      </c>
      <c r="BL65" t="s">
        <v>96</v>
      </c>
      <c r="BM65" t="s">
        <v>1</v>
      </c>
      <c r="BN65">
        <v>14800</v>
      </c>
      <c r="BO65" t="s">
        <v>1</v>
      </c>
      <c r="BP65" t="s">
        <v>1</v>
      </c>
      <c r="BQ65" t="s">
        <v>1</v>
      </c>
      <c r="BR65" t="s">
        <v>1</v>
      </c>
      <c r="BS65" t="s">
        <v>1</v>
      </c>
      <c r="BT65" t="s">
        <v>1</v>
      </c>
      <c r="BU65" t="s">
        <v>1</v>
      </c>
      <c r="BV65" t="s">
        <v>1</v>
      </c>
      <c r="BW65" t="s">
        <v>0</v>
      </c>
      <c r="BX65" t="s">
        <v>1</v>
      </c>
      <c r="BY65" t="s">
        <v>1</v>
      </c>
      <c r="BZ65" t="s">
        <v>1</v>
      </c>
      <c r="CA65" t="s">
        <v>1</v>
      </c>
      <c r="CB65" t="s">
        <v>1</v>
      </c>
      <c r="CD65" t="e" cm="1">
        <f t="array" aca="1" ref="CD65" ca="1">eConcatenar(A65:CB65,"|")</f>
        <v>#NAME?</v>
      </c>
    </row>
    <row r="66" spans="1:82" x14ac:dyDescent="0.25">
      <c r="A66" t="s">
        <v>161</v>
      </c>
      <c r="B66" t="s">
        <v>1168</v>
      </c>
      <c r="C66">
        <v>3</v>
      </c>
      <c r="D66" t="s">
        <v>2154</v>
      </c>
      <c r="E66" t="s">
        <v>2158</v>
      </c>
      <c r="F66" t="s">
        <v>2162</v>
      </c>
      <c r="G66" t="s">
        <v>2212</v>
      </c>
      <c r="H66" t="s">
        <v>2701</v>
      </c>
      <c r="I66">
        <v>24500</v>
      </c>
      <c r="J66">
        <v>0</v>
      </c>
      <c r="K66">
        <v>200</v>
      </c>
      <c r="L66">
        <v>50</v>
      </c>
      <c r="M66">
        <v>1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 t="s">
        <v>3243</v>
      </c>
      <c r="AC66" t="s">
        <v>3240</v>
      </c>
      <c r="AD66" t="s">
        <v>3244</v>
      </c>
      <c r="AE66" t="s">
        <v>4</v>
      </c>
      <c r="AF66" t="s">
        <v>1</v>
      </c>
      <c r="AG66" t="s">
        <v>1</v>
      </c>
      <c r="AH66" t="s">
        <v>4138</v>
      </c>
      <c r="AI66" t="s">
        <v>2212</v>
      </c>
      <c r="AJ66" t="s">
        <v>1</v>
      </c>
      <c r="AK66">
        <v>9331250233</v>
      </c>
      <c r="AL66" t="s">
        <v>1</v>
      </c>
      <c r="AM66" t="s">
        <v>1</v>
      </c>
      <c r="AN66" t="s">
        <v>1</v>
      </c>
      <c r="AO66" t="s">
        <v>4138</v>
      </c>
      <c r="AP66" t="s">
        <v>1</v>
      </c>
      <c r="AQ66" t="s">
        <v>2</v>
      </c>
      <c r="AR66" t="s">
        <v>1</v>
      </c>
      <c r="AS66" t="s">
        <v>1</v>
      </c>
      <c r="AT66" t="s">
        <v>1</v>
      </c>
      <c r="AU66" t="s">
        <v>1</v>
      </c>
      <c r="AV66" t="s">
        <v>1</v>
      </c>
      <c r="AW66" t="s">
        <v>9</v>
      </c>
      <c r="AX66">
        <f>Tabla1[[#This Row],[precio del paquete]]-Tabla1[[#This Row],[Saldo_Deudor]]</f>
        <v>1200</v>
      </c>
      <c r="AY66">
        <v>23300</v>
      </c>
      <c r="AZ66">
        <v>0</v>
      </c>
      <c r="BA66">
        <v>0</v>
      </c>
      <c r="BB66">
        <v>0</v>
      </c>
      <c r="BC66" t="s">
        <v>3061</v>
      </c>
      <c r="BD66" t="s">
        <v>3040</v>
      </c>
      <c r="BE66" t="s">
        <v>3</v>
      </c>
      <c r="BF66" t="s">
        <v>3</v>
      </c>
      <c r="BG66" t="s">
        <v>3</v>
      </c>
      <c r="BH66" t="s">
        <v>3</v>
      </c>
      <c r="BI66" t="s">
        <v>3</v>
      </c>
      <c r="BJ66" t="s">
        <v>5001</v>
      </c>
      <c r="BK66" t="s">
        <v>3</v>
      </c>
      <c r="BL66" t="s">
        <v>96</v>
      </c>
      <c r="BM66" t="s">
        <v>1</v>
      </c>
      <c r="BN66">
        <v>24500</v>
      </c>
      <c r="BO66" t="s">
        <v>1</v>
      </c>
      <c r="BP66" t="s">
        <v>1</v>
      </c>
      <c r="BQ66" t="s">
        <v>1</v>
      </c>
      <c r="BR66" t="s">
        <v>1</v>
      </c>
      <c r="BS66" t="s">
        <v>1</v>
      </c>
      <c r="BT66" t="s">
        <v>1</v>
      </c>
      <c r="BU66" t="s">
        <v>1</v>
      </c>
      <c r="BV66" t="s">
        <v>1</v>
      </c>
      <c r="BW66" t="s">
        <v>0</v>
      </c>
      <c r="BX66" t="s">
        <v>1</v>
      </c>
      <c r="BY66" t="s">
        <v>1</v>
      </c>
      <c r="BZ66" t="s">
        <v>1</v>
      </c>
      <c r="CA66" t="s">
        <v>1</v>
      </c>
      <c r="CB66" t="s">
        <v>1</v>
      </c>
      <c r="CD66" t="e" cm="1">
        <f t="array" aca="1" ref="CD66" ca="1">eConcatenar(A66:CB66,"|")</f>
        <v>#NAME?</v>
      </c>
    </row>
    <row r="67" spans="1:82" x14ac:dyDescent="0.25">
      <c r="A67" t="s">
        <v>162</v>
      </c>
      <c r="B67" t="s">
        <v>1169</v>
      </c>
      <c r="C67">
        <v>3</v>
      </c>
      <c r="D67" t="s">
        <v>2153</v>
      </c>
      <c r="E67" t="s">
        <v>2158</v>
      </c>
      <c r="F67" t="s">
        <v>2159</v>
      </c>
      <c r="G67" t="s">
        <v>2212</v>
      </c>
      <c r="H67" t="s">
        <v>2743</v>
      </c>
      <c r="I67">
        <v>14800</v>
      </c>
      <c r="J67">
        <v>0</v>
      </c>
      <c r="K67">
        <v>100</v>
      </c>
      <c r="L67">
        <v>50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 t="s">
        <v>3245</v>
      </c>
      <c r="AC67" t="s">
        <v>3246</v>
      </c>
      <c r="AD67" t="s">
        <v>3247</v>
      </c>
      <c r="AE67" t="s">
        <v>4</v>
      </c>
      <c r="AF67" t="s">
        <v>1</v>
      </c>
      <c r="AG67" t="s">
        <v>1</v>
      </c>
      <c r="AH67" t="s">
        <v>4139</v>
      </c>
      <c r="AI67" t="s">
        <v>2212</v>
      </c>
      <c r="AJ67" t="s">
        <v>1</v>
      </c>
      <c r="AK67">
        <v>9717298780</v>
      </c>
      <c r="AL67" t="s">
        <v>1</v>
      </c>
      <c r="AM67" t="s">
        <v>1</v>
      </c>
      <c r="AN67" t="s">
        <v>1</v>
      </c>
      <c r="AO67" t="s">
        <v>4139</v>
      </c>
      <c r="AP67" t="s">
        <v>1</v>
      </c>
      <c r="AQ67" t="s">
        <v>2</v>
      </c>
      <c r="AR67" t="s">
        <v>1</v>
      </c>
      <c r="AS67" t="s">
        <v>1</v>
      </c>
      <c r="AT67" t="s">
        <v>1</v>
      </c>
      <c r="AU67" t="s">
        <v>1</v>
      </c>
      <c r="AV67" t="s">
        <v>1</v>
      </c>
      <c r="AW67" t="s">
        <v>9</v>
      </c>
      <c r="AX67">
        <f>Tabla1[[#This Row],[precio del paquete]]-Tabla1[[#This Row],[Saldo_Deudor]]</f>
        <v>2300</v>
      </c>
      <c r="AY67">
        <v>12500</v>
      </c>
      <c r="AZ67">
        <v>0</v>
      </c>
      <c r="BA67">
        <v>0</v>
      </c>
      <c r="BB67">
        <v>0</v>
      </c>
      <c r="BC67" t="s">
        <v>3089</v>
      </c>
      <c r="BD67" t="s">
        <v>2855</v>
      </c>
      <c r="BE67" t="s">
        <v>3</v>
      </c>
      <c r="BF67" t="s">
        <v>3</v>
      </c>
      <c r="BG67" t="s">
        <v>3</v>
      </c>
      <c r="BH67" t="s">
        <v>3</v>
      </c>
      <c r="BI67" t="s">
        <v>3</v>
      </c>
      <c r="BJ67" t="s">
        <v>5001</v>
      </c>
      <c r="BK67" t="s">
        <v>3</v>
      </c>
      <c r="BL67" t="s">
        <v>96</v>
      </c>
      <c r="BM67" t="s">
        <v>1</v>
      </c>
      <c r="BN67">
        <v>14800</v>
      </c>
      <c r="BO67" t="s">
        <v>1</v>
      </c>
      <c r="BP67" t="s">
        <v>1</v>
      </c>
      <c r="BQ67" t="s">
        <v>1</v>
      </c>
      <c r="BR67" t="s">
        <v>1</v>
      </c>
      <c r="BS67" t="s">
        <v>1</v>
      </c>
      <c r="BT67" t="s">
        <v>1</v>
      </c>
      <c r="BU67" t="s">
        <v>1</v>
      </c>
      <c r="BV67" t="s">
        <v>1</v>
      </c>
      <c r="BW67" t="s">
        <v>0</v>
      </c>
      <c r="BX67" t="s">
        <v>1</v>
      </c>
      <c r="BY67" t="s">
        <v>1</v>
      </c>
      <c r="BZ67" t="s">
        <v>1</v>
      </c>
      <c r="CA67" t="s">
        <v>1</v>
      </c>
      <c r="CB67" t="s">
        <v>1</v>
      </c>
      <c r="CD67" t="e" cm="1">
        <f t="array" aca="1" ref="CD67" ca="1">eConcatenar(A67:CB67,"|")</f>
        <v>#NAME?</v>
      </c>
    </row>
    <row r="68" spans="1:82" x14ac:dyDescent="0.25">
      <c r="A68" t="s">
        <v>163</v>
      </c>
      <c r="B68" t="s">
        <v>1170</v>
      </c>
      <c r="C68">
        <v>3</v>
      </c>
      <c r="D68" t="s">
        <v>2153</v>
      </c>
      <c r="E68" t="s">
        <v>2158</v>
      </c>
      <c r="F68" t="s">
        <v>0</v>
      </c>
      <c r="G68" t="s">
        <v>2212</v>
      </c>
      <c r="H68" t="s">
        <v>2710</v>
      </c>
      <c r="I68">
        <v>14800</v>
      </c>
      <c r="J68">
        <v>0</v>
      </c>
      <c r="K68">
        <v>100</v>
      </c>
      <c r="L68">
        <v>50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 t="s">
        <v>3148</v>
      </c>
      <c r="AC68" t="s">
        <v>3148</v>
      </c>
      <c r="AD68" t="s">
        <v>3197</v>
      </c>
      <c r="AE68" t="s">
        <v>4</v>
      </c>
      <c r="AF68" t="s">
        <v>1</v>
      </c>
      <c r="AG68" t="s">
        <v>1</v>
      </c>
      <c r="AH68" t="s">
        <v>4140</v>
      </c>
      <c r="AI68" t="s">
        <v>2212</v>
      </c>
      <c r="AJ68" t="s">
        <v>1</v>
      </c>
      <c r="AK68">
        <v>9331131895</v>
      </c>
      <c r="AL68" t="s">
        <v>1</v>
      </c>
      <c r="AM68" t="s">
        <v>1</v>
      </c>
      <c r="AN68" t="s">
        <v>1</v>
      </c>
      <c r="AO68" t="s">
        <v>4140</v>
      </c>
      <c r="AP68" t="s">
        <v>1</v>
      </c>
      <c r="AQ68" t="s">
        <v>2</v>
      </c>
      <c r="AR68" t="s">
        <v>1</v>
      </c>
      <c r="AS68" t="s">
        <v>1</v>
      </c>
      <c r="AT68" t="s">
        <v>1</v>
      </c>
      <c r="AU68" t="s">
        <v>1</v>
      </c>
      <c r="AV68" t="s">
        <v>1</v>
      </c>
      <c r="AW68" t="s">
        <v>9</v>
      </c>
      <c r="AX68">
        <f>Tabla1[[#This Row],[precio del paquete]]-Tabla1[[#This Row],[Saldo_Deudor]]</f>
        <v>1800</v>
      </c>
      <c r="AY68">
        <v>13000</v>
      </c>
      <c r="AZ68">
        <v>0</v>
      </c>
      <c r="BA68">
        <v>0</v>
      </c>
      <c r="BB68">
        <v>0</v>
      </c>
      <c r="BC68" t="s">
        <v>2928</v>
      </c>
      <c r="BD68" t="s">
        <v>2711</v>
      </c>
      <c r="BE68" t="s">
        <v>3</v>
      </c>
      <c r="BF68" t="s">
        <v>3</v>
      </c>
      <c r="BG68" t="s">
        <v>3</v>
      </c>
      <c r="BH68" t="s">
        <v>3</v>
      </c>
      <c r="BI68" t="s">
        <v>3</v>
      </c>
      <c r="BJ68" t="s">
        <v>5002</v>
      </c>
      <c r="BK68" t="s">
        <v>3</v>
      </c>
      <c r="BL68" t="s">
        <v>96</v>
      </c>
      <c r="BM68" t="s">
        <v>1</v>
      </c>
      <c r="BN68">
        <v>14800</v>
      </c>
      <c r="BO68" t="s">
        <v>1</v>
      </c>
      <c r="BP68" t="s">
        <v>1</v>
      </c>
      <c r="BQ68" t="s">
        <v>1</v>
      </c>
      <c r="BR68" t="s">
        <v>1</v>
      </c>
      <c r="BS68" t="s">
        <v>1</v>
      </c>
      <c r="BT68" t="s">
        <v>1</v>
      </c>
      <c r="BU68" t="s">
        <v>1</v>
      </c>
      <c r="BV68" t="s">
        <v>1</v>
      </c>
      <c r="BW68" t="s">
        <v>0</v>
      </c>
      <c r="BX68" t="s">
        <v>1</v>
      </c>
      <c r="BY68" t="s">
        <v>1</v>
      </c>
      <c r="BZ68" t="s">
        <v>1</v>
      </c>
      <c r="CA68" t="s">
        <v>1</v>
      </c>
      <c r="CB68" t="s">
        <v>1</v>
      </c>
      <c r="CD68" t="e" cm="1">
        <f t="array" aca="1" ref="CD68" ca="1">eConcatenar(A68:CB68,"|")</f>
        <v>#NAME?</v>
      </c>
    </row>
    <row r="69" spans="1:82" x14ac:dyDescent="0.25">
      <c r="A69" t="s">
        <v>164</v>
      </c>
      <c r="B69" t="s">
        <v>1171</v>
      </c>
      <c r="C69">
        <v>3</v>
      </c>
      <c r="D69" t="s">
        <v>2153</v>
      </c>
      <c r="E69" t="s">
        <v>2158</v>
      </c>
      <c r="F69" t="s">
        <v>0</v>
      </c>
      <c r="G69" t="s">
        <v>2212</v>
      </c>
      <c r="H69" t="s">
        <v>2744</v>
      </c>
      <c r="I69">
        <v>14800</v>
      </c>
      <c r="J69">
        <v>0</v>
      </c>
      <c r="K69">
        <v>200</v>
      </c>
      <c r="L69">
        <v>50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 t="s">
        <v>3115</v>
      </c>
      <c r="AC69" t="s">
        <v>3132</v>
      </c>
      <c r="AD69" t="s">
        <v>7</v>
      </c>
      <c r="AE69" t="s">
        <v>4</v>
      </c>
      <c r="AF69" t="s">
        <v>1</v>
      </c>
      <c r="AG69" t="s">
        <v>1</v>
      </c>
      <c r="AH69" t="s">
        <v>4141</v>
      </c>
      <c r="AI69" t="s">
        <v>2212</v>
      </c>
      <c r="AJ69" t="s">
        <v>1</v>
      </c>
      <c r="AK69">
        <v>9331306487</v>
      </c>
      <c r="AL69" t="s">
        <v>1</v>
      </c>
      <c r="AM69" t="s">
        <v>1</v>
      </c>
      <c r="AN69" t="s">
        <v>1</v>
      </c>
      <c r="AO69" t="s">
        <v>4141</v>
      </c>
      <c r="AP69" t="s">
        <v>1</v>
      </c>
      <c r="AQ69" t="s">
        <v>2</v>
      </c>
      <c r="AR69" t="s">
        <v>1</v>
      </c>
      <c r="AS69" t="s">
        <v>1</v>
      </c>
      <c r="AT69" t="s">
        <v>1</v>
      </c>
      <c r="AU69" t="s">
        <v>1</v>
      </c>
      <c r="AV69" t="s">
        <v>1</v>
      </c>
      <c r="AW69" t="s">
        <v>9</v>
      </c>
      <c r="AX69">
        <f>Tabla1[[#This Row],[precio del paquete]]-Tabla1[[#This Row],[Saldo_Deudor]]</f>
        <v>0</v>
      </c>
      <c r="AY69">
        <v>14800</v>
      </c>
      <c r="AZ69">
        <v>0</v>
      </c>
      <c r="BA69">
        <v>0</v>
      </c>
      <c r="BB69">
        <v>0</v>
      </c>
      <c r="BC69" t="s">
        <v>2865</v>
      </c>
      <c r="BD69" t="s">
        <v>4903</v>
      </c>
      <c r="BE69" t="s">
        <v>3</v>
      </c>
      <c r="BF69" t="s">
        <v>3</v>
      </c>
      <c r="BG69" t="s">
        <v>3</v>
      </c>
      <c r="BH69" t="s">
        <v>3</v>
      </c>
      <c r="BI69" t="s">
        <v>3</v>
      </c>
      <c r="BJ69" t="s">
        <v>5001</v>
      </c>
      <c r="BK69" t="s">
        <v>3</v>
      </c>
      <c r="BL69" t="s">
        <v>96</v>
      </c>
      <c r="BM69" t="s">
        <v>1</v>
      </c>
      <c r="BN69">
        <v>14800</v>
      </c>
      <c r="BO69" t="s">
        <v>1</v>
      </c>
      <c r="BP69" t="s">
        <v>1</v>
      </c>
      <c r="BQ69" t="s">
        <v>1</v>
      </c>
      <c r="BR69" t="s">
        <v>1</v>
      </c>
      <c r="BS69" t="s">
        <v>1</v>
      </c>
      <c r="BT69" t="s">
        <v>1</v>
      </c>
      <c r="BU69" t="s">
        <v>1</v>
      </c>
      <c r="BV69" t="s">
        <v>1</v>
      </c>
      <c r="BW69" t="s">
        <v>0</v>
      </c>
      <c r="BX69" t="s">
        <v>1</v>
      </c>
      <c r="BY69" t="s">
        <v>1</v>
      </c>
      <c r="BZ69" t="s">
        <v>1</v>
      </c>
      <c r="CA69" t="s">
        <v>1</v>
      </c>
      <c r="CB69" t="s">
        <v>1</v>
      </c>
      <c r="CD69" t="e" cm="1">
        <f t="array" aca="1" ref="CD69" ca="1">eConcatenar(A69:CB69,"|")</f>
        <v>#NAME?</v>
      </c>
    </row>
    <row r="70" spans="1:82" x14ac:dyDescent="0.25">
      <c r="A70" t="s">
        <v>165</v>
      </c>
      <c r="B70" t="s">
        <v>1172</v>
      </c>
      <c r="C70">
        <v>3</v>
      </c>
      <c r="D70" t="s">
        <v>3106</v>
      </c>
      <c r="E70" t="s">
        <v>2158</v>
      </c>
      <c r="F70" t="s">
        <v>2162</v>
      </c>
      <c r="G70" t="s">
        <v>2213</v>
      </c>
      <c r="H70" t="s">
        <v>2745</v>
      </c>
      <c r="I70">
        <v>35000</v>
      </c>
      <c r="J70">
        <v>0</v>
      </c>
      <c r="K70">
        <v>100</v>
      </c>
      <c r="L70">
        <v>50</v>
      </c>
      <c r="M70">
        <v>1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 t="s">
        <v>3178</v>
      </c>
      <c r="AC70" t="s">
        <v>3168</v>
      </c>
      <c r="AD70" t="s">
        <v>3248</v>
      </c>
      <c r="AE70" t="s">
        <v>4</v>
      </c>
      <c r="AF70" t="s">
        <v>1</v>
      </c>
      <c r="AG70" t="s">
        <v>1</v>
      </c>
      <c r="AH70" t="s">
        <v>4142</v>
      </c>
      <c r="AI70" t="s">
        <v>2213</v>
      </c>
      <c r="AJ70" t="s">
        <v>1</v>
      </c>
      <c r="AK70">
        <v>9331349821</v>
      </c>
      <c r="AL70" t="s">
        <v>1</v>
      </c>
      <c r="AM70" t="s">
        <v>1</v>
      </c>
      <c r="AN70" t="s">
        <v>1</v>
      </c>
      <c r="AO70" t="s">
        <v>4142</v>
      </c>
      <c r="AP70" t="s">
        <v>1</v>
      </c>
      <c r="AQ70" t="s">
        <v>2</v>
      </c>
      <c r="AR70" t="s">
        <v>1</v>
      </c>
      <c r="AS70" t="s">
        <v>1</v>
      </c>
      <c r="AT70" t="s">
        <v>1</v>
      </c>
      <c r="AU70" t="s">
        <v>1</v>
      </c>
      <c r="AV70" t="s">
        <v>1</v>
      </c>
      <c r="AW70" t="s">
        <v>9</v>
      </c>
      <c r="AX70">
        <f>Tabla1[[#This Row],[precio del paquete]]-Tabla1[[#This Row],[Saldo_Deudor]]</f>
        <v>900</v>
      </c>
      <c r="AY70">
        <v>34100</v>
      </c>
      <c r="AZ70">
        <v>0</v>
      </c>
      <c r="BA70">
        <v>0</v>
      </c>
      <c r="BB70">
        <v>0</v>
      </c>
      <c r="BC70" t="s">
        <v>2905</v>
      </c>
      <c r="BD70" t="s">
        <v>3024</v>
      </c>
      <c r="BE70" t="s">
        <v>3</v>
      </c>
      <c r="BF70" t="s">
        <v>3</v>
      </c>
      <c r="BG70" t="s">
        <v>3</v>
      </c>
      <c r="BH70" t="s">
        <v>3</v>
      </c>
      <c r="BI70" t="s">
        <v>3</v>
      </c>
      <c r="BJ70" t="s">
        <v>5001</v>
      </c>
      <c r="BK70" t="s">
        <v>3</v>
      </c>
      <c r="BL70" t="s">
        <v>96</v>
      </c>
      <c r="BM70" t="s">
        <v>1</v>
      </c>
      <c r="BN70">
        <v>35000</v>
      </c>
      <c r="BO70" t="s">
        <v>1</v>
      </c>
      <c r="BP70" t="s">
        <v>1</v>
      </c>
      <c r="BQ70" t="s">
        <v>1</v>
      </c>
      <c r="BR70" t="s">
        <v>1</v>
      </c>
      <c r="BS70" t="s">
        <v>1</v>
      </c>
      <c r="BT70" t="s">
        <v>1</v>
      </c>
      <c r="BU70" t="s">
        <v>1</v>
      </c>
      <c r="BV70" t="s">
        <v>1</v>
      </c>
      <c r="BW70" t="s">
        <v>0</v>
      </c>
      <c r="BX70" t="s">
        <v>1</v>
      </c>
      <c r="BY70" t="s">
        <v>1</v>
      </c>
      <c r="BZ70" t="s">
        <v>1</v>
      </c>
      <c r="CA70" t="s">
        <v>1</v>
      </c>
      <c r="CB70" t="s">
        <v>1</v>
      </c>
      <c r="CD70" t="e" cm="1">
        <f t="array" aca="1" ref="CD70" ca="1">eConcatenar(A70:CB70,"|")</f>
        <v>#NAME?</v>
      </c>
    </row>
    <row r="71" spans="1:82" x14ac:dyDescent="0.25">
      <c r="A71" t="s">
        <v>166</v>
      </c>
      <c r="B71" t="s">
        <v>1173</v>
      </c>
      <c r="C71">
        <v>3</v>
      </c>
      <c r="D71" t="s">
        <v>2153</v>
      </c>
      <c r="E71" t="s">
        <v>2158</v>
      </c>
      <c r="F71" t="s">
        <v>2162</v>
      </c>
      <c r="G71" t="s">
        <v>2213</v>
      </c>
      <c r="H71" t="s">
        <v>2702</v>
      </c>
      <c r="I71">
        <v>14800</v>
      </c>
      <c r="J71">
        <v>0</v>
      </c>
      <c r="K71">
        <v>100</v>
      </c>
      <c r="L71">
        <v>50</v>
      </c>
      <c r="M71">
        <v>1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 t="s">
        <v>3249</v>
      </c>
      <c r="AC71" t="s">
        <v>3245</v>
      </c>
      <c r="AD71" t="s">
        <v>3250</v>
      </c>
      <c r="AE71" t="s">
        <v>4</v>
      </c>
      <c r="AF71" t="s">
        <v>1</v>
      </c>
      <c r="AG71" t="s">
        <v>1</v>
      </c>
      <c r="AH71" t="s">
        <v>4143</v>
      </c>
      <c r="AI71" t="s">
        <v>2213</v>
      </c>
      <c r="AJ71" t="s">
        <v>1</v>
      </c>
      <c r="AK71">
        <v>9331033201</v>
      </c>
      <c r="AL71" t="s">
        <v>1</v>
      </c>
      <c r="AM71" t="s">
        <v>1</v>
      </c>
      <c r="AN71" t="s">
        <v>1</v>
      </c>
      <c r="AO71" t="s">
        <v>4143</v>
      </c>
      <c r="AP71" t="s">
        <v>1</v>
      </c>
      <c r="AQ71" t="s">
        <v>2</v>
      </c>
      <c r="AR71" t="s">
        <v>1</v>
      </c>
      <c r="AS71" t="s">
        <v>1</v>
      </c>
      <c r="AT71" t="s">
        <v>1</v>
      </c>
      <c r="AU71" t="s">
        <v>1</v>
      </c>
      <c r="AV71" t="s">
        <v>1</v>
      </c>
      <c r="AW71" t="s">
        <v>9</v>
      </c>
      <c r="AX71">
        <f>Tabla1[[#This Row],[precio del paquete]]-Tabla1[[#This Row],[Saldo_Deudor]]</f>
        <v>1400</v>
      </c>
      <c r="AY71">
        <v>13400</v>
      </c>
      <c r="AZ71">
        <v>0</v>
      </c>
      <c r="BA71">
        <v>0</v>
      </c>
      <c r="BB71">
        <v>0</v>
      </c>
      <c r="BC71" t="s">
        <v>2916</v>
      </c>
      <c r="BD71" t="s">
        <v>4896</v>
      </c>
      <c r="BE71" t="s">
        <v>3</v>
      </c>
      <c r="BF71" t="s">
        <v>3</v>
      </c>
      <c r="BG71" t="s">
        <v>3</v>
      </c>
      <c r="BH71" t="s">
        <v>3</v>
      </c>
      <c r="BI71" t="s">
        <v>3</v>
      </c>
      <c r="BJ71" t="s">
        <v>5000</v>
      </c>
      <c r="BK71" t="s">
        <v>3</v>
      </c>
      <c r="BL71" t="s">
        <v>96</v>
      </c>
      <c r="BM71" t="s">
        <v>1</v>
      </c>
      <c r="BN71">
        <v>14800</v>
      </c>
      <c r="BO71" t="s">
        <v>1</v>
      </c>
      <c r="BP71" t="s">
        <v>1</v>
      </c>
      <c r="BQ71" t="s">
        <v>1</v>
      </c>
      <c r="BR71" t="s">
        <v>1</v>
      </c>
      <c r="BS71" t="s">
        <v>1</v>
      </c>
      <c r="BT71" t="s">
        <v>1</v>
      </c>
      <c r="BU71" t="s">
        <v>1</v>
      </c>
      <c r="BV71" t="s">
        <v>1</v>
      </c>
      <c r="BW71" t="s">
        <v>0</v>
      </c>
      <c r="BX71" t="s">
        <v>1</v>
      </c>
      <c r="BY71" t="s">
        <v>1</v>
      </c>
      <c r="BZ71" t="s">
        <v>1</v>
      </c>
      <c r="CA71" t="s">
        <v>1</v>
      </c>
      <c r="CB71" t="s">
        <v>1</v>
      </c>
      <c r="CD71" t="e" cm="1">
        <f t="array" aca="1" ref="CD71" ca="1">eConcatenar(A71:CB71,"|")</f>
        <v>#NAME?</v>
      </c>
    </row>
    <row r="72" spans="1:82" x14ac:dyDescent="0.25">
      <c r="A72" t="s">
        <v>167</v>
      </c>
      <c r="B72" t="s">
        <v>1174</v>
      </c>
      <c r="C72">
        <v>3</v>
      </c>
      <c r="D72" t="s">
        <v>2153</v>
      </c>
      <c r="E72" t="s">
        <v>2158</v>
      </c>
      <c r="F72" t="s">
        <v>2159</v>
      </c>
      <c r="G72" t="s">
        <v>2214</v>
      </c>
      <c r="H72" t="s">
        <v>2730</v>
      </c>
      <c r="I72">
        <v>14800</v>
      </c>
      <c r="J72">
        <v>0</v>
      </c>
      <c r="K72">
        <v>100</v>
      </c>
      <c r="L72">
        <v>50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 t="s">
        <v>3214</v>
      </c>
      <c r="AC72" t="s">
        <v>6</v>
      </c>
      <c r="AD72" t="s">
        <v>3251</v>
      </c>
      <c r="AE72" t="s">
        <v>4</v>
      </c>
      <c r="AF72" t="s">
        <v>1</v>
      </c>
      <c r="AG72" t="s">
        <v>1</v>
      </c>
      <c r="AH72" t="s">
        <v>4144</v>
      </c>
      <c r="AI72" t="s">
        <v>2214</v>
      </c>
      <c r="AJ72" t="s">
        <v>1</v>
      </c>
      <c r="AK72">
        <v>9331596893</v>
      </c>
      <c r="AL72" t="s">
        <v>1</v>
      </c>
      <c r="AM72" t="s">
        <v>1</v>
      </c>
      <c r="AN72" t="s">
        <v>1</v>
      </c>
      <c r="AO72" t="s">
        <v>4144</v>
      </c>
      <c r="AP72" t="s">
        <v>1</v>
      </c>
      <c r="AQ72" t="s">
        <v>2</v>
      </c>
      <c r="AR72" t="s">
        <v>1</v>
      </c>
      <c r="AS72" t="s">
        <v>1</v>
      </c>
      <c r="AT72" t="s">
        <v>1</v>
      </c>
      <c r="AU72" t="s">
        <v>1</v>
      </c>
      <c r="AV72" t="s">
        <v>1</v>
      </c>
      <c r="AW72" t="s">
        <v>9</v>
      </c>
      <c r="AX72">
        <f>Tabla1[[#This Row],[precio del paquete]]-Tabla1[[#This Row],[Saldo_Deudor]]</f>
        <v>400</v>
      </c>
      <c r="AY72">
        <v>14400</v>
      </c>
      <c r="AZ72">
        <v>0</v>
      </c>
      <c r="BA72">
        <v>0</v>
      </c>
      <c r="BB72">
        <v>0</v>
      </c>
      <c r="BC72" t="s">
        <v>2704</v>
      </c>
      <c r="BD72" t="s">
        <v>2869</v>
      </c>
      <c r="BE72" t="s">
        <v>3</v>
      </c>
      <c r="BF72" t="s">
        <v>3</v>
      </c>
      <c r="BG72" t="s">
        <v>3</v>
      </c>
      <c r="BH72" t="s">
        <v>3</v>
      </c>
      <c r="BI72" t="s">
        <v>3</v>
      </c>
      <c r="BJ72" t="s">
        <v>5000</v>
      </c>
      <c r="BK72" t="s">
        <v>3</v>
      </c>
      <c r="BL72" t="s">
        <v>96</v>
      </c>
      <c r="BM72" t="s">
        <v>1</v>
      </c>
      <c r="BN72">
        <v>14800</v>
      </c>
      <c r="BO72" t="s">
        <v>1</v>
      </c>
      <c r="BP72" t="s">
        <v>1</v>
      </c>
      <c r="BQ72" t="s">
        <v>1</v>
      </c>
      <c r="BR72" t="s">
        <v>1</v>
      </c>
      <c r="BS72" t="s">
        <v>1</v>
      </c>
      <c r="BT72" t="s">
        <v>1</v>
      </c>
      <c r="BU72" t="s">
        <v>1</v>
      </c>
      <c r="BV72" t="s">
        <v>1</v>
      </c>
      <c r="BW72" t="s">
        <v>0</v>
      </c>
      <c r="BX72" t="s">
        <v>1</v>
      </c>
      <c r="BY72" t="s">
        <v>1</v>
      </c>
      <c r="BZ72" t="s">
        <v>1</v>
      </c>
      <c r="CA72" t="s">
        <v>1</v>
      </c>
      <c r="CB72" t="s">
        <v>1</v>
      </c>
      <c r="CD72" t="e" cm="1">
        <f t="array" aca="1" ref="CD72" ca="1">eConcatenar(A72:CB72,"|")</f>
        <v>#NAME?</v>
      </c>
    </row>
    <row r="73" spans="1:82" x14ac:dyDescent="0.25">
      <c r="A73" t="s">
        <v>168</v>
      </c>
      <c r="B73" t="s">
        <v>1175</v>
      </c>
      <c r="C73">
        <v>3</v>
      </c>
      <c r="D73" t="s">
        <v>2153</v>
      </c>
      <c r="E73" t="s">
        <v>2158</v>
      </c>
      <c r="F73" t="s">
        <v>2162</v>
      </c>
      <c r="G73" t="s">
        <v>2215</v>
      </c>
      <c r="H73" t="s">
        <v>2726</v>
      </c>
      <c r="I73">
        <v>14800</v>
      </c>
      <c r="J73">
        <v>0</v>
      </c>
      <c r="K73">
        <v>300</v>
      </c>
      <c r="L73">
        <v>50</v>
      </c>
      <c r="M73">
        <v>1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 t="s">
        <v>3114</v>
      </c>
      <c r="AC73" t="s">
        <v>3148</v>
      </c>
      <c r="AD73" t="s">
        <v>3252</v>
      </c>
      <c r="AE73" t="s">
        <v>4</v>
      </c>
      <c r="AF73" t="s">
        <v>1</v>
      </c>
      <c r="AG73" t="s">
        <v>1</v>
      </c>
      <c r="AH73" t="s">
        <v>4145</v>
      </c>
      <c r="AI73" t="s">
        <v>2215</v>
      </c>
      <c r="AJ73" t="s">
        <v>1</v>
      </c>
      <c r="AK73">
        <v>9331218168</v>
      </c>
      <c r="AL73" t="s">
        <v>1</v>
      </c>
      <c r="AM73" t="s">
        <v>1</v>
      </c>
      <c r="AN73" t="s">
        <v>1</v>
      </c>
      <c r="AO73" t="s">
        <v>4145</v>
      </c>
      <c r="AP73" t="s">
        <v>1</v>
      </c>
      <c r="AQ73" t="s">
        <v>2</v>
      </c>
      <c r="AR73" t="s">
        <v>1</v>
      </c>
      <c r="AS73" t="s">
        <v>1</v>
      </c>
      <c r="AT73" t="s">
        <v>1</v>
      </c>
      <c r="AU73" t="s">
        <v>1</v>
      </c>
      <c r="AV73" t="s">
        <v>1</v>
      </c>
      <c r="AW73" t="s">
        <v>9</v>
      </c>
      <c r="AX73">
        <f>Tabla1[[#This Row],[precio del paquete]]-Tabla1[[#This Row],[Saldo_Deudor]]</f>
        <v>1600</v>
      </c>
      <c r="AY73">
        <v>13200</v>
      </c>
      <c r="AZ73">
        <v>0</v>
      </c>
      <c r="BA73">
        <v>0</v>
      </c>
      <c r="BB73">
        <v>0</v>
      </c>
      <c r="BC73" t="s">
        <v>2865</v>
      </c>
      <c r="BD73" t="s">
        <v>4903</v>
      </c>
      <c r="BE73" t="s">
        <v>3</v>
      </c>
      <c r="BF73" t="s">
        <v>3</v>
      </c>
      <c r="BG73" t="s">
        <v>3</v>
      </c>
      <c r="BH73" t="s">
        <v>3</v>
      </c>
      <c r="BI73" t="s">
        <v>3</v>
      </c>
      <c r="BJ73" t="s">
        <v>4993</v>
      </c>
      <c r="BK73" t="s">
        <v>3</v>
      </c>
      <c r="BL73" t="s">
        <v>96</v>
      </c>
      <c r="BM73" t="s">
        <v>1</v>
      </c>
      <c r="BN73">
        <v>14800</v>
      </c>
      <c r="BO73" t="s">
        <v>1</v>
      </c>
      <c r="BP73" t="s">
        <v>1</v>
      </c>
      <c r="BQ73" t="s">
        <v>1</v>
      </c>
      <c r="BR73" t="s">
        <v>1</v>
      </c>
      <c r="BS73" t="s">
        <v>1</v>
      </c>
      <c r="BT73" t="s">
        <v>1</v>
      </c>
      <c r="BU73" t="s">
        <v>1</v>
      </c>
      <c r="BV73" t="s">
        <v>1</v>
      </c>
      <c r="BW73" t="s">
        <v>0</v>
      </c>
      <c r="BX73" t="s">
        <v>1</v>
      </c>
      <c r="BY73" t="s">
        <v>1</v>
      </c>
      <c r="BZ73" t="s">
        <v>1</v>
      </c>
      <c r="CA73" t="s">
        <v>1</v>
      </c>
      <c r="CB73" t="s">
        <v>1</v>
      </c>
      <c r="CD73" t="e" cm="1">
        <f t="array" aca="1" ref="CD73" ca="1">eConcatenar(A73:CB73,"|")</f>
        <v>#NAME?</v>
      </c>
    </row>
    <row r="74" spans="1:82" x14ac:dyDescent="0.25">
      <c r="A74" t="s">
        <v>169</v>
      </c>
      <c r="B74" t="s">
        <v>1176</v>
      </c>
      <c r="C74">
        <v>3</v>
      </c>
      <c r="D74" t="s">
        <v>2155</v>
      </c>
      <c r="E74" t="s">
        <v>2158</v>
      </c>
      <c r="F74" t="s">
        <v>0</v>
      </c>
      <c r="G74" t="s">
        <v>2215</v>
      </c>
      <c r="H74" t="s">
        <v>2706</v>
      </c>
      <c r="I74">
        <v>12900</v>
      </c>
      <c r="J74">
        <v>0</v>
      </c>
      <c r="K74">
        <v>100</v>
      </c>
      <c r="L74">
        <v>50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 t="s">
        <v>3155</v>
      </c>
      <c r="AC74" t="s">
        <v>3132</v>
      </c>
      <c r="AD74" t="s">
        <v>3190</v>
      </c>
      <c r="AE74" t="s">
        <v>4</v>
      </c>
      <c r="AF74" t="s">
        <v>1</v>
      </c>
      <c r="AG74" t="s">
        <v>1</v>
      </c>
      <c r="AH74" t="s">
        <v>2215</v>
      </c>
      <c r="AI74" t="s">
        <v>2215</v>
      </c>
      <c r="AJ74" t="s">
        <v>1</v>
      </c>
      <c r="AK74">
        <v>9331185948</v>
      </c>
      <c r="AL74" t="s">
        <v>1</v>
      </c>
      <c r="AM74" t="s">
        <v>1</v>
      </c>
      <c r="AN74" t="s">
        <v>1</v>
      </c>
      <c r="AO74" t="s">
        <v>2215</v>
      </c>
      <c r="AP74" t="s">
        <v>1</v>
      </c>
      <c r="AQ74" t="s">
        <v>2</v>
      </c>
      <c r="AR74" t="s">
        <v>1</v>
      </c>
      <c r="AS74" t="s">
        <v>1</v>
      </c>
      <c r="AT74" t="s">
        <v>1</v>
      </c>
      <c r="AU74" t="s">
        <v>1</v>
      </c>
      <c r="AV74" t="s">
        <v>1</v>
      </c>
      <c r="AW74" t="s">
        <v>9</v>
      </c>
      <c r="AX74">
        <f>Tabla1[[#This Row],[precio del paquete]]-Tabla1[[#This Row],[Saldo_Deudor]]</f>
        <v>7200</v>
      </c>
      <c r="AY74">
        <v>5700</v>
      </c>
      <c r="AZ74">
        <v>0</v>
      </c>
      <c r="BA74">
        <v>0</v>
      </c>
      <c r="BB74">
        <v>0</v>
      </c>
      <c r="BC74" t="s">
        <v>3078</v>
      </c>
      <c r="BD74" t="s">
        <v>4827</v>
      </c>
      <c r="BE74" t="s">
        <v>3</v>
      </c>
      <c r="BF74" t="s">
        <v>3</v>
      </c>
      <c r="BG74" t="s">
        <v>3</v>
      </c>
      <c r="BH74" t="s">
        <v>3</v>
      </c>
      <c r="BI74" t="s">
        <v>3</v>
      </c>
      <c r="BJ74" t="s">
        <v>4998</v>
      </c>
      <c r="BK74" t="s">
        <v>3</v>
      </c>
      <c r="BL74" t="s">
        <v>96</v>
      </c>
      <c r="BM74" t="s">
        <v>1</v>
      </c>
      <c r="BN74">
        <v>12900</v>
      </c>
      <c r="BO74" t="s">
        <v>1</v>
      </c>
      <c r="BP74" t="s">
        <v>1</v>
      </c>
      <c r="BQ74" t="s">
        <v>1</v>
      </c>
      <c r="BR74" t="s">
        <v>1</v>
      </c>
      <c r="BS74" t="s">
        <v>1</v>
      </c>
      <c r="BT74" t="s">
        <v>1</v>
      </c>
      <c r="BU74" t="s">
        <v>1</v>
      </c>
      <c r="BV74" t="s">
        <v>1</v>
      </c>
      <c r="BW74" t="s">
        <v>0</v>
      </c>
      <c r="BX74" t="s">
        <v>1</v>
      </c>
      <c r="BY74" t="s">
        <v>1</v>
      </c>
      <c r="BZ74" t="s">
        <v>1</v>
      </c>
      <c r="CA74" t="s">
        <v>1</v>
      </c>
      <c r="CB74" t="s">
        <v>1</v>
      </c>
      <c r="CD74" t="e" cm="1">
        <f t="array" aca="1" ref="CD74" ca="1">eConcatenar(A74:CB74,"|")</f>
        <v>#NAME?</v>
      </c>
    </row>
    <row r="75" spans="1:82" x14ac:dyDescent="0.25">
      <c r="A75" t="s">
        <v>170</v>
      </c>
      <c r="B75" t="s">
        <v>1177</v>
      </c>
      <c r="C75">
        <v>3</v>
      </c>
      <c r="D75" t="s">
        <v>2153</v>
      </c>
      <c r="E75" t="s">
        <v>2158</v>
      </c>
      <c r="F75" t="s">
        <v>2162</v>
      </c>
      <c r="G75" t="s">
        <v>2215</v>
      </c>
      <c r="H75" t="s">
        <v>2746</v>
      </c>
      <c r="I75">
        <v>14900</v>
      </c>
      <c r="J75">
        <v>0</v>
      </c>
      <c r="K75">
        <v>100</v>
      </c>
      <c r="L75">
        <v>50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 t="s">
        <v>3253</v>
      </c>
      <c r="AC75" t="s">
        <v>3254</v>
      </c>
      <c r="AD75" t="s">
        <v>3255</v>
      </c>
      <c r="AE75" t="s">
        <v>4</v>
      </c>
      <c r="AF75" t="s">
        <v>1</v>
      </c>
      <c r="AG75" t="s">
        <v>1</v>
      </c>
      <c r="AH75" t="s">
        <v>2215</v>
      </c>
      <c r="AI75" t="s">
        <v>2215</v>
      </c>
      <c r="AJ75" t="s">
        <v>1</v>
      </c>
      <c r="AK75">
        <v>9331372314</v>
      </c>
      <c r="AL75" t="s">
        <v>1</v>
      </c>
      <c r="AM75" t="s">
        <v>1</v>
      </c>
      <c r="AN75" t="s">
        <v>1</v>
      </c>
      <c r="AO75" t="s">
        <v>2215</v>
      </c>
      <c r="AP75" t="s">
        <v>1</v>
      </c>
      <c r="AQ75" t="s">
        <v>2</v>
      </c>
      <c r="AR75" t="s">
        <v>1</v>
      </c>
      <c r="AS75" t="s">
        <v>1</v>
      </c>
      <c r="AT75" t="s">
        <v>1</v>
      </c>
      <c r="AU75" t="s">
        <v>1</v>
      </c>
      <c r="AV75" t="s">
        <v>1</v>
      </c>
      <c r="AW75" t="s">
        <v>9</v>
      </c>
      <c r="AX75">
        <f>Tabla1[[#This Row],[precio del paquete]]-Tabla1[[#This Row],[Saldo_Deudor]]</f>
        <v>2700</v>
      </c>
      <c r="AY75">
        <v>12200</v>
      </c>
      <c r="AZ75">
        <v>0</v>
      </c>
      <c r="BA75">
        <v>0</v>
      </c>
      <c r="BB75">
        <v>0</v>
      </c>
      <c r="BC75" t="s">
        <v>4831</v>
      </c>
      <c r="BD75" t="s">
        <v>4908</v>
      </c>
      <c r="BE75" t="s">
        <v>3</v>
      </c>
      <c r="BF75" t="s">
        <v>3</v>
      </c>
      <c r="BG75" t="s">
        <v>3</v>
      </c>
      <c r="BH75" t="s">
        <v>3</v>
      </c>
      <c r="BI75" t="s">
        <v>3</v>
      </c>
      <c r="BJ75" t="s">
        <v>4989</v>
      </c>
      <c r="BK75" t="s">
        <v>3</v>
      </c>
      <c r="BL75" t="s">
        <v>96</v>
      </c>
      <c r="BM75" t="s">
        <v>1</v>
      </c>
      <c r="BN75">
        <v>14900</v>
      </c>
      <c r="BO75" t="s">
        <v>1</v>
      </c>
      <c r="BP75" t="s">
        <v>1</v>
      </c>
      <c r="BQ75" t="s">
        <v>1</v>
      </c>
      <c r="BR75" t="s">
        <v>1</v>
      </c>
      <c r="BS75" t="s">
        <v>1</v>
      </c>
      <c r="BT75" t="s">
        <v>1</v>
      </c>
      <c r="BU75" t="s">
        <v>1</v>
      </c>
      <c r="BV75" t="s">
        <v>1</v>
      </c>
      <c r="BW75" t="s">
        <v>0</v>
      </c>
      <c r="BX75" t="s">
        <v>1</v>
      </c>
      <c r="BY75" t="s">
        <v>1</v>
      </c>
      <c r="BZ75" t="s">
        <v>1</v>
      </c>
      <c r="CA75" t="s">
        <v>1</v>
      </c>
      <c r="CB75" t="s">
        <v>1</v>
      </c>
      <c r="CD75" t="e" cm="1">
        <f t="array" aca="1" ref="CD75" ca="1">eConcatenar(A75:CB75,"|")</f>
        <v>#NAME?</v>
      </c>
    </row>
    <row r="76" spans="1:82" x14ac:dyDescent="0.25">
      <c r="A76" t="s">
        <v>171</v>
      </c>
      <c r="B76" t="s">
        <v>1178</v>
      </c>
      <c r="C76">
        <v>3</v>
      </c>
      <c r="D76" t="s">
        <v>2153</v>
      </c>
      <c r="E76" t="s">
        <v>2158</v>
      </c>
      <c r="F76" t="s">
        <v>2162</v>
      </c>
      <c r="G76" t="s">
        <v>2215</v>
      </c>
      <c r="H76" t="s">
        <v>2743</v>
      </c>
      <c r="I76">
        <v>14800</v>
      </c>
      <c r="J76">
        <v>0</v>
      </c>
      <c r="K76">
        <v>100</v>
      </c>
      <c r="L76">
        <v>50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 t="s">
        <v>3256</v>
      </c>
      <c r="AC76" t="s">
        <v>3214</v>
      </c>
      <c r="AD76" t="s">
        <v>3257</v>
      </c>
      <c r="AE76" t="s">
        <v>4</v>
      </c>
      <c r="AF76" t="s">
        <v>1</v>
      </c>
      <c r="AG76" t="s">
        <v>1</v>
      </c>
      <c r="AH76" t="s">
        <v>4146</v>
      </c>
      <c r="AI76" t="s">
        <v>2215</v>
      </c>
      <c r="AJ76" t="s">
        <v>1</v>
      </c>
      <c r="AK76">
        <v>9331382510</v>
      </c>
      <c r="AL76" t="s">
        <v>1</v>
      </c>
      <c r="AM76" t="s">
        <v>1</v>
      </c>
      <c r="AN76" t="s">
        <v>1</v>
      </c>
      <c r="AO76" t="s">
        <v>4146</v>
      </c>
      <c r="AP76" t="s">
        <v>1</v>
      </c>
      <c r="AQ76" t="s">
        <v>2</v>
      </c>
      <c r="AR76" t="s">
        <v>1</v>
      </c>
      <c r="AS76" t="s">
        <v>1</v>
      </c>
      <c r="AT76" t="s">
        <v>1</v>
      </c>
      <c r="AU76" t="s">
        <v>1</v>
      </c>
      <c r="AV76" t="s">
        <v>1</v>
      </c>
      <c r="AW76" t="s">
        <v>9</v>
      </c>
      <c r="AX76">
        <f>Tabla1[[#This Row],[precio del paquete]]-Tabla1[[#This Row],[Saldo_Deudor]]</f>
        <v>850</v>
      </c>
      <c r="AY76">
        <v>13950</v>
      </c>
      <c r="AZ76">
        <v>0</v>
      </c>
      <c r="BA76">
        <v>0</v>
      </c>
      <c r="BB76">
        <v>0</v>
      </c>
      <c r="BC76" t="s">
        <v>3081</v>
      </c>
      <c r="BD76" t="s">
        <v>4909</v>
      </c>
      <c r="BE76" t="s">
        <v>3</v>
      </c>
      <c r="BF76" t="s">
        <v>3</v>
      </c>
      <c r="BG76" t="s">
        <v>3</v>
      </c>
      <c r="BH76" t="s">
        <v>3</v>
      </c>
      <c r="BI76" t="s">
        <v>3</v>
      </c>
      <c r="BJ76" t="s">
        <v>4990</v>
      </c>
      <c r="BK76" t="s">
        <v>3</v>
      </c>
      <c r="BL76" t="s">
        <v>96</v>
      </c>
      <c r="BM76" t="s">
        <v>1</v>
      </c>
      <c r="BN76">
        <v>14800</v>
      </c>
      <c r="BO76" t="s">
        <v>1</v>
      </c>
      <c r="BP76" t="s">
        <v>1</v>
      </c>
      <c r="BQ76" t="s">
        <v>1</v>
      </c>
      <c r="BR76" t="s">
        <v>1</v>
      </c>
      <c r="BS76" t="s">
        <v>1</v>
      </c>
      <c r="BT76" t="s">
        <v>1</v>
      </c>
      <c r="BU76" t="s">
        <v>1</v>
      </c>
      <c r="BV76" t="s">
        <v>1</v>
      </c>
      <c r="BW76" t="s">
        <v>0</v>
      </c>
      <c r="BX76" t="s">
        <v>1</v>
      </c>
      <c r="BY76" t="s">
        <v>1</v>
      </c>
      <c r="BZ76" t="s">
        <v>1</v>
      </c>
      <c r="CA76" t="s">
        <v>1</v>
      </c>
      <c r="CB76" t="s">
        <v>1</v>
      </c>
      <c r="CD76" t="e" cm="1">
        <f t="array" aca="1" ref="CD76" ca="1">eConcatenar(A76:CB76,"|")</f>
        <v>#NAME?</v>
      </c>
    </row>
    <row r="77" spans="1:82" x14ac:dyDescent="0.25">
      <c r="A77" t="s">
        <v>172</v>
      </c>
      <c r="B77" t="s">
        <v>1179</v>
      </c>
      <c r="C77">
        <v>3</v>
      </c>
      <c r="D77" t="s">
        <v>2157</v>
      </c>
      <c r="E77" t="s">
        <v>2158</v>
      </c>
      <c r="F77" t="s">
        <v>2162</v>
      </c>
      <c r="G77" t="s">
        <v>2215</v>
      </c>
      <c r="H77" t="s">
        <v>2747</v>
      </c>
      <c r="I77">
        <v>12900</v>
      </c>
      <c r="J77">
        <v>0</v>
      </c>
      <c r="K77">
        <v>100</v>
      </c>
      <c r="L77">
        <v>50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 t="s">
        <v>3256</v>
      </c>
      <c r="AC77" t="s">
        <v>3214</v>
      </c>
      <c r="AD77" t="s">
        <v>3258</v>
      </c>
      <c r="AE77" t="s">
        <v>4</v>
      </c>
      <c r="AF77" t="s">
        <v>1</v>
      </c>
      <c r="AG77" t="s">
        <v>1</v>
      </c>
      <c r="AH77" t="s">
        <v>2215</v>
      </c>
      <c r="AI77" t="s">
        <v>2215</v>
      </c>
      <c r="AJ77" t="s">
        <v>1</v>
      </c>
      <c r="AK77" t="s">
        <v>1</v>
      </c>
      <c r="AL77" t="s">
        <v>1</v>
      </c>
      <c r="AM77" t="s">
        <v>1</v>
      </c>
      <c r="AN77" t="s">
        <v>1</v>
      </c>
      <c r="AO77" t="s">
        <v>2215</v>
      </c>
      <c r="AP77" t="s">
        <v>1</v>
      </c>
      <c r="AQ77" t="s">
        <v>2</v>
      </c>
      <c r="AR77" t="s">
        <v>1</v>
      </c>
      <c r="AS77" t="s">
        <v>1</v>
      </c>
      <c r="AT77" t="s">
        <v>1</v>
      </c>
      <c r="AU77" t="s">
        <v>1</v>
      </c>
      <c r="AV77" t="s">
        <v>1</v>
      </c>
      <c r="AW77" t="s">
        <v>9</v>
      </c>
      <c r="AX77">
        <f>Tabla1[[#This Row],[precio del paquete]]-Tabla1[[#This Row],[Saldo_Deudor]]</f>
        <v>10700</v>
      </c>
      <c r="AY77">
        <v>2200</v>
      </c>
      <c r="AZ77">
        <v>0</v>
      </c>
      <c r="BA77">
        <v>0</v>
      </c>
      <c r="BB77">
        <v>0</v>
      </c>
      <c r="BC77" t="s">
        <v>2732</v>
      </c>
      <c r="BD77" t="s">
        <v>4904</v>
      </c>
      <c r="BE77" t="s">
        <v>3</v>
      </c>
      <c r="BF77" t="s">
        <v>3</v>
      </c>
      <c r="BG77" t="s">
        <v>3</v>
      </c>
      <c r="BH77" t="s">
        <v>3</v>
      </c>
      <c r="BI77" t="s">
        <v>3</v>
      </c>
      <c r="BJ77" t="s">
        <v>4990</v>
      </c>
      <c r="BK77" t="s">
        <v>3</v>
      </c>
      <c r="BL77" t="s">
        <v>96</v>
      </c>
      <c r="BM77" t="s">
        <v>1</v>
      </c>
      <c r="BN77">
        <v>12900</v>
      </c>
      <c r="BO77" t="s">
        <v>1</v>
      </c>
      <c r="BP77" t="s">
        <v>1</v>
      </c>
      <c r="BQ77" t="s">
        <v>1</v>
      </c>
      <c r="BR77" t="s">
        <v>1</v>
      </c>
      <c r="BS77" t="s">
        <v>1</v>
      </c>
      <c r="BT77" t="s">
        <v>1</v>
      </c>
      <c r="BU77" t="s">
        <v>1</v>
      </c>
      <c r="BV77" t="s">
        <v>1</v>
      </c>
      <c r="BW77" t="s">
        <v>0</v>
      </c>
      <c r="BX77" t="s">
        <v>1</v>
      </c>
      <c r="BY77" t="s">
        <v>1</v>
      </c>
      <c r="BZ77" t="s">
        <v>1</v>
      </c>
      <c r="CA77" t="s">
        <v>1</v>
      </c>
      <c r="CB77" t="s">
        <v>1</v>
      </c>
      <c r="CD77" t="e" cm="1">
        <f t="array" aca="1" ref="CD77" ca="1">eConcatenar(A77:CB77,"|")</f>
        <v>#NAME?</v>
      </c>
    </row>
    <row r="78" spans="1:82" x14ac:dyDescent="0.25">
      <c r="A78" t="s">
        <v>173</v>
      </c>
      <c r="B78" t="s">
        <v>1180</v>
      </c>
      <c r="C78">
        <v>3</v>
      </c>
      <c r="D78" t="s">
        <v>2153</v>
      </c>
      <c r="E78" t="s">
        <v>2158</v>
      </c>
      <c r="F78" t="s">
        <v>2162</v>
      </c>
      <c r="G78" t="s">
        <v>2215</v>
      </c>
      <c r="H78" t="s">
        <v>2748</v>
      </c>
      <c r="I78">
        <v>14800</v>
      </c>
      <c r="J78">
        <v>0</v>
      </c>
      <c r="K78">
        <v>100</v>
      </c>
      <c r="L78">
        <v>50</v>
      </c>
      <c r="M78">
        <v>1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 t="s">
        <v>3259</v>
      </c>
      <c r="AC78" t="s">
        <v>3260</v>
      </c>
      <c r="AD78" t="s">
        <v>3261</v>
      </c>
      <c r="AE78" t="s">
        <v>4</v>
      </c>
      <c r="AF78" t="s">
        <v>1</v>
      </c>
      <c r="AG78" t="s">
        <v>1</v>
      </c>
      <c r="AH78" t="s">
        <v>4147</v>
      </c>
      <c r="AI78" t="s">
        <v>2215</v>
      </c>
      <c r="AJ78" t="s">
        <v>1</v>
      </c>
      <c r="AK78">
        <v>9333033061</v>
      </c>
      <c r="AL78" t="s">
        <v>1</v>
      </c>
      <c r="AM78" t="s">
        <v>1</v>
      </c>
      <c r="AN78" t="s">
        <v>1</v>
      </c>
      <c r="AO78" t="s">
        <v>4147</v>
      </c>
      <c r="AP78" t="s">
        <v>1</v>
      </c>
      <c r="AQ78" t="s">
        <v>2</v>
      </c>
      <c r="AR78" t="s">
        <v>1</v>
      </c>
      <c r="AS78" t="s">
        <v>1</v>
      </c>
      <c r="AT78" t="s">
        <v>1</v>
      </c>
      <c r="AU78" t="s">
        <v>1</v>
      </c>
      <c r="AV78" t="s">
        <v>1</v>
      </c>
      <c r="AW78" t="s">
        <v>9</v>
      </c>
      <c r="AX78">
        <f>Tabla1[[#This Row],[precio del paquete]]-Tabla1[[#This Row],[Saldo_Deudor]]</f>
        <v>5450</v>
      </c>
      <c r="AY78">
        <v>9350</v>
      </c>
      <c r="AZ78">
        <v>0</v>
      </c>
      <c r="BA78">
        <v>0</v>
      </c>
      <c r="BB78">
        <v>0</v>
      </c>
      <c r="BC78" t="s">
        <v>2923</v>
      </c>
      <c r="BD78" t="s">
        <v>4910</v>
      </c>
      <c r="BE78" t="s">
        <v>3</v>
      </c>
      <c r="BF78" t="s">
        <v>3</v>
      </c>
      <c r="BG78" t="s">
        <v>3</v>
      </c>
      <c r="BH78" t="s">
        <v>3</v>
      </c>
      <c r="BI78" t="s">
        <v>3</v>
      </c>
      <c r="BJ78" t="s">
        <v>4998</v>
      </c>
      <c r="BK78" t="s">
        <v>3</v>
      </c>
      <c r="BL78" t="s">
        <v>96</v>
      </c>
      <c r="BM78" t="s">
        <v>1</v>
      </c>
      <c r="BN78">
        <v>14800</v>
      </c>
      <c r="BO78" t="s">
        <v>1</v>
      </c>
      <c r="BP78" t="s">
        <v>1</v>
      </c>
      <c r="BQ78" t="s">
        <v>1</v>
      </c>
      <c r="BR78" t="s">
        <v>1</v>
      </c>
      <c r="BS78" t="s">
        <v>1</v>
      </c>
      <c r="BT78" t="s">
        <v>1</v>
      </c>
      <c r="BU78" t="s">
        <v>1</v>
      </c>
      <c r="BV78" t="s">
        <v>1</v>
      </c>
      <c r="BW78" t="s">
        <v>0</v>
      </c>
      <c r="BX78" t="s">
        <v>1</v>
      </c>
      <c r="BY78" t="s">
        <v>1</v>
      </c>
      <c r="BZ78" t="s">
        <v>1</v>
      </c>
      <c r="CA78" t="s">
        <v>1</v>
      </c>
      <c r="CB78" t="s">
        <v>1</v>
      </c>
      <c r="CD78" t="e" cm="1">
        <f t="array" aca="1" ref="CD78" ca="1">eConcatenar(A78:CB78,"|")</f>
        <v>#NAME?</v>
      </c>
    </row>
    <row r="79" spans="1:82" x14ac:dyDescent="0.25">
      <c r="A79" t="s">
        <v>174</v>
      </c>
      <c r="B79" t="s">
        <v>1181</v>
      </c>
      <c r="C79">
        <v>3</v>
      </c>
      <c r="D79" t="s">
        <v>2153</v>
      </c>
      <c r="E79" t="s">
        <v>2158</v>
      </c>
      <c r="F79" t="s">
        <v>2162</v>
      </c>
      <c r="G79" t="s">
        <v>2215</v>
      </c>
      <c r="H79" t="s">
        <v>2749</v>
      </c>
      <c r="I79">
        <v>14800</v>
      </c>
      <c r="J79">
        <v>0</v>
      </c>
      <c r="K79">
        <v>50</v>
      </c>
      <c r="L79">
        <v>50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 t="s">
        <v>3262</v>
      </c>
      <c r="AC79" t="s">
        <v>3263</v>
      </c>
      <c r="AD79" t="s">
        <v>3264</v>
      </c>
      <c r="AE79" t="s">
        <v>4</v>
      </c>
      <c r="AF79" t="s">
        <v>1</v>
      </c>
      <c r="AG79" t="s">
        <v>1</v>
      </c>
      <c r="AH79" t="s">
        <v>2215</v>
      </c>
      <c r="AI79" t="s">
        <v>2215</v>
      </c>
      <c r="AJ79" t="s">
        <v>1</v>
      </c>
      <c r="AK79">
        <v>9331128399</v>
      </c>
      <c r="AL79" t="s">
        <v>1</v>
      </c>
      <c r="AM79" t="s">
        <v>1</v>
      </c>
      <c r="AN79" t="s">
        <v>1</v>
      </c>
      <c r="AO79" t="s">
        <v>2215</v>
      </c>
      <c r="AP79" t="s">
        <v>1</v>
      </c>
      <c r="AQ79" t="s">
        <v>2</v>
      </c>
      <c r="AR79" t="s">
        <v>1</v>
      </c>
      <c r="AS79" t="s">
        <v>1</v>
      </c>
      <c r="AT79" t="s">
        <v>1</v>
      </c>
      <c r="AU79" t="s">
        <v>1</v>
      </c>
      <c r="AV79" t="s">
        <v>1</v>
      </c>
      <c r="AW79" t="s">
        <v>9</v>
      </c>
      <c r="AX79">
        <f>Tabla1[[#This Row],[precio del paquete]]-Tabla1[[#This Row],[Saldo_Deudor]]</f>
        <v>930</v>
      </c>
      <c r="AY79">
        <v>13870</v>
      </c>
      <c r="AZ79">
        <v>0</v>
      </c>
      <c r="BA79">
        <v>0</v>
      </c>
      <c r="BB79">
        <v>0</v>
      </c>
      <c r="BC79" t="s">
        <v>3005</v>
      </c>
      <c r="BD79" t="s">
        <v>2910</v>
      </c>
      <c r="BE79" t="s">
        <v>3</v>
      </c>
      <c r="BF79" t="s">
        <v>3</v>
      </c>
      <c r="BG79" t="s">
        <v>3</v>
      </c>
      <c r="BH79" t="s">
        <v>3</v>
      </c>
      <c r="BI79" t="s">
        <v>3</v>
      </c>
      <c r="BJ79" t="s">
        <v>4998</v>
      </c>
      <c r="BK79" t="s">
        <v>3</v>
      </c>
      <c r="BL79" t="s">
        <v>96</v>
      </c>
      <c r="BM79" t="s">
        <v>1</v>
      </c>
      <c r="BN79">
        <v>14800</v>
      </c>
      <c r="BO79" t="s">
        <v>1</v>
      </c>
      <c r="BP79" t="s">
        <v>1</v>
      </c>
      <c r="BQ79" t="s">
        <v>1</v>
      </c>
      <c r="BR79" t="s">
        <v>1</v>
      </c>
      <c r="BS79" t="s">
        <v>1</v>
      </c>
      <c r="BT79" t="s">
        <v>1</v>
      </c>
      <c r="BU79" t="s">
        <v>1</v>
      </c>
      <c r="BV79" t="s">
        <v>1</v>
      </c>
      <c r="BW79" t="s">
        <v>0</v>
      </c>
      <c r="BX79" t="s">
        <v>1</v>
      </c>
      <c r="BY79" t="s">
        <v>1</v>
      </c>
      <c r="BZ79" t="s">
        <v>1</v>
      </c>
      <c r="CA79" t="s">
        <v>1</v>
      </c>
      <c r="CB79" t="s">
        <v>1</v>
      </c>
      <c r="CD79" t="e" cm="1">
        <f t="array" aca="1" ref="CD79" ca="1">eConcatenar(A79:CB79,"|")</f>
        <v>#NAME?</v>
      </c>
    </row>
    <row r="80" spans="1:82" x14ac:dyDescent="0.25">
      <c r="A80" t="s">
        <v>175</v>
      </c>
      <c r="B80" t="s">
        <v>1182</v>
      </c>
      <c r="C80">
        <v>3</v>
      </c>
      <c r="D80" t="s">
        <v>2153</v>
      </c>
      <c r="E80" t="s">
        <v>2158</v>
      </c>
      <c r="F80" t="s">
        <v>2162</v>
      </c>
      <c r="G80" t="s">
        <v>2215</v>
      </c>
      <c r="H80" t="s">
        <v>2710</v>
      </c>
      <c r="I80">
        <v>14800</v>
      </c>
      <c r="J80">
        <v>0</v>
      </c>
      <c r="K80">
        <v>200</v>
      </c>
      <c r="L80">
        <v>50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t="s">
        <v>3256</v>
      </c>
      <c r="AC80" t="s">
        <v>3177</v>
      </c>
      <c r="AD80" t="s">
        <v>3212</v>
      </c>
      <c r="AE80" t="s">
        <v>4</v>
      </c>
      <c r="AF80" t="s">
        <v>1</v>
      </c>
      <c r="AG80" t="s">
        <v>1</v>
      </c>
      <c r="AH80" t="s">
        <v>4148</v>
      </c>
      <c r="AI80" t="s">
        <v>2215</v>
      </c>
      <c r="AJ80" t="s">
        <v>1</v>
      </c>
      <c r="AK80">
        <v>9331531492</v>
      </c>
      <c r="AL80" t="s">
        <v>1</v>
      </c>
      <c r="AM80" t="s">
        <v>1</v>
      </c>
      <c r="AN80" t="s">
        <v>1</v>
      </c>
      <c r="AO80" t="s">
        <v>4148</v>
      </c>
      <c r="AP80" t="s">
        <v>1</v>
      </c>
      <c r="AQ80" t="s">
        <v>2</v>
      </c>
      <c r="AR80" t="s">
        <v>1</v>
      </c>
      <c r="AS80" t="s">
        <v>1</v>
      </c>
      <c r="AT80" t="s">
        <v>1</v>
      </c>
      <c r="AU80" t="s">
        <v>1</v>
      </c>
      <c r="AV80" t="s">
        <v>1</v>
      </c>
      <c r="AW80" t="s">
        <v>9</v>
      </c>
      <c r="AX80">
        <f>Tabla1[[#This Row],[precio del paquete]]-Tabla1[[#This Row],[Saldo_Deudor]]</f>
        <v>7300</v>
      </c>
      <c r="AY80">
        <v>7500</v>
      </c>
      <c r="AZ80">
        <v>0</v>
      </c>
      <c r="BA80">
        <v>0</v>
      </c>
      <c r="BB80">
        <v>0</v>
      </c>
      <c r="BC80" t="s">
        <v>2923</v>
      </c>
      <c r="BD80" t="s">
        <v>4910</v>
      </c>
      <c r="BE80" t="s">
        <v>3</v>
      </c>
      <c r="BF80" t="s">
        <v>3</v>
      </c>
      <c r="BG80" t="s">
        <v>3</v>
      </c>
      <c r="BH80" t="s">
        <v>3</v>
      </c>
      <c r="BI80" t="s">
        <v>3</v>
      </c>
      <c r="BJ80" t="s">
        <v>4998</v>
      </c>
      <c r="BK80" t="s">
        <v>3</v>
      </c>
      <c r="BL80" t="s">
        <v>96</v>
      </c>
      <c r="BM80" t="s">
        <v>1</v>
      </c>
      <c r="BN80">
        <v>14800</v>
      </c>
      <c r="BO80" t="s">
        <v>1</v>
      </c>
      <c r="BP80" t="s">
        <v>1</v>
      </c>
      <c r="BQ80" t="s">
        <v>1</v>
      </c>
      <c r="BR80" t="s">
        <v>1</v>
      </c>
      <c r="BS80" t="s">
        <v>1</v>
      </c>
      <c r="BT80" t="s">
        <v>1</v>
      </c>
      <c r="BU80" t="s">
        <v>1</v>
      </c>
      <c r="BV80" t="s">
        <v>1</v>
      </c>
      <c r="BW80" t="s">
        <v>0</v>
      </c>
      <c r="BX80" t="s">
        <v>1</v>
      </c>
      <c r="BY80" t="s">
        <v>1</v>
      </c>
      <c r="BZ80" t="s">
        <v>1</v>
      </c>
      <c r="CA80" t="s">
        <v>1</v>
      </c>
      <c r="CB80" t="s">
        <v>1</v>
      </c>
      <c r="CD80" t="e" cm="1">
        <f t="array" aca="1" ref="CD80" ca="1">eConcatenar(A80:CB80,"|")</f>
        <v>#NAME?</v>
      </c>
    </row>
    <row r="81" spans="1:82" x14ac:dyDescent="0.25">
      <c r="A81" t="s">
        <v>176</v>
      </c>
      <c r="B81" t="s">
        <v>1183</v>
      </c>
      <c r="C81">
        <v>3</v>
      </c>
      <c r="D81" t="s">
        <v>2153</v>
      </c>
      <c r="E81" t="s">
        <v>2158</v>
      </c>
      <c r="F81" t="s">
        <v>2162</v>
      </c>
      <c r="G81" t="s">
        <v>2215</v>
      </c>
      <c r="H81" t="s">
        <v>2750</v>
      </c>
      <c r="I81">
        <v>14800</v>
      </c>
      <c r="J81">
        <v>0</v>
      </c>
      <c r="K81">
        <v>200</v>
      </c>
      <c r="L81">
        <v>50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 t="s">
        <v>3265</v>
      </c>
      <c r="AC81" t="s">
        <v>3132</v>
      </c>
      <c r="AD81" t="s">
        <v>3266</v>
      </c>
      <c r="AE81" t="s">
        <v>4</v>
      </c>
      <c r="AF81" t="s">
        <v>1</v>
      </c>
      <c r="AG81" t="s">
        <v>1</v>
      </c>
      <c r="AH81" t="s">
        <v>2215</v>
      </c>
      <c r="AI81" t="s">
        <v>2215</v>
      </c>
      <c r="AJ81" t="s">
        <v>1</v>
      </c>
      <c r="AK81">
        <v>9331347289</v>
      </c>
      <c r="AL81" t="s">
        <v>1</v>
      </c>
      <c r="AM81" t="s">
        <v>1</v>
      </c>
      <c r="AN81" t="s">
        <v>1</v>
      </c>
      <c r="AO81" t="s">
        <v>2215</v>
      </c>
      <c r="AP81" t="s">
        <v>1</v>
      </c>
      <c r="AQ81" t="s">
        <v>2</v>
      </c>
      <c r="AR81" t="s">
        <v>1</v>
      </c>
      <c r="AS81" t="s">
        <v>1</v>
      </c>
      <c r="AT81" t="s">
        <v>1</v>
      </c>
      <c r="AU81" t="s">
        <v>1</v>
      </c>
      <c r="AV81" t="s">
        <v>1</v>
      </c>
      <c r="AW81" t="s">
        <v>9</v>
      </c>
      <c r="AX81">
        <f>Tabla1[[#This Row],[precio del paquete]]-Tabla1[[#This Row],[Saldo_Deudor]]</f>
        <v>8800</v>
      </c>
      <c r="AY81">
        <v>6000</v>
      </c>
      <c r="AZ81">
        <v>0</v>
      </c>
      <c r="BA81">
        <v>0</v>
      </c>
      <c r="BB81">
        <v>0</v>
      </c>
      <c r="BC81" t="s">
        <v>2923</v>
      </c>
      <c r="BD81" t="s">
        <v>4910</v>
      </c>
      <c r="BE81" t="s">
        <v>3</v>
      </c>
      <c r="BF81" t="s">
        <v>3</v>
      </c>
      <c r="BG81" t="s">
        <v>3</v>
      </c>
      <c r="BH81" t="s">
        <v>3</v>
      </c>
      <c r="BI81" t="s">
        <v>3</v>
      </c>
      <c r="BJ81" t="s">
        <v>4998</v>
      </c>
      <c r="BK81" t="s">
        <v>3</v>
      </c>
      <c r="BL81" t="s">
        <v>96</v>
      </c>
      <c r="BM81" t="s">
        <v>1</v>
      </c>
      <c r="BN81">
        <v>14800</v>
      </c>
      <c r="BO81" t="s">
        <v>1</v>
      </c>
      <c r="BP81" t="s">
        <v>1</v>
      </c>
      <c r="BQ81" t="s">
        <v>1</v>
      </c>
      <c r="BR81" t="s">
        <v>1</v>
      </c>
      <c r="BS81" t="s">
        <v>1</v>
      </c>
      <c r="BT81" t="s">
        <v>1</v>
      </c>
      <c r="BU81" t="s">
        <v>1</v>
      </c>
      <c r="BV81" t="s">
        <v>1</v>
      </c>
      <c r="BW81" t="s">
        <v>0</v>
      </c>
      <c r="BX81" t="s">
        <v>1</v>
      </c>
      <c r="BY81" t="s">
        <v>1</v>
      </c>
      <c r="BZ81" t="s">
        <v>1</v>
      </c>
      <c r="CA81" t="s">
        <v>1</v>
      </c>
      <c r="CB81" t="s">
        <v>1</v>
      </c>
      <c r="CD81" t="e" cm="1">
        <f t="array" aca="1" ref="CD81" ca="1">eConcatenar(A81:CB81,"|")</f>
        <v>#NAME?</v>
      </c>
    </row>
    <row r="82" spans="1:82" x14ac:dyDescent="0.25">
      <c r="A82" t="s">
        <v>177</v>
      </c>
      <c r="B82" t="s">
        <v>1184</v>
      </c>
      <c r="C82">
        <v>3</v>
      </c>
      <c r="D82" t="s">
        <v>2157</v>
      </c>
      <c r="E82" t="s">
        <v>2158</v>
      </c>
      <c r="F82" t="s">
        <v>2162</v>
      </c>
      <c r="G82" t="s">
        <v>2216</v>
      </c>
      <c r="H82" t="s">
        <v>2751</v>
      </c>
      <c r="I82">
        <v>12900</v>
      </c>
      <c r="J82">
        <v>0</v>
      </c>
      <c r="K82">
        <v>100</v>
      </c>
      <c r="L82">
        <v>50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 t="s">
        <v>3132</v>
      </c>
      <c r="AC82" t="s">
        <v>3241</v>
      </c>
      <c r="AD82" t="s">
        <v>3267</v>
      </c>
      <c r="AE82" t="s">
        <v>4</v>
      </c>
      <c r="AF82" t="s">
        <v>1</v>
      </c>
      <c r="AG82" t="s">
        <v>1</v>
      </c>
      <c r="AH82" t="s">
        <v>4149</v>
      </c>
      <c r="AI82" t="s">
        <v>2216</v>
      </c>
      <c r="AJ82" t="s">
        <v>1</v>
      </c>
      <c r="AK82" t="s">
        <v>1</v>
      </c>
      <c r="AL82" t="s">
        <v>1</v>
      </c>
      <c r="AM82" t="s">
        <v>1</v>
      </c>
      <c r="AN82" t="s">
        <v>1</v>
      </c>
      <c r="AO82" t="s">
        <v>4149</v>
      </c>
      <c r="AP82" t="s">
        <v>1</v>
      </c>
      <c r="AQ82" t="s">
        <v>2</v>
      </c>
      <c r="AR82" t="s">
        <v>1</v>
      </c>
      <c r="AS82" t="s">
        <v>1</v>
      </c>
      <c r="AT82" t="s">
        <v>1</v>
      </c>
      <c r="AU82" t="s">
        <v>1</v>
      </c>
      <c r="AV82" t="s">
        <v>1</v>
      </c>
      <c r="AW82" t="s">
        <v>9</v>
      </c>
      <c r="AX82">
        <f>Tabla1[[#This Row],[precio del paquete]]-Tabla1[[#This Row],[Saldo_Deudor]]</f>
        <v>12300</v>
      </c>
      <c r="AY82">
        <v>600</v>
      </c>
      <c r="AZ82">
        <v>0</v>
      </c>
      <c r="BA82">
        <v>0</v>
      </c>
      <c r="BB82">
        <v>0</v>
      </c>
      <c r="BC82" t="s">
        <v>3061</v>
      </c>
      <c r="BD82" t="s">
        <v>3040</v>
      </c>
      <c r="BE82" t="s">
        <v>3</v>
      </c>
      <c r="BF82" t="s">
        <v>3</v>
      </c>
      <c r="BG82" t="s">
        <v>3</v>
      </c>
      <c r="BH82" t="s">
        <v>3</v>
      </c>
      <c r="BI82" t="s">
        <v>3</v>
      </c>
      <c r="BJ82" t="s">
        <v>4998</v>
      </c>
      <c r="BK82" t="s">
        <v>3</v>
      </c>
      <c r="BL82" t="s">
        <v>96</v>
      </c>
      <c r="BM82" t="s">
        <v>1</v>
      </c>
      <c r="BN82">
        <v>12900</v>
      </c>
      <c r="BO82" t="s">
        <v>1</v>
      </c>
      <c r="BP82" t="s">
        <v>1</v>
      </c>
      <c r="BQ82" t="s">
        <v>1</v>
      </c>
      <c r="BR82" t="s">
        <v>1</v>
      </c>
      <c r="BS82" t="s">
        <v>1</v>
      </c>
      <c r="BT82" t="s">
        <v>1</v>
      </c>
      <c r="BU82" t="s">
        <v>1</v>
      </c>
      <c r="BV82" t="s">
        <v>1</v>
      </c>
      <c r="BW82" t="s">
        <v>0</v>
      </c>
      <c r="BX82" t="s">
        <v>1</v>
      </c>
      <c r="BY82" t="s">
        <v>1</v>
      </c>
      <c r="BZ82" t="s">
        <v>1</v>
      </c>
      <c r="CA82" t="s">
        <v>1</v>
      </c>
      <c r="CB82" t="s">
        <v>1</v>
      </c>
      <c r="CD82" t="e" cm="1">
        <f t="array" aca="1" ref="CD82" ca="1">eConcatenar(A82:CB82,"|")</f>
        <v>#NAME?</v>
      </c>
    </row>
    <row r="83" spans="1:82" x14ac:dyDescent="0.25">
      <c r="A83" t="s">
        <v>178</v>
      </c>
      <c r="B83" t="s">
        <v>1185</v>
      </c>
      <c r="C83">
        <v>3</v>
      </c>
      <c r="D83" t="s">
        <v>2157</v>
      </c>
      <c r="E83" t="s">
        <v>2158</v>
      </c>
      <c r="F83" t="s">
        <v>2162</v>
      </c>
      <c r="G83" t="s">
        <v>2217</v>
      </c>
      <c r="H83" t="s">
        <v>2752</v>
      </c>
      <c r="I83">
        <v>12900</v>
      </c>
      <c r="J83">
        <v>0</v>
      </c>
      <c r="K83">
        <v>100</v>
      </c>
      <c r="L83">
        <v>50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 t="s">
        <v>3114</v>
      </c>
      <c r="AC83" t="s">
        <v>3268</v>
      </c>
      <c r="AD83" t="s">
        <v>3269</v>
      </c>
      <c r="AE83" t="s">
        <v>4</v>
      </c>
      <c r="AF83" t="s">
        <v>1</v>
      </c>
      <c r="AG83" t="s">
        <v>1</v>
      </c>
      <c r="AH83" t="s">
        <v>4150</v>
      </c>
      <c r="AI83" t="s">
        <v>2217</v>
      </c>
      <c r="AJ83" t="s">
        <v>1</v>
      </c>
      <c r="AK83" t="s">
        <v>1</v>
      </c>
      <c r="AL83" t="s">
        <v>1</v>
      </c>
      <c r="AM83" t="s">
        <v>1</v>
      </c>
      <c r="AN83" t="s">
        <v>1</v>
      </c>
      <c r="AO83" t="s">
        <v>4150</v>
      </c>
      <c r="AP83" t="s">
        <v>1</v>
      </c>
      <c r="AQ83" t="s">
        <v>2</v>
      </c>
      <c r="AR83" t="s">
        <v>1</v>
      </c>
      <c r="AS83" t="s">
        <v>1</v>
      </c>
      <c r="AT83" t="s">
        <v>1</v>
      </c>
      <c r="AU83" t="s">
        <v>1</v>
      </c>
      <c r="AV83" t="s">
        <v>1</v>
      </c>
      <c r="AW83" t="s">
        <v>9</v>
      </c>
      <c r="AX83">
        <f>Tabla1[[#This Row],[precio del paquete]]-Tabla1[[#This Row],[Saldo_Deudor]]</f>
        <v>5400</v>
      </c>
      <c r="AY83">
        <v>7500</v>
      </c>
      <c r="AZ83">
        <v>0</v>
      </c>
      <c r="BA83">
        <v>0</v>
      </c>
      <c r="BB83">
        <v>0</v>
      </c>
      <c r="BC83" t="s">
        <v>3061</v>
      </c>
      <c r="BD83" t="s">
        <v>3040</v>
      </c>
      <c r="BE83" t="s">
        <v>3</v>
      </c>
      <c r="BF83" t="s">
        <v>3</v>
      </c>
      <c r="BG83" t="s">
        <v>3</v>
      </c>
      <c r="BH83" t="s">
        <v>3</v>
      </c>
      <c r="BI83" t="s">
        <v>3</v>
      </c>
      <c r="BJ83" t="s">
        <v>4998</v>
      </c>
      <c r="BK83" t="s">
        <v>3</v>
      </c>
      <c r="BL83" t="s">
        <v>96</v>
      </c>
      <c r="BM83" t="s">
        <v>1</v>
      </c>
      <c r="BN83">
        <v>12900</v>
      </c>
      <c r="BO83" t="s">
        <v>1</v>
      </c>
      <c r="BP83" t="s">
        <v>1</v>
      </c>
      <c r="BQ83" t="s">
        <v>1</v>
      </c>
      <c r="BR83" t="s">
        <v>1</v>
      </c>
      <c r="BS83" t="s">
        <v>1</v>
      </c>
      <c r="BT83" t="s">
        <v>1</v>
      </c>
      <c r="BU83" t="s">
        <v>1</v>
      </c>
      <c r="BV83" t="s">
        <v>1</v>
      </c>
      <c r="BW83" t="s">
        <v>0</v>
      </c>
      <c r="BX83" t="s">
        <v>1</v>
      </c>
      <c r="BY83" t="s">
        <v>1</v>
      </c>
      <c r="BZ83" t="s">
        <v>1</v>
      </c>
      <c r="CA83" t="s">
        <v>1</v>
      </c>
      <c r="CB83" t="s">
        <v>1</v>
      </c>
      <c r="CD83" t="e" cm="1">
        <f t="array" aca="1" ref="CD83" ca="1">eConcatenar(A83:CB83,"|")</f>
        <v>#NAME?</v>
      </c>
    </row>
    <row r="84" spans="1:82" x14ac:dyDescent="0.25">
      <c r="A84" t="s">
        <v>179</v>
      </c>
      <c r="B84" t="s">
        <v>1186</v>
      </c>
      <c r="C84">
        <v>3</v>
      </c>
      <c r="D84" t="s">
        <v>2153</v>
      </c>
      <c r="E84" t="s">
        <v>2158</v>
      </c>
      <c r="F84" t="s">
        <v>2162</v>
      </c>
      <c r="G84" t="s">
        <v>2217</v>
      </c>
      <c r="H84" t="s">
        <v>2753</v>
      </c>
      <c r="I84">
        <v>14800</v>
      </c>
      <c r="J84">
        <v>0</v>
      </c>
      <c r="K84">
        <v>300</v>
      </c>
      <c r="L84">
        <v>50</v>
      </c>
      <c r="M84">
        <v>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 t="s">
        <v>3270</v>
      </c>
      <c r="AC84" t="s">
        <v>3225</v>
      </c>
      <c r="AD84" t="s">
        <v>3271</v>
      </c>
      <c r="AE84" t="s">
        <v>4</v>
      </c>
      <c r="AF84" t="s">
        <v>1</v>
      </c>
      <c r="AG84" t="s">
        <v>1</v>
      </c>
      <c r="AH84" t="s">
        <v>4151</v>
      </c>
      <c r="AI84" t="s">
        <v>2217</v>
      </c>
      <c r="AJ84" t="s">
        <v>1</v>
      </c>
      <c r="AK84">
        <v>9383865915</v>
      </c>
      <c r="AL84" t="s">
        <v>1</v>
      </c>
      <c r="AM84" t="s">
        <v>1</v>
      </c>
      <c r="AN84" t="s">
        <v>1</v>
      </c>
      <c r="AO84" t="s">
        <v>4151</v>
      </c>
      <c r="AP84" t="s">
        <v>1</v>
      </c>
      <c r="AQ84" t="s">
        <v>2</v>
      </c>
      <c r="AR84" t="s">
        <v>1</v>
      </c>
      <c r="AS84" t="s">
        <v>1</v>
      </c>
      <c r="AT84" t="s">
        <v>1</v>
      </c>
      <c r="AU84" t="s">
        <v>1</v>
      </c>
      <c r="AV84" t="s">
        <v>1</v>
      </c>
      <c r="AW84" t="s">
        <v>9</v>
      </c>
      <c r="AX84">
        <f>Tabla1[[#This Row],[precio del paquete]]-Tabla1[[#This Row],[Saldo_Deudor]]</f>
        <v>800</v>
      </c>
      <c r="AY84">
        <v>14000</v>
      </c>
      <c r="AZ84">
        <v>0</v>
      </c>
      <c r="BA84">
        <v>0</v>
      </c>
      <c r="BB84">
        <v>0</v>
      </c>
      <c r="BC84" t="s">
        <v>4832</v>
      </c>
      <c r="BD84" t="s">
        <v>4911</v>
      </c>
      <c r="BE84" t="s">
        <v>3</v>
      </c>
      <c r="BF84" t="s">
        <v>3</v>
      </c>
      <c r="BG84" t="s">
        <v>3</v>
      </c>
      <c r="BH84" t="s">
        <v>3</v>
      </c>
      <c r="BI84" t="s">
        <v>3</v>
      </c>
      <c r="BJ84" t="s">
        <v>4998</v>
      </c>
      <c r="BK84" t="s">
        <v>3</v>
      </c>
      <c r="BL84" t="s">
        <v>96</v>
      </c>
      <c r="BM84" t="s">
        <v>1</v>
      </c>
      <c r="BN84">
        <v>14800</v>
      </c>
      <c r="BO84" t="s">
        <v>1</v>
      </c>
      <c r="BP84" t="s">
        <v>1</v>
      </c>
      <c r="BQ84" t="s">
        <v>1</v>
      </c>
      <c r="BR84" t="s">
        <v>1</v>
      </c>
      <c r="BS84" t="s">
        <v>1</v>
      </c>
      <c r="BT84" t="s">
        <v>1</v>
      </c>
      <c r="BU84" t="s">
        <v>1</v>
      </c>
      <c r="BV84" t="s">
        <v>1</v>
      </c>
      <c r="BW84" t="s">
        <v>0</v>
      </c>
      <c r="BX84" t="s">
        <v>1</v>
      </c>
      <c r="BY84" t="s">
        <v>1</v>
      </c>
      <c r="BZ84" t="s">
        <v>1</v>
      </c>
      <c r="CA84" t="s">
        <v>1</v>
      </c>
      <c r="CB84" t="s">
        <v>1</v>
      </c>
      <c r="CD84" t="e" cm="1">
        <f t="array" aca="1" ref="CD84" ca="1">eConcatenar(A84:CB84,"|")</f>
        <v>#NAME?</v>
      </c>
    </row>
    <row r="85" spans="1:82" x14ac:dyDescent="0.25">
      <c r="A85" t="s">
        <v>180</v>
      </c>
      <c r="B85" t="s">
        <v>1187</v>
      </c>
      <c r="C85">
        <v>3</v>
      </c>
      <c r="D85" t="s">
        <v>2153</v>
      </c>
      <c r="E85" t="s">
        <v>2158</v>
      </c>
      <c r="F85" t="s">
        <v>2159</v>
      </c>
      <c r="G85" t="s">
        <v>2218</v>
      </c>
      <c r="H85" t="s">
        <v>2754</v>
      </c>
      <c r="I85">
        <v>14800</v>
      </c>
      <c r="J85">
        <v>0</v>
      </c>
      <c r="K85">
        <v>200</v>
      </c>
      <c r="L85">
        <v>50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 t="s">
        <v>3214</v>
      </c>
      <c r="AC85" t="s">
        <v>3177</v>
      </c>
      <c r="AD85" t="s">
        <v>3272</v>
      </c>
      <c r="AE85" t="s">
        <v>4</v>
      </c>
      <c r="AF85" t="s">
        <v>1</v>
      </c>
      <c r="AG85" t="s">
        <v>1</v>
      </c>
      <c r="AH85" t="s">
        <v>4152</v>
      </c>
      <c r="AI85" t="s">
        <v>2218</v>
      </c>
      <c r="AJ85" t="s">
        <v>1</v>
      </c>
      <c r="AK85">
        <v>9331189358</v>
      </c>
      <c r="AL85" t="s">
        <v>1</v>
      </c>
      <c r="AM85" t="s">
        <v>1</v>
      </c>
      <c r="AN85" t="s">
        <v>1</v>
      </c>
      <c r="AO85" t="s">
        <v>4152</v>
      </c>
      <c r="AP85" t="s">
        <v>1</v>
      </c>
      <c r="AQ85" t="s">
        <v>2</v>
      </c>
      <c r="AR85" t="s">
        <v>1</v>
      </c>
      <c r="AS85" t="s">
        <v>1</v>
      </c>
      <c r="AT85" t="s">
        <v>1</v>
      </c>
      <c r="AU85" t="s">
        <v>1</v>
      </c>
      <c r="AV85" t="s">
        <v>1</v>
      </c>
      <c r="AW85" t="s">
        <v>9</v>
      </c>
      <c r="AX85">
        <f>Tabla1[[#This Row],[precio del paquete]]-Tabla1[[#This Row],[Saldo_Deudor]]</f>
        <v>500</v>
      </c>
      <c r="AY85">
        <v>14300</v>
      </c>
      <c r="AZ85">
        <v>0</v>
      </c>
      <c r="BA85">
        <v>0</v>
      </c>
      <c r="BB85">
        <v>0</v>
      </c>
      <c r="BC85" t="s">
        <v>2925</v>
      </c>
      <c r="BD85" t="s">
        <v>3078</v>
      </c>
      <c r="BE85" t="s">
        <v>3</v>
      </c>
      <c r="BF85" t="s">
        <v>3</v>
      </c>
      <c r="BG85" t="s">
        <v>3</v>
      </c>
      <c r="BH85" t="s">
        <v>3</v>
      </c>
      <c r="BI85" t="s">
        <v>3</v>
      </c>
      <c r="BJ85" t="s">
        <v>4990</v>
      </c>
      <c r="BK85" t="s">
        <v>3</v>
      </c>
      <c r="BL85" t="s">
        <v>96</v>
      </c>
      <c r="BM85" t="s">
        <v>1</v>
      </c>
      <c r="BN85">
        <v>14800</v>
      </c>
      <c r="BO85" t="s">
        <v>1</v>
      </c>
      <c r="BP85" t="s">
        <v>1</v>
      </c>
      <c r="BQ85" t="s">
        <v>1</v>
      </c>
      <c r="BR85" t="s">
        <v>1</v>
      </c>
      <c r="BS85" t="s">
        <v>1</v>
      </c>
      <c r="BT85" t="s">
        <v>1</v>
      </c>
      <c r="BU85" t="s">
        <v>1</v>
      </c>
      <c r="BV85" t="s">
        <v>1</v>
      </c>
      <c r="BW85" t="s">
        <v>0</v>
      </c>
      <c r="BX85" t="s">
        <v>1</v>
      </c>
      <c r="BY85" t="s">
        <v>1</v>
      </c>
      <c r="BZ85" t="s">
        <v>1</v>
      </c>
      <c r="CA85" t="s">
        <v>1</v>
      </c>
      <c r="CB85" t="s">
        <v>1</v>
      </c>
      <c r="CD85" t="e" cm="1">
        <f t="array" aca="1" ref="CD85" ca="1">eConcatenar(A85:CB85,"|")</f>
        <v>#NAME?</v>
      </c>
    </row>
    <row r="86" spans="1:82" x14ac:dyDescent="0.25">
      <c r="A86" t="s">
        <v>181</v>
      </c>
      <c r="B86" t="s">
        <v>1188</v>
      </c>
      <c r="C86">
        <v>3</v>
      </c>
      <c r="D86" t="s">
        <v>2153</v>
      </c>
      <c r="E86" t="s">
        <v>2158</v>
      </c>
      <c r="F86" t="s">
        <v>2159</v>
      </c>
      <c r="G86" t="s">
        <v>2219</v>
      </c>
      <c r="H86" t="s">
        <v>2755</v>
      </c>
      <c r="I86">
        <v>14800</v>
      </c>
      <c r="J86">
        <v>0</v>
      </c>
      <c r="K86">
        <v>100</v>
      </c>
      <c r="L86">
        <v>50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 t="s">
        <v>3115</v>
      </c>
      <c r="AC86" t="s">
        <v>3273</v>
      </c>
      <c r="AD86" t="s">
        <v>3274</v>
      </c>
      <c r="AE86" t="s">
        <v>4</v>
      </c>
      <c r="AF86" t="s">
        <v>1</v>
      </c>
      <c r="AG86" t="s">
        <v>1</v>
      </c>
      <c r="AH86" t="s">
        <v>4153</v>
      </c>
      <c r="AI86" t="s">
        <v>2219</v>
      </c>
      <c r="AJ86" t="s">
        <v>1</v>
      </c>
      <c r="AK86">
        <v>9331213603</v>
      </c>
      <c r="AL86" t="s">
        <v>1</v>
      </c>
      <c r="AM86" t="s">
        <v>1</v>
      </c>
      <c r="AN86" t="s">
        <v>1</v>
      </c>
      <c r="AO86" t="s">
        <v>4153</v>
      </c>
      <c r="AP86" t="s">
        <v>1</v>
      </c>
      <c r="AQ86" t="s">
        <v>2</v>
      </c>
      <c r="AR86" t="s">
        <v>1</v>
      </c>
      <c r="AS86" t="s">
        <v>1</v>
      </c>
      <c r="AT86" t="s">
        <v>1</v>
      </c>
      <c r="AU86" t="s">
        <v>1</v>
      </c>
      <c r="AV86" t="s">
        <v>1</v>
      </c>
      <c r="AW86" t="s">
        <v>9</v>
      </c>
      <c r="AX86">
        <f>Tabla1[[#This Row],[precio del paquete]]-Tabla1[[#This Row],[Saldo_Deudor]]</f>
        <v>300</v>
      </c>
      <c r="AY86">
        <v>14500</v>
      </c>
      <c r="AZ86">
        <v>0</v>
      </c>
      <c r="BA86">
        <v>0</v>
      </c>
      <c r="BB86">
        <v>0</v>
      </c>
      <c r="BC86" t="s">
        <v>3078</v>
      </c>
      <c r="BD86" t="s">
        <v>4827</v>
      </c>
      <c r="BE86" t="s">
        <v>3</v>
      </c>
      <c r="BF86" t="s">
        <v>3</v>
      </c>
      <c r="BG86" t="s">
        <v>3</v>
      </c>
      <c r="BH86" t="s">
        <v>3</v>
      </c>
      <c r="BI86" t="s">
        <v>3</v>
      </c>
      <c r="BJ86" t="s">
        <v>4993</v>
      </c>
      <c r="BK86" t="s">
        <v>3</v>
      </c>
      <c r="BL86" t="s">
        <v>96</v>
      </c>
      <c r="BM86" t="s">
        <v>1</v>
      </c>
      <c r="BN86">
        <v>14800</v>
      </c>
      <c r="BO86" t="s">
        <v>1</v>
      </c>
      <c r="BP86" t="s">
        <v>1</v>
      </c>
      <c r="BQ86" t="s">
        <v>1</v>
      </c>
      <c r="BR86" t="s">
        <v>1</v>
      </c>
      <c r="BS86" t="s">
        <v>1</v>
      </c>
      <c r="BT86" t="s">
        <v>1</v>
      </c>
      <c r="BU86" t="s">
        <v>1</v>
      </c>
      <c r="BV86" t="s">
        <v>1</v>
      </c>
      <c r="BW86" t="s">
        <v>0</v>
      </c>
      <c r="BX86" t="s">
        <v>1</v>
      </c>
      <c r="BY86" t="s">
        <v>1</v>
      </c>
      <c r="BZ86" t="s">
        <v>1</v>
      </c>
      <c r="CA86" t="s">
        <v>1</v>
      </c>
      <c r="CB86" t="s">
        <v>1</v>
      </c>
      <c r="CD86" t="e" cm="1">
        <f t="array" aca="1" ref="CD86" ca="1">eConcatenar(A86:CB86,"|")</f>
        <v>#NAME?</v>
      </c>
    </row>
    <row r="87" spans="1:82" x14ac:dyDescent="0.25">
      <c r="A87" t="s">
        <v>182</v>
      </c>
      <c r="B87" t="s">
        <v>1189</v>
      </c>
      <c r="C87">
        <v>3</v>
      </c>
      <c r="D87" t="s">
        <v>2153</v>
      </c>
      <c r="E87" t="s">
        <v>2158</v>
      </c>
      <c r="F87" t="s">
        <v>2159</v>
      </c>
      <c r="G87" t="s">
        <v>2219</v>
      </c>
      <c r="H87" t="s">
        <v>2756</v>
      </c>
      <c r="I87">
        <v>14800</v>
      </c>
      <c r="J87">
        <v>0</v>
      </c>
      <c r="K87">
        <v>500</v>
      </c>
      <c r="L87">
        <v>50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 t="s">
        <v>3135</v>
      </c>
      <c r="AD87" t="s">
        <v>3275</v>
      </c>
      <c r="AE87" t="s">
        <v>4</v>
      </c>
      <c r="AF87" t="s">
        <v>1</v>
      </c>
      <c r="AG87" t="s">
        <v>1</v>
      </c>
      <c r="AH87" t="s">
        <v>4154</v>
      </c>
      <c r="AI87" t="s">
        <v>2219</v>
      </c>
      <c r="AJ87" t="s">
        <v>1</v>
      </c>
      <c r="AK87">
        <v>9331306583</v>
      </c>
      <c r="AL87" t="s">
        <v>1</v>
      </c>
      <c r="AM87" t="s">
        <v>1</v>
      </c>
      <c r="AN87" t="s">
        <v>1</v>
      </c>
      <c r="AO87" t="s">
        <v>4154</v>
      </c>
      <c r="AP87" t="s">
        <v>1</v>
      </c>
      <c r="AQ87" t="s">
        <v>2</v>
      </c>
      <c r="AR87" t="s">
        <v>1</v>
      </c>
      <c r="AS87" t="s">
        <v>1</v>
      </c>
      <c r="AT87" t="s">
        <v>1</v>
      </c>
      <c r="AU87" t="s">
        <v>1</v>
      </c>
      <c r="AV87" t="s">
        <v>1</v>
      </c>
      <c r="AW87" t="s">
        <v>9</v>
      </c>
      <c r="AX87">
        <f>Tabla1[[#This Row],[precio del paquete]]-Tabla1[[#This Row],[Saldo_Deudor]]</f>
        <v>1400</v>
      </c>
      <c r="AY87">
        <v>13400</v>
      </c>
      <c r="AZ87">
        <v>0</v>
      </c>
      <c r="BA87">
        <v>0</v>
      </c>
      <c r="BB87">
        <v>0</v>
      </c>
      <c r="BC87" t="s">
        <v>4826</v>
      </c>
      <c r="BD87" t="s">
        <v>2706</v>
      </c>
      <c r="BE87" t="s">
        <v>3</v>
      </c>
      <c r="BF87" t="s">
        <v>3</v>
      </c>
      <c r="BG87" t="s">
        <v>3</v>
      </c>
      <c r="BH87" t="s">
        <v>3</v>
      </c>
      <c r="BI87" t="s">
        <v>3</v>
      </c>
      <c r="BJ87" t="s">
        <v>5003</v>
      </c>
      <c r="BK87" t="s">
        <v>3</v>
      </c>
      <c r="BL87" t="s">
        <v>96</v>
      </c>
      <c r="BM87" t="s">
        <v>1</v>
      </c>
      <c r="BN87">
        <v>14800</v>
      </c>
      <c r="BO87" t="s">
        <v>1</v>
      </c>
      <c r="BP87" t="s">
        <v>1</v>
      </c>
      <c r="BQ87" t="s">
        <v>1</v>
      </c>
      <c r="BR87" t="s">
        <v>1</v>
      </c>
      <c r="BS87" t="s">
        <v>1</v>
      </c>
      <c r="BT87" t="s">
        <v>1</v>
      </c>
      <c r="BU87" t="s">
        <v>1</v>
      </c>
      <c r="BV87" t="s">
        <v>1</v>
      </c>
      <c r="BW87" t="s">
        <v>0</v>
      </c>
      <c r="BX87" t="s">
        <v>1</v>
      </c>
      <c r="BY87" t="s">
        <v>1</v>
      </c>
      <c r="BZ87" t="s">
        <v>1</v>
      </c>
      <c r="CA87" t="s">
        <v>1</v>
      </c>
      <c r="CB87" t="s">
        <v>1</v>
      </c>
      <c r="CD87" t="e" cm="1">
        <f t="array" aca="1" ref="CD87" ca="1">eConcatenar(A87:CB87,"|")</f>
        <v>#NAME?</v>
      </c>
    </row>
    <row r="88" spans="1:82" x14ac:dyDescent="0.25">
      <c r="A88" t="s">
        <v>183</v>
      </c>
      <c r="B88" t="s">
        <v>1190</v>
      </c>
      <c r="C88">
        <v>3</v>
      </c>
      <c r="D88" t="s">
        <v>2153</v>
      </c>
      <c r="E88" t="s">
        <v>2158</v>
      </c>
      <c r="F88" t="s">
        <v>2159</v>
      </c>
      <c r="G88" t="s">
        <v>2219</v>
      </c>
      <c r="H88" t="s">
        <v>2757</v>
      </c>
      <c r="I88">
        <v>14800</v>
      </c>
      <c r="J88">
        <v>0</v>
      </c>
      <c r="K88">
        <v>100</v>
      </c>
      <c r="L88">
        <v>50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t="s">
        <v>3276</v>
      </c>
      <c r="AC88" t="s">
        <v>3214</v>
      </c>
      <c r="AD88" t="s">
        <v>3277</v>
      </c>
      <c r="AE88" t="s">
        <v>4</v>
      </c>
      <c r="AF88" t="s">
        <v>1</v>
      </c>
      <c r="AG88" t="s">
        <v>1</v>
      </c>
      <c r="AH88" t="s">
        <v>2219</v>
      </c>
      <c r="AI88" t="s">
        <v>2219</v>
      </c>
      <c r="AJ88" t="s">
        <v>1</v>
      </c>
      <c r="AK88">
        <v>9331192893</v>
      </c>
      <c r="AL88" t="s">
        <v>1</v>
      </c>
      <c r="AM88" t="s">
        <v>1</v>
      </c>
      <c r="AN88" t="s">
        <v>1</v>
      </c>
      <c r="AO88" t="s">
        <v>2219</v>
      </c>
      <c r="AP88" t="s">
        <v>1</v>
      </c>
      <c r="AQ88" t="s">
        <v>2</v>
      </c>
      <c r="AR88" t="s">
        <v>1</v>
      </c>
      <c r="AS88" t="s">
        <v>1</v>
      </c>
      <c r="AT88" t="s">
        <v>1</v>
      </c>
      <c r="AU88" t="s">
        <v>1</v>
      </c>
      <c r="AV88" t="s">
        <v>1</v>
      </c>
      <c r="AW88" t="s">
        <v>9</v>
      </c>
      <c r="AX88">
        <f>Tabla1[[#This Row],[precio del paquete]]-Tabla1[[#This Row],[Saldo_Deudor]]</f>
        <v>1400</v>
      </c>
      <c r="AY88">
        <v>13400</v>
      </c>
      <c r="AZ88">
        <v>0</v>
      </c>
      <c r="BA88">
        <v>0</v>
      </c>
      <c r="BB88">
        <v>0</v>
      </c>
      <c r="BC88" t="s">
        <v>4826</v>
      </c>
      <c r="BD88" t="s">
        <v>2706</v>
      </c>
      <c r="BE88" t="s">
        <v>3</v>
      </c>
      <c r="BF88" t="s">
        <v>3</v>
      </c>
      <c r="BG88" t="s">
        <v>3</v>
      </c>
      <c r="BH88" t="s">
        <v>3</v>
      </c>
      <c r="BI88" t="s">
        <v>3</v>
      </c>
      <c r="BJ88" t="s">
        <v>4993</v>
      </c>
      <c r="BK88" t="s">
        <v>3</v>
      </c>
      <c r="BL88" t="s">
        <v>96</v>
      </c>
      <c r="BM88" t="s">
        <v>1</v>
      </c>
      <c r="BN88">
        <v>14800</v>
      </c>
      <c r="BO88" t="s">
        <v>1</v>
      </c>
      <c r="BP88" t="s">
        <v>1</v>
      </c>
      <c r="BQ88" t="s">
        <v>1</v>
      </c>
      <c r="BR88" t="s">
        <v>1</v>
      </c>
      <c r="BS88" t="s">
        <v>1</v>
      </c>
      <c r="BT88" t="s">
        <v>1</v>
      </c>
      <c r="BU88" t="s">
        <v>1</v>
      </c>
      <c r="BV88" t="s">
        <v>1</v>
      </c>
      <c r="BW88" t="s">
        <v>0</v>
      </c>
      <c r="BX88" t="s">
        <v>1</v>
      </c>
      <c r="BY88" t="s">
        <v>1</v>
      </c>
      <c r="BZ88" t="s">
        <v>1</v>
      </c>
      <c r="CA88" t="s">
        <v>1</v>
      </c>
      <c r="CB88" t="s">
        <v>1</v>
      </c>
      <c r="CD88" t="e" cm="1">
        <f t="array" aca="1" ref="CD88" ca="1">eConcatenar(A88:CB88,"|")</f>
        <v>#NAME?</v>
      </c>
    </row>
    <row r="89" spans="1:82" x14ac:dyDescent="0.25">
      <c r="A89" t="s">
        <v>184</v>
      </c>
      <c r="B89" t="s">
        <v>1191</v>
      </c>
      <c r="C89">
        <v>3</v>
      </c>
      <c r="D89" t="s">
        <v>2155</v>
      </c>
      <c r="E89" t="s">
        <v>2158</v>
      </c>
      <c r="F89" t="s">
        <v>0</v>
      </c>
      <c r="G89" t="s">
        <v>2220</v>
      </c>
      <c r="H89" t="s">
        <v>2758</v>
      </c>
      <c r="I89">
        <v>12900</v>
      </c>
      <c r="J89">
        <v>0</v>
      </c>
      <c r="K89">
        <v>200</v>
      </c>
      <c r="L89">
        <v>50</v>
      </c>
      <c r="M89">
        <v>1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 t="s">
        <v>3278</v>
      </c>
      <c r="AC89" t="s">
        <v>3117</v>
      </c>
      <c r="AD89" t="s">
        <v>3279</v>
      </c>
      <c r="AE89" t="s">
        <v>4</v>
      </c>
      <c r="AF89" t="s">
        <v>1</v>
      </c>
      <c r="AG89" t="s">
        <v>1</v>
      </c>
      <c r="AH89" t="s">
        <v>4155</v>
      </c>
      <c r="AI89" t="s">
        <v>2220</v>
      </c>
      <c r="AJ89" t="s">
        <v>1</v>
      </c>
      <c r="AK89">
        <v>9371707785</v>
      </c>
      <c r="AL89" t="s">
        <v>1</v>
      </c>
      <c r="AM89" t="s">
        <v>1</v>
      </c>
      <c r="AN89" t="s">
        <v>1</v>
      </c>
      <c r="AO89" t="s">
        <v>4155</v>
      </c>
      <c r="AP89" t="s">
        <v>1</v>
      </c>
      <c r="AQ89" t="s">
        <v>2</v>
      </c>
      <c r="AR89" t="s">
        <v>1</v>
      </c>
      <c r="AS89" t="s">
        <v>1</v>
      </c>
      <c r="AT89" t="s">
        <v>1</v>
      </c>
      <c r="AU89" t="s">
        <v>1</v>
      </c>
      <c r="AV89" t="s">
        <v>1</v>
      </c>
      <c r="AW89" t="s">
        <v>9</v>
      </c>
      <c r="AX89">
        <f>Tabla1[[#This Row],[precio del paquete]]-Tabla1[[#This Row],[Saldo_Deudor]]</f>
        <v>3800</v>
      </c>
      <c r="AY89">
        <v>9100</v>
      </c>
      <c r="AZ89">
        <v>0</v>
      </c>
      <c r="BA89">
        <v>0</v>
      </c>
      <c r="BB89">
        <v>0</v>
      </c>
      <c r="BC89" t="s">
        <v>2875</v>
      </c>
      <c r="BD89" t="s">
        <v>4912</v>
      </c>
      <c r="BE89" t="s">
        <v>3</v>
      </c>
      <c r="BF89" t="s">
        <v>3</v>
      </c>
      <c r="BG89" t="s">
        <v>3</v>
      </c>
      <c r="BH89" t="s">
        <v>3</v>
      </c>
      <c r="BI89" t="s">
        <v>3</v>
      </c>
      <c r="BJ89" t="s">
        <v>4993</v>
      </c>
      <c r="BK89" t="s">
        <v>3</v>
      </c>
      <c r="BL89" t="s">
        <v>96</v>
      </c>
      <c r="BM89" t="s">
        <v>1</v>
      </c>
      <c r="BN89">
        <v>12900</v>
      </c>
      <c r="BO89" t="s">
        <v>1</v>
      </c>
      <c r="BP89" t="s">
        <v>1</v>
      </c>
      <c r="BQ89" t="s">
        <v>1</v>
      </c>
      <c r="BR89" t="s">
        <v>1</v>
      </c>
      <c r="BS89" t="s">
        <v>1</v>
      </c>
      <c r="BT89" t="s">
        <v>1</v>
      </c>
      <c r="BU89" t="s">
        <v>1</v>
      </c>
      <c r="BV89" t="s">
        <v>1</v>
      </c>
      <c r="BW89" t="s">
        <v>0</v>
      </c>
      <c r="BX89" t="s">
        <v>1</v>
      </c>
      <c r="BY89" t="s">
        <v>1</v>
      </c>
      <c r="BZ89" t="s">
        <v>1</v>
      </c>
      <c r="CA89" t="s">
        <v>1</v>
      </c>
      <c r="CB89" t="s">
        <v>1</v>
      </c>
      <c r="CD89" t="e" cm="1">
        <f t="array" aca="1" ref="CD89" ca="1">eConcatenar(A89:CB89,"|")</f>
        <v>#NAME?</v>
      </c>
    </row>
    <row r="90" spans="1:82" x14ac:dyDescent="0.25">
      <c r="A90" t="s">
        <v>185</v>
      </c>
      <c r="B90" t="s">
        <v>1192</v>
      </c>
      <c r="C90">
        <v>3</v>
      </c>
      <c r="D90" t="s">
        <v>2153</v>
      </c>
      <c r="E90" t="s">
        <v>2158</v>
      </c>
      <c r="F90" t="s">
        <v>0</v>
      </c>
      <c r="G90" t="s">
        <v>2221</v>
      </c>
      <c r="H90" t="s">
        <v>2699</v>
      </c>
      <c r="I90">
        <v>14800</v>
      </c>
      <c r="J90">
        <v>0</v>
      </c>
      <c r="K90">
        <v>100</v>
      </c>
      <c r="L90">
        <v>50</v>
      </c>
      <c r="M90">
        <v>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 t="s">
        <v>3236</v>
      </c>
      <c r="AC90" t="s">
        <v>3280</v>
      </c>
      <c r="AD90" t="s">
        <v>3281</v>
      </c>
      <c r="AE90" t="s">
        <v>4</v>
      </c>
      <c r="AF90" t="s">
        <v>1</v>
      </c>
      <c r="AG90" t="s">
        <v>1</v>
      </c>
      <c r="AH90" t="s">
        <v>4156</v>
      </c>
      <c r="AI90" t="s">
        <v>2221</v>
      </c>
      <c r="AJ90" t="s">
        <v>1</v>
      </c>
      <c r="AK90">
        <v>9371677762</v>
      </c>
      <c r="AL90" t="s">
        <v>1</v>
      </c>
      <c r="AM90" t="s">
        <v>1</v>
      </c>
      <c r="AN90" t="s">
        <v>1</v>
      </c>
      <c r="AO90" t="s">
        <v>4156</v>
      </c>
      <c r="AP90" t="s">
        <v>1</v>
      </c>
      <c r="AQ90" t="s">
        <v>2</v>
      </c>
      <c r="AR90" t="s">
        <v>1</v>
      </c>
      <c r="AS90" t="s">
        <v>1</v>
      </c>
      <c r="AT90" t="s">
        <v>1</v>
      </c>
      <c r="AU90" t="s">
        <v>1</v>
      </c>
      <c r="AV90" t="s">
        <v>1</v>
      </c>
      <c r="AW90" t="s">
        <v>9</v>
      </c>
      <c r="AX90">
        <f>Tabla1[[#This Row],[precio del paquete]]-Tabla1[[#This Row],[Saldo_Deudor]]</f>
        <v>500</v>
      </c>
      <c r="AY90">
        <v>14300</v>
      </c>
      <c r="AZ90">
        <v>0</v>
      </c>
      <c r="BA90">
        <v>0</v>
      </c>
      <c r="BB90">
        <v>0</v>
      </c>
      <c r="BC90" t="s">
        <v>2916</v>
      </c>
      <c r="BD90" t="s">
        <v>4896</v>
      </c>
      <c r="BE90" t="s">
        <v>3</v>
      </c>
      <c r="BF90" t="s">
        <v>3</v>
      </c>
      <c r="BG90" t="s">
        <v>3</v>
      </c>
      <c r="BH90" t="s">
        <v>3</v>
      </c>
      <c r="BI90" t="s">
        <v>3</v>
      </c>
      <c r="BJ90" t="s">
        <v>4985</v>
      </c>
      <c r="BK90" t="s">
        <v>3</v>
      </c>
      <c r="BL90" t="s">
        <v>96</v>
      </c>
      <c r="BM90" t="s">
        <v>1</v>
      </c>
      <c r="BN90">
        <v>14800</v>
      </c>
      <c r="BO90" t="s">
        <v>1</v>
      </c>
      <c r="BP90" t="s">
        <v>1</v>
      </c>
      <c r="BQ90" t="s">
        <v>1</v>
      </c>
      <c r="BR90" t="s">
        <v>1</v>
      </c>
      <c r="BS90" t="s">
        <v>1</v>
      </c>
      <c r="BT90" t="s">
        <v>1</v>
      </c>
      <c r="BU90" t="s">
        <v>1</v>
      </c>
      <c r="BV90" t="s">
        <v>1</v>
      </c>
      <c r="BW90" t="s">
        <v>0</v>
      </c>
      <c r="BX90" t="s">
        <v>1</v>
      </c>
      <c r="BY90" t="s">
        <v>1</v>
      </c>
      <c r="BZ90" t="s">
        <v>1</v>
      </c>
      <c r="CA90" t="s">
        <v>1</v>
      </c>
      <c r="CB90" t="s">
        <v>1</v>
      </c>
      <c r="CD90" t="e" cm="1">
        <f t="array" aca="1" ref="CD90" ca="1">eConcatenar(A90:CB90,"|")</f>
        <v>#NAME?</v>
      </c>
    </row>
    <row r="91" spans="1:82" x14ac:dyDescent="0.25">
      <c r="A91" t="s">
        <v>186</v>
      </c>
      <c r="B91" t="s">
        <v>1193</v>
      </c>
      <c r="C91">
        <v>3</v>
      </c>
      <c r="D91" t="s">
        <v>2153</v>
      </c>
      <c r="E91" t="s">
        <v>2158</v>
      </c>
      <c r="F91" t="s">
        <v>0</v>
      </c>
      <c r="G91" t="s">
        <v>2222</v>
      </c>
      <c r="H91" t="s">
        <v>2699</v>
      </c>
      <c r="I91">
        <v>14800</v>
      </c>
      <c r="J91">
        <v>0</v>
      </c>
      <c r="K91">
        <v>50</v>
      </c>
      <c r="L91">
        <v>50</v>
      </c>
      <c r="M91">
        <v>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 t="s">
        <v>3115</v>
      </c>
      <c r="AC91" t="s">
        <v>3114</v>
      </c>
      <c r="AD91" t="s">
        <v>3282</v>
      </c>
      <c r="AE91" t="s">
        <v>4</v>
      </c>
      <c r="AF91" t="s">
        <v>1</v>
      </c>
      <c r="AG91" t="s">
        <v>1</v>
      </c>
      <c r="AH91" t="s">
        <v>4157</v>
      </c>
      <c r="AI91" t="s">
        <v>2222</v>
      </c>
      <c r="AJ91" t="s">
        <v>1</v>
      </c>
      <c r="AK91">
        <v>9371328299</v>
      </c>
      <c r="AL91" t="s">
        <v>1</v>
      </c>
      <c r="AM91" t="s">
        <v>1</v>
      </c>
      <c r="AN91" t="s">
        <v>1</v>
      </c>
      <c r="AO91" t="s">
        <v>4157</v>
      </c>
      <c r="AP91" t="s">
        <v>1</v>
      </c>
      <c r="AQ91" t="s">
        <v>2</v>
      </c>
      <c r="AR91" t="s">
        <v>1</v>
      </c>
      <c r="AS91" t="s">
        <v>1</v>
      </c>
      <c r="AT91" t="s">
        <v>1</v>
      </c>
      <c r="AU91" t="s">
        <v>1</v>
      </c>
      <c r="AV91" t="s">
        <v>1</v>
      </c>
      <c r="AW91" t="s">
        <v>9</v>
      </c>
      <c r="AX91">
        <f>Tabla1[[#This Row],[precio del paquete]]-Tabla1[[#This Row],[Saldo_Deudor]]</f>
        <v>50</v>
      </c>
      <c r="AY91">
        <v>14750</v>
      </c>
      <c r="AZ91">
        <v>0</v>
      </c>
      <c r="BA91">
        <v>0</v>
      </c>
      <c r="BB91">
        <v>0</v>
      </c>
      <c r="BC91" t="s">
        <v>2699</v>
      </c>
      <c r="BD91" t="s">
        <v>4854</v>
      </c>
      <c r="BE91" t="s">
        <v>3</v>
      </c>
      <c r="BF91" t="s">
        <v>3</v>
      </c>
      <c r="BG91" t="s">
        <v>3</v>
      </c>
      <c r="BH91" t="s">
        <v>3</v>
      </c>
      <c r="BI91" t="s">
        <v>3</v>
      </c>
      <c r="BJ91" t="s">
        <v>4985</v>
      </c>
      <c r="BK91" t="s">
        <v>3</v>
      </c>
      <c r="BL91" t="s">
        <v>96</v>
      </c>
      <c r="BM91" t="s">
        <v>1</v>
      </c>
      <c r="BN91">
        <v>14800</v>
      </c>
      <c r="BO91" t="s">
        <v>1</v>
      </c>
      <c r="BP91" t="s">
        <v>1</v>
      </c>
      <c r="BQ91" t="s">
        <v>1</v>
      </c>
      <c r="BR91" t="s">
        <v>1</v>
      </c>
      <c r="BS91" t="s">
        <v>1</v>
      </c>
      <c r="BT91" t="s">
        <v>1</v>
      </c>
      <c r="BU91" t="s">
        <v>1</v>
      </c>
      <c r="BV91" t="s">
        <v>1</v>
      </c>
      <c r="BW91" t="s">
        <v>0</v>
      </c>
      <c r="BX91" t="s">
        <v>1</v>
      </c>
      <c r="BY91" t="s">
        <v>1</v>
      </c>
      <c r="BZ91" t="s">
        <v>1</v>
      </c>
      <c r="CA91" t="s">
        <v>1</v>
      </c>
      <c r="CB91" t="s">
        <v>1</v>
      </c>
      <c r="CD91" t="e" cm="1">
        <f t="array" aca="1" ref="CD91" ca="1">eConcatenar(A91:CB91,"|")</f>
        <v>#NAME?</v>
      </c>
    </row>
    <row r="92" spans="1:82" x14ac:dyDescent="0.25">
      <c r="A92" t="s">
        <v>187</v>
      </c>
      <c r="B92" t="s">
        <v>1194</v>
      </c>
      <c r="C92">
        <v>3</v>
      </c>
      <c r="D92" t="s">
        <v>2157</v>
      </c>
      <c r="E92" t="s">
        <v>2158</v>
      </c>
      <c r="F92" t="s">
        <v>0</v>
      </c>
      <c r="G92" t="s">
        <v>2223</v>
      </c>
      <c r="H92" t="s">
        <v>2706</v>
      </c>
      <c r="I92">
        <v>12900</v>
      </c>
      <c r="J92">
        <v>0</v>
      </c>
      <c r="K92">
        <v>50</v>
      </c>
      <c r="L92">
        <v>50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 t="s">
        <v>3117</v>
      </c>
      <c r="AC92" t="s">
        <v>3141</v>
      </c>
      <c r="AD92" t="s">
        <v>3283</v>
      </c>
      <c r="AE92" t="s">
        <v>4</v>
      </c>
      <c r="AF92" t="s">
        <v>1</v>
      </c>
      <c r="AG92" t="s">
        <v>1</v>
      </c>
      <c r="AH92" t="s">
        <v>4097</v>
      </c>
      <c r="AI92" t="s">
        <v>2223</v>
      </c>
      <c r="AJ92" t="s">
        <v>1</v>
      </c>
      <c r="AK92" t="s">
        <v>1</v>
      </c>
      <c r="AL92" t="s">
        <v>1</v>
      </c>
      <c r="AM92" t="s">
        <v>1</v>
      </c>
      <c r="AN92" t="s">
        <v>1</v>
      </c>
      <c r="AO92" t="s">
        <v>4097</v>
      </c>
      <c r="AP92" t="s">
        <v>1</v>
      </c>
      <c r="AQ92" t="s">
        <v>2</v>
      </c>
      <c r="AR92" t="s">
        <v>1</v>
      </c>
      <c r="AS92" t="s">
        <v>1</v>
      </c>
      <c r="AT92" t="s">
        <v>1</v>
      </c>
      <c r="AU92" t="s">
        <v>1</v>
      </c>
      <c r="AV92" t="s">
        <v>1</v>
      </c>
      <c r="AW92" t="s">
        <v>9</v>
      </c>
      <c r="AX92">
        <f>Tabla1[[#This Row],[precio del paquete]]-Tabla1[[#This Row],[Saldo_Deudor]]</f>
        <v>7800</v>
      </c>
      <c r="AY92">
        <v>5100</v>
      </c>
      <c r="AZ92">
        <v>0</v>
      </c>
      <c r="BA92">
        <v>0</v>
      </c>
      <c r="BB92">
        <v>0</v>
      </c>
      <c r="BC92" t="s">
        <v>3061</v>
      </c>
      <c r="BD92" t="s">
        <v>3040</v>
      </c>
      <c r="BE92" t="s">
        <v>3</v>
      </c>
      <c r="BF92" t="s">
        <v>3</v>
      </c>
      <c r="BG92" t="s">
        <v>3</v>
      </c>
      <c r="BH92" t="s">
        <v>3</v>
      </c>
      <c r="BI92" t="s">
        <v>3</v>
      </c>
      <c r="BJ92" t="s">
        <v>4985</v>
      </c>
      <c r="BK92" t="s">
        <v>3</v>
      </c>
      <c r="BL92" t="s">
        <v>96</v>
      </c>
      <c r="BM92" t="s">
        <v>1</v>
      </c>
      <c r="BN92">
        <v>12900</v>
      </c>
      <c r="BO92" t="s">
        <v>1</v>
      </c>
      <c r="BP92" t="s">
        <v>1</v>
      </c>
      <c r="BQ92" t="s">
        <v>1</v>
      </c>
      <c r="BR92" t="s">
        <v>1</v>
      </c>
      <c r="BS92" t="s">
        <v>1</v>
      </c>
      <c r="BT92" t="s">
        <v>1</v>
      </c>
      <c r="BU92" t="s">
        <v>1</v>
      </c>
      <c r="BV92" t="s">
        <v>1</v>
      </c>
      <c r="BW92" t="s">
        <v>0</v>
      </c>
      <c r="BX92" t="s">
        <v>1</v>
      </c>
      <c r="BY92" t="s">
        <v>1</v>
      </c>
      <c r="BZ92" t="s">
        <v>1</v>
      </c>
      <c r="CA92" t="s">
        <v>1</v>
      </c>
      <c r="CB92" t="s">
        <v>1</v>
      </c>
      <c r="CD92" t="e" cm="1">
        <f t="array" aca="1" ref="CD92" ca="1">eConcatenar(A92:CB92,"|")</f>
        <v>#NAME?</v>
      </c>
    </row>
    <row r="93" spans="1:82" x14ac:dyDescent="0.25">
      <c r="A93" t="s">
        <v>188</v>
      </c>
      <c r="B93" t="s">
        <v>1195</v>
      </c>
      <c r="C93">
        <v>3</v>
      </c>
      <c r="D93" t="s">
        <v>2153</v>
      </c>
      <c r="E93" t="s">
        <v>2158</v>
      </c>
      <c r="F93" t="s">
        <v>2159</v>
      </c>
      <c r="G93" t="s">
        <v>2224</v>
      </c>
      <c r="H93" t="s">
        <v>2759</v>
      </c>
      <c r="I93">
        <v>14800</v>
      </c>
      <c r="J93">
        <v>0</v>
      </c>
      <c r="K93">
        <v>200</v>
      </c>
      <c r="L93">
        <v>50</v>
      </c>
      <c r="M93">
        <v>1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 t="s">
        <v>3284</v>
      </c>
      <c r="AC93" t="s">
        <v>3132</v>
      </c>
      <c r="AD93" t="s">
        <v>3285</v>
      </c>
      <c r="AE93" t="s">
        <v>4</v>
      </c>
      <c r="AF93" t="s">
        <v>1</v>
      </c>
      <c r="AG93" t="s">
        <v>1</v>
      </c>
      <c r="AH93" t="s">
        <v>4158</v>
      </c>
      <c r="AI93" t="s">
        <v>2224</v>
      </c>
      <c r="AJ93" t="s">
        <v>1</v>
      </c>
      <c r="AK93">
        <v>9331044253</v>
      </c>
      <c r="AL93" t="s">
        <v>1</v>
      </c>
      <c r="AM93" t="s">
        <v>1</v>
      </c>
      <c r="AN93" t="s">
        <v>1</v>
      </c>
      <c r="AO93" t="s">
        <v>4158</v>
      </c>
      <c r="AP93" t="s">
        <v>1</v>
      </c>
      <c r="AQ93" t="s">
        <v>2</v>
      </c>
      <c r="AR93" t="s">
        <v>1</v>
      </c>
      <c r="AS93" t="s">
        <v>1</v>
      </c>
      <c r="AT93" t="s">
        <v>1</v>
      </c>
      <c r="AU93" t="s">
        <v>1</v>
      </c>
      <c r="AV93" t="s">
        <v>1</v>
      </c>
      <c r="AW93" t="s">
        <v>9</v>
      </c>
      <c r="AX93">
        <f>Tabla1[[#This Row],[precio del paquete]]-Tabla1[[#This Row],[Saldo_Deudor]]</f>
        <v>8580</v>
      </c>
      <c r="AY93">
        <v>6220</v>
      </c>
      <c r="AZ93">
        <v>0</v>
      </c>
      <c r="BA93">
        <v>0</v>
      </c>
      <c r="BB93">
        <v>0</v>
      </c>
      <c r="BC93" t="s">
        <v>4833</v>
      </c>
      <c r="BD93" t="s">
        <v>4913</v>
      </c>
      <c r="BE93" t="s">
        <v>3</v>
      </c>
      <c r="BF93" t="s">
        <v>3</v>
      </c>
      <c r="BG93" t="s">
        <v>3</v>
      </c>
      <c r="BH93" t="s">
        <v>3</v>
      </c>
      <c r="BI93" t="s">
        <v>3</v>
      </c>
      <c r="BJ93" t="s">
        <v>5004</v>
      </c>
      <c r="BK93" t="s">
        <v>3</v>
      </c>
      <c r="BL93" t="s">
        <v>96</v>
      </c>
      <c r="BM93" t="s">
        <v>1</v>
      </c>
      <c r="BN93">
        <v>14800</v>
      </c>
      <c r="BO93" t="s">
        <v>1</v>
      </c>
      <c r="BP93" t="s">
        <v>1</v>
      </c>
      <c r="BQ93" t="s">
        <v>1</v>
      </c>
      <c r="BR93" t="s">
        <v>1</v>
      </c>
      <c r="BS93" t="s">
        <v>1</v>
      </c>
      <c r="BT93" t="s">
        <v>1</v>
      </c>
      <c r="BU93" t="s">
        <v>1</v>
      </c>
      <c r="BV93" t="s">
        <v>1</v>
      </c>
      <c r="BW93" t="s">
        <v>0</v>
      </c>
      <c r="BX93" t="s">
        <v>1</v>
      </c>
      <c r="BY93" t="s">
        <v>1</v>
      </c>
      <c r="BZ93" t="s">
        <v>1</v>
      </c>
      <c r="CA93" t="s">
        <v>1</v>
      </c>
      <c r="CB93" t="s">
        <v>1</v>
      </c>
      <c r="CD93" t="e" cm="1">
        <f t="array" aca="1" ref="CD93" ca="1">eConcatenar(A93:CB93,"|")</f>
        <v>#NAME?</v>
      </c>
    </row>
    <row r="94" spans="1:82" x14ac:dyDescent="0.25">
      <c r="A94" t="s">
        <v>189</v>
      </c>
      <c r="B94" t="s">
        <v>1196</v>
      </c>
      <c r="C94">
        <v>3</v>
      </c>
      <c r="D94" t="s">
        <v>2153</v>
      </c>
      <c r="E94" t="s">
        <v>2158</v>
      </c>
      <c r="F94" t="s">
        <v>0</v>
      </c>
      <c r="G94" t="s">
        <v>2225</v>
      </c>
      <c r="H94" t="s">
        <v>2760</v>
      </c>
      <c r="I94">
        <v>14800</v>
      </c>
      <c r="J94">
        <v>0</v>
      </c>
      <c r="K94">
        <v>100</v>
      </c>
      <c r="L94">
        <v>50</v>
      </c>
      <c r="M94">
        <v>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 t="s">
        <v>3168</v>
      </c>
      <c r="AC94" t="s">
        <v>3177</v>
      </c>
      <c r="AD94" t="s">
        <v>3286</v>
      </c>
      <c r="AE94" t="s">
        <v>4</v>
      </c>
      <c r="AF94" t="s">
        <v>1</v>
      </c>
      <c r="AG94" t="s">
        <v>1</v>
      </c>
      <c r="AH94" t="s">
        <v>4097</v>
      </c>
      <c r="AI94" t="s">
        <v>2225</v>
      </c>
      <c r="AJ94" t="s">
        <v>1</v>
      </c>
      <c r="AK94">
        <v>9933715538</v>
      </c>
      <c r="AL94" t="s">
        <v>1</v>
      </c>
      <c r="AM94" t="s">
        <v>1</v>
      </c>
      <c r="AN94" t="s">
        <v>1</v>
      </c>
      <c r="AO94" t="s">
        <v>4097</v>
      </c>
      <c r="AP94" t="s">
        <v>1</v>
      </c>
      <c r="AQ94" t="s">
        <v>2</v>
      </c>
      <c r="AR94" t="s">
        <v>1</v>
      </c>
      <c r="AS94" t="s">
        <v>1</v>
      </c>
      <c r="AT94" t="s">
        <v>1</v>
      </c>
      <c r="AU94" t="s">
        <v>1</v>
      </c>
      <c r="AV94" t="s">
        <v>1</v>
      </c>
      <c r="AW94" t="s">
        <v>9</v>
      </c>
      <c r="AX94">
        <f>Tabla1[[#This Row],[precio del paquete]]-Tabla1[[#This Row],[Saldo_Deudor]]</f>
        <v>1300</v>
      </c>
      <c r="AY94">
        <v>13500</v>
      </c>
      <c r="AZ94">
        <v>0</v>
      </c>
      <c r="BA94">
        <v>0</v>
      </c>
      <c r="BB94">
        <v>0</v>
      </c>
      <c r="BC94" t="s">
        <v>2906</v>
      </c>
      <c r="BD94" t="s">
        <v>4898</v>
      </c>
      <c r="BE94" t="s">
        <v>3</v>
      </c>
      <c r="BF94" t="s">
        <v>3</v>
      </c>
      <c r="BG94" t="s">
        <v>3</v>
      </c>
      <c r="BH94" t="s">
        <v>3</v>
      </c>
      <c r="BI94" t="s">
        <v>3</v>
      </c>
      <c r="BJ94" t="s">
        <v>5005</v>
      </c>
      <c r="BK94" t="s">
        <v>3</v>
      </c>
      <c r="BL94" t="s">
        <v>96</v>
      </c>
      <c r="BM94" t="s">
        <v>1</v>
      </c>
      <c r="BN94">
        <v>14800</v>
      </c>
      <c r="BO94" t="s">
        <v>1</v>
      </c>
      <c r="BP94" t="s">
        <v>1</v>
      </c>
      <c r="BQ94" t="s">
        <v>1</v>
      </c>
      <c r="BR94" t="s">
        <v>1</v>
      </c>
      <c r="BS94" t="s">
        <v>1</v>
      </c>
      <c r="BT94" t="s">
        <v>1</v>
      </c>
      <c r="BU94" t="s">
        <v>1</v>
      </c>
      <c r="BV94" t="s">
        <v>1</v>
      </c>
      <c r="BW94" t="s">
        <v>0</v>
      </c>
      <c r="BX94" t="s">
        <v>1</v>
      </c>
      <c r="BY94" t="s">
        <v>1</v>
      </c>
      <c r="BZ94" t="s">
        <v>1</v>
      </c>
      <c r="CA94" t="s">
        <v>1</v>
      </c>
      <c r="CB94" t="s">
        <v>1</v>
      </c>
      <c r="CD94" t="e" cm="1">
        <f t="array" aca="1" ref="CD94" ca="1">eConcatenar(A94:CB94,"|")</f>
        <v>#NAME?</v>
      </c>
    </row>
    <row r="95" spans="1:82" x14ac:dyDescent="0.25">
      <c r="A95" t="s">
        <v>190</v>
      </c>
      <c r="B95" t="s">
        <v>1197</v>
      </c>
      <c r="C95">
        <v>3</v>
      </c>
      <c r="D95" t="s">
        <v>2157</v>
      </c>
      <c r="E95" t="s">
        <v>2158</v>
      </c>
      <c r="F95" t="s">
        <v>2159</v>
      </c>
      <c r="G95" t="s">
        <v>2226</v>
      </c>
      <c r="H95" t="s">
        <v>2761</v>
      </c>
      <c r="I95">
        <v>12900</v>
      </c>
      <c r="J95">
        <v>0</v>
      </c>
      <c r="K95">
        <v>100</v>
      </c>
      <c r="L95">
        <v>50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 t="s">
        <v>3193</v>
      </c>
      <c r="AC95" t="s">
        <v>3270</v>
      </c>
      <c r="AD95" t="s">
        <v>3287</v>
      </c>
      <c r="AE95" t="s">
        <v>4</v>
      </c>
      <c r="AF95" t="s">
        <v>1</v>
      </c>
      <c r="AG95" t="s">
        <v>1</v>
      </c>
      <c r="AH95" t="s">
        <v>4159</v>
      </c>
      <c r="AI95" t="s">
        <v>2226</v>
      </c>
      <c r="AJ95" t="s">
        <v>1</v>
      </c>
      <c r="AK95">
        <v>9332076409</v>
      </c>
      <c r="AL95" t="s">
        <v>1</v>
      </c>
      <c r="AM95" t="s">
        <v>1</v>
      </c>
      <c r="AN95" t="s">
        <v>1</v>
      </c>
      <c r="AO95" t="s">
        <v>4159</v>
      </c>
      <c r="AP95" t="s">
        <v>1</v>
      </c>
      <c r="AQ95" t="s">
        <v>2</v>
      </c>
      <c r="AR95" t="s">
        <v>1</v>
      </c>
      <c r="AS95" t="s">
        <v>1</v>
      </c>
      <c r="AT95" t="s">
        <v>1</v>
      </c>
      <c r="AU95" t="s">
        <v>1</v>
      </c>
      <c r="AV95" t="s">
        <v>1</v>
      </c>
      <c r="AW95" t="s">
        <v>9</v>
      </c>
      <c r="AX95">
        <f>Tabla1[[#This Row],[precio del paquete]]-Tabla1[[#This Row],[Saldo_Deudor]]</f>
        <v>6200</v>
      </c>
      <c r="AY95">
        <v>6700</v>
      </c>
      <c r="AZ95">
        <v>0</v>
      </c>
      <c r="BA95">
        <v>0</v>
      </c>
      <c r="BB95">
        <v>0</v>
      </c>
      <c r="BC95" t="s">
        <v>4826</v>
      </c>
      <c r="BD95" t="s">
        <v>2706</v>
      </c>
      <c r="BE95" t="s">
        <v>3</v>
      </c>
      <c r="BF95" t="s">
        <v>3</v>
      </c>
      <c r="BG95" t="s">
        <v>3</v>
      </c>
      <c r="BH95" t="s">
        <v>3</v>
      </c>
      <c r="BI95" t="s">
        <v>3</v>
      </c>
      <c r="BJ95" t="s">
        <v>4985</v>
      </c>
      <c r="BK95" t="s">
        <v>3</v>
      </c>
      <c r="BL95" t="s">
        <v>96</v>
      </c>
      <c r="BM95" t="s">
        <v>1</v>
      </c>
      <c r="BN95">
        <v>12900</v>
      </c>
      <c r="BO95" t="s">
        <v>1</v>
      </c>
      <c r="BP95" t="s">
        <v>1</v>
      </c>
      <c r="BQ95" t="s">
        <v>1</v>
      </c>
      <c r="BR95" t="s">
        <v>1</v>
      </c>
      <c r="BS95" t="s">
        <v>1</v>
      </c>
      <c r="BT95" t="s">
        <v>1</v>
      </c>
      <c r="BU95" t="s">
        <v>1</v>
      </c>
      <c r="BV95" t="s">
        <v>1</v>
      </c>
      <c r="BW95" t="s">
        <v>0</v>
      </c>
      <c r="BX95" t="s">
        <v>1</v>
      </c>
      <c r="BY95" t="s">
        <v>1</v>
      </c>
      <c r="BZ95" t="s">
        <v>1</v>
      </c>
      <c r="CA95" t="s">
        <v>1</v>
      </c>
      <c r="CB95" t="s">
        <v>1</v>
      </c>
      <c r="CD95" t="e" cm="1">
        <f t="array" aca="1" ref="CD95" ca="1">eConcatenar(A95:CB95,"|")</f>
        <v>#NAME?</v>
      </c>
    </row>
    <row r="96" spans="1:82" x14ac:dyDescent="0.25">
      <c r="A96" t="s">
        <v>191</v>
      </c>
      <c r="B96" t="s">
        <v>1198</v>
      </c>
      <c r="C96">
        <v>3</v>
      </c>
      <c r="D96" t="s">
        <v>2157</v>
      </c>
      <c r="E96" t="s">
        <v>2158</v>
      </c>
      <c r="F96" t="s">
        <v>0</v>
      </c>
      <c r="G96" t="s">
        <v>2227</v>
      </c>
      <c r="H96" t="s">
        <v>2762</v>
      </c>
      <c r="I96">
        <v>12900</v>
      </c>
      <c r="J96">
        <v>0</v>
      </c>
      <c r="K96">
        <v>100</v>
      </c>
      <c r="L96">
        <v>50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 t="s">
        <v>3288</v>
      </c>
      <c r="AC96" t="s">
        <v>3117</v>
      </c>
      <c r="AD96" t="s">
        <v>3289</v>
      </c>
      <c r="AE96" t="s">
        <v>4</v>
      </c>
      <c r="AF96" t="s">
        <v>1</v>
      </c>
      <c r="AG96" t="s">
        <v>1</v>
      </c>
      <c r="AH96" t="s">
        <v>4160</v>
      </c>
      <c r="AI96" t="s">
        <v>2227</v>
      </c>
      <c r="AJ96" t="s">
        <v>1</v>
      </c>
      <c r="AK96" t="s">
        <v>1</v>
      </c>
      <c r="AL96" t="s">
        <v>1</v>
      </c>
      <c r="AM96" t="s">
        <v>1</v>
      </c>
      <c r="AN96" t="s">
        <v>1</v>
      </c>
      <c r="AO96" t="s">
        <v>4160</v>
      </c>
      <c r="AP96" t="s">
        <v>1</v>
      </c>
      <c r="AQ96" t="s">
        <v>2</v>
      </c>
      <c r="AR96" t="s">
        <v>1</v>
      </c>
      <c r="AS96" t="s">
        <v>1</v>
      </c>
      <c r="AT96" t="s">
        <v>1</v>
      </c>
      <c r="AU96" t="s">
        <v>1</v>
      </c>
      <c r="AV96" t="s">
        <v>1</v>
      </c>
      <c r="AW96" t="s">
        <v>9</v>
      </c>
      <c r="AX96">
        <f>Tabla1[[#This Row],[precio del paquete]]-Tabla1[[#This Row],[Saldo_Deudor]]</f>
        <v>10000</v>
      </c>
      <c r="AY96">
        <v>2900</v>
      </c>
      <c r="AZ96">
        <v>0</v>
      </c>
      <c r="BA96">
        <v>0</v>
      </c>
      <c r="BB96">
        <v>0</v>
      </c>
      <c r="BC96" t="s">
        <v>3040</v>
      </c>
      <c r="BD96" t="s">
        <v>4914</v>
      </c>
      <c r="BE96" t="s">
        <v>3</v>
      </c>
      <c r="BF96" t="s">
        <v>3</v>
      </c>
      <c r="BG96" t="s">
        <v>3</v>
      </c>
      <c r="BH96" t="s">
        <v>3</v>
      </c>
      <c r="BI96" t="s">
        <v>3</v>
      </c>
      <c r="BJ96" t="s">
        <v>5003</v>
      </c>
      <c r="BK96" t="s">
        <v>3</v>
      </c>
      <c r="BL96" t="s">
        <v>96</v>
      </c>
      <c r="BM96" t="s">
        <v>1</v>
      </c>
      <c r="BN96">
        <v>12900</v>
      </c>
      <c r="BO96" t="s">
        <v>1</v>
      </c>
      <c r="BP96" t="s">
        <v>1</v>
      </c>
      <c r="BQ96" t="s">
        <v>1</v>
      </c>
      <c r="BR96" t="s">
        <v>1</v>
      </c>
      <c r="BS96" t="s">
        <v>1</v>
      </c>
      <c r="BT96" t="s">
        <v>1</v>
      </c>
      <c r="BU96" t="s">
        <v>1</v>
      </c>
      <c r="BV96" t="s">
        <v>1</v>
      </c>
      <c r="BW96" t="s">
        <v>0</v>
      </c>
      <c r="BX96" t="s">
        <v>1</v>
      </c>
      <c r="BY96" t="s">
        <v>1</v>
      </c>
      <c r="BZ96" t="s">
        <v>1</v>
      </c>
      <c r="CA96" t="s">
        <v>1</v>
      </c>
      <c r="CB96" t="s">
        <v>1</v>
      </c>
      <c r="CD96" t="e" cm="1">
        <f t="array" aca="1" ref="CD96" ca="1">eConcatenar(A96:CB96,"|")</f>
        <v>#NAME?</v>
      </c>
    </row>
    <row r="97" spans="1:82" x14ac:dyDescent="0.25">
      <c r="A97" t="s">
        <v>192</v>
      </c>
      <c r="B97" t="s">
        <v>1199</v>
      </c>
      <c r="C97">
        <v>3</v>
      </c>
      <c r="D97" t="s">
        <v>2157</v>
      </c>
      <c r="E97" t="s">
        <v>2158</v>
      </c>
      <c r="F97" t="s">
        <v>0</v>
      </c>
      <c r="G97" t="s">
        <v>2227</v>
      </c>
      <c r="H97" t="s">
        <v>2763</v>
      </c>
      <c r="I97">
        <v>12900</v>
      </c>
      <c r="J97">
        <v>0</v>
      </c>
      <c r="K97">
        <v>100</v>
      </c>
      <c r="L97">
        <v>50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 t="s">
        <v>3290</v>
      </c>
      <c r="AC97" t="s">
        <v>3291</v>
      </c>
      <c r="AD97" t="s">
        <v>3292</v>
      </c>
      <c r="AE97" t="s">
        <v>4</v>
      </c>
      <c r="AF97" t="s">
        <v>1</v>
      </c>
      <c r="AG97" t="s">
        <v>1</v>
      </c>
      <c r="AH97" t="s">
        <v>2207</v>
      </c>
      <c r="AI97" t="s">
        <v>2227</v>
      </c>
      <c r="AJ97" t="s">
        <v>1</v>
      </c>
      <c r="AK97">
        <v>9371221509</v>
      </c>
      <c r="AL97" t="s">
        <v>1</v>
      </c>
      <c r="AM97" t="s">
        <v>1</v>
      </c>
      <c r="AN97" t="s">
        <v>1</v>
      </c>
      <c r="AO97" t="s">
        <v>2207</v>
      </c>
      <c r="AP97" t="s">
        <v>1</v>
      </c>
      <c r="AQ97" t="s">
        <v>2</v>
      </c>
      <c r="AR97" t="s">
        <v>1</v>
      </c>
      <c r="AS97" t="s">
        <v>1</v>
      </c>
      <c r="AT97" t="s">
        <v>1</v>
      </c>
      <c r="AU97" t="s">
        <v>1</v>
      </c>
      <c r="AV97" t="s">
        <v>1</v>
      </c>
      <c r="AW97" t="s">
        <v>9</v>
      </c>
      <c r="AX97">
        <f>Tabla1[[#This Row],[precio del paquete]]-Tabla1[[#This Row],[Saldo_Deudor]]</f>
        <v>5200</v>
      </c>
      <c r="AY97">
        <v>7700</v>
      </c>
      <c r="AZ97">
        <v>0</v>
      </c>
      <c r="BA97">
        <v>0</v>
      </c>
      <c r="BB97">
        <v>0</v>
      </c>
      <c r="BC97" t="s">
        <v>4834</v>
      </c>
      <c r="BD97" t="s">
        <v>4915</v>
      </c>
      <c r="BE97" t="s">
        <v>3</v>
      </c>
      <c r="BF97" t="s">
        <v>3</v>
      </c>
      <c r="BG97" t="s">
        <v>3</v>
      </c>
      <c r="BH97" t="s">
        <v>3</v>
      </c>
      <c r="BI97" t="s">
        <v>3</v>
      </c>
      <c r="BJ97" t="s">
        <v>4997</v>
      </c>
      <c r="BK97" t="s">
        <v>3</v>
      </c>
      <c r="BL97" t="s">
        <v>96</v>
      </c>
      <c r="BM97" t="s">
        <v>1</v>
      </c>
      <c r="BN97">
        <v>12900</v>
      </c>
      <c r="BO97" t="s">
        <v>1</v>
      </c>
      <c r="BP97" t="s">
        <v>1</v>
      </c>
      <c r="BQ97" t="s">
        <v>1</v>
      </c>
      <c r="BR97" t="s">
        <v>1</v>
      </c>
      <c r="BS97" t="s">
        <v>1</v>
      </c>
      <c r="BT97" t="s">
        <v>1</v>
      </c>
      <c r="BU97" t="s">
        <v>1</v>
      </c>
      <c r="BV97" t="s">
        <v>1</v>
      </c>
      <c r="BW97" t="s">
        <v>0</v>
      </c>
      <c r="BX97" t="s">
        <v>1</v>
      </c>
      <c r="BY97" t="s">
        <v>1</v>
      </c>
      <c r="BZ97" t="s">
        <v>1</v>
      </c>
      <c r="CA97" t="s">
        <v>1</v>
      </c>
      <c r="CB97" t="s">
        <v>1</v>
      </c>
      <c r="CD97" t="e" cm="1">
        <f t="array" aca="1" ref="CD97" ca="1">eConcatenar(A97:CB97,"|")</f>
        <v>#NAME?</v>
      </c>
    </row>
    <row r="98" spans="1:82" x14ac:dyDescent="0.25">
      <c r="A98" t="s">
        <v>193</v>
      </c>
      <c r="B98" t="s">
        <v>1200</v>
      </c>
      <c r="C98">
        <v>3</v>
      </c>
      <c r="D98" t="s">
        <v>2153</v>
      </c>
      <c r="E98" t="s">
        <v>2158</v>
      </c>
      <c r="F98" t="s">
        <v>2162</v>
      </c>
      <c r="G98" t="s">
        <v>2228</v>
      </c>
      <c r="H98" t="s">
        <v>2739</v>
      </c>
      <c r="I98">
        <v>14800</v>
      </c>
      <c r="J98">
        <v>0</v>
      </c>
      <c r="K98">
        <v>100</v>
      </c>
      <c r="L98">
        <v>50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 t="s">
        <v>3132</v>
      </c>
      <c r="AC98" t="s">
        <v>3137</v>
      </c>
      <c r="AD98" t="s">
        <v>3293</v>
      </c>
      <c r="AE98" t="s">
        <v>4</v>
      </c>
      <c r="AF98" t="s">
        <v>1</v>
      </c>
      <c r="AG98" t="s">
        <v>1</v>
      </c>
      <c r="AH98" t="s">
        <v>4138</v>
      </c>
      <c r="AI98" t="s">
        <v>2228</v>
      </c>
      <c r="AJ98" t="s">
        <v>1</v>
      </c>
      <c r="AK98">
        <v>9331560915</v>
      </c>
      <c r="AL98" t="s">
        <v>1</v>
      </c>
      <c r="AM98" t="s">
        <v>1</v>
      </c>
      <c r="AN98" t="s">
        <v>1</v>
      </c>
      <c r="AO98" t="s">
        <v>4138</v>
      </c>
      <c r="AP98" t="s">
        <v>1</v>
      </c>
      <c r="AQ98" t="s">
        <v>2</v>
      </c>
      <c r="AR98" t="s">
        <v>1</v>
      </c>
      <c r="AS98" t="s">
        <v>1</v>
      </c>
      <c r="AT98" t="s">
        <v>1</v>
      </c>
      <c r="AU98" t="s">
        <v>1</v>
      </c>
      <c r="AV98" t="s">
        <v>1</v>
      </c>
      <c r="AW98" t="s">
        <v>9</v>
      </c>
      <c r="AX98">
        <f>Tabla1[[#This Row],[precio del paquete]]-Tabla1[[#This Row],[Saldo_Deudor]]</f>
        <v>400</v>
      </c>
      <c r="AY98">
        <v>14400</v>
      </c>
      <c r="AZ98">
        <v>0</v>
      </c>
      <c r="BA98">
        <v>0</v>
      </c>
      <c r="BB98">
        <v>0</v>
      </c>
      <c r="BC98" t="s">
        <v>2711</v>
      </c>
      <c r="BD98" t="s">
        <v>2712</v>
      </c>
      <c r="BE98" t="s">
        <v>3</v>
      </c>
      <c r="BF98" t="s">
        <v>3</v>
      </c>
      <c r="BG98" t="s">
        <v>3</v>
      </c>
      <c r="BH98" t="s">
        <v>3</v>
      </c>
      <c r="BI98" t="s">
        <v>3</v>
      </c>
      <c r="BJ98" t="s">
        <v>4997</v>
      </c>
      <c r="BK98" t="s">
        <v>3</v>
      </c>
      <c r="BL98" t="s">
        <v>96</v>
      </c>
      <c r="BM98" t="s">
        <v>1</v>
      </c>
      <c r="BN98">
        <v>14800</v>
      </c>
      <c r="BO98" t="s">
        <v>1</v>
      </c>
      <c r="BP98" t="s">
        <v>1</v>
      </c>
      <c r="BQ98" t="s">
        <v>1</v>
      </c>
      <c r="BR98" t="s">
        <v>1</v>
      </c>
      <c r="BS98" t="s">
        <v>1</v>
      </c>
      <c r="BT98" t="s">
        <v>1</v>
      </c>
      <c r="BU98" t="s">
        <v>1</v>
      </c>
      <c r="BV98" t="s">
        <v>1</v>
      </c>
      <c r="BW98" t="s">
        <v>0</v>
      </c>
      <c r="BX98" t="s">
        <v>1</v>
      </c>
      <c r="BY98" t="s">
        <v>1</v>
      </c>
      <c r="BZ98" t="s">
        <v>1</v>
      </c>
      <c r="CA98" t="s">
        <v>1</v>
      </c>
      <c r="CB98" t="s">
        <v>1</v>
      </c>
      <c r="CD98" t="e" cm="1">
        <f t="array" aca="1" ref="CD98" ca="1">eConcatenar(A98:CB98,"|")</f>
        <v>#NAME?</v>
      </c>
    </row>
    <row r="99" spans="1:82" x14ac:dyDescent="0.25">
      <c r="A99" t="s">
        <v>194</v>
      </c>
      <c r="B99" t="s">
        <v>1201</v>
      </c>
      <c r="C99">
        <v>3</v>
      </c>
      <c r="D99" t="s">
        <v>2155</v>
      </c>
      <c r="E99" t="s">
        <v>2158</v>
      </c>
      <c r="F99" t="s">
        <v>2162</v>
      </c>
      <c r="G99" t="s">
        <v>2229</v>
      </c>
      <c r="H99" t="s">
        <v>2764</v>
      </c>
      <c r="I99">
        <v>12900</v>
      </c>
      <c r="J99">
        <v>0</v>
      </c>
      <c r="K99">
        <v>100</v>
      </c>
      <c r="L99">
        <v>50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 t="s">
        <v>3294</v>
      </c>
      <c r="AC99" t="s">
        <v>3295</v>
      </c>
      <c r="AD99" t="s">
        <v>3296</v>
      </c>
      <c r="AE99" t="s">
        <v>4</v>
      </c>
      <c r="AF99" t="s">
        <v>1</v>
      </c>
      <c r="AG99" t="s">
        <v>1</v>
      </c>
      <c r="AH99" t="s">
        <v>4161</v>
      </c>
      <c r="AI99" t="s">
        <v>2229</v>
      </c>
      <c r="AJ99" t="s">
        <v>1</v>
      </c>
      <c r="AK99">
        <v>9331004489</v>
      </c>
      <c r="AL99" t="s">
        <v>1</v>
      </c>
      <c r="AM99" t="s">
        <v>1</v>
      </c>
      <c r="AN99" t="s">
        <v>1</v>
      </c>
      <c r="AO99" t="s">
        <v>4161</v>
      </c>
      <c r="AP99" t="s">
        <v>1</v>
      </c>
      <c r="AQ99" t="s">
        <v>2</v>
      </c>
      <c r="AR99" t="s">
        <v>1</v>
      </c>
      <c r="AS99" t="s">
        <v>1</v>
      </c>
      <c r="AT99" t="s">
        <v>1</v>
      </c>
      <c r="AU99" t="s">
        <v>1</v>
      </c>
      <c r="AV99" t="s">
        <v>1</v>
      </c>
      <c r="AW99" t="s">
        <v>9</v>
      </c>
      <c r="AX99">
        <f>Tabla1[[#This Row],[precio del paquete]]-Tabla1[[#This Row],[Saldo_Deudor]]</f>
        <v>4350</v>
      </c>
      <c r="AY99">
        <v>8550</v>
      </c>
      <c r="AZ99">
        <v>0</v>
      </c>
      <c r="BA99">
        <v>0</v>
      </c>
      <c r="BB99">
        <v>0</v>
      </c>
      <c r="BC99" t="s">
        <v>3016</v>
      </c>
      <c r="BD99" t="s">
        <v>4832</v>
      </c>
      <c r="BE99" t="s">
        <v>3</v>
      </c>
      <c r="BF99" t="s">
        <v>3</v>
      </c>
      <c r="BG99" t="s">
        <v>3</v>
      </c>
      <c r="BH99" t="s">
        <v>3</v>
      </c>
      <c r="BI99" t="s">
        <v>3</v>
      </c>
      <c r="BJ99" t="s">
        <v>5001</v>
      </c>
      <c r="BK99" t="s">
        <v>3</v>
      </c>
      <c r="BL99" t="s">
        <v>96</v>
      </c>
      <c r="BM99" t="s">
        <v>1</v>
      </c>
      <c r="BN99">
        <v>12900</v>
      </c>
      <c r="BO99" t="s">
        <v>1</v>
      </c>
      <c r="BP99" t="s">
        <v>1</v>
      </c>
      <c r="BQ99" t="s">
        <v>1</v>
      </c>
      <c r="BR99" t="s">
        <v>1</v>
      </c>
      <c r="BS99" t="s">
        <v>1</v>
      </c>
      <c r="BT99" t="s">
        <v>1</v>
      </c>
      <c r="BU99" t="s">
        <v>1</v>
      </c>
      <c r="BV99" t="s">
        <v>1</v>
      </c>
      <c r="BW99" t="s">
        <v>0</v>
      </c>
      <c r="BX99" t="s">
        <v>1</v>
      </c>
      <c r="BY99" t="s">
        <v>1</v>
      </c>
      <c r="BZ99" t="s">
        <v>1</v>
      </c>
      <c r="CA99" t="s">
        <v>1</v>
      </c>
      <c r="CB99" t="s">
        <v>1</v>
      </c>
      <c r="CD99" t="e" cm="1">
        <f t="array" aca="1" ref="CD99" ca="1">eConcatenar(A99:CB99,"|")</f>
        <v>#NAME?</v>
      </c>
    </row>
    <row r="100" spans="1:82" x14ac:dyDescent="0.25">
      <c r="A100" t="s">
        <v>195</v>
      </c>
      <c r="B100" t="s">
        <v>1202</v>
      </c>
      <c r="C100">
        <v>3</v>
      </c>
      <c r="D100" t="s">
        <v>3108</v>
      </c>
      <c r="E100" t="s">
        <v>2158</v>
      </c>
      <c r="F100" t="s">
        <v>0</v>
      </c>
      <c r="G100" t="s">
        <v>2229</v>
      </c>
      <c r="H100" t="s">
        <v>2765</v>
      </c>
      <c r="I100">
        <v>31800</v>
      </c>
      <c r="J100">
        <v>0</v>
      </c>
      <c r="K100">
        <v>200</v>
      </c>
      <c r="L100">
        <v>50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 t="s">
        <v>3297</v>
      </c>
      <c r="AC100" t="s">
        <v>3298</v>
      </c>
      <c r="AD100" t="s">
        <v>3299</v>
      </c>
      <c r="AE100" t="s">
        <v>4</v>
      </c>
      <c r="AF100" t="s">
        <v>1</v>
      </c>
      <c r="AG100" t="s">
        <v>1</v>
      </c>
      <c r="AH100" t="s">
        <v>4162</v>
      </c>
      <c r="AI100" t="s">
        <v>2229</v>
      </c>
      <c r="AJ100" t="s">
        <v>1</v>
      </c>
      <c r="AK100" t="s">
        <v>1</v>
      </c>
      <c r="AL100" t="s">
        <v>1</v>
      </c>
      <c r="AM100" t="s">
        <v>1</v>
      </c>
      <c r="AN100" t="s">
        <v>1</v>
      </c>
      <c r="AO100" t="s">
        <v>4162</v>
      </c>
      <c r="AP100" t="s">
        <v>1</v>
      </c>
      <c r="AQ100" t="s">
        <v>2</v>
      </c>
      <c r="AR100" t="s">
        <v>1</v>
      </c>
      <c r="AS100" t="s">
        <v>1</v>
      </c>
      <c r="AT100" t="s">
        <v>1</v>
      </c>
      <c r="AU100" t="s">
        <v>1</v>
      </c>
      <c r="AV100" t="s">
        <v>1</v>
      </c>
      <c r="AW100" t="s">
        <v>9</v>
      </c>
      <c r="AX100">
        <f>Tabla1[[#This Row],[precio del paquete]]-Tabla1[[#This Row],[Saldo_Deudor]]</f>
        <v>11500</v>
      </c>
      <c r="AY100">
        <v>20300</v>
      </c>
      <c r="AZ100">
        <v>0</v>
      </c>
      <c r="BA100">
        <v>0</v>
      </c>
      <c r="BB100">
        <v>0</v>
      </c>
      <c r="BC100" t="s">
        <v>3102</v>
      </c>
      <c r="BD100" t="s">
        <v>4897</v>
      </c>
      <c r="BE100" t="s">
        <v>3</v>
      </c>
      <c r="BF100" t="s">
        <v>3</v>
      </c>
      <c r="BG100" t="s">
        <v>3</v>
      </c>
      <c r="BH100" t="s">
        <v>3</v>
      </c>
      <c r="BI100" t="s">
        <v>3</v>
      </c>
      <c r="BJ100" t="s">
        <v>4990</v>
      </c>
      <c r="BK100" t="s">
        <v>3</v>
      </c>
      <c r="BL100" t="s">
        <v>96</v>
      </c>
      <c r="BM100" t="s">
        <v>1</v>
      </c>
      <c r="BN100">
        <v>31800</v>
      </c>
      <c r="BO100" t="s">
        <v>1</v>
      </c>
      <c r="BP100" t="s">
        <v>1</v>
      </c>
      <c r="BQ100" t="s">
        <v>1</v>
      </c>
      <c r="BR100" t="s">
        <v>1</v>
      </c>
      <c r="BS100" t="s">
        <v>1</v>
      </c>
      <c r="BT100" t="s">
        <v>1</v>
      </c>
      <c r="BU100" t="s">
        <v>1</v>
      </c>
      <c r="BV100" t="s">
        <v>1</v>
      </c>
      <c r="BW100" t="s">
        <v>0</v>
      </c>
      <c r="BX100" t="s">
        <v>1</v>
      </c>
      <c r="BY100" t="s">
        <v>1</v>
      </c>
      <c r="BZ100" t="s">
        <v>1</v>
      </c>
      <c r="CA100" t="s">
        <v>1</v>
      </c>
      <c r="CB100" t="s">
        <v>1</v>
      </c>
      <c r="CD100" t="e" cm="1">
        <f t="array" aca="1" ref="CD100" ca="1">eConcatenar(A100:CB100,"|")</f>
        <v>#NAME?</v>
      </c>
    </row>
    <row r="101" spans="1:82" x14ac:dyDescent="0.25">
      <c r="A101" t="s">
        <v>196</v>
      </c>
      <c r="B101" t="s">
        <v>1203</v>
      </c>
      <c r="C101">
        <v>3</v>
      </c>
      <c r="D101" t="s">
        <v>2157</v>
      </c>
      <c r="E101" t="s">
        <v>2158</v>
      </c>
      <c r="F101" t="s">
        <v>2163</v>
      </c>
      <c r="G101" t="s">
        <v>2229</v>
      </c>
      <c r="H101" t="s">
        <v>2717</v>
      </c>
      <c r="I101">
        <v>12900</v>
      </c>
      <c r="J101">
        <v>0</v>
      </c>
      <c r="K101">
        <v>200</v>
      </c>
      <c r="L101">
        <v>50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 t="s">
        <v>3177</v>
      </c>
      <c r="AC101" t="s">
        <v>5</v>
      </c>
      <c r="AD101" t="s">
        <v>3300</v>
      </c>
      <c r="AE101" t="s">
        <v>4</v>
      </c>
      <c r="AF101" t="s">
        <v>1</v>
      </c>
      <c r="AG101" t="s">
        <v>1</v>
      </c>
      <c r="AH101" t="s">
        <v>4163</v>
      </c>
      <c r="AI101" t="s">
        <v>2229</v>
      </c>
      <c r="AJ101" t="s">
        <v>1</v>
      </c>
      <c r="AK101">
        <v>9934328191</v>
      </c>
      <c r="AL101" t="s">
        <v>1</v>
      </c>
      <c r="AM101" t="s">
        <v>1</v>
      </c>
      <c r="AN101" t="s">
        <v>1</v>
      </c>
      <c r="AO101" t="s">
        <v>4163</v>
      </c>
      <c r="AP101" t="s">
        <v>1</v>
      </c>
      <c r="AQ101" t="s">
        <v>2</v>
      </c>
      <c r="AR101" t="s">
        <v>1</v>
      </c>
      <c r="AS101" t="s">
        <v>1</v>
      </c>
      <c r="AT101" t="s">
        <v>1</v>
      </c>
      <c r="AU101" t="s">
        <v>1</v>
      </c>
      <c r="AV101" t="s">
        <v>1</v>
      </c>
      <c r="AW101" t="s">
        <v>9</v>
      </c>
      <c r="AX101">
        <f>Tabla1[[#This Row],[precio del paquete]]-Tabla1[[#This Row],[Saldo_Deudor]]</f>
        <v>-1500</v>
      </c>
      <c r="AY101">
        <v>14400</v>
      </c>
      <c r="AZ101">
        <v>0</v>
      </c>
      <c r="BA101">
        <v>0</v>
      </c>
      <c r="BB101">
        <v>0</v>
      </c>
      <c r="BC101" t="s">
        <v>3040</v>
      </c>
      <c r="BD101" t="s">
        <v>4914</v>
      </c>
      <c r="BE101" t="s">
        <v>3</v>
      </c>
      <c r="BF101" t="s">
        <v>3</v>
      </c>
      <c r="BG101" t="s">
        <v>3</v>
      </c>
      <c r="BH101" t="s">
        <v>3</v>
      </c>
      <c r="BI101" t="s">
        <v>3</v>
      </c>
      <c r="BJ101" t="s">
        <v>4987</v>
      </c>
      <c r="BK101" t="s">
        <v>3</v>
      </c>
      <c r="BL101" t="s">
        <v>96</v>
      </c>
      <c r="BM101" t="s">
        <v>1</v>
      </c>
      <c r="BN101">
        <v>12900</v>
      </c>
      <c r="BO101" t="s">
        <v>1</v>
      </c>
      <c r="BP101" t="s">
        <v>1</v>
      </c>
      <c r="BQ101" t="s">
        <v>1</v>
      </c>
      <c r="BR101" t="s">
        <v>1</v>
      </c>
      <c r="BS101" t="s">
        <v>1</v>
      </c>
      <c r="BT101" t="s">
        <v>1</v>
      </c>
      <c r="BU101" t="s">
        <v>1</v>
      </c>
      <c r="BV101" t="s">
        <v>1</v>
      </c>
      <c r="BW101" t="s">
        <v>0</v>
      </c>
      <c r="BX101" t="s">
        <v>1</v>
      </c>
      <c r="BY101" t="s">
        <v>1</v>
      </c>
      <c r="BZ101" t="s">
        <v>1</v>
      </c>
      <c r="CA101" t="s">
        <v>1</v>
      </c>
      <c r="CB101" t="s">
        <v>1</v>
      </c>
      <c r="CD101" t="e" cm="1">
        <f t="array" aca="1" ref="CD101" ca="1">eConcatenar(A101:CB101,"|")</f>
        <v>#NAME?</v>
      </c>
    </row>
    <row r="102" spans="1:82" x14ac:dyDescent="0.25">
      <c r="A102" t="s">
        <v>197</v>
      </c>
      <c r="B102" t="s">
        <v>1204</v>
      </c>
      <c r="C102">
        <v>3</v>
      </c>
      <c r="D102" t="s">
        <v>2153</v>
      </c>
      <c r="E102" t="s">
        <v>2158</v>
      </c>
      <c r="F102" t="s">
        <v>2162</v>
      </c>
      <c r="G102" t="s">
        <v>2229</v>
      </c>
      <c r="H102" t="s">
        <v>2766</v>
      </c>
      <c r="I102">
        <v>14800</v>
      </c>
      <c r="J102">
        <v>0</v>
      </c>
      <c r="K102">
        <v>100</v>
      </c>
      <c r="L102">
        <v>50</v>
      </c>
      <c r="M102">
        <v>1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 t="s">
        <v>3301</v>
      </c>
      <c r="AC102" t="s">
        <v>3302</v>
      </c>
      <c r="AD102" t="s">
        <v>3303</v>
      </c>
      <c r="AE102" t="s">
        <v>4</v>
      </c>
      <c r="AF102" t="s">
        <v>1</v>
      </c>
      <c r="AG102" t="s">
        <v>1</v>
      </c>
      <c r="AH102" t="s">
        <v>4164</v>
      </c>
      <c r="AI102" t="s">
        <v>2229</v>
      </c>
      <c r="AJ102" t="s">
        <v>1</v>
      </c>
      <c r="AK102" t="s">
        <v>1</v>
      </c>
      <c r="AL102" t="s">
        <v>1</v>
      </c>
      <c r="AM102" t="s">
        <v>1</v>
      </c>
      <c r="AN102" t="s">
        <v>1</v>
      </c>
      <c r="AO102" t="s">
        <v>4164</v>
      </c>
      <c r="AP102" t="s">
        <v>1</v>
      </c>
      <c r="AQ102" t="s">
        <v>2</v>
      </c>
      <c r="AR102" t="s">
        <v>1</v>
      </c>
      <c r="AS102" t="s">
        <v>1</v>
      </c>
      <c r="AT102" t="s">
        <v>1</v>
      </c>
      <c r="AU102" t="s">
        <v>1</v>
      </c>
      <c r="AV102" t="s">
        <v>1</v>
      </c>
      <c r="AW102" t="s">
        <v>9</v>
      </c>
      <c r="AX102">
        <f>Tabla1[[#This Row],[precio del paquete]]-Tabla1[[#This Row],[Saldo_Deudor]]</f>
        <v>9700</v>
      </c>
      <c r="AY102">
        <v>5100</v>
      </c>
      <c r="AZ102">
        <v>0</v>
      </c>
      <c r="BA102">
        <v>0</v>
      </c>
      <c r="BB102">
        <v>0</v>
      </c>
      <c r="BC102" t="s">
        <v>3098</v>
      </c>
      <c r="BD102" t="s">
        <v>4829</v>
      </c>
      <c r="BE102" t="s">
        <v>3</v>
      </c>
      <c r="BF102" t="s">
        <v>3</v>
      </c>
      <c r="BG102" t="s">
        <v>3</v>
      </c>
      <c r="BH102" t="s">
        <v>3</v>
      </c>
      <c r="BI102" t="s">
        <v>3</v>
      </c>
      <c r="BJ102" t="s">
        <v>4987</v>
      </c>
      <c r="BK102" t="s">
        <v>3</v>
      </c>
      <c r="BL102" t="s">
        <v>96</v>
      </c>
      <c r="BM102" t="s">
        <v>1</v>
      </c>
      <c r="BN102">
        <v>14800</v>
      </c>
      <c r="BO102" t="s">
        <v>1</v>
      </c>
      <c r="BP102" t="s">
        <v>1</v>
      </c>
      <c r="BQ102" t="s">
        <v>1</v>
      </c>
      <c r="BR102" t="s">
        <v>1</v>
      </c>
      <c r="BS102" t="s">
        <v>1</v>
      </c>
      <c r="BT102" t="s">
        <v>1</v>
      </c>
      <c r="BU102" t="s">
        <v>1</v>
      </c>
      <c r="BV102" t="s">
        <v>1</v>
      </c>
      <c r="BW102" t="s">
        <v>0</v>
      </c>
      <c r="BX102" t="s">
        <v>1</v>
      </c>
      <c r="BY102" t="s">
        <v>1</v>
      </c>
      <c r="BZ102" t="s">
        <v>1</v>
      </c>
      <c r="CA102" t="s">
        <v>1</v>
      </c>
      <c r="CB102" t="s">
        <v>1</v>
      </c>
      <c r="CD102" t="e" cm="1">
        <f t="array" aca="1" ref="CD102" ca="1">eConcatenar(A102:CB102,"|")</f>
        <v>#NAME?</v>
      </c>
    </row>
    <row r="103" spans="1:82" x14ac:dyDescent="0.25">
      <c r="A103" t="s">
        <v>198</v>
      </c>
      <c r="B103" t="s">
        <v>1205</v>
      </c>
      <c r="C103">
        <v>3</v>
      </c>
      <c r="D103" t="s">
        <v>2153</v>
      </c>
      <c r="E103" t="s">
        <v>2158</v>
      </c>
      <c r="F103" t="s">
        <v>2162</v>
      </c>
      <c r="G103" t="s">
        <v>2229</v>
      </c>
      <c r="H103" t="s">
        <v>2767</v>
      </c>
      <c r="I103">
        <v>14800</v>
      </c>
      <c r="J103">
        <v>0</v>
      </c>
      <c r="K103">
        <v>100</v>
      </c>
      <c r="L103">
        <v>50</v>
      </c>
      <c r="M103">
        <v>1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 t="s">
        <v>3304</v>
      </c>
      <c r="AC103" t="s">
        <v>3305</v>
      </c>
      <c r="AD103" t="s">
        <v>3306</v>
      </c>
      <c r="AE103" t="s">
        <v>4</v>
      </c>
      <c r="AF103" t="s">
        <v>1</v>
      </c>
      <c r="AG103" t="s">
        <v>1</v>
      </c>
      <c r="AH103" t="s">
        <v>4165</v>
      </c>
      <c r="AI103" t="s">
        <v>2229</v>
      </c>
      <c r="AJ103" t="s">
        <v>1</v>
      </c>
      <c r="AK103">
        <v>9332071063</v>
      </c>
      <c r="AL103" t="s">
        <v>1</v>
      </c>
      <c r="AM103" t="s">
        <v>1</v>
      </c>
      <c r="AN103" t="s">
        <v>1</v>
      </c>
      <c r="AO103" t="s">
        <v>4165</v>
      </c>
      <c r="AP103" t="s">
        <v>1</v>
      </c>
      <c r="AQ103" t="s">
        <v>2</v>
      </c>
      <c r="AR103" t="s">
        <v>1</v>
      </c>
      <c r="AS103" t="s">
        <v>1</v>
      </c>
      <c r="AT103" t="s">
        <v>1</v>
      </c>
      <c r="AU103" t="s">
        <v>1</v>
      </c>
      <c r="AV103" t="s">
        <v>1</v>
      </c>
      <c r="AW103" t="s">
        <v>9</v>
      </c>
      <c r="AX103">
        <f>Tabla1[[#This Row],[precio del paquete]]-Tabla1[[#This Row],[Saldo_Deudor]]</f>
        <v>800</v>
      </c>
      <c r="AY103">
        <v>14000</v>
      </c>
      <c r="AZ103">
        <v>0</v>
      </c>
      <c r="BA103">
        <v>0</v>
      </c>
      <c r="BB103">
        <v>0</v>
      </c>
      <c r="BC103" t="s">
        <v>2711</v>
      </c>
      <c r="BD103" t="s">
        <v>2712</v>
      </c>
      <c r="BE103" t="s">
        <v>3</v>
      </c>
      <c r="BF103" t="s">
        <v>3</v>
      </c>
      <c r="BG103" t="s">
        <v>3</v>
      </c>
      <c r="BH103" t="s">
        <v>3</v>
      </c>
      <c r="BI103" t="s">
        <v>3</v>
      </c>
      <c r="BJ103" t="s">
        <v>5006</v>
      </c>
      <c r="BK103" t="s">
        <v>3</v>
      </c>
      <c r="BL103" t="s">
        <v>96</v>
      </c>
      <c r="BM103" t="s">
        <v>1</v>
      </c>
      <c r="BN103">
        <v>14800</v>
      </c>
      <c r="BO103" t="s">
        <v>1</v>
      </c>
      <c r="BP103" t="s">
        <v>1</v>
      </c>
      <c r="BQ103" t="s">
        <v>1</v>
      </c>
      <c r="BR103" t="s">
        <v>1</v>
      </c>
      <c r="BS103" t="s">
        <v>1</v>
      </c>
      <c r="BT103" t="s">
        <v>1</v>
      </c>
      <c r="BU103" t="s">
        <v>1</v>
      </c>
      <c r="BV103" t="s">
        <v>1</v>
      </c>
      <c r="BW103" t="s">
        <v>0</v>
      </c>
      <c r="BX103" t="s">
        <v>1</v>
      </c>
      <c r="BY103" t="s">
        <v>1</v>
      </c>
      <c r="BZ103" t="s">
        <v>1</v>
      </c>
      <c r="CA103" t="s">
        <v>1</v>
      </c>
      <c r="CB103" t="s">
        <v>1</v>
      </c>
      <c r="CD103" t="e" cm="1">
        <f t="array" aca="1" ref="CD103" ca="1">eConcatenar(A103:CB103,"|")</f>
        <v>#NAME?</v>
      </c>
    </row>
    <row r="104" spans="1:82" x14ac:dyDescent="0.25">
      <c r="A104" t="s">
        <v>199</v>
      </c>
      <c r="B104" t="s">
        <v>1206</v>
      </c>
      <c r="C104">
        <v>3</v>
      </c>
      <c r="D104" t="s">
        <v>2153</v>
      </c>
      <c r="E104" t="s">
        <v>2158</v>
      </c>
      <c r="F104" t="s">
        <v>0</v>
      </c>
      <c r="G104" t="s">
        <v>2212</v>
      </c>
      <c r="H104" t="s">
        <v>2739</v>
      </c>
      <c r="I104">
        <v>14800</v>
      </c>
      <c r="J104">
        <v>0</v>
      </c>
      <c r="K104">
        <v>200</v>
      </c>
      <c r="L104">
        <v>50</v>
      </c>
      <c r="M104">
        <v>1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 t="s">
        <v>3307</v>
      </c>
      <c r="AC104" t="s">
        <v>3308</v>
      </c>
      <c r="AD104" t="s">
        <v>3130</v>
      </c>
      <c r="AE104" t="s">
        <v>4</v>
      </c>
      <c r="AF104" t="s">
        <v>1</v>
      </c>
      <c r="AG104" t="s">
        <v>1</v>
      </c>
      <c r="AH104" t="s">
        <v>4166</v>
      </c>
      <c r="AI104" t="s">
        <v>2212</v>
      </c>
      <c r="AJ104" t="s">
        <v>1</v>
      </c>
      <c r="AK104">
        <v>9373720620</v>
      </c>
      <c r="AL104" t="s">
        <v>1</v>
      </c>
      <c r="AM104" t="s">
        <v>1</v>
      </c>
      <c r="AN104" t="s">
        <v>1</v>
      </c>
      <c r="AO104" t="s">
        <v>4166</v>
      </c>
      <c r="AP104" t="s">
        <v>1</v>
      </c>
      <c r="AQ104" t="s">
        <v>2</v>
      </c>
      <c r="AR104" t="s">
        <v>1</v>
      </c>
      <c r="AS104" t="s">
        <v>1</v>
      </c>
      <c r="AT104" t="s">
        <v>1</v>
      </c>
      <c r="AU104" t="s">
        <v>1</v>
      </c>
      <c r="AV104" t="s">
        <v>1</v>
      </c>
      <c r="AW104" t="s">
        <v>9</v>
      </c>
      <c r="AX104">
        <f>Tabla1[[#This Row],[precio del paquete]]-Tabla1[[#This Row],[Saldo_Deudor]]</f>
        <v>600</v>
      </c>
      <c r="AY104">
        <v>14200</v>
      </c>
      <c r="AZ104">
        <v>0</v>
      </c>
      <c r="BA104">
        <v>0</v>
      </c>
      <c r="BB104">
        <v>0</v>
      </c>
      <c r="BC104" t="s">
        <v>3061</v>
      </c>
      <c r="BD104" t="s">
        <v>3040</v>
      </c>
      <c r="BE104" t="s">
        <v>3</v>
      </c>
      <c r="BF104" t="s">
        <v>3</v>
      </c>
      <c r="BG104" t="s">
        <v>3</v>
      </c>
      <c r="BH104" t="s">
        <v>3</v>
      </c>
      <c r="BI104" t="s">
        <v>3</v>
      </c>
      <c r="BJ104" t="s">
        <v>5000</v>
      </c>
      <c r="BK104" t="s">
        <v>3</v>
      </c>
      <c r="BL104" t="s">
        <v>96</v>
      </c>
      <c r="BM104" t="s">
        <v>1</v>
      </c>
      <c r="BN104">
        <v>14800</v>
      </c>
      <c r="BO104" t="s">
        <v>1</v>
      </c>
      <c r="BP104" t="s">
        <v>1</v>
      </c>
      <c r="BQ104" t="s">
        <v>1</v>
      </c>
      <c r="BR104" t="s">
        <v>1</v>
      </c>
      <c r="BS104" t="s">
        <v>1</v>
      </c>
      <c r="BT104" t="s">
        <v>1</v>
      </c>
      <c r="BU104" t="s">
        <v>1</v>
      </c>
      <c r="BV104" t="s">
        <v>1</v>
      </c>
      <c r="BW104" t="s">
        <v>0</v>
      </c>
      <c r="BX104" t="s">
        <v>1</v>
      </c>
      <c r="BY104" t="s">
        <v>1</v>
      </c>
      <c r="BZ104" t="s">
        <v>1</v>
      </c>
      <c r="CA104" t="s">
        <v>1</v>
      </c>
      <c r="CB104" t="s">
        <v>1</v>
      </c>
      <c r="CD104" t="e" cm="1">
        <f t="array" aca="1" ref="CD104" ca="1">eConcatenar(A104:CB104,"|")</f>
        <v>#NAME?</v>
      </c>
    </row>
    <row r="105" spans="1:82" x14ac:dyDescent="0.25">
      <c r="A105" t="s">
        <v>200</v>
      </c>
      <c r="B105" t="s">
        <v>1207</v>
      </c>
      <c r="C105">
        <v>3</v>
      </c>
      <c r="D105" t="s">
        <v>2153</v>
      </c>
      <c r="E105" t="s">
        <v>2158</v>
      </c>
      <c r="F105" t="s">
        <v>0</v>
      </c>
      <c r="G105" t="s">
        <v>2212</v>
      </c>
      <c r="H105" t="s">
        <v>2768</v>
      </c>
      <c r="I105">
        <v>14800</v>
      </c>
      <c r="J105">
        <v>0</v>
      </c>
      <c r="K105">
        <v>200</v>
      </c>
      <c r="L105">
        <v>50</v>
      </c>
      <c r="M105">
        <v>1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 t="s">
        <v>3132</v>
      </c>
      <c r="AC105" t="s">
        <v>3180</v>
      </c>
      <c r="AD105" t="s">
        <v>3309</v>
      </c>
      <c r="AE105" t="s">
        <v>4</v>
      </c>
      <c r="AF105" t="s">
        <v>1</v>
      </c>
      <c r="AG105" t="s">
        <v>1</v>
      </c>
      <c r="AH105" t="s">
        <v>4167</v>
      </c>
      <c r="AI105" t="s">
        <v>2212</v>
      </c>
      <c r="AJ105" t="s">
        <v>1</v>
      </c>
      <c r="AK105">
        <v>9371033570</v>
      </c>
      <c r="AL105" t="s">
        <v>1</v>
      </c>
      <c r="AM105" t="s">
        <v>1</v>
      </c>
      <c r="AN105" t="s">
        <v>1</v>
      </c>
      <c r="AO105" t="s">
        <v>4167</v>
      </c>
      <c r="AP105" t="s">
        <v>1</v>
      </c>
      <c r="AQ105" t="s">
        <v>2</v>
      </c>
      <c r="AR105" t="s">
        <v>1</v>
      </c>
      <c r="AS105" t="s">
        <v>1</v>
      </c>
      <c r="AT105" t="s">
        <v>1</v>
      </c>
      <c r="AU105" t="s">
        <v>1</v>
      </c>
      <c r="AV105" t="s">
        <v>1</v>
      </c>
      <c r="AW105" t="s">
        <v>9</v>
      </c>
      <c r="AX105">
        <f>Tabla1[[#This Row],[precio del paquete]]-Tabla1[[#This Row],[Saldo_Deudor]]</f>
        <v>2200</v>
      </c>
      <c r="AY105">
        <v>12600</v>
      </c>
      <c r="AZ105">
        <v>0</v>
      </c>
      <c r="BA105">
        <v>0</v>
      </c>
      <c r="BB105">
        <v>0</v>
      </c>
      <c r="BC105" t="s">
        <v>3061</v>
      </c>
      <c r="BD105" t="s">
        <v>3040</v>
      </c>
      <c r="BE105" t="s">
        <v>3</v>
      </c>
      <c r="BF105" t="s">
        <v>3</v>
      </c>
      <c r="BG105" t="s">
        <v>3</v>
      </c>
      <c r="BH105" t="s">
        <v>3</v>
      </c>
      <c r="BI105" t="s">
        <v>3</v>
      </c>
      <c r="BJ105" t="s">
        <v>4994</v>
      </c>
      <c r="BK105" t="s">
        <v>3</v>
      </c>
      <c r="BL105" t="s">
        <v>96</v>
      </c>
      <c r="BM105" t="s">
        <v>1</v>
      </c>
      <c r="BN105">
        <v>14800</v>
      </c>
      <c r="BO105" t="s">
        <v>1</v>
      </c>
      <c r="BP105" t="s">
        <v>1</v>
      </c>
      <c r="BQ105" t="s">
        <v>1</v>
      </c>
      <c r="BR105" t="s">
        <v>1</v>
      </c>
      <c r="BS105" t="s">
        <v>1</v>
      </c>
      <c r="BT105" t="s">
        <v>1</v>
      </c>
      <c r="BU105" t="s">
        <v>1</v>
      </c>
      <c r="BV105" t="s">
        <v>1</v>
      </c>
      <c r="BW105" t="s">
        <v>0</v>
      </c>
      <c r="BX105" t="s">
        <v>1</v>
      </c>
      <c r="BY105" t="s">
        <v>1</v>
      </c>
      <c r="BZ105" t="s">
        <v>1</v>
      </c>
      <c r="CA105" t="s">
        <v>1</v>
      </c>
      <c r="CB105" t="s">
        <v>1</v>
      </c>
      <c r="CD105" t="e" cm="1">
        <f t="array" aca="1" ref="CD105" ca="1">eConcatenar(A105:CB105,"|")</f>
        <v>#NAME?</v>
      </c>
    </row>
    <row r="106" spans="1:82" x14ac:dyDescent="0.25">
      <c r="A106" t="s">
        <v>201</v>
      </c>
      <c r="B106" t="s">
        <v>1208</v>
      </c>
      <c r="C106">
        <v>3</v>
      </c>
      <c r="D106" t="s">
        <v>2153</v>
      </c>
      <c r="E106" t="s">
        <v>2158</v>
      </c>
      <c r="F106" t="s">
        <v>0</v>
      </c>
      <c r="G106" t="s">
        <v>2212</v>
      </c>
      <c r="H106" t="s">
        <v>2729</v>
      </c>
      <c r="I106">
        <v>14800</v>
      </c>
      <c r="J106">
        <v>0</v>
      </c>
      <c r="K106">
        <v>100</v>
      </c>
      <c r="L106">
        <v>50</v>
      </c>
      <c r="M106">
        <v>1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 t="s">
        <v>3310</v>
      </c>
      <c r="AC106" t="s">
        <v>3311</v>
      </c>
      <c r="AD106" t="s">
        <v>3312</v>
      </c>
      <c r="AE106" t="s">
        <v>4</v>
      </c>
      <c r="AF106" t="s">
        <v>1</v>
      </c>
      <c r="AG106" t="s">
        <v>1</v>
      </c>
      <c r="AH106" t="s">
        <v>4168</v>
      </c>
      <c r="AI106" t="s">
        <v>2212</v>
      </c>
      <c r="AJ106" t="s">
        <v>1</v>
      </c>
      <c r="AK106">
        <v>9371696375</v>
      </c>
      <c r="AL106" t="s">
        <v>1</v>
      </c>
      <c r="AM106" t="s">
        <v>1</v>
      </c>
      <c r="AN106" t="s">
        <v>1</v>
      </c>
      <c r="AO106" t="s">
        <v>4168</v>
      </c>
      <c r="AP106" t="s">
        <v>1</v>
      </c>
      <c r="AQ106" t="s">
        <v>2</v>
      </c>
      <c r="AR106" t="s">
        <v>1</v>
      </c>
      <c r="AS106" t="s">
        <v>1</v>
      </c>
      <c r="AT106" t="s">
        <v>1</v>
      </c>
      <c r="AU106" t="s">
        <v>1</v>
      </c>
      <c r="AV106" t="s">
        <v>1</v>
      </c>
      <c r="AW106" t="s">
        <v>9</v>
      </c>
      <c r="AX106">
        <f>Tabla1[[#This Row],[precio del paquete]]-Tabla1[[#This Row],[Saldo_Deudor]]</f>
        <v>300</v>
      </c>
      <c r="AY106">
        <v>14500</v>
      </c>
      <c r="AZ106">
        <v>0</v>
      </c>
      <c r="BA106">
        <v>0</v>
      </c>
      <c r="BB106">
        <v>0</v>
      </c>
      <c r="BC106" t="s">
        <v>3061</v>
      </c>
      <c r="BD106" t="s">
        <v>3040</v>
      </c>
      <c r="BE106" t="s">
        <v>3</v>
      </c>
      <c r="BF106" t="s">
        <v>3</v>
      </c>
      <c r="BG106" t="s">
        <v>3</v>
      </c>
      <c r="BH106" t="s">
        <v>3</v>
      </c>
      <c r="BI106" t="s">
        <v>3</v>
      </c>
      <c r="BJ106" t="s">
        <v>4994</v>
      </c>
      <c r="BK106" t="s">
        <v>3</v>
      </c>
      <c r="BL106" t="s">
        <v>96</v>
      </c>
      <c r="BM106" t="s">
        <v>1</v>
      </c>
      <c r="BN106">
        <v>14800</v>
      </c>
      <c r="BO106" t="s">
        <v>1</v>
      </c>
      <c r="BP106" t="s">
        <v>1</v>
      </c>
      <c r="BQ106" t="s">
        <v>1</v>
      </c>
      <c r="BR106" t="s">
        <v>1</v>
      </c>
      <c r="BS106" t="s">
        <v>1</v>
      </c>
      <c r="BT106" t="s">
        <v>1</v>
      </c>
      <c r="BU106" t="s">
        <v>1</v>
      </c>
      <c r="BV106" t="s">
        <v>1</v>
      </c>
      <c r="BW106" t="s">
        <v>0</v>
      </c>
      <c r="BX106" t="s">
        <v>1</v>
      </c>
      <c r="BY106" t="s">
        <v>1</v>
      </c>
      <c r="BZ106" t="s">
        <v>1</v>
      </c>
      <c r="CA106" t="s">
        <v>1</v>
      </c>
      <c r="CB106" t="s">
        <v>1</v>
      </c>
      <c r="CD106" t="e" cm="1">
        <f t="array" aca="1" ref="CD106" ca="1">eConcatenar(A106:CB106,"|")</f>
        <v>#NAME?</v>
      </c>
    </row>
    <row r="107" spans="1:82" x14ac:dyDescent="0.25">
      <c r="A107" t="s">
        <v>202</v>
      </c>
      <c r="B107" t="s">
        <v>1209</v>
      </c>
      <c r="C107">
        <v>3</v>
      </c>
      <c r="D107" t="s">
        <v>2154</v>
      </c>
      <c r="E107" t="s">
        <v>2158</v>
      </c>
      <c r="F107" t="s">
        <v>0</v>
      </c>
      <c r="G107" t="s">
        <v>2212</v>
      </c>
      <c r="H107" t="s">
        <v>2739</v>
      </c>
      <c r="I107">
        <v>24500</v>
      </c>
      <c r="J107">
        <v>0</v>
      </c>
      <c r="K107">
        <v>100</v>
      </c>
      <c r="L107">
        <v>50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 t="s">
        <v>3137</v>
      </c>
      <c r="AC107" t="s">
        <v>3313</v>
      </c>
      <c r="AD107" t="s">
        <v>3314</v>
      </c>
      <c r="AE107" t="s">
        <v>4</v>
      </c>
      <c r="AF107" t="s">
        <v>1</v>
      </c>
      <c r="AG107" t="s">
        <v>1</v>
      </c>
      <c r="AH107" t="s">
        <v>4169</v>
      </c>
      <c r="AI107" t="s">
        <v>2212</v>
      </c>
      <c r="AJ107" t="s">
        <v>1</v>
      </c>
      <c r="AK107">
        <v>9932817681</v>
      </c>
      <c r="AL107" t="s">
        <v>1</v>
      </c>
      <c r="AM107" t="s">
        <v>1</v>
      </c>
      <c r="AN107" t="s">
        <v>1</v>
      </c>
      <c r="AO107" t="s">
        <v>4169</v>
      </c>
      <c r="AP107" t="s">
        <v>1</v>
      </c>
      <c r="AQ107" t="s">
        <v>2</v>
      </c>
      <c r="AR107" t="s">
        <v>1</v>
      </c>
      <c r="AS107" t="s">
        <v>1</v>
      </c>
      <c r="AT107" t="s">
        <v>1</v>
      </c>
      <c r="AU107" t="s">
        <v>1</v>
      </c>
      <c r="AV107" t="s">
        <v>1</v>
      </c>
      <c r="AW107" t="s">
        <v>9</v>
      </c>
      <c r="AX107">
        <f>Tabla1[[#This Row],[precio del paquete]]-Tabla1[[#This Row],[Saldo_Deudor]]</f>
        <v>300</v>
      </c>
      <c r="AY107">
        <v>24200</v>
      </c>
      <c r="AZ107">
        <v>0</v>
      </c>
      <c r="BA107">
        <v>0</v>
      </c>
      <c r="BB107">
        <v>0</v>
      </c>
      <c r="BC107" t="s">
        <v>2770</v>
      </c>
      <c r="BD107" t="s">
        <v>3061</v>
      </c>
      <c r="BE107" t="s">
        <v>3</v>
      </c>
      <c r="BF107" t="s">
        <v>3</v>
      </c>
      <c r="BG107" t="s">
        <v>3</v>
      </c>
      <c r="BH107" t="s">
        <v>3</v>
      </c>
      <c r="BI107" t="s">
        <v>3</v>
      </c>
      <c r="BJ107" t="s">
        <v>4994</v>
      </c>
      <c r="BK107" t="s">
        <v>3</v>
      </c>
      <c r="BL107" t="s">
        <v>96</v>
      </c>
      <c r="BM107" t="s">
        <v>1</v>
      </c>
      <c r="BN107">
        <v>24500</v>
      </c>
      <c r="BO107" t="s">
        <v>1</v>
      </c>
      <c r="BP107" t="s">
        <v>1</v>
      </c>
      <c r="BQ107" t="s">
        <v>1</v>
      </c>
      <c r="BR107" t="s">
        <v>1</v>
      </c>
      <c r="BS107" t="s">
        <v>1</v>
      </c>
      <c r="BT107" t="s">
        <v>1</v>
      </c>
      <c r="BU107" t="s">
        <v>1</v>
      </c>
      <c r="BV107" t="s">
        <v>1</v>
      </c>
      <c r="BW107" t="s">
        <v>0</v>
      </c>
      <c r="BX107" t="s">
        <v>1</v>
      </c>
      <c r="BY107" t="s">
        <v>1</v>
      </c>
      <c r="BZ107" t="s">
        <v>1</v>
      </c>
      <c r="CA107" t="s">
        <v>1</v>
      </c>
      <c r="CB107" t="s">
        <v>1</v>
      </c>
      <c r="CD107" t="e" cm="1">
        <f t="array" aca="1" ref="CD107" ca="1">eConcatenar(A107:CB107,"|")</f>
        <v>#NAME?</v>
      </c>
    </row>
    <row r="108" spans="1:82" x14ac:dyDescent="0.25">
      <c r="A108" t="s">
        <v>203</v>
      </c>
      <c r="B108" t="s">
        <v>1211</v>
      </c>
      <c r="C108">
        <v>3</v>
      </c>
      <c r="D108" t="s">
        <v>2154</v>
      </c>
      <c r="E108" t="s">
        <v>2158</v>
      </c>
      <c r="F108" t="s">
        <v>2162</v>
      </c>
      <c r="G108" t="s">
        <v>2212</v>
      </c>
      <c r="H108" t="s">
        <v>2770</v>
      </c>
      <c r="I108">
        <v>24500</v>
      </c>
      <c r="J108">
        <v>0</v>
      </c>
      <c r="K108">
        <v>700</v>
      </c>
      <c r="L108">
        <v>50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 t="s">
        <v>3290</v>
      </c>
      <c r="AC108" t="s">
        <v>5</v>
      </c>
      <c r="AD108" t="s">
        <v>3316</v>
      </c>
      <c r="AE108" t="s">
        <v>4</v>
      </c>
      <c r="AF108" t="s">
        <v>1</v>
      </c>
      <c r="AG108" t="s">
        <v>1</v>
      </c>
      <c r="AH108" t="s">
        <v>4170</v>
      </c>
      <c r="AI108" t="s">
        <v>2212</v>
      </c>
      <c r="AJ108" t="s">
        <v>1</v>
      </c>
      <c r="AK108">
        <v>9141215111</v>
      </c>
      <c r="AL108" t="s">
        <v>1</v>
      </c>
      <c r="AM108" t="s">
        <v>1</v>
      </c>
      <c r="AN108" t="s">
        <v>1</v>
      </c>
      <c r="AO108" t="s">
        <v>4170</v>
      </c>
      <c r="AP108" t="s">
        <v>1</v>
      </c>
      <c r="AQ108" t="s">
        <v>2</v>
      </c>
      <c r="AR108" t="s">
        <v>1</v>
      </c>
      <c r="AS108" t="s">
        <v>1</v>
      </c>
      <c r="AT108" t="s">
        <v>1</v>
      </c>
      <c r="AU108" t="s">
        <v>1</v>
      </c>
      <c r="AV108" t="s">
        <v>1</v>
      </c>
      <c r="AW108" t="s">
        <v>9</v>
      </c>
      <c r="AX108">
        <f>Tabla1[[#This Row],[precio del paquete]]-Tabla1[[#This Row],[Saldo_Deudor]]</f>
        <v>900</v>
      </c>
      <c r="AY108">
        <v>23600</v>
      </c>
      <c r="AZ108">
        <v>0</v>
      </c>
      <c r="BA108">
        <v>0</v>
      </c>
      <c r="BB108">
        <v>0</v>
      </c>
      <c r="BC108" t="s">
        <v>4829</v>
      </c>
      <c r="BD108" t="s">
        <v>4900</v>
      </c>
      <c r="BE108" t="s">
        <v>3</v>
      </c>
      <c r="BF108" t="s">
        <v>3</v>
      </c>
      <c r="BG108" t="s">
        <v>3</v>
      </c>
      <c r="BH108" t="s">
        <v>3</v>
      </c>
      <c r="BI108" t="s">
        <v>3</v>
      </c>
      <c r="BJ108" t="s">
        <v>4994</v>
      </c>
      <c r="BK108" t="s">
        <v>3</v>
      </c>
      <c r="BL108" t="s">
        <v>96</v>
      </c>
      <c r="BM108" t="s">
        <v>1</v>
      </c>
      <c r="BN108">
        <v>24500</v>
      </c>
      <c r="BO108" t="s">
        <v>1</v>
      </c>
      <c r="BP108" t="s">
        <v>1</v>
      </c>
      <c r="BQ108" t="s">
        <v>1</v>
      </c>
      <c r="BR108" t="s">
        <v>1</v>
      </c>
      <c r="BS108" t="s">
        <v>1</v>
      </c>
      <c r="BT108" t="s">
        <v>1</v>
      </c>
      <c r="BU108" t="s">
        <v>1</v>
      </c>
      <c r="BV108" t="s">
        <v>1</v>
      </c>
      <c r="BW108" t="s">
        <v>0</v>
      </c>
      <c r="BX108" t="s">
        <v>1</v>
      </c>
      <c r="BY108" t="s">
        <v>1</v>
      </c>
      <c r="BZ108" t="s">
        <v>1</v>
      </c>
      <c r="CA108" t="s">
        <v>1</v>
      </c>
      <c r="CB108" t="s">
        <v>1</v>
      </c>
      <c r="CD108" t="e" cm="1">
        <f t="array" aca="1" ref="CD108" ca="1">eConcatenar(A108:CB108,"|")</f>
        <v>#NAME?</v>
      </c>
    </row>
    <row r="109" spans="1:82" x14ac:dyDescent="0.25">
      <c r="A109" t="s">
        <v>204</v>
      </c>
      <c r="B109" t="s">
        <v>1212</v>
      </c>
      <c r="C109">
        <v>3</v>
      </c>
      <c r="D109" t="s">
        <v>2155</v>
      </c>
      <c r="E109" t="s">
        <v>2158</v>
      </c>
      <c r="F109" t="s">
        <v>0</v>
      </c>
      <c r="G109" t="s">
        <v>2212</v>
      </c>
      <c r="H109" t="s">
        <v>2771</v>
      </c>
      <c r="I109">
        <v>12900</v>
      </c>
      <c r="J109">
        <v>0</v>
      </c>
      <c r="K109">
        <v>200</v>
      </c>
      <c r="L109">
        <v>50</v>
      </c>
      <c r="M109">
        <v>1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 t="s">
        <v>5</v>
      </c>
      <c r="AC109" t="s">
        <v>3317</v>
      </c>
      <c r="AD109" t="s">
        <v>3189</v>
      </c>
      <c r="AE109" t="s">
        <v>4</v>
      </c>
      <c r="AF109" t="s">
        <v>1</v>
      </c>
      <c r="AG109" t="s">
        <v>1</v>
      </c>
      <c r="AH109" t="s">
        <v>4171</v>
      </c>
      <c r="AI109" t="s">
        <v>2212</v>
      </c>
      <c r="AJ109" t="s">
        <v>1</v>
      </c>
      <c r="AK109">
        <v>9371098926</v>
      </c>
      <c r="AL109" t="s">
        <v>1</v>
      </c>
      <c r="AM109" t="s">
        <v>1</v>
      </c>
      <c r="AN109" t="s">
        <v>1</v>
      </c>
      <c r="AO109" t="s">
        <v>4171</v>
      </c>
      <c r="AP109" t="s">
        <v>1</v>
      </c>
      <c r="AQ109" t="s">
        <v>2</v>
      </c>
      <c r="AR109" t="s">
        <v>1</v>
      </c>
      <c r="AS109" t="s">
        <v>1</v>
      </c>
      <c r="AT109" t="s">
        <v>1</v>
      </c>
      <c r="AU109" t="s">
        <v>1</v>
      </c>
      <c r="AV109" t="s">
        <v>1</v>
      </c>
      <c r="AW109" t="s">
        <v>9</v>
      </c>
      <c r="AX109">
        <f>Tabla1[[#This Row],[precio del paquete]]-Tabla1[[#This Row],[Saldo_Deudor]]</f>
        <v>1000</v>
      </c>
      <c r="AY109">
        <v>11900</v>
      </c>
      <c r="AZ109">
        <v>0</v>
      </c>
      <c r="BA109">
        <v>0</v>
      </c>
      <c r="BB109">
        <v>0</v>
      </c>
      <c r="BC109" t="s">
        <v>2962</v>
      </c>
      <c r="BD109" t="s">
        <v>4916</v>
      </c>
      <c r="BE109" t="s">
        <v>3</v>
      </c>
      <c r="BF109" t="s">
        <v>3</v>
      </c>
      <c r="BG109" t="s">
        <v>3</v>
      </c>
      <c r="BH109" t="s">
        <v>3</v>
      </c>
      <c r="BI109" t="s">
        <v>3</v>
      </c>
      <c r="BJ109" t="s">
        <v>5000</v>
      </c>
      <c r="BK109" t="s">
        <v>3</v>
      </c>
      <c r="BL109" t="s">
        <v>96</v>
      </c>
      <c r="BM109" t="s">
        <v>1</v>
      </c>
      <c r="BN109">
        <v>12900</v>
      </c>
      <c r="BO109" t="s">
        <v>1</v>
      </c>
      <c r="BP109" t="s">
        <v>1</v>
      </c>
      <c r="BQ109" t="s">
        <v>1</v>
      </c>
      <c r="BR109" t="s">
        <v>1</v>
      </c>
      <c r="BS109" t="s">
        <v>1</v>
      </c>
      <c r="BT109" t="s">
        <v>1</v>
      </c>
      <c r="BU109" t="s">
        <v>1</v>
      </c>
      <c r="BV109" t="s">
        <v>1</v>
      </c>
      <c r="BW109" t="s">
        <v>0</v>
      </c>
      <c r="BX109" t="s">
        <v>1</v>
      </c>
      <c r="BY109" t="s">
        <v>1</v>
      </c>
      <c r="BZ109" t="s">
        <v>1</v>
      </c>
      <c r="CA109" t="s">
        <v>1</v>
      </c>
      <c r="CB109" t="s">
        <v>1</v>
      </c>
      <c r="CD109" t="e" cm="1">
        <f t="array" aca="1" ref="CD109" ca="1">eConcatenar(A109:CB109,"|")</f>
        <v>#NAME?</v>
      </c>
    </row>
    <row r="110" spans="1:82" x14ac:dyDescent="0.25">
      <c r="A110" t="s">
        <v>205</v>
      </c>
      <c r="B110" t="s">
        <v>1213</v>
      </c>
      <c r="C110">
        <v>3</v>
      </c>
      <c r="D110" t="s">
        <v>2154</v>
      </c>
      <c r="E110" t="s">
        <v>2158</v>
      </c>
      <c r="F110" t="s">
        <v>0</v>
      </c>
      <c r="G110" t="s">
        <v>2230</v>
      </c>
      <c r="H110" t="s">
        <v>2738</v>
      </c>
      <c r="I110">
        <v>24500</v>
      </c>
      <c r="J110">
        <v>0</v>
      </c>
      <c r="K110">
        <v>2500</v>
      </c>
      <c r="L110">
        <v>50</v>
      </c>
      <c r="M110">
        <v>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 t="s">
        <v>3318</v>
      </c>
      <c r="AC110" t="s">
        <v>3184</v>
      </c>
      <c r="AD110" t="s">
        <v>3319</v>
      </c>
      <c r="AE110" t="s">
        <v>4</v>
      </c>
      <c r="AF110" t="s">
        <v>1</v>
      </c>
      <c r="AG110" t="s">
        <v>1</v>
      </c>
      <c r="AH110" t="s">
        <v>4172</v>
      </c>
      <c r="AI110" t="s">
        <v>2230</v>
      </c>
      <c r="AJ110" t="s">
        <v>1</v>
      </c>
      <c r="AK110">
        <v>9371031101</v>
      </c>
      <c r="AL110" t="s">
        <v>1</v>
      </c>
      <c r="AM110" t="s">
        <v>1</v>
      </c>
      <c r="AN110" t="s">
        <v>1</v>
      </c>
      <c r="AO110" t="s">
        <v>4172</v>
      </c>
      <c r="AP110" t="s">
        <v>1</v>
      </c>
      <c r="AQ110" t="s">
        <v>2</v>
      </c>
      <c r="AR110" t="s">
        <v>1</v>
      </c>
      <c r="AS110" t="s">
        <v>1</v>
      </c>
      <c r="AT110" t="s">
        <v>1</v>
      </c>
      <c r="AU110" t="s">
        <v>1</v>
      </c>
      <c r="AV110" t="s">
        <v>1</v>
      </c>
      <c r="AW110" t="s">
        <v>9</v>
      </c>
      <c r="AX110">
        <f>Tabla1[[#This Row],[precio del paquete]]-Tabla1[[#This Row],[Saldo_Deudor]]</f>
        <v>3500</v>
      </c>
      <c r="AY110">
        <v>21000</v>
      </c>
      <c r="AZ110">
        <v>0</v>
      </c>
      <c r="BA110">
        <v>0</v>
      </c>
      <c r="BB110">
        <v>0</v>
      </c>
      <c r="BC110" t="s">
        <v>2906</v>
      </c>
      <c r="BD110" t="s">
        <v>4898</v>
      </c>
      <c r="BE110" t="s">
        <v>3</v>
      </c>
      <c r="BF110" t="s">
        <v>3</v>
      </c>
      <c r="BG110" t="s">
        <v>3</v>
      </c>
      <c r="BH110" t="s">
        <v>3</v>
      </c>
      <c r="BI110" t="s">
        <v>3</v>
      </c>
      <c r="BJ110" t="s">
        <v>4985</v>
      </c>
      <c r="BK110" t="s">
        <v>3</v>
      </c>
      <c r="BL110" t="s">
        <v>96</v>
      </c>
      <c r="BM110" t="s">
        <v>1</v>
      </c>
      <c r="BN110">
        <v>24500</v>
      </c>
      <c r="BO110" t="s">
        <v>1</v>
      </c>
      <c r="BP110" t="s">
        <v>1</v>
      </c>
      <c r="BQ110" t="s">
        <v>1</v>
      </c>
      <c r="BR110" t="s">
        <v>1</v>
      </c>
      <c r="BS110" t="s">
        <v>1</v>
      </c>
      <c r="BT110" t="s">
        <v>1</v>
      </c>
      <c r="BU110" t="s">
        <v>1</v>
      </c>
      <c r="BV110" t="s">
        <v>1</v>
      </c>
      <c r="BW110" t="s">
        <v>0</v>
      </c>
      <c r="BX110" t="s">
        <v>1</v>
      </c>
      <c r="BY110" t="s">
        <v>1</v>
      </c>
      <c r="BZ110" t="s">
        <v>1</v>
      </c>
      <c r="CA110" t="s">
        <v>1</v>
      </c>
      <c r="CB110" t="s">
        <v>1</v>
      </c>
      <c r="CD110" t="e" cm="1">
        <f t="array" aca="1" ref="CD110" ca="1">eConcatenar(A110:CB110,"|")</f>
        <v>#NAME?</v>
      </c>
    </row>
    <row r="111" spans="1:82" x14ac:dyDescent="0.25">
      <c r="A111" t="s">
        <v>206</v>
      </c>
      <c r="B111" t="s">
        <v>1215</v>
      </c>
      <c r="C111">
        <v>3</v>
      </c>
      <c r="D111" t="s">
        <v>2153</v>
      </c>
      <c r="E111" t="s">
        <v>2158</v>
      </c>
      <c r="F111" t="s">
        <v>0</v>
      </c>
      <c r="G111" t="s">
        <v>2230</v>
      </c>
      <c r="H111" t="s">
        <v>2772</v>
      </c>
      <c r="I111">
        <v>14800</v>
      </c>
      <c r="J111">
        <v>0</v>
      </c>
      <c r="K111">
        <v>100</v>
      </c>
      <c r="L111">
        <v>50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 t="s">
        <v>3320</v>
      </c>
      <c r="AC111" t="s">
        <v>3132</v>
      </c>
      <c r="AD111" t="s">
        <v>3321</v>
      </c>
      <c r="AE111" t="s">
        <v>4</v>
      </c>
      <c r="AF111" t="s">
        <v>1</v>
      </c>
      <c r="AG111" t="s">
        <v>1</v>
      </c>
      <c r="AH111" t="s">
        <v>4173</v>
      </c>
      <c r="AI111" t="s">
        <v>2230</v>
      </c>
      <c r="AJ111" t="s">
        <v>1</v>
      </c>
      <c r="AK111">
        <v>93737826</v>
      </c>
      <c r="AL111" t="s">
        <v>1</v>
      </c>
      <c r="AM111" t="s">
        <v>1</v>
      </c>
      <c r="AN111" t="s">
        <v>1</v>
      </c>
      <c r="AO111" t="s">
        <v>4173</v>
      </c>
      <c r="AP111" t="s">
        <v>1</v>
      </c>
      <c r="AQ111" t="s">
        <v>2</v>
      </c>
      <c r="AR111" t="s">
        <v>1</v>
      </c>
      <c r="AS111" t="s">
        <v>1</v>
      </c>
      <c r="AT111" t="s">
        <v>1</v>
      </c>
      <c r="AU111" t="s">
        <v>1</v>
      </c>
      <c r="AV111" t="s">
        <v>1</v>
      </c>
      <c r="AW111" t="s">
        <v>9</v>
      </c>
      <c r="AX111">
        <f>Tabla1[[#This Row],[precio del paquete]]-Tabla1[[#This Row],[Saldo_Deudor]]</f>
        <v>3300</v>
      </c>
      <c r="AY111">
        <v>11500</v>
      </c>
      <c r="AZ111">
        <v>0</v>
      </c>
      <c r="BA111">
        <v>0</v>
      </c>
      <c r="BB111">
        <v>0</v>
      </c>
      <c r="BC111" t="s">
        <v>2772</v>
      </c>
      <c r="BD111" t="s">
        <v>4917</v>
      </c>
      <c r="BE111" t="s">
        <v>3</v>
      </c>
      <c r="BF111" t="s">
        <v>3</v>
      </c>
      <c r="BG111" t="s">
        <v>3</v>
      </c>
      <c r="BH111" t="s">
        <v>3</v>
      </c>
      <c r="BI111" t="s">
        <v>3</v>
      </c>
      <c r="BJ111" t="s">
        <v>4985</v>
      </c>
      <c r="BK111" t="s">
        <v>3</v>
      </c>
      <c r="BL111" t="s">
        <v>96</v>
      </c>
      <c r="BM111" t="s">
        <v>1</v>
      </c>
      <c r="BN111">
        <v>14800</v>
      </c>
      <c r="BO111" t="s">
        <v>1</v>
      </c>
      <c r="BP111" t="s">
        <v>1</v>
      </c>
      <c r="BQ111" t="s">
        <v>1</v>
      </c>
      <c r="BR111" t="s">
        <v>1</v>
      </c>
      <c r="BS111" t="s">
        <v>1</v>
      </c>
      <c r="BT111" t="s">
        <v>1</v>
      </c>
      <c r="BU111" t="s">
        <v>1</v>
      </c>
      <c r="BV111" t="s">
        <v>1</v>
      </c>
      <c r="BW111" t="s">
        <v>0</v>
      </c>
      <c r="BX111" t="s">
        <v>1</v>
      </c>
      <c r="BY111" t="s">
        <v>1</v>
      </c>
      <c r="BZ111" t="s">
        <v>1</v>
      </c>
      <c r="CA111" t="s">
        <v>1</v>
      </c>
      <c r="CB111" t="s">
        <v>1</v>
      </c>
      <c r="CD111" t="e" cm="1">
        <f t="array" aca="1" ref="CD111" ca="1">eConcatenar(A111:CB111,"|")</f>
        <v>#NAME?</v>
      </c>
    </row>
    <row r="112" spans="1:82" x14ac:dyDescent="0.25">
      <c r="A112" t="s">
        <v>207</v>
      </c>
      <c r="B112" t="s">
        <v>1216</v>
      </c>
      <c r="C112">
        <v>3</v>
      </c>
      <c r="D112" t="s">
        <v>2153</v>
      </c>
      <c r="E112" t="s">
        <v>2158</v>
      </c>
      <c r="F112" t="s">
        <v>2159</v>
      </c>
      <c r="G112" t="s">
        <v>2231</v>
      </c>
      <c r="H112" t="s">
        <v>2773</v>
      </c>
      <c r="I112">
        <v>14800</v>
      </c>
      <c r="J112">
        <v>0</v>
      </c>
      <c r="K112">
        <v>200</v>
      </c>
      <c r="L112">
        <v>50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 t="s">
        <v>3114</v>
      </c>
      <c r="AC112" t="s">
        <v>3322</v>
      </c>
      <c r="AD112" t="s">
        <v>3323</v>
      </c>
      <c r="AE112" t="s">
        <v>4</v>
      </c>
      <c r="AF112" t="s">
        <v>1</v>
      </c>
      <c r="AG112" t="s">
        <v>1</v>
      </c>
      <c r="AH112" t="s">
        <v>4174</v>
      </c>
      <c r="AI112" t="s">
        <v>2231</v>
      </c>
      <c r="AJ112" t="s">
        <v>1</v>
      </c>
      <c r="AK112">
        <v>9333292256</v>
      </c>
      <c r="AL112" t="s">
        <v>1</v>
      </c>
      <c r="AM112" t="s">
        <v>1</v>
      </c>
      <c r="AN112" t="s">
        <v>1</v>
      </c>
      <c r="AO112" t="s">
        <v>4174</v>
      </c>
      <c r="AP112" t="s">
        <v>1</v>
      </c>
      <c r="AQ112" t="s">
        <v>2</v>
      </c>
      <c r="AR112" t="s">
        <v>1</v>
      </c>
      <c r="AS112" t="s">
        <v>1</v>
      </c>
      <c r="AT112" t="s">
        <v>1</v>
      </c>
      <c r="AU112" t="s">
        <v>1</v>
      </c>
      <c r="AV112" t="s">
        <v>1</v>
      </c>
      <c r="AW112" t="s">
        <v>9</v>
      </c>
      <c r="AX112">
        <f>Tabla1[[#This Row],[precio del paquete]]-Tabla1[[#This Row],[Saldo_Deudor]]</f>
        <v>1950</v>
      </c>
      <c r="AY112">
        <v>12850</v>
      </c>
      <c r="AZ112">
        <v>0</v>
      </c>
      <c r="BA112">
        <v>0</v>
      </c>
      <c r="BB112">
        <v>0</v>
      </c>
      <c r="BC112" t="s">
        <v>4826</v>
      </c>
      <c r="BD112" t="s">
        <v>2706</v>
      </c>
      <c r="BE112" t="s">
        <v>3</v>
      </c>
      <c r="BF112" t="s">
        <v>3</v>
      </c>
      <c r="BG112" t="s">
        <v>3</v>
      </c>
      <c r="BH112" t="s">
        <v>3</v>
      </c>
      <c r="BI112" t="s">
        <v>3</v>
      </c>
      <c r="BJ112" t="s">
        <v>4995</v>
      </c>
      <c r="BK112" t="s">
        <v>3</v>
      </c>
      <c r="BL112" t="s">
        <v>96</v>
      </c>
      <c r="BM112" t="s">
        <v>1</v>
      </c>
      <c r="BN112">
        <v>14800</v>
      </c>
      <c r="BO112" t="s">
        <v>1</v>
      </c>
      <c r="BP112" t="s">
        <v>1</v>
      </c>
      <c r="BQ112" t="s">
        <v>1</v>
      </c>
      <c r="BR112" t="s">
        <v>1</v>
      </c>
      <c r="BS112" t="s">
        <v>1</v>
      </c>
      <c r="BT112" t="s">
        <v>1</v>
      </c>
      <c r="BU112" t="s">
        <v>1</v>
      </c>
      <c r="BV112" t="s">
        <v>1</v>
      </c>
      <c r="BW112" t="s">
        <v>0</v>
      </c>
      <c r="BX112" t="s">
        <v>1</v>
      </c>
      <c r="BY112" t="s">
        <v>1</v>
      </c>
      <c r="BZ112" t="s">
        <v>1</v>
      </c>
      <c r="CA112" t="s">
        <v>1</v>
      </c>
      <c r="CB112" t="s">
        <v>1</v>
      </c>
      <c r="CD112" t="e" cm="1">
        <f t="array" aca="1" ref="CD112" ca="1">eConcatenar(A112:CB112,"|")</f>
        <v>#NAME?</v>
      </c>
    </row>
    <row r="113" spans="1:82" x14ac:dyDescent="0.25">
      <c r="A113" t="s">
        <v>208</v>
      </c>
      <c r="B113" t="s">
        <v>1217</v>
      </c>
      <c r="C113">
        <v>3</v>
      </c>
      <c r="D113" t="s">
        <v>2153</v>
      </c>
      <c r="E113" t="s">
        <v>2158</v>
      </c>
      <c r="F113" t="s">
        <v>0</v>
      </c>
      <c r="G113" t="s">
        <v>2232</v>
      </c>
      <c r="H113" t="s">
        <v>2698</v>
      </c>
      <c r="I113">
        <v>14800</v>
      </c>
      <c r="J113">
        <v>0</v>
      </c>
      <c r="K113">
        <v>200</v>
      </c>
      <c r="L113">
        <v>50</v>
      </c>
      <c r="M113">
        <v>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 t="s">
        <v>3256</v>
      </c>
      <c r="AC113" t="s">
        <v>3324</v>
      </c>
      <c r="AD113" t="s">
        <v>3325</v>
      </c>
      <c r="AE113" t="s">
        <v>4</v>
      </c>
      <c r="AF113" t="s">
        <v>1</v>
      </c>
      <c r="AG113" t="s">
        <v>1</v>
      </c>
      <c r="AH113" t="s">
        <v>4175</v>
      </c>
      <c r="AI113" t="s">
        <v>2232</v>
      </c>
      <c r="AJ113" t="s">
        <v>1</v>
      </c>
      <c r="AK113">
        <v>9371251765</v>
      </c>
      <c r="AL113" t="s">
        <v>1</v>
      </c>
      <c r="AM113" t="s">
        <v>1</v>
      </c>
      <c r="AN113" t="s">
        <v>1</v>
      </c>
      <c r="AO113" t="s">
        <v>4175</v>
      </c>
      <c r="AP113" t="s">
        <v>1</v>
      </c>
      <c r="AQ113" t="s">
        <v>2</v>
      </c>
      <c r="AR113" t="s">
        <v>1</v>
      </c>
      <c r="AS113" t="s">
        <v>1</v>
      </c>
      <c r="AT113" t="s">
        <v>1</v>
      </c>
      <c r="AU113" t="s">
        <v>1</v>
      </c>
      <c r="AV113" t="s">
        <v>1</v>
      </c>
      <c r="AW113" t="s">
        <v>9</v>
      </c>
      <c r="AX113">
        <f>Tabla1[[#This Row],[precio del paquete]]-Tabla1[[#This Row],[Saldo_Deudor]]</f>
        <v>1400</v>
      </c>
      <c r="AY113">
        <v>13400</v>
      </c>
      <c r="AZ113">
        <v>0</v>
      </c>
      <c r="BA113">
        <v>0</v>
      </c>
      <c r="BB113">
        <v>0</v>
      </c>
      <c r="BC113" t="s">
        <v>2923</v>
      </c>
      <c r="BD113" t="s">
        <v>4910</v>
      </c>
      <c r="BE113" t="s">
        <v>3</v>
      </c>
      <c r="BF113" t="s">
        <v>3</v>
      </c>
      <c r="BG113" t="s">
        <v>3</v>
      </c>
      <c r="BH113" t="s">
        <v>3</v>
      </c>
      <c r="BI113" t="s">
        <v>3</v>
      </c>
      <c r="BJ113" t="s">
        <v>5003</v>
      </c>
      <c r="BK113" t="s">
        <v>3</v>
      </c>
      <c r="BL113" t="s">
        <v>96</v>
      </c>
      <c r="BM113" t="s">
        <v>1</v>
      </c>
      <c r="BN113">
        <v>14800</v>
      </c>
      <c r="BO113" t="s">
        <v>1</v>
      </c>
      <c r="BP113" t="s">
        <v>1</v>
      </c>
      <c r="BQ113" t="s">
        <v>1</v>
      </c>
      <c r="BR113" t="s">
        <v>1</v>
      </c>
      <c r="BS113" t="s">
        <v>1</v>
      </c>
      <c r="BT113" t="s">
        <v>1</v>
      </c>
      <c r="BU113" t="s">
        <v>1</v>
      </c>
      <c r="BV113" t="s">
        <v>1</v>
      </c>
      <c r="BW113" t="s">
        <v>0</v>
      </c>
      <c r="BX113" t="s">
        <v>1</v>
      </c>
      <c r="BY113" t="s">
        <v>1</v>
      </c>
      <c r="BZ113" t="s">
        <v>1</v>
      </c>
      <c r="CA113" t="s">
        <v>1</v>
      </c>
      <c r="CB113" t="s">
        <v>1</v>
      </c>
      <c r="CD113" t="e" cm="1">
        <f t="array" aca="1" ref="CD113" ca="1">eConcatenar(A113:CB113,"|")</f>
        <v>#NAME?</v>
      </c>
    </row>
    <row r="114" spans="1:82" x14ac:dyDescent="0.25">
      <c r="A114" t="s">
        <v>209</v>
      </c>
      <c r="B114" t="s">
        <v>1218</v>
      </c>
      <c r="C114">
        <v>3</v>
      </c>
      <c r="D114" t="s">
        <v>2153</v>
      </c>
      <c r="E114" t="s">
        <v>2158</v>
      </c>
      <c r="F114" t="s">
        <v>2162</v>
      </c>
      <c r="G114" t="s">
        <v>2233</v>
      </c>
      <c r="H114" t="s">
        <v>2767</v>
      </c>
      <c r="I114">
        <v>14800</v>
      </c>
      <c r="J114">
        <v>0</v>
      </c>
      <c r="K114">
        <v>200</v>
      </c>
      <c r="L114">
        <v>50</v>
      </c>
      <c r="M114">
        <v>1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 t="s">
        <v>3132</v>
      </c>
      <c r="AC114" t="s">
        <v>3315</v>
      </c>
      <c r="AD114" t="s">
        <v>3326</v>
      </c>
      <c r="AE114" t="s">
        <v>4</v>
      </c>
      <c r="AF114" t="s">
        <v>1</v>
      </c>
      <c r="AG114" t="s">
        <v>1</v>
      </c>
      <c r="AH114" t="s">
        <v>4176</v>
      </c>
      <c r="AI114" t="s">
        <v>2233</v>
      </c>
      <c r="AJ114" t="s">
        <v>1</v>
      </c>
      <c r="AK114">
        <v>9331345101</v>
      </c>
      <c r="AL114" t="s">
        <v>1</v>
      </c>
      <c r="AM114" t="s">
        <v>1</v>
      </c>
      <c r="AN114" t="s">
        <v>1</v>
      </c>
      <c r="AO114" t="s">
        <v>4176</v>
      </c>
      <c r="AP114" t="s">
        <v>1</v>
      </c>
      <c r="AQ114" t="s">
        <v>2</v>
      </c>
      <c r="AR114" t="s">
        <v>1</v>
      </c>
      <c r="AS114" t="s">
        <v>1</v>
      </c>
      <c r="AT114" t="s">
        <v>1</v>
      </c>
      <c r="AU114" t="s">
        <v>1</v>
      </c>
      <c r="AV114" t="s">
        <v>1</v>
      </c>
      <c r="AW114" t="s">
        <v>9</v>
      </c>
      <c r="AX114">
        <f>Tabla1[[#This Row],[precio del paquete]]-Tabla1[[#This Row],[Saldo_Deudor]]</f>
        <v>600</v>
      </c>
      <c r="AY114">
        <v>14200</v>
      </c>
      <c r="AZ114">
        <v>0</v>
      </c>
      <c r="BA114">
        <v>0</v>
      </c>
      <c r="BB114">
        <v>0</v>
      </c>
      <c r="BC114" t="s">
        <v>4835</v>
      </c>
      <c r="BD114" t="s">
        <v>4855</v>
      </c>
      <c r="BE114" t="s">
        <v>3</v>
      </c>
      <c r="BF114" t="s">
        <v>3</v>
      </c>
      <c r="BG114" t="s">
        <v>3</v>
      </c>
      <c r="BH114" t="s">
        <v>3</v>
      </c>
      <c r="BI114" t="s">
        <v>3</v>
      </c>
      <c r="BJ114" t="s">
        <v>4995</v>
      </c>
      <c r="BK114" t="s">
        <v>3</v>
      </c>
      <c r="BL114" t="s">
        <v>96</v>
      </c>
      <c r="BM114" t="s">
        <v>1</v>
      </c>
      <c r="BN114">
        <v>14800</v>
      </c>
      <c r="BO114" t="s">
        <v>1</v>
      </c>
      <c r="BP114" t="s">
        <v>1</v>
      </c>
      <c r="BQ114" t="s">
        <v>1</v>
      </c>
      <c r="BR114" t="s">
        <v>1</v>
      </c>
      <c r="BS114" t="s">
        <v>1</v>
      </c>
      <c r="BT114" t="s">
        <v>1</v>
      </c>
      <c r="BU114" t="s">
        <v>1</v>
      </c>
      <c r="BV114" t="s">
        <v>1</v>
      </c>
      <c r="BW114" t="s">
        <v>0</v>
      </c>
      <c r="BX114" t="s">
        <v>1</v>
      </c>
      <c r="BY114" t="s">
        <v>1</v>
      </c>
      <c r="BZ114" t="s">
        <v>1</v>
      </c>
      <c r="CA114" t="s">
        <v>1</v>
      </c>
      <c r="CB114" t="s">
        <v>1</v>
      </c>
      <c r="CD114" t="e" cm="1">
        <f t="array" aca="1" ref="CD114" ca="1">eConcatenar(A114:CB114,"|")</f>
        <v>#NAME?</v>
      </c>
    </row>
    <row r="115" spans="1:82" x14ac:dyDescent="0.25">
      <c r="A115" t="s">
        <v>210</v>
      </c>
      <c r="B115" t="s">
        <v>1219</v>
      </c>
      <c r="C115">
        <v>3</v>
      </c>
      <c r="D115" t="s">
        <v>2153</v>
      </c>
      <c r="E115" t="s">
        <v>2158</v>
      </c>
      <c r="F115" t="s">
        <v>2162</v>
      </c>
      <c r="G115" t="s">
        <v>2233</v>
      </c>
      <c r="H115" t="s">
        <v>2702</v>
      </c>
      <c r="I115">
        <v>14800</v>
      </c>
      <c r="J115">
        <v>0</v>
      </c>
      <c r="K115">
        <v>100</v>
      </c>
      <c r="L115">
        <v>50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 t="s">
        <v>3132</v>
      </c>
      <c r="AC115" t="s">
        <v>3132</v>
      </c>
      <c r="AD115" t="s">
        <v>3237</v>
      </c>
      <c r="AE115" t="s">
        <v>4</v>
      </c>
      <c r="AF115" t="s">
        <v>1</v>
      </c>
      <c r="AG115" t="s">
        <v>1</v>
      </c>
      <c r="AH115" t="s">
        <v>4161</v>
      </c>
      <c r="AI115" t="s">
        <v>2233</v>
      </c>
      <c r="AJ115" t="s">
        <v>1</v>
      </c>
      <c r="AK115">
        <v>9331347269</v>
      </c>
      <c r="AL115" t="s">
        <v>1</v>
      </c>
      <c r="AM115" t="s">
        <v>1</v>
      </c>
      <c r="AN115" t="s">
        <v>1</v>
      </c>
      <c r="AO115" t="s">
        <v>4161</v>
      </c>
      <c r="AP115" t="s">
        <v>1</v>
      </c>
      <c r="AQ115" t="s">
        <v>2</v>
      </c>
      <c r="AR115" t="s">
        <v>1</v>
      </c>
      <c r="AS115" t="s">
        <v>1</v>
      </c>
      <c r="AT115" t="s">
        <v>1</v>
      </c>
      <c r="AU115" t="s">
        <v>1</v>
      </c>
      <c r="AV115" t="s">
        <v>1</v>
      </c>
      <c r="AW115" t="s">
        <v>9</v>
      </c>
      <c r="AX115">
        <f>Tabla1[[#This Row],[precio del paquete]]-Tabla1[[#This Row],[Saldo_Deudor]]</f>
        <v>1100</v>
      </c>
      <c r="AY115">
        <v>13700</v>
      </c>
      <c r="AZ115">
        <v>0</v>
      </c>
      <c r="BA115">
        <v>0</v>
      </c>
      <c r="BB115">
        <v>0</v>
      </c>
      <c r="BC115" t="s">
        <v>2945</v>
      </c>
      <c r="BD115" t="s">
        <v>4918</v>
      </c>
      <c r="BE115" t="s">
        <v>3</v>
      </c>
      <c r="BF115" t="s">
        <v>3</v>
      </c>
      <c r="BG115" t="s">
        <v>3</v>
      </c>
      <c r="BH115" t="s">
        <v>3</v>
      </c>
      <c r="BI115" t="s">
        <v>3</v>
      </c>
      <c r="BJ115" t="s">
        <v>5000</v>
      </c>
      <c r="BK115" t="s">
        <v>3</v>
      </c>
      <c r="BL115" t="s">
        <v>96</v>
      </c>
      <c r="BM115" t="s">
        <v>1</v>
      </c>
      <c r="BN115">
        <v>14800</v>
      </c>
      <c r="BO115" t="s">
        <v>1</v>
      </c>
      <c r="BP115" t="s">
        <v>1</v>
      </c>
      <c r="BQ115" t="s">
        <v>1</v>
      </c>
      <c r="BR115" t="s">
        <v>1</v>
      </c>
      <c r="BS115" t="s">
        <v>1</v>
      </c>
      <c r="BT115" t="s">
        <v>1</v>
      </c>
      <c r="BU115" t="s">
        <v>1</v>
      </c>
      <c r="BV115" t="s">
        <v>1</v>
      </c>
      <c r="BW115" t="s">
        <v>0</v>
      </c>
      <c r="BX115" t="s">
        <v>1</v>
      </c>
      <c r="BY115" t="s">
        <v>1</v>
      </c>
      <c r="BZ115" t="s">
        <v>1</v>
      </c>
      <c r="CA115" t="s">
        <v>1</v>
      </c>
      <c r="CB115" t="s">
        <v>1</v>
      </c>
      <c r="CD115" t="e" cm="1">
        <f t="array" aca="1" ref="CD115" ca="1">eConcatenar(A115:CB115,"|")</f>
        <v>#NAME?</v>
      </c>
    </row>
    <row r="116" spans="1:82" x14ac:dyDescent="0.25">
      <c r="A116" t="s">
        <v>211</v>
      </c>
      <c r="B116" t="s">
        <v>1220</v>
      </c>
      <c r="C116">
        <v>3</v>
      </c>
      <c r="D116" t="s">
        <v>2153</v>
      </c>
      <c r="E116" t="s">
        <v>2158</v>
      </c>
      <c r="F116" t="s">
        <v>2162</v>
      </c>
      <c r="G116" t="s">
        <v>2233</v>
      </c>
      <c r="H116" t="s">
        <v>2702</v>
      </c>
      <c r="I116">
        <v>14800</v>
      </c>
      <c r="J116">
        <v>0</v>
      </c>
      <c r="K116">
        <v>100</v>
      </c>
      <c r="L116">
        <v>50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 t="s">
        <v>3327</v>
      </c>
      <c r="AC116" t="s">
        <v>3135</v>
      </c>
      <c r="AD116" t="s">
        <v>3328</v>
      </c>
      <c r="AE116" t="s">
        <v>4</v>
      </c>
      <c r="AF116" t="s">
        <v>1</v>
      </c>
      <c r="AG116" t="s">
        <v>1</v>
      </c>
      <c r="AH116" t="s">
        <v>4177</v>
      </c>
      <c r="AI116" t="s">
        <v>2233</v>
      </c>
      <c r="AJ116" t="s">
        <v>1</v>
      </c>
      <c r="AK116">
        <v>9331217974</v>
      </c>
      <c r="AL116" t="s">
        <v>1</v>
      </c>
      <c r="AM116" t="s">
        <v>1</v>
      </c>
      <c r="AN116" t="s">
        <v>1</v>
      </c>
      <c r="AO116" t="s">
        <v>4177</v>
      </c>
      <c r="AP116" t="s">
        <v>1</v>
      </c>
      <c r="AQ116" t="s">
        <v>2</v>
      </c>
      <c r="AR116" t="s">
        <v>1</v>
      </c>
      <c r="AS116" t="s">
        <v>1</v>
      </c>
      <c r="AT116" t="s">
        <v>1</v>
      </c>
      <c r="AU116" t="s">
        <v>1</v>
      </c>
      <c r="AV116" t="s">
        <v>1</v>
      </c>
      <c r="AW116" t="s">
        <v>9</v>
      </c>
      <c r="AX116">
        <f>Tabla1[[#This Row],[precio del paquete]]-Tabla1[[#This Row],[Saldo_Deudor]]</f>
        <v>950</v>
      </c>
      <c r="AY116">
        <v>13850</v>
      </c>
      <c r="AZ116">
        <v>0</v>
      </c>
      <c r="BA116">
        <v>0</v>
      </c>
      <c r="BB116">
        <v>0</v>
      </c>
      <c r="BC116" t="s">
        <v>3024</v>
      </c>
      <c r="BD116" t="s">
        <v>4830</v>
      </c>
      <c r="BE116" t="s">
        <v>3</v>
      </c>
      <c r="BF116" t="s">
        <v>3</v>
      </c>
      <c r="BG116" t="s">
        <v>3</v>
      </c>
      <c r="BH116" t="s">
        <v>3</v>
      </c>
      <c r="BI116" t="s">
        <v>3</v>
      </c>
      <c r="BJ116" t="s">
        <v>5000</v>
      </c>
      <c r="BK116" t="s">
        <v>3</v>
      </c>
      <c r="BL116" t="s">
        <v>96</v>
      </c>
      <c r="BM116" t="s">
        <v>1</v>
      </c>
      <c r="BN116">
        <v>14800</v>
      </c>
      <c r="BO116" t="s">
        <v>1</v>
      </c>
      <c r="BP116" t="s">
        <v>1</v>
      </c>
      <c r="BQ116" t="s">
        <v>1</v>
      </c>
      <c r="BR116" t="s">
        <v>1</v>
      </c>
      <c r="BS116" t="s">
        <v>1</v>
      </c>
      <c r="BT116" t="s">
        <v>1</v>
      </c>
      <c r="BU116" t="s">
        <v>1</v>
      </c>
      <c r="BV116" t="s">
        <v>1</v>
      </c>
      <c r="BW116" t="s">
        <v>0</v>
      </c>
      <c r="BX116" t="s">
        <v>1</v>
      </c>
      <c r="BY116" t="s">
        <v>1</v>
      </c>
      <c r="BZ116" t="s">
        <v>1</v>
      </c>
      <c r="CA116" t="s">
        <v>1</v>
      </c>
      <c r="CB116" t="s">
        <v>1</v>
      </c>
      <c r="CD116" t="e" cm="1">
        <f t="array" aca="1" ref="CD116" ca="1">eConcatenar(A116:CB116,"|")</f>
        <v>#NAME?</v>
      </c>
    </row>
    <row r="117" spans="1:82" x14ac:dyDescent="0.25">
      <c r="A117" t="s">
        <v>212</v>
      </c>
      <c r="B117" t="s">
        <v>1221</v>
      </c>
      <c r="C117">
        <v>3</v>
      </c>
      <c r="D117" t="s">
        <v>2153</v>
      </c>
      <c r="E117" t="s">
        <v>2158</v>
      </c>
      <c r="F117" t="s">
        <v>2162</v>
      </c>
      <c r="G117" t="s">
        <v>2233</v>
      </c>
      <c r="H117" t="s">
        <v>2702</v>
      </c>
      <c r="I117">
        <v>14800</v>
      </c>
      <c r="J117">
        <v>0</v>
      </c>
      <c r="K117">
        <v>100</v>
      </c>
      <c r="L117">
        <v>50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 t="s">
        <v>3240</v>
      </c>
      <c r="AC117" t="s">
        <v>3132</v>
      </c>
      <c r="AD117" t="s">
        <v>3206</v>
      </c>
      <c r="AE117" t="s">
        <v>4</v>
      </c>
      <c r="AF117" t="s">
        <v>1</v>
      </c>
      <c r="AG117" t="s">
        <v>1</v>
      </c>
      <c r="AH117" t="s">
        <v>4178</v>
      </c>
      <c r="AI117" t="s">
        <v>2233</v>
      </c>
      <c r="AJ117" t="s">
        <v>1</v>
      </c>
      <c r="AK117">
        <v>9331347478</v>
      </c>
      <c r="AL117" t="s">
        <v>1</v>
      </c>
      <c r="AM117" t="s">
        <v>1</v>
      </c>
      <c r="AN117" t="s">
        <v>1</v>
      </c>
      <c r="AO117" t="s">
        <v>4178</v>
      </c>
      <c r="AP117" t="s">
        <v>1</v>
      </c>
      <c r="AQ117" t="s">
        <v>2</v>
      </c>
      <c r="AR117" t="s">
        <v>1</v>
      </c>
      <c r="AS117" t="s">
        <v>1</v>
      </c>
      <c r="AT117" t="s">
        <v>1</v>
      </c>
      <c r="AU117" t="s">
        <v>1</v>
      </c>
      <c r="AV117" t="s">
        <v>1</v>
      </c>
      <c r="AW117" t="s">
        <v>9</v>
      </c>
      <c r="AX117">
        <f>Tabla1[[#This Row],[precio del paquete]]-Tabla1[[#This Row],[Saldo_Deudor]]</f>
        <v>1700</v>
      </c>
      <c r="AY117">
        <v>13100</v>
      </c>
      <c r="AZ117">
        <v>0</v>
      </c>
      <c r="BA117">
        <v>0</v>
      </c>
      <c r="BB117">
        <v>0</v>
      </c>
      <c r="BC117" t="s">
        <v>3024</v>
      </c>
      <c r="BD117" t="s">
        <v>4830</v>
      </c>
      <c r="BE117" t="s">
        <v>3</v>
      </c>
      <c r="BF117" t="s">
        <v>3</v>
      </c>
      <c r="BG117" t="s">
        <v>3</v>
      </c>
      <c r="BH117" t="s">
        <v>3</v>
      </c>
      <c r="BI117" t="s">
        <v>3</v>
      </c>
      <c r="BJ117" t="s">
        <v>5000</v>
      </c>
      <c r="BK117" t="s">
        <v>3</v>
      </c>
      <c r="BL117" t="s">
        <v>96</v>
      </c>
      <c r="BM117" t="s">
        <v>1</v>
      </c>
      <c r="BN117">
        <v>14800</v>
      </c>
      <c r="BO117" t="s">
        <v>1</v>
      </c>
      <c r="BP117" t="s">
        <v>1</v>
      </c>
      <c r="BQ117" t="s">
        <v>1</v>
      </c>
      <c r="BR117" t="s">
        <v>1</v>
      </c>
      <c r="BS117" t="s">
        <v>1</v>
      </c>
      <c r="BT117" t="s">
        <v>1</v>
      </c>
      <c r="BU117" t="s">
        <v>1</v>
      </c>
      <c r="BV117" t="s">
        <v>1</v>
      </c>
      <c r="BW117" t="s">
        <v>0</v>
      </c>
      <c r="BX117" t="s">
        <v>1</v>
      </c>
      <c r="BY117" t="s">
        <v>1</v>
      </c>
      <c r="BZ117" t="s">
        <v>1</v>
      </c>
      <c r="CA117" t="s">
        <v>1</v>
      </c>
      <c r="CB117" t="s">
        <v>1</v>
      </c>
      <c r="CD117" t="e" cm="1">
        <f t="array" aca="1" ref="CD117" ca="1">eConcatenar(A117:CB117,"|")</f>
        <v>#NAME?</v>
      </c>
    </row>
    <row r="118" spans="1:82" x14ac:dyDescent="0.25">
      <c r="A118" t="s">
        <v>213</v>
      </c>
      <c r="B118" t="s">
        <v>1222</v>
      </c>
      <c r="C118">
        <v>3</v>
      </c>
      <c r="D118" t="s">
        <v>2155</v>
      </c>
      <c r="E118" t="s">
        <v>2158</v>
      </c>
      <c r="F118" t="s">
        <v>0</v>
      </c>
      <c r="G118" t="s">
        <v>2234</v>
      </c>
      <c r="H118" t="s">
        <v>2774</v>
      </c>
      <c r="I118">
        <v>12900</v>
      </c>
      <c r="J118">
        <v>0</v>
      </c>
      <c r="K118">
        <v>200</v>
      </c>
      <c r="L118">
        <v>50</v>
      </c>
      <c r="M118">
        <v>1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 t="s">
        <v>3329</v>
      </c>
      <c r="AC118" t="s">
        <v>3302</v>
      </c>
      <c r="AD118" t="s">
        <v>3257</v>
      </c>
      <c r="AE118" t="s">
        <v>4</v>
      </c>
      <c r="AF118" t="s">
        <v>1</v>
      </c>
      <c r="AG118" t="s">
        <v>1</v>
      </c>
      <c r="AH118" t="s">
        <v>4179</v>
      </c>
      <c r="AI118" t="s">
        <v>2234</v>
      </c>
      <c r="AJ118" t="s">
        <v>1</v>
      </c>
      <c r="AK118">
        <v>9371262210</v>
      </c>
      <c r="AL118" t="s">
        <v>1</v>
      </c>
      <c r="AM118" t="s">
        <v>1</v>
      </c>
      <c r="AN118" t="s">
        <v>1</v>
      </c>
      <c r="AO118" t="s">
        <v>4179</v>
      </c>
      <c r="AP118" t="s">
        <v>1</v>
      </c>
      <c r="AQ118" t="s">
        <v>2</v>
      </c>
      <c r="AR118" t="s">
        <v>1</v>
      </c>
      <c r="AS118" t="s">
        <v>1</v>
      </c>
      <c r="AT118" t="s">
        <v>1</v>
      </c>
      <c r="AU118" t="s">
        <v>1</v>
      </c>
      <c r="AV118" t="s">
        <v>1</v>
      </c>
      <c r="AW118" t="s">
        <v>9</v>
      </c>
      <c r="AX118">
        <f>Tabla1[[#This Row],[precio del paquete]]-Tabla1[[#This Row],[Saldo_Deudor]]</f>
        <v>200</v>
      </c>
      <c r="AY118">
        <v>12700</v>
      </c>
      <c r="AZ118">
        <v>0</v>
      </c>
      <c r="BA118">
        <v>0</v>
      </c>
      <c r="BB118">
        <v>0</v>
      </c>
      <c r="BC118" t="s">
        <v>2774</v>
      </c>
      <c r="BD118" t="s">
        <v>4919</v>
      </c>
      <c r="BE118" t="s">
        <v>3</v>
      </c>
      <c r="BF118" t="s">
        <v>3</v>
      </c>
      <c r="BG118" t="s">
        <v>3</v>
      </c>
      <c r="BH118" t="s">
        <v>3</v>
      </c>
      <c r="BI118" t="s">
        <v>3</v>
      </c>
      <c r="BJ118" t="s">
        <v>5000</v>
      </c>
      <c r="BK118" t="s">
        <v>3</v>
      </c>
      <c r="BL118" t="s">
        <v>96</v>
      </c>
      <c r="BM118" t="s">
        <v>1</v>
      </c>
      <c r="BN118">
        <v>12900</v>
      </c>
      <c r="BO118" t="s">
        <v>1</v>
      </c>
      <c r="BP118" t="s">
        <v>1</v>
      </c>
      <c r="BQ118" t="s">
        <v>1</v>
      </c>
      <c r="BR118" t="s">
        <v>1</v>
      </c>
      <c r="BS118" t="s">
        <v>1</v>
      </c>
      <c r="BT118" t="s">
        <v>1</v>
      </c>
      <c r="BU118" t="s">
        <v>1</v>
      </c>
      <c r="BV118" t="s">
        <v>1</v>
      </c>
      <c r="BW118" t="s">
        <v>0</v>
      </c>
      <c r="BX118" t="s">
        <v>1</v>
      </c>
      <c r="BY118" t="s">
        <v>1</v>
      </c>
      <c r="BZ118" t="s">
        <v>1</v>
      </c>
      <c r="CA118" t="s">
        <v>1</v>
      </c>
      <c r="CB118" t="s">
        <v>1</v>
      </c>
      <c r="CD118" t="e" cm="1">
        <f t="array" aca="1" ref="CD118" ca="1">eConcatenar(A118:CB118,"|")</f>
        <v>#NAME?</v>
      </c>
    </row>
    <row r="119" spans="1:82" x14ac:dyDescent="0.25">
      <c r="A119" t="s">
        <v>214</v>
      </c>
      <c r="B119" t="s">
        <v>1223</v>
      </c>
      <c r="C119">
        <v>3</v>
      </c>
      <c r="D119" t="s">
        <v>2154</v>
      </c>
      <c r="E119" t="s">
        <v>2158</v>
      </c>
      <c r="F119" t="s">
        <v>0</v>
      </c>
      <c r="G119" t="s">
        <v>2234</v>
      </c>
      <c r="H119" t="s">
        <v>2703</v>
      </c>
      <c r="I119">
        <v>24500</v>
      </c>
      <c r="J119">
        <v>0</v>
      </c>
      <c r="K119">
        <v>200</v>
      </c>
      <c r="L119">
        <v>50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 t="s">
        <v>3115</v>
      </c>
      <c r="AC119" t="s">
        <v>5</v>
      </c>
      <c r="AD119" t="s">
        <v>3330</v>
      </c>
      <c r="AE119" t="s">
        <v>4</v>
      </c>
      <c r="AF119" t="s">
        <v>1</v>
      </c>
      <c r="AG119" t="s">
        <v>1</v>
      </c>
      <c r="AH119" t="s">
        <v>4180</v>
      </c>
      <c r="AI119" t="s">
        <v>2234</v>
      </c>
      <c r="AJ119" t="s">
        <v>1</v>
      </c>
      <c r="AK119">
        <v>9371108485</v>
      </c>
      <c r="AL119" t="s">
        <v>1</v>
      </c>
      <c r="AM119" t="s">
        <v>1</v>
      </c>
      <c r="AN119" t="s">
        <v>1</v>
      </c>
      <c r="AO119" t="s">
        <v>4180</v>
      </c>
      <c r="AP119" t="s">
        <v>1</v>
      </c>
      <c r="AQ119" t="s">
        <v>2</v>
      </c>
      <c r="AR119" t="s">
        <v>1</v>
      </c>
      <c r="AS119" t="s">
        <v>1</v>
      </c>
      <c r="AT119" t="s">
        <v>1</v>
      </c>
      <c r="AU119" t="s">
        <v>1</v>
      </c>
      <c r="AV119" t="s">
        <v>1</v>
      </c>
      <c r="AW119" t="s">
        <v>9</v>
      </c>
      <c r="AX119">
        <f>Tabla1[[#This Row],[precio del paquete]]-Tabla1[[#This Row],[Saldo_Deudor]]</f>
        <v>400</v>
      </c>
      <c r="AY119">
        <v>24100</v>
      </c>
      <c r="AZ119">
        <v>0</v>
      </c>
      <c r="BA119">
        <v>0</v>
      </c>
      <c r="BB119">
        <v>0</v>
      </c>
      <c r="BC119" t="s">
        <v>3061</v>
      </c>
      <c r="BD119" t="s">
        <v>3040</v>
      </c>
      <c r="BE119" t="s">
        <v>3</v>
      </c>
      <c r="BF119" t="s">
        <v>3</v>
      </c>
      <c r="BG119" t="s">
        <v>3</v>
      </c>
      <c r="BH119" t="s">
        <v>3</v>
      </c>
      <c r="BI119" t="s">
        <v>3</v>
      </c>
      <c r="BJ119" t="s">
        <v>4985</v>
      </c>
      <c r="BK119" t="s">
        <v>3</v>
      </c>
      <c r="BL119" t="s">
        <v>96</v>
      </c>
      <c r="BM119" t="s">
        <v>1</v>
      </c>
      <c r="BN119">
        <v>24500</v>
      </c>
      <c r="BO119" t="s">
        <v>1</v>
      </c>
      <c r="BP119" t="s">
        <v>1</v>
      </c>
      <c r="BQ119" t="s">
        <v>1</v>
      </c>
      <c r="BR119" t="s">
        <v>1</v>
      </c>
      <c r="BS119" t="s">
        <v>1</v>
      </c>
      <c r="BT119" t="s">
        <v>1</v>
      </c>
      <c r="BU119" t="s">
        <v>1</v>
      </c>
      <c r="BV119" t="s">
        <v>1</v>
      </c>
      <c r="BW119" t="s">
        <v>0</v>
      </c>
      <c r="BX119" t="s">
        <v>1</v>
      </c>
      <c r="BY119" t="s">
        <v>1</v>
      </c>
      <c r="BZ119" t="s">
        <v>1</v>
      </c>
      <c r="CA119" t="s">
        <v>1</v>
      </c>
      <c r="CB119" t="s">
        <v>1</v>
      </c>
      <c r="CD119" t="e" cm="1">
        <f t="array" aca="1" ref="CD119" ca="1">eConcatenar(A119:CB119,"|")</f>
        <v>#NAME?</v>
      </c>
    </row>
    <row r="120" spans="1:82" x14ac:dyDescent="0.25">
      <c r="A120" t="s">
        <v>215</v>
      </c>
      <c r="B120" t="s">
        <v>1224</v>
      </c>
      <c r="C120">
        <v>3</v>
      </c>
      <c r="D120" t="s">
        <v>2153</v>
      </c>
      <c r="E120" t="s">
        <v>2158</v>
      </c>
      <c r="F120" t="s">
        <v>0</v>
      </c>
      <c r="G120" t="s">
        <v>2234</v>
      </c>
      <c r="H120" t="s">
        <v>2775</v>
      </c>
      <c r="I120">
        <v>14800</v>
      </c>
      <c r="J120">
        <v>0</v>
      </c>
      <c r="K120">
        <v>50</v>
      </c>
      <c r="L120">
        <v>50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 t="s">
        <v>3331</v>
      </c>
      <c r="AC120" t="s">
        <v>3232</v>
      </c>
      <c r="AD120" t="s">
        <v>3332</v>
      </c>
      <c r="AE120" t="s">
        <v>4</v>
      </c>
      <c r="AF120" t="s">
        <v>1</v>
      </c>
      <c r="AG120" t="s">
        <v>1</v>
      </c>
      <c r="AH120" t="s">
        <v>4181</v>
      </c>
      <c r="AI120" t="s">
        <v>2234</v>
      </c>
      <c r="AJ120" t="s">
        <v>1</v>
      </c>
      <c r="AK120">
        <v>9371404787</v>
      </c>
      <c r="AL120" t="s">
        <v>1</v>
      </c>
      <c r="AM120" t="s">
        <v>1</v>
      </c>
      <c r="AN120" t="s">
        <v>1</v>
      </c>
      <c r="AO120" t="s">
        <v>4181</v>
      </c>
      <c r="AP120" t="s">
        <v>1</v>
      </c>
      <c r="AQ120" t="s">
        <v>2</v>
      </c>
      <c r="AR120" t="s">
        <v>1</v>
      </c>
      <c r="AS120" t="s">
        <v>1</v>
      </c>
      <c r="AT120" t="s">
        <v>1</v>
      </c>
      <c r="AU120" t="s">
        <v>1</v>
      </c>
      <c r="AV120" t="s">
        <v>1</v>
      </c>
      <c r="AW120" t="s">
        <v>9</v>
      </c>
      <c r="AX120">
        <f>Tabla1[[#This Row],[precio del paquete]]-Tabla1[[#This Row],[Saldo_Deudor]]</f>
        <v>850</v>
      </c>
      <c r="AY120">
        <v>13950</v>
      </c>
      <c r="AZ120">
        <v>0</v>
      </c>
      <c r="BA120">
        <v>0</v>
      </c>
      <c r="BB120">
        <v>0</v>
      </c>
      <c r="BC120" t="s">
        <v>4836</v>
      </c>
      <c r="BD120" t="s">
        <v>4920</v>
      </c>
      <c r="BE120" t="s">
        <v>3</v>
      </c>
      <c r="BF120" t="s">
        <v>3</v>
      </c>
      <c r="BG120" t="s">
        <v>3</v>
      </c>
      <c r="BH120" t="s">
        <v>3</v>
      </c>
      <c r="BI120" t="s">
        <v>3</v>
      </c>
      <c r="BJ120" t="s">
        <v>4994</v>
      </c>
      <c r="BK120" t="s">
        <v>3</v>
      </c>
      <c r="BL120" t="s">
        <v>96</v>
      </c>
      <c r="BM120" t="s">
        <v>1</v>
      </c>
      <c r="BN120">
        <v>14800</v>
      </c>
      <c r="BO120" t="s">
        <v>1</v>
      </c>
      <c r="BP120" t="s">
        <v>1</v>
      </c>
      <c r="BQ120" t="s">
        <v>1</v>
      </c>
      <c r="BR120" t="s">
        <v>1</v>
      </c>
      <c r="BS120" t="s">
        <v>1</v>
      </c>
      <c r="BT120" t="s">
        <v>1</v>
      </c>
      <c r="BU120" t="s">
        <v>1</v>
      </c>
      <c r="BV120" t="s">
        <v>1</v>
      </c>
      <c r="BW120" t="s">
        <v>0</v>
      </c>
      <c r="BX120" t="s">
        <v>1</v>
      </c>
      <c r="BY120" t="s">
        <v>1</v>
      </c>
      <c r="BZ120" t="s">
        <v>1</v>
      </c>
      <c r="CA120" t="s">
        <v>1</v>
      </c>
      <c r="CB120" t="s">
        <v>1</v>
      </c>
      <c r="CD120" t="e" cm="1">
        <f t="array" aca="1" ref="CD120" ca="1">eConcatenar(A120:CB120,"|")</f>
        <v>#NAME?</v>
      </c>
    </row>
    <row r="121" spans="1:82" x14ac:dyDescent="0.25">
      <c r="A121" t="s">
        <v>216</v>
      </c>
      <c r="B121" t="s">
        <v>1225</v>
      </c>
      <c r="C121">
        <v>3</v>
      </c>
      <c r="D121" t="s">
        <v>2153</v>
      </c>
      <c r="E121" t="s">
        <v>2158</v>
      </c>
      <c r="F121" t="s">
        <v>0</v>
      </c>
      <c r="G121" t="s">
        <v>2234</v>
      </c>
      <c r="H121" t="s">
        <v>2776</v>
      </c>
      <c r="I121">
        <v>14800</v>
      </c>
      <c r="J121">
        <v>0</v>
      </c>
      <c r="K121">
        <v>200</v>
      </c>
      <c r="L121">
        <v>50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 t="s">
        <v>3148</v>
      </c>
      <c r="AC121" t="s">
        <v>3333</v>
      </c>
      <c r="AD121" t="s">
        <v>3334</v>
      </c>
      <c r="AE121" t="s">
        <v>4</v>
      </c>
      <c r="AF121" t="s">
        <v>1</v>
      </c>
      <c r="AG121" t="s">
        <v>1</v>
      </c>
      <c r="AH121" t="s">
        <v>4182</v>
      </c>
      <c r="AI121" t="s">
        <v>2234</v>
      </c>
      <c r="AJ121" t="s">
        <v>1</v>
      </c>
      <c r="AK121">
        <v>9372278869</v>
      </c>
      <c r="AL121" t="s">
        <v>1</v>
      </c>
      <c r="AM121" t="s">
        <v>1</v>
      </c>
      <c r="AN121" t="s">
        <v>1</v>
      </c>
      <c r="AO121" t="s">
        <v>4182</v>
      </c>
      <c r="AP121" t="s">
        <v>1</v>
      </c>
      <c r="AQ121" t="s">
        <v>2</v>
      </c>
      <c r="AR121" t="s">
        <v>1</v>
      </c>
      <c r="AS121" t="s">
        <v>1</v>
      </c>
      <c r="AT121" t="s">
        <v>1</v>
      </c>
      <c r="AU121" t="s">
        <v>1</v>
      </c>
      <c r="AV121" t="s">
        <v>1</v>
      </c>
      <c r="AW121" t="s">
        <v>9</v>
      </c>
      <c r="AX121">
        <f>Tabla1[[#This Row],[precio del paquete]]-Tabla1[[#This Row],[Saldo_Deudor]]</f>
        <v>2350</v>
      </c>
      <c r="AY121">
        <v>12450</v>
      </c>
      <c r="AZ121">
        <v>0</v>
      </c>
      <c r="BA121">
        <v>0</v>
      </c>
      <c r="BB121">
        <v>0</v>
      </c>
      <c r="BC121" t="s">
        <v>3061</v>
      </c>
      <c r="BD121" t="s">
        <v>3040</v>
      </c>
      <c r="BE121" t="s">
        <v>3</v>
      </c>
      <c r="BF121" t="s">
        <v>3</v>
      </c>
      <c r="BG121" t="s">
        <v>3</v>
      </c>
      <c r="BH121" t="s">
        <v>3</v>
      </c>
      <c r="BI121" t="s">
        <v>3</v>
      </c>
      <c r="BJ121" t="s">
        <v>4994</v>
      </c>
      <c r="BK121" t="s">
        <v>3</v>
      </c>
      <c r="BL121" t="s">
        <v>96</v>
      </c>
      <c r="BM121" t="s">
        <v>1</v>
      </c>
      <c r="BN121">
        <v>14800</v>
      </c>
      <c r="BO121" t="s">
        <v>1</v>
      </c>
      <c r="BP121" t="s">
        <v>1</v>
      </c>
      <c r="BQ121" t="s">
        <v>1</v>
      </c>
      <c r="BR121" t="s">
        <v>1</v>
      </c>
      <c r="BS121" t="s">
        <v>1</v>
      </c>
      <c r="BT121" t="s">
        <v>1</v>
      </c>
      <c r="BU121" t="s">
        <v>1</v>
      </c>
      <c r="BV121" t="s">
        <v>1</v>
      </c>
      <c r="BW121" t="s">
        <v>0</v>
      </c>
      <c r="BX121" t="s">
        <v>1</v>
      </c>
      <c r="BY121" t="s">
        <v>1</v>
      </c>
      <c r="BZ121" t="s">
        <v>1</v>
      </c>
      <c r="CA121" t="s">
        <v>1</v>
      </c>
      <c r="CB121" t="s">
        <v>1</v>
      </c>
      <c r="CD121" t="e" cm="1">
        <f t="array" aca="1" ref="CD121" ca="1">eConcatenar(A121:CB121,"|")</f>
        <v>#NAME?</v>
      </c>
    </row>
    <row r="122" spans="1:82" x14ac:dyDescent="0.25">
      <c r="A122" t="s">
        <v>217</v>
      </c>
      <c r="B122" t="s">
        <v>1226</v>
      </c>
      <c r="C122">
        <v>3</v>
      </c>
      <c r="D122" t="s">
        <v>2153</v>
      </c>
      <c r="E122" t="s">
        <v>2158</v>
      </c>
      <c r="F122" t="s">
        <v>0</v>
      </c>
      <c r="G122" t="s">
        <v>2234</v>
      </c>
      <c r="H122" t="s">
        <v>2777</v>
      </c>
      <c r="I122">
        <v>14800</v>
      </c>
      <c r="J122">
        <v>0</v>
      </c>
      <c r="K122">
        <v>100</v>
      </c>
      <c r="L122">
        <v>50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 t="s">
        <v>3114</v>
      </c>
      <c r="AC122" t="s">
        <v>3335</v>
      </c>
      <c r="AD122" t="s">
        <v>3336</v>
      </c>
      <c r="AE122" t="s">
        <v>4</v>
      </c>
      <c r="AF122" t="s">
        <v>1</v>
      </c>
      <c r="AG122" t="s">
        <v>1</v>
      </c>
      <c r="AH122" t="s">
        <v>4183</v>
      </c>
      <c r="AI122" t="s">
        <v>2234</v>
      </c>
      <c r="AJ122" t="s">
        <v>1</v>
      </c>
      <c r="AK122">
        <v>9371621651</v>
      </c>
      <c r="AL122" t="s">
        <v>1</v>
      </c>
      <c r="AM122" t="s">
        <v>1</v>
      </c>
      <c r="AN122" t="s">
        <v>1</v>
      </c>
      <c r="AO122" t="s">
        <v>4183</v>
      </c>
      <c r="AP122" t="s">
        <v>1</v>
      </c>
      <c r="AQ122" t="s">
        <v>2</v>
      </c>
      <c r="AR122" t="s">
        <v>1</v>
      </c>
      <c r="AS122" t="s">
        <v>1</v>
      </c>
      <c r="AT122" t="s">
        <v>1</v>
      </c>
      <c r="AU122" t="s">
        <v>1</v>
      </c>
      <c r="AV122" t="s">
        <v>1</v>
      </c>
      <c r="AW122" t="s">
        <v>9</v>
      </c>
      <c r="AX122">
        <f>Tabla1[[#This Row],[precio del paquete]]-Tabla1[[#This Row],[Saldo_Deudor]]</f>
        <v>900</v>
      </c>
      <c r="AY122">
        <v>13900</v>
      </c>
      <c r="AZ122">
        <v>0</v>
      </c>
      <c r="BA122">
        <v>0</v>
      </c>
      <c r="BB122">
        <v>0</v>
      </c>
      <c r="BC122" t="s">
        <v>3061</v>
      </c>
      <c r="BD122" t="s">
        <v>3040</v>
      </c>
      <c r="BE122" t="s">
        <v>3</v>
      </c>
      <c r="BF122" t="s">
        <v>3</v>
      </c>
      <c r="BG122" t="s">
        <v>3</v>
      </c>
      <c r="BH122" t="s">
        <v>3</v>
      </c>
      <c r="BI122" t="s">
        <v>3</v>
      </c>
      <c r="BJ122" t="s">
        <v>4994</v>
      </c>
      <c r="BK122" t="s">
        <v>3</v>
      </c>
      <c r="BL122" t="s">
        <v>96</v>
      </c>
      <c r="BM122" t="s">
        <v>1</v>
      </c>
      <c r="BN122">
        <v>14800</v>
      </c>
      <c r="BO122" t="s">
        <v>1</v>
      </c>
      <c r="BP122" t="s">
        <v>1</v>
      </c>
      <c r="BQ122" t="s">
        <v>1</v>
      </c>
      <c r="BR122" t="s">
        <v>1</v>
      </c>
      <c r="BS122" t="s">
        <v>1</v>
      </c>
      <c r="BT122" t="s">
        <v>1</v>
      </c>
      <c r="BU122" t="s">
        <v>1</v>
      </c>
      <c r="BV122" t="s">
        <v>1</v>
      </c>
      <c r="BW122" t="s">
        <v>0</v>
      </c>
      <c r="BX122" t="s">
        <v>1</v>
      </c>
      <c r="BY122" t="s">
        <v>1</v>
      </c>
      <c r="BZ122" t="s">
        <v>1</v>
      </c>
      <c r="CA122" t="s">
        <v>1</v>
      </c>
      <c r="CB122" t="s">
        <v>1</v>
      </c>
      <c r="CD122" t="e" cm="1">
        <f t="array" aca="1" ref="CD122" ca="1">eConcatenar(A122:CB122,"|")</f>
        <v>#NAME?</v>
      </c>
    </row>
    <row r="123" spans="1:82" x14ac:dyDescent="0.25">
      <c r="A123" t="s">
        <v>218</v>
      </c>
      <c r="B123" t="s">
        <v>1227</v>
      </c>
      <c r="C123">
        <v>3</v>
      </c>
      <c r="D123" t="s">
        <v>2154</v>
      </c>
      <c r="E123" t="s">
        <v>2158</v>
      </c>
      <c r="F123" t="s">
        <v>0</v>
      </c>
      <c r="G123" t="s">
        <v>2235</v>
      </c>
      <c r="H123" t="s">
        <v>2778</v>
      </c>
      <c r="I123">
        <v>24500</v>
      </c>
      <c r="J123">
        <v>0</v>
      </c>
      <c r="K123">
        <v>500</v>
      </c>
      <c r="L123">
        <v>50</v>
      </c>
      <c r="M123">
        <v>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 t="s">
        <v>3337</v>
      </c>
      <c r="AC123" t="s">
        <v>3236</v>
      </c>
      <c r="AD123" t="s">
        <v>3338</v>
      </c>
      <c r="AE123" t="s">
        <v>4</v>
      </c>
      <c r="AF123" t="s">
        <v>1</v>
      </c>
      <c r="AG123" t="s">
        <v>1</v>
      </c>
      <c r="AH123" t="s">
        <v>4184</v>
      </c>
      <c r="AI123" t="s">
        <v>2235</v>
      </c>
      <c r="AJ123" t="s">
        <v>1</v>
      </c>
      <c r="AK123">
        <v>9371697933</v>
      </c>
      <c r="AL123" t="s">
        <v>1</v>
      </c>
      <c r="AM123" t="s">
        <v>1</v>
      </c>
      <c r="AN123" t="s">
        <v>1</v>
      </c>
      <c r="AO123" t="s">
        <v>4184</v>
      </c>
      <c r="AP123" t="s">
        <v>1</v>
      </c>
      <c r="AQ123" t="s">
        <v>2</v>
      </c>
      <c r="AR123" t="s">
        <v>1</v>
      </c>
      <c r="AS123" t="s">
        <v>1</v>
      </c>
      <c r="AT123" t="s">
        <v>1</v>
      </c>
      <c r="AU123" t="s">
        <v>1</v>
      </c>
      <c r="AV123" t="s">
        <v>1</v>
      </c>
      <c r="AW123" t="s">
        <v>9</v>
      </c>
      <c r="AX123">
        <f>Tabla1[[#This Row],[precio del paquete]]-Tabla1[[#This Row],[Saldo_Deudor]]</f>
        <v>1000</v>
      </c>
      <c r="AY123">
        <v>23500</v>
      </c>
      <c r="AZ123">
        <v>0</v>
      </c>
      <c r="BA123">
        <v>0</v>
      </c>
      <c r="BB123">
        <v>0</v>
      </c>
      <c r="BC123" t="s">
        <v>2778</v>
      </c>
      <c r="BD123" t="s">
        <v>2849</v>
      </c>
      <c r="BE123" t="s">
        <v>3</v>
      </c>
      <c r="BF123" t="s">
        <v>3</v>
      </c>
      <c r="BG123" t="s">
        <v>3</v>
      </c>
      <c r="BH123" t="s">
        <v>3</v>
      </c>
      <c r="BI123" t="s">
        <v>3</v>
      </c>
      <c r="BJ123" t="s">
        <v>4994</v>
      </c>
      <c r="BK123" t="s">
        <v>3</v>
      </c>
      <c r="BL123" t="s">
        <v>96</v>
      </c>
      <c r="BM123" t="s">
        <v>1</v>
      </c>
      <c r="BN123">
        <v>24500</v>
      </c>
      <c r="BO123" t="s">
        <v>1</v>
      </c>
      <c r="BP123" t="s">
        <v>1</v>
      </c>
      <c r="BQ123" t="s">
        <v>1</v>
      </c>
      <c r="BR123" t="s">
        <v>1</v>
      </c>
      <c r="BS123" t="s">
        <v>1</v>
      </c>
      <c r="BT123" t="s">
        <v>1</v>
      </c>
      <c r="BU123" t="s">
        <v>1</v>
      </c>
      <c r="BV123" t="s">
        <v>1</v>
      </c>
      <c r="BW123" t="s">
        <v>0</v>
      </c>
      <c r="BX123" t="s">
        <v>1</v>
      </c>
      <c r="BY123" t="s">
        <v>1</v>
      </c>
      <c r="BZ123" t="s">
        <v>1</v>
      </c>
      <c r="CA123" t="s">
        <v>1</v>
      </c>
      <c r="CB123" t="s">
        <v>1</v>
      </c>
      <c r="CD123" t="e" cm="1">
        <f t="array" aca="1" ref="CD123" ca="1">eConcatenar(A123:CB123,"|")</f>
        <v>#NAME?</v>
      </c>
    </row>
    <row r="124" spans="1:82" x14ac:dyDescent="0.25">
      <c r="A124" t="s">
        <v>219</v>
      </c>
      <c r="B124" t="s">
        <v>1228</v>
      </c>
      <c r="C124">
        <v>3</v>
      </c>
      <c r="D124" t="s">
        <v>2153</v>
      </c>
      <c r="E124" t="s">
        <v>2158</v>
      </c>
      <c r="F124" t="s">
        <v>2159</v>
      </c>
      <c r="G124" t="s">
        <v>2236</v>
      </c>
      <c r="H124" t="s">
        <v>2779</v>
      </c>
      <c r="I124">
        <v>14800</v>
      </c>
      <c r="J124">
        <v>0</v>
      </c>
      <c r="K124">
        <v>200</v>
      </c>
      <c r="L124">
        <v>50</v>
      </c>
      <c r="M124">
        <v>1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 t="s">
        <v>3132</v>
      </c>
      <c r="AC124" t="s">
        <v>3339</v>
      </c>
      <c r="AD124" t="s">
        <v>3340</v>
      </c>
      <c r="AE124" t="s">
        <v>4</v>
      </c>
      <c r="AF124" t="s">
        <v>1</v>
      </c>
      <c r="AG124" t="s">
        <v>1</v>
      </c>
      <c r="AH124" t="s">
        <v>4185</v>
      </c>
      <c r="AI124" t="s">
        <v>2236</v>
      </c>
      <c r="AJ124" t="s">
        <v>1</v>
      </c>
      <c r="AK124">
        <v>9932196058</v>
      </c>
      <c r="AL124" t="s">
        <v>1</v>
      </c>
      <c r="AM124" t="s">
        <v>1</v>
      </c>
      <c r="AN124" t="s">
        <v>1</v>
      </c>
      <c r="AO124" t="s">
        <v>4185</v>
      </c>
      <c r="AP124" t="s">
        <v>1</v>
      </c>
      <c r="AQ124" t="s">
        <v>2</v>
      </c>
      <c r="AR124" t="s">
        <v>1</v>
      </c>
      <c r="AS124" t="s">
        <v>1</v>
      </c>
      <c r="AT124" t="s">
        <v>1</v>
      </c>
      <c r="AU124" t="s">
        <v>1</v>
      </c>
      <c r="AV124" t="s">
        <v>1</v>
      </c>
      <c r="AW124" t="s">
        <v>9</v>
      </c>
      <c r="AX124">
        <f>Tabla1[[#This Row],[precio del paquete]]-Tabla1[[#This Row],[Saldo_Deudor]]</f>
        <v>800</v>
      </c>
      <c r="AY124">
        <v>14000</v>
      </c>
      <c r="AZ124">
        <v>0</v>
      </c>
      <c r="BA124">
        <v>0</v>
      </c>
      <c r="BB124">
        <v>0</v>
      </c>
      <c r="BC124" t="s">
        <v>3102</v>
      </c>
      <c r="BD124" t="s">
        <v>4897</v>
      </c>
      <c r="BE124" t="s">
        <v>3</v>
      </c>
      <c r="BF124" t="s">
        <v>3</v>
      </c>
      <c r="BG124" t="s">
        <v>3</v>
      </c>
      <c r="BH124" t="s">
        <v>3</v>
      </c>
      <c r="BI124" t="s">
        <v>3</v>
      </c>
      <c r="BJ124" t="s">
        <v>4985</v>
      </c>
      <c r="BK124" t="s">
        <v>3</v>
      </c>
      <c r="BL124" t="s">
        <v>96</v>
      </c>
      <c r="BM124" t="s">
        <v>1</v>
      </c>
      <c r="BN124">
        <v>14800</v>
      </c>
      <c r="BO124" t="s">
        <v>1</v>
      </c>
      <c r="BP124" t="s">
        <v>1</v>
      </c>
      <c r="BQ124" t="s">
        <v>1</v>
      </c>
      <c r="BR124" t="s">
        <v>1</v>
      </c>
      <c r="BS124" t="s">
        <v>1</v>
      </c>
      <c r="BT124" t="s">
        <v>1</v>
      </c>
      <c r="BU124" t="s">
        <v>1</v>
      </c>
      <c r="BV124" t="s">
        <v>1</v>
      </c>
      <c r="BW124" t="s">
        <v>0</v>
      </c>
      <c r="BX124" t="s">
        <v>1</v>
      </c>
      <c r="BY124" t="s">
        <v>1</v>
      </c>
      <c r="BZ124" t="s">
        <v>1</v>
      </c>
      <c r="CA124" t="s">
        <v>1</v>
      </c>
      <c r="CB124" t="s">
        <v>1</v>
      </c>
      <c r="CD124" t="e" cm="1">
        <f t="array" aca="1" ref="CD124" ca="1">eConcatenar(A124:CB124,"|")</f>
        <v>#NAME?</v>
      </c>
    </row>
    <row r="125" spans="1:82" x14ac:dyDescent="0.25">
      <c r="A125" t="s">
        <v>220</v>
      </c>
      <c r="B125" t="s">
        <v>1229</v>
      </c>
      <c r="C125">
        <v>3</v>
      </c>
      <c r="D125" t="s">
        <v>2153</v>
      </c>
      <c r="E125" t="s">
        <v>2158</v>
      </c>
      <c r="F125" t="s">
        <v>2159</v>
      </c>
      <c r="G125" t="s">
        <v>2237</v>
      </c>
      <c r="H125" t="s">
        <v>2780</v>
      </c>
      <c r="I125">
        <v>14800</v>
      </c>
      <c r="J125">
        <v>0</v>
      </c>
      <c r="K125">
        <v>200</v>
      </c>
      <c r="L125">
        <v>50</v>
      </c>
      <c r="M125">
        <v>1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 t="s">
        <v>3150</v>
      </c>
      <c r="AC125" t="s">
        <v>3331</v>
      </c>
      <c r="AD125" t="s">
        <v>3341</v>
      </c>
      <c r="AE125" t="s">
        <v>4</v>
      </c>
      <c r="AF125" t="s">
        <v>1</v>
      </c>
      <c r="AG125" t="s">
        <v>1</v>
      </c>
      <c r="AH125" t="s">
        <v>4186</v>
      </c>
      <c r="AI125" t="s">
        <v>2237</v>
      </c>
      <c r="AJ125" t="s">
        <v>1</v>
      </c>
      <c r="AK125">
        <v>9931538935</v>
      </c>
      <c r="AL125" t="s">
        <v>1</v>
      </c>
      <c r="AM125" t="s">
        <v>1</v>
      </c>
      <c r="AN125" t="s">
        <v>1</v>
      </c>
      <c r="AO125" t="s">
        <v>4186</v>
      </c>
      <c r="AP125" t="s">
        <v>1</v>
      </c>
      <c r="AQ125" t="s">
        <v>2</v>
      </c>
      <c r="AR125" t="s">
        <v>1</v>
      </c>
      <c r="AS125" t="s">
        <v>1</v>
      </c>
      <c r="AT125" t="s">
        <v>1</v>
      </c>
      <c r="AU125" t="s">
        <v>1</v>
      </c>
      <c r="AV125" t="s">
        <v>1</v>
      </c>
      <c r="AW125" t="s">
        <v>9</v>
      </c>
      <c r="AX125">
        <f>Tabla1[[#This Row],[precio del paquete]]-Tabla1[[#This Row],[Saldo_Deudor]]</f>
        <v>2500</v>
      </c>
      <c r="AY125">
        <v>12300</v>
      </c>
      <c r="AZ125">
        <v>0</v>
      </c>
      <c r="BA125">
        <v>0</v>
      </c>
      <c r="BB125">
        <v>0</v>
      </c>
      <c r="BC125" t="s">
        <v>2905</v>
      </c>
      <c r="BD125" t="s">
        <v>3024</v>
      </c>
      <c r="BE125" t="s">
        <v>3</v>
      </c>
      <c r="BF125" t="s">
        <v>3</v>
      </c>
      <c r="BG125" t="s">
        <v>3</v>
      </c>
      <c r="BH125" t="s">
        <v>3</v>
      </c>
      <c r="BI125" t="s">
        <v>3</v>
      </c>
      <c r="BJ125" t="s">
        <v>5007</v>
      </c>
      <c r="BK125" t="s">
        <v>3</v>
      </c>
      <c r="BL125" t="s">
        <v>96</v>
      </c>
      <c r="BM125" t="s">
        <v>1</v>
      </c>
      <c r="BN125">
        <v>14800</v>
      </c>
      <c r="BO125" t="s">
        <v>1</v>
      </c>
      <c r="BP125" t="s">
        <v>1</v>
      </c>
      <c r="BQ125" t="s">
        <v>1</v>
      </c>
      <c r="BR125" t="s">
        <v>1</v>
      </c>
      <c r="BS125" t="s">
        <v>1</v>
      </c>
      <c r="BT125" t="s">
        <v>1</v>
      </c>
      <c r="BU125" t="s">
        <v>1</v>
      </c>
      <c r="BV125" t="s">
        <v>1</v>
      </c>
      <c r="BW125" t="s">
        <v>0</v>
      </c>
      <c r="BX125" t="s">
        <v>1</v>
      </c>
      <c r="BY125" t="s">
        <v>1</v>
      </c>
      <c r="BZ125" t="s">
        <v>1</v>
      </c>
      <c r="CA125" t="s">
        <v>1</v>
      </c>
      <c r="CB125" t="s">
        <v>1</v>
      </c>
      <c r="CD125" t="e" cm="1">
        <f t="array" aca="1" ref="CD125" ca="1">eConcatenar(A125:CB125,"|")</f>
        <v>#NAME?</v>
      </c>
    </row>
    <row r="126" spans="1:82" x14ac:dyDescent="0.25">
      <c r="A126" t="s">
        <v>221</v>
      </c>
      <c r="B126" t="s">
        <v>1230</v>
      </c>
      <c r="C126">
        <v>3</v>
      </c>
      <c r="D126" t="s">
        <v>2153</v>
      </c>
      <c r="E126" t="s">
        <v>2158</v>
      </c>
      <c r="F126" t="s">
        <v>0</v>
      </c>
      <c r="G126" t="s">
        <v>2238</v>
      </c>
      <c r="H126" t="s">
        <v>2756</v>
      </c>
      <c r="I126">
        <v>14800</v>
      </c>
      <c r="J126">
        <v>0</v>
      </c>
      <c r="K126">
        <v>200</v>
      </c>
      <c r="L126">
        <v>50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 t="s">
        <v>3342</v>
      </c>
      <c r="AC126" t="s">
        <v>3236</v>
      </c>
      <c r="AD126" t="s">
        <v>3185</v>
      </c>
      <c r="AE126" t="s">
        <v>4</v>
      </c>
      <c r="AF126" t="s">
        <v>1</v>
      </c>
      <c r="AG126" t="s">
        <v>1</v>
      </c>
      <c r="AH126" t="s">
        <v>4187</v>
      </c>
      <c r="AI126" t="s">
        <v>2238</v>
      </c>
      <c r="AJ126" t="s">
        <v>1</v>
      </c>
      <c r="AK126">
        <v>9372837677</v>
      </c>
      <c r="AL126" t="s">
        <v>1</v>
      </c>
      <c r="AM126" t="s">
        <v>1</v>
      </c>
      <c r="AN126" t="s">
        <v>1</v>
      </c>
      <c r="AO126" t="s">
        <v>4187</v>
      </c>
      <c r="AP126" t="s">
        <v>1</v>
      </c>
      <c r="AQ126" t="s">
        <v>2</v>
      </c>
      <c r="AR126" t="s">
        <v>1</v>
      </c>
      <c r="AS126" t="s">
        <v>1</v>
      </c>
      <c r="AT126" t="s">
        <v>1</v>
      </c>
      <c r="AU126" t="s">
        <v>1</v>
      </c>
      <c r="AV126" t="s">
        <v>1</v>
      </c>
      <c r="AW126" t="s">
        <v>9</v>
      </c>
      <c r="AX126">
        <f>Tabla1[[#This Row],[precio del paquete]]-Tabla1[[#This Row],[Saldo_Deudor]]</f>
        <v>1300</v>
      </c>
      <c r="AY126">
        <v>13500</v>
      </c>
      <c r="AZ126">
        <v>0</v>
      </c>
      <c r="BA126">
        <v>0</v>
      </c>
      <c r="BB126">
        <v>0</v>
      </c>
      <c r="BC126" t="s">
        <v>3078</v>
      </c>
      <c r="BD126" t="s">
        <v>4827</v>
      </c>
      <c r="BE126" t="s">
        <v>3</v>
      </c>
      <c r="BF126" t="s">
        <v>3</v>
      </c>
      <c r="BG126" t="s">
        <v>3</v>
      </c>
      <c r="BH126" t="s">
        <v>3</v>
      </c>
      <c r="BI126" t="s">
        <v>3</v>
      </c>
      <c r="BJ126" t="s">
        <v>5005</v>
      </c>
      <c r="BK126" t="s">
        <v>3</v>
      </c>
      <c r="BL126" t="s">
        <v>96</v>
      </c>
      <c r="BM126" t="s">
        <v>1</v>
      </c>
      <c r="BN126">
        <v>14800</v>
      </c>
      <c r="BO126" t="s">
        <v>1</v>
      </c>
      <c r="BP126" t="s">
        <v>1</v>
      </c>
      <c r="BQ126" t="s">
        <v>1</v>
      </c>
      <c r="BR126" t="s">
        <v>1</v>
      </c>
      <c r="BS126" t="s">
        <v>1</v>
      </c>
      <c r="BT126" t="s">
        <v>1</v>
      </c>
      <c r="BU126" t="s">
        <v>1</v>
      </c>
      <c r="BV126" t="s">
        <v>1</v>
      </c>
      <c r="BW126" t="s">
        <v>0</v>
      </c>
      <c r="BX126" t="s">
        <v>1</v>
      </c>
      <c r="BY126" t="s">
        <v>1</v>
      </c>
      <c r="BZ126" t="s">
        <v>1</v>
      </c>
      <c r="CA126" t="s">
        <v>1</v>
      </c>
      <c r="CB126" t="s">
        <v>1</v>
      </c>
      <c r="CD126" t="e" cm="1">
        <f t="array" aca="1" ref="CD126" ca="1">eConcatenar(A126:CB126,"|")</f>
        <v>#NAME?</v>
      </c>
    </row>
    <row r="127" spans="1:82" x14ac:dyDescent="0.25">
      <c r="A127" t="s">
        <v>222</v>
      </c>
      <c r="B127" t="s">
        <v>1231</v>
      </c>
      <c r="C127">
        <v>3</v>
      </c>
      <c r="D127" t="s">
        <v>2153</v>
      </c>
      <c r="E127" t="s">
        <v>2158</v>
      </c>
      <c r="F127" t="s">
        <v>0</v>
      </c>
      <c r="G127" t="s">
        <v>2239</v>
      </c>
      <c r="H127" t="s">
        <v>2698</v>
      </c>
      <c r="I127">
        <v>14800</v>
      </c>
      <c r="J127">
        <v>0</v>
      </c>
      <c r="K127">
        <v>200</v>
      </c>
      <c r="L127">
        <v>50</v>
      </c>
      <c r="M127">
        <v>1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 t="s">
        <v>3337</v>
      </c>
      <c r="AC127" t="s">
        <v>3115</v>
      </c>
      <c r="AD127" t="s">
        <v>3343</v>
      </c>
      <c r="AE127" t="s">
        <v>4</v>
      </c>
      <c r="AF127" t="s">
        <v>1</v>
      </c>
      <c r="AG127" t="s">
        <v>1</v>
      </c>
      <c r="AH127" t="s">
        <v>4188</v>
      </c>
      <c r="AI127" t="s">
        <v>2239</v>
      </c>
      <c r="AJ127" t="s">
        <v>1</v>
      </c>
      <c r="AK127" t="s">
        <v>1</v>
      </c>
      <c r="AL127" t="s">
        <v>1</v>
      </c>
      <c r="AM127" t="s">
        <v>1</v>
      </c>
      <c r="AN127" t="s">
        <v>1</v>
      </c>
      <c r="AO127" t="s">
        <v>4188</v>
      </c>
      <c r="AP127" t="s">
        <v>1</v>
      </c>
      <c r="AQ127" t="s">
        <v>2</v>
      </c>
      <c r="AR127" t="s">
        <v>1</v>
      </c>
      <c r="AS127" t="s">
        <v>1</v>
      </c>
      <c r="AT127" t="s">
        <v>1</v>
      </c>
      <c r="AU127" t="s">
        <v>1</v>
      </c>
      <c r="AV127" t="s">
        <v>1</v>
      </c>
      <c r="AW127" t="s">
        <v>9</v>
      </c>
      <c r="AX127">
        <f>Tabla1[[#This Row],[precio del paquete]]-Tabla1[[#This Row],[Saldo_Deudor]]</f>
        <v>1900</v>
      </c>
      <c r="AY127">
        <v>12900</v>
      </c>
      <c r="AZ127">
        <v>0</v>
      </c>
      <c r="BA127">
        <v>0</v>
      </c>
      <c r="BB127">
        <v>0</v>
      </c>
      <c r="BC127" t="s">
        <v>3061</v>
      </c>
      <c r="BD127" t="s">
        <v>3040</v>
      </c>
      <c r="BE127" t="s">
        <v>3</v>
      </c>
      <c r="BF127" t="s">
        <v>3</v>
      </c>
      <c r="BG127" t="s">
        <v>3</v>
      </c>
      <c r="BH127" t="s">
        <v>3</v>
      </c>
      <c r="BI127" t="s">
        <v>3</v>
      </c>
      <c r="BJ127" t="s">
        <v>4999</v>
      </c>
      <c r="BK127" t="s">
        <v>3</v>
      </c>
      <c r="BL127" t="s">
        <v>96</v>
      </c>
      <c r="BM127" t="s">
        <v>1</v>
      </c>
      <c r="BN127">
        <v>14800</v>
      </c>
      <c r="BO127" t="s">
        <v>1</v>
      </c>
      <c r="BP127" t="s">
        <v>1</v>
      </c>
      <c r="BQ127" t="s">
        <v>1</v>
      </c>
      <c r="BR127" t="s">
        <v>1</v>
      </c>
      <c r="BS127" t="s">
        <v>1</v>
      </c>
      <c r="BT127" t="s">
        <v>1</v>
      </c>
      <c r="BU127" t="s">
        <v>1</v>
      </c>
      <c r="BV127" t="s">
        <v>1</v>
      </c>
      <c r="BW127" t="s">
        <v>0</v>
      </c>
      <c r="BX127" t="s">
        <v>1</v>
      </c>
      <c r="BY127" t="s">
        <v>1</v>
      </c>
      <c r="BZ127" t="s">
        <v>1</v>
      </c>
      <c r="CA127" t="s">
        <v>1</v>
      </c>
      <c r="CB127" t="s">
        <v>1</v>
      </c>
      <c r="CD127" t="e" cm="1">
        <f t="array" aca="1" ref="CD127" ca="1">eConcatenar(A127:CB127,"|")</f>
        <v>#NAME?</v>
      </c>
    </row>
    <row r="128" spans="1:82" x14ac:dyDescent="0.25">
      <c r="A128" t="s">
        <v>223</v>
      </c>
      <c r="B128" t="s">
        <v>1232</v>
      </c>
      <c r="C128">
        <v>3</v>
      </c>
      <c r="D128" t="s">
        <v>2153</v>
      </c>
      <c r="E128" t="s">
        <v>2158</v>
      </c>
      <c r="F128" t="s">
        <v>0</v>
      </c>
      <c r="G128" t="s">
        <v>2239</v>
      </c>
      <c r="H128" t="s">
        <v>2781</v>
      </c>
      <c r="I128">
        <v>14800</v>
      </c>
      <c r="J128">
        <v>0</v>
      </c>
      <c r="K128">
        <v>200</v>
      </c>
      <c r="L128">
        <v>50</v>
      </c>
      <c r="M128">
        <v>1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 t="s">
        <v>3115</v>
      </c>
      <c r="AC128" t="s">
        <v>0</v>
      </c>
      <c r="AD128" t="s">
        <v>3344</v>
      </c>
      <c r="AE128" t="s">
        <v>4</v>
      </c>
      <c r="AF128" t="s">
        <v>1</v>
      </c>
      <c r="AG128" t="s">
        <v>1</v>
      </c>
      <c r="AH128" t="s">
        <v>4189</v>
      </c>
      <c r="AI128" t="s">
        <v>2239</v>
      </c>
      <c r="AJ128" t="s">
        <v>1</v>
      </c>
      <c r="AK128" t="s">
        <v>1</v>
      </c>
      <c r="AL128" t="s">
        <v>1</v>
      </c>
      <c r="AM128" t="s">
        <v>1</v>
      </c>
      <c r="AN128" t="s">
        <v>1</v>
      </c>
      <c r="AO128" t="s">
        <v>4189</v>
      </c>
      <c r="AP128" t="s">
        <v>1</v>
      </c>
      <c r="AQ128" t="s">
        <v>2</v>
      </c>
      <c r="AR128" t="s">
        <v>1</v>
      </c>
      <c r="AS128" t="s">
        <v>1</v>
      </c>
      <c r="AT128" t="s">
        <v>1</v>
      </c>
      <c r="AU128" t="s">
        <v>1</v>
      </c>
      <c r="AV128" t="s">
        <v>1</v>
      </c>
      <c r="AW128" t="s">
        <v>9</v>
      </c>
      <c r="AX128">
        <f>Tabla1[[#This Row],[precio del paquete]]-Tabla1[[#This Row],[Saldo_Deudor]]</f>
        <v>3800</v>
      </c>
      <c r="AY128">
        <v>11000</v>
      </c>
      <c r="AZ128">
        <v>0</v>
      </c>
      <c r="BA128">
        <v>0</v>
      </c>
      <c r="BB128">
        <v>0</v>
      </c>
      <c r="BC128" t="s">
        <v>3061</v>
      </c>
      <c r="BD128" t="s">
        <v>3040</v>
      </c>
      <c r="BE128" t="s">
        <v>3</v>
      </c>
      <c r="BF128" t="s">
        <v>3</v>
      </c>
      <c r="BG128" t="s">
        <v>3</v>
      </c>
      <c r="BH128" t="s">
        <v>3</v>
      </c>
      <c r="BI128" t="s">
        <v>3</v>
      </c>
      <c r="BJ128" t="s">
        <v>4995</v>
      </c>
      <c r="BK128" t="s">
        <v>3</v>
      </c>
      <c r="BL128" t="s">
        <v>96</v>
      </c>
      <c r="BM128" t="s">
        <v>1</v>
      </c>
      <c r="BN128">
        <v>14800</v>
      </c>
      <c r="BO128" t="s">
        <v>1</v>
      </c>
      <c r="BP128" t="s">
        <v>1</v>
      </c>
      <c r="BQ128" t="s">
        <v>1</v>
      </c>
      <c r="BR128" t="s">
        <v>1</v>
      </c>
      <c r="BS128" t="s">
        <v>1</v>
      </c>
      <c r="BT128" t="s">
        <v>1</v>
      </c>
      <c r="BU128" t="s">
        <v>1</v>
      </c>
      <c r="BV128" t="s">
        <v>1</v>
      </c>
      <c r="BW128" t="s">
        <v>0</v>
      </c>
      <c r="BX128" t="s">
        <v>1</v>
      </c>
      <c r="BY128" t="s">
        <v>1</v>
      </c>
      <c r="BZ128" t="s">
        <v>1</v>
      </c>
      <c r="CA128" t="s">
        <v>1</v>
      </c>
      <c r="CB128" t="s">
        <v>1</v>
      </c>
      <c r="CD128" t="e" cm="1">
        <f t="array" aca="1" ref="CD128" ca="1">eConcatenar(A128:CB128,"|")</f>
        <v>#NAME?</v>
      </c>
    </row>
    <row r="129" spans="1:82" x14ac:dyDescent="0.25">
      <c r="A129" t="s">
        <v>224</v>
      </c>
      <c r="B129" t="s">
        <v>1233</v>
      </c>
      <c r="C129">
        <v>3</v>
      </c>
      <c r="D129" t="s">
        <v>2153</v>
      </c>
      <c r="E129" t="s">
        <v>2158</v>
      </c>
      <c r="F129" t="s">
        <v>0</v>
      </c>
      <c r="G129" t="s">
        <v>2239</v>
      </c>
      <c r="H129" t="s">
        <v>2769</v>
      </c>
      <c r="I129">
        <v>14800</v>
      </c>
      <c r="J129">
        <v>0</v>
      </c>
      <c r="K129">
        <v>100</v>
      </c>
      <c r="L129">
        <v>50</v>
      </c>
      <c r="M129">
        <v>2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 t="s">
        <v>3193</v>
      </c>
      <c r="AC129" t="s">
        <v>3345</v>
      </c>
      <c r="AD129" t="s">
        <v>3323</v>
      </c>
      <c r="AE129" t="s">
        <v>4</v>
      </c>
      <c r="AF129" t="s">
        <v>1</v>
      </c>
      <c r="AG129" t="s">
        <v>1</v>
      </c>
      <c r="AH129" t="s">
        <v>4190</v>
      </c>
      <c r="AI129" t="s">
        <v>2239</v>
      </c>
      <c r="AJ129" t="s">
        <v>1</v>
      </c>
      <c r="AK129">
        <v>9933786306</v>
      </c>
      <c r="AL129" t="s">
        <v>1</v>
      </c>
      <c r="AM129" t="s">
        <v>1</v>
      </c>
      <c r="AN129" t="s">
        <v>1</v>
      </c>
      <c r="AO129" t="s">
        <v>4190</v>
      </c>
      <c r="AP129" t="s">
        <v>1</v>
      </c>
      <c r="AQ129" t="s">
        <v>2</v>
      </c>
      <c r="AR129" t="s">
        <v>1</v>
      </c>
      <c r="AS129" t="s">
        <v>1</v>
      </c>
      <c r="AT129" t="s">
        <v>1</v>
      </c>
      <c r="AU129" t="s">
        <v>1</v>
      </c>
      <c r="AV129" t="s">
        <v>1</v>
      </c>
      <c r="AW129" t="s">
        <v>9</v>
      </c>
      <c r="AX129">
        <f>Tabla1[[#This Row],[precio del paquete]]-Tabla1[[#This Row],[Saldo_Deudor]]</f>
        <v>100</v>
      </c>
      <c r="AY129">
        <v>14700</v>
      </c>
      <c r="AZ129">
        <v>0</v>
      </c>
      <c r="BA129">
        <v>0</v>
      </c>
      <c r="BB129">
        <v>0</v>
      </c>
      <c r="BC129" t="s">
        <v>2712</v>
      </c>
      <c r="BD129" t="s">
        <v>4901</v>
      </c>
      <c r="BE129" t="s">
        <v>3</v>
      </c>
      <c r="BF129" t="s">
        <v>3</v>
      </c>
      <c r="BG129" t="s">
        <v>3</v>
      </c>
      <c r="BH129" t="s">
        <v>3</v>
      </c>
      <c r="BI129" t="s">
        <v>3</v>
      </c>
      <c r="BJ129" t="s">
        <v>4995</v>
      </c>
      <c r="BK129" t="s">
        <v>3</v>
      </c>
      <c r="BL129" t="s">
        <v>96</v>
      </c>
      <c r="BM129" t="s">
        <v>1</v>
      </c>
      <c r="BN129">
        <v>14800</v>
      </c>
      <c r="BO129" t="s">
        <v>1</v>
      </c>
      <c r="BP129" t="s">
        <v>1</v>
      </c>
      <c r="BQ129" t="s">
        <v>1</v>
      </c>
      <c r="BR129" t="s">
        <v>1</v>
      </c>
      <c r="BS129" t="s">
        <v>1</v>
      </c>
      <c r="BT129" t="s">
        <v>1</v>
      </c>
      <c r="BU129" t="s">
        <v>1</v>
      </c>
      <c r="BV129" t="s">
        <v>1</v>
      </c>
      <c r="BW129" t="s">
        <v>0</v>
      </c>
      <c r="BX129" t="s">
        <v>1</v>
      </c>
      <c r="BY129" t="s">
        <v>1</v>
      </c>
      <c r="BZ129" t="s">
        <v>1</v>
      </c>
      <c r="CA129" t="s">
        <v>1</v>
      </c>
      <c r="CB129" t="s">
        <v>1</v>
      </c>
      <c r="CD129" t="e" cm="1">
        <f t="array" aca="1" ref="CD129" ca="1">eConcatenar(A129:CB129,"|")</f>
        <v>#NAME?</v>
      </c>
    </row>
    <row r="130" spans="1:82" x14ac:dyDescent="0.25">
      <c r="A130" t="s">
        <v>225</v>
      </c>
      <c r="B130" t="s">
        <v>1234</v>
      </c>
      <c r="C130">
        <v>3</v>
      </c>
      <c r="D130" t="s">
        <v>2153</v>
      </c>
      <c r="E130" t="s">
        <v>2158</v>
      </c>
      <c r="F130" t="s">
        <v>0</v>
      </c>
      <c r="G130" t="s">
        <v>2239</v>
      </c>
      <c r="H130" t="s">
        <v>2729</v>
      </c>
      <c r="I130">
        <v>14800</v>
      </c>
      <c r="J130">
        <v>0</v>
      </c>
      <c r="K130">
        <v>400</v>
      </c>
      <c r="L130">
        <v>50</v>
      </c>
      <c r="M130">
        <v>2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 t="s">
        <v>3346</v>
      </c>
      <c r="AC130" t="s">
        <v>3115</v>
      </c>
      <c r="AD130" t="s">
        <v>3347</v>
      </c>
      <c r="AE130" t="s">
        <v>4</v>
      </c>
      <c r="AF130" t="s">
        <v>1</v>
      </c>
      <c r="AG130" t="s">
        <v>1</v>
      </c>
      <c r="AH130" t="s">
        <v>4191</v>
      </c>
      <c r="AI130" t="s">
        <v>2239</v>
      </c>
      <c r="AJ130" t="s">
        <v>1</v>
      </c>
      <c r="AK130">
        <v>9371080267</v>
      </c>
      <c r="AL130" t="s">
        <v>1</v>
      </c>
      <c r="AM130" t="s">
        <v>1</v>
      </c>
      <c r="AN130" t="s">
        <v>1</v>
      </c>
      <c r="AO130" t="s">
        <v>4191</v>
      </c>
      <c r="AP130" t="s">
        <v>1</v>
      </c>
      <c r="AQ130" t="s">
        <v>2</v>
      </c>
      <c r="AR130" t="s">
        <v>1</v>
      </c>
      <c r="AS130" t="s">
        <v>1</v>
      </c>
      <c r="AT130" t="s">
        <v>1</v>
      </c>
      <c r="AU130" t="s">
        <v>1</v>
      </c>
      <c r="AV130" t="s">
        <v>1</v>
      </c>
      <c r="AW130" t="s">
        <v>9</v>
      </c>
      <c r="AX130">
        <f>Tabla1[[#This Row],[precio del paquete]]-Tabla1[[#This Row],[Saldo_Deudor]]</f>
        <v>800</v>
      </c>
      <c r="AY130">
        <v>14000</v>
      </c>
      <c r="AZ130">
        <v>0</v>
      </c>
      <c r="BA130">
        <v>0</v>
      </c>
      <c r="BB130">
        <v>0</v>
      </c>
      <c r="BC130" t="s">
        <v>2906</v>
      </c>
      <c r="BD130" t="s">
        <v>4898</v>
      </c>
      <c r="BE130" t="s">
        <v>3</v>
      </c>
      <c r="BF130" t="s">
        <v>3</v>
      </c>
      <c r="BG130" t="s">
        <v>3</v>
      </c>
      <c r="BH130" t="s">
        <v>3</v>
      </c>
      <c r="BI130" t="s">
        <v>3</v>
      </c>
      <c r="BJ130" t="s">
        <v>4985</v>
      </c>
      <c r="BK130" t="s">
        <v>3</v>
      </c>
      <c r="BL130" t="s">
        <v>96</v>
      </c>
      <c r="BM130" t="s">
        <v>1</v>
      </c>
      <c r="BN130">
        <v>14800</v>
      </c>
      <c r="BO130" t="s">
        <v>1</v>
      </c>
      <c r="BP130" t="s">
        <v>1</v>
      </c>
      <c r="BQ130" t="s">
        <v>1</v>
      </c>
      <c r="BR130" t="s">
        <v>1</v>
      </c>
      <c r="BS130" t="s">
        <v>1</v>
      </c>
      <c r="BT130" t="s">
        <v>1</v>
      </c>
      <c r="BU130" t="s">
        <v>1</v>
      </c>
      <c r="BV130" t="s">
        <v>1</v>
      </c>
      <c r="BW130" t="s">
        <v>0</v>
      </c>
      <c r="BX130" t="s">
        <v>1</v>
      </c>
      <c r="BY130" t="s">
        <v>1</v>
      </c>
      <c r="BZ130" t="s">
        <v>1</v>
      </c>
      <c r="CA130" t="s">
        <v>1</v>
      </c>
      <c r="CB130" t="s">
        <v>1</v>
      </c>
      <c r="CD130" t="e" cm="1">
        <f t="array" aca="1" ref="CD130" ca="1">eConcatenar(A130:CB130,"|")</f>
        <v>#NAME?</v>
      </c>
    </row>
    <row r="131" spans="1:82" x14ac:dyDescent="0.25">
      <c r="A131" t="s">
        <v>226</v>
      </c>
      <c r="B131" t="s">
        <v>1235</v>
      </c>
      <c r="C131">
        <v>3</v>
      </c>
      <c r="D131" t="s">
        <v>2157</v>
      </c>
      <c r="E131" t="s">
        <v>2158</v>
      </c>
      <c r="F131" t="s">
        <v>0</v>
      </c>
      <c r="G131" t="s">
        <v>2240</v>
      </c>
      <c r="H131" t="s">
        <v>2782</v>
      </c>
      <c r="I131">
        <v>12900</v>
      </c>
      <c r="J131">
        <v>0</v>
      </c>
      <c r="K131">
        <v>200</v>
      </c>
      <c r="L131">
        <v>50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 t="s">
        <v>3348</v>
      </c>
      <c r="AC131" t="s">
        <v>3236</v>
      </c>
      <c r="AD131" t="s">
        <v>3168</v>
      </c>
      <c r="AE131" t="s">
        <v>4</v>
      </c>
      <c r="AF131" t="s">
        <v>1</v>
      </c>
      <c r="AG131" t="s">
        <v>1</v>
      </c>
      <c r="AH131" t="s">
        <v>4192</v>
      </c>
      <c r="AI131" t="s">
        <v>2240</v>
      </c>
      <c r="AJ131" t="s">
        <v>1</v>
      </c>
      <c r="AK131">
        <v>9371413570</v>
      </c>
      <c r="AL131" t="s">
        <v>1</v>
      </c>
      <c r="AM131" t="s">
        <v>1</v>
      </c>
      <c r="AN131" t="s">
        <v>1</v>
      </c>
      <c r="AO131" t="s">
        <v>4192</v>
      </c>
      <c r="AP131" t="s">
        <v>1</v>
      </c>
      <c r="AQ131" t="s">
        <v>2</v>
      </c>
      <c r="AR131" t="s">
        <v>1</v>
      </c>
      <c r="AS131" t="s">
        <v>1</v>
      </c>
      <c r="AT131" t="s">
        <v>1</v>
      </c>
      <c r="AU131" t="s">
        <v>1</v>
      </c>
      <c r="AV131" t="s">
        <v>1</v>
      </c>
      <c r="AW131" t="s">
        <v>9</v>
      </c>
      <c r="AX131">
        <f>Tabla1[[#This Row],[precio del paquete]]-Tabla1[[#This Row],[Saldo_Deudor]]</f>
        <v>5900</v>
      </c>
      <c r="AY131">
        <v>7000</v>
      </c>
      <c r="AZ131">
        <v>0</v>
      </c>
      <c r="BA131">
        <v>0</v>
      </c>
      <c r="BB131">
        <v>0</v>
      </c>
      <c r="BC131" t="s">
        <v>2712</v>
      </c>
      <c r="BD131" t="s">
        <v>4901</v>
      </c>
      <c r="BE131" t="s">
        <v>3</v>
      </c>
      <c r="BF131" t="s">
        <v>3</v>
      </c>
      <c r="BG131" t="s">
        <v>3</v>
      </c>
      <c r="BH131" t="s">
        <v>3</v>
      </c>
      <c r="BI131" t="s">
        <v>3</v>
      </c>
      <c r="BJ131" t="s">
        <v>4999</v>
      </c>
      <c r="BK131" t="s">
        <v>3</v>
      </c>
      <c r="BL131" t="s">
        <v>96</v>
      </c>
      <c r="BM131" t="s">
        <v>1</v>
      </c>
      <c r="BN131">
        <v>12900</v>
      </c>
      <c r="BO131" t="s">
        <v>1</v>
      </c>
      <c r="BP131" t="s">
        <v>1</v>
      </c>
      <c r="BQ131" t="s">
        <v>1</v>
      </c>
      <c r="BR131" t="s">
        <v>1</v>
      </c>
      <c r="BS131" t="s">
        <v>1</v>
      </c>
      <c r="BT131" t="s">
        <v>1</v>
      </c>
      <c r="BU131" t="s">
        <v>1</v>
      </c>
      <c r="BV131" t="s">
        <v>1</v>
      </c>
      <c r="BW131" t="s">
        <v>0</v>
      </c>
      <c r="BX131" t="s">
        <v>1</v>
      </c>
      <c r="BY131" t="s">
        <v>1</v>
      </c>
      <c r="BZ131" t="s">
        <v>1</v>
      </c>
      <c r="CA131" t="s">
        <v>1</v>
      </c>
      <c r="CB131" t="s">
        <v>1</v>
      </c>
      <c r="CD131" t="e" cm="1">
        <f t="array" aca="1" ref="CD131" ca="1">eConcatenar(A131:CB131,"|")</f>
        <v>#NAME?</v>
      </c>
    </row>
    <row r="132" spans="1:82" x14ac:dyDescent="0.25">
      <c r="A132" t="s">
        <v>227</v>
      </c>
      <c r="B132" t="s">
        <v>1236</v>
      </c>
      <c r="C132">
        <v>3</v>
      </c>
      <c r="D132" t="s">
        <v>2157</v>
      </c>
      <c r="E132" t="s">
        <v>2158</v>
      </c>
      <c r="F132" t="s">
        <v>0</v>
      </c>
      <c r="G132" t="s">
        <v>2241</v>
      </c>
      <c r="H132" t="s">
        <v>2783</v>
      </c>
      <c r="I132">
        <v>12900</v>
      </c>
      <c r="J132">
        <v>0</v>
      </c>
      <c r="K132">
        <v>200</v>
      </c>
      <c r="L132">
        <v>50</v>
      </c>
      <c r="M132">
        <v>1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 t="s">
        <v>3349</v>
      </c>
      <c r="AC132" t="s">
        <v>3346</v>
      </c>
      <c r="AD132" t="s">
        <v>3350</v>
      </c>
      <c r="AE132" t="s">
        <v>4</v>
      </c>
      <c r="AF132" t="s">
        <v>1</v>
      </c>
      <c r="AG132" t="s">
        <v>1</v>
      </c>
      <c r="AH132" t="s">
        <v>4193</v>
      </c>
      <c r="AI132" t="s">
        <v>2241</v>
      </c>
      <c r="AJ132" t="s">
        <v>1</v>
      </c>
      <c r="AK132" t="s">
        <v>1</v>
      </c>
      <c r="AL132" t="s">
        <v>1</v>
      </c>
      <c r="AM132" t="s">
        <v>1</v>
      </c>
      <c r="AN132" t="s">
        <v>1</v>
      </c>
      <c r="AO132" t="s">
        <v>4193</v>
      </c>
      <c r="AP132" t="s">
        <v>1</v>
      </c>
      <c r="AQ132" t="s">
        <v>2</v>
      </c>
      <c r="AR132" t="s">
        <v>1</v>
      </c>
      <c r="AS132" t="s">
        <v>1</v>
      </c>
      <c r="AT132" t="s">
        <v>1</v>
      </c>
      <c r="AU132" t="s">
        <v>1</v>
      </c>
      <c r="AV132" t="s">
        <v>1</v>
      </c>
      <c r="AW132" t="s">
        <v>9</v>
      </c>
      <c r="AX132">
        <f>Tabla1[[#This Row],[precio del paquete]]-Tabla1[[#This Row],[Saldo_Deudor]]</f>
        <v>5200</v>
      </c>
      <c r="AY132">
        <v>7700</v>
      </c>
      <c r="AZ132">
        <v>0</v>
      </c>
      <c r="BA132">
        <v>0</v>
      </c>
      <c r="BB132">
        <v>0</v>
      </c>
      <c r="BC132" t="s">
        <v>2982</v>
      </c>
      <c r="BD132" t="s">
        <v>4872</v>
      </c>
      <c r="BE132" t="s">
        <v>3</v>
      </c>
      <c r="BF132" t="s">
        <v>3</v>
      </c>
      <c r="BG132" t="s">
        <v>3</v>
      </c>
      <c r="BH132" t="s">
        <v>3</v>
      </c>
      <c r="BI132" t="s">
        <v>3</v>
      </c>
      <c r="BJ132" t="s">
        <v>4987</v>
      </c>
      <c r="BK132" t="s">
        <v>3</v>
      </c>
      <c r="BL132" t="s">
        <v>96</v>
      </c>
      <c r="BM132" t="s">
        <v>1</v>
      </c>
      <c r="BN132">
        <v>12900</v>
      </c>
      <c r="BO132" t="s">
        <v>1</v>
      </c>
      <c r="BP132" t="s">
        <v>1</v>
      </c>
      <c r="BQ132" t="s">
        <v>1</v>
      </c>
      <c r="BR132" t="s">
        <v>1</v>
      </c>
      <c r="BS132" t="s">
        <v>1</v>
      </c>
      <c r="BT132" t="s">
        <v>1</v>
      </c>
      <c r="BU132" t="s">
        <v>1</v>
      </c>
      <c r="BV132" t="s">
        <v>1</v>
      </c>
      <c r="BW132" t="s">
        <v>0</v>
      </c>
      <c r="BX132" t="s">
        <v>1</v>
      </c>
      <c r="BY132" t="s">
        <v>1</v>
      </c>
      <c r="BZ132" t="s">
        <v>1</v>
      </c>
      <c r="CA132" t="s">
        <v>1</v>
      </c>
      <c r="CB132" t="s">
        <v>1</v>
      </c>
      <c r="CD132" t="e" cm="1">
        <f t="array" aca="1" ref="CD132" ca="1">eConcatenar(A132:CB132,"|")</f>
        <v>#NAME?</v>
      </c>
    </row>
    <row r="133" spans="1:82" x14ac:dyDescent="0.25">
      <c r="A133" t="s">
        <v>228</v>
      </c>
      <c r="B133" t="s">
        <v>1237</v>
      </c>
      <c r="C133">
        <v>3</v>
      </c>
      <c r="D133" t="s">
        <v>2155</v>
      </c>
      <c r="E133" t="s">
        <v>2158</v>
      </c>
      <c r="F133" t="s">
        <v>0</v>
      </c>
      <c r="G133" t="s">
        <v>2242</v>
      </c>
      <c r="H133" t="s">
        <v>2784</v>
      </c>
      <c r="I133">
        <v>12900</v>
      </c>
      <c r="J133">
        <v>0</v>
      </c>
      <c r="K133">
        <v>200</v>
      </c>
      <c r="L133">
        <v>50</v>
      </c>
      <c r="M133">
        <v>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 t="s">
        <v>3114</v>
      </c>
      <c r="AC133" t="s">
        <v>3236</v>
      </c>
      <c r="AD133" t="s">
        <v>3351</v>
      </c>
      <c r="AE133" t="s">
        <v>4</v>
      </c>
      <c r="AF133" t="s">
        <v>1</v>
      </c>
      <c r="AG133" t="s">
        <v>1</v>
      </c>
      <c r="AH133" t="s">
        <v>4194</v>
      </c>
      <c r="AI133" t="s">
        <v>2242</v>
      </c>
      <c r="AJ133" t="s">
        <v>1</v>
      </c>
      <c r="AK133">
        <v>9372837929</v>
      </c>
      <c r="AL133" t="s">
        <v>1</v>
      </c>
      <c r="AM133" t="s">
        <v>1</v>
      </c>
      <c r="AN133" t="s">
        <v>1</v>
      </c>
      <c r="AO133" t="s">
        <v>4194</v>
      </c>
      <c r="AP133" t="s">
        <v>1</v>
      </c>
      <c r="AQ133" t="s">
        <v>2</v>
      </c>
      <c r="AR133" t="s">
        <v>1</v>
      </c>
      <c r="AS133" t="s">
        <v>1</v>
      </c>
      <c r="AT133" t="s">
        <v>1</v>
      </c>
      <c r="AU133" t="s">
        <v>1</v>
      </c>
      <c r="AV133" t="s">
        <v>1</v>
      </c>
      <c r="AW133" t="s">
        <v>9</v>
      </c>
      <c r="AX133">
        <f>Tabla1[[#This Row],[precio del paquete]]-Tabla1[[#This Row],[Saldo_Deudor]]</f>
        <v>1450</v>
      </c>
      <c r="AY133">
        <v>11450</v>
      </c>
      <c r="AZ133">
        <v>0</v>
      </c>
      <c r="BA133">
        <v>0</v>
      </c>
      <c r="BB133">
        <v>0</v>
      </c>
      <c r="BC133" t="s">
        <v>4837</v>
      </c>
      <c r="BD133" t="s">
        <v>2791</v>
      </c>
      <c r="BE133" t="s">
        <v>3</v>
      </c>
      <c r="BF133" t="s">
        <v>3</v>
      </c>
      <c r="BG133" t="s">
        <v>3</v>
      </c>
      <c r="BH133" t="s">
        <v>3</v>
      </c>
      <c r="BI133" t="s">
        <v>3</v>
      </c>
      <c r="BJ133" t="s">
        <v>4995</v>
      </c>
      <c r="BK133" t="s">
        <v>3</v>
      </c>
      <c r="BL133" t="s">
        <v>96</v>
      </c>
      <c r="BM133" t="s">
        <v>1</v>
      </c>
      <c r="BN133">
        <v>12900</v>
      </c>
      <c r="BO133" t="s">
        <v>1</v>
      </c>
      <c r="BP133" t="s">
        <v>1</v>
      </c>
      <c r="BQ133" t="s">
        <v>1</v>
      </c>
      <c r="BR133" t="s">
        <v>1</v>
      </c>
      <c r="BS133" t="s">
        <v>1</v>
      </c>
      <c r="BT133" t="s">
        <v>1</v>
      </c>
      <c r="BU133" t="s">
        <v>1</v>
      </c>
      <c r="BV133" t="s">
        <v>1</v>
      </c>
      <c r="BW133" t="s">
        <v>0</v>
      </c>
      <c r="BX133" t="s">
        <v>1</v>
      </c>
      <c r="BY133" t="s">
        <v>1</v>
      </c>
      <c r="BZ133" t="s">
        <v>1</v>
      </c>
      <c r="CA133" t="s">
        <v>1</v>
      </c>
      <c r="CB133" t="s">
        <v>1</v>
      </c>
      <c r="CD133" t="e" cm="1">
        <f t="array" aca="1" ref="CD133" ca="1">eConcatenar(A133:CB133,"|")</f>
        <v>#NAME?</v>
      </c>
    </row>
    <row r="134" spans="1:82" x14ac:dyDescent="0.25">
      <c r="A134" t="s">
        <v>229</v>
      </c>
      <c r="B134" t="s">
        <v>1238</v>
      </c>
      <c r="C134">
        <v>3</v>
      </c>
      <c r="D134" t="s">
        <v>2153</v>
      </c>
      <c r="E134" t="s">
        <v>2158</v>
      </c>
      <c r="F134" t="s">
        <v>0</v>
      </c>
      <c r="G134" t="s">
        <v>2242</v>
      </c>
      <c r="H134" t="s">
        <v>2714</v>
      </c>
      <c r="I134">
        <v>14800</v>
      </c>
      <c r="J134">
        <v>0</v>
      </c>
      <c r="K134">
        <v>50</v>
      </c>
      <c r="L134">
        <v>50</v>
      </c>
      <c r="M134">
        <v>2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 t="s">
        <v>3127</v>
      </c>
      <c r="AC134" t="s">
        <v>3127</v>
      </c>
      <c r="AD134" t="s">
        <v>3130</v>
      </c>
      <c r="AE134" t="s">
        <v>4</v>
      </c>
      <c r="AF134" t="s">
        <v>1</v>
      </c>
      <c r="AG134" t="s">
        <v>1</v>
      </c>
      <c r="AH134" t="s">
        <v>4195</v>
      </c>
      <c r="AI134" t="s">
        <v>2242</v>
      </c>
      <c r="AJ134" t="s">
        <v>1</v>
      </c>
      <c r="AK134">
        <v>9371012958</v>
      </c>
      <c r="AL134" t="s">
        <v>1</v>
      </c>
      <c r="AM134" t="s">
        <v>1</v>
      </c>
      <c r="AN134" t="s">
        <v>1</v>
      </c>
      <c r="AO134" t="s">
        <v>4195</v>
      </c>
      <c r="AP134" t="s">
        <v>1</v>
      </c>
      <c r="AQ134" t="s">
        <v>2</v>
      </c>
      <c r="AR134" t="s">
        <v>1</v>
      </c>
      <c r="AS134" t="s">
        <v>1</v>
      </c>
      <c r="AT134" t="s">
        <v>1</v>
      </c>
      <c r="AU134" t="s">
        <v>1</v>
      </c>
      <c r="AV134" t="s">
        <v>1</v>
      </c>
      <c r="AW134" t="s">
        <v>9</v>
      </c>
      <c r="AX134">
        <f>Tabla1[[#This Row],[precio del paquete]]-Tabla1[[#This Row],[Saldo_Deudor]]</f>
        <v>1030</v>
      </c>
      <c r="AY134">
        <v>13770</v>
      </c>
      <c r="AZ134">
        <v>0</v>
      </c>
      <c r="BA134">
        <v>0</v>
      </c>
      <c r="BB134">
        <v>0</v>
      </c>
      <c r="BC134" t="s">
        <v>2906</v>
      </c>
      <c r="BD134" t="s">
        <v>4898</v>
      </c>
      <c r="BE134" t="s">
        <v>3</v>
      </c>
      <c r="BF134" t="s">
        <v>3</v>
      </c>
      <c r="BG134" t="s">
        <v>3</v>
      </c>
      <c r="BH134" t="s">
        <v>3</v>
      </c>
      <c r="BI134" t="s">
        <v>3</v>
      </c>
      <c r="BJ134" t="s">
        <v>4985</v>
      </c>
      <c r="BK134" t="s">
        <v>3</v>
      </c>
      <c r="BL134" t="s">
        <v>96</v>
      </c>
      <c r="BM134" t="s">
        <v>1</v>
      </c>
      <c r="BN134">
        <v>14800</v>
      </c>
      <c r="BO134" t="s">
        <v>1</v>
      </c>
      <c r="BP134" t="s">
        <v>1</v>
      </c>
      <c r="BQ134" t="s">
        <v>1</v>
      </c>
      <c r="BR134" t="s">
        <v>1</v>
      </c>
      <c r="BS134" t="s">
        <v>1</v>
      </c>
      <c r="BT134" t="s">
        <v>1</v>
      </c>
      <c r="BU134" t="s">
        <v>1</v>
      </c>
      <c r="BV134" t="s">
        <v>1</v>
      </c>
      <c r="BW134" t="s">
        <v>0</v>
      </c>
      <c r="BX134" t="s">
        <v>1</v>
      </c>
      <c r="BY134" t="s">
        <v>1</v>
      </c>
      <c r="BZ134" t="s">
        <v>1</v>
      </c>
      <c r="CA134" t="s">
        <v>1</v>
      </c>
      <c r="CB134" t="s">
        <v>1</v>
      </c>
      <c r="CD134" t="e" cm="1">
        <f t="array" aca="1" ref="CD134" ca="1">eConcatenar(A134:CB134,"|")</f>
        <v>#NAME?</v>
      </c>
    </row>
    <row r="135" spans="1:82" x14ac:dyDescent="0.25">
      <c r="A135" t="s">
        <v>230</v>
      </c>
      <c r="B135" t="s">
        <v>1239</v>
      </c>
      <c r="C135">
        <v>3</v>
      </c>
      <c r="D135" t="s">
        <v>3107</v>
      </c>
      <c r="E135" t="s">
        <v>2158</v>
      </c>
      <c r="F135" t="s">
        <v>2161</v>
      </c>
      <c r="G135" t="s">
        <v>2243</v>
      </c>
      <c r="H135" t="s">
        <v>2785</v>
      </c>
      <c r="I135">
        <v>35000</v>
      </c>
      <c r="J135">
        <v>0</v>
      </c>
      <c r="K135">
        <v>200</v>
      </c>
      <c r="L135">
        <v>50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 t="s">
        <v>3352</v>
      </c>
      <c r="AC135" t="s">
        <v>3202</v>
      </c>
      <c r="AD135" t="s">
        <v>3353</v>
      </c>
      <c r="AE135" t="s">
        <v>4</v>
      </c>
      <c r="AF135" t="s">
        <v>1</v>
      </c>
      <c r="AG135" t="s">
        <v>1</v>
      </c>
      <c r="AH135" t="s">
        <v>4196</v>
      </c>
      <c r="AI135" t="s">
        <v>2243</v>
      </c>
      <c r="AJ135" t="s">
        <v>1</v>
      </c>
      <c r="AK135">
        <v>9371287387</v>
      </c>
      <c r="AL135" t="s">
        <v>1</v>
      </c>
      <c r="AM135" t="s">
        <v>1</v>
      </c>
      <c r="AN135" t="s">
        <v>1</v>
      </c>
      <c r="AO135" t="s">
        <v>4196</v>
      </c>
      <c r="AP135" t="s">
        <v>1</v>
      </c>
      <c r="AQ135" t="s">
        <v>2</v>
      </c>
      <c r="AR135" t="s">
        <v>1</v>
      </c>
      <c r="AS135" t="s">
        <v>1</v>
      </c>
      <c r="AT135" t="s">
        <v>1</v>
      </c>
      <c r="AU135" t="s">
        <v>1</v>
      </c>
      <c r="AV135" t="s">
        <v>1</v>
      </c>
      <c r="AW135" t="s">
        <v>9</v>
      </c>
      <c r="AX135">
        <f>Tabla1[[#This Row],[precio del paquete]]-Tabla1[[#This Row],[Saldo_Deudor]]</f>
        <v>1400</v>
      </c>
      <c r="AY135">
        <v>33600</v>
      </c>
      <c r="AZ135">
        <v>0</v>
      </c>
      <c r="BA135">
        <v>0</v>
      </c>
      <c r="BB135">
        <v>0</v>
      </c>
      <c r="BC135" t="s">
        <v>3024</v>
      </c>
      <c r="BD135" t="s">
        <v>4830</v>
      </c>
      <c r="BE135" t="s">
        <v>3</v>
      </c>
      <c r="BF135" t="s">
        <v>3</v>
      </c>
      <c r="BG135" t="s">
        <v>3</v>
      </c>
      <c r="BH135" t="s">
        <v>3</v>
      </c>
      <c r="BI135" t="s">
        <v>3</v>
      </c>
      <c r="BJ135" t="s">
        <v>4985</v>
      </c>
      <c r="BK135" t="s">
        <v>3</v>
      </c>
      <c r="BL135" t="s">
        <v>96</v>
      </c>
      <c r="BM135" t="s">
        <v>1</v>
      </c>
      <c r="BN135">
        <v>35000</v>
      </c>
      <c r="BO135" t="s">
        <v>1</v>
      </c>
      <c r="BP135" t="s">
        <v>1</v>
      </c>
      <c r="BQ135" t="s">
        <v>1</v>
      </c>
      <c r="BR135" t="s">
        <v>1</v>
      </c>
      <c r="BS135" t="s">
        <v>1</v>
      </c>
      <c r="BT135" t="s">
        <v>1</v>
      </c>
      <c r="BU135" t="s">
        <v>1</v>
      </c>
      <c r="BV135" t="s">
        <v>1</v>
      </c>
      <c r="BW135" t="s">
        <v>0</v>
      </c>
      <c r="BX135" t="s">
        <v>1</v>
      </c>
      <c r="BY135" t="s">
        <v>1</v>
      </c>
      <c r="BZ135" t="s">
        <v>1</v>
      </c>
      <c r="CA135" t="s">
        <v>1</v>
      </c>
      <c r="CB135" t="s">
        <v>1</v>
      </c>
      <c r="CD135" t="e" cm="1">
        <f t="array" aca="1" ref="CD135" ca="1">eConcatenar(A135:CB135,"|")</f>
        <v>#NAME?</v>
      </c>
    </row>
    <row r="136" spans="1:82" x14ac:dyDescent="0.25">
      <c r="A136" t="s">
        <v>231</v>
      </c>
      <c r="B136" t="s">
        <v>1240</v>
      </c>
      <c r="C136">
        <v>3</v>
      </c>
      <c r="D136" t="s">
        <v>2157</v>
      </c>
      <c r="E136" t="s">
        <v>2158</v>
      </c>
      <c r="F136" t="s">
        <v>2161</v>
      </c>
      <c r="G136" t="s">
        <v>2243</v>
      </c>
      <c r="H136" t="s">
        <v>2786</v>
      </c>
      <c r="I136">
        <v>12900</v>
      </c>
      <c r="J136">
        <v>0</v>
      </c>
      <c r="K136">
        <v>100</v>
      </c>
      <c r="L136">
        <v>50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 t="s">
        <v>3155</v>
      </c>
      <c r="AC136" t="s">
        <v>3354</v>
      </c>
      <c r="AD136" t="s">
        <v>3355</v>
      </c>
      <c r="AE136" t="s">
        <v>4</v>
      </c>
      <c r="AF136" t="s">
        <v>1</v>
      </c>
      <c r="AG136" t="s">
        <v>1</v>
      </c>
      <c r="AH136" t="s">
        <v>4197</v>
      </c>
      <c r="AI136" t="s">
        <v>2243</v>
      </c>
      <c r="AJ136" t="s">
        <v>1</v>
      </c>
      <c r="AK136" t="s">
        <v>1</v>
      </c>
      <c r="AL136" t="s">
        <v>1</v>
      </c>
      <c r="AM136" t="s">
        <v>1</v>
      </c>
      <c r="AN136" t="s">
        <v>1</v>
      </c>
      <c r="AO136" t="s">
        <v>4197</v>
      </c>
      <c r="AP136" t="s">
        <v>1</v>
      </c>
      <c r="AQ136" t="s">
        <v>2</v>
      </c>
      <c r="AR136" t="s">
        <v>1</v>
      </c>
      <c r="AS136" t="s">
        <v>1</v>
      </c>
      <c r="AT136" t="s">
        <v>1</v>
      </c>
      <c r="AU136" t="s">
        <v>1</v>
      </c>
      <c r="AV136" t="s">
        <v>1</v>
      </c>
      <c r="AW136" t="s">
        <v>9</v>
      </c>
      <c r="AX136">
        <f>Tabla1[[#This Row],[precio del paquete]]-Tabla1[[#This Row],[Saldo_Deudor]]</f>
        <v>7250</v>
      </c>
      <c r="AY136">
        <v>5650</v>
      </c>
      <c r="AZ136">
        <v>0</v>
      </c>
      <c r="BA136">
        <v>0</v>
      </c>
      <c r="BB136">
        <v>0</v>
      </c>
      <c r="BC136" t="s">
        <v>2905</v>
      </c>
      <c r="BD136" t="s">
        <v>3024</v>
      </c>
      <c r="BE136" t="s">
        <v>3</v>
      </c>
      <c r="BF136" t="s">
        <v>3</v>
      </c>
      <c r="BG136" t="s">
        <v>3</v>
      </c>
      <c r="BH136" t="s">
        <v>3</v>
      </c>
      <c r="BI136" t="s">
        <v>3</v>
      </c>
      <c r="BJ136" t="s">
        <v>4986</v>
      </c>
      <c r="BK136" t="s">
        <v>3</v>
      </c>
      <c r="BL136" t="s">
        <v>96</v>
      </c>
      <c r="BM136" t="s">
        <v>1</v>
      </c>
      <c r="BN136">
        <v>12900</v>
      </c>
      <c r="BO136" t="s">
        <v>1</v>
      </c>
      <c r="BP136" t="s">
        <v>1</v>
      </c>
      <c r="BQ136" t="s">
        <v>1</v>
      </c>
      <c r="BR136" t="s">
        <v>1</v>
      </c>
      <c r="BS136" t="s">
        <v>1</v>
      </c>
      <c r="BT136" t="s">
        <v>1</v>
      </c>
      <c r="BU136" t="s">
        <v>1</v>
      </c>
      <c r="BV136" t="s">
        <v>1</v>
      </c>
      <c r="BW136" t="s">
        <v>0</v>
      </c>
      <c r="BX136" t="s">
        <v>1</v>
      </c>
      <c r="BY136" t="s">
        <v>1</v>
      </c>
      <c r="BZ136" t="s">
        <v>1</v>
      </c>
      <c r="CA136" t="s">
        <v>1</v>
      </c>
      <c r="CB136" t="s">
        <v>1</v>
      </c>
      <c r="CD136" t="e" cm="1">
        <f t="array" aca="1" ref="CD136" ca="1">eConcatenar(A136:CB136,"|")</f>
        <v>#NAME?</v>
      </c>
    </row>
    <row r="137" spans="1:82" x14ac:dyDescent="0.25">
      <c r="A137" t="s">
        <v>232</v>
      </c>
      <c r="B137" t="s">
        <v>1241</v>
      </c>
      <c r="C137">
        <v>3</v>
      </c>
      <c r="D137" t="s">
        <v>2157</v>
      </c>
      <c r="E137" t="s">
        <v>2158</v>
      </c>
      <c r="F137" t="s">
        <v>2159</v>
      </c>
      <c r="G137" t="s">
        <v>2244</v>
      </c>
      <c r="H137" t="s">
        <v>2787</v>
      </c>
      <c r="I137">
        <v>12900</v>
      </c>
      <c r="J137">
        <v>0</v>
      </c>
      <c r="K137">
        <v>200</v>
      </c>
      <c r="L137">
        <v>50</v>
      </c>
      <c r="M137">
        <v>1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 t="s">
        <v>3214</v>
      </c>
      <c r="AC137" t="s">
        <v>5</v>
      </c>
      <c r="AD137" t="s">
        <v>3356</v>
      </c>
      <c r="AE137" t="s">
        <v>4</v>
      </c>
      <c r="AF137" t="s">
        <v>1</v>
      </c>
      <c r="AG137" t="s">
        <v>1</v>
      </c>
      <c r="AH137" t="s">
        <v>4198</v>
      </c>
      <c r="AI137" t="s">
        <v>2244</v>
      </c>
      <c r="AJ137" t="s">
        <v>1</v>
      </c>
      <c r="AK137">
        <v>9331352644</v>
      </c>
      <c r="AL137" t="s">
        <v>1</v>
      </c>
      <c r="AM137" t="s">
        <v>1</v>
      </c>
      <c r="AN137" t="s">
        <v>1</v>
      </c>
      <c r="AO137" t="s">
        <v>4198</v>
      </c>
      <c r="AP137" t="s">
        <v>1</v>
      </c>
      <c r="AQ137" t="s">
        <v>2</v>
      </c>
      <c r="AR137" t="s">
        <v>1</v>
      </c>
      <c r="AS137" t="s">
        <v>1</v>
      </c>
      <c r="AT137" t="s">
        <v>1</v>
      </c>
      <c r="AU137" t="s">
        <v>1</v>
      </c>
      <c r="AV137" t="s">
        <v>1</v>
      </c>
      <c r="AW137" t="s">
        <v>9</v>
      </c>
      <c r="AX137">
        <f>Tabla1[[#This Row],[precio del paquete]]-Tabla1[[#This Row],[Saldo_Deudor]]</f>
        <v>10200</v>
      </c>
      <c r="AY137">
        <v>2700</v>
      </c>
      <c r="AZ137">
        <v>0</v>
      </c>
      <c r="BA137">
        <v>0</v>
      </c>
      <c r="BB137">
        <v>0</v>
      </c>
      <c r="BC137" t="s">
        <v>2916</v>
      </c>
      <c r="BD137" t="s">
        <v>4896</v>
      </c>
      <c r="BE137" t="s">
        <v>3</v>
      </c>
      <c r="BF137" t="s">
        <v>3</v>
      </c>
      <c r="BG137" t="s">
        <v>3</v>
      </c>
      <c r="BH137" t="s">
        <v>3</v>
      </c>
      <c r="BI137" t="s">
        <v>3</v>
      </c>
      <c r="BJ137" t="s">
        <v>4986</v>
      </c>
      <c r="BK137" t="s">
        <v>3</v>
      </c>
      <c r="BL137" t="s">
        <v>96</v>
      </c>
      <c r="BM137" t="s">
        <v>1</v>
      </c>
      <c r="BN137">
        <v>12900</v>
      </c>
      <c r="BO137" t="s">
        <v>1</v>
      </c>
      <c r="BP137" t="s">
        <v>1</v>
      </c>
      <c r="BQ137" t="s">
        <v>1</v>
      </c>
      <c r="BR137" t="s">
        <v>1</v>
      </c>
      <c r="BS137" t="s">
        <v>1</v>
      </c>
      <c r="BT137" t="s">
        <v>1</v>
      </c>
      <c r="BU137" t="s">
        <v>1</v>
      </c>
      <c r="BV137" t="s">
        <v>1</v>
      </c>
      <c r="BW137" t="s">
        <v>0</v>
      </c>
      <c r="BX137" t="s">
        <v>1</v>
      </c>
      <c r="BY137" t="s">
        <v>1</v>
      </c>
      <c r="BZ137" t="s">
        <v>1</v>
      </c>
      <c r="CA137" t="s">
        <v>1</v>
      </c>
      <c r="CB137" t="s">
        <v>1</v>
      </c>
      <c r="CD137" t="e" cm="1">
        <f t="array" aca="1" ref="CD137" ca="1">eConcatenar(A137:CB137,"|")</f>
        <v>#NAME?</v>
      </c>
    </row>
    <row r="138" spans="1:82" x14ac:dyDescent="0.25">
      <c r="A138" t="s">
        <v>233</v>
      </c>
      <c r="B138" t="s">
        <v>1242</v>
      </c>
      <c r="C138">
        <v>3</v>
      </c>
      <c r="D138" t="s">
        <v>2155</v>
      </c>
      <c r="E138" t="s">
        <v>2158</v>
      </c>
      <c r="F138" t="s">
        <v>0</v>
      </c>
      <c r="G138" t="s">
        <v>2245</v>
      </c>
      <c r="H138" t="s">
        <v>2788</v>
      </c>
      <c r="I138">
        <v>12900</v>
      </c>
      <c r="J138">
        <v>0</v>
      </c>
      <c r="K138">
        <v>200</v>
      </c>
      <c r="L138">
        <v>50</v>
      </c>
      <c r="M138">
        <v>1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 t="s">
        <v>3357</v>
      </c>
      <c r="AC138" t="s">
        <v>3117</v>
      </c>
      <c r="AD138" t="s">
        <v>3168</v>
      </c>
      <c r="AE138" t="s">
        <v>4</v>
      </c>
      <c r="AF138" t="s">
        <v>1</v>
      </c>
      <c r="AG138" t="s">
        <v>1</v>
      </c>
      <c r="AH138" t="s">
        <v>4199</v>
      </c>
      <c r="AI138" t="s">
        <v>2245</v>
      </c>
      <c r="AJ138" t="s">
        <v>1</v>
      </c>
      <c r="AK138">
        <v>9371010916</v>
      </c>
      <c r="AL138" t="s">
        <v>1</v>
      </c>
      <c r="AM138" t="s">
        <v>1</v>
      </c>
      <c r="AN138" t="s">
        <v>1</v>
      </c>
      <c r="AO138" t="s">
        <v>4199</v>
      </c>
      <c r="AP138" t="s">
        <v>1</v>
      </c>
      <c r="AQ138" t="s">
        <v>2</v>
      </c>
      <c r="AR138" t="s">
        <v>1</v>
      </c>
      <c r="AS138" t="s">
        <v>1</v>
      </c>
      <c r="AT138" t="s">
        <v>1</v>
      </c>
      <c r="AU138" t="s">
        <v>1</v>
      </c>
      <c r="AV138" t="s">
        <v>1</v>
      </c>
      <c r="AW138" t="s">
        <v>9</v>
      </c>
      <c r="AX138">
        <f>Tabla1[[#This Row],[precio del paquete]]-Tabla1[[#This Row],[Saldo_Deudor]]</f>
        <v>-6200</v>
      </c>
      <c r="AY138">
        <v>19100</v>
      </c>
      <c r="AZ138">
        <v>0</v>
      </c>
      <c r="BA138">
        <v>0</v>
      </c>
      <c r="BB138">
        <v>0</v>
      </c>
      <c r="BC138" t="s">
        <v>4838</v>
      </c>
      <c r="BD138" t="s">
        <v>3015</v>
      </c>
      <c r="BE138" t="s">
        <v>3</v>
      </c>
      <c r="BF138" t="s">
        <v>3</v>
      </c>
      <c r="BG138" t="s">
        <v>3</v>
      </c>
      <c r="BH138" t="s">
        <v>3</v>
      </c>
      <c r="BI138" t="s">
        <v>3</v>
      </c>
      <c r="BJ138" t="s">
        <v>5005</v>
      </c>
      <c r="BK138" t="s">
        <v>3</v>
      </c>
      <c r="BL138" t="s">
        <v>96</v>
      </c>
      <c r="BM138" t="s">
        <v>1</v>
      </c>
      <c r="BN138">
        <v>12900</v>
      </c>
      <c r="BO138" t="s">
        <v>1</v>
      </c>
      <c r="BP138" t="s">
        <v>1</v>
      </c>
      <c r="BQ138" t="s">
        <v>1</v>
      </c>
      <c r="BR138" t="s">
        <v>1</v>
      </c>
      <c r="BS138" t="s">
        <v>1</v>
      </c>
      <c r="BT138" t="s">
        <v>1</v>
      </c>
      <c r="BU138" t="s">
        <v>1</v>
      </c>
      <c r="BV138" t="s">
        <v>1</v>
      </c>
      <c r="BW138" t="s">
        <v>0</v>
      </c>
      <c r="BX138" t="s">
        <v>1</v>
      </c>
      <c r="BY138" t="s">
        <v>1</v>
      </c>
      <c r="BZ138" t="s">
        <v>1</v>
      </c>
      <c r="CA138" t="s">
        <v>1</v>
      </c>
      <c r="CB138" t="s">
        <v>1</v>
      </c>
      <c r="CD138" t="e" cm="1">
        <f t="array" aca="1" ref="CD138" ca="1">eConcatenar(A138:CB138,"|")</f>
        <v>#NAME?</v>
      </c>
    </row>
    <row r="139" spans="1:82" x14ac:dyDescent="0.25">
      <c r="A139" t="s">
        <v>234</v>
      </c>
      <c r="B139" t="s">
        <v>1243</v>
      </c>
      <c r="C139">
        <v>3</v>
      </c>
      <c r="D139" t="s">
        <v>2153</v>
      </c>
      <c r="E139" t="s">
        <v>2158</v>
      </c>
      <c r="F139" t="s">
        <v>2160</v>
      </c>
      <c r="G139" t="s">
        <v>2246</v>
      </c>
      <c r="H139" t="s">
        <v>2789</v>
      </c>
      <c r="I139">
        <v>14800</v>
      </c>
      <c r="J139">
        <v>0</v>
      </c>
      <c r="K139">
        <v>200</v>
      </c>
      <c r="L139">
        <v>50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 t="s">
        <v>3184</v>
      </c>
      <c r="AC139" t="s">
        <v>3177</v>
      </c>
      <c r="AD139" t="s">
        <v>3358</v>
      </c>
      <c r="AE139" t="s">
        <v>4</v>
      </c>
      <c r="AF139" t="s">
        <v>1</v>
      </c>
      <c r="AG139" t="s">
        <v>1</v>
      </c>
      <c r="AH139" t="s">
        <v>4200</v>
      </c>
      <c r="AI139" t="s">
        <v>2246</v>
      </c>
      <c r="AJ139" t="s">
        <v>1</v>
      </c>
      <c r="AK139">
        <v>9371193919</v>
      </c>
      <c r="AL139" t="s">
        <v>1</v>
      </c>
      <c r="AM139" t="s">
        <v>1</v>
      </c>
      <c r="AN139" t="s">
        <v>1</v>
      </c>
      <c r="AO139" t="s">
        <v>4200</v>
      </c>
      <c r="AP139" t="s">
        <v>1</v>
      </c>
      <c r="AQ139" t="s">
        <v>2</v>
      </c>
      <c r="AR139" t="s">
        <v>1</v>
      </c>
      <c r="AS139" t="s">
        <v>1</v>
      </c>
      <c r="AT139" t="s">
        <v>1</v>
      </c>
      <c r="AU139" t="s">
        <v>1</v>
      </c>
      <c r="AV139" t="s">
        <v>1</v>
      </c>
      <c r="AW139" t="s">
        <v>9</v>
      </c>
      <c r="AX139">
        <f>Tabla1[[#This Row],[precio del paquete]]-Tabla1[[#This Row],[Saldo_Deudor]]</f>
        <v>2600</v>
      </c>
      <c r="AY139">
        <v>12200</v>
      </c>
      <c r="AZ139">
        <v>0</v>
      </c>
      <c r="BA139">
        <v>0</v>
      </c>
      <c r="BB139">
        <v>0</v>
      </c>
      <c r="BC139" t="s">
        <v>2712</v>
      </c>
      <c r="BD139" t="s">
        <v>4901</v>
      </c>
      <c r="BE139" t="s">
        <v>3</v>
      </c>
      <c r="BF139" t="s">
        <v>3</v>
      </c>
      <c r="BG139" t="s">
        <v>3</v>
      </c>
      <c r="BH139" t="s">
        <v>3</v>
      </c>
      <c r="BI139" t="s">
        <v>3</v>
      </c>
      <c r="BJ139" t="s">
        <v>4985</v>
      </c>
      <c r="BK139" t="s">
        <v>3</v>
      </c>
      <c r="BL139" t="s">
        <v>96</v>
      </c>
      <c r="BM139" t="s">
        <v>1</v>
      </c>
      <c r="BN139">
        <v>14800</v>
      </c>
      <c r="BO139" t="s">
        <v>1</v>
      </c>
      <c r="BP139" t="s">
        <v>1</v>
      </c>
      <c r="BQ139" t="s">
        <v>1</v>
      </c>
      <c r="BR139" t="s">
        <v>1</v>
      </c>
      <c r="BS139" t="s">
        <v>1</v>
      </c>
      <c r="BT139" t="s">
        <v>1</v>
      </c>
      <c r="BU139" t="s">
        <v>1</v>
      </c>
      <c r="BV139" t="s">
        <v>1</v>
      </c>
      <c r="BW139" t="s">
        <v>0</v>
      </c>
      <c r="BX139" t="s">
        <v>1</v>
      </c>
      <c r="BY139" t="s">
        <v>1</v>
      </c>
      <c r="BZ139" t="s">
        <v>1</v>
      </c>
      <c r="CA139" t="s">
        <v>1</v>
      </c>
      <c r="CB139" t="s">
        <v>1</v>
      </c>
      <c r="CD139" t="e" cm="1">
        <f t="array" aca="1" ref="CD139" ca="1">eConcatenar(A139:CB139,"|")</f>
        <v>#NAME?</v>
      </c>
    </row>
    <row r="140" spans="1:82" x14ac:dyDescent="0.25">
      <c r="A140" t="s">
        <v>235</v>
      </c>
      <c r="B140" t="s">
        <v>1244</v>
      </c>
      <c r="C140">
        <v>3</v>
      </c>
      <c r="D140" t="s">
        <v>2154</v>
      </c>
      <c r="E140" t="s">
        <v>2158</v>
      </c>
      <c r="F140" t="s">
        <v>0</v>
      </c>
      <c r="G140" t="s">
        <v>2247</v>
      </c>
      <c r="H140" t="s">
        <v>2790</v>
      </c>
      <c r="I140">
        <v>24500</v>
      </c>
      <c r="J140">
        <v>0</v>
      </c>
      <c r="K140">
        <v>300</v>
      </c>
      <c r="L140">
        <v>50</v>
      </c>
      <c r="M140">
        <v>1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 t="s">
        <v>3359</v>
      </c>
      <c r="AC140" t="s">
        <v>3360</v>
      </c>
      <c r="AD140" t="s">
        <v>3361</v>
      </c>
      <c r="AE140" t="s">
        <v>4</v>
      </c>
      <c r="AF140" t="s">
        <v>1</v>
      </c>
      <c r="AG140" t="s">
        <v>1</v>
      </c>
      <c r="AH140" t="s">
        <v>4201</v>
      </c>
      <c r="AI140" t="s">
        <v>2247</v>
      </c>
      <c r="AJ140" t="s">
        <v>1</v>
      </c>
      <c r="AK140">
        <v>9171359311</v>
      </c>
      <c r="AL140" t="s">
        <v>1</v>
      </c>
      <c r="AM140" t="s">
        <v>1</v>
      </c>
      <c r="AN140" t="s">
        <v>1</v>
      </c>
      <c r="AO140" t="s">
        <v>4201</v>
      </c>
      <c r="AP140" t="s">
        <v>1</v>
      </c>
      <c r="AQ140" t="s">
        <v>2</v>
      </c>
      <c r="AR140" t="s">
        <v>1</v>
      </c>
      <c r="AS140" t="s">
        <v>1</v>
      </c>
      <c r="AT140" t="s">
        <v>1</v>
      </c>
      <c r="AU140" t="s">
        <v>1</v>
      </c>
      <c r="AV140" t="s">
        <v>1</v>
      </c>
      <c r="AW140" t="s">
        <v>9</v>
      </c>
      <c r="AX140">
        <f>Tabla1[[#This Row],[precio del paquete]]-Tabla1[[#This Row],[Saldo_Deudor]]</f>
        <v>300</v>
      </c>
      <c r="AY140">
        <v>24200</v>
      </c>
      <c r="AZ140">
        <v>0</v>
      </c>
      <c r="BA140">
        <v>0</v>
      </c>
      <c r="BB140">
        <v>0</v>
      </c>
      <c r="BC140" t="s">
        <v>2790</v>
      </c>
      <c r="BD140" t="s">
        <v>2802</v>
      </c>
      <c r="BE140" t="s">
        <v>3</v>
      </c>
      <c r="BF140" t="s">
        <v>3</v>
      </c>
      <c r="BG140" t="s">
        <v>3</v>
      </c>
      <c r="BH140" t="s">
        <v>3</v>
      </c>
      <c r="BI140" t="s">
        <v>3</v>
      </c>
      <c r="BJ140" t="s">
        <v>4987</v>
      </c>
      <c r="BK140" t="s">
        <v>3</v>
      </c>
      <c r="BL140" t="s">
        <v>96</v>
      </c>
      <c r="BM140" t="s">
        <v>1</v>
      </c>
      <c r="BN140">
        <v>24500</v>
      </c>
      <c r="BO140" t="s">
        <v>1</v>
      </c>
      <c r="BP140" t="s">
        <v>1</v>
      </c>
      <c r="BQ140" t="s">
        <v>1</v>
      </c>
      <c r="BR140" t="s">
        <v>1</v>
      </c>
      <c r="BS140" t="s">
        <v>1</v>
      </c>
      <c r="BT140" t="s">
        <v>1</v>
      </c>
      <c r="BU140" t="s">
        <v>1</v>
      </c>
      <c r="BV140" t="s">
        <v>1</v>
      </c>
      <c r="BW140" t="s">
        <v>0</v>
      </c>
      <c r="BX140" t="s">
        <v>1</v>
      </c>
      <c r="BY140" t="s">
        <v>1</v>
      </c>
      <c r="BZ140" t="s">
        <v>1</v>
      </c>
      <c r="CA140" t="s">
        <v>1</v>
      </c>
      <c r="CB140" t="s">
        <v>1</v>
      </c>
      <c r="CD140" t="e" cm="1">
        <f t="array" aca="1" ref="CD140" ca="1">eConcatenar(A140:CB140,"|")</f>
        <v>#NAME?</v>
      </c>
    </row>
    <row r="141" spans="1:82" x14ac:dyDescent="0.25">
      <c r="A141" t="s">
        <v>236</v>
      </c>
      <c r="B141" t="s">
        <v>1245</v>
      </c>
      <c r="C141">
        <v>3</v>
      </c>
      <c r="D141" t="s">
        <v>2157</v>
      </c>
      <c r="E141" t="s">
        <v>2158</v>
      </c>
      <c r="F141" t="s">
        <v>0</v>
      </c>
      <c r="G141" t="s">
        <v>2247</v>
      </c>
      <c r="H141" t="s">
        <v>2791</v>
      </c>
      <c r="I141">
        <v>12900</v>
      </c>
      <c r="J141">
        <v>0</v>
      </c>
      <c r="K141">
        <v>200</v>
      </c>
      <c r="L141">
        <v>50</v>
      </c>
      <c r="M141">
        <v>1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 t="s">
        <v>3362</v>
      </c>
      <c r="AC141" t="s">
        <v>3177</v>
      </c>
      <c r="AD141" t="s">
        <v>3363</v>
      </c>
      <c r="AE141" t="s">
        <v>4</v>
      </c>
      <c r="AF141" t="s">
        <v>1</v>
      </c>
      <c r="AG141" t="s">
        <v>1</v>
      </c>
      <c r="AH141" t="s">
        <v>2205</v>
      </c>
      <c r="AI141" t="s">
        <v>2247</v>
      </c>
      <c r="AJ141" t="s">
        <v>1</v>
      </c>
      <c r="AK141">
        <v>9371000645</v>
      </c>
      <c r="AL141" t="s">
        <v>1</v>
      </c>
      <c r="AM141" t="s">
        <v>1</v>
      </c>
      <c r="AN141" t="s">
        <v>1</v>
      </c>
      <c r="AO141" t="s">
        <v>2205</v>
      </c>
      <c r="AP141" t="s">
        <v>1</v>
      </c>
      <c r="AQ141" t="s">
        <v>2</v>
      </c>
      <c r="AR141" t="s">
        <v>1</v>
      </c>
      <c r="AS141" t="s">
        <v>1</v>
      </c>
      <c r="AT141" t="s">
        <v>1</v>
      </c>
      <c r="AU141" t="s">
        <v>1</v>
      </c>
      <c r="AV141" t="s">
        <v>1</v>
      </c>
      <c r="AW141" t="s">
        <v>9</v>
      </c>
      <c r="AX141">
        <f>Tabla1[[#This Row],[precio del paquete]]-Tabla1[[#This Row],[Saldo_Deudor]]</f>
        <v>600</v>
      </c>
      <c r="AY141">
        <v>12300</v>
      </c>
      <c r="AZ141">
        <v>0</v>
      </c>
      <c r="BA141">
        <v>0</v>
      </c>
      <c r="BB141">
        <v>0</v>
      </c>
      <c r="BC141" t="s">
        <v>2943</v>
      </c>
      <c r="BD141" t="s">
        <v>4921</v>
      </c>
      <c r="BE141" t="s">
        <v>3</v>
      </c>
      <c r="BF141" t="s">
        <v>3</v>
      </c>
      <c r="BG141" t="s">
        <v>3</v>
      </c>
      <c r="BH141" t="s">
        <v>3</v>
      </c>
      <c r="BI141" t="s">
        <v>3</v>
      </c>
      <c r="BJ141" t="s">
        <v>4995</v>
      </c>
      <c r="BK141" t="s">
        <v>3</v>
      </c>
      <c r="BL141" t="s">
        <v>96</v>
      </c>
      <c r="BM141" t="s">
        <v>1</v>
      </c>
      <c r="BN141">
        <v>12900</v>
      </c>
      <c r="BO141" t="s">
        <v>1</v>
      </c>
      <c r="BP141" t="s">
        <v>1</v>
      </c>
      <c r="BQ141" t="s">
        <v>1</v>
      </c>
      <c r="BR141" t="s">
        <v>1</v>
      </c>
      <c r="BS141" t="s">
        <v>1</v>
      </c>
      <c r="BT141" t="s">
        <v>1</v>
      </c>
      <c r="BU141" t="s">
        <v>1</v>
      </c>
      <c r="BV141" t="s">
        <v>1</v>
      </c>
      <c r="BW141" t="s">
        <v>0</v>
      </c>
      <c r="BX141" t="s">
        <v>1</v>
      </c>
      <c r="BY141" t="s">
        <v>1</v>
      </c>
      <c r="BZ141" t="s">
        <v>1</v>
      </c>
      <c r="CA141" t="s">
        <v>1</v>
      </c>
      <c r="CB141" t="s">
        <v>1</v>
      </c>
      <c r="CD141" t="e" cm="1">
        <f t="array" aca="1" ref="CD141" ca="1">eConcatenar(A141:CB141,"|")</f>
        <v>#NAME?</v>
      </c>
    </row>
    <row r="142" spans="1:82" x14ac:dyDescent="0.25">
      <c r="A142" t="s">
        <v>237</v>
      </c>
      <c r="B142" t="s">
        <v>1246</v>
      </c>
      <c r="C142">
        <v>3</v>
      </c>
      <c r="D142" t="s">
        <v>2157</v>
      </c>
      <c r="E142" t="s">
        <v>2158</v>
      </c>
      <c r="F142" t="s">
        <v>0</v>
      </c>
      <c r="G142" t="s">
        <v>2247</v>
      </c>
      <c r="H142" t="s">
        <v>2792</v>
      </c>
      <c r="I142">
        <v>12900</v>
      </c>
      <c r="J142">
        <v>0</v>
      </c>
      <c r="K142">
        <v>500</v>
      </c>
      <c r="L142">
        <v>50</v>
      </c>
      <c r="M142">
        <v>1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 t="s">
        <v>3178</v>
      </c>
      <c r="AC142" t="s">
        <v>3364</v>
      </c>
      <c r="AD142" t="s">
        <v>3365</v>
      </c>
      <c r="AE142" t="s">
        <v>4</v>
      </c>
      <c r="AF142" t="s">
        <v>1</v>
      </c>
      <c r="AG142" t="s">
        <v>1</v>
      </c>
      <c r="AH142" t="s">
        <v>4202</v>
      </c>
      <c r="AI142" t="s">
        <v>2247</v>
      </c>
      <c r="AJ142" t="s">
        <v>1</v>
      </c>
      <c r="AK142">
        <v>9373788946</v>
      </c>
      <c r="AL142" t="s">
        <v>1</v>
      </c>
      <c r="AM142" t="s">
        <v>1</v>
      </c>
      <c r="AN142" t="s">
        <v>1</v>
      </c>
      <c r="AO142" t="s">
        <v>4202</v>
      </c>
      <c r="AP142" t="s">
        <v>1</v>
      </c>
      <c r="AQ142" t="s">
        <v>2</v>
      </c>
      <c r="AR142" t="s">
        <v>1</v>
      </c>
      <c r="AS142" t="s">
        <v>1</v>
      </c>
      <c r="AT142" t="s">
        <v>1</v>
      </c>
      <c r="AU142" t="s">
        <v>1</v>
      </c>
      <c r="AV142" t="s">
        <v>1</v>
      </c>
      <c r="AW142" t="s">
        <v>9</v>
      </c>
      <c r="AX142">
        <f>Tabla1[[#This Row],[precio del paquete]]-Tabla1[[#This Row],[Saldo_Deudor]]</f>
        <v>6900</v>
      </c>
      <c r="AY142">
        <v>6000</v>
      </c>
      <c r="AZ142">
        <v>0</v>
      </c>
      <c r="BA142">
        <v>0</v>
      </c>
      <c r="BB142">
        <v>0</v>
      </c>
      <c r="BC142" t="s">
        <v>2803</v>
      </c>
      <c r="BD142" t="s">
        <v>4922</v>
      </c>
      <c r="BE142" t="s">
        <v>3</v>
      </c>
      <c r="BF142" t="s">
        <v>3</v>
      </c>
      <c r="BG142" t="s">
        <v>3</v>
      </c>
      <c r="BH142" t="s">
        <v>3</v>
      </c>
      <c r="BI142" t="s">
        <v>3</v>
      </c>
      <c r="BJ142" t="s">
        <v>4995</v>
      </c>
      <c r="BK142" t="s">
        <v>3</v>
      </c>
      <c r="BL142" t="s">
        <v>96</v>
      </c>
      <c r="BM142" t="s">
        <v>1</v>
      </c>
      <c r="BN142">
        <v>12900</v>
      </c>
      <c r="BO142" t="s">
        <v>1</v>
      </c>
      <c r="BP142" t="s">
        <v>1</v>
      </c>
      <c r="BQ142" t="s">
        <v>1</v>
      </c>
      <c r="BR142" t="s">
        <v>1</v>
      </c>
      <c r="BS142" t="s">
        <v>1</v>
      </c>
      <c r="BT142" t="s">
        <v>1</v>
      </c>
      <c r="BU142" t="s">
        <v>1</v>
      </c>
      <c r="BV142" t="s">
        <v>1</v>
      </c>
      <c r="BW142" t="s">
        <v>0</v>
      </c>
      <c r="BX142" t="s">
        <v>1</v>
      </c>
      <c r="BY142" t="s">
        <v>1</v>
      </c>
      <c r="BZ142" t="s">
        <v>1</v>
      </c>
      <c r="CA142" t="s">
        <v>1</v>
      </c>
      <c r="CB142" t="s">
        <v>1</v>
      </c>
      <c r="CD142" t="e" cm="1">
        <f t="array" aca="1" ref="CD142" ca="1">eConcatenar(A142:CB142,"|")</f>
        <v>#NAME?</v>
      </c>
    </row>
    <row r="143" spans="1:82" x14ac:dyDescent="0.25">
      <c r="A143" t="s">
        <v>238</v>
      </c>
      <c r="B143" t="s">
        <v>1247</v>
      </c>
      <c r="C143">
        <v>3</v>
      </c>
      <c r="D143" t="s">
        <v>2155</v>
      </c>
      <c r="E143" t="s">
        <v>2158</v>
      </c>
      <c r="F143" t="s">
        <v>2160</v>
      </c>
      <c r="G143" t="s">
        <v>2248</v>
      </c>
      <c r="H143" t="s">
        <v>2793</v>
      </c>
      <c r="I143">
        <v>12900</v>
      </c>
      <c r="J143">
        <v>0</v>
      </c>
      <c r="K143">
        <v>200</v>
      </c>
      <c r="L143">
        <v>50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 t="s">
        <v>5</v>
      </c>
      <c r="AC143" t="s">
        <v>3245</v>
      </c>
      <c r="AD143" t="s">
        <v>3366</v>
      </c>
      <c r="AE143" t="s">
        <v>4</v>
      </c>
      <c r="AF143" t="s">
        <v>1</v>
      </c>
      <c r="AG143" t="s">
        <v>1</v>
      </c>
      <c r="AH143" t="s">
        <v>4203</v>
      </c>
      <c r="AI143" t="s">
        <v>2248</v>
      </c>
      <c r="AJ143" t="s">
        <v>1</v>
      </c>
      <c r="AK143">
        <v>9372709789</v>
      </c>
      <c r="AL143" t="s">
        <v>1</v>
      </c>
      <c r="AM143" t="s">
        <v>1</v>
      </c>
      <c r="AN143" t="s">
        <v>1</v>
      </c>
      <c r="AO143" t="s">
        <v>4203</v>
      </c>
      <c r="AP143" t="s">
        <v>1</v>
      </c>
      <c r="AQ143" t="s">
        <v>2</v>
      </c>
      <c r="AR143" t="s">
        <v>1</v>
      </c>
      <c r="AS143" t="s">
        <v>1</v>
      </c>
      <c r="AT143" t="s">
        <v>1</v>
      </c>
      <c r="AU143" t="s">
        <v>1</v>
      </c>
      <c r="AV143" t="s">
        <v>1</v>
      </c>
      <c r="AW143" t="s">
        <v>9</v>
      </c>
      <c r="AX143">
        <f>Tabla1[[#This Row],[precio del paquete]]-Tabla1[[#This Row],[Saldo_Deudor]]</f>
        <v>300</v>
      </c>
      <c r="AY143">
        <v>12600</v>
      </c>
      <c r="AZ143">
        <v>0</v>
      </c>
      <c r="BA143">
        <v>0</v>
      </c>
      <c r="BB143">
        <v>0</v>
      </c>
      <c r="BC143" t="s">
        <v>2757</v>
      </c>
      <c r="BD143" t="s">
        <v>2998</v>
      </c>
      <c r="BE143" t="s">
        <v>3</v>
      </c>
      <c r="BF143" t="s">
        <v>3</v>
      </c>
      <c r="BG143" t="s">
        <v>3</v>
      </c>
      <c r="BH143" t="s">
        <v>3</v>
      </c>
      <c r="BI143" t="s">
        <v>3</v>
      </c>
      <c r="BJ143" t="s">
        <v>4999</v>
      </c>
      <c r="BK143" t="s">
        <v>3</v>
      </c>
      <c r="BL143" t="s">
        <v>96</v>
      </c>
      <c r="BM143" t="s">
        <v>1</v>
      </c>
      <c r="BN143">
        <v>12900</v>
      </c>
      <c r="BO143" t="s">
        <v>1</v>
      </c>
      <c r="BP143" t="s">
        <v>1</v>
      </c>
      <c r="BQ143" t="s">
        <v>1</v>
      </c>
      <c r="BR143" t="s">
        <v>1</v>
      </c>
      <c r="BS143" t="s">
        <v>1</v>
      </c>
      <c r="BT143" t="s">
        <v>1</v>
      </c>
      <c r="BU143" t="s">
        <v>1</v>
      </c>
      <c r="BV143" t="s">
        <v>1</v>
      </c>
      <c r="BW143" t="s">
        <v>0</v>
      </c>
      <c r="BX143" t="s">
        <v>1</v>
      </c>
      <c r="BY143" t="s">
        <v>1</v>
      </c>
      <c r="BZ143" t="s">
        <v>1</v>
      </c>
      <c r="CA143" t="s">
        <v>1</v>
      </c>
      <c r="CB143" t="s">
        <v>1</v>
      </c>
      <c r="CD143" t="e" cm="1">
        <f t="array" aca="1" ref="CD143" ca="1">eConcatenar(A143:CB143,"|")</f>
        <v>#NAME?</v>
      </c>
    </row>
    <row r="144" spans="1:82" x14ac:dyDescent="0.25">
      <c r="A144" t="s">
        <v>239</v>
      </c>
      <c r="B144" t="s">
        <v>1248</v>
      </c>
      <c r="C144">
        <v>3</v>
      </c>
      <c r="D144" t="s">
        <v>2157</v>
      </c>
      <c r="E144" t="s">
        <v>2158</v>
      </c>
      <c r="F144" t="s">
        <v>0</v>
      </c>
      <c r="G144" t="s">
        <v>2249</v>
      </c>
      <c r="H144" t="s">
        <v>2794</v>
      </c>
      <c r="I144">
        <v>12900</v>
      </c>
      <c r="J144">
        <v>0</v>
      </c>
      <c r="K144">
        <v>100</v>
      </c>
      <c r="L144">
        <v>50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 t="s">
        <v>3367</v>
      </c>
      <c r="AC144" t="s">
        <v>3368</v>
      </c>
      <c r="AD144" t="s">
        <v>3369</v>
      </c>
      <c r="AE144" t="s">
        <v>4</v>
      </c>
      <c r="AF144" t="s">
        <v>1</v>
      </c>
      <c r="AG144" t="s">
        <v>1</v>
      </c>
      <c r="AH144" t="s">
        <v>4204</v>
      </c>
      <c r="AI144" t="s">
        <v>2249</v>
      </c>
      <c r="AJ144" t="s">
        <v>1</v>
      </c>
      <c r="AK144" t="s">
        <v>1</v>
      </c>
      <c r="AL144" t="s">
        <v>1</v>
      </c>
      <c r="AM144" t="s">
        <v>1</v>
      </c>
      <c r="AN144" t="s">
        <v>1</v>
      </c>
      <c r="AO144" t="s">
        <v>4204</v>
      </c>
      <c r="AP144" t="s">
        <v>1</v>
      </c>
      <c r="AQ144" t="s">
        <v>2</v>
      </c>
      <c r="AR144" t="s">
        <v>1</v>
      </c>
      <c r="AS144" t="s">
        <v>1</v>
      </c>
      <c r="AT144" t="s">
        <v>1</v>
      </c>
      <c r="AU144" t="s">
        <v>1</v>
      </c>
      <c r="AV144" t="s">
        <v>1</v>
      </c>
      <c r="AW144" t="s">
        <v>9</v>
      </c>
      <c r="AX144">
        <f>Tabla1[[#This Row],[precio del paquete]]-Tabla1[[#This Row],[Saldo_Deudor]]</f>
        <v>8700</v>
      </c>
      <c r="AY144">
        <v>4200</v>
      </c>
      <c r="AZ144">
        <v>0</v>
      </c>
      <c r="BA144">
        <v>0</v>
      </c>
      <c r="BB144">
        <v>0</v>
      </c>
      <c r="BC144" t="s">
        <v>2897</v>
      </c>
      <c r="BD144" t="s">
        <v>3074</v>
      </c>
      <c r="BE144" t="s">
        <v>3</v>
      </c>
      <c r="BF144" t="s">
        <v>3</v>
      </c>
      <c r="BG144" t="s">
        <v>3</v>
      </c>
      <c r="BH144" t="s">
        <v>3</v>
      </c>
      <c r="BI144" t="s">
        <v>3</v>
      </c>
      <c r="BJ144" t="s">
        <v>4985</v>
      </c>
      <c r="BK144" t="s">
        <v>3</v>
      </c>
      <c r="BL144" t="s">
        <v>96</v>
      </c>
      <c r="BM144" t="s">
        <v>1</v>
      </c>
      <c r="BN144">
        <v>12900</v>
      </c>
      <c r="BO144" t="s">
        <v>1</v>
      </c>
      <c r="BP144" t="s">
        <v>1</v>
      </c>
      <c r="BQ144" t="s">
        <v>1</v>
      </c>
      <c r="BR144" t="s">
        <v>1</v>
      </c>
      <c r="BS144" t="s">
        <v>1</v>
      </c>
      <c r="BT144" t="s">
        <v>1</v>
      </c>
      <c r="BU144" t="s">
        <v>1</v>
      </c>
      <c r="BV144" t="s">
        <v>1</v>
      </c>
      <c r="BW144" t="s">
        <v>0</v>
      </c>
      <c r="BX144" t="s">
        <v>1</v>
      </c>
      <c r="BY144" t="s">
        <v>1</v>
      </c>
      <c r="BZ144" t="s">
        <v>1</v>
      </c>
      <c r="CA144" t="s">
        <v>1</v>
      </c>
      <c r="CB144" t="s">
        <v>1</v>
      </c>
      <c r="CD144" t="e" cm="1">
        <f t="array" aca="1" ref="CD144" ca="1">eConcatenar(A144:CB144,"|")</f>
        <v>#NAME?</v>
      </c>
    </row>
    <row r="145" spans="1:82" x14ac:dyDescent="0.25">
      <c r="A145" t="s">
        <v>240</v>
      </c>
      <c r="B145" t="s">
        <v>1249</v>
      </c>
      <c r="C145">
        <v>3</v>
      </c>
      <c r="D145" t="s">
        <v>2156</v>
      </c>
      <c r="E145" t="s">
        <v>2158</v>
      </c>
      <c r="F145" t="s">
        <v>0</v>
      </c>
      <c r="G145" t="s">
        <v>2250</v>
      </c>
      <c r="H145" t="s">
        <v>2741</v>
      </c>
      <c r="I145">
        <v>19800</v>
      </c>
      <c r="J145">
        <v>0</v>
      </c>
      <c r="K145">
        <v>200</v>
      </c>
      <c r="L145">
        <v>50</v>
      </c>
      <c r="M145">
        <v>1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 t="s">
        <v>3132</v>
      </c>
      <c r="AC145" t="s">
        <v>5</v>
      </c>
      <c r="AD145" t="s">
        <v>3370</v>
      </c>
      <c r="AE145" t="s">
        <v>4</v>
      </c>
      <c r="AF145" t="s">
        <v>1</v>
      </c>
      <c r="AG145" t="s">
        <v>1</v>
      </c>
      <c r="AH145" t="s">
        <v>4205</v>
      </c>
      <c r="AI145" t="s">
        <v>2250</v>
      </c>
      <c r="AJ145" t="s">
        <v>1</v>
      </c>
      <c r="AK145">
        <v>9371095819</v>
      </c>
      <c r="AL145" t="s">
        <v>1</v>
      </c>
      <c r="AM145" t="s">
        <v>1</v>
      </c>
      <c r="AN145" t="s">
        <v>1</v>
      </c>
      <c r="AO145" t="s">
        <v>4205</v>
      </c>
      <c r="AP145" t="s">
        <v>1</v>
      </c>
      <c r="AQ145" t="s">
        <v>2</v>
      </c>
      <c r="AR145" t="s">
        <v>1</v>
      </c>
      <c r="AS145" t="s">
        <v>1</v>
      </c>
      <c r="AT145" t="s">
        <v>1</v>
      </c>
      <c r="AU145" t="s">
        <v>1</v>
      </c>
      <c r="AV145" t="s">
        <v>1</v>
      </c>
      <c r="AW145" t="s">
        <v>9</v>
      </c>
      <c r="AX145">
        <f>Tabla1[[#This Row],[precio del paquete]]-Tabla1[[#This Row],[Saldo_Deudor]]</f>
        <v>600</v>
      </c>
      <c r="AY145">
        <v>19200</v>
      </c>
      <c r="AZ145">
        <v>0</v>
      </c>
      <c r="BA145">
        <v>0</v>
      </c>
      <c r="BB145">
        <v>0</v>
      </c>
      <c r="BC145" t="s">
        <v>2763</v>
      </c>
      <c r="BD145" t="s">
        <v>4923</v>
      </c>
      <c r="BE145" t="s">
        <v>3</v>
      </c>
      <c r="BF145" t="s">
        <v>3</v>
      </c>
      <c r="BG145" t="s">
        <v>3</v>
      </c>
      <c r="BH145" t="s">
        <v>3</v>
      </c>
      <c r="BI145" t="s">
        <v>3</v>
      </c>
      <c r="BJ145" t="s">
        <v>4995</v>
      </c>
      <c r="BK145" t="s">
        <v>3</v>
      </c>
      <c r="BL145" t="s">
        <v>96</v>
      </c>
      <c r="BM145" t="s">
        <v>1</v>
      </c>
      <c r="BN145">
        <v>19800</v>
      </c>
      <c r="BO145" t="s">
        <v>1</v>
      </c>
      <c r="BP145" t="s">
        <v>1</v>
      </c>
      <c r="BQ145" t="s">
        <v>1</v>
      </c>
      <c r="BR145" t="s">
        <v>1</v>
      </c>
      <c r="BS145" t="s">
        <v>1</v>
      </c>
      <c r="BT145" t="s">
        <v>1</v>
      </c>
      <c r="BU145" t="s">
        <v>1</v>
      </c>
      <c r="BV145" t="s">
        <v>1</v>
      </c>
      <c r="BW145" t="s">
        <v>0</v>
      </c>
      <c r="BX145" t="s">
        <v>1</v>
      </c>
      <c r="BY145" t="s">
        <v>1</v>
      </c>
      <c r="BZ145" t="s">
        <v>1</v>
      </c>
      <c r="CA145" t="s">
        <v>1</v>
      </c>
      <c r="CB145" t="s">
        <v>1</v>
      </c>
      <c r="CD145" t="e" cm="1">
        <f t="array" aca="1" ref="CD145" ca="1">eConcatenar(A145:CB145,"|")</f>
        <v>#NAME?</v>
      </c>
    </row>
    <row r="146" spans="1:82" x14ac:dyDescent="0.25">
      <c r="A146" t="s">
        <v>241</v>
      </c>
      <c r="B146" t="s">
        <v>1250</v>
      </c>
      <c r="C146">
        <v>3</v>
      </c>
      <c r="D146" t="s">
        <v>2153</v>
      </c>
      <c r="E146" t="s">
        <v>2158</v>
      </c>
      <c r="F146" t="s">
        <v>0</v>
      </c>
      <c r="G146" t="s">
        <v>2251</v>
      </c>
      <c r="H146" t="s">
        <v>2795</v>
      </c>
      <c r="I146">
        <v>14800</v>
      </c>
      <c r="J146">
        <v>0</v>
      </c>
      <c r="K146">
        <v>400</v>
      </c>
      <c r="L146">
        <v>50</v>
      </c>
      <c r="M146">
        <v>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 t="s">
        <v>3137</v>
      </c>
      <c r="AC146" t="s">
        <v>3117</v>
      </c>
      <c r="AD146" t="s">
        <v>3160</v>
      </c>
      <c r="AE146" t="s">
        <v>4</v>
      </c>
      <c r="AF146" t="s">
        <v>1</v>
      </c>
      <c r="AG146" t="s">
        <v>1</v>
      </c>
      <c r="AH146" t="s">
        <v>4206</v>
      </c>
      <c r="AI146" t="s">
        <v>2251</v>
      </c>
      <c r="AJ146" t="s">
        <v>1</v>
      </c>
      <c r="AK146">
        <v>9371620989</v>
      </c>
      <c r="AL146" t="s">
        <v>1</v>
      </c>
      <c r="AM146" t="s">
        <v>1</v>
      </c>
      <c r="AN146" t="s">
        <v>1</v>
      </c>
      <c r="AO146" t="s">
        <v>4206</v>
      </c>
      <c r="AP146" t="s">
        <v>1</v>
      </c>
      <c r="AQ146" t="s">
        <v>2</v>
      </c>
      <c r="AR146" t="s">
        <v>1</v>
      </c>
      <c r="AS146" t="s">
        <v>1</v>
      </c>
      <c r="AT146" t="s">
        <v>1</v>
      </c>
      <c r="AU146" t="s">
        <v>1</v>
      </c>
      <c r="AV146" t="s">
        <v>1</v>
      </c>
      <c r="AW146" t="s">
        <v>9</v>
      </c>
      <c r="AX146">
        <f>Tabla1[[#This Row],[precio del paquete]]-Tabla1[[#This Row],[Saldo_Deudor]]</f>
        <v>8800</v>
      </c>
      <c r="AY146">
        <v>6000</v>
      </c>
      <c r="AZ146">
        <v>0</v>
      </c>
      <c r="BA146">
        <v>0</v>
      </c>
      <c r="BB146">
        <v>0</v>
      </c>
      <c r="BC146" t="s">
        <v>2906</v>
      </c>
      <c r="BD146" t="s">
        <v>4898</v>
      </c>
      <c r="BE146" t="s">
        <v>3</v>
      </c>
      <c r="BF146" t="s">
        <v>3</v>
      </c>
      <c r="BG146" t="s">
        <v>3</v>
      </c>
      <c r="BH146" t="s">
        <v>3</v>
      </c>
      <c r="BI146" t="s">
        <v>3</v>
      </c>
      <c r="BJ146" t="s">
        <v>4985</v>
      </c>
      <c r="BK146" t="s">
        <v>3</v>
      </c>
      <c r="BL146" t="s">
        <v>96</v>
      </c>
      <c r="BM146" t="s">
        <v>1</v>
      </c>
      <c r="BN146">
        <v>14800</v>
      </c>
      <c r="BO146" t="s">
        <v>1</v>
      </c>
      <c r="BP146" t="s">
        <v>1</v>
      </c>
      <c r="BQ146" t="s">
        <v>1</v>
      </c>
      <c r="BR146" t="s">
        <v>1</v>
      </c>
      <c r="BS146" t="s">
        <v>1</v>
      </c>
      <c r="BT146" t="s">
        <v>1</v>
      </c>
      <c r="BU146" t="s">
        <v>1</v>
      </c>
      <c r="BV146" t="s">
        <v>1</v>
      </c>
      <c r="BW146" t="s">
        <v>0</v>
      </c>
      <c r="BX146" t="s">
        <v>1</v>
      </c>
      <c r="BY146" t="s">
        <v>1</v>
      </c>
      <c r="BZ146" t="s">
        <v>1</v>
      </c>
      <c r="CA146" t="s">
        <v>1</v>
      </c>
      <c r="CB146" t="s">
        <v>1</v>
      </c>
      <c r="CD146" t="e" cm="1">
        <f t="array" aca="1" ref="CD146" ca="1">eConcatenar(A146:CB146,"|")</f>
        <v>#NAME?</v>
      </c>
    </row>
    <row r="147" spans="1:82" x14ac:dyDescent="0.25">
      <c r="A147" t="s">
        <v>242</v>
      </c>
      <c r="B147" t="s">
        <v>1251</v>
      </c>
      <c r="C147">
        <v>3</v>
      </c>
      <c r="D147" t="s">
        <v>2153</v>
      </c>
      <c r="E147" t="s">
        <v>2158</v>
      </c>
      <c r="F147" t="s">
        <v>2159</v>
      </c>
      <c r="G147" t="s">
        <v>2252</v>
      </c>
      <c r="H147" t="s">
        <v>2769</v>
      </c>
      <c r="I147">
        <v>14800</v>
      </c>
      <c r="J147">
        <v>0</v>
      </c>
      <c r="K147">
        <v>200</v>
      </c>
      <c r="L147">
        <v>50</v>
      </c>
      <c r="M147">
        <v>1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t="s">
        <v>3290</v>
      </c>
      <c r="AC147" t="s">
        <v>3115</v>
      </c>
      <c r="AD147" t="s">
        <v>3371</v>
      </c>
      <c r="AE147" t="s">
        <v>4</v>
      </c>
      <c r="AF147" t="s">
        <v>1</v>
      </c>
      <c r="AG147" t="s">
        <v>1</v>
      </c>
      <c r="AH147" t="s">
        <v>2586</v>
      </c>
      <c r="AI147" t="s">
        <v>2252</v>
      </c>
      <c r="AJ147" t="s">
        <v>1</v>
      </c>
      <c r="AK147">
        <v>9331240531</v>
      </c>
      <c r="AL147" t="s">
        <v>1</v>
      </c>
      <c r="AM147" t="s">
        <v>1</v>
      </c>
      <c r="AN147" t="s">
        <v>1</v>
      </c>
      <c r="AO147" t="s">
        <v>2586</v>
      </c>
      <c r="AP147" t="s">
        <v>1</v>
      </c>
      <c r="AQ147" t="s">
        <v>2</v>
      </c>
      <c r="AR147" t="s">
        <v>1</v>
      </c>
      <c r="AS147" t="s">
        <v>1</v>
      </c>
      <c r="AT147" t="s">
        <v>1</v>
      </c>
      <c r="AU147" t="s">
        <v>1</v>
      </c>
      <c r="AV147" t="s">
        <v>1</v>
      </c>
      <c r="AW147" t="s">
        <v>9</v>
      </c>
      <c r="AX147">
        <f>Tabla1[[#This Row],[precio del paquete]]-Tabla1[[#This Row],[Saldo_Deudor]]</f>
        <v>200</v>
      </c>
      <c r="AY147">
        <v>14600</v>
      </c>
      <c r="AZ147">
        <v>0</v>
      </c>
      <c r="BA147">
        <v>0</v>
      </c>
      <c r="BB147">
        <v>0</v>
      </c>
      <c r="BC147" t="s">
        <v>2809</v>
      </c>
      <c r="BD147" t="s">
        <v>2704</v>
      </c>
      <c r="BE147" t="s">
        <v>3</v>
      </c>
      <c r="BF147" t="s">
        <v>3</v>
      </c>
      <c r="BG147" t="s">
        <v>3</v>
      </c>
      <c r="BH147" t="s">
        <v>3</v>
      </c>
      <c r="BI147" t="s">
        <v>3</v>
      </c>
      <c r="BJ147" t="s">
        <v>4985</v>
      </c>
      <c r="BK147" t="s">
        <v>3</v>
      </c>
      <c r="BL147" t="s">
        <v>96</v>
      </c>
      <c r="BM147" t="s">
        <v>1</v>
      </c>
      <c r="BN147">
        <v>14800</v>
      </c>
      <c r="BO147" t="s">
        <v>1</v>
      </c>
      <c r="BP147" t="s">
        <v>1</v>
      </c>
      <c r="BQ147" t="s">
        <v>1</v>
      </c>
      <c r="BR147" t="s">
        <v>1</v>
      </c>
      <c r="BS147" t="s">
        <v>1</v>
      </c>
      <c r="BT147" t="s">
        <v>1</v>
      </c>
      <c r="BU147" t="s">
        <v>1</v>
      </c>
      <c r="BV147" t="s">
        <v>1</v>
      </c>
      <c r="BW147" t="s">
        <v>0</v>
      </c>
      <c r="BX147" t="s">
        <v>1</v>
      </c>
      <c r="BY147" t="s">
        <v>1</v>
      </c>
      <c r="BZ147" t="s">
        <v>1</v>
      </c>
      <c r="CA147" t="s">
        <v>1</v>
      </c>
      <c r="CB147" t="s">
        <v>1</v>
      </c>
      <c r="CD147" t="e" cm="1">
        <f t="array" aca="1" ref="CD147" ca="1">eConcatenar(A147:CB147,"|")</f>
        <v>#NAME?</v>
      </c>
    </row>
    <row r="148" spans="1:82" x14ac:dyDescent="0.25">
      <c r="A148" t="s">
        <v>243</v>
      </c>
      <c r="B148" t="s">
        <v>1252</v>
      </c>
      <c r="C148">
        <v>3</v>
      </c>
      <c r="D148" t="s">
        <v>2153</v>
      </c>
      <c r="E148" t="s">
        <v>2158</v>
      </c>
      <c r="F148" t="s">
        <v>0</v>
      </c>
      <c r="G148" t="s">
        <v>2253</v>
      </c>
      <c r="H148" t="s">
        <v>2796</v>
      </c>
      <c r="I148">
        <v>14800</v>
      </c>
      <c r="J148">
        <v>0</v>
      </c>
      <c r="K148">
        <v>100</v>
      </c>
      <c r="L148">
        <v>50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 t="s">
        <v>3114</v>
      </c>
      <c r="AC148" t="s">
        <v>3311</v>
      </c>
      <c r="AD148" t="s">
        <v>3336</v>
      </c>
      <c r="AE148" t="s">
        <v>4</v>
      </c>
      <c r="AF148" t="s">
        <v>1</v>
      </c>
      <c r="AG148" t="s">
        <v>1</v>
      </c>
      <c r="AH148" t="s">
        <v>4207</v>
      </c>
      <c r="AI148" t="s">
        <v>2253</v>
      </c>
      <c r="AJ148" t="s">
        <v>1</v>
      </c>
      <c r="AK148">
        <v>9371030875</v>
      </c>
      <c r="AL148" t="s">
        <v>1</v>
      </c>
      <c r="AM148" t="s">
        <v>1</v>
      </c>
      <c r="AN148" t="s">
        <v>1</v>
      </c>
      <c r="AO148" t="s">
        <v>4207</v>
      </c>
      <c r="AP148" t="s">
        <v>1</v>
      </c>
      <c r="AQ148" t="s">
        <v>2</v>
      </c>
      <c r="AR148" t="s">
        <v>1</v>
      </c>
      <c r="AS148" t="s">
        <v>1</v>
      </c>
      <c r="AT148" t="s">
        <v>1</v>
      </c>
      <c r="AU148" t="s">
        <v>1</v>
      </c>
      <c r="AV148" t="s">
        <v>1</v>
      </c>
      <c r="AW148" t="s">
        <v>9</v>
      </c>
      <c r="AX148">
        <f>Tabla1[[#This Row],[precio del paquete]]-Tabla1[[#This Row],[Saldo_Deudor]]</f>
        <v>900</v>
      </c>
      <c r="AY148">
        <v>13900</v>
      </c>
      <c r="AZ148">
        <v>0</v>
      </c>
      <c r="BA148">
        <v>0</v>
      </c>
      <c r="BB148">
        <v>0</v>
      </c>
      <c r="BC148" t="s">
        <v>3061</v>
      </c>
      <c r="BD148" t="s">
        <v>3040</v>
      </c>
      <c r="BE148" t="s">
        <v>3</v>
      </c>
      <c r="BF148" t="s">
        <v>3</v>
      </c>
      <c r="BG148" t="s">
        <v>3</v>
      </c>
      <c r="BH148" t="s">
        <v>3</v>
      </c>
      <c r="BI148" t="s">
        <v>3</v>
      </c>
      <c r="BJ148" t="s">
        <v>5008</v>
      </c>
      <c r="BK148" t="s">
        <v>3</v>
      </c>
      <c r="BL148" t="s">
        <v>96</v>
      </c>
      <c r="BM148" t="s">
        <v>1</v>
      </c>
      <c r="BN148">
        <v>14800</v>
      </c>
      <c r="BO148" t="s">
        <v>1</v>
      </c>
      <c r="BP148" t="s">
        <v>1</v>
      </c>
      <c r="BQ148" t="s">
        <v>1</v>
      </c>
      <c r="BR148" t="s">
        <v>1</v>
      </c>
      <c r="BS148" t="s">
        <v>1</v>
      </c>
      <c r="BT148" t="s">
        <v>1</v>
      </c>
      <c r="BU148" t="s">
        <v>1</v>
      </c>
      <c r="BV148" t="s">
        <v>1</v>
      </c>
      <c r="BW148" t="s">
        <v>0</v>
      </c>
      <c r="BX148" t="s">
        <v>1</v>
      </c>
      <c r="BY148" t="s">
        <v>1</v>
      </c>
      <c r="BZ148" t="s">
        <v>1</v>
      </c>
      <c r="CA148" t="s">
        <v>1</v>
      </c>
      <c r="CB148" t="s">
        <v>1</v>
      </c>
      <c r="CD148" t="e" cm="1">
        <f t="array" aca="1" ref="CD148" ca="1">eConcatenar(A148:CB148,"|")</f>
        <v>#NAME?</v>
      </c>
    </row>
    <row r="149" spans="1:82" x14ac:dyDescent="0.25">
      <c r="A149" t="s">
        <v>244</v>
      </c>
      <c r="B149" t="s">
        <v>1253</v>
      </c>
      <c r="C149">
        <v>3</v>
      </c>
      <c r="D149" t="s">
        <v>2157</v>
      </c>
      <c r="E149" t="s">
        <v>2158</v>
      </c>
      <c r="F149" t="s">
        <v>0</v>
      </c>
      <c r="G149" t="s">
        <v>2254</v>
      </c>
      <c r="H149" t="s">
        <v>2706</v>
      </c>
      <c r="I149">
        <v>12900</v>
      </c>
      <c r="J149">
        <v>0</v>
      </c>
      <c r="K149">
        <v>100</v>
      </c>
      <c r="L149">
        <v>50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 t="s">
        <v>3137</v>
      </c>
      <c r="AC149" t="s">
        <v>3137</v>
      </c>
      <c r="AD149" t="s">
        <v>3372</v>
      </c>
      <c r="AE149" t="s">
        <v>4</v>
      </c>
      <c r="AF149" t="s">
        <v>1</v>
      </c>
      <c r="AG149" t="s">
        <v>1</v>
      </c>
      <c r="AH149" t="s">
        <v>4208</v>
      </c>
      <c r="AI149" t="s">
        <v>2254</v>
      </c>
      <c r="AJ149" t="s">
        <v>1</v>
      </c>
      <c r="AK149">
        <v>9371094818</v>
      </c>
      <c r="AL149" t="s">
        <v>1</v>
      </c>
      <c r="AM149" t="s">
        <v>1</v>
      </c>
      <c r="AN149" t="s">
        <v>1</v>
      </c>
      <c r="AO149" t="s">
        <v>4208</v>
      </c>
      <c r="AP149" t="s">
        <v>1</v>
      </c>
      <c r="AQ149" t="s">
        <v>2</v>
      </c>
      <c r="AR149" t="s">
        <v>1</v>
      </c>
      <c r="AS149" t="s">
        <v>1</v>
      </c>
      <c r="AT149" t="s">
        <v>1</v>
      </c>
      <c r="AU149" t="s">
        <v>1</v>
      </c>
      <c r="AV149" t="s">
        <v>1</v>
      </c>
      <c r="AW149" t="s">
        <v>9</v>
      </c>
      <c r="AX149">
        <f>Tabla1[[#This Row],[precio del paquete]]-Tabla1[[#This Row],[Saldo_Deudor]]</f>
        <v>9500</v>
      </c>
      <c r="AY149">
        <v>3400</v>
      </c>
      <c r="AZ149">
        <v>0</v>
      </c>
      <c r="BA149">
        <v>0</v>
      </c>
      <c r="BB149">
        <v>0</v>
      </c>
      <c r="BC149" t="s">
        <v>3078</v>
      </c>
      <c r="BD149" t="s">
        <v>4827</v>
      </c>
      <c r="BE149" t="s">
        <v>3</v>
      </c>
      <c r="BF149" t="s">
        <v>3</v>
      </c>
      <c r="BG149" t="s">
        <v>3</v>
      </c>
      <c r="BH149" t="s">
        <v>3</v>
      </c>
      <c r="BI149" t="s">
        <v>3</v>
      </c>
      <c r="BJ149" t="s">
        <v>4994</v>
      </c>
      <c r="BK149" t="s">
        <v>3</v>
      </c>
      <c r="BL149" t="s">
        <v>96</v>
      </c>
      <c r="BM149" t="s">
        <v>1</v>
      </c>
      <c r="BN149">
        <v>12900</v>
      </c>
      <c r="BO149" t="s">
        <v>1</v>
      </c>
      <c r="BP149" t="s">
        <v>1</v>
      </c>
      <c r="BQ149" t="s">
        <v>1</v>
      </c>
      <c r="BR149" t="s">
        <v>1</v>
      </c>
      <c r="BS149" t="s">
        <v>1</v>
      </c>
      <c r="BT149" t="s">
        <v>1</v>
      </c>
      <c r="BU149" t="s">
        <v>1</v>
      </c>
      <c r="BV149" t="s">
        <v>1</v>
      </c>
      <c r="BW149" t="s">
        <v>0</v>
      </c>
      <c r="BX149" t="s">
        <v>1</v>
      </c>
      <c r="BY149" t="s">
        <v>1</v>
      </c>
      <c r="BZ149" t="s">
        <v>1</v>
      </c>
      <c r="CA149" t="s">
        <v>1</v>
      </c>
      <c r="CB149" t="s">
        <v>1</v>
      </c>
      <c r="CD149" t="e" cm="1">
        <f t="array" aca="1" ref="CD149" ca="1">eConcatenar(A149:CB149,"|")</f>
        <v>#NAME?</v>
      </c>
    </row>
    <row r="150" spans="1:82" x14ac:dyDescent="0.25">
      <c r="A150" t="s">
        <v>245</v>
      </c>
      <c r="B150" t="s">
        <v>1254</v>
      </c>
      <c r="C150">
        <v>3</v>
      </c>
      <c r="D150" t="s">
        <v>2153</v>
      </c>
      <c r="E150" t="s">
        <v>2158</v>
      </c>
      <c r="F150" t="s">
        <v>0</v>
      </c>
      <c r="G150" t="s">
        <v>2255</v>
      </c>
      <c r="H150" t="s">
        <v>2797</v>
      </c>
      <c r="I150">
        <v>14800</v>
      </c>
      <c r="J150">
        <v>0</v>
      </c>
      <c r="K150">
        <v>100</v>
      </c>
      <c r="L150">
        <v>50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 t="s">
        <v>3373</v>
      </c>
      <c r="AC150" t="s">
        <v>3236</v>
      </c>
      <c r="AD150" t="s">
        <v>3374</v>
      </c>
      <c r="AE150" t="s">
        <v>4</v>
      </c>
      <c r="AF150" t="s">
        <v>1</v>
      </c>
      <c r="AG150" t="s">
        <v>1</v>
      </c>
      <c r="AH150" t="s">
        <v>4209</v>
      </c>
      <c r="AI150" t="s">
        <v>2255</v>
      </c>
      <c r="AJ150" t="s">
        <v>1</v>
      </c>
      <c r="AK150">
        <v>9372300803</v>
      </c>
      <c r="AL150" t="s">
        <v>1</v>
      </c>
      <c r="AM150" t="s">
        <v>1</v>
      </c>
      <c r="AN150" t="s">
        <v>1</v>
      </c>
      <c r="AO150" t="s">
        <v>4209</v>
      </c>
      <c r="AP150" t="s">
        <v>1</v>
      </c>
      <c r="AQ150" t="s">
        <v>2</v>
      </c>
      <c r="AR150" t="s">
        <v>1</v>
      </c>
      <c r="AS150" t="s">
        <v>1</v>
      </c>
      <c r="AT150" t="s">
        <v>1</v>
      </c>
      <c r="AU150" t="s">
        <v>1</v>
      </c>
      <c r="AV150" t="s">
        <v>1</v>
      </c>
      <c r="AW150" t="s">
        <v>9</v>
      </c>
      <c r="AX150">
        <f>Tabla1[[#This Row],[precio del paquete]]-Tabla1[[#This Row],[Saldo_Deudor]]</f>
        <v>1600</v>
      </c>
      <c r="AY150">
        <v>13200</v>
      </c>
      <c r="AZ150">
        <v>0</v>
      </c>
      <c r="BA150">
        <v>0</v>
      </c>
      <c r="BB150">
        <v>0</v>
      </c>
      <c r="BC150" t="s">
        <v>3098</v>
      </c>
      <c r="BD150" t="s">
        <v>4829</v>
      </c>
      <c r="BE150" t="s">
        <v>3</v>
      </c>
      <c r="BF150" t="s">
        <v>3</v>
      </c>
      <c r="BG150" t="s">
        <v>3</v>
      </c>
      <c r="BH150" t="s">
        <v>3</v>
      </c>
      <c r="BI150" t="s">
        <v>3</v>
      </c>
      <c r="BJ150" t="s">
        <v>4987</v>
      </c>
      <c r="BK150" t="s">
        <v>3</v>
      </c>
      <c r="BL150" t="s">
        <v>96</v>
      </c>
      <c r="BM150" t="s">
        <v>1</v>
      </c>
      <c r="BN150">
        <v>14800</v>
      </c>
      <c r="BO150" t="s">
        <v>1</v>
      </c>
      <c r="BP150" t="s">
        <v>1</v>
      </c>
      <c r="BQ150" t="s">
        <v>1</v>
      </c>
      <c r="BR150" t="s">
        <v>1</v>
      </c>
      <c r="BS150" t="s">
        <v>1</v>
      </c>
      <c r="BT150" t="s">
        <v>1</v>
      </c>
      <c r="BU150" t="s">
        <v>1</v>
      </c>
      <c r="BV150" t="s">
        <v>1</v>
      </c>
      <c r="BW150" t="s">
        <v>0</v>
      </c>
      <c r="BX150" t="s">
        <v>1</v>
      </c>
      <c r="BY150" t="s">
        <v>1</v>
      </c>
      <c r="BZ150" t="s">
        <v>1</v>
      </c>
      <c r="CA150" t="s">
        <v>1</v>
      </c>
      <c r="CB150" t="s">
        <v>1</v>
      </c>
      <c r="CD150" t="e" cm="1">
        <f t="array" aca="1" ref="CD150" ca="1">eConcatenar(A150:CB150,"|")</f>
        <v>#NAME?</v>
      </c>
    </row>
    <row r="151" spans="1:82" x14ac:dyDescent="0.25">
      <c r="A151" t="s">
        <v>246</v>
      </c>
      <c r="B151" t="s">
        <v>1255</v>
      </c>
      <c r="C151">
        <v>3</v>
      </c>
      <c r="D151" t="s">
        <v>2153</v>
      </c>
      <c r="E151" t="s">
        <v>2158</v>
      </c>
      <c r="F151" t="s">
        <v>0</v>
      </c>
      <c r="G151" t="s">
        <v>2256</v>
      </c>
      <c r="H151" t="s">
        <v>2708</v>
      </c>
      <c r="I151">
        <v>14800</v>
      </c>
      <c r="J151">
        <v>0</v>
      </c>
      <c r="K151">
        <v>100</v>
      </c>
      <c r="L151">
        <v>50</v>
      </c>
      <c r="M151">
        <v>1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 t="s">
        <v>3178</v>
      </c>
      <c r="AC151" t="s">
        <v>3375</v>
      </c>
      <c r="AD151" t="s">
        <v>3376</v>
      </c>
      <c r="AE151" t="s">
        <v>4</v>
      </c>
      <c r="AF151" t="s">
        <v>1</v>
      </c>
      <c r="AG151" t="s">
        <v>1</v>
      </c>
      <c r="AH151" t="s">
        <v>4210</v>
      </c>
      <c r="AI151" t="s">
        <v>2256</v>
      </c>
      <c r="AJ151" t="s">
        <v>1</v>
      </c>
      <c r="AK151">
        <v>9371694185</v>
      </c>
      <c r="AL151" t="s">
        <v>1</v>
      </c>
      <c r="AM151" t="s">
        <v>1</v>
      </c>
      <c r="AN151" t="s">
        <v>1</v>
      </c>
      <c r="AO151" t="s">
        <v>4210</v>
      </c>
      <c r="AP151" t="s">
        <v>1</v>
      </c>
      <c r="AQ151" t="s">
        <v>2</v>
      </c>
      <c r="AR151" t="s">
        <v>1</v>
      </c>
      <c r="AS151" t="s">
        <v>1</v>
      </c>
      <c r="AT151" t="s">
        <v>1</v>
      </c>
      <c r="AU151" t="s">
        <v>1</v>
      </c>
      <c r="AV151" t="s">
        <v>1</v>
      </c>
      <c r="AW151" t="s">
        <v>9</v>
      </c>
      <c r="AX151">
        <f>Tabla1[[#This Row],[precio del paquete]]-Tabla1[[#This Row],[Saldo_Deudor]]</f>
        <v>500</v>
      </c>
      <c r="AY151">
        <v>14300</v>
      </c>
      <c r="AZ151">
        <v>0</v>
      </c>
      <c r="BA151">
        <v>0</v>
      </c>
      <c r="BB151">
        <v>0</v>
      </c>
      <c r="BC151" t="s">
        <v>3061</v>
      </c>
      <c r="BD151" t="s">
        <v>3040</v>
      </c>
      <c r="BE151" t="s">
        <v>3</v>
      </c>
      <c r="BF151" t="s">
        <v>3</v>
      </c>
      <c r="BG151" t="s">
        <v>3</v>
      </c>
      <c r="BH151" t="s">
        <v>3</v>
      </c>
      <c r="BI151" t="s">
        <v>3</v>
      </c>
      <c r="BJ151" t="s">
        <v>4983</v>
      </c>
      <c r="BK151" t="s">
        <v>3</v>
      </c>
      <c r="BL151" t="s">
        <v>96</v>
      </c>
      <c r="BM151" t="s">
        <v>1</v>
      </c>
      <c r="BN151">
        <v>14800</v>
      </c>
      <c r="BO151" t="s">
        <v>1</v>
      </c>
      <c r="BP151" t="s">
        <v>1</v>
      </c>
      <c r="BQ151" t="s">
        <v>1</v>
      </c>
      <c r="BR151" t="s">
        <v>1</v>
      </c>
      <c r="BS151" t="s">
        <v>1</v>
      </c>
      <c r="BT151" t="s">
        <v>1</v>
      </c>
      <c r="BU151" t="s">
        <v>1</v>
      </c>
      <c r="BV151" t="s">
        <v>1</v>
      </c>
      <c r="BW151" t="s">
        <v>0</v>
      </c>
      <c r="BX151" t="s">
        <v>1</v>
      </c>
      <c r="BY151" t="s">
        <v>1</v>
      </c>
      <c r="BZ151" t="s">
        <v>1</v>
      </c>
      <c r="CA151" t="s">
        <v>1</v>
      </c>
      <c r="CB151" t="s">
        <v>1</v>
      </c>
      <c r="CD151" t="e" cm="1">
        <f t="array" aca="1" ref="CD151" ca="1">eConcatenar(A151:CB151,"|")</f>
        <v>#NAME?</v>
      </c>
    </row>
    <row r="152" spans="1:82" x14ac:dyDescent="0.25">
      <c r="A152" t="s">
        <v>247</v>
      </c>
      <c r="B152" t="s">
        <v>1256</v>
      </c>
      <c r="C152">
        <v>3</v>
      </c>
      <c r="D152" t="s">
        <v>2154</v>
      </c>
      <c r="E152" t="s">
        <v>2158</v>
      </c>
      <c r="F152" t="s">
        <v>0</v>
      </c>
      <c r="G152" t="s">
        <v>2256</v>
      </c>
      <c r="H152" t="s">
        <v>2738</v>
      </c>
      <c r="I152">
        <v>24500</v>
      </c>
      <c r="J152">
        <v>0</v>
      </c>
      <c r="K152">
        <v>100</v>
      </c>
      <c r="L152">
        <v>50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 t="s">
        <v>3155</v>
      </c>
      <c r="AC152" t="s">
        <v>3114</v>
      </c>
      <c r="AD152" t="s">
        <v>3377</v>
      </c>
      <c r="AE152" t="s">
        <v>4</v>
      </c>
      <c r="AF152" t="s">
        <v>1</v>
      </c>
      <c r="AG152" t="s">
        <v>1</v>
      </c>
      <c r="AH152" t="s">
        <v>4211</v>
      </c>
      <c r="AI152" t="s">
        <v>2256</v>
      </c>
      <c r="AJ152" t="s">
        <v>1</v>
      </c>
      <c r="AK152">
        <v>9371699846</v>
      </c>
      <c r="AL152" t="s">
        <v>1</v>
      </c>
      <c r="AM152" t="s">
        <v>1</v>
      </c>
      <c r="AN152" t="s">
        <v>1</v>
      </c>
      <c r="AO152" t="s">
        <v>4211</v>
      </c>
      <c r="AP152" t="s">
        <v>1</v>
      </c>
      <c r="AQ152" t="s">
        <v>2</v>
      </c>
      <c r="AR152" t="s">
        <v>1</v>
      </c>
      <c r="AS152" t="s">
        <v>1</v>
      </c>
      <c r="AT152" t="s">
        <v>1</v>
      </c>
      <c r="AU152" t="s">
        <v>1</v>
      </c>
      <c r="AV152" t="s">
        <v>1</v>
      </c>
      <c r="AW152" t="s">
        <v>9</v>
      </c>
      <c r="AX152">
        <f>Tabla1[[#This Row],[precio del paquete]]-Tabla1[[#This Row],[Saldo_Deudor]]</f>
        <v>1000</v>
      </c>
      <c r="AY152">
        <v>23500</v>
      </c>
      <c r="AZ152">
        <v>0</v>
      </c>
      <c r="BA152">
        <v>0</v>
      </c>
      <c r="BB152">
        <v>0</v>
      </c>
      <c r="BC152" t="s">
        <v>3078</v>
      </c>
      <c r="BD152" t="s">
        <v>4827</v>
      </c>
      <c r="BE152" t="s">
        <v>3</v>
      </c>
      <c r="BF152" t="s">
        <v>3</v>
      </c>
      <c r="BG152" t="s">
        <v>3</v>
      </c>
      <c r="BH152" t="s">
        <v>3</v>
      </c>
      <c r="BI152" t="s">
        <v>3</v>
      </c>
      <c r="BJ152" t="s">
        <v>4994</v>
      </c>
      <c r="BK152" t="s">
        <v>3</v>
      </c>
      <c r="BL152" t="s">
        <v>96</v>
      </c>
      <c r="BM152" t="s">
        <v>1</v>
      </c>
      <c r="BN152">
        <v>24500</v>
      </c>
      <c r="BO152" t="s">
        <v>1</v>
      </c>
      <c r="BP152" t="s">
        <v>1</v>
      </c>
      <c r="BQ152" t="s">
        <v>1</v>
      </c>
      <c r="BR152" t="s">
        <v>1</v>
      </c>
      <c r="BS152" t="s">
        <v>1</v>
      </c>
      <c r="BT152" t="s">
        <v>1</v>
      </c>
      <c r="BU152" t="s">
        <v>1</v>
      </c>
      <c r="BV152" t="s">
        <v>1</v>
      </c>
      <c r="BW152" t="s">
        <v>0</v>
      </c>
      <c r="BX152" t="s">
        <v>1</v>
      </c>
      <c r="BY152" t="s">
        <v>1</v>
      </c>
      <c r="BZ152" t="s">
        <v>1</v>
      </c>
      <c r="CA152" t="s">
        <v>1</v>
      </c>
      <c r="CB152" t="s">
        <v>1</v>
      </c>
      <c r="CD152" t="e" cm="1">
        <f t="array" aca="1" ref="CD152" ca="1">eConcatenar(A152:CB152,"|")</f>
        <v>#NAME?</v>
      </c>
    </row>
    <row r="153" spans="1:82" x14ac:dyDescent="0.25">
      <c r="A153" t="s">
        <v>248</v>
      </c>
      <c r="B153" t="s">
        <v>1257</v>
      </c>
      <c r="C153">
        <v>3</v>
      </c>
      <c r="D153" t="s">
        <v>2154</v>
      </c>
      <c r="E153" t="s">
        <v>2158</v>
      </c>
      <c r="F153" t="s">
        <v>0</v>
      </c>
      <c r="G153" t="s">
        <v>2256</v>
      </c>
      <c r="H153" t="s">
        <v>2720</v>
      </c>
      <c r="I153">
        <v>24500</v>
      </c>
      <c r="J153">
        <v>0</v>
      </c>
      <c r="K153">
        <v>500</v>
      </c>
      <c r="L153">
        <v>50</v>
      </c>
      <c r="M153">
        <v>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 t="s">
        <v>3378</v>
      </c>
      <c r="AC153" t="s">
        <v>3177</v>
      </c>
      <c r="AD153" t="s">
        <v>3336</v>
      </c>
      <c r="AE153" t="s">
        <v>4</v>
      </c>
      <c r="AF153" t="s">
        <v>1</v>
      </c>
      <c r="AG153" t="s">
        <v>1</v>
      </c>
      <c r="AH153" t="s">
        <v>4212</v>
      </c>
      <c r="AI153" t="s">
        <v>2256</v>
      </c>
      <c r="AJ153" t="s">
        <v>1</v>
      </c>
      <c r="AK153">
        <v>9371283939</v>
      </c>
      <c r="AL153" t="s">
        <v>1</v>
      </c>
      <c r="AM153" t="s">
        <v>1</v>
      </c>
      <c r="AN153" t="s">
        <v>1</v>
      </c>
      <c r="AO153" t="s">
        <v>4212</v>
      </c>
      <c r="AP153" t="s">
        <v>1</v>
      </c>
      <c r="AQ153" t="s">
        <v>2</v>
      </c>
      <c r="AR153" t="s">
        <v>1</v>
      </c>
      <c r="AS153" t="s">
        <v>1</v>
      </c>
      <c r="AT153" t="s">
        <v>1</v>
      </c>
      <c r="AU153" t="s">
        <v>1</v>
      </c>
      <c r="AV153" t="s">
        <v>1</v>
      </c>
      <c r="AW153" t="s">
        <v>9</v>
      </c>
      <c r="AX153">
        <f>Tabla1[[#This Row],[precio del paquete]]-Tabla1[[#This Row],[Saldo_Deudor]]</f>
        <v>1500</v>
      </c>
      <c r="AY153">
        <v>23000</v>
      </c>
      <c r="AZ153">
        <v>0</v>
      </c>
      <c r="BA153">
        <v>0</v>
      </c>
      <c r="BB153">
        <v>0</v>
      </c>
      <c r="BC153" t="s">
        <v>2906</v>
      </c>
      <c r="BD153" t="s">
        <v>4898</v>
      </c>
      <c r="BE153" t="s">
        <v>3</v>
      </c>
      <c r="BF153" t="s">
        <v>3</v>
      </c>
      <c r="BG153" t="s">
        <v>3</v>
      </c>
      <c r="BH153" t="s">
        <v>3</v>
      </c>
      <c r="BI153" t="s">
        <v>3</v>
      </c>
      <c r="BJ153" t="s">
        <v>4999</v>
      </c>
      <c r="BK153" t="s">
        <v>3</v>
      </c>
      <c r="BL153" t="s">
        <v>96</v>
      </c>
      <c r="BM153" t="s">
        <v>1</v>
      </c>
      <c r="BN153">
        <v>24500</v>
      </c>
      <c r="BO153" t="s">
        <v>1</v>
      </c>
      <c r="BP153" t="s">
        <v>1</v>
      </c>
      <c r="BQ153" t="s">
        <v>1</v>
      </c>
      <c r="BR153" t="s">
        <v>1</v>
      </c>
      <c r="BS153" t="s">
        <v>1</v>
      </c>
      <c r="BT153" t="s">
        <v>1</v>
      </c>
      <c r="BU153" t="s">
        <v>1</v>
      </c>
      <c r="BV153" t="s">
        <v>1</v>
      </c>
      <c r="BW153" t="s">
        <v>0</v>
      </c>
      <c r="BX153" t="s">
        <v>1</v>
      </c>
      <c r="BY153" t="s">
        <v>1</v>
      </c>
      <c r="BZ153" t="s">
        <v>1</v>
      </c>
      <c r="CA153" t="s">
        <v>1</v>
      </c>
      <c r="CB153" t="s">
        <v>1</v>
      </c>
      <c r="CD153" t="e" cm="1">
        <f t="array" aca="1" ref="CD153" ca="1">eConcatenar(A153:CB153,"|")</f>
        <v>#NAME?</v>
      </c>
    </row>
    <row r="154" spans="1:82" x14ac:dyDescent="0.25">
      <c r="A154" t="s">
        <v>249</v>
      </c>
      <c r="B154" t="s">
        <v>1258</v>
      </c>
      <c r="C154">
        <v>3</v>
      </c>
      <c r="D154" t="s">
        <v>2153</v>
      </c>
      <c r="E154" t="s">
        <v>2158</v>
      </c>
      <c r="F154" t="s">
        <v>2162</v>
      </c>
      <c r="G154" t="s">
        <v>2257</v>
      </c>
      <c r="H154" t="s">
        <v>2710</v>
      </c>
      <c r="I154">
        <v>14800</v>
      </c>
      <c r="J154">
        <v>0</v>
      </c>
      <c r="K154">
        <v>50</v>
      </c>
      <c r="L154">
        <v>50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 t="s">
        <v>3379</v>
      </c>
      <c r="AC154" t="s">
        <v>3177</v>
      </c>
      <c r="AD154" t="s">
        <v>3380</v>
      </c>
      <c r="AE154" t="s">
        <v>4</v>
      </c>
      <c r="AF154" t="s">
        <v>1</v>
      </c>
      <c r="AG154" t="s">
        <v>1</v>
      </c>
      <c r="AH154" t="s">
        <v>4213</v>
      </c>
      <c r="AI154" t="s">
        <v>2257</v>
      </c>
      <c r="AJ154" t="s">
        <v>1</v>
      </c>
      <c r="AK154">
        <v>9334064783</v>
      </c>
      <c r="AL154" t="s">
        <v>1</v>
      </c>
      <c r="AM154" t="s">
        <v>1</v>
      </c>
      <c r="AN154" t="s">
        <v>1</v>
      </c>
      <c r="AO154" t="s">
        <v>4213</v>
      </c>
      <c r="AP154" t="s">
        <v>1</v>
      </c>
      <c r="AQ154" t="s">
        <v>2</v>
      </c>
      <c r="AR154" t="s">
        <v>1</v>
      </c>
      <c r="AS154" t="s">
        <v>1</v>
      </c>
      <c r="AT154" t="s">
        <v>1</v>
      </c>
      <c r="AU154" t="s">
        <v>1</v>
      </c>
      <c r="AV154" t="s">
        <v>1</v>
      </c>
      <c r="AW154" t="s">
        <v>9</v>
      </c>
      <c r="AX154">
        <f>Tabla1[[#This Row],[precio del paquete]]-Tabla1[[#This Row],[Saldo_Deudor]]</f>
        <v>1800</v>
      </c>
      <c r="AY154">
        <v>13000</v>
      </c>
      <c r="AZ154">
        <v>0</v>
      </c>
      <c r="BA154">
        <v>0</v>
      </c>
      <c r="BB154">
        <v>0</v>
      </c>
      <c r="BC154" t="s">
        <v>3024</v>
      </c>
      <c r="BD154" t="s">
        <v>4830</v>
      </c>
      <c r="BE154" t="s">
        <v>3</v>
      </c>
      <c r="BF154" t="s">
        <v>3</v>
      </c>
      <c r="BG154" t="s">
        <v>3</v>
      </c>
      <c r="BH154" t="s">
        <v>3</v>
      </c>
      <c r="BI154" t="s">
        <v>3</v>
      </c>
      <c r="BJ154" t="s">
        <v>4999</v>
      </c>
      <c r="BK154" t="s">
        <v>3</v>
      </c>
      <c r="BL154" t="s">
        <v>96</v>
      </c>
      <c r="BM154" t="s">
        <v>1</v>
      </c>
      <c r="BN154">
        <v>14800</v>
      </c>
      <c r="BO154" t="s">
        <v>1</v>
      </c>
      <c r="BP154" t="s">
        <v>1</v>
      </c>
      <c r="BQ154" t="s">
        <v>1</v>
      </c>
      <c r="BR154" t="s">
        <v>1</v>
      </c>
      <c r="BS154" t="s">
        <v>1</v>
      </c>
      <c r="BT154" t="s">
        <v>1</v>
      </c>
      <c r="BU154" t="s">
        <v>1</v>
      </c>
      <c r="BV154" t="s">
        <v>1</v>
      </c>
      <c r="BW154" t="s">
        <v>0</v>
      </c>
      <c r="BX154" t="s">
        <v>1</v>
      </c>
      <c r="BY154" t="s">
        <v>1</v>
      </c>
      <c r="BZ154" t="s">
        <v>1</v>
      </c>
      <c r="CA154" t="s">
        <v>1</v>
      </c>
      <c r="CB154" t="s">
        <v>1</v>
      </c>
      <c r="CD154" t="e" cm="1">
        <f t="array" aca="1" ref="CD154" ca="1">eConcatenar(A154:CB154,"|")</f>
        <v>#NAME?</v>
      </c>
    </row>
    <row r="155" spans="1:82" x14ac:dyDescent="0.25">
      <c r="A155" t="s">
        <v>250</v>
      </c>
      <c r="B155" t="s">
        <v>1259</v>
      </c>
      <c r="C155">
        <v>3</v>
      </c>
      <c r="D155" t="s">
        <v>2157</v>
      </c>
      <c r="E155" t="s">
        <v>2158</v>
      </c>
      <c r="F155" t="s">
        <v>2159</v>
      </c>
      <c r="G155" t="s">
        <v>2258</v>
      </c>
      <c r="H155" t="s">
        <v>2798</v>
      </c>
      <c r="I155">
        <v>12900</v>
      </c>
      <c r="J155">
        <v>0</v>
      </c>
      <c r="K155">
        <v>400</v>
      </c>
      <c r="L155">
        <v>50</v>
      </c>
      <c r="M155">
        <v>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 t="s">
        <v>3381</v>
      </c>
      <c r="AC155" t="s">
        <v>3382</v>
      </c>
      <c r="AD155" t="s">
        <v>3179</v>
      </c>
      <c r="AE155" t="s">
        <v>4</v>
      </c>
      <c r="AF155" t="s">
        <v>1</v>
      </c>
      <c r="AG155" t="s">
        <v>1</v>
      </c>
      <c r="AH155" t="s">
        <v>4214</v>
      </c>
      <c r="AI155" t="s">
        <v>2258</v>
      </c>
      <c r="AJ155" t="s">
        <v>1</v>
      </c>
      <c r="AK155">
        <v>93340722</v>
      </c>
      <c r="AL155" t="s">
        <v>1</v>
      </c>
      <c r="AM155" t="s">
        <v>1</v>
      </c>
      <c r="AN155" t="s">
        <v>1</v>
      </c>
      <c r="AO155" t="s">
        <v>4214</v>
      </c>
      <c r="AP155" t="s">
        <v>1</v>
      </c>
      <c r="AQ155" t="s">
        <v>2</v>
      </c>
      <c r="AR155" t="s">
        <v>1</v>
      </c>
      <c r="AS155" t="s">
        <v>1</v>
      </c>
      <c r="AT155" t="s">
        <v>1</v>
      </c>
      <c r="AU155" t="s">
        <v>1</v>
      </c>
      <c r="AV155" t="s">
        <v>1</v>
      </c>
      <c r="AW155" t="s">
        <v>9</v>
      </c>
      <c r="AX155">
        <f>Tabla1[[#This Row],[precio del paquete]]-Tabla1[[#This Row],[Saldo_Deudor]]</f>
        <v>10000</v>
      </c>
      <c r="AY155">
        <v>2900</v>
      </c>
      <c r="AZ155">
        <v>0</v>
      </c>
      <c r="BA155">
        <v>0</v>
      </c>
      <c r="BB155">
        <v>0</v>
      </c>
      <c r="BC155" t="s">
        <v>4830</v>
      </c>
      <c r="BD155" t="s">
        <v>4906</v>
      </c>
      <c r="BE155" t="s">
        <v>3</v>
      </c>
      <c r="BF155" t="s">
        <v>3</v>
      </c>
      <c r="BG155" t="s">
        <v>3</v>
      </c>
      <c r="BH155" t="s">
        <v>3</v>
      </c>
      <c r="BI155" t="s">
        <v>3</v>
      </c>
      <c r="BJ155" t="s">
        <v>5000</v>
      </c>
      <c r="BK155" t="s">
        <v>3</v>
      </c>
      <c r="BL155" t="s">
        <v>96</v>
      </c>
      <c r="BM155" t="s">
        <v>1</v>
      </c>
      <c r="BN155">
        <v>12900</v>
      </c>
      <c r="BO155" t="s">
        <v>1</v>
      </c>
      <c r="BP155" t="s">
        <v>1</v>
      </c>
      <c r="BQ155" t="s">
        <v>1</v>
      </c>
      <c r="BR155" t="s">
        <v>1</v>
      </c>
      <c r="BS155" t="s">
        <v>1</v>
      </c>
      <c r="BT155" t="s">
        <v>1</v>
      </c>
      <c r="BU155" t="s">
        <v>1</v>
      </c>
      <c r="BV155" t="s">
        <v>1</v>
      </c>
      <c r="BW155" t="s">
        <v>0</v>
      </c>
      <c r="BX155" t="s">
        <v>1</v>
      </c>
      <c r="BY155" t="s">
        <v>1</v>
      </c>
      <c r="BZ155" t="s">
        <v>1</v>
      </c>
      <c r="CA155" t="s">
        <v>1</v>
      </c>
      <c r="CB155" t="s">
        <v>1</v>
      </c>
      <c r="CD155" t="e" cm="1">
        <f t="array" aca="1" ref="CD155" ca="1">eConcatenar(A155:CB155,"|")</f>
        <v>#NAME?</v>
      </c>
    </row>
    <row r="156" spans="1:82" x14ac:dyDescent="0.25">
      <c r="A156" t="s">
        <v>251</v>
      </c>
      <c r="B156" t="s">
        <v>1260</v>
      </c>
      <c r="C156">
        <v>3</v>
      </c>
      <c r="D156" t="s">
        <v>2153</v>
      </c>
      <c r="E156" t="s">
        <v>2158</v>
      </c>
      <c r="F156" t="s">
        <v>2159</v>
      </c>
      <c r="G156" t="s">
        <v>2259</v>
      </c>
      <c r="H156" t="s">
        <v>2799</v>
      </c>
      <c r="I156">
        <v>14800</v>
      </c>
      <c r="J156">
        <v>0</v>
      </c>
      <c r="K156">
        <v>400</v>
      </c>
      <c r="L156">
        <v>50</v>
      </c>
      <c r="M156">
        <v>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 t="s">
        <v>3383</v>
      </c>
      <c r="AC156" t="s">
        <v>3384</v>
      </c>
      <c r="AD156" t="s">
        <v>3385</v>
      </c>
      <c r="AE156" t="s">
        <v>4</v>
      </c>
      <c r="AF156" t="s">
        <v>1</v>
      </c>
      <c r="AG156" t="s">
        <v>1</v>
      </c>
      <c r="AH156" t="s">
        <v>4215</v>
      </c>
      <c r="AI156" t="s">
        <v>2259</v>
      </c>
      <c r="AJ156" t="s">
        <v>1</v>
      </c>
      <c r="AK156">
        <v>9331194480</v>
      </c>
      <c r="AL156" t="s">
        <v>1</v>
      </c>
      <c r="AM156" t="s">
        <v>1</v>
      </c>
      <c r="AN156" t="s">
        <v>1</v>
      </c>
      <c r="AO156" t="s">
        <v>4215</v>
      </c>
      <c r="AP156" t="s">
        <v>1</v>
      </c>
      <c r="AQ156" t="s">
        <v>2</v>
      </c>
      <c r="AR156" t="s">
        <v>1</v>
      </c>
      <c r="AS156" t="s">
        <v>1</v>
      </c>
      <c r="AT156" t="s">
        <v>1</v>
      </c>
      <c r="AU156" t="s">
        <v>1</v>
      </c>
      <c r="AV156" t="s">
        <v>1</v>
      </c>
      <c r="AW156" t="s">
        <v>9</v>
      </c>
      <c r="AX156">
        <f>Tabla1[[#This Row],[precio del paquete]]-Tabla1[[#This Row],[Saldo_Deudor]]</f>
        <v>12000</v>
      </c>
      <c r="AY156">
        <v>2800</v>
      </c>
      <c r="AZ156">
        <v>0</v>
      </c>
      <c r="BA156">
        <v>0</v>
      </c>
      <c r="BB156">
        <v>0</v>
      </c>
      <c r="BC156" t="s">
        <v>4830</v>
      </c>
      <c r="BD156" t="s">
        <v>4906</v>
      </c>
      <c r="BE156" t="s">
        <v>3</v>
      </c>
      <c r="BF156" t="s">
        <v>3</v>
      </c>
      <c r="BG156" t="s">
        <v>3</v>
      </c>
      <c r="BH156" t="s">
        <v>3</v>
      </c>
      <c r="BI156" t="s">
        <v>3</v>
      </c>
      <c r="BJ156" t="s">
        <v>5009</v>
      </c>
      <c r="BK156" t="s">
        <v>3</v>
      </c>
      <c r="BL156" t="s">
        <v>96</v>
      </c>
      <c r="BM156" t="s">
        <v>1</v>
      </c>
      <c r="BN156">
        <v>14800</v>
      </c>
      <c r="BO156" t="s">
        <v>1</v>
      </c>
      <c r="BP156" t="s">
        <v>1</v>
      </c>
      <c r="BQ156" t="s">
        <v>1</v>
      </c>
      <c r="BR156" t="s">
        <v>1</v>
      </c>
      <c r="BS156" t="s">
        <v>1</v>
      </c>
      <c r="BT156" t="s">
        <v>1</v>
      </c>
      <c r="BU156" t="s">
        <v>1</v>
      </c>
      <c r="BV156" t="s">
        <v>1</v>
      </c>
      <c r="BW156" t="s">
        <v>0</v>
      </c>
      <c r="BX156" t="s">
        <v>1</v>
      </c>
      <c r="BY156" t="s">
        <v>1</v>
      </c>
      <c r="BZ156" t="s">
        <v>1</v>
      </c>
      <c r="CA156" t="s">
        <v>1</v>
      </c>
      <c r="CB156" t="s">
        <v>1</v>
      </c>
      <c r="CD156" t="e" cm="1">
        <f t="array" aca="1" ref="CD156" ca="1">eConcatenar(A156:CB156,"|")</f>
        <v>#NAME?</v>
      </c>
    </row>
    <row r="157" spans="1:82" x14ac:dyDescent="0.25">
      <c r="A157" t="s">
        <v>252</v>
      </c>
      <c r="B157" t="s">
        <v>1261</v>
      </c>
      <c r="C157">
        <v>3</v>
      </c>
      <c r="D157" t="s">
        <v>2153</v>
      </c>
      <c r="E157" t="s">
        <v>2158</v>
      </c>
      <c r="F157" t="s">
        <v>0</v>
      </c>
      <c r="G157" t="s">
        <v>2260</v>
      </c>
      <c r="H157" t="s">
        <v>2800</v>
      </c>
      <c r="I157">
        <v>14800</v>
      </c>
      <c r="J157">
        <v>0</v>
      </c>
      <c r="K157">
        <v>200</v>
      </c>
      <c r="L157">
        <v>50</v>
      </c>
      <c r="M157">
        <v>1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 t="s">
        <v>3137</v>
      </c>
      <c r="AC157" t="s">
        <v>3382</v>
      </c>
      <c r="AD157" t="s">
        <v>3239</v>
      </c>
      <c r="AE157" t="s">
        <v>4</v>
      </c>
      <c r="AF157" t="s">
        <v>1</v>
      </c>
      <c r="AG157" t="s">
        <v>1</v>
      </c>
      <c r="AH157" t="s">
        <v>4216</v>
      </c>
      <c r="AI157" t="s">
        <v>2260</v>
      </c>
      <c r="AJ157" t="s">
        <v>1</v>
      </c>
      <c r="AK157">
        <v>9371444049</v>
      </c>
      <c r="AL157" t="s">
        <v>1</v>
      </c>
      <c r="AM157" t="s">
        <v>1</v>
      </c>
      <c r="AN157" t="s">
        <v>1</v>
      </c>
      <c r="AO157" t="s">
        <v>4216</v>
      </c>
      <c r="AP157" t="s">
        <v>1</v>
      </c>
      <c r="AQ157" t="s">
        <v>2</v>
      </c>
      <c r="AR157" t="s">
        <v>1</v>
      </c>
      <c r="AS157" t="s">
        <v>1</v>
      </c>
      <c r="AT157" t="s">
        <v>1</v>
      </c>
      <c r="AU157" t="s">
        <v>1</v>
      </c>
      <c r="AV157" t="s">
        <v>1</v>
      </c>
      <c r="AW157" t="s">
        <v>9</v>
      </c>
      <c r="AX157">
        <f>Tabla1[[#This Row],[precio del paquete]]-Tabla1[[#This Row],[Saldo_Deudor]]</f>
        <v>1400</v>
      </c>
      <c r="AY157">
        <v>13400</v>
      </c>
      <c r="AZ157">
        <v>0</v>
      </c>
      <c r="BA157">
        <v>0</v>
      </c>
      <c r="BB157">
        <v>0</v>
      </c>
      <c r="BC157" t="s">
        <v>3061</v>
      </c>
      <c r="BD157" t="s">
        <v>3040</v>
      </c>
      <c r="BE157" t="s">
        <v>3</v>
      </c>
      <c r="BF157" t="s">
        <v>3</v>
      </c>
      <c r="BG157" t="s">
        <v>3</v>
      </c>
      <c r="BH157" t="s">
        <v>3</v>
      </c>
      <c r="BI157" t="s">
        <v>3</v>
      </c>
      <c r="BJ157" t="s">
        <v>5009</v>
      </c>
      <c r="BK157" t="s">
        <v>3</v>
      </c>
      <c r="BL157" t="s">
        <v>96</v>
      </c>
      <c r="BM157" t="s">
        <v>1</v>
      </c>
      <c r="BN157">
        <v>14800</v>
      </c>
      <c r="BO157" t="s">
        <v>1</v>
      </c>
      <c r="BP157" t="s">
        <v>1</v>
      </c>
      <c r="BQ157" t="s">
        <v>1</v>
      </c>
      <c r="BR157" t="s">
        <v>1</v>
      </c>
      <c r="BS157" t="s">
        <v>1</v>
      </c>
      <c r="BT157" t="s">
        <v>1</v>
      </c>
      <c r="BU157" t="s">
        <v>1</v>
      </c>
      <c r="BV157" t="s">
        <v>1</v>
      </c>
      <c r="BW157" t="s">
        <v>0</v>
      </c>
      <c r="BX157" t="s">
        <v>1</v>
      </c>
      <c r="BY157" t="s">
        <v>1</v>
      </c>
      <c r="BZ157" t="s">
        <v>1</v>
      </c>
      <c r="CA157" t="s">
        <v>1</v>
      </c>
      <c r="CB157" t="s">
        <v>1</v>
      </c>
      <c r="CD157" t="e" cm="1">
        <f t="array" aca="1" ref="CD157" ca="1">eConcatenar(A157:CB157,"|")</f>
        <v>#NAME?</v>
      </c>
    </row>
    <row r="158" spans="1:82" x14ac:dyDescent="0.25">
      <c r="A158" t="s">
        <v>253</v>
      </c>
      <c r="B158" t="s">
        <v>1262</v>
      </c>
      <c r="C158">
        <v>3</v>
      </c>
      <c r="D158" t="s">
        <v>2154</v>
      </c>
      <c r="E158" t="s">
        <v>2158</v>
      </c>
      <c r="F158" t="s">
        <v>0</v>
      </c>
      <c r="G158" t="s">
        <v>2261</v>
      </c>
      <c r="H158" t="s">
        <v>2801</v>
      </c>
      <c r="I158">
        <v>24500</v>
      </c>
      <c r="J158">
        <v>0</v>
      </c>
      <c r="K158">
        <v>100</v>
      </c>
      <c r="L158">
        <v>50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 t="s">
        <v>6</v>
      </c>
      <c r="AC158" t="s">
        <v>3148</v>
      </c>
      <c r="AD158" t="s">
        <v>3386</v>
      </c>
      <c r="AE158" t="s">
        <v>4</v>
      </c>
      <c r="AF158" t="s">
        <v>1</v>
      </c>
      <c r="AG158" t="s">
        <v>1</v>
      </c>
      <c r="AH158" t="s">
        <v>4217</v>
      </c>
      <c r="AI158" t="s">
        <v>2261</v>
      </c>
      <c r="AJ158" t="s">
        <v>1</v>
      </c>
      <c r="AK158">
        <v>9373745283</v>
      </c>
      <c r="AL158" t="s">
        <v>1</v>
      </c>
      <c r="AM158" t="s">
        <v>1</v>
      </c>
      <c r="AN158" t="s">
        <v>1</v>
      </c>
      <c r="AO158" t="s">
        <v>4217</v>
      </c>
      <c r="AP158" t="s">
        <v>1</v>
      </c>
      <c r="AQ158" t="s">
        <v>2</v>
      </c>
      <c r="AR158" t="s">
        <v>1</v>
      </c>
      <c r="AS158" t="s">
        <v>1</v>
      </c>
      <c r="AT158" t="s">
        <v>1</v>
      </c>
      <c r="AU158" t="s">
        <v>1</v>
      </c>
      <c r="AV158" t="s">
        <v>1</v>
      </c>
      <c r="AW158" t="s">
        <v>9</v>
      </c>
      <c r="AX158">
        <f>Tabla1[[#This Row],[precio del paquete]]-Tabla1[[#This Row],[Saldo_Deudor]]</f>
        <v>1000</v>
      </c>
      <c r="AY158">
        <v>23500</v>
      </c>
      <c r="AZ158">
        <v>0</v>
      </c>
      <c r="BA158">
        <v>0</v>
      </c>
      <c r="BB158">
        <v>0</v>
      </c>
      <c r="BC158" t="s">
        <v>3061</v>
      </c>
      <c r="BD158" t="s">
        <v>3040</v>
      </c>
      <c r="BE158" t="s">
        <v>3</v>
      </c>
      <c r="BF158" t="s">
        <v>3</v>
      </c>
      <c r="BG158" t="s">
        <v>3</v>
      </c>
      <c r="BH158" t="s">
        <v>3</v>
      </c>
      <c r="BI158" t="s">
        <v>3</v>
      </c>
      <c r="BJ158" t="s">
        <v>4994</v>
      </c>
      <c r="BK158" t="s">
        <v>3</v>
      </c>
      <c r="BL158" t="s">
        <v>96</v>
      </c>
      <c r="BM158" t="s">
        <v>1</v>
      </c>
      <c r="BN158">
        <v>24500</v>
      </c>
      <c r="BO158" t="s">
        <v>1</v>
      </c>
      <c r="BP158" t="s">
        <v>1</v>
      </c>
      <c r="BQ158" t="s">
        <v>1</v>
      </c>
      <c r="BR158" t="s">
        <v>1</v>
      </c>
      <c r="BS158" t="s">
        <v>1</v>
      </c>
      <c r="BT158" t="s">
        <v>1</v>
      </c>
      <c r="BU158" t="s">
        <v>1</v>
      </c>
      <c r="BV158" t="s">
        <v>1</v>
      </c>
      <c r="BW158" t="s">
        <v>0</v>
      </c>
      <c r="BX158" t="s">
        <v>1</v>
      </c>
      <c r="BY158" t="s">
        <v>1</v>
      </c>
      <c r="BZ158" t="s">
        <v>1</v>
      </c>
      <c r="CA158" t="s">
        <v>1</v>
      </c>
      <c r="CB158" t="s">
        <v>1</v>
      </c>
      <c r="CD158" t="e" cm="1">
        <f t="array" aca="1" ref="CD158" ca="1">eConcatenar(A158:CB158,"|")</f>
        <v>#NAME?</v>
      </c>
    </row>
    <row r="159" spans="1:82" x14ac:dyDescent="0.25">
      <c r="A159" t="s">
        <v>254</v>
      </c>
      <c r="B159" t="s">
        <v>1263</v>
      </c>
      <c r="C159">
        <v>3</v>
      </c>
      <c r="D159" t="s">
        <v>2153</v>
      </c>
      <c r="E159" t="s">
        <v>2158</v>
      </c>
      <c r="F159" t="s">
        <v>0</v>
      </c>
      <c r="G159" t="s">
        <v>2261</v>
      </c>
      <c r="H159" t="s">
        <v>2801</v>
      </c>
      <c r="I159">
        <v>14800</v>
      </c>
      <c r="J159">
        <v>0</v>
      </c>
      <c r="K159">
        <v>100</v>
      </c>
      <c r="L159">
        <v>50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 t="s">
        <v>3152</v>
      </c>
      <c r="AC159" t="s">
        <v>3387</v>
      </c>
      <c r="AD159" t="s">
        <v>3388</v>
      </c>
      <c r="AE159" t="s">
        <v>4</v>
      </c>
      <c r="AF159" t="s">
        <v>1</v>
      </c>
      <c r="AG159" t="s">
        <v>1</v>
      </c>
      <c r="AH159" t="s">
        <v>4218</v>
      </c>
      <c r="AI159" t="s">
        <v>2261</v>
      </c>
      <c r="AJ159" t="s">
        <v>1</v>
      </c>
      <c r="AK159">
        <v>9371034079</v>
      </c>
      <c r="AL159" t="s">
        <v>1</v>
      </c>
      <c r="AM159" t="s">
        <v>1</v>
      </c>
      <c r="AN159" t="s">
        <v>1</v>
      </c>
      <c r="AO159" t="s">
        <v>4218</v>
      </c>
      <c r="AP159" t="s">
        <v>1</v>
      </c>
      <c r="AQ159" t="s">
        <v>2</v>
      </c>
      <c r="AR159" t="s">
        <v>1</v>
      </c>
      <c r="AS159" t="s">
        <v>1</v>
      </c>
      <c r="AT159" t="s">
        <v>1</v>
      </c>
      <c r="AU159" t="s">
        <v>1</v>
      </c>
      <c r="AV159" t="s">
        <v>1</v>
      </c>
      <c r="AW159" t="s">
        <v>9</v>
      </c>
      <c r="AX159">
        <f>Tabla1[[#This Row],[precio del paquete]]-Tabla1[[#This Row],[Saldo_Deudor]]</f>
        <v>1000</v>
      </c>
      <c r="AY159">
        <v>13800</v>
      </c>
      <c r="AZ159">
        <v>0</v>
      </c>
      <c r="BA159">
        <v>0</v>
      </c>
      <c r="BB159">
        <v>0</v>
      </c>
      <c r="BC159" t="s">
        <v>3061</v>
      </c>
      <c r="BD159" t="s">
        <v>3040</v>
      </c>
      <c r="BE159" t="s">
        <v>3</v>
      </c>
      <c r="BF159" t="s">
        <v>3</v>
      </c>
      <c r="BG159" t="s">
        <v>3</v>
      </c>
      <c r="BH159" t="s">
        <v>3</v>
      </c>
      <c r="BI159" t="s">
        <v>3</v>
      </c>
      <c r="BJ159" t="s">
        <v>4994</v>
      </c>
      <c r="BK159" t="s">
        <v>3</v>
      </c>
      <c r="BL159" t="s">
        <v>96</v>
      </c>
      <c r="BM159" t="s">
        <v>1</v>
      </c>
      <c r="BN159">
        <v>14800</v>
      </c>
      <c r="BO159" t="s">
        <v>1</v>
      </c>
      <c r="BP159" t="s">
        <v>1</v>
      </c>
      <c r="BQ159" t="s">
        <v>1</v>
      </c>
      <c r="BR159" t="s">
        <v>1</v>
      </c>
      <c r="BS159" t="s">
        <v>1</v>
      </c>
      <c r="BT159" t="s">
        <v>1</v>
      </c>
      <c r="BU159" t="s">
        <v>1</v>
      </c>
      <c r="BV159" t="s">
        <v>1</v>
      </c>
      <c r="BW159" t="s">
        <v>0</v>
      </c>
      <c r="BX159" t="s">
        <v>1</v>
      </c>
      <c r="BY159" t="s">
        <v>1</v>
      </c>
      <c r="BZ159" t="s">
        <v>1</v>
      </c>
      <c r="CA159" t="s">
        <v>1</v>
      </c>
      <c r="CB159" t="s">
        <v>1</v>
      </c>
      <c r="CD159" t="e" cm="1">
        <f t="array" aca="1" ref="CD159" ca="1">eConcatenar(A159:CB159,"|")</f>
        <v>#NAME?</v>
      </c>
    </row>
    <row r="160" spans="1:82" x14ac:dyDescent="0.25">
      <c r="A160" t="s">
        <v>255</v>
      </c>
      <c r="B160" t="s">
        <v>1264</v>
      </c>
      <c r="C160">
        <v>3</v>
      </c>
      <c r="D160" t="s">
        <v>2153</v>
      </c>
      <c r="E160" t="s">
        <v>2158</v>
      </c>
      <c r="F160" t="s">
        <v>0</v>
      </c>
      <c r="G160" t="s">
        <v>2261</v>
      </c>
      <c r="H160" t="s">
        <v>2703</v>
      </c>
      <c r="I160">
        <v>14800</v>
      </c>
      <c r="J160">
        <v>0</v>
      </c>
      <c r="K160">
        <v>50</v>
      </c>
      <c r="L160">
        <v>50</v>
      </c>
      <c r="M160">
        <v>1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 t="s">
        <v>3177</v>
      </c>
      <c r="AC160" t="s">
        <v>3214</v>
      </c>
      <c r="AD160" t="s">
        <v>3389</v>
      </c>
      <c r="AE160" t="s">
        <v>4</v>
      </c>
      <c r="AF160" t="s">
        <v>1</v>
      </c>
      <c r="AG160" t="s">
        <v>1</v>
      </c>
      <c r="AH160" t="s">
        <v>4219</v>
      </c>
      <c r="AI160" t="s">
        <v>2261</v>
      </c>
      <c r="AJ160" t="s">
        <v>1</v>
      </c>
      <c r="AK160">
        <v>9313754380</v>
      </c>
      <c r="AL160" t="s">
        <v>1</v>
      </c>
      <c r="AM160" t="s">
        <v>1</v>
      </c>
      <c r="AN160" t="s">
        <v>1</v>
      </c>
      <c r="AO160" t="s">
        <v>4219</v>
      </c>
      <c r="AP160" t="s">
        <v>1</v>
      </c>
      <c r="AQ160" t="s">
        <v>2</v>
      </c>
      <c r="AR160" t="s">
        <v>1</v>
      </c>
      <c r="AS160" t="s">
        <v>1</v>
      </c>
      <c r="AT160" t="s">
        <v>1</v>
      </c>
      <c r="AU160" t="s">
        <v>1</v>
      </c>
      <c r="AV160" t="s">
        <v>1</v>
      </c>
      <c r="AW160" t="s">
        <v>9</v>
      </c>
      <c r="AX160">
        <f>Tabla1[[#This Row],[precio del paquete]]-Tabla1[[#This Row],[Saldo_Deudor]]</f>
        <v>850</v>
      </c>
      <c r="AY160">
        <v>13950</v>
      </c>
      <c r="AZ160">
        <v>0</v>
      </c>
      <c r="BA160">
        <v>0</v>
      </c>
      <c r="BB160">
        <v>0</v>
      </c>
      <c r="BC160" t="s">
        <v>3061</v>
      </c>
      <c r="BD160" t="s">
        <v>3040</v>
      </c>
      <c r="BE160" t="s">
        <v>3</v>
      </c>
      <c r="BF160" t="s">
        <v>3</v>
      </c>
      <c r="BG160" t="s">
        <v>3</v>
      </c>
      <c r="BH160" t="s">
        <v>3</v>
      </c>
      <c r="BI160" t="s">
        <v>3</v>
      </c>
      <c r="BJ160" t="s">
        <v>4994</v>
      </c>
      <c r="BK160" t="s">
        <v>3</v>
      </c>
      <c r="BL160" t="s">
        <v>96</v>
      </c>
      <c r="BM160" t="s">
        <v>1</v>
      </c>
      <c r="BN160">
        <v>14800</v>
      </c>
      <c r="BO160" t="s">
        <v>1</v>
      </c>
      <c r="BP160" t="s">
        <v>1</v>
      </c>
      <c r="BQ160" t="s">
        <v>1</v>
      </c>
      <c r="BR160" t="s">
        <v>1</v>
      </c>
      <c r="BS160" t="s">
        <v>1</v>
      </c>
      <c r="BT160" t="s">
        <v>1</v>
      </c>
      <c r="BU160" t="s">
        <v>1</v>
      </c>
      <c r="BV160" t="s">
        <v>1</v>
      </c>
      <c r="BW160" t="s">
        <v>0</v>
      </c>
      <c r="BX160" t="s">
        <v>1</v>
      </c>
      <c r="BY160" t="s">
        <v>1</v>
      </c>
      <c r="BZ160" t="s">
        <v>1</v>
      </c>
      <c r="CA160" t="s">
        <v>1</v>
      </c>
      <c r="CB160" t="s">
        <v>1</v>
      </c>
      <c r="CD160" t="e" cm="1">
        <f t="array" aca="1" ref="CD160" ca="1">eConcatenar(A160:CB160,"|")</f>
        <v>#NAME?</v>
      </c>
    </row>
    <row r="161" spans="1:82" x14ac:dyDescent="0.25">
      <c r="A161" t="s">
        <v>256</v>
      </c>
      <c r="B161" t="s">
        <v>1265</v>
      </c>
      <c r="C161">
        <v>3</v>
      </c>
      <c r="D161" t="s">
        <v>2153</v>
      </c>
      <c r="E161" t="s">
        <v>2158</v>
      </c>
      <c r="F161" t="s">
        <v>0</v>
      </c>
      <c r="G161" t="s">
        <v>2261</v>
      </c>
      <c r="H161" t="s">
        <v>2796</v>
      </c>
      <c r="I161">
        <v>14800</v>
      </c>
      <c r="J161">
        <v>0</v>
      </c>
      <c r="K161">
        <v>200</v>
      </c>
      <c r="L161">
        <v>50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 t="s">
        <v>3117</v>
      </c>
      <c r="AC161" t="s">
        <v>3390</v>
      </c>
      <c r="AD161" t="s">
        <v>3391</v>
      </c>
      <c r="AE161" t="s">
        <v>4</v>
      </c>
      <c r="AF161" t="s">
        <v>1</v>
      </c>
      <c r="AG161" t="s">
        <v>1</v>
      </c>
      <c r="AH161" t="s">
        <v>4220</v>
      </c>
      <c r="AI161" t="s">
        <v>2261</v>
      </c>
      <c r="AJ161" t="s">
        <v>1</v>
      </c>
      <c r="AK161">
        <v>9371042255</v>
      </c>
      <c r="AL161" t="s">
        <v>1</v>
      </c>
      <c r="AM161" t="s">
        <v>1</v>
      </c>
      <c r="AN161" t="s">
        <v>1</v>
      </c>
      <c r="AO161" t="s">
        <v>4220</v>
      </c>
      <c r="AP161" t="s">
        <v>1</v>
      </c>
      <c r="AQ161" t="s">
        <v>2</v>
      </c>
      <c r="AR161" t="s">
        <v>1</v>
      </c>
      <c r="AS161" t="s">
        <v>1</v>
      </c>
      <c r="AT161" t="s">
        <v>1</v>
      </c>
      <c r="AU161" t="s">
        <v>1</v>
      </c>
      <c r="AV161" t="s">
        <v>1</v>
      </c>
      <c r="AW161" t="s">
        <v>9</v>
      </c>
      <c r="AX161">
        <f>Tabla1[[#This Row],[precio del paquete]]-Tabla1[[#This Row],[Saldo_Deudor]]</f>
        <v>1000</v>
      </c>
      <c r="AY161">
        <v>13800</v>
      </c>
      <c r="AZ161">
        <v>0</v>
      </c>
      <c r="BA161">
        <v>0</v>
      </c>
      <c r="BB161">
        <v>0</v>
      </c>
      <c r="BC161" t="s">
        <v>3061</v>
      </c>
      <c r="BD161" t="s">
        <v>3040</v>
      </c>
      <c r="BE161" t="s">
        <v>3</v>
      </c>
      <c r="BF161" t="s">
        <v>3</v>
      </c>
      <c r="BG161" t="s">
        <v>3</v>
      </c>
      <c r="BH161" t="s">
        <v>3</v>
      </c>
      <c r="BI161" t="s">
        <v>3</v>
      </c>
      <c r="BJ161" t="s">
        <v>4994</v>
      </c>
      <c r="BK161" t="s">
        <v>3</v>
      </c>
      <c r="BL161" t="s">
        <v>96</v>
      </c>
      <c r="BM161" t="s">
        <v>1</v>
      </c>
      <c r="BN161">
        <v>14800</v>
      </c>
      <c r="BO161" t="s">
        <v>1</v>
      </c>
      <c r="BP161" t="s">
        <v>1</v>
      </c>
      <c r="BQ161" t="s">
        <v>1</v>
      </c>
      <c r="BR161" t="s">
        <v>1</v>
      </c>
      <c r="BS161" t="s">
        <v>1</v>
      </c>
      <c r="BT161" t="s">
        <v>1</v>
      </c>
      <c r="BU161" t="s">
        <v>1</v>
      </c>
      <c r="BV161" t="s">
        <v>1</v>
      </c>
      <c r="BW161" t="s">
        <v>0</v>
      </c>
      <c r="BX161" t="s">
        <v>1</v>
      </c>
      <c r="BY161" t="s">
        <v>1</v>
      </c>
      <c r="BZ161" t="s">
        <v>1</v>
      </c>
      <c r="CA161" t="s">
        <v>1</v>
      </c>
      <c r="CB161" t="s">
        <v>1</v>
      </c>
      <c r="CD161" t="e" cm="1">
        <f t="array" aca="1" ref="CD161" ca="1">eConcatenar(A161:CB161,"|")</f>
        <v>#NAME?</v>
      </c>
    </row>
    <row r="162" spans="1:82" x14ac:dyDescent="0.25">
      <c r="A162" t="s">
        <v>257</v>
      </c>
      <c r="B162" t="s">
        <v>1266</v>
      </c>
      <c r="C162">
        <v>3</v>
      </c>
      <c r="D162" t="s">
        <v>2153</v>
      </c>
      <c r="E162" t="s">
        <v>2158</v>
      </c>
      <c r="F162" t="s">
        <v>0</v>
      </c>
      <c r="G162" t="s">
        <v>2261</v>
      </c>
      <c r="H162" t="s">
        <v>2802</v>
      </c>
      <c r="I162">
        <v>14800</v>
      </c>
      <c r="J162">
        <v>0</v>
      </c>
      <c r="K162">
        <v>500</v>
      </c>
      <c r="L162">
        <v>50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 t="s">
        <v>3132</v>
      </c>
      <c r="AC162" t="s">
        <v>3177</v>
      </c>
      <c r="AD162" t="s">
        <v>3392</v>
      </c>
      <c r="AE162" t="s">
        <v>4</v>
      </c>
      <c r="AF162" t="s">
        <v>1</v>
      </c>
      <c r="AG162" t="s">
        <v>1</v>
      </c>
      <c r="AH162" t="s">
        <v>4221</v>
      </c>
      <c r="AI162" t="s">
        <v>2261</v>
      </c>
      <c r="AJ162" t="s">
        <v>1</v>
      </c>
      <c r="AK162">
        <v>9371540817</v>
      </c>
      <c r="AL162" t="s">
        <v>1</v>
      </c>
      <c r="AM162" t="s">
        <v>1</v>
      </c>
      <c r="AN162" t="s">
        <v>1</v>
      </c>
      <c r="AO162" t="s">
        <v>4221</v>
      </c>
      <c r="AP162" t="s">
        <v>1</v>
      </c>
      <c r="AQ162" t="s">
        <v>2</v>
      </c>
      <c r="AR162" t="s">
        <v>1</v>
      </c>
      <c r="AS162" t="s">
        <v>1</v>
      </c>
      <c r="AT162" t="s">
        <v>1</v>
      </c>
      <c r="AU162" t="s">
        <v>1</v>
      </c>
      <c r="AV162" t="s">
        <v>1</v>
      </c>
      <c r="AW162" t="s">
        <v>9</v>
      </c>
      <c r="AX162">
        <f>Tabla1[[#This Row],[precio del paquete]]-Tabla1[[#This Row],[Saldo_Deudor]]</f>
        <v>2300</v>
      </c>
      <c r="AY162">
        <v>12500</v>
      </c>
      <c r="AZ162">
        <v>0</v>
      </c>
      <c r="BA162">
        <v>0</v>
      </c>
      <c r="BB162">
        <v>0</v>
      </c>
      <c r="BC162" t="s">
        <v>3061</v>
      </c>
      <c r="BD162" t="s">
        <v>3040</v>
      </c>
      <c r="BE162" t="s">
        <v>3</v>
      </c>
      <c r="BF162" t="s">
        <v>3</v>
      </c>
      <c r="BG162" t="s">
        <v>3</v>
      </c>
      <c r="BH162" t="s">
        <v>3</v>
      </c>
      <c r="BI162" t="s">
        <v>3</v>
      </c>
      <c r="BJ162" t="s">
        <v>4994</v>
      </c>
      <c r="BK162" t="s">
        <v>3</v>
      </c>
      <c r="BL162" t="s">
        <v>96</v>
      </c>
      <c r="BM162" t="s">
        <v>1</v>
      </c>
      <c r="BN162">
        <v>14800</v>
      </c>
      <c r="BO162" t="s">
        <v>1</v>
      </c>
      <c r="BP162" t="s">
        <v>1</v>
      </c>
      <c r="BQ162" t="s">
        <v>1</v>
      </c>
      <c r="BR162" t="s">
        <v>1</v>
      </c>
      <c r="BS162" t="s">
        <v>1</v>
      </c>
      <c r="BT162" t="s">
        <v>1</v>
      </c>
      <c r="BU162" t="s">
        <v>1</v>
      </c>
      <c r="BV162" t="s">
        <v>1</v>
      </c>
      <c r="BW162" t="s">
        <v>0</v>
      </c>
      <c r="BX162" t="s">
        <v>1</v>
      </c>
      <c r="BY162" t="s">
        <v>1</v>
      </c>
      <c r="BZ162" t="s">
        <v>1</v>
      </c>
      <c r="CA162" t="s">
        <v>1</v>
      </c>
      <c r="CB162" t="s">
        <v>1</v>
      </c>
      <c r="CD162" t="e" cm="1">
        <f t="array" aca="1" ref="CD162" ca="1">eConcatenar(A162:CB162,"|")</f>
        <v>#NAME?</v>
      </c>
    </row>
    <row r="163" spans="1:82" x14ac:dyDescent="0.25">
      <c r="A163" t="s">
        <v>258</v>
      </c>
      <c r="B163" t="s">
        <v>1267</v>
      </c>
      <c r="C163">
        <v>3</v>
      </c>
      <c r="D163" t="s">
        <v>2153</v>
      </c>
      <c r="E163" t="s">
        <v>2158</v>
      </c>
      <c r="F163" t="s">
        <v>2159</v>
      </c>
      <c r="G163" t="s">
        <v>2262</v>
      </c>
      <c r="H163" t="s">
        <v>2803</v>
      </c>
      <c r="I163">
        <v>14800</v>
      </c>
      <c r="J163">
        <v>0</v>
      </c>
      <c r="K163">
        <v>200</v>
      </c>
      <c r="L163">
        <v>50</v>
      </c>
      <c r="M163">
        <v>1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 t="s">
        <v>3119</v>
      </c>
      <c r="AC163" t="s">
        <v>3161</v>
      </c>
      <c r="AD163" t="s">
        <v>3393</v>
      </c>
      <c r="AE163" t="s">
        <v>4</v>
      </c>
      <c r="AF163" t="s">
        <v>1</v>
      </c>
      <c r="AG163" t="s">
        <v>1</v>
      </c>
      <c r="AH163" t="s">
        <v>4222</v>
      </c>
      <c r="AI163" t="s">
        <v>2262</v>
      </c>
      <c r="AJ163" t="s">
        <v>1</v>
      </c>
      <c r="AK163">
        <v>9371392049</v>
      </c>
      <c r="AL163" t="s">
        <v>1</v>
      </c>
      <c r="AM163" t="s">
        <v>1</v>
      </c>
      <c r="AN163" t="s">
        <v>1</v>
      </c>
      <c r="AO163" t="s">
        <v>4222</v>
      </c>
      <c r="AP163" t="s">
        <v>1</v>
      </c>
      <c r="AQ163" t="s">
        <v>2</v>
      </c>
      <c r="AR163" t="s">
        <v>1</v>
      </c>
      <c r="AS163" t="s">
        <v>1</v>
      </c>
      <c r="AT163" t="s">
        <v>1</v>
      </c>
      <c r="AU163" t="s">
        <v>1</v>
      </c>
      <c r="AV163" t="s">
        <v>1</v>
      </c>
      <c r="AW163" t="s">
        <v>9</v>
      </c>
      <c r="AX163">
        <f>Tabla1[[#This Row],[precio del paquete]]-Tabla1[[#This Row],[Saldo_Deudor]]</f>
        <v>400</v>
      </c>
      <c r="AY163">
        <v>14400</v>
      </c>
      <c r="AZ163">
        <v>0</v>
      </c>
      <c r="BA163">
        <v>0</v>
      </c>
      <c r="BB163">
        <v>0</v>
      </c>
      <c r="BC163" t="s">
        <v>4835</v>
      </c>
      <c r="BD163" t="s">
        <v>4855</v>
      </c>
      <c r="BE163" t="s">
        <v>3</v>
      </c>
      <c r="BF163" t="s">
        <v>3</v>
      </c>
      <c r="BG163" t="s">
        <v>3</v>
      </c>
      <c r="BH163" t="s">
        <v>3</v>
      </c>
      <c r="BI163" t="s">
        <v>3</v>
      </c>
      <c r="BJ163" t="s">
        <v>4994</v>
      </c>
      <c r="BK163" t="s">
        <v>3</v>
      </c>
      <c r="BL163" t="s">
        <v>96</v>
      </c>
      <c r="BM163" t="s">
        <v>1</v>
      </c>
      <c r="BN163">
        <v>14800</v>
      </c>
      <c r="BO163" t="s">
        <v>1</v>
      </c>
      <c r="BP163" t="s">
        <v>1</v>
      </c>
      <c r="BQ163" t="s">
        <v>1</v>
      </c>
      <c r="BR163" t="s">
        <v>1</v>
      </c>
      <c r="BS163" t="s">
        <v>1</v>
      </c>
      <c r="BT163" t="s">
        <v>1</v>
      </c>
      <c r="BU163" t="s">
        <v>1</v>
      </c>
      <c r="BV163" t="s">
        <v>1</v>
      </c>
      <c r="BW163" t="s">
        <v>0</v>
      </c>
      <c r="BX163" t="s">
        <v>1</v>
      </c>
      <c r="BY163" t="s">
        <v>1</v>
      </c>
      <c r="BZ163" t="s">
        <v>1</v>
      </c>
      <c r="CA163" t="s">
        <v>1</v>
      </c>
      <c r="CB163" t="s">
        <v>1</v>
      </c>
      <c r="CD163" t="e" cm="1">
        <f t="array" aca="1" ref="CD163" ca="1">eConcatenar(A163:CB163,"|")</f>
        <v>#NAME?</v>
      </c>
    </row>
    <row r="164" spans="1:82" x14ac:dyDescent="0.25">
      <c r="A164" t="s">
        <v>259</v>
      </c>
      <c r="B164" t="s">
        <v>1268</v>
      </c>
      <c r="C164">
        <v>3</v>
      </c>
      <c r="D164" t="s">
        <v>2153</v>
      </c>
      <c r="E164" t="s">
        <v>2158</v>
      </c>
      <c r="F164" t="s">
        <v>0</v>
      </c>
      <c r="G164" t="s">
        <v>2263</v>
      </c>
      <c r="H164" t="s">
        <v>2804</v>
      </c>
      <c r="I164">
        <v>14800</v>
      </c>
      <c r="J164">
        <v>0</v>
      </c>
      <c r="K164">
        <v>200</v>
      </c>
      <c r="L164">
        <v>50</v>
      </c>
      <c r="M164">
        <v>1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 t="s">
        <v>3290</v>
      </c>
      <c r="AC164" t="s">
        <v>3304</v>
      </c>
      <c r="AD164" t="s">
        <v>3394</v>
      </c>
      <c r="AE164" t="s">
        <v>4</v>
      </c>
      <c r="AF164" t="s">
        <v>1</v>
      </c>
      <c r="AG164" t="s">
        <v>1</v>
      </c>
      <c r="AH164" t="s">
        <v>4223</v>
      </c>
      <c r="AI164" t="s">
        <v>2263</v>
      </c>
      <c r="AJ164" t="s">
        <v>1</v>
      </c>
      <c r="AK164">
        <v>9373697470</v>
      </c>
      <c r="AL164" t="s">
        <v>1</v>
      </c>
      <c r="AM164" t="s">
        <v>1</v>
      </c>
      <c r="AN164" t="s">
        <v>1</v>
      </c>
      <c r="AO164" t="s">
        <v>4223</v>
      </c>
      <c r="AP164" t="s">
        <v>1</v>
      </c>
      <c r="AQ164" t="s">
        <v>2</v>
      </c>
      <c r="AR164" t="s">
        <v>1</v>
      </c>
      <c r="AS164" t="s">
        <v>1</v>
      </c>
      <c r="AT164" t="s">
        <v>1</v>
      </c>
      <c r="AU164" t="s">
        <v>1</v>
      </c>
      <c r="AV164" t="s">
        <v>1</v>
      </c>
      <c r="AW164" t="s">
        <v>9</v>
      </c>
      <c r="AX164">
        <f>Tabla1[[#This Row],[precio del paquete]]-Tabla1[[#This Row],[Saldo_Deudor]]</f>
        <v>200</v>
      </c>
      <c r="AY164">
        <v>14600</v>
      </c>
      <c r="AZ164">
        <v>0</v>
      </c>
      <c r="BA164">
        <v>0</v>
      </c>
      <c r="BB164">
        <v>0</v>
      </c>
      <c r="BC164" t="s">
        <v>2804</v>
      </c>
      <c r="BD164" t="s">
        <v>2885</v>
      </c>
      <c r="BE164" t="s">
        <v>3</v>
      </c>
      <c r="BF164" t="s">
        <v>3</v>
      </c>
      <c r="BG164" t="s">
        <v>3</v>
      </c>
      <c r="BH164" t="s">
        <v>3</v>
      </c>
      <c r="BI164" t="s">
        <v>3</v>
      </c>
      <c r="BJ164" t="s">
        <v>4995</v>
      </c>
      <c r="BK164" t="s">
        <v>3</v>
      </c>
      <c r="BL164" t="s">
        <v>96</v>
      </c>
      <c r="BM164" t="s">
        <v>1</v>
      </c>
      <c r="BN164">
        <v>14800</v>
      </c>
      <c r="BO164" t="s">
        <v>1</v>
      </c>
      <c r="BP164" t="s">
        <v>1</v>
      </c>
      <c r="BQ164" t="s">
        <v>1</v>
      </c>
      <c r="BR164" t="s">
        <v>1</v>
      </c>
      <c r="BS164" t="s">
        <v>1</v>
      </c>
      <c r="BT164" t="s">
        <v>1</v>
      </c>
      <c r="BU164" t="s">
        <v>1</v>
      </c>
      <c r="BV164" t="s">
        <v>1</v>
      </c>
      <c r="BW164" t="s">
        <v>0</v>
      </c>
      <c r="BX164" t="s">
        <v>1</v>
      </c>
      <c r="BY164" t="s">
        <v>1</v>
      </c>
      <c r="BZ164" t="s">
        <v>1</v>
      </c>
      <c r="CA164" t="s">
        <v>1</v>
      </c>
      <c r="CB164" t="s">
        <v>1</v>
      </c>
      <c r="CD164" t="e" cm="1">
        <f t="array" aca="1" ref="CD164" ca="1">eConcatenar(A164:CB164,"|")</f>
        <v>#NAME?</v>
      </c>
    </row>
    <row r="165" spans="1:82" x14ac:dyDescent="0.25">
      <c r="A165" t="s">
        <v>260</v>
      </c>
      <c r="B165" t="s">
        <v>1269</v>
      </c>
      <c r="C165">
        <v>3</v>
      </c>
      <c r="D165" t="s">
        <v>2153</v>
      </c>
      <c r="E165" t="s">
        <v>2158</v>
      </c>
      <c r="F165" t="s">
        <v>0</v>
      </c>
      <c r="G165" t="s">
        <v>2264</v>
      </c>
      <c r="H165" t="s">
        <v>2726</v>
      </c>
      <c r="I165">
        <v>14800</v>
      </c>
      <c r="J165">
        <v>0</v>
      </c>
      <c r="K165">
        <v>100</v>
      </c>
      <c r="L165">
        <v>50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 t="s">
        <v>3236</v>
      </c>
      <c r="AC165" t="s">
        <v>3395</v>
      </c>
      <c r="AD165" t="s">
        <v>3396</v>
      </c>
      <c r="AE165" t="s">
        <v>4</v>
      </c>
      <c r="AF165" t="s">
        <v>1</v>
      </c>
      <c r="AG165" t="s">
        <v>1</v>
      </c>
      <c r="AH165" t="s">
        <v>4224</v>
      </c>
      <c r="AI165" t="s">
        <v>2264</v>
      </c>
      <c r="AJ165" t="s">
        <v>1</v>
      </c>
      <c r="AK165">
        <v>9371091694</v>
      </c>
      <c r="AL165" t="s">
        <v>1</v>
      </c>
      <c r="AM165" t="s">
        <v>1</v>
      </c>
      <c r="AN165" t="s">
        <v>1</v>
      </c>
      <c r="AO165" t="s">
        <v>4224</v>
      </c>
      <c r="AP165" t="s">
        <v>1</v>
      </c>
      <c r="AQ165" t="s">
        <v>2</v>
      </c>
      <c r="AR165" t="s">
        <v>1</v>
      </c>
      <c r="AS165" t="s">
        <v>1</v>
      </c>
      <c r="AT165" t="s">
        <v>1</v>
      </c>
      <c r="AU165" t="s">
        <v>1</v>
      </c>
      <c r="AV165" t="s">
        <v>1</v>
      </c>
      <c r="AW165" t="s">
        <v>9</v>
      </c>
      <c r="AX165">
        <f>Tabla1[[#This Row],[precio del paquete]]-Tabla1[[#This Row],[Saldo_Deudor]]</f>
        <v>-8300</v>
      </c>
      <c r="AY165">
        <v>23100</v>
      </c>
      <c r="AZ165">
        <v>0</v>
      </c>
      <c r="BA165">
        <v>0</v>
      </c>
      <c r="BB165">
        <v>0</v>
      </c>
      <c r="BC165" t="s">
        <v>3078</v>
      </c>
      <c r="BD165" t="s">
        <v>4827</v>
      </c>
      <c r="BE165" t="s">
        <v>3</v>
      </c>
      <c r="BF165" t="s">
        <v>3</v>
      </c>
      <c r="BG165" t="s">
        <v>3</v>
      </c>
      <c r="BH165" t="s">
        <v>3</v>
      </c>
      <c r="BI165" t="s">
        <v>3</v>
      </c>
      <c r="BJ165" t="s">
        <v>4985</v>
      </c>
      <c r="BK165" t="s">
        <v>3</v>
      </c>
      <c r="BL165" t="s">
        <v>96</v>
      </c>
      <c r="BM165" t="s">
        <v>1</v>
      </c>
      <c r="BN165">
        <v>14800</v>
      </c>
      <c r="BO165" t="s">
        <v>1</v>
      </c>
      <c r="BP165" t="s">
        <v>1</v>
      </c>
      <c r="BQ165" t="s">
        <v>1</v>
      </c>
      <c r="BR165" t="s">
        <v>1</v>
      </c>
      <c r="BS165" t="s">
        <v>1</v>
      </c>
      <c r="BT165" t="s">
        <v>1</v>
      </c>
      <c r="BU165" t="s">
        <v>1</v>
      </c>
      <c r="BV165" t="s">
        <v>1</v>
      </c>
      <c r="BW165" t="s">
        <v>0</v>
      </c>
      <c r="BX165" t="s">
        <v>1</v>
      </c>
      <c r="BY165" t="s">
        <v>1</v>
      </c>
      <c r="BZ165" t="s">
        <v>1</v>
      </c>
      <c r="CA165" t="s">
        <v>1</v>
      </c>
      <c r="CB165" t="s">
        <v>1</v>
      </c>
      <c r="CD165" t="e" cm="1">
        <f t="array" aca="1" ref="CD165" ca="1">eConcatenar(A165:CB165,"|")</f>
        <v>#NAME?</v>
      </c>
    </row>
    <row r="166" spans="1:82" x14ac:dyDescent="0.25">
      <c r="A166" t="s">
        <v>261</v>
      </c>
      <c r="B166" t="s">
        <v>1270</v>
      </c>
      <c r="C166">
        <v>3</v>
      </c>
      <c r="D166" t="s">
        <v>3107</v>
      </c>
      <c r="E166" t="s">
        <v>2158</v>
      </c>
      <c r="F166" t="s">
        <v>0</v>
      </c>
      <c r="G166" t="s">
        <v>2265</v>
      </c>
      <c r="H166" t="s">
        <v>2802</v>
      </c>
      <c r="I166">
        <v>35000</v>
      </c>
      <c r="J166">
        <v>0</v>
      </c>
      <c r="K166">
        <v>12850</v>
      </c>
      <c r="L166">
        <v>50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 t="s">
        <v>3397</v>
      </c>
      <c r="AC166" t="s">
        <v>3115</v>
      </c>
      <c r="AD166" t="s">
        <v>3398</v>
      </c>
      <c r="AE166" t="s">
        <v>4</v>
      </c>
      <c r="AF166" t="s">
        <v>1</v>
      </c>
      <c r="AG166" t="s">
        <v>1</v>
      </c>
      <c r="AH166" t="s">
        <v>4225</v>
      </c>
      <c r="AI166" t="s">
        <v>2265</v>
      </c>
      <c r="AJ166" t="s">
        <v>1</v>
      </c>
      <c r="AK166">
        <v>9371366022</v>
      </c>
      <c r="AL166" t="s">
        <v>1</v>
      </c>
      <c r="AM166" t="s">
        <v>1</v>
      </c>
      <c r="AN166" t="s">
        <v>1</v>
      </c>
      <c r="AO166" t="s">
        <v>4225</v>
      </c>
      <c r="AP166" t="s">
        <v>1</v>
      </c>
      <c r="AQ166" t="s">
        <v>2</v>
      </c>
      <c r="AR166" t="s">
        <v>1</v>
      </c>
      <c r="AS166" t="s">
        <v>1</v>
      </c>
      <c r="AT166" t="s">
        <v>1</v>
      </c>
      <c r="AU166" t="s">
        <v>1</v>
      </c>
      <c r="AV166" t="s">
        <v>1</v>
      </c>
      <c r="AW166" t="s">
        <v>9</v>
      </c>
      <c r="AX166">
        <f>Tabla1[[#This Row],[precio del paquete]]-Tabla1[[#This Row],[Saldo_Deudor]]</f>
        <v>13850</v>
      </c>
      <c r="AY166">
        <v>21150</v>
      </c>
      <c r="AZ166">
        <v>0</v>
      </c>
      <c r="BA166">
        <v>0</v>
      </c>
      <c r="BB166">
        <v>0</v>
      </c>
      <c r="BC166" t="s">
        <v>2712</v>
      </c>
      <c r="BD166" t="s">
        <v>4901</v>
      </c>
      <c r="BE166" t="s">
        <v>3</v>
      </c>
      <c r="BF166" t="s">
        <v>3</v>
      </c>
      <c r="BG166" t="s">
        <v>3</v>
      </c>
      <c r="BH166" t="s">
        <v>3</v>
      </c>
      <c r="BI166" t="s">
        <v>3</v>
      </c>
      <c r="BJ166" t="s">
        <v>4999</v>
      </c>
      <c r="BK166" t="s">
        <v>3</v>
      </c>
      <c r="BL166" t="s">
        <v>96</v>
      </c>
      <c r="BM166" t="s">
        <v>1</v>
      </c>
      <c r="BN166">
        <v>35000</v>
      </c>
      <c r="BO166" t="s">
        <v>1</v>
      </c>
      <c r="BP166" t="s">
        <v>1</v>
      </c>
      <c r="BQ166" t="s">
        <v>1</v>
      </c>
      <c r="BR166" t="s">
        <v>1</v>
      </c>
      <c r="BS166" t="s">
        <v>1</v>
      </c>
      <c r="BT166" t="s">
        <v>1</v>
      </c>
      <c r="BU166" t="s">
        <v>1</v>
      </c>
      <c r="BV166" t="s">
        <v>1</v>
      </c>
      <c r="BW166" t="s">
        <v>0</v>
      </c>
      <c r="BX166" t="s">
        <v>1</v>
      </c>
      <c r="BY166" t="s">
        <v>1</v>
      </c>
      <c r="BZ166" t="s">
        <v>1</v>
      </c>
      <c r="CA166" t="s">
        <v>1</v>
      </c>
      <c r="CB166" t="s">
        <v>1</v>
      </c>
      <c r="CD166" t="e" cm="1">
        <f t="array" aca="1" ref="CD166" ca="1">eConcatenar(A166:CB166,"|")</f>
        <v>#NAME?</v>
      </c>
    </row>
    <row r="167" spans="1:82" x14ac:dyDescent="0.25">
      <c r="A167" t="s">
        <v>262</v>
      </c>
      <c r="B167" t="s">
        <v>1271</v>
      </c>
      <c r="C167">
        <v>3</v>
      </c>
      <c r="D167" t="s">
        <v>2153</v>
      </c>
      <c r="E167" t="s">
        <v>2158</v>
      </c>
      <c r="F167" t="s">
        <v>2159</v>
      </c>
      <c r="G167" t="s">
        <v>2266</v>
      </c>
      <c r="H167" t="s">
        <v>2805</v>
      </c>
      <c r="I167">
        <v>14800</v>
      </c>
      <c r="J167">
        <v>0</v>
      </c>
      <c r="K167">
        <v>100</v>
      </c>
      <c r="L167">
        <v>50</v>
      </c>
      <c r="M167">
        <v>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 t="s">
        <v>3155</v>
      </c>
      <c r="AC167" t="s">
        <v>3399</v>
      </c>
      <c r="AD167" t="s">
        <v>3361</v>
      </c>
      <c r="AE167" t="s">
        <v>4</v>
      </c>
      <c r="AF167" t="s">
        <v>1</v>
      </c>
      <c r="AG167" t="s">
        <v>1</v>
      </c>
      <c r="AH167" t="s">
        <v>4226</v>
      </c>
      <c r="AI167" t="s">
        <v>2266</v>
      </c>
      <c r="AJ167" t="s">
        <v>1</v>
      </c>
      <c r="AK167">
        <v>9331219917</v>
      </c>
      <c r="AL167" t="s">
        <v>1</v>
      </c>
      <c r="AM167" t="s">
        <v>1</v>
      </c>
      <c r="AN167" t="s">
        <v>1</v>
      </c>
      <c r="AO167" t="s">
        <v>4226</v>
      </c>
      <c r="AP167" t="s">
        <v>1</v>
      </c>
      <c r="AQ167" t="s">
        <v>2</v>
      </c>
      <c r="AR167" t="s">
        <v>1</v>
      </c>
      <c r="AS167" t="s">
        <v>1</v>
      </c>
      <c r="AT167" t="s">
        <v>1</v>
      </c>
      <c r="AU167" t="s">
        <v>1</v>
      </c>
      <c r="AV167" t="s">
        <v>1</v>
      </c>
      <c r="AW167" t="s">
        <v>9</v>
      </c>
      <c r="AX167">
        <f>Tabla1[[#This Row],[precio del paquete]]-Tabla1[[#This Row],[Saldo_Deudor]]</f>
        <v>100</v>
      </c>
      <c r="AY167">
        <v>14700</v>
      </c>
      <c r="AZ167">
        <v>0</v>
      </c>
      <c r="BA167">
        <v>0</v>
      </c>
      <c r="BB167">
        <v>0</v>
      </c>
      <c r="BC167" t="s">
        <v>2706</v>
      </c>
      <c r="BD167" t="s">
        <v>4899</v>
      </c>
      <c r="BE167" t="s">
        <v>3</v>
      </c>
      <c r="BF167" t="s">
        <v>3</v>
      </c>
      <c r="BG167" t="s">
        <v>3</v>
      </c>
      <c r="BH167" t="s">
        <v>3</v>
      </c>
      <c r="BI167" t="s">
        <v>3</v>
      </c>
      <c r="BJ167" t="s">
        <v>4987</v>
      </c>
      <c r="BK167" t="s">
        <v>3</v>
      </c>
      <c r="BL167" t="s">
        <v>96</v>
      </c>
      <c r="BM167" t="s">
        <v>1</v>
      </c>
      <c r="BN167">
        <v>14800</v>
      </c>
      <c r="BO167" t="s">
        <v>1</v>
      </c>
      <c r="BP167" t="s">
        <v>1</v>
      </c>
      <c r="BQ167" t="s">
        <v>1</v>
      </c>
      <c r="BR167" t="s">
        <v>1</v>
      </c>
      <c r="BS167" t="s">
        <v>1</v>
      </c>
      <c r="BT167" t="s">
        <v>1</v>
      </c>
      <c r="BU167" t="s">
        <v>1</v>
      </c>
      <c r="BV167" t="s">
        <v>1</v>
      </c>
      <c r="BW167" t="s">
        <v>0</v>
      </c>
      <c r="BX167" t="s">
        <v>1</v>
      </c>
      <c r="BY167" t="s">
        <v>1</v>
      </c>
      <c r="BZ167" t="s">
        <v>1</v>
      </c>
      <c r="CA167" t="s">
        <v>1</v>
      </c>
      <c r="CB167" t="s">
        <v>1</v>
      </c>
      <c r="CD167" t="e" cm="1">
        <f t="array" aca="1" ref="CD167" ca="1">eConcatenar(A167:CB167,"|")</f>
        <v>#NAME?</v>
      </c>
    </row>
    <row r="168" spans="1:82" x14ac:dyDescent="0.25">
      <c r="A168" t="s">
        <v>263</v>
      </c>
      <c r="B168" t="s">
        <v>1272</v>
      </c>
      <c r="C168">
        <v>3</v>
      </c>
      <c r="D168" t="s">
        <v>3109</v>
      </c>
      <c r="E168" t="s">
        <v>2158</v>
      </c>
      <c r="F168" t="s">
        <v>0</v>
      </c>
      <c r="G168" t="s">
        <v>2267</v>
      </c>
      <c r="H168" t="s">
        <v>2788</v>
      </c>
      <c r="I168">
        <v>12900</v>
      </c>
      <c r="J168">
        <v>0</v>
      </c>
      <c r="K168">
        <v>200</v>
      </c>
      <c r="L168">
        <v>50</v>
      </c>
      <c r="M168">
        <v>1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 t="s">
        <v>3400</v>
      </c>
      <c r="AD168" t="s">
        <v>3401</v>
      </c>
      <c r="AE168" t="s">
        <v>4</v>
      </c>
      <c r="AF168" t="s">
        <v>1</v>
      </c>
      <c r="AG168" t="s">
        <v>1</v>
      </c>
      <c r="AH168" t="s">
        <v>4227</v>
      </c>
      <c r="AI168" t="s">
        <v>2267</v>
      </c>
      <c r="AJ168" t="s">
        <v>1</v>
      </c>
      <c r="AK168">
        <v>9371199718</v>
      </c>
      <c r="AL168" t="s">
        <v>1</v>
      </c>
      <c r="AM168" t="s">
        <v>1</v>
      </c>
      <c r="AN168" t="s">
        <v>1</v>
      </c>
      <c r="AO168" t="s">
        <v>4227</v>
      </c>
      <c r="AP168" t="s">
        <v>1</v>
      </c>
      <c r="AQ168" t="s">
        <v>2</v>
      </c>
      <c r="AR168" t="s">
        <v>1</v>
      </c>
      <c r="AS168" t="s">
        <v>1</v>
      </c>
      <c r="AT168" t="s">
        <v>1</v>
      </c>
      <c r="AU168" t="s">
        <v>1</v>
      </c>
      <c r="AV168" t="s">
        <v>1</v>
      </c>
      <c r="AW168" t="s">
        <v>9</v>
      </c>
      <c r="AX168">
        <f>Tabla1[[#This Row],[precio del paquete]]-Tabla1[[#This Row],[Saldo_Deudor]]</f>
        <v>1550</v>
      </c>
      <c r="AY168">
        <v>11350</v>
      </c>
      <c r="AZ168">
        <v>0</v>
      </c>
      <c r="BA168">
        <v>0</v>
      </c>
      <c r="BB168">
        <v>0</v>
      </c>
      <c r="BC168" t="s">
        <v>3089</v>
      </c>
      <c r="BD168" t="s">
        <v>2855</v>
      </c>
      <c r="BE168" t="s">
        <v>3</v>
      </c>
      <c r="BF168" t="s">
        <v>3</v>
      </c>
      <c r="BG168" t="s">
        <v>3</v>
      </c>
      <c r="BH168" t="s">
        <v>3</v>
      </c>
      <c r="BI168" t="s">
        <v>3</v>
      </c>
      <c r="BJ168" t="s">
        <v>5008</v>
      </c>
      <c r="BK168" t="s">
        <v>3</v>
      </c>
      <c r="BL168" t="s">
        <v>96</v>
      </c>
      <c r="BM168" t="s">
        <v>1</v>
      </c>
      <c r="BN168">
        <v>12900</v>
      </c>
      <c r="BO168" t="s">
        <v>1</v>
      </c>
      <c r="BP168" t="s">
        <v>1</v>
      </c>
      <c r="BQ168" t="s">
        <v>1</v>
      </c>
      <c r="BR168" t="s">
        <v>1</v>
      </c>
      <c r="BS168" t="s">
        <v>1</v>
      </c>
      <c r="BT168" t="s">
        <v>1</v>
      </c>
      <c r="BU168" t="s">
        <v>1</v>
      </c>
      <c r="BV168" t="s">
        <v>1</v>
      </c>
      <c r="BW168" t="s">
        <v>0</v>
      </c>
      <c r="BX168" t="s">
        <v>1</v>
      </c>
      <c r="BY168" t="s">
        <v>1</v>
      </c>
      <c r="BZ168" t="s">
        <v>1</v>
      </c>
      <c r="CA168" t="s">
        <v>1</v>
      </c>
      <c r="CB168" t="s">
        <v>1</v>
      </c>
      <c r="CD168" t="e" cm="1">
        <f t="array" aca="1" ref="CD168" ca="1">eConcatenar(A168:CB168,"|")</f>
        <v>#NAME?</v>
      </c>
    </row>
    <row r="169" spans="1:82" x14ac:dyDescent="0.25">
      <c r="A169" t="s">
        <v>264</v>
      </c>
      <c r="B169" t="s">
        <v>1273</v>
      </c>
      <c r="C169">
        <v>3</v>
      </c>
      <c r="D169" t="s">
        <v>2153</v>
      </c>
      <c r="E169" t="s">
        <v>2158</v>
      </c>
      <c r="F169" t="s">
        <v>2159</v>
      </c>
      <c r="G169" t="s">
        <v>2268</v>
      </c>
      <c r="H169" t="s">
        <v>2785</v>
      </c>
      <c r="I169">
        <v>14800</v>
      </c>
      <c r="J169">
        <v>0</v>
      </c>
      <c r="K169">
        <v>200</v>
      </c>
      <c r="L169">
        <v>50</v>
      </c>
      <c r="M169">
        <v>1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 t="s">
        <v>3260</v>
      </c>
      <c r="AC169" t="s">
        <v>3127</v>
      </c>
      <c r="AD169" t="s">
        <v>3402</v>
      </c>
      <c r="AE169" t="s">
        <v>4</v>
      </c>
      <c r="AF169" t="s">
        <v>1</v>
      </c>
      <c r="AG169" t="s">
        <v>1</v>
      </c>
      <c r="AH169" t="s">
        <v>4228</v>
      </c>
      <c r="AI169" t="s">
        <v>2268</v>
      </c>
      <c r="AJ169" t="s">
        <v>1</v>
      </c>
      <c r="AK169" t="s">
        <v>1</v>
      </c>
      <c r="AL169" t="s">
        <v>1</v>
      </c>
      <c r="AM169" t="s">
        <v>1</v>
      </c>
      <c r="AN169" t="s">
        <v>1</v>
      </c>
      <c r="AO169" t="s">
        <v>4228</v>
      </c>
      <c r="AP169" t="s">
        <v>1</v>
      </c>
      <c r="AQ169" t="s">
        <v>2</v>
      </c>
      <c r="AR169" t="s">
        <v>1</v>
      </c>
      <c r="AS169" t="s">
        <v>1</v>
      </c>
      <c r="AT169" t="s">
        <v>1</v>
      </c>
      <c r="AU169" t="s">
        <v>1</v>
      </c>
      <c r="AV169" t="s">
        <v>1</v>
      </c>
      <c r="AW169" t="s">
        <v>9</v>
      </c>
      <c r="AX169">
        <f>Tabla1[[#This Row],[precio del paquete]]-Tabla1[[#This Row],[Saldo_Deudor]]</f>
        <v>1600</v>
      </c>
      <c r="AY169">
        <v>13200</v>
      </c>
      <c r="AZ169">
        <v>0</v>
      </c>
      <c r="BA169">
        <v>0</v>
      </c>
      <c r="BB169">
        <v>0</v>
      </c>
      <c r="BC169" t="s">
        <v>3102</v>
      </c>
      <c r="BD169" t="s">
        <v>4897</v>
      </c>
      <c r="BE169" t="s">
        <v>3</v>
      </c>
      <c r="BF169" t="s">
        <v>3</v>
      </c>
      <c r="BG169" t="s">
        <v>3</v>
      </c>
      <c r="BH169" t="s">
        <v>3</v>
      </c>
      <c r="BI169" t="s">
        <v>3</v>
      </c>
      <c r="BJ169" t="s">
        <v>4985</v>
      </c>
      <c r="BK169" t="s">
        <v>3</v>
      </c>
      <c r="BL169" t="s">
        <v>96</v>
      </c>
      <c r="BM169" t="s">
        <v>1</v>
      </c>
      <c r="BN169">
        <v>14800</v>
      </c>
      <c r="BO169" t="s">
        <v>1</v>
      </c>
      <c r="BP169" t="s">
        <v>1</v>
      </c>
      <c r="BQ169" t="s">
        <v>1</v>
      </c>
      <c r="BR169" t="s">
        <v>1</v>
      </c>
      <c r="BS169" t="s">
        <v>1</v>
      </c>
      <c r="BT169" t="s">
        <v>1</v>
      </c>
      <c r="BU169" t="s">
        <v>1</v>
      </c>
      <c r="BV169" t="s">
        <v>1</v>
      </c>
      <c r="BW169" t="s">
        <v>0</v>
      </c>
      <c r="BX169" t="s">
        <v>1</v>
      </c>
      <c r="BY169" t="s">
        <v>1</v>
      </c>
      <c r="BZ169" t="s">
        <v>1</v>
      </c>
      <c r="CA169" t="s">
        <v>1</v>
      </c>
      <c r="CB169" t="s">
        <v>1</v>
      </c>
      <c r="CD169" t="e" cm="1">
        <f t="array" aca="1" ref="CD169" ca="1">eConcatenar(A169:CB169,"|")</f>
        <v>#NAME?</v>
      </c>
    </row>
    <row r="170" spans="1:82" x14ac:dyDescent="0.25">
      <c r="A170" t="s">
        <v>265</v>
      </c>
      <c r="B170" t="s">
        <v>1274</v>
      </c>
      <c r="C170">
        <v>3</v>
      </c>
      <c r="D170" t="s">
        <v>2153</v>
      </c>
      <c r="E170" t="s">
        <v>2158</v>
      </c>
      <c r="F170" t="s">
        <v>2159</v>
      </c>
      <c r="G170" t="s">
        <v>2269</v>
      </c>
      <c r="H170" t="s">
        <v>2806</v>
      </c>
      <c r="I170">
        <v>14800</v>
      </c>
      <c r="J170">
        <v>0</v>
      </c>
      <c r="K170">
        <v>100</v>
      </c>
      <c r="L170">
        <v>50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 t="s">
        <v>3114</v>
      </c>
      <c r="AC170" t="s">
        <v>3132</v>
      </c>
      <c r="AD170" t="s">
        <v>3403</v>
      </c>
      <c r="AE170" t="s">
        <v>4</v>
      </c>
      <c r="AF170" t="s">
        <v>1</v>
      </c>
      <c r="AG170" t="s">
        <v>1</v>
      </c>
      <c r="AH170" t="s">
        <v>4229</v>
      </c>
      <c r="AI170" t="s">
        <v>2269</v>
      </c>
      <c r="AJ170" t="s">
        <v>1</v>
      </c>
      <c r="AK170" t="s">
        <v>1</v>
      </c>
      <c r="AL170" t="s">
        <v>1</v>
      </c>
      <c r="AM170" t="s">
        <v>1</v>
      </c>
      <c r="AN170" t="s">
        <v>1</v>
      </c>
      <c r="AO170" t="s">
        <v>4229</v>
      </c>
      <c r="AP170" t="s">
        <v>1</v>
      </c>
      <c r="AQ170" t="s">
        <v>2</v>
      </c>
      <c r="AR170" t="s">
        <v>1</v>
      </c>
      <c r="AS170" t="s">
        <v>1</v>
      </c>
      <c r="AT170" t="s">
        <v>1</v>
      </c>
      <c r="AU170" t="s">
        <v>1</v>
      </c>
      <c r="AV170" t="s">
        <v>1</v>
      </c>
      <c r="AW170" t="s">
        <v>9</v>
      </c>
      <c r="AX170">
        <f>Tabla1[[#This Row],[precio del paquete]]-Tabla1[[#This Row],[Saldo_Deudor]]</f>
        <v>6850</v>
      </c>
      <c r="AY170">
        <v>7950</v>
      </c>
      <c r="AZ170">
        <v>0</v>
      </c>
      <c r="BA170">
        <v>0</v>
      </c>
      <c r="BB170">
        <v>0</v>
      </c>
      <c r="BC170" t="s">
        <v>3024</v>
      </c>
      <c r="BD170" t="s">
        <v>4830</v>
      </c>
      <c r="BE170" t="s">
        <v>3</v>
      </c>
      <c r="BF170" t="s">
        <v>3</v>
      </c>
      <c r="BG170" t="s">
        <v>3</v>
      </c>
      <c r="BH170" t="s">
        <v>3</v>
      </c>
      <c r="BI170" t="s">
        <v>3</v>
      </c>
      <c r="BJ170" t="s">
        <v>5007</v>
      </c>
      <c r="BK170" t="s">
        <v>3</v>
      </c>
      <c r="BL170" t="s">
        <v>96</v>
      </c>
      <c r="BM170" t="s">
        <v>1</v>
      </c>
      <c r="BN170">
        <v>14800</v>
      </c>
      <c r="BO170" t="s">
        <v>1</v>
      </c>
      <c r="BP170" t="s">
        <v>1</v>
      </c>
      <c r="BQ170" t="s">
        <v>1</v>
      </c>
      <c r="BR170" t="s">
        <v>1</v>
      </c>
      <c r="BS170" t="s">
        <v>1</v>
      </c>
      <c r="BT170" t="s">
        <v>1</v>
      </c>
      <c r="BU170" t="s">
        <v>1</v>
      </c>
      <c r="BV170" t="s">
        <v>1</v>
      </c>
      <c r="BW170" t="s">
        <v>0</v>
      </c>
      <c r="BX170" t="s">
        <v>1</v>
      </c>
      <c r="BY170" t="s">
        <v>1</v>
      </c>
      <c r="BZ170" t="s">
        <v>1</v>
      </c>
      <c r="CA170" t="s">
        <v>1</v>
      </c>
      <c r="CB170" t="s">
        <v>1</v>
      </c>
      <c r="CD170" t="e" cm="1">
        <f t="array" aca="1" ref="CD170" ca="1">eConcatenar(A170:CB170,"|")</f>
        <v>#NAME?</v>
      </c>
    </row>
    <row r="171" spans="1:82" x14ac:dyDescent="0.25">
      <c r="A171" t="s">
        <v>266</v>
      </c>
      <c r="B171" t="s">
        <v>1275</v>
      </c>
      <c r="C171">
        <v>3</v>
      </c>
      <c r="D171" t="s">
        <v>2154</v>
      </c>
      <c r="E171" t="s">
        <v>2158</v>
      </c>
      <c r="F171" t="s">
        <v>2159</v>
      </c>
      <c r="G171" t="s">
        <v>2269</v>
      </c>
      <c r="H171" t="s">
        <v>2807</v>
      </c>
      <c r="I171">
        <v>24500</v>
      </c>
      <c r="J171">
        <v>0</v>
      </c>
      <c r="K171">
        <v>200</v>
      </c>
      <c r="L171">
        <v>50</v>
      </c>
      <c r="M171">
        <v>1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 t="s">
        <v>3304</v>
      </c>
      <c r="AC171" t="s">
        <v>3177</v>
      </c>
      <c r="AD171" t="s">
        <v>3289</v>
      </c>
      <c r="AE171" t="s">
        <v>4</v>
      </c>
      <c r="AF171" t="s">
        <v>1</v>
      </c>
      <c r="AG171" t="s">
        <v>1</v>
      </c>
      <c r="AH171" t="s">
        <v>4230</v>
      </c>
      <c r="AI171" t="s">
        <v>2269</v>
      </c>
      <c r="AJ171" t="s">
        <v>1</v>
      </c>
      <c r="AK171">
        <v>3340922</v>
      </c>
      <c r="AL171" t="s">
        <v>1</v>
      </c>
      <c r="AM171" t="s">
        <v>1</v>
      </c>
      <c r="AN171" t="s">
        <v>1</v>
      </c>
      <c r="AO171" t="s">
        <v>4230</v>
      </c>
      <c r="AP171" t="s">
        <v>1</v>
      </c>
      <c r="AQ171" t="s">
        <v>2</v>
      </c>
      <c r="AR171" t="s">
        <v>1</v>
      </c>
      <c r="AS171" t="s">
        <v>1</v>
      </c>
      <c r="AT171" t="s">
        <v>1</v>
      </c>
      <c r="AU171" t="s">
        <v>1</v>
      </c>
      <c r="AV171" t="s">
        <v>1</v>
      </c>
      <c r="AW171" t="s">
        <v>9</v>
      </c>
      <c r="AX171">
        <f>Tabla1[[#This Row],[precio del paquete]]-Tabla1[[#This Row],[Saldo_Deudor]]</f>
        <v>1800</v>
      </c>
      <c r="AY171">
        <v>22700</v>
      </c>
      <c r="AZ171">
        <v>0</v>
      </c>
      <c r="BA171">
        <v>0</v>
      </c>
      <c r="BB171">
        <v>0</v>
      </c>
      <c r="BC171" t="s">
        <v>4830</v>
      </c>
      <c r="BD171" t="s">
        <v>4906</v>
      </c>
      <c r="BE171" t="s">
        <v>3</v>
      </c>
      <c r="BF171" t="s">
        <v>3</v>
      </c>
      <c r="BG171" t="s">
        <v>3</v>
      </c>
      <c r="BH171" t="s">
        <v>3</v>
      </c>
      <c r="BI171" t="s">
        <v>3</v>
      </c>
      <c r="BJ171" t="s">
        <v>5009</v>
      </c>
      <c r="BK171" t="s">
        <v>3</v>
      </c>
      <c r="BL171" t="s">
        <v>96</v>
      </c>
      <c r="BM171" t="s">
        <v>1</v>
      </c>
      <c r="BN171">
        <v>24500</v>
      </c>
      <c r="BO171" t="s">
        <v>1</v>
      </c>
      <c r="BP171" t="s">
        <v>1</v>
      </c>
      <c r="BQ171" t="s">
        <v>1</v>
      </c>
      <c r="BR171" t="s">
        <v>1</v>
      </c>
      <c r="BS171" t="s">
        <v>1</v>
      </c>
      <c r="BT171" t="s">
        <v>1</v>
      </c>
      <c r="BU171" t="s">
        <v>1</v>
      </c>
      <c r="BV171" t="s">
        <v>1</v>
      </c>
      <c r="BW171" t="s">
        <v>0</v>
      </c>
      <c r="BX171" t="s">
        <v>1</v>
      </c>
      <c r="BY171" t="s">
        <v>1</v>
      </c>
      <c r="BZ171" t="s">
        <v>1</v>
      </c>
      <c r="CA171" t="s">
        <v>1</v>
      </c>
      <c r="CB171" t="s">
        <v>1</v>
      </c>
      <c r="CD171" t="e" cm="1">
        <f t="array" aca="1" ref="CD171" ca="1">eConcatenar(A171:CB171,"|")</f>
        <v>#NAME?</v>
      </c>
    </row>
    <row r="172" spans="1:82" x14ac:dyDescent="0.25">
      <c r="A172" t="s">
        <v>267</v>
      </c>
      <c r="B172" t="s">
        <v>1276</v>
      </c>
      <c r="C172">
        <v>3</v>
      </c>
      <c r="D172" t="s">
        <v>2153</v>
      </c>
      <c r="E172" t="s">
        <v>2158</v>
      </c>
      <c r="F172" t="s">
        <v>2159</v>
      </c>
      <c r="G172" t="s">
        <v>2269</v>
      </c>
      <c r="H172" t="s">
        <v>2808</v>
      </c>
      <c r="I172">
        <v>14800</v>
      </c>
      <c r="J172">
        <v>0</v>
      </c>
      <c r="K172">
        <v>400</v>
      </c>
      <c r="L172">
        <v>50</v>
      </c>
      <c r="M172">
        <v>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 t="s">
        <v>3177</v>
      </c>
      <c r="AC172" t="s">
        <v>3404</v>
      </c>
      <c r="AD172" t="s">
        <v>3405</v>
      </c>
      <c r="AE172" t="s">
        <v>4</v>
      </c>
      <c r="AF172" t="s">
        <v>1</v>
      </c>
      <c r="AG172" t="s">
        <v>1</v>
      </c>
      <c r="AH172" t="s">
        <v>4231</v>
      </c>
      <c r="AI172" t="s">
        <v>2269</v>
      </c>
      <c r="AJ172" t="s">
        <v>1</v>
      </c>
      <c r="AK172">
        <v>9331812498</v>
      </c>
      <c r="AL172" t="s">
        <v>1</v>
      </c>
      <c r="AM172" t="s">
        <v>1</v>
      </c>
      <c r="AN172" t="s">
        <v>1</v>
      </c>
      <c r="AO172" t="s">
        <v>4231</v>
      </c>
      <c r="AP172" t="s">
        <v>1</v>
      </c>
      <c r="AQ172" t="s">
        <v>2</v>
      </c>
      <c r="AR172" t="s">
        <v>1</v>
      </c>
      <c r="AS172" t="s">
        <v>1</v>
      </c>
      <c r="AT172" t="s">
        <v>1</v>
      </c>
      <c r="AU172" t="s">
        <v>1</v>
      </c>
      <c r="AV172" t="s">
        <v>1</v>
      </c>
      <c r="AW172" t="s">
        <v>9</v>
      </c>
      <c r="AX172">
        <f>Tabla1[[#This Row],[precio del paquete]]-Tabla1[[#This Row],[Saldo_Deudor]]</f>
        <v>4000</v>
      </c>
      <c r="AY172">
        <v>10800</v>
      </c>
      <c r="AZ172">
        <v>0</v>
      </c>
      <c r="BA172">
        <v>0</v>
      </c>
      <c r="BB172">
        <v>0</v>
      </c>
      <c r="BC172" t="s">
        <v>4830</v>
      </c>
      <c r="BD172" t="s">
        <v>4906</v>
      </c>
      <c r="BE172" t="s">
        <v>3</v>
      </c>
      <c r="BF172" t="s">
        <v>3</v>
      </c>
      <c r="BG172" t="s">
        <v>3</v>
      </c>
      <c r="BH172" t="s">
        <v>3</v>
      </c>
      <c r="BI172" t="s">
        <v>3</v>
      </c>
      <c r="BJ172" t="s">
        <v>5009</v>
      </c>
      <c r="BK172" t="s">
        <v>3</v>
      </c>
      <c r="BL172" t="s">
        <v>96</v>
      </c>
      <c r="BM172" t="s">
        <v>1</v>
      </c>
      <c r="BN172">
        <v>14800</v>
      </c>
      <c r="BO172" t="s">
        <v>1</v>
      </c>
      <c r="BP172" t="s">
        <v>1</v>
      </c>
      <c r="BQ172" t="s">
        <v>1</v>
      </c>
      <c r="BR172" t="s">
        <v>1</v>
      </c>
      <c r="BS172" t="s">
        <v>1</v>
      </c>
      <c r="BT172" t="s">
        <v>1</v>
      </c>
      <c r="BU172" t="s">
        <v>1</v>
      </c>
      <c r="BV172" t="s">
        <v>1</v>
      </c>
      <c r="BW172" t="s">
        <v>0</v>
      </c>
      <c r="BX172" t="s">
        <v>1</v>
      </c>
      <c r="BY172" t="s">
        <v>1</v>
      </c>
      <c r="BZ172" t="s">
        <v>1</v>
      </c>
      <c r="CA172" t="s">
        <v>1</v>
      </c>
      <c r="CB172" t="s">
        <v>1</v>
      </c>
      <c r="CD172" t="e" cm="1">
        <f t="array" aca="1" ref="CD172" ca="1">eConcatenar(A172:CB172,"|")</f>
        <v>#NAME?</v>
      </c>
    </row>
    <row r="173" spans="1:82" x14ac:dyDescent="0.25">
      <c r="A173" t="s">
        <v>268</v>
      </c>
      <c r="B173" t="s">
        <v>1277</v>
      </c>
      <c r="C173">
        <v>3</v>
      </c>
      <c r="D173" t="s">
        <v>2154</v>
      </c>
      <c r="E173" t="s">
        <v>2158</v>
      </c>
      <c r="F173" t="s">
        <v>0</v>
      </c>
      <c r="G173" t="s">
        <v>2270</v>
      </c>
      <c r="H173" t="s">
        <v>2809</v>
      </c>
      <c r="I173">
        <v>24500</v>
      </c>
      <c r="J173">
        <v>0</v>
      </c>
      <c r="K173">
        <v>5000</v>
      </c>
      <c r="L173">
        <v>50</v>
      </c>
      <c r="M173">
        <v>1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 t="s">
        <v>3117</v>
      </c>
      <c r="AC173" t="s">
        <v>3310</v>
      </c>
      <c r="AD173" t="s">
        <v>3406</v>
      </c>
      <c r="AE173" t="s">
        <v>4</v>
      </c>
      <c r="AF173" t="s">
        <v>1</v>
      </c>
      <c r="AG173" t="s">
        <v>1</v>
      </c>
      <c r="AH173" t="s">
        <v>4232</v>
      </c>
      <c r="AI173" t="s">
        <v>2270</v>
      </c>
      <c r="AJ173" t="s">
        <v>1</v>
      </c>
      <c r="AK173">
        <v>9371223199</v>
      </c>
      <c r="AL173" t="s">
        <v>1</v>
      </c>
      <c r="AM173" t="s">
        <v>1</v>
      </c>
      <c r="AN173" t="s">
        <v>1</v>
      </c>
      <c r="AO173" t="s">
        <v>4232</v>
      </c>
      <c r="AP173" t="s">
        <v>1</v>
      </c>
      <c r="AQ173" t="s">
        <v>2</v>
      </c>
      <c r="AR173" t="s">
        <v>1</v>
      </c>
      <c r="AS173" t="s">
        <v>1</v>
      </c>
      <c r="AT173" t="s">
        <v>1</v>
      </c>
      <c r="AU173" t="s">
        <v>1</v>
      </c>
      <c r="AV173" t="s">
        <v>1</v>
      </c>
      <c r="AW173" t="s">
        <v>9</v>
      </c>
      <c r="AX173">
        <f>Tabla1[[#This Row],[precio del paquete]]-Tabla1[[#This Row],[Saldo_Deudor]]</f>
        <v>6100</v>
      </c>
      <c r="AY173">
        <v>18400</v>
      </c>
      <c r="AZ173">
        <v>0</v>
      </c>
      <c r="BA173">
        <v>0</v>
      </c>
      <c r="BB173">
        <v>0</v>
      </c>
      <c r="BC173" t="s">
        <v>2865</v>
      </c>
      <c r="BD173" t="s">
        <v>4903</v>
      </c>
      <c r="BE173" t="s">
        <v>3</v>
      </c>
      <c r="BF173" t="s">
        <v>3</v>
      </c>
      <c r="BG173" t="s">
        <v>3</v>
      </c>
      <c r="BH173" t="s">
        <v>3</v>
      </c>
      <c r="BI173" t="s">
        <v>3</v>
      </c>
      <c r="BJ173" t="s">
        <v>5009</v>
      </c>
      <c r="BK173" t="s">
        <v>3</v>
      </c>
      <c r="BL173" t="s">
        <v>96</v>
      </c>
      <c r="BM173" t="s">
        <v>1</v>
      </c>
      <c r="BN173">
        <v>24500</v>
      </c>
      <c r="BO173" t="s">
        <v>1</v>
      </c>
      <c r="BP173" t="s">
        <v>1</v>
      </c>
      <c r="BQ173" t="s">
        <v>1</v>
      </c>
      <c r="BR173" t="s">
        <v>1</v>
      </c>
      <c r="BS173" t="s">
        <v>1</v>
      </c>
      <c r="BT173" t="s">
        <v>1</v>
      </c>
      <c r="BU173" t="s">
        <v>1</v>
      </c>
      <c r="BV173" t="s">
        <v>1</v>
      </c>
      <c r="BW173" t="s">
        <v>0</v>
      </c>
      <c r="BX173" t="s">
        <v>1</v>
      </c>
      <c r="BY173" t="s">
        <v>1</v>
      </c>
      <c r="BZ173" t="s">
        <v>1</v>
      </c>
      <c r="CA173" t="s">
        <v>1</v>
      </c>
      <c r="CB173" t="s">
        <v>1</v>
      </c>
      <c r="CD173" t="e" cm="1">
        <f t="array" aca="1" ref="CD173" ca="1">eConcatenar(A173:CB173,"|")</f>
        <v>#NAME?</v>
      </c>
    </row>
    <row r="174" spans="1:82" x14ac:dyDescent="0.25">
      <c r="A174" t="s">
        <v>269</v>
      </c>
      <c r="B174" t="s">
        <v>1278</v>
      </c>
      <c r="C174">
        <v>3</v>
      </c>
      <c r="D174" t="s">
        <v>3107</v>
      </c>
      <c r="E174" t="s">
        <v>2158</v>
      </c>
      <c r="F174" t="s">
        <v>0</v>
      </c>
      <c r="G174" t="s">
        <v>2271</v>
      </c>
      <c r="H174" t="s">
        <v>2810</v>
      </c>
      <c r="I174">
        <v>35000</v>
      </c>
      <c r="J174">
        <v>0</v>
      </c>
      <c r="K174">
        <v>1000</v>
      </c>
      <c r="L174">
        <v>50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 t="s">
        <v>3407</v>
      </c>
      <c r="AC174" t="s">
        <v>3137</v>
      </c>
      <c r="AD174" t="s">
        <v>3130</v>
      </c>
      <c r="AE174" t="s">
        <v>4</v>
      </c>
      <c r="AF174" t="s">
        <v>1</v>
      </c>
      <c r="AG174" t="s">
        <v>1</v>
      </c>
      <c r="AH174" t="s">
        <v>4233</v>
      </c>
      <c r="AI174" t="s">
        <v>2271</v>
      </c>
      <c r="AJ174" t="s">
        <v>1</v>
      </c>
      <c r="AK174">
        <v>9371038806</v>
      </c>
      <c r="AL174" t="s">
        <v>1</v>
      </c>
      <c r="AM174" t="s">
        <v>1</v>
      </c>
      <c r="AN174" t="s">
        <v>1</v>
      </c>
      <c r="AO174" t="s">
        <v>4233</v>
      </c>
      <c r="AP174" t="s">
        <v>1</v>
      </c>
      <c r="AQ174" t="s">
        <v>2</v>
      </c>
      <c r="AR174" t="s">
        <v>1</v>
      </c>
      <c r="AS174" t="s">
        <v>1</v>
      </c>
      <c r="AT174" t="s">
        <v>1</v>
      </c>
      <c r="AU174" t="s">
        <v>1</v>
      </c>
      <c r="AV174" t="s">
        <v>1</v>
      </c>
      <c r="AW174" t="s">
        <v>9</v>
      </c>
      <c r="AX174">
        <f>Tabla1[[#This Row],[precio del paquete]]-Tabla1[[#This Row],[Saldo_Deudor]]</f>
        <v>1500</v>
      </c>
      <c r="AY174">
        <v>33500</v>
      </c>
      <c r="AZ174">
        <v>0</v>
      </c>
      <c r="BA174">
        <v>0</v>
      </c>
      <c r="BB174">
        <v>0</v>
      </c>
      <c r="BC174" t="s">
        <v>2770</v>
      </c>
      <c r="BD174" t="s">
        <v>3061</v>
      </c>
      <c r="BE174" t="s">
        <v>3</v>
      </c>
      <c r="BF174" t="s">
        <v>3</v>
      </c>
      <c r="BG174" t="s">
        <v>3</v>
      </c>
      <c r="BH174" t="s">
        <v>3</v>
      </c>
      <c r="BI174" t="s">
        <v>3</v>
      </c>
      <c r="BJ174" t="s">
        <v>4994</v>
      </c>
      <c r="BK174" t="s">
        <v>3</v>
      </c>
      <c r="BL174" t="s">
        <v>96</v>
      </c>
      <c r="BM174" t="s">
        <v>1</v>
      </c>
      <c r="BN174">
        <v>35000</v>
      </c>
      <c r="BO174" t="s">
        <v>1</v>
      </c>
      <c r="BP174" t="s">
        <v>1</v>
      </c>
      <c r="BQ174" t="s">
        <v>1</v>
      </c>
      <c r="BR174" t="s">
        <v>1</v>
      </c>
      <c r="BS174" t="s">
        <v>1</v>
      </c>
      <c r="BT174" t="s">
        <v>1</v>
      </c>
      <c r="BU174" t="s">
        <v>1</v>
      </c>
      <c r="BV174" t="s">
        <v>1</v>
      </c>
      <c r="BW174" t="s">
        <v>0</v>
      </c>
      <c r="BX174" t="s">
        <v>1</v>
      </c>
      <c r="BY174" t="s">
        <v>1</v>
      </c>
      <c r="BZ174" t="s">
        <v>1</v>
      </c>
      <c r="CA174" t="s">
        <v>1</v>
      </c>
      <c r="CB174" t="s">
        <v>1</v>
      </c>
      <c r="CD174" t="e" cm="1">
        <f t="array" aca="1" ref="CD174" ca="1">eConcatenar(A174:CB174,"|")</f>
        <v>#NAME?</v>
      </c>
    </row>
    <row r="175" spans="1:82" x14ac:dyDescent="0.25">
      <c r="A175" t="s">
        <v>270</v>
      </c>
      <c r="B175" t="s">
        <v>1279</v>
      </c>
      <c r="C175">
        <v>3</v>
      </c>
      <c r="D175" t="s">
        <v>2157</v>
      </c>
      <c r="E175" t="s">
        <v>2158</v>
      </c>
      <c r="F175" t="s">
        <v>0</v>
      </c>
      <c r="G175" t="s">
        <v>2271</v>
      </c>
      <c r="H175" t="s">
        <v>2706</v>
      </c>
      <c r="I175">
        <v>12900</v>
      </c>
      <c r="J175">
        <v>0</v>
      </c>
      <c r="K175">
        <v>100</v>
      </c>
      <c r="L175">
        <v>50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 t="s">
        <v>3137</v>
      </c>
      <c r="AC175" t="s">
        <v>3132</v>
      </c>
      <c r="AD175" t="s">
        <v>3408</v>
      </c>
      <c r="AE175" t="s">
        <v>4</v>
      </c>
      <c r="AF175" t="s">
        <v>1</v>
      </c>
      <c r="AG175" t="s">
        <v>1</v>
      </c>
      <c r="AH175" t="s">
        <v>2271</v>
      </c>
      <c r="AI175" t="s">
        <v>2271</v>
      </c>
      <c r="AJ175" t="s">
        <v>1</v>
      </c>
      <c r="AK175">
        <v>9371463650</v>
      </c>
      <c r="AL175" t="s">
        <v>1</v>
      </c>
      <c r="AM175" t="s">
        <v>1</v>
      </c>
      <c r="AN175" t="s">
        <v>1</v>
      </c>
      <c r="AO175" t="s">
        <v>2271</v>
      </c>
      <c r="AP175" t="s">
        <v>1</v>
      </c>
      <c r="AQ175" t="s">
        <v>2</v>
      </c>
      <c r="AR175" t="s">
        <v>1</v>
      </c>
      <c r="AS175" t="s">
        <v>1</v>
      </c>
      <c r="AT175" t="s">
        <v>1</v>
      </c>
      <c r="AU175" t="s">
        <v>1</v>
      </c>
      <c r="AV175" t="s">
        <v>1</v>
      </c>
      <c r="AW175" t="s">
        <v>9</v>
      </c>
      <c r="AX175">
        <f>Tabla1[[#This Row],[precio del paquete]]-Tabla1[[#This Row],[Saldo_Deudor]]</f>
        <v>9000</v>
      </c>
      <c r="AY175">
        <v>3900</v>
      </c>
      <c r="AZ175">
        <v>0</v>
      </c>
      <c r="BA175">
        <v>0</v>
      </c>
      <c r="BB175">
        <v>0</v>
      </c>
      <c r="BC175" t="s">
        <v>2925</v>
      </c>
      <c r="BD175" t="s">
        <v>3078</v>
      </c>
      <c r="BE175" t="s">
        <v>3</v>
      </c>
      <c r="BF175" t="s">
        <v>3</v>
      </c>
      <c r="BG175" t="s">
        <v>3</v>
      </c>
      <c r="BH175" t="s">
        <v>3</v>
      </c>
      <c r="BI175" t="s">
        <v>3</v>
      </c>
      <c r="BJ175" t="s">
        <v>4994</v>
      </c>
      <c r="BK175" t="s">
        <v>3</v>
      </c>
      <c r="BL175" t="s">
        <v>96</v>
      </c>
      <c r="BM175" t="s">
        <v>1</v>
      </c>
      <c r="BN175">
        <v>12900</v>
      </c>
      <c r="BO175" t="s">
        <v>1</v>
      </c>
      <c r="BP175" t="s">
        <v>1</v>
      </c>
      <c r="BQ175" t="s">
        <v>1</v>
      </c>
      <c r="BR175" t="s">
        <v>1</v>
      </c>
      <c r="BS175" t="s">
        <v>1</v>
      </c>
      <c r="BT175" t="s">
        <v>1</v>
      </c>
      <c r="BU175" t="s">
        <v>1</v>
      </c>
      <c r="BV175" t="s">
        <v>1</v>
      </c>
      <c r="BW175" t="s">
        <v>0</v>
      </c>
      <c r="BX175" t="s">
        <v>1</v>
      </c>
      <c r="BY175" t="s">
        <v>1</v>
      </c>
      <c r="BZ175" t="s">
        <v>1</v>
      </c>
      <c r="CA175" t="s">
        <v>1</v>
      </c>
      <c r="CB175" t="s">
        <v>1</v>
      </c>
      <c r="CD175" t="e" cm="1">
        <f t="array" aca="1" ref="CD175" ca="1">eConcatenar(A175:CB175,"|")</f>
        <v>#NAME?</v>
      </c>
    </row>
    <row r="176" spans="1:82" x14ac:dyDescent="0.25">
      <c r="A176" t="s">
        <v>271</v>
      </c>
      <c r="B176" t="s">
        <v>1280</v>
      </c>
      <c r="C176">
        <v>3</v>
      </c>
      <c r="D176" t="s">
        <v>2153</v>
      </c>
      <c r="E176" t="s">
        <v>2158</v>
      </c>
      <c r="F176" t="s">
        <v>0</v>
      </c>
      <c r="G176" t="s">
        <v>2272</v>
      </c>
      <c r="H176" t="s">
        <v>2811</v>
      </c>
      <c r="I176">
        <v>14800</v>
      </c>
      <c r="J176">
        <v>0</v>
      </c>
      <c r="K176">
        <v>200</v>
      </c>
      <c r="L176">
        <v>50</v>
      </c>
      <c r="M176">
        <v>1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 t="s">
        <v>3409</v>
      </c>
      <c r="AC176" t="s">
        <v>3137</v>
      </c>
      <c r="AD176" t="s">
        <v>3410</v>
      </c>
      <c r="AE176" t="s">
        <v>4</v>
      </c>
      <c r="AF176" t="s">
        <v>1</v>
      </c>
      <c r="AG176" t="s">
        <v>1</v>
      </c>
      <c r="AH176" t="s">
        <v>4234</v>
      </c>
      <c r="AI176" t="s">
        <v>2272</v>
      </c>
      <c r="AJ176" t="s">
        <v>1</v>
      </c>
      <c r="AK176">
        <v>9373772000</v>
      </c>
      <c r="AL176" t="s">
        <v>1</v>
      </c>
      <c r="AM176" t="s">
        <v>1</v>
      </c>
      <c r="AN176" t="s">
        <v>1</v>
      </c>
      <c r="AO176" t="s">
        <v>4234</v>
      </c>
      <c r="AP176" t="s">
        <v>1</v>
      </c>
      <c r="AQ176" t="s">
        <v>2</v>
      </c>
      <c r="AR176" t="s">
        <v>1</v>
      </c>
      <c r="AS176" t="s">
        <v>1</v>
      </c>
      <c r="AT176" t="s">
        <v>1</v>
      </c>
      <c r="AU176" t="s">
        <v>1</v>
      </c>
      <c r="AV176" t="s">
        <v>1</v>
      </c>
      <c r="AW176" t="s">
        <v>9</v>
      </c>
      <c r="AX176">
        <f>Tabla1[[#This Row],[precio del paquete]]-Tabla1[[#This Row],[Saldo_Deudor]]</f>
        <v>5700</v>
      </c>
      <c r="AY176">
        <v>9100</v>
      </c>
      <c r="AZ176">
        <v>0</v>
      </c>
      <c r="BA176">
        <v>0</v>
      </c>
      <c r="BB176">
        <v>0</v>
      </c>
      <c r="BC176" t="s">
        <v>3072</v>
      </c>
      <c r="BD176" t="s">
        <v>4875</v>
      </c>
      <c r="BE176" t="s">
        <v>3</v>
      </c>
      <c r="BF176" t="s">
        <v>3</v>
      </c>
      <c r="BG176" t="s">
        <v>3</v>
      </c>
      <c r="BH176" t="s">
        <v>3</v>
      </c>
      <c r="BI176" t="s">
        <v>3</v>
      </c>
      <c r="BJ176" t="s">
        <v>4999</v>
      </c>
      <c r="BK176" t="s">
        <v>3</v>
      </c>
      <c r="BL176" t="s">
        <v>96</v>
      </c>
      <c r="BM176" t="s">
        <v>1</v>
      </c>
      <c r="BN176">
        <v>14800</v>
      </c>
      <c r="BO176" t="s">
        <v>1</v>
      </c>
      <c r="BP176" t="s">
        <v>1</v>
      </c>
      <c r="BQ176" t="s">
        <v>1</v>
      </c>
      <c r="BR176" t="s">
        <v>1</v>
      </c>
      <c r="BS176" t="s">
        <v>1</v>
      </c>
      <c r="BT176" t="s">
        <v>1</v>
      </c>
      <c r="BU176" t="s">
        <v>1</v>
      </c>
      <c r="BV176" t="s">
        <v>1</v>
      </c>
      <c r="BW176" t="s">
        <v>0</v>
      </c>
      <c r="BX176" t="s">
        <v>1</v>
      </c>
      <c r="BY176" t="s">
        <v>1</v>
      </c>
      <c r="BZ176" t="s">
        <v>1</v>
      </c>
      <c r="CA176" t="s">
        <v>1</v>
      </c>
      <c r="CB176" t="s">
        <v>1</v>
      </c>
      <c r="CD176" t="e" cm="1">
        <f t="array" aca="1" ref="CD176" ca="1">eConcatenar(A176:CB176,"|")</f>
        <v>#NAME?</v>
      </c>
    </row>
    <row r="177" spans="1:82" x14ac:dyDescent="0.25">
      <c r="A177" t="s">
        <v>272</v>
      </c>
      <c r="B177" t="s">
        <v>1281</v>
      </c>
      <c r="C177">
        <v>3</v>
      </c>
      <c r="D177" t="s">
        <v>2157</v>
      </c>
      <c r="E177" t="s">
        <v>2158</v>
      </c>
      <c r="F177" t="s">
        <v>0</v>
      </c>
      <c r="G177" t="s">
        <v>2273</v>
      </c>
      <c r="H177" t="s">
        <v>2812</v>
      </c>
      <c r="I177">
        <v>14800</v>
      </c>
      <c r="J177">
        <v>0</v>
      </c>
      <c r="K177">
        <v>100</v>
      </c>
      <c r="L177">
        <v>50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 t="s">
        <v>3137</v>
      </c>
      <c r="AC177" t="s">
        <v>3117</v>
      </c>
      <c r="AD177" t="s">
        <v>3411</v>
      </c>
      <c r="AE177" t="s">
        <v>4</v>
      </c>
      <c r="AF177" t="s">
        <v>1</v>
      </c>
      <c r="AG177" t="s">
        <v>1</v>
      </c>
      <c r="AH177" t="s">
        <v>4235</v>
      </c>
      <c r="AI177" t="s">
        <v>2273</v>
      </c>
      <c r="AJ177" t="s">
        <v>1</v>
      </c>
      <c r="AK177" t="s">
        <v>1</v>
      </c>
      <c r="AL177" t="s">
        <v>1</v>
      </c>
      <c r="AM177" t="s">
        <v>1</v>
      </c>
      <c r="AN177" t="s">
        <v>1</v>
      </c>
      <c r="AO177" t="s">
        <v>4235</v>
      </c>
      <c r="AP177" t="s">
        <v>1</v>
      </c>
      <c r="AQ177" t="s">
        <v>2</v>
      </c>
      <c r="AR177" t="s">
        <v>1</v>
      </c>
      <c r="AS177" t="s">
        <v>1</v>
      </c>
      <c r="AT177" t="s">
        <v>1</v>
      </c>
      <c r="AU177" t="s">
        <v>1</v>
      </c>
      <c r="AV177" t="s">
        <v>1</v>
      </c>
      <c r="AW177" t="s">
        <v>9</v>
      </c>
      <c r="AX177">
        <f>Tabla1[[#This Row],[precio del paquete]]-Tabla1[[#This Row],[Saldo_Deudor]]</f>
        <v>7600</v>
      </c>
      <c r="AY177">
        <v>7200</v>
      </c>
      <c r="AZ177">
        <v>0</v>
      </c>
      <c r="BA177">
        <v>0</v>
      </c>
      <c r="BB177">
        <v>0</v>
      </c>
      <c r="BC177" t="s">
        <v>4826</v>
      </c>
      <c r="BD177" t="s">
        <v>2706</v>
      </c>
      <c r="BE177" t="s">
        <v>3</v>
      </c>
      <c r="BF177" t="s">
        <v>3</v>
      </c>
      <c r="BG177" t="s">
        <v>3</v>
      </c>
      <c r="BH177" t="s">
        <v>3</v>
      </c>
      <c r="BI177" t="s">
        <v>3</v>
      </c>
      <c r="BJ177" t="s">
        <v>4983</v>
      </c>
      <c r="BK177" t="s">
        <v>3</v>
      </c>
      <c r="BL177" t="s">
        <v>96</v>
      </c>
      <c r="BM177" t="s">
        <v>1</v>
      </c>
      <c r="BN177">
        <v>14800</v>
      </c>
      <c r="BO177" t="s">
        <v>1</v>
      </c>
      <c r="BP177" t="s">
        <v>1</v>
      </c>
      <c r="BQ177" t="s">
        <v>1</v>
      </c>
      <c r="BR177" t="s">
        <v>1</v>
      </c>
      <c r="BS177" t="s">
        <v>1</v>
      </c>
      <c r="BT177" t="s">
        <v>1</v>
      </c>
      <c r="BU177" t="s">
        <v>1</v>
      </c>
      <c r="BV177" t="s">
        <v>1</v>
      </c>
      <c r="BW177" t="s">
        <v>0</v>
      </c>
      <c r="BX177" t="s">
        <v>1</v>
      </c>
      <c r="BY177" t="s">
        <v>1</v>
      </c>
      <c r="BZ177" t="s">
        <v>1</v>
      </c>
      <c r="CA177" t="s">
        <v>1</v>
      </c>
      <c r="CB177" t="s">
        <v>1</v>
      </c>
      <c r="CD177" t="e" cm="1">
        <f t="array" aca="1" ref="CD177" ca="1">eConcatenar(A177:CB177,"|")</f>
        <v>#NAME?</v>
      </c>
    </row>
    <row r="178" spans="1:82" x14ac:dyDescent="0.25">
      <c r="A178" t="s">
        <v>273</v>
      </c>
      <c r="B178" t="s">
        <v>1282</v>
      </c>
      <c r="C178">
        <v>3</v>
      </c>
      <c r="D178" t="s">
        <v>2157</v>
      </c>
      <c r="E178" t="s">
        <v>2158</v>
      </c>
      <c r="F178" t="s">
        <v>0</v>
      </c>
      <c r="G178" t="s">
        <v>2274</v>
      </c>
      <c r="H178" t="s">
        <v>2813</v>
      </c>
      <c r="I178">
        <v>12900</v>
      </c>
      <c r="J178">
        <v>0</v>
      </c>
      <c r="K178">
        <v>200</v>
      </c>
      <c r="L178">
        <v>50</v>
      </c>
      <c r="M178">
        <v>1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 t="s">
        <v>3412</v>
      </c>
      <c r="AC178" t="s">
        <v>5</v>
      </c>
      <c r="AD178" t="s">
        <v>3413</v>
      </c>
      <c r="AE178" t="s">
        <v>4</v>
      </c>
      <c r="AF178" t="s">
        <v>1</v>
      </c>
      <c r="AG178" t="s">
        <v>1</v>
      </c>
      <c r="AH178" t="s">
        <v>2207</v>
      </c>
      <c r="AI178" t="s">
        <v>2274</v>
      </c>
      <c r="AJ178" t="s">
        <v>1</v>
      </c>
      <c r="AK178">
        <v>5548336317</v>
      </c>
      <c r="AL178" t="s">
        <v>1</v>
      </c>
      <c r="AM178" t="s">
        <v>1</v>
      </c>
      <c r="AN178" t="s">
        <v>1</v>
      </c>
      <c r="AO178" t="s">
        <v>2207</v>
      </c>
      <c r="AP178" t="s">
        <v>1</v>
      </c>
      <c r="AQ178" t="s">
        <v>2</v>
      </c>
      <c r="AR178" t="s">
        <v>1</v>
      </c>
      <c r="AS178" t="s">
        <v>1</v>
      </c>
      <c r="AT178" t="s">
        <v>1</v>
      </c>
      <c r="AU178" t="s">
        <v>1</v>
      </c>
      <c r="AV178" t="s">
        <v>1</v>
      </c>
      <c r="AW178" t="s">
        <v>9</v>
      </c>
      <c r="AX178">
        <f>Tabla1[[#This Row],[precio del paquete]]-Tabla1[[#This Row],[Saldo_Deudor]]</f>
        <v>0</v>
      </c>
      <c r="AY178">
        <v>12900</v>
      </c>
      <c r="AZ178">
        <v>0</v>
      </c>
      <c r="BA178">
        <v>0</v>
      </c>
      <c r="BB178">
        <v>0</v>
      </c>
      <c r="BC178" t="s">
        <v>4839</v>
      </c>
      <c r="BD178" t="s">
        <v>2918</v>
      </c>
      <c r="BE178" t="s">
        <v>3</v>
      </c>
      <c r="BF178" t="s">
        <v>3</v>
      </c>
      <c r="BG178" t="s">
        <v>3</v>
      </c>
      <c r="BH178" t="s">
        <v>3</v>
      </c>
      <c r="BI178" t="s">
        <v>3</v>
      </c>
      <c r="BJ178" t="s">
        <v>97</v>
      </c>
      <c r="BK178" t="s">
        <v>3</v>
      </c>
      <c r="BL178" t="s">
        <v>96</v>
      </c>
      <c r="BM178" t="s">
        <v>1</v>
      </c>
      <c r="BN178">
        <v>12900</v>
      </c>
      <c r="BO178" t="s">
        <v>1</v>
      </c>
      <c r="BP178" t="s">
        <v>1</v>
      </c>
      <c r="BQ178" t="s">
        <v>1</v>
      </c>
      <c r="BR178" t="s">
        <v>1</v>
      </c>
      <c r="BS178" t="s">
        <v>1</v>
      </c>
      <c r="BT178" t="s">
        <v>1</v>
      </c>
      <c r="BU178" t="s">
        <v>1</v>
      </c>
      <c r="BV178" t="s">
        <v>1</v>
      </c>
      <c r="BW178" t="s">
        <v>0</v>
      </c>
      <c r="BX178" t="s">
        <v>1</v>
      </c>
      <c r="BY178" t="s">
        <v>1</v>
      </c>
      <c r="BZ178" t="s">
        <v>1</v>
      </c>
      <c r="CA178" t="s">
        <v>1</v>
      </c>
      <c r="CB178" t="s">
        <v>1</v>
      </c>
      <c r="CD178" t="e" cm="1">
        <f t="array" aca="1" ref="CD178" ca="1">eConcatenar(A178:CB178,"|")</f>
        <v>#NAME?</v>
      </c>
    </row>
    <row r="179" spans="1:82" x14ac:dyDescent="0.25">
      <c r="A179" t="s">
        <v>274</v>
      </c>
      <c r="B179" t="s">
        <v>1283</v>
      </c>
      <c r="C179">
        <v>3</v>
      </c>
      <c r="D179" t="s">
        <v>2156</v>
      </c>
      <c r="E179" t="s">
        <v>2158</v>
      </c>
      <c r="F179" t="s">
        <v>2162</v>
      </c>
      <c r="G179" t="s">
        <v>2275</v>
      </c>
      <c r="H179" t="s">
        <v>2814</v>
      </c>
      <c r="I179">
        <v>19800</v>
      </c>
      <c r="J179">
        <v>0</v>
      </c>
      <c r="K179">
        <v>400</v>
      </c>
      <c r="L179">
        <v>50</v>
      </c>
      <c r="M179">
        <v>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 t="s">
        <v>3143</v>
      </c>
      <c r="AC179" t="s">
        <v>3414</v>
      </c>
      <c r="AD179" t="s">
        <v>3415</v>
      </c>
      <c r="AE179" t="s">
        <v>4</v>
      </c>
      <c r="AF179" t="s">
        <v>1</v>
      </c>
      <c r="AG179" t="s">
        <v>1</v>
      </c>
      <c r="AH179" t="s">
        <v>4236</v>
      </c>
      <c r="AI179" t="s">
        <v>2275</v>
      </c>
      <c r="AJ179" t="s">
        <v>1</v>
      </c>
      <c r="AK179">
        <v>9331348812</v>
      </c>
      <c r="AL179" t="s">
        <v>1</v>
      </c>
      <c r="AM179" t="s">
        <v>1</v>
      </c>
      <c r="AN179" t="s">
        <v>1</v>
      </c>
      <c r="AO179" t="s">
        <v>4236</v>
      </c>
      <c r="AP179" t="s">
        <v>1</v>
      </c>
      <c r="AQ179" t="s">
        <v>2</v>
      </c>
      <c r="AR179" t="s">
        <v>1</v>
      </c>
      <c r="AS179" t="s">
        <v>1</v>
      </c>
      <c r="AT179" t="s">
        <v>1</v>
      </c>
      <c r="AU179" t="s">
        <v>1</v>
      </c>
      <c r="AV179" t="s">
        <v>1</v>
      </c>
      <c r="AW179" t="s">
        <v>9</v>
      </c>
      <c r="AX179">
        <f>Tabla1[[#This Row],[precio del paquete]]-Tabla1[[#This Row],[Saldo_Deudor]]</f>
        <v>10500</v>
      </c>
      <c r="AY179">
        <v>9300</v>
      </c>
      <c r="AZ179">
        <v>0</v>
      </c>
      <c r="BA179">
        <v>0</v>
      </c>
      <c r="BB179">
        <v>0</v>
      </c>
      <c r="BC179" t="s">
        <v>2865</v>
      </c>
      <c r="BD179" t="s">
        <v>4903</v>
      </c>
      <c r="BE179" t="s">
        <v>3</v>
      </c>
      <c r="BF179" t="s">
        <v>3</v>
      </c>
      <c r="BG179" t="s">
        <v>3</v>
      </c>
      <c r="BH179" t="s">
        <v>3</v>
      </c>
      <c r="BI179" t="s">
        <v>3</v>
      </c>
      <c r="BJ179" t="s">
        <v>4995</v>
      </c>
      <c r="BK179" t="s">
        <v>3</v>
      </c>
      <c r="BL179" t="s">
        <v>96</v>
      </c>
      <c r="BM179" t="s">
        <v>1</v>
      </c>
      <c r="BN179">
        <v>19800</v>
      </c>
      <c r="BO179" t="s">
        <v>1</v>
      </c>
      <c r="BP179" t="s">
        <v>1</v>
      </c>
      <c r="BQ179" t="s">
        <v>1</v>
      </c>
      <c r="BR179" t="s">
        <v>1</v>
      </c>
      <c r="BS179" t="s">
        <v>1</v>
      </c>
      <c r="BT179" t="s">
        <v>1</v>
      </c>
      <c r="BU179" t="s">
        <v>1</v>
      </c>
      <c r="BV179" t="s">
        <v>1</v>
      </c>
      <c r="BW179" t="s">
        <v>0</v>
      </c>
      <c r="BX179" t="s">
        <v>1</v>
      </c>
      <c r="BY179" t="s">
        <v>1</v>
      </c>
      <c r="BZ179" t="s">
        <v>1</v>
      </c>
      <c r="CA179" t="s">
        <v>1</v>
      </c>
      <c r="CB179" t="s">
        <v>1</v>
      </c>
      <c r="CD179" t="e" cm="1">
        <f t="array" aca="1" ref="CD179" ca="1">eConcatenar(A179:CB179,"|")</f>
        <v>#NAME?</v>
      </c>
    </row>
    <row r="180" spans="1:82" x14ac:dyDescent="0.25">
      <c r="A180" t="s">
        <v>275</v>
      </c>
      <c r="B180" t="s">
        <v>1284</v>
      </c>
      <c r="C180">
        <v>3</v>
      </c>
      <c r="D180" t="s">
        <v>2157</v>
      </c>
      <c r="E180" t="s">
        <v>2158</v>
      </c>
      <c r="F180" t="s">
        <v>2162</v>
      </c>
      <c r="G180" t="s">
        <v>2275</v>
      </c>
      <c r="H180" t="s">
        <v>2815</v>
      </c>
      <c r="I180">
        <v>12900</v>
      </c>
      <c r="J180">
        <v>0</v>
      </c>
      <c r="K180">
        <v>500</v>
      </c>
      <c r="L180">
        <v>50</v>
      </c>
      <c r="M180">
        <v>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 t="s">
        <v>6</v>
      </c>
      <c r="AC180" t="s">
        <v>3119</v>
      </c>
      <c r="AD180" t="s">
        <v>3237</v>
      </c>
      <c r="AE180" t="s">
        <v>4</v>
      </c>
      <c r="AF180" t="s">
        <v>1</v>
      </c>
      <c r="AG180" t="s">
        <v>1</v>
      </c>
      <c r="AH180" t="s">
        <v>4237</v>
      </c>
      <c r="AI180" t="s">
        <v>2275</v>
      </c>
      <c r="AJ180" t="s">
        <v>1</v>
      </c>
      <c r="AK180">
        <v>9331137834</v>
      </c>
      <c r="AL180" t="s">
        <v>1</v>
      </c>
      <c r="AM180" t="s">
        <v>1</v>
      </c>
      <c r="AN180" t="s">
        <v>1</v>
      </c>
      <c r="AO180" t="s">
        <v>4237</v>
      </c>
      <c r="AP180" t="s">
        <v>1</v>
      </c>
      <c r="AQ180" t="s">
        <v>2</v>
      </c>
      <c r="AR180" t="s">
        <v>1</v>
      </c>
      <c r="AS180" t="s">
        <v>1</v>
      </c>
      <c r="AT180" t="s">
        <v>1</v>
      </c>
      <c r="AU180" t="s">
        <v>1</v>
      </c>
      <c r="AV180" t="s">
        <v>1</v>
      </c>
      <c r="AW180" t="s">
        <v>9</v>
      </c>
      <c r="AX180">
        <f>Tabla1[[#This Row],[precio del paquete]]-Tabla1[[#This Row],[Saldo_Deudor]]</f>
        <v>10700</v>
      </c>
      <c r="AY180">
        <v>2200</v>
      </c>
      <c r="AZ180">
        <v>0</v>
      </c>
      <c r="BA180">
        <v>0</v>
      </c>
      <c r="BB180">
        <v>0</v>
      </c>
      <c r="BC180" t="s">
        <v>2706</v>
      </c>
      <c r="BD180" t="s">
        <v>4899</v>
      </c>
      <c r="BE180" t="s">
        <v>3</v>
      </c>
      <c r="BF180" t="s">
        <v>3</v>
      </c>
      <c r="BG180" t="s">
        <v>3</v>
      </c>
      <c r="BH180" t="s">
        <v>3</v>
      </c>
      <c r="BI180" t="s">
        <v>3</v>
      </c>
      <c r="BJ180" t="s">
        <v>4998</v>
      </c>
      <c r="BK180" t="s">
        <v>3</v>
      </c>
      <c r="BL180" t="s">
        <v>96</v>
      </c>
      <c r="BM180" t="s">
        <v>1</v>
      </c>
      <c r="BN180">
        <v>12900</v>
      </c>
      <c r="BO180" t="s">
        <v>1</v>
      </c>
      <c r="BP180" t="s">
        <v>1</v>
      </c>
      <c r="BQ180" t="s">
        <v>1</v>
      </c>
      <c r="BR180" t="s">
        <v>1</v>
      </c>
      <c r="BS180" t="s">
        <v>1</v>
      </c>
      <c r="BT180" t="s">
        <v>1</v>
      </c>
      <c r="BU180" t="s">
        <v>1</v>
      </c>
      <c r="BV180" t="s">
        <v>1</v>
      </c>
      <c r="BW180" t="s">
        <v>0</v>
      </c>
      <c r="BX180" t="s">
        <v>1</v>
      </c>
      <c r="BY180" t="s">
        <v>1</v>
      </c>
      <c r="BZ180" t="s">
        <v>1</v>
      </c>
      <c r="CA180" t="s">
        <v>1</v>
      </c>
      <c r="CB180" t="s">
        <v>1</v>
      </c>
      <c r="CD180" t="e" cm="1">
        <f t="array" aca="1" ref="CD180" ca="1">eConcatenar(A180:CB180,"|")</f>
        <v>#NAME?</v>
      </c>
    </row>
    <row r="181" spans="1:82" x14ac:dyDescent="0.25">
      <c r="A181" t="s">
        <v>276</v>
      </c>
      <c r="B181" t="s">
        <v>1285</v>
      </c>
      <c r="C181">
        <v>3</v>
      </c>
      <c r="D181" t="s">
        <v>2153</v>
      </c>
      <c r="E181" t="s">
        <v>2158</v>
      </c>
      <c r="F181" t="s">
        <v>2162</v>
      </c>
      <c r="G181" t="s">
        <v>2275</v>
      </c>
      <c r="H181" t="s">
        <v>2816</v>
      </c>
      <c r="I181">
        <v>14800</v>
      </c>
      <c r="J181">
        <v>0</v>
      </c>
      <c r="K181">
        <v>100</v>
      </c>
      <c r="L181">
        <v>50</v>
      </c>
      <c r="M181">
        <v>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 t="s">
        <v>3117</v>
      </c>
      <c r="AC181" t="s">
        <v>6</v>
      </c>
      <c r="AD181" t="s">
        <v>3416</v>
      </c>
      <c r="AE181" t="s">
        <v>4</v>
      </c>
      <c r="AF181" t="s">
        <v>1</v>
      </c>
      <c r="AG181" t="s">
        <v>1</v>
      </c>
      <c r="AH181" t="s">
        <v>4238</v>
      </c>
      <c r="AI181" t="s">
        <v>2275</v>
      </c>
      <c r="AJ181" t="s">
        <v>1</v>
      </c>
      <c r="AK181">
        <v>9931529861</v>
      </c>
      <c r="AL181" t="s">
        <v>1</v>
      </c>
      <c r="AM181" t="s">
        <v>1</v>
      </c>
      <c r="AN181" t="s">
        <v>1</v>
      </c>
      <c r="AO181" t="s">
        <v>4238</v>
      </c>
      <c r="AP181" t="s">
        <v>1</v>
      </c>
      <c r="AQ181" t="s">
        <v>2</v>
      </c>
      <c r="AR181" t="s">
        <v>1</v>
      </c>
      <c r="AS181" t="s">
        <v>1</v>
      </c>
      <c r="AT181" t="s">
        <v>1</v>
      </c>
      <c r="AU181" t="s">
        <v>1</v>
      </c>
      <c r="AV181" t="s">
        <v>1</v>
      </c>
      <c r="AW181" t="s">
        <v>9</v>
      </c>
      <c r="AX181">
        <f>Tabla1[[#This Row],[precio del paquete]]-Tabla1[[#This Row],[Saldo_Deudor]]</f>
        <v>100</v>
      </c>
      <c r="AY181">
        <v>14700</v>
      </c>
      <c r="AZ181">
        <v>0</v>
      </c>
      <c r="BA181">
        <v>0</v>
      </c>
      <c r="BB181">
        <v>0</v>
      </c>
      <c r="BC181" t="s">
        <v>2916</v>
      </c>
      <c r="BD181" t="s">
        <v>4896</v>
      </c>
      <c r="BE181" t="s">
        <v>3</v>
      </c>
      <c r="BF181" t="s">
        <v>3</v>
      </c>
      <c r="BG181" t="s">
        <v>3</v>
      </c>
      <c r="BH181" t="s">
        <v>3</v>
      </c>
      <c r="BI181" t="s">
        <v>3</v>
      </c>
      <c r="BJ181" t="s">
        <v>4998</v>
      </c>
      <c r="BK181" t="s">
        <v>3</v>
      </c>
      <c r="BL181" t="s">
        <v>96</v>
      </c>
      <c r="BM181" t="s">
        <v>1</v>
      </c>
      <c r="BN181">
        <v>14800</v>
      </c>
      <c r="BO181" t="s">
        <v>1</v>
      </c>
      <c r="BP181" t="s">
        <v>1</v>
      </c>
      <c r="BQ181" t="s">
        <v>1</v>
      </c>
      <c r="BR181" t="s">
        <v>1</v>
      </c>
      <c r="BS181" t="s">
        <v>1</v>
      </c>
      <c r="BT181" t="s">
        <v>1</v>
      </c>
      <c r="BU181" t="s">
        <v>1</v>
      </c>
      <c r="BV181" t="s">
        <v>1</v>
      </c>
      <c r="BW181" t="s">
        <v>0</v>
      </c>
      <c r="BX181" t="s">
        <v>1</v>
      </c>
      <c r="BY181" t="s">
        <v>1</v>
      </c>
      <c r="BZ181" t="s">
        <v>1</v>
      </c>
      <c r="CA181" t="s">
        <v>1</v>
      </c>
      <c r="CB181" t="s">
        <v>1</v>
      </c>
      <c r="CD181" t="e" cm="1">
        <f t="array" aca="1" ref="CD181" ca="1">eConcatenar(A181:CB181,"|")</f>
        <v>#NAME?</v>
      </c>
    </row>
    <row r="182" spans="1:82" x14ac:dyDescent="0.25">
      <c r="A182" t="s">
        <v>277</v>
      </c>
      <c r="B182" t="s">
        <v>1286</v>
      </c>
      <c r="C182">
        <v>3</v>
      </c>
      <c r="D182" t="s">
        <v>2153</v>
      </c>
      <c r="E182" t="s">
        <v>2158</v>
      </c>
      <c r="F182" t="s">
        <v>2162</v>
      </c>
      <c r="G182" t="s">
        <v>2276</v>
      </c>
      <c r="H182" t="s">
        <v>2732</v>
      </c>
      <c r="I182">
        <v>14800</v>
      </c>
      <c r="J182">
        <v>0</v>
      </c>
      <c r="K182">
        <v>200</v>
      </c>
      <c r="L182">
        <v>50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 t="s">
        <v>3168</v>
      </c>
      <c r="AC182" t="s">
        <v>3417</v>
      </c>
      <c r="AD182" t="s">
        <v>3418</v>
      </c>
      <c r="AE182" t="s">
        <v>4</v>
      </c>
      <c r="AF182" t="s">
        <v>1</v>
      </c>
      <c r="AG182" t="s">
        <v>1</v>
      </c>
      <c r="AH182" t="s">
        <v>4239</v>
      </c>
      <c r="AI182" t="s">
        <v>2276</v>
      </c>
      <c r="AJ182" t="s">
        <v>1</v>
      </c>
      <c r="AK182">
        <v>9331260272</v>
      </c>
      <c r="AL182" t="s">
        <v>1</v>
      </c>
      <c r="AM182" t="s">
        <v>1</v>
      </c>
      <c r="AN182" t="s">
        <v>1</v>
      </c>
      <c r="AO182" t="s">
        <v>4239</v>
      </c>
      <c r="AP182" t="s">
        <v>1</v>
      </c>
      <c r="AQ182" t="s">
        <v>2</v>
      </c>
      <c r="AR182" t="s">
        <v>1</v>
      </c>
      <c r="AS182" t="s">
        <v>1</v>
      </c>
      <c r="AT182" t="s">
        <v>1</v>
      </c>
      <c r="AU182" t="s">
        <v>1</v>
      </c>
      <c r="AV182" t="s">
        <v>1</v>
      </c>
      <c r="AW182" t="s">
        <v>9</v>
      </c>
      <c r="AX182">
        <f>Tabla1[[#This Row],[precio del paquete]]-Tabla1[[#This Row],[Saldo_Deudor]]</f>
        <v>400</v>
      </c>
      <c r="AY182">
        <v>14400</v>
      </c>
      <c r="AZ182">
        <v>0</v>
      </c>
      <c r="BA182">
        <v>0</v>
      </c>
      <c r="BB182">
        <v>0</v>
      </c>
      <c r="BC182" t="s">
        <v>3061</v>
      </c>
      <c r="BD182" t="s">
        <v>3040</v>
      </c>
      <c r="BE182" t="s">
        <v>3</v>
      </c>
      <c r="BF182" t="s">
        <v>3</v>
      </c>
      <c r="BG182" t="s">
        <v>3</v>
      </c>
      <c r="BH182" t="s">
        <v>3</v>
      </c>
      <c r="BI182" t="s">
        <v>3</v>
      </c>
      <c r="BJ182" t="s">
        <v>4998</v>
      </c>
      <c r="BK182" t="s">
        <v>3</v>
      </c>
      <c r="BL182" t="s">
        <v>96</v>
      </c>
      <c r="BM182" t="s">
        <v>1</v>
      </c>
      <c r="BN182">
        <v>14800</v>
      </c>
      <c r="BO182" t="s">
        <v>1</v>
      </c>
      <c r="BP182" t="s">
        <v>1</v>
      </c>
      <c r="BQ182" t="s">
        <v>1</v>
      </c>
      <c r="BR182" t="s">
        <v>1</v>
      </c>
      <c r="BS182" t="s">
        <v>1</v>
      </c>
      <c r="BT182" t="s">
        <v>1</v>
      </c>
      <c r="BU182" t="s">
        <v>1</v>
      </c>
      <c r="BV182" t="s">
        <v>1</v>
      </c>
      <c r="BW182" t="s">
        <v>0</v>
      </c>
      <c r="BX182" t="s">
        <v>1</v>
      </c>
      <c r="BY182" t="s">
        <v>1</v>
      </c>
      <c r="BZ182" t="s">
        <v>1</v>
      </c>
      <c r="CA182" t="s">
        <v>1</v>
      </c>
      <c r="CB182" t="s">
        <v>1</v>
      </c>
      <c r="CD182" t="e" cm="1">
        <f t="array" aca="1" ref="CD182" ca="1">eConcatenar(A182:CB182,"|")</f>
        <v>#NAME?</v>
      </c>
    </row>
    <row r="183" spans="1:82" x14ac:dyDescent="0.25">
      <c r="A183" t="s">
        <v>278</v>
      </c>
      <c r="B183" t="s">
        <v>1287</v>
      </c>
      <c r="C183">
        <v>3</v>
      </c>
      <c r="D183" t="s">
        <v>2157</v>
      </c>
      <c r="E183" t="s">
        <v>2158</v>
      </c>
      <c r="F183" t="s">
        <v>2162</v>
      </c>
      <c r="G183" t="s">
        <v>2276</v>
      </c>
      <c r="H183" t="s">
        <v>2817</v>
      </c>
      <c r="I183">
        <v>12900</v>
      </c>
      <c r="J183">
        <v>0</v>
      </c>
      <c r="K183">
        <v>100</v>
      </c>
      <c r="L183">
        <v>50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 t="s">
        <v>3143</v>
      </c>
      <c r="AC183" t="s">
        <v>3143</v>
      </c>
      <c r="AD183" t="s">
        <v>3419</v>
      </c>
      <c r="AE183" t="s">
        <v>4</v>
      </c>
      <c r="AF183" t="s">
        <v>1</v>
      </c>
      <c r="AG183" t="s">
        <v>1</v>
      </c>
      <c r="AH183" t="s">
        <v>4239</v>
      </c>
      <c r="AI183" t="s">
        <v>2276</v>
      </c>
      <c r="AJ183" t="s">
        <v>1</v>
      </c>
      <c r="AK183">
        <v>9331311118</v>
      </c>
      <c r="AL183" t="s">
        <v>1</v>
      </c>
      <c r="AM183" t="s">
        <v>1</v>
      </c>
      <c r="AN183" t="s">
        <v>1</v>
      </c>
      <c r="AO183" t="s">
        <v>4239</v>
      </c>
      <c r="AP183" t="s">
        <v>1</v>
      </c>
      <c r="AQ183" t="s">
        <v>2</v>
      </c>
      <c r="AR183" t="s">
        <v>1</v>
      </c>
      <c r="AS183" t="s">
        <v>1</v>
      </c>
      <c r="AT183" t="s">
        <v>1</v>
      </c>
      <c r="AU183" t="s">
        <v>1</v>
      </c>
      <c r="AV183" t="s">
        <v>1</v>
      </c>
      <c r="AW183" t="s">
        <v>9</v>
      </c>
      <c r="AX183">
        <f>Tabla1[[#This Row],[precio del paquete]]-Tabla1[[#This Row],[Saldo_Deudor]]</f>
        <v>11200</v>
      </c>
      <c r="AY183">
        <v>1700</v>
      </c>
      <c r="AZ183">
        <v>0</v>
      </c>
      <c r="BA183">
        <v>0</v>
      </c>
      <c r="BB183">
        <v>0</v>
      </c>
      <c r="BC183" t="s">
        <v>3061</v>
      </c>
      <c r="BD183" t="s">
        <v>3040</v>
      </c>
      <c r="BE183" t="s">
        <v>3</v>
      </c>
      <c r="BF183" t="s">
        <v>3</v>
      </c>
      <c r="BG183" t="s">
        <v>3</v>
      </c>
      <c r="BH183" t="s">
        <v>3</v>
      </c>
      <c r="BI183" t="s">
        <v>3</v>
      </c>
      <c r="BJ183" t="s">
        <v>4998</v>
      </c>
      <c r="BK183" t="s">
        <v>3</v>
      </c>
      <c r="BL183" t="s">
        <v>96</v>
      </c>
      <c r="BM183" t="s">
        <v>1</v>
      </c>
      <c r="BN183">
        <v>12900</v>
      </c>
      <c r="BO183" t="s">
        <v>1</v>
      </c>
      <c r="BP183" t="s">
        <v>1</v>
      </c>
      <c r="BQ183" t="s">
        <v>1</v>
      </c>
      <c r="BR183" t="s">
        <v>1</v>
      </c>
      <c r="BS183" t="s">
        <v>1</v>
      </c>
      <c r="BT183" t="s">
        <v>1</v>
      </c>
      <c r="BU183" t="s">
        <v>1</v>
      </c>
      <c r="BV183" t="s">
        <v>1</v>
      </c>
      <c r="BW183" t="s">
        <v>0</v>
      </c>
      <c r="BX183" t="s">
        <v>1</v>
      </c>
      <c r="BY183" t="s">
        <v>1</v>
      </c>
      <c r="BZ183" t="s">
        <v>1</v>
      </c>
      <c r="CA183" t="s">
        <v>1</v>
      </c>
      <c r="CB183" t="s">
        <v>1</v>
      </c>
      <c r="CD183" t="e" cm="1">
        <f t="array" aca="1" ref="CD183" ca="1">eConcatenar(A183:CB183,"|")</f>
        <v>#NAME?</v>
      </c>
    </row>
    <row r="184" spans="1:82" x14ac:dyDescent="0.25">
      <c r="A184" t="s">
        <v>279</v>
      </c>
      <c r="B184" t="s">
        <v>1288</v>
      </c>
      <c r="C184">
        <v>3</v>
      </c>
      <c r="D184" t="s">
        <v>2157</v>
      </c>
      <c r="E184" t="s">
        <v>2158</v>
      </c>
      <c r="F184" t="s">
        <v>2162</v>
      </c>
      <c r="G184" t="s">
        <v>2276</v>
      </c>
      <c r="H184" t="s">
        <v>2818</v>
      </c>
      <c r="I184">
        <v>12900</v>
      </c>
      <c r="J184">
        <v>0</v>
      </c>
      <c r="K184">
        <v>150</v>
      </c>
      <c r="L184">
        <v>50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 t="s">
        <v>3143</v>
      </c>
      <c r="AC184" t="s">
        <v>3420</v>
      </c>
      <c r="AD184" t="s">
        <v>3421</v>
      </c>
      <c r="AE184" t="s">
        <v>4</v>
      </c>
      <c r="AF184" t="s">
        <v>1</v>
      </c>
      <c r="AG184" t="s">
        <v>1</v>
      </c>
      <c r="AH184" t="s">
        <v>4239</v>
      </c>
      <c r="AI184" t="s">
        <v>2276</v>
      </c>
      <c r="AJ184" t="s">
        <v>1</v>
      </c>
      <c r="AK184" t="s">
        <v>1</v>
      </c>
      <c r="AL184" t="s">
        <v>1</v>
      </c>
      <c r="AM184" t="s">
        <v>1</v>
      </c>
      <c r="AN184" t="s">
        <v>1</v>
      </c>
      <c r="AO184" t="s">
        <v>4239</v>
      </c>
      <c r="AP184" t="s">
        <v>1</v>
      </c>
      <c r="AQ184" t="s">
        <v>2</v>
      </c>
      <c r="AR184" t="s">
        <v>1</v>
      </c>
      <c r="AS184" t="s">
        <v>1</v>
      </c>
      <c r="AT184" t="s">
        <v>1</v>
      </c>
      <c r="AU184" t="s">
        <v>1</v>
      </c>
      <c r="AV184" t="s">
        <v>1</v>
      </c>
      <c r="AW184" t="s">
        <v>9</v>
      </c>
      <c r="AX184">
        <f>Tabla1[[#This Row],[precio del paquete]]-Tabla1[[#This Row],[Saldo_Deudor]]</f>
        <v>7150</v>
      </c>
      <c r="AY184">
        <v>5750</v>
      </c>
      <c r="AZ184">
        <v>0</v>
      </c>
      <c r="BA184">
        <v>0</v>
      </c>
      <c r="BB184">
        <v>0</v>
      </c>
      <c r="BC184" t="s">
        <v>2818</v>
      </c>
      <c r="BD184" t="s">
        <v>4924</v>
      </c>
      <c r="BE184" t="s">
        <v>3</v>
      </c>
      <c r="BF184" t="s">
        <v>3</v>
      </c>
      <c r="BG184" t="s">
        <v>3</v>
      </c>
      <c r="BH184" t="s">
        <v>3</v>
      </c>
      <c r="BI184" t="s">
        <v>3</v>
      </c>
      <c r="BJ184" t="s">
        <v>4998</v>
      </c>
      <c r="BK184" t="s">
        <v>3</v>
      </c>
      <c r="BL184" t="s">
        <v>96</v>
      </c>
      <c r="BM184" t="s">
        <v>1</v>
      </c>
      <c r="BN184">
        <v>12900</v>
      </c>
      <c r="BO184" t="s">
        <v>1</v>
      </c>
      <c r="BP184" t="s">
        <v>1</v>
      </c>
      <c r="BQ184" t="s">
        <v>1</v>
      </c>
      <c r="BR184" t="s">
        <v>1</v>
      </c>
      <c r="BS184" t="s">
        <v>1</v>
      </c>
      <c r="BT184" t="s">
        <v>1</v>
      </c>
      <c r="BU184" t="s">
        <v>1</v>
      </c>
      <c r="BV184" t="s">
        <v>1</v>
      </c>
      <c r="BW184" t="s">
        <v>0</v>
      </c>
      <c r="BX184" t="s">
        <v>1</v>
      </c>
      <c r="BY184" t="s">
        <v>1</v>
      </c>
      <c r="BZ184" t="s">
        <v>1</v>
      </c>
      <c r="CA184" t="s">
        <v>1</v>
      </c>
      <c r="CB184" t="s">
        <v>1</v>
      </c>
      <c r="CD184" t="e" cm="1">
        <f t="array" aca="1" ref="CD184" ca="1">eConcatenar(A184:CB184,"|")</f>
        <v>#NAME?</v>
      </c>
    </row>
    <row r="185" spans="1:82" x14ac:dyDescent="0.25">
      <c r="A185" t="s">
        <v>280</v>
      </c>
      <c r="B185" t="s">
        <v>1289</v>
      </c>
      <c r="C185">
        <v>3</v>
      </c>
      <c r="D185" t="s">
        <v>2157</v>
      </c>
      <c r="E185" t="s">
        <v>2158</v>
      </c>
      <c r="F185" t="s">
        <v>2162</v>
      </c>
      <c r="G185" t="s">
        <v>2276</v>
      </c>
      <c r="H185" t="s">
        <v>2819</v>
      </c>
      <c r="I185">
        <v>12900</v>
      </c>
      <c r="J185">
        <v>0</v>
      </c>
      <c r="K185">
        <v>800</v>
      </c>
      <c r="L185">
        <v>50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 t="s">
        <v>3132</v>
      </c>
      <c r="AC185" t="s">
        <v>3168</v>
      </c>
      <c r="AD185" t="s">
        <v>3422</v>
      </c>
      <c r="AE185" t="s">
        <v>4</v>
      </c>
      <c r="AF185" t="s">
        <v>1</v>
      </c>
      <c r="AG185" t="s">
        <v>1</v>
      </c>
      <c r="AH185" t="s">
        <v>4239</v>
      </c>
      <c r="AI185" t="s">
        <v>2276</v>
      </c>
      <c r="AJ185" t="s">
        <v>1</v>
      </c>
      <c r="AK185">
        <v>9331262340</v>
      </c>
      <c r="AL185" t="s">
        <v>1</v>
      </c>
      <c r="AM185" t="s">
        <v>1</v>
      </c>
      <c r="AN185" t="s">
        <v>1</v>
      </c>
      <c r="AO185" t="s">
        <v>4239</v>
      </c>
      <c r="AP185" t="s">
        <v>1</v>
      </c>
      <c r="AQ185" t="s">
        <v>2</v>
      </c>
      <c r="AR185" t="s">
        <v>1</v>
      </c>
      <c r="AS185" t="s">
        <v>1</v>
      </c>
      <c r="AT185" t="s">
        <v>1</v>
      </c>
      <c r="AU185" t="s">
        <v>1</v>
      </c>
      <c r="AV185" t="s">
        <v>1</v>
      </c>
      <c r="AW185" t="s">
        <v>9</v>
      </c>
      <c r="AX185">
        <f>Tabla1[[#This Row],[precio del paquete]]-Tabla1[[#This Row],[Saldo_Deudor]]</f>
        <v>12400</v>
      </c>
      <c r="AY185">
        <v>500</v>
      </c>
      <c r="AZ185">
        <v>0</v>
      </c>
      <c r="BA185">
        <v>0</v>
      </c>
      <c r="BB185">
        <v>0</v>
      </c>
      <c r="BC185" t="s">
        <v>3061</v>
      </c>
      <c r="BD185" t="s">
        <v>3040</v>
      </c>
      <c r="BE185" t="s">
        <v>3</v>
      </c>
      <c r="BF185" t="s">
        <v>3</v>
      </c>
      <c r="BG185" t="s">
        <v>3</v>
      </c>
      <c r="BH185" t="s">
        <v>3</v>
      </c>
      <c r="BI185" t="s">
        <v>3</v>
      </c>
      <c r="BJ185" t="s">
        <v>4998</v>
      </c>
      <c r="BK185" t="s">
        <v>3</v>
      </c>
      <c r="BL185" t="s">
        <v>96</v>
      </c>
      <c r="BM185" t="s">
        <v>1</v>
      </c>
      <c r="BN185">
        <v>12900</v>
      </c>
      <c r="BO185" t="s">
        <v>1</v>
      </c>
      <c r="BP185" t="s">
        <v>1</v>
      </c>
      <c r="BQ185" t="s">
        <v>1</v>
      </c>
      <c r="BR185" t="s">
        <v>1</v>
      </c>
      <c r="BS185" t="s">
        <v>1</v>
      </c>
      <c r="BT185" t="s">
        <v>1</v>
      </c>
      <c r="BU185" t="s">
        <v>1</v>
      </c>
      <c r="BV185" t="s">
        <v>1</v>
      </c>
      <c r="BW185" t="s">
        <v>0</v>
      </c>
      <c r="BX185" t="s">
        <v>1</v>
      </c>
      <c r="BY185" t="s">
        <v>1</v>
      </c>
      <c r="BZ185" t="s">
        <v>1</v>
      </c>
      <c r="CA185" t="s">
        <v>1</v>
      </c>
      <c r="CB185" t="s">
        <v>1</v>
      </c>
      <c r="CD185" t="e" cm="1">
        <f t="array" aca="1" ref="CD185" ca="1">eConcatenar(A185:CB185,"|")</f>
        <v>#NAME?</v>
      </c>
    </row>
    <row r="186" spans="1:82" x14ac:dyDescent="0.25">
      <c r="A186" t="s">
        <v>281</v>
      </c>
      <c r="B186" t="s">
        <v>1290</v>
      </c>
      <c r="C186">
        <v>3</v>
      </c>
      <c r="D186" t="s">
        <v>2157</v>
      </c>
      <c r="E186" t="s">
        <v>2158</v>
      </c>
      <c r="F186" t="s">
        <v>2162</v>
      </c>
      <c r="G186" t="s">
        <v>2276</v>
      </c>
      <c r="H186" t="s">
        <v>2819</v>
      </c>
      <c r="I186">
        <v>12900</v>
      </c>
      <c r="J186">
        <v>0</v>
      </c>
      <c r="K186">
        <v>100</v>
      </c>
      <c r="L186">
        <v>50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 t="s">
        <v>3132</v>
      </c>
      <c r="AC186" t="s">
        <v>3423</v>
      </c>
      <c r="AD186" t="s">
        <v>3424</v>
      </c>
      <c r="AE186" t="s">
        <v>4</v>
      </c>
      <c r="AF186" t="s">
        <v>1</v>
      </c>
      <c r="AG186" t="s">
        <v>1</v>
      </c>
      <c r="AH186" t="s">
        <v>4239</v>
      </c>
      <c r="AI186" t="s">
        <v>2276</v>
      </c>
      <c r="AJ186" t="s">
        <v>1</v>
      </c>
      <c r="AK186">
        <v>9331373758</v>
      </c>
      <c r="AL186" t="s">
        <v>1</v>
      </c>
      <c r="AM186" t="s">
        <v>1</v>
      </c>
      <c r="AN186" t="s">
        <v>1</v>
      </c>
      <c r="AO186" t="s">
        <v>4239</v>
      </c>
      <c r="AP186" t="s">
        <v>1</v>
      </c>
      <c r="AQ186" t="s">
        <v>2</v>
      </c>
      <c r="AR186" t="s">
        <v>1</v>
      </c>
      <c r="AS186" t="s">
        <v>1</v>
      </c>
      <c r="AT186" t="s">
        <v>1</v>
      </c>
      <c r="AU186" t="s">
        <v>1</v>
      </c>
      <c r="AV186" t="s">
        <v>1</v>
      </c>
      <c r="AW186" t="s">
        <v>9</v>
      </c>
      <c r="AX186">
        <f>Tabla1[[#This Row],[precio del paquete]]-Tabla1[[#This Row],[Saldo_Deudor]]</f>
        <v>12000</v>
      </c>
      <c r="AY186">
        <v>900</v>
      </c>
      <c r="AZ186">
        <v>0</v>
      </c>
      <c r="BA186">
        <v>0</v>
      </c>
      <c r="BB186">
        <v>0</v>
      </c>
      <c r="BC186" t="s">
        <v>3061</v>
      </c>
      <c r="BD186" t="s">
        <v>3040</v>
      </c>
      <c r="BE186" t="s">
        <v>3</v>
      </c>
      <c r="BF186" t="s">
        <v>3</v>
      </c>
      <c r="BG186" t="s">
        <v>3</v>
      </c>
      <c r="BH186" t="s">
        <v>3</v>
      </c>
      <c r="BI186" t="s">
        <v>3</v>
      </c>
      <c r="BJ186" t="s">
        <v>4998</v>
      </c>
      <c r="BK186" t="s">
        <v>3</v>
      </c>
      <c r="BL186" t="s">
        <v>96</v>
      </c>
      <c r="BM186" t="s">
        <v>1</v>
      </c>
      <c r="BN186">
        <v>12900</v>
      </c>
      <c r="BO186" t="s">
        <v>1</v>
      </c>
      <c r="BP186" t="s">
        <v>1</v>
      </c>
      <c r="BQ186" t="s">
        <v>1</v>
      </c>
      <c r="BR186" t="s">
        <v>1</v>
      </c>
      <c r="BS186" t="s">
        <v>1</v>
      </c>
      <c r="BT186" t="s">
        <v>1</v>
      </c>
      <c r="BU186" t="s">
        <v>1</v>
      </c>
      <c r="BV186" t="s">
        <v>1</v>
      </c>
      <c r="BW186" t="s">
        <v>0</v>
      </c>
      <c r="BX186" t="s">
        <v>1</v>
      </c>
      <c r="BY186" t="s">
        <v>1</v>
      </c>
      <c r="BZ186" t="s">
        <v>1</v>
      </c>
      <c r="CA186" t="s">
        <v>1</v>
      </c>
      <c r="CB186" t="s">
        <v>1</v>
      </c>
      <c r="CD186" t="e" cm="1">
        <f t="array" aca="1" ref="CD186" ca="1">eConcatenar(A186:CB186,"|")</f>
        <v>#NAME?</v>
      </c>
    </row>
    <row r="187" spans="1:82" x14ac:dyDescent="0.25">
      <c r="A187" t="s">
        <v>282</v>
      </c>
      <c r="B187" t="s">
        <v>1291</v>
      </c>
      <c r="C187">
        <v>3</v>
      </c>
      <c r="D187" t="s">
        <v>2153</v>
      </c>
      <c r="E187" t="s">
        <v>2158</v>
      </c>
      <c r="F187" t="s">
        <v>0</v>
      </c>
      <c r="G187" t="s">
        <v>2277</v>
      </c>
      <c r="H187" t="s">
        <v>2820</v>
      </c>
      <c r="I187">
        <v>14800</v>
      </c>
      <c r="J187">
        <v>0</v>
      </c>
      <c r="K187">
        <v>200</v>
      </c>
      <c r="L187">
        <v>50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 t="s">
        <v>3425</v>
      </c>
      <c r="AC187" t="s">
        <v>3177</v>
      </c>
      <c r="AD187" t="s">
        <v>3426</v>
      </c>
      <c r="AE187" t="s">
        <v>4</v>
      </c>
      <c r="AF187" t="s">
        <v>1</v>
      </c>
      <c r="AG187" t="s">
        <v>1</v>
      </c>
      <c r="AH187" t="s">
        <v>4240</v>
      </c>
      <c r="AI187" t="s">
        <v>2277</v>
      </c>
      <c r="AJ187" t="s">
        <v>1</v>
      </c>
      <c r="AK187">
        <v>9371255220</v>
      </c>
      <c r="AL187" t="s">
        <v>1</v>
      </c>
      <c r="AM187" t="s">
        <v>1</v>
      </c>
      <c r="AN187" t="s">
        <v>1</v>
      </c>
      <c r="AO187" t="s">
        <v>4240</v>
      </c>
      <c r="AP187" t="s">
        <v>1</v>
      </c>
      <c r="AQ187" t="s">
        <v>2</v>
      </c>
      <c r="AR187" t="s">
        <v>1</v>
      </c>
      <c r="AS187" t="s">
        <v>1</v>
      </c>
      <c r="AT187" t="s">
        <v>1</v>
      </c>
      <c r="AU187" t="s">
        <v>1</v>
      </c>
      <c r="AV187" t="s">
        <v>1</v>
      </c>
      <c r="AW187" t="s">
        <v>9</v>
      </c>
      <c r="AX187">
        <f>Tabla1[[#This Row],[precio del paquete]]-Tabla1[[#This Row],[Saldo_Deudor]]</f>
        <v>3800</v>
      </c>
      <c r="AY187">
        <v>11000</v>
      </c>
      <c r="AZ187">
        <v>0</v>
      </c>
      <c r="BA187">
        <v>0</v>
      </c>
      <c r="BB187">
        <v>0</v>
      </c>
      <c r="BC187" t="s">
        <v>3061</v>
      </c>
      <c r="BD187" t="s">
        <v>3040</v>
      </c>
      <c r="BE187" t="s">
        <v>3</v>
      </c>
      <c r="BF187" t="s">
        <v>3</v>
      </c>
      <c r="BG187" t="s">
        <v>3</v>
      </c>
      <c r="BH187" t="s">
        <v>3</v>
      </c>
      <c r="BI187" t="s">
        <v>3</v>
      </c>
      <c r="BJ187" t="s">
        <v>4998</v>
      </c>
      <c r="BK187" t="s">
        <v>3</v>
      </c>
      <c r="BL187" t="s">
        <v>96</v>
      </c>
      <c r="BM187" t="s">
        <v>1</v>
      </c>
      <c r="BN187">
        <v>14800</v>
      </c>
      <c r="BO187" t="s">
        <v>1</v>
      </c>
      <c r="BP187" t="s">
        <v>1</v>
      </c>
      <c r="BQ187" t="s">
        <v>1</v>
      </c>
      <c r="BR187" t="s">
        <v>1</v>
      </c>
      <c r="BS187" t="s">
        <v>1</v>
      </c>
      <c r="BT187" t="s">
        <v>1</v>
      </c>
      <c r="BU187" t="s">
        <v>1</v>
      </c>
      <c r="BV187" t="s">
        <v>1</v>
      </c>
      <c r="BW187" t="s">
        <v>0</v>
      </c>
      <c r="BX187" t="s">
        <v>1</v>
      </c>
      <c r="BY187" t="s">
        <v>1</v>
      </c>
      <c r="BZ187" t="s">
        <v>1</v>
      </c>
      <c r="CA187" t="s">
        <v>1</v>
      </c>
      <c r="CB187" t="s">
        <v>1</v>
      </c>
      <c r="CD187" t="e" cm="1">
        <f t="array" aca="1" ref="CD187" ca="1">eConcatenar(A187:CB187,"|")</f>
        <v>#NAME?</v>
      </c>
    </row>
    <row r="188" spans="1:82" x14ac:dyDescent="0.25">
      <c r="A188" t="s">
        <v>283</v>
      </c>
      <c r="B188" t="s">
        <v>1292</v>
      </c>
      <c r="C188">
        <v>3</v>
      </c>
      <c r="D188" t="s">
        <v>2157</v>
      </c>
      <c r="E188" t="s">
        <v>2158</v>
      </c>
      <c r="F188" t="s">
        <v>0</v>
      </c>
      <c r="G188" t="s">
        <v>2277</v>
      </c>
      <c r="H188" t="s">
        <v>2747</v>
      </c>
      <c r="I188">
        <v>12900</v>
      </c>
      <c r="J188">
        <v>0</v>
      </c>
      <c r="K188">
        <v>200</v>
      </c>
      <c r="L188">
        <v>50</v>
      </c>
      <c r="M188">
        <v>1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 t="s">
        <v>3427</v>
      </c>
      <c r="AC188" t="s">
        <v>3368</v>
      </c>
      <c r="AD188" t="s">
        <v>3428</v>
      </c>
      <c r="AE188" t="s">
        <v>4</v>
      </c>
      <c r="AF188" t="s">
        <v>1</v>
      </c>
      <c r="AG188" t="s">
        <v>1</v>
      </c>
      <c r="AH188" t="s">
        <v>4240</v>
      </c>
      <c r="AI188" t="s">
        <v>2277</v>
      </c>
      <c r="AJ188" t="s">
        <v>1</v>
      </c>
      <c r="AK188">
        <v>9371204337</v>
      </c>
      <c r="AL188" t="s">
        <v>1</v>
      </c>
      <c r="AM188" t="s">
        <v>1</v>
      </c>
      <c r="AN188" t="s">
        <v>1</v>
      </c>
      <c r="AO188" t="s">
        <v>4240</v>
      </c>
      <c r="AP188" t="s">
        <v>1</v>
      </c>
      <c r="AQ188" t="s">
        <v>2</v>
      </c>
      <c r="AR188" t="s">
        <v>1</v>
      </c>
      <c r="AS188" t="s">
        <v>1</v>
      </c>
      <c r="AT188" t="s">
        <v>1</v>
      </c>
      <c r="AU188" t="s">
        <v>1</v>
      </c>
      <c r="AV188" t="s">
        <v>1</v>
      </c>
      <c r="AW188" t="s">
        <v>9</v>
      </c>
      <c r="AX188">
        <f>Tabla1[[#This Row],[precio del paquete]]-Tabla1[[#This Row],[Saldo_Deudor]]</f>
        <v>9200</v>
      </c>
      <c r="AY188">
        <v>3700</v>
      </c>
      <c r="AZ188">
        <v>0</v>
      </c>
      <c r="BA188">
        <v>0</v>
      </c>
      <c r="BB188">
        <v>0</v>
      </c>
      <c r="BC188" t="s">
        <v>2711</v>
      </c>
      <c r="BD188" t="s">
        <v>2712</v>
      </c>
      <c r="BE188" t="s">
        <v>3</v>
      </c>
      <c r="BF188" t="s">
        <v>3</v>
      </c>
      <c r="BG188" t="s">
        <v>3</v>
      </c>
      <c r="BH188" t="s">
        <v>3</v>
      </c>
      <c r="BI188" t="s">
        <v>3</v>
      </c>
      <c r="BJ188" t="s">
        <v>5004</v>
      </c>
      <c r="BK188" t="s">
        <v>3</v>
      </c>
      <c r="BL188" t="s">
        <v>96</v>
      </c>
      <c r="BM188" t="s">
        <v>1</v>
      </c>
      <c r="BN188">
        <v>12900</v>
      </c>
      <c r="BO188" t="s">
        <v>1</v>
      </c>
      <c r="BP188" t="s">
        <v>1</v>
      </c>
      <c r="BQ188" t="s">
        <v>1</v>
      </c>
      <c r="BR188" t="s">
        <v>1</v>
      </c>
      <c r="BS188" t="s">
        <v>1</v>
      </c>
      <c r="BT188" t="s">
        <v>1</v>
      </c>
      <c r="BU188" t="s">
        <v>1</v>
      </c>
      <c r="BV188" t="s">
        <v>1</v>
      </c>
      <c r="BW188" t="s">
        <v>0</v>
      </c>
      <c r="BX188" t="s">
        <v>1</v>
      </c>
      <c r="BY188" t="s">
        <v>1</v>
      </c>
      <c r="BZ188" t="s">
        <v>1</v>
      </c>
      <c r="CA188" t="s">
        <v>1</v>
      </c>
      <c r="CB188" t="s">
        <v>1</v>
      </c>
      <c r="CD188" t="e" cm="1">
        <f t="array" aca="1" ref="CD188" ca="1">eConcatenar(A188:CB188,"|")</f>
        <v>#NAME?</v>
      </c>
    </row>
    <row r="189" spans="1:82" x14ac:dyDescent="0.25">
      <c r="A189" t="s">
        <v>284</v>
      </c>
      <c r="B189" t="s">
        <v>1293</v>
      </c>
      <c r="C189">
        <v>3</v>
      </c>
      <c r="D189" t="s">
        <v>2153</v>
      </c>
      <c r="E189" t="s">
        <v>2158</v>
      </c>
      <c r="F189" t="s">
        <v>0</v>
      </c>
      <c r="G189" t="s">
        <v>2278</v>
      </c>
      <c r="H189" t="s">
        <v>2785</v>
      </c>
      <c r="I189">
        <v>14800</v>
      </c>
      <c r="J189">
        <v>0</v>
      </c>
      <c r="K189">
        <v>200</v>
      </c>
      <c r="L189">
        <v>50</v>
      </c>
      <c r="M189">
        <v>1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 t="s">
        <v>3184</v>
      </c>
      <c r="AC189" t="s">
        <v>3177</v>
      </c>
      <c r="AD189" t="s">
        <v>3429</v>
      </c>
      <c r="AE189" t="s">
        <v>4</v>
      </c>
      <c r="AF189" t="s">
        <v>1</v>
      </c>
      <c r="AG189" t="s">
        <v>1</v>
      </c>
      <c r="AH189" t="s">
        <v>4241</v>
      </c>
      <c r="AI189" t="s">
        <v>2278</v>
      </c>
      <c r="AJ189" t="s">
        <v>1</v>
      </c>
      <c r="AK189">
        <v>9371664672</v>
      </c>
      <c r="AL189" t="s">
        <v>1</v>
      </c>
      <c r="AM189" t="s">
        <v>1</v>
      </c>
      <c r="AN189" t="s">
        <v>1</v>
      </c>
      <c r="AO189" t="s">
        <v>4241</v>
      </c>
      <c r="AP189" t="s">
        <v>1</v>
      </c>
      <c r="AQ189" t="s">
        <v>2</v>
      </c>
      <c r="AR189" t="s">
        <v>1</v>
      </c>
      <c r="AS189" t="s">
        <v>1</v>
      </c>
      <c r="AT189" t="s">
        <v>1</v>
      </c>
      <c r="AU189" t="s">
        <v>1</v>
      </c>
      <c r="AV189" t="s">
        <v>1</v>
      </c>
      <c r="AW189" t="s">
        <v>9</v>
      </c>
      <c r="AX189">
        <f>Tabla1[[#This Row],[precio del paquete]]-Tabla1[[#This Row],[Saldo_Deudor]]</f>
        <v>1000</v>
      </c>
      <c r="AY189">
        <v>13800</v>
      </c>
      <c r="AZ189">
        <v>0</v>
      </c>
      <c r="BA189">
        <v>0</v>
      </c>
      <c r="BB189">
        <v>0</v>
      </c>
      <c r="BC189" t="s">
        <v>3061</v>
      </c>
      <c r="BD189" t="s">
        <v>3040</v>
      </c>
      <c r="BE189" t="s">
        <v>3</v>
      </c>
      <c r="BF189" t="s">
        <v>3</v>
      </c>
      <c r="BG189" t="s">
        <v>3</v>
      </c>
      <c r="BH189" t="s">
        <v>3</v>
      </c>
      <c r="BI189" t="s">
        <v>3</v>
      </c>
      <c r="BJ189" t="s">
        <v>5004</v>
      </c>
      <c r="BK189" t="s">
        <v>3</v>
      </c>
      <c r="BL189" t="s">
        <v>96</v>
      </c>
      <c r="BM189" t="s">
        <v>1</v>
      </c>
      <c r="BN189">
        <v>14800</v>
      </c>
      <c r="BO189" t="s">
        <v>1</v>
      </c>
      <c r="BP189" t="s">
        <v>1</v>
      </c>
      <c r="BQ189" t="s">
        <v>1</v>
      </c>
      <c r="BR189" t="s">
        <v>1</v>
      </c>
      <c r="BS189" t="s">
        <v>1</v>
      </c>
      <c r="BT189" t="s">
        <v>1</v>
      </c>
      <c r="BU189" t="s">
        <v>1</v>
      </c>
      <c r="BV189" t="s">
        <v>1</v>
      </c>
      <c r="BW189" t="s">
        <v>0</v>
      </c>
      <c r="BX189" t="s">
        <v>1</v>
      </c>
      <c r="BY189" t="s">
        <v>1</v>
      </c>
      <c r="BZ189" t="s">
        <v>1</v>
      </c>
      <c r="CA189" t="s">
        <v>1</v>
      </c>
      <c r="CB189" t="s">
        <v>1</v>
      </c>
      <c r="CD189" t="e" cm="1">
        <f t="array" aca="1" ref="CD189" ca="1">eConcatenar(A189:CB189,"|")</f>
        <v>#NAME?</v>
      </c>
    </row>
    <row r="190" spans="1:82" x14ac:dyDescent="0.25">
      <c r="A190" t="s">
        <v>285</v>
      </c>
      <c r="B190" t="s">
        <v>1294</v>
      </c>
      <c r="C190">
        <v>3</v>
      </c>
      <c r="D190" t="s">
        <v>2155</v>
      </c>
      <c r="E190" t="s">
        <v>10</v>
      </c>
      <c r="F190" t="s">
        <v>0</v>
      </c>
      <c r="G190" t="s">
        <v>2279</v>
      </c>
      <c r="H190" t="s">
        <v>2821</v>
      </c>
      <c r="I190">
        <v>12900</v>
      </c>
      <c r="J190">
        <v>0</v>
      </c>
      <c r="K190">
        <v>200</v>
      </c>
      <c r="L190">
        <v>50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 t="s">
        <v>3161</v>
      </c>
      <c r="AC190" t="s">
        <v>3121</v>
      </c>
      <c r="AD190" t="s">
        <v>3301</v>
      </c>
      <c r="AE190" t="s">
        <v>4</v>
      </c>
      <c r="AF190" t="s">
        <v>1</v>
      </c>
      <c r="AG190" t="s">
        <v>1</v>
      </c>
      <c r="AH190" t="s">
        <v>4242</v>
      </c>
      <c r="AI190" t="s">
        <v>2279</v>
      </c>
      <c r="AJ190" t="s">
        <v>1</v>
      </c>
      <c r="AK190">
        <v>9372706413</v>
      </c>
      <c r="AL190" t="s">
        <v>1</v>
      </c>
      <c r="AM190" t="s">
        <v>1</v>
      </c>
      <c r="AN190" t="s">
        <v>1</v>
      </c>
      <c r="AO190" t="s">
        <v>4242</v>
      </c>
      <c r="AP190" t="s">
        <v>1</v>
      </c>
      <c r="AQ190" t="s">
        <v>2</v>
      </c>
      <c r="AR190" t="s">
        <v>1</v>
      </c>
      <c r="AS190" t="s">
        <v>1</v>
      </c>
      <c r="AT190" t="s">
        <v>1</v>
      </c>
      <c r="AU190" t="s">
        <v>1</v>
      </c>
      <c r="AV190" t="s">
        <v>1</v>
      </c>
      <c r="AW190" t="s">
        <v>9</v>
      </c>
      <c r="AX190">
        <f>Tabla1[[#This Row],[precio del paquete]]-Tabla1[[#This Row],[Saldo_Deudor]]</f>
        <v>600</v>
      </c>
      <c r="AY190">
        <v>12300</v>
      </c>
      <c r="AZ190">
        <v>0</v>
      </c>
      <c r="BA190">
        <v>0</v>
      </c>
      <c r="BB190">
        <v>0</v>
      </c>
      <c r="BC190" t="s">
        <v>4840</v>
      </c>
      <c r="BD190" t="s">
        <v>4925</v>
      </c>
      <c r="BE190" t="s">
        <v>3</v>
      </c>
      <c r="BF190" t="s">
        <v>3</v>
      </c>
      <c r="BG190" t="s">
        <v>3</v>
      </c>
      <c r="BH190" t="s">
        <v>3</v>
      </c>
      <c r="BI190" t="s">
        <v>3</v>
      </c>
      <c r="BJ190" t="s">
        <v>5004</v>
      </c>
      <c r="BK190" t="s">
        <v>3</v>
      </c>
      <c r="BL190" t="s">
        <v>96</v>
      </c>
      <c r="BM190" t="s">
        <v>1</v>
      </c>
      <c r="BN190">
        <v>12900</v>
      </c>
      <c r="BO190" t="s">
        <v>1</v>
      </c>
      <c r="BP190" t="s">
        <v>1</v>
      </c>
      <c r="BQ190" t="s">
        <v>1</v>
      </c>
      <c r="BR190" t="s">
        <v>1</v>
      </c>
      <c r="BS190" t="s">
        <v>1</v>
      </c>
      <c r="BT190" t="s">
        <v>1</v>
      </c>
      <c r="BU190" t="s">
        <v>1</v>
      </c>
      <c r="BV190" t="s">
        <v>1</v>
      </c>
      <c r="BW190" t="s">
        <v>0</v>
      </c>
      <c r="BX190" t="s">
        <v>1</v>
      </c>
      <c r="BY190" t="s">
        <v>1</v>
      </c>
      <c r="BZ190" t="s">
        <v>1</v>
      </c>
      <c r="CA190" t="s">
        <v>1</v>
      </c>
      <c r="CB190" t="s">
        <v>1</v>
      </c>
      <c r="CD190" t="e" cm="1">
        <f t="array" aca="1" ref="CD190" ca="1">eConcatenar(A190:CB190,"|")</f>
        <v>#NAME?</v>
      </c>
    </row>
    <row r="191" spans="1:82" x14ac:dyDescent="0.25">
      <c r="A191" t="s">
        <v>286</v>
      </c>
      <c r="B191" t="s">
        <v>1295</v>
      </c>
      <c r="C191">
        <v>3</v>
      </c>
      <c r="D191" t="s">
        <v>2157</v>
      </c>
      <c r="E191" t="s">
        <v>2158</v>
      </c>
      <c r="F191" t="s">
        <v>2161</v>
      </c>
      <c r="G191" t="s">
        <v>2280</v>
      </c>
      <c r="H191" t="s">
        <v>2822</v>
      </c>
      <c r="I191">
        <v>12900</v>
      </c>
      <c r="J191">
        <v>0</v>
      </c>
      <c r="K191">
        <v>400</v>
      </c>
      <c r="L191">
        <v>50</v>
      </c>
      <c r="M191">
        <v>2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 t="s">
        <v>3430</v>
      </c>
      <c r="AC191" t="s">
        <v>3132</v>
      </c>
      <c r="AD191" t="s">
        <v>3431</v>
      </c>
      <c r="AE191" t="s">
        <v>4</v>
      </c>
      <c r="AF191" t="s">
        <v>1</v>
      </c>
      <c r="AG191" t="s">
        <v>1</v>
      </c>
      <c r="AH191" t="s">
        <v>4243</v>
      </c>
      <c r="AI191" t="s">
        <v>2280</v>
      </c>
      <c r="AJ191" t="s">
        <v>1</v>
      </c>
      <c r="AK191">
        <v>9332082032</v>
      </c>
      <c r="AL191" t="s">
        <v>1</v>
      </c>
      <c r="AM191" t="s">
        <v>1</v>
      </c>
      <c r="AN191" t="s">
        <v>1</v>
      </c>
      <c r="AO191" t="s">
        <v>4243</v>
      </c>
      <c r="AP191" t="s">
        <v>1</v>
      </c>
      <c r="AQ191" t="s">
        <v>2</v>
      </c>
      <c r="AR191" t="s">
        <v>1</v>
      </c>
      <c r="AS191" t="s">
        <v>1</v>
      </c>
      <c r="AT191" t="s">
        <v>1</v>
      </c>
      <c r="AU191" t="s">
        <v>1</v>
      </c>
      <c r="AV191" t="s">
        <v>1</v>
      </c>
      <c r="AW191" t="s">
        <v>9</v>
      </c>
      <c r="AX191">
        <f>Tabla1[[#This Row],[precio del paquete]]-Tabla1[[#This Row],[Saldo_Deudor]]</f>
        <v>11400</v>
      </c>
      <c r="AY191">
        <v>1500</v>
      </c>
      <c r="AZ191">
        <v>0</v>
      </c>
      <c r="BA191">
        <v>0</v>
      </c>
      <c r="BB191">
        <v>0</v>
      </c>
      <c r="BC191" t="s">
        <v>4841</v>
      </c>
      <c r="BD191" t="s">
        <v>4926</v>
      </c>
      <c r="BE191" t="s">
        <v>3</v>
      </c>
      <c r="BF191" t="s">
        <v>3</v>
      </c>
      <c r="BG191" t="s">
        <v>3</v>
      </c>
      <c r="BH191" t="s">
        <v>3</v>
      </c>
      <c r="BI191" t="s">
        <v>3</v>
      </c>
      <c r="BJ191" t="s">
        <v>4985</v>
      </c>
      <c r="BK191" t="s">
        <v>3</v>
      </c>
      <c r="BL191" t="s">
        <v>96</v>
      </c>
      <c r="BM191" t="s">
        <v>1</v>
      </c>
      <c r="BN191">
        <v>12900</v>
      </c>
      <c r="BO191" t="s">
        <v>1</v>
      </c>
      <c r="BP191" t="s">
        <v>1</v>
      </c>
      <c r="BQ191" t="s">
        <v>1</v>
      </c>
      <c r="BR191" t="s">
        <v>1</v>
      </c>
      <c r="BS191" t="s">
        <v>1</v>
      </c>
      <c r="BT191" t="s">
        <v>1</v>
      </c>
      <c r="BU191" t="s">
        <v>1</v>
      </c>
      <c r="BV191" t="s">
        <v>1</v>
      </c>
      <c r="BW191" t="s">
        <v>0</v>
      </c>
      <c r="BX191" t="s">
        <v>1</v>
      </c>
      <c r="BY191" t="s">
        <v>1</v>
      </c>
      <c r="BZ191" t="s">
        <v>1</v>
      </c>
      <c r="CA191" t="s">
        <v>1</v>
      </c>
      <c r="CB191" t="s">
        <v>1</v>
      </c>
      <c r="CD191" t="e" cm="1">
        <f t="array" aca="1" ref="CD191" ca="1">eConcatenar(A191:CB191,"|")</f>
        <v>#NAME?</v>
      </c>
    </row>
    <row r="192" spans="1:82" x14ac:dyDescent="0.25">
      <c r="A192" t="s">
        <v>287</v>
      </c>
      <c r="B192" t="s">
        <v>1296</v>
      </c>
      <c r="C192">
        <v>3</v>
      </c>
      <c r="D192" t="s">
        <v>2153</v>
      </c>
      <c r="E192" t="s">
        <v>2158</v>
      </c>
      <c r="F192" t="s">
        <v>2162</v>
      </c>
      <c r="G192" t="s">
        <v>2281</v>
      </c>
      <c r="H192" t="s">
        <v>2823</v>
      </c>
      <c r="I192">
        <v>14800</v>
      </c>
      <c r="J192">
        <v>0</v>
      </c>
      <c r="K192">
        <v>100</v>
      </c>
      <c r="L192">
        <v>50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 t="s">
        <v>3183</v>
      </c>
      <c r="AC192" t="s">
        <v>3132</v>
      </c>
      <c r="AD192" t="s">
        <v>3432</v>
      </c>
      <c r="AE192" t="s">
        <v>4</v>
      </c>
      <c r="AF192" t="s">
        <v>1</v>
      </c>
      <c r="AG192" t="s">
        <v>1</v>
      </c>
      <c r="AH192" t="s">
        <v>4244</v>
      </c>
      <c r="AI192" t="s">
        <v>2281</v>
      </c>
      <c r="AJ192" t="s">
        <v>1</v>
      </c>
      <c r="AK192">
        <v>9331327946</v>
      </c>
      <c r="AL192" t="s">
        <v>1</v>
      </c>
      <c r="AM192" t="s">
        <v>1</v>
      </c>
      <c r="AN192" t="s">
        <v>1</v>
      </c>
      <c r="AO192" t="s">
        <v>4244</v>
      </c>
      <c r="AP192" t="s">
        <v>1</v>
      </c>
      <c r="AQ192" t="s">
        <v>2</v>
      </c>
      <c r="AR192" t="s">
        <v>1</v>
      </c>
      <c r="AS192" t="s">
        <v>1</v>
      </c>
      <c r="AT192" t="s">
        <v>1</v>
      </c>
      <c r="AU192" t="s">
        <v>1</v>
      </c>
      <c r="AV192" t="s">
        <v>1</v>
      </c>
      <c r="AW192" t="s">
        <v>9</v>
      </c>
      <c r="AX192">
        <f>Tabla1[[#This Row],[precio del paquete]]-Tabla1[[#This Row],[Saldo_Deudor]]</f>
        <v>8200</v>
      </c>
      <c r="AY192">
        <v>6600</v>
      </c>
      <c r="AZ192">
        <v>0</v>
      </c>
      <c r="BA192">
        <v>0</v>
      </c>
      <c r="BB192">
        <v>0</v>
      </c>
      <c r="BC192" t="s">
        <v>3061</v>
      </c>
      <c r="BD192" t="s">
        <v>3040</v>
      </c>
      <c r="BE192" t="s">
        <v>3</v>
      </c>
      <c r="BF192" t="s">
        <v>3</v>
      </c>
      <c r="BG192" t="s">
        <v>3</v>
      </c>
      <c r="BH192" t="s">
        <v>3</v>
      </c>
      <c r="BI192" t="s">
        <v>3</v>
      </c>
      <c r="BJ192" t="s">
        <v>5009</v>
      </c>
      <c r="BK192" t="s">
        <v>3</v>
      </c>
      <c r="BL192" t="s">
        <v>96</v>
      </c>
      <c r="BM192" t="s">
        <v>1</v>
      </c>
      <c r="BN192">
        <v>14800</v>
      </c>
      <c r="BO192" t="s">
        <v>1</v>
      </c>
      <c r="BP192" t="s">
        <v>1</v>
      </c>
      <c r="BQ192" t="s">
        <v>1</v>
      </c>
      <c r="BR192" t="s">
        <v>1</v>
      </c>
      <c r="BS192" t="s">
        <v>1</v>
      </c>
      <c r="BT192" t="s">
        <v>1</v>
      </c>
      <c r="BU192" t="s">
        <v>1</v>
      </c>
      <c r="BV192" t="s">
        <v>1</v>
      </c>
      <c r="BW192" t="s">
        <v>0</v>
      </c>
      <c r="BX192" t="s">
        <v>1</v>
      </c>
      <c r="BY192" t="s">
        <v>1</v>
      </c>
      <c r="BZ192" t="s">
        <v>1</v>
      </c>
      <c r="CA192" t="s">
        <v>1</v>
      </c>
      <c r="CB192" t="s">
        <v>1</v>
      </c>
      <c r="CD192" t="e" cm="1">
        <f t="array" aca="1" ref="CD192" ca="1">eConcatenar(A192:CB192,"|")</f>
        <v>#NAME?</v>
      </c>
    </row>
    <row r="193" spans="1:82" x14ac:dyDescent="0.25">
      <c r="A193" t="s">
        <v>288</v>
      </c>
      <c r="B193" t="s">
        <v>1297</v>
      </c>
      <c r="C193">
        <v>3</v>
      </c>
      <c r="D193" t="s">
        <v>2153</v>
      </c>
      <c r="E193" t="s">
        <v>2158</v>
      </c>
      <c r="F193" t="s">
        <v>2162</v>
      </c>
      <c r="G193" t="s">
        <v>2281</v>
      </c>
      <c r="H193" t="s">
        <v>2709</v>
      </c>
      <c r="I193">
        <v>14800</v>
      </c>
      <c r="J193">
        <v>0</v>
      </c>
      <c r="K193">
        <v>500</v>
      </c>
      <c r="L193">
        <v>50</v>
      </c>
      <c r="M193">
        <v>1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 t="s">
        <v>3433</v>
      </c>
      <c r="AC193" t="s">
        <v>3132</v>
      </c>
      <c r="AD193" t="s">
        <v>3417</v>
      </c>
      <c r="AE193" t="s">
        <v>4</v>
      </c>
      <c r="AF193" t="s">
        <v>1</v>
      </c>
      <c r="AG193" t="s">
        <v>1</v>
      </c>
      <c r="AH193" t="s">
        <v>4245</v>
      </c>
      <c r="AI193" t="s">
        <v>2281</v>
      </c>
      <c r="AJ193" t="s">
        <v>1</v>
      </c>
      <c r="AK193">
        <v>9331133237</v>
      </c>
      <c r="AL193" t="s">
        <v>1</v>
      </c>
      <c r="AM193" t="s">
        <v>1</v>
      </c>
      <c r="AN193" t="s">
        <v>1</v>
      </c>
      <c r="AO193" t="s">
        <v>4245</v>
      </c>
      <c r="AP193" t="s">
        <v>1</v>
      </c>
      <c r="AQ193" t="s">
        <v>2</v>
      </c>
      <c r="AR193" t="s">
        <v>1</v>
      </c>
      <c r="AS193" t="s">
        <v>1</v>
      </c>
      <c r="AT193" t="s">
        <v>1</v>
      </c>
      <c r="AU193" t="s">
        <v>1</v>
      </c>
      <c r="AV193" t="s">
        <v>1</v>
      </c>
      <c r="AW193" t="s">
        <v>9</v>
      </c>
      <c r="AX193">
        <f>Tabla1[[#This Row],[precio del paquete]]-Tabla1[[#This Row],[Saldo_Deudor]]</f>
        <v>14600</v>
      </c>
      <c r="AY193">
        <v>200</v>
      </c>
      <c r="AZ193">
        <v>0</v>
      </c>
      <c r="BA193">
        <v>0</v>
      </c>
      <c r="BB193">
        <v>0</v>
      </c>
      <c r="BC193" t="s">
        <v>4842</v>
      </c>
      <c r="BD193" t="s">
        <v>4878</v>
      </c>
      <c r="BE193" t="s">
        <v>3</v>
      </c>
      <c r="BF193" t="s">
        <v>3</v>
      </c>
      <c r="BG193" t="s">
        <v>3</v>
      </c>
      <c r="BH193" t="s">
        <v>3</v>
      </c>
      <c r="BI193" t="s">
        <v>3</v>
      </c>
      <c r="BJ193" t="s">
        <v>4998</v>
      </c>
      <c r="BK193" t="s">
        <v>3</v>
      </c>
      <c r="BL193" t="s">
        <v>96</v>
      </c>
      <c r="BM193" t="s">
        <v>1</v>
      </c>
      <c r="BN193">
        <v>14800</v>
      </c>
      <c r="BO193" t="s">
        <v>1</v>
      </c>
      <c r="BP193" t="s">
        <v>1</v>
      </c>
      <c r="BQ193" t="s">
        <v>1</v>
      </c>
      <c r="BR193" t="s">
        <v>1</v>
      </c>
      <c r="BS193" t="s">
        <v>1</v>
      </c>
      <c r="BT193" t="s">
        <v>1</v>
      </c>
      <c r="BU193" t="s">
        <v>1</v>
      </c>
      <c r="BV193" t="s">
        <v>1</v>
      </c>
      <c r="BW193" t="s">
        <v>0</v>
      </c>
      <c r="BX193" t="s">
        <v>1</v>
      </c>
      <c r="BY193" t="s">
        <v>1</v>
      </c>
      <c r="BZ193" t="s">
        <v>1</v>
      </c>
      <c r="CA193" t="s">
        <v>1</v>
      </c>
      <c r="CB193" t="s">
        <v>1</v>
      </c>
      <c r="CD193" t="e" cm="1">
        <f t="array" aca="1" ref="CD193" ca="1">eConcatenar(A193:CB193,"|")</f>
        <v>#NAME?</v>
      </c>
    </row>
    <row r="194" spans="1:82" x14ac:dyDescent="0.25">
      <c r="A194" t="s">
        <v>289</v>
      </c>
      <c r="B194" t="s">
        <v>1298</v>
      </c>
      <c r="C194">
        <v>3</v>
      </c>
      <c r="D194" t="s">
        <v>2157</v>
      </c>
      <c r="E194" t="s">
        <v>2158</v>
      </c>
      <c r="F194" t="s">
        <v>2162</v>
      </c>
      <c r="G194" t="s">
        <v>2282</v>
      </c>
      <c r="H194" t="s">
        <v>2824</v>
      </c>
      <c r="I194">
        <v>12900</v>
      </c>
      <c r="J194">
        <v>0</v>
      </c>
      <c r="K194">
        <v>100</v>
      </c>
      <c r="L194">
        <v>50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 t="s">
        <v>3434</v>
      </c>
      <c r="AC194" t="s">
        <v>3435</v>
      </c>
      <c r="AD194" t="s">
        <v>3301</v>
      </c>
      <c r="AE194" t="s">
        <v>4</v>
      </c>
      <c r="AF194" t="s">
        <v>1</v>
      </c>
      <c r="AG194" t="s">
        <v>1</v>
      </c>
      <c r="AH194" t="s">
        <v>4246</v>
      </c>
      <c r="AI194" t="s">
        <v>2282</v>
      </c>
      <c r="AJ194" t="s">
        <v>1</v>
      </c>
      <c r="AK194" t="s">
        <v>1</v>
      </c>
      <c r="AL194" t="s">
        <v>1</v>
      </c>
      <c r="AM194" t="s">
        <v>1</v>
      </c>
      <c r="AN194" t="s">
        <v>1</v>
      </c>
      <c r="AO194" t="s">
        <v>4246</v>
      </c>
      <c r="AP194" t="s">
        <v>1</v>
      </c>
      <c r="AQ194" t="s">
        <v>2</v>
      </c>
      <c r="AR194" t="s">
        <v>1</v>
      </c>
      <c r="AS194" t="s">
        <v>1</v>
      </c>
      <c r="AT194" t="s">
        <v>1</v>
      </c>
      <c r="AU194" t="s">
        <v>1</v>
      </c>
      <c r="AV194" t="s">
        <v>1</v>
      </c>
      <c r="AW194" t="s">
        <v>9</v>
      </c>
      <c r="AX194">
        <f>Tabla1[[#This Row],[precio del paquete]]-Tabla1[[#This Row],[Saldo_Deudor]]</f>
        <v>9000</v>
      </c>
      <c r="AY194">
        <v>3900</v>
      </c>
      <c r="AZ194">
        <v>0</v>
      </c>
      <c r="BA194">
        <v>0</v>
      </c>
      <c r="BB194">
        <v>0</v>
      </c>
      <c r="BC194" t="s">
        <v>3061</v>
      </c>
      <c r="BD194" t="s">
        <v>3040</v>
      </c>
      <c r="BE194" t="s">
        <v>3</v>
      </c>
      <c r="BF194" t="s">
        <v>3</v>
      </c>
      <c r="BG194" t="s">
        <v>3</v>
      </c>
      <c r="BH194" t="s">
        <v>3</v>
      </c>
      <c r="BI194" t="s">
        <v>3</v>
      </c>
      <c r="BJ194" t="s">
        <v>4998</v>
      </c>
      <c r="BK194" t="s">
        <v>3</v>
      </c>
      <c r="BL194" t="s">
        <v>96</v>
      </c>
      <c r="BM194" t="s">
        <v>1</v>
      </c>
      <c r="BN194">
        <v>12900</v>
      </c>
      <c r="BO194" t="s">
        <v>1</v>
      </c>
      <c r="BP194" t="s">
        <v>1</v>
      </c>
      <c r="BQ194" t="s">
        <v>1</v>
      </c>
      <c r="BR194" t="s">
        <v>1</v>
      </c>
      <c r="BS194" t="s">
        <v>1</v>
      </c>
      <c r="BT194" t="s">
        <v>1</v>
      </c>
      <c r="BU194" t="s">
        <v>1</v>
      </c>
      <c r="BV194" t="s">
        <v>1</v>
      </c>
      <c r="BW194" t="s">
        <v>0</v>
      </c>
      <c r="BX194" t="s">
        <v>1</v>
      </c>
      <c r="BY194" t="s">
        <v>1</v>
      </c>
      <c r="BZ194" t="s">
        <v>1</v>
      </c>
      <c r="CA194" t="s">
        <v>1</v>
      </c>
      <c r="CB194" t="s">
        <v>1</v>
      </c>
      <c r="CD194" t="e" cm="1">
        <f t="array" aca="1" ref="CD194" ca="1">eConcatenar(A194:CB194,"|")</f>
        <v>#NAME?</v>
      </c>
    </row>
    <row r="195" spans="1:82" x14ac:dyDescent="0.25">
      <c r="A195" t="s">
        <v>290</v>
      </c>
      <c r="B195" t="s">
        <v>1299</v>
      </c>
      <c r="C195">
        <v>3</v>
      </c>
      <c r="D195" t="s">
        <v>2153</v>
      </c>
      <c r="E195" t="s">
        <v>2158</v>
      </c>
      <c r="F195" t="s">
        <v>2162</v>
      </c>
      <c r="G195" t="s">
        <v>2283</v>
      </c>
      <c r="H195" t="s">
        <v>2825</v>
      </c>
      <c r="I195">
        <v>14800</v>
      </c>
      <c r="J195">
        <v>0</v>
      </c>
      <c r="K195">
        <v>100</v>
      </c>
      <c r="L195">
        <v>50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 t="s">
        <v>5</v>
      </c>
      <c r="AC195" t="s">
        <v>11</v>
      </c>
      <c r="AD195" t="s">
        <v>3434</v>
      </c>
      <c r="AE195" t="s">
        <v>4</v>
      </c>
      <c r="AF195" t="s">
        <v>1</v>
      </c>
      <c r="AG195" t="s">
        <v>1</v>
      </c>
      <c r="AH195" t="s">
        <v>4247</v>
      </c>
      <c r="AI195" t="s">
        <v>2283</v>
      </c>
      <c r="AJ195" t="s">
        <v>1</v>
      </c>
      <c r="AK195">
        <v>9333252754</v>
      </c>
      <c r="AL195" t="s">
        <v>1</v>
      </c>
      <c r="AM195" t="s">
        <v>1</v>
      </c>
      <c r="AN195" t="s">
        <v>1</v>
      </c>
      <c r="AO195" t="s">
        <v>4247</v>
      </c>
      <c r="AP195" t="s">
        <v>1</v>
      </c>
      <c r="AQ195" t="s">
        <v>2</v>
      </c>
      <c r="AR195" t="s">
        <v>1</v>
      </c>
      <c r="AS195" t="s">
        <v>1</v>
      </c>
      <c r="AT195" t="s">
        <v>1</v>
      </c>
      <c r="AU195" t="s">
        <v>1</v>
      </c>
      <c r="AV195" t="s">
        <v>1</v>
      </c>
      <c r="AW195" t="s">
        <v>9</v>
      </c>
      <c r="AX195">
        <f>Tabla1[[#This Row],[precio del paquete]]-Tabla1[[#This Row],[Saldo_Deudor]]</f>
        <v>900</v>
      </c>
      <c r="AY195">
        <v>13900</v>
      </c>
      <c r="AZ195">
        <v>0</v>
      </c>
      <c r="BA195">
        <v>0</v>
      </c>
      <c r="BB195">
        <v>0</v>
      </c>
      <c r="BC195" t="s">
        <v>4826</v>
      </c>
      <c r="BD195" t="s">
        <v>2706</v>
      </c>
      <c r="BE195" t="s">
        <v>3</v>
      </c>
      <c r="BF195" t="s">
        <v>3</v>
      </c>
      <c r="BG195" t="s">
        <v>3</v>
      </c>
      <c r="BH195" t="s">
        <v>3</v>
      </c>
      <c r="BI195" t="s">
        <v>3</v>
      </c>
      <c r="BJ195" t="s">
        <v>4998</v>
      </c>
      <c r="BK195" t="s">
        <v>3</v>
      </c>
      <c r="BL195" t="s">
        <v>96</v>
      </c>
      <c r="BM195" t="s">
        <v>1</v>
      </c>
      <c r="BN195">
        <v>14800</v>
      </c>
      <c r="BO195" t="s">
        <v>1</v>
      </c>
      <c r="BP195" t="s">
        <v>1</v>
      </c>
      <c r="BQ195" t="s">
        <v>1</v>
      </c>
      <c r="BR195" t="s">
        <v>1</v>
      </c>
      <c r="BS195" t="s">
        <v>1</v>
      </c>
      <c r="BT195" t="s">
        <v>1</v>
      </c>
      <c r="BU195" t="s">
        <v>1</v>
      </c>
      <c r="BV195" t="s">
        <v>1</v>
      </c>
      <c r="BW195" t="s">
        <v>0</v>
      </c>
      <c r="BX195" t="s">
        <v>1</v>
      </c>
      <c r="BY195" t="s">
        <v>1</v>
      </c>
      <c r="BZ195" t="s">
        <v>1</v>
      </c>
      <c r="CA195" t="s">
        <v>1</v>
      </c>
      <c r="CB195" t="s">
        <v>1</v>
      </c>
      <c r="CD195" t="e" cm="1">
        <f t="array" aca="1" ref="CD195" ca="1">eConcatenar(A195:CB195,"|")</f>
        <v>#NAME?</v>
      </c>
    </row>
    <row r="196" spans="1:82" x14ac:dyDescent="0.25">
      <c r="A196" t="s">
        <v>291</v>
      </c>
      <c r="B196" t="s">
        <v>1300</v>
      </c>
      <c r="C196">
        <v>3</v>
      </c>
      <c r="D196" t="s">
        <v>2153</v>
      </c>
      <c r="E196" t="s">
        <v>2158</v>
      </c>
      <c r="F196" t="s">
        <v>2162</v>
      </c>
      <c r="G196" t="s">
        <v>2283</v>
      </c>
      <c r="H196" t="s">
        <v>2826</v>
      </c>
      <c r="I196">
        <v>14800</v>
      </c>
      <c r="J196">
        <v>0</v>
      </c>
      <c r="K196">
        <v>100</v>
      </c>
      <c r="L196">
        <v>50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 t="s">
        <v>3304</v>
      </c>
      <c r="AC196" t="s">
        <v>3155</v>
      </c>
      <c r="AD196" t="s">
        <v>3436</v>
      </c>
      <c r="AE196" t="s">
        <v>4</v>
      </c>
      <c r="AF196" t="s">
        <v>1</v>
      </c>
      <c r="AG196" t="s">
        <v>1</v>
      </c>
      <c r="AH196" t="s">
        <v>4248</v>
      </c>
      <c r="AI196" t="s">
        <v>2283</v>
      </c>
      <c r="AJ196" t="s">
        <v>1</v>
      </c>
      <c r="AK196">
        <v>9331236117</v>
      </c>
      <c r="AL196" t="s">
        <v>1</v>
      </c>
      <c r="AM196" t="s">
        <v>1</v>
      </c>
      <c r="AN196" t="s">
        <v>1</v>
      </c>
      <c r="AO196" t="s">
        <v>4248</v>
      </c>
      <c r="AP196" t="s">
        <v>1</v>
      </c>
      <c r="AQ196" t="s">
        <v>2</v>
      </c>
      <c r="AR196" t="s">
        <v>1</v>
      </c>
      <c r="AS196" t="s">
        <v>1</v>
      </c>
      <c r="AT196" t="s">
        <v>1</v>
      </c>
      <c r="AU196" t="s">
        <v>1</v>
      </c>
      <c r="AV196" t="s">
        <v>1</v>
      </c>
      <c r="AW196" t="s">
        <v>9</v>
      </c>
      <c r="AX196">
        <f>Tabla1[[#This Row],[precio del paquete]]-Tabla1[[#This Row],[Saldo_Deudor]]</f>
        <v>7900</v>
      </c>
      <c r="AY196">
        <v>6900</v>
      </c>
      <c r="AZ196">
        <v>0</v>
      </c>
      <c r="BA196">
        <v>0</v>
      </c>
      <c r="BB196">
        <v>0</v>
      </c>
      <c r="BC196" t="s">
        <v>3061</v>
      </c>
      <c r="BD196" t="s">
        <v>3040</v>
      </c>
      <c r="BE196" t="s">
        <v>3</v>
      </c>
      <c r="BF196" t="s">
        <v>3</v>
      </c>
      <c r="BG196" t="s">
        <v>3</v>
      </c>
      <c r="BH196" t="s">
        <v>3</v>
      </c>
      <c r="BI196" t="s">
        <v>3</v>
      </c>
      <c r="BJ196" t="s">
        <v>4989</v>
      </c>
      <c r="BK196" t="s">
        <v>3</v>
      </c>
      <c r="BL196" t="s">
        <v>96</v>
      </c>
      <c r="BM196" t="s">
        <v>1</v>
      </c>
      <c r="BN196">
        <v>14800</v>
      </c>
      <c r="BO196" t="s">
        <v>1</v>
      </c>
      <c r="BP196" t="s">
        <v>1</v>
      </c>
      <c r="BQ196" t="s">
        <v>1</v>
      </c>
      <c r="BR196" t="s">
        <v>1</v>
      </c>
      <c r="BS196" t="s">
        <v>1</v>
      </c>
      <c r="BT196" t="s">
        <v>1</v>
      </c>
      <c r="BU196" t="s">
        <v>1</v>
      </c>
      <c r="BV196" t="s">
        <v>1</v>
      </c>
      <c r="BW196" t="s">
        <v>0</v>
      </c>
      <c r="BX196" t="s">
        <v>1</v>
      </c>
      <c r="BY196" t="s">
        <v>1</v>
      </c>
      <c r="BZ196" t="s">
        <v>1</v>
      </c>
      <c r="CA196" t="s">
        <v>1</v>
      </c>
      <c r="CB196" t="s">
        <v>1</v>
      </c>
      <c r="CD196" t="e" cm="1">
        <f t="array" aca="1" ref="CD196" ca="1">eConcatenar(A196:CB196,"|")</f>
        <v>#NAME?</v>
      </c>
    </row>
    <row r="197" spans="1:82" x14ac:dyDescent="0.25">
      <c r="A197" t="s">
        <v>292</v>
      </c>
      <c r="B197" t="s">
        <v>1301</v>
      </c>
      <c r="C197">
        <v>3</v>
      </c>
      <c r="D197" t="s">
        <v>2157</v>
      </c>
      <c r="E197" t="s">
        <v>2158</v>
      </c>
      <c r="F197" t="s">
        <v>2162</v>
      </c>
      <c r="G197" t="s">
        <v>2283</v>
      </c>
      <c r="H197" t="s">
        <v>2706</v>
      </c>
      <c r="I197">
        <v>12900</v>
      </c>
      <c r="J197">
        <v>0</v>
      </c>
      <c r="K197">
        <v>100</v>
      </c>
      <c r="L197">
        <v>50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 t="s">
        <v>3138</v>
      </c>
      <c r="AC197" t="s">
        <v>3290</v>
      </c>
      <c r="AD197" t="s">
        <v>3437</v>
      </c>
      <c r="AE197" t="s">
        <v>4</v>
      </c>
      <c r="AF197" t="s">
        <v>1</v>
      </c>
      <c r="AG197" t="s">
        <v>1</v>
      </c>
      <c r="AH197" t="s">
        <v>4249</v>
      </c>
      <c r="AI197" t="s">
        <v>2283</v>
      </c>
      <c r="AJ197" t="s">
        <v>1</v>
      </c>
      <c r="AK197" t="s">
        <v>1</v>
      </c>
      <c r="AL197" t="s">
        <v>1</v>
      </c>
      <c r="AM197" t="s">
        <v>1</v>
      </c>
      <c r="AN197" t="s">
        <v>1</v>
      </c>
      <c r="AO197" t="s">
        <v>4249</v>
      </c>
      <c r="AP197" t="s">
        <v>1</v>
      </c>
      <c r="AQ197" t="s">
        <v>2</v>
      </c>
      <c r="AR197" t="s">
        <v>1</v>
      </c>
      <c r="AS197" t="s">
        <v>1</v>
      </c>
      <c r="AT197" t="s">
        <v>1</v>
      </c>
      <c r="AU197" t="s">
        <v>1</v>
      </c>
      <c r="AV197" t="s">
        <v>1</v>
      </c>
      <c r="AW197" t="s">
        <v>9</v>
      </c>
      <c r="AX197">
        <f>Tabla1[[#This Row],[precio del paquete]]-Tabla1[[#This Row],[Saldo_Deudor]]</f>
        <v>12000</v>
      </c>
      <c r="AY197">
        <v>900</v>
      </c>
      <c r="AZ197">
        <v>0</v>
      </c>
      <c r="BA197">
        <v>0</v>
      </c>
      <c r="BB197">
        <v>0</v>
      </c>
      <c r="BC197" t="s">
        <v>3061</v>
      </c>
      <c r="BD197" t="s">
        <v>3040</v>
      </c>
      <c r="BE197" t="s">
        <v>3</v>
      </c>
      <c r="BF197" t="s">
        <v>3</v>
      </c>
      <c r="BG197" t="s">
        <v>3</v>
      </c>
      <c r="BH197" t="s">
        <v>3</v>
      </c>
      <c r="BI197" t="s">
        <v>3</v>
      </c>
      <c r="BJ197" t="s">
        <v>4998</v>
      </c>
      <c r="BK197" t="s">
        <v>3</v>
      </c>
      <c r="BL197" t="s">
        <v>96</v>
      </c>
      <c r="BM197" t="s">
        <v>1</v>
      </c>
      <c r="BN197">
        <v>12900</v>
      </c>
      <c r="BO197" t="s">
        <v>1</v>
      </c>
      <c r="BP197" t="s">
        <v>1</v>
      </c>
      <c r="BQ197" t="s">
        <v>1</v>
      </c>
      <c r="BR197" t="s">
        <v>1</v>
      </c>
      <c r="BS197" t="s">
        <v>1</v>
      </c>
      <c r="BT197" t="s">
        <v>1</v>
      </c>
      <c r="BU197" t="s">
        <v>1</v>
      </c>
      <c r="BV197" t="s">
        <v>1</v>
      </c>
      <c r="BW197" t="s">
        <v>0</v>
      </c>
      <c r="BX197" t="s">
        <v>1</v>
      </c>
      <c r="BY197" t="s">
        <v>1</v>
      </c>
      <c r="BZ197" t="s">
        <v>1</v>
      </c>
      <c r="CA197" t="s">
        <v>1</v>
      </c>
      <c r="CB197" t="s">
        <v>1</v>
      </c>
      <c r="CD197" t="e" cm="1">
        <f t="array" aca="1" ref="CD197" ca="1">eConcatenar(A197:CB197,"|")</f>
        <v>#NAME?</v>
      </c>
    </row>
    <row r="198" spans="1:82" x14ac:dyDescent="0.25">
      <c r="A198" t="s">
        <v>293</v>
      </c>
      <c r="B198" t="s">
        <v>1302</v>
      </c>
      <c r="C198">
        <v>3</v>
      </c>
      <c r="D198" t="s">
        <v>2153</v>
      </c>
      <c r="E198" t="s">
        <v>2158</v>
      </c>
      <c r="F198" t="s">
        <v>2162</v>
      </c>
      <c r="G198" t="s">
        <v>2283</v>
      </c>
      <c r="H198" t="s">
        <v>2757</v>
      </c>
      <c r="I198">
        <v>14800</v>
      </c>
      <c r="J198">
        <v>0</v>
      </c>
      <c r="K198">
        <v>400</v>
      </c>
      <c r="L198">
        <v>50</v>
      </c>
      <c r="M198">
        <v>2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 t="s">
        <v>3203</v>
      </c>
      <c r="AC198" t="s">
        <v>3155</v>
      </c>
      <c r="AD198" t="s">
        <v>3133</v>
      </c>
      <c r="AE198" t="s">
        <v>4</v>
      </c>
      <c r="AF198" t="s">
        <v>1</v>
      </c>
      <c r="AG198" t="s">
        <v>1</v>
      </c>
      <c r="AH198" t="s">
        <v>4250</v>
      </c>
      <c r="AI198" t="s">
        <v>2283</v>
      </c>
      <c r="AJ198" t="s">
        <v>1</v>
      </c>
      <c r="AK198">
        <v>9331333928</v>
      </c>
      <c r="AL198" t="s">
        <v>1</v>
      </c>
      <c r="AM198" t="s">
        <v>1</v>
      </c>
      <c r="AN198" t="s">
        <v>1</v>
      </c>
      <c r="AO198" t="s">
        <v>4250</v>
      </c>
      <c r="AP198" t="s">
        <v>1</v>
      </c>
      <c r="AQ198" t="s">
        <v>2</v>
      </c>
      <c r="AR198" t="s">
        <v>1</v>
      </c>
      <c r="AS198" t="s">
        <v>1</v>
      </c>
      <c r="AT198" t="s">
        <v>1</v>
      </c>
      <c r="AU198" t="s">
        <v>1</v>
      </c>
      <c r="AV198" t="s">
        <v>1</v>
      </c>
      <c r="AW198" t="s">
        <v>9</v>
      </c>
      <c r="AX198">
        <f>Tabla1[[#This Row],[precio del paquete]]-Tabla1[[#This Row],[Saldo_Deudor]]</f>
        <v>400</v>
      </c>
      <c r="AY198">
        <v>14400</v>
      </c>
      <c r="AZ198">
        <v>0</v>
      </c>
      <c r="BA198">
        <v>0</v>
      </c>
      <c r="BB198">
        <v>0</v>
      </c>
      <c r="BC198" t="s">
        <v>2729</v>
      </c>
      <c r="BD198" t="s">
        <v>2781</v>
      </c>
      <c r="BE198" t="s">
        <v>3</v>
      </c>
      <c r="BF198" t="s">
        <v>3</v>
      </c>
      <c r="BG198" t="s">
        <v>3</v>
      </c>
      <c r="BH198" t="s">
        <v>3</v>
      </c>
      <c r="BI198" t="s">
        <v>3</v>
      </c>
      <c r="BJ198" t="s">
        <v>4998</v>
      </c>
      <c r="BK198" t="s">
        <v>3</v>
      </c>
      <c r="BL198" t="s">
        <v>96</v>
      </c>
      <c r="BM198" t="s">
        <v>1</v>
      </c>
      <c r="BN198">
        <v>14800</v>
      </c>
      <c r="BO198" t="s">
        <v>1</v>
      </c>
      <c r="BP198" t="s">
        <v>1</v>
      </c>
      <c r="BQ198" t="s">
        <v>1</v>
      </c>
      <c r="BR198" t="s">
        <v>1</v>
      </c>
      <c r="BS198" t="s">
        <v>1</v>
      </c>
      <c r="BT198" t="s">
        <v>1</v>
      </c>
      <c r="BU198" t="s">
        <v>1</v>
      </c>
      <c r="BV198" t="s">
        <v>1</v>
      </c>
      <c r="BW198" t="s">
        <v>0</v>
      </c>
      <c r="BX198" t="s">
        <v>1</v>
      </c>
      <c r="BY198" t="s">
        <v>1</v>
      </c>
      <c r="BZ198" t="s">
        <v>1</v>
      </c>
      <c r="CA198" t="s">
        <v>1</v>
      </c>
      <c r="CB198" t="s">
        <v>1</v>
      </c>
      <c r="CD198" t="e" cm="1">
        <f t="array" aca="1" ref="CD198" ca="1">eConcatenar(A198:CB198,"|")</f>
        <v>#NAME?</v>
      </c>
    </row>
    <row r="199" spans="1:82" x14ac:dyDescent="0.25">
      <c r="A199" t="s">
        <v>294</v>
      </c>
      <c r="B199" t="s">
        <v>1303</v>
      </c>
      <c r="C199">
        <v>3</v>
      </c>
      <c r="D199" t="s">
        <v>2157</v>
      </c>
      <c r="E199" t="s">
        <v>2158</v>
      </c>
      <c r="F199" t="s">
        <v>2162</v>
      </c>
      <c r="G199" t="s">
        <v>2284</v>
      </c>
      <c r="H199" t="s">
        <v>2822</v>
      </c>
      <c r="I199">
        <v>12900</v>
      </c>
      <c r="J199">
        <v>0</v>
      </c>
      <c r="K199">
        <v>400</v>
      </c>
      <c r="L199">
        <v>50</v>
      </c>
      <c r="M199">
        <v>2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 t="s">
        <v>3256</v>
      </c>
      <c r="AC199" t="s">
        <v>3168</v>
      </c>
      <c r="AD199" t="s">
        <v>3438</v>
      </c>
      <c r="AE199" t="s">
        <v>4</v>
      </c>
      <c r="AF199" t="s">
        <v>1</v>
      </c>
      <c r="AG199" t="s">
        <v>1</v>
      </c>
      <c r="AH199" t="s">
        <v>4251</v>
      </c>
      <c r="AI199" t="s">
        <v>2284</v>
      </c>
      <c r="AJ199" t="s">
        <v>1</v>
      </c>
      <c r="AK199">
        <v>9331606255</v>
      </c>
      <c r="AL199" t="s">
        <v>1</v>
      </c>
      <c r="AM199" t="s">
        <v>1</v>
      </c>
      <c r="AN199" t="s">
        <v>1</v>
      </c>
      <c r="AO199" t="s">
        <v>4251</v>
      </c>
      <c r="AP199" t="s">
        <v>1</v>
      </c>
      <c r="AQ199" t="s">
        <v>2</v>
      </c>
      <c r="AR199" t="s">
        <v>1</v>
      </c>
      <c r="AS199" t="s">
        <v>1</v>
      </c>
      <c r="AT199" t="s">
        <v>1</v>
      </c>
      <c r="AU199" t="s">
        <v>1</v>
      </c>
      <c r="AV199" t="s">
        <v>1</v>
      </c>
      <c r="AW199" t="s">
        <v>9</v>
      </c>
      <c r="AX199">
        <f>Tabla1[[#This Row],[precio del paquete]]-Tabla1[[#This Row],[Saldo_Deudor]]</f>
        <v>10600</v>
      </c>
      <c r="AY199">
        <v>2300</v>
      </c>
      <c r="AZ199">
        <v>0</v>
      </c>
      <c r="BA199">
        <v>0</v>
      </c>
      <c r="BB199">
        <v>0</v>
      </c>
      <c r="BC199" t="s">
        <v>2906</v>
      </c>
      <c r="BD199" t="s">
        <v>4898</v>
      </c>
      <c r="BE199" t="s">
        <v>3</v>
      </c>
      <c r="BF199" t="s">
        <v>3</v>
      </c>
      <c r="BG199" t="s">
        <v>3</v>
      </c>
      <c r="BH199" t="s">
        <v>3</v>
      </c>
      <c r="BI199" t="s">
        <v>3</v>
      </c>
      <c r="BJ199" t="s">
        <v>4998</v>
      </c>
      <c r="BK199" t="s">
        <v>3</v>
      </c>
      <c r="BL199" t="s">
        <v>96</v>
      </c>
      <c r="BM199" t="s">
        <v>1</v>
      </c>
      <c r="BN199">
        <v>12900</v>
      </c>
      <c r="BO199" t="s">
        <v>1</v>
      </c>
      <c r="BP199" t="s">
        <v>1</v>
      </c>
      <c r="BQ199" t="s">
        <v>1</v>
      </c>
      <c r="BR199" t="s">
        <v>1</v>
      </c>
      <c r="BS199" t="s">
        <v>1</v>
      </c>
      <c r="BT199" t="s">
        <v>1</v>
      </c>
      <c r="BU199" t="s">
        <v>1</v>
      </c>
      <c r="BV199" t="s">
        <v>1</v>
      </c>
      <c r="BW199" t="s">
        <v>0</v>
      </c>
      <c r="BX199" t="s">
        <v>1</v>
      </c>
      <c r="BY199" t="s">
        <v>1</v>
      </c>
      <c r="BZ199" t="s">
        <v>1</v>
      </c>
      <c r="CA199" t="s">
        <v>1</v>
      </c>
      <c r="CB199" t="s">
        <v>1</v>
      </c>
      <c r="CD199" t="e" cm="1">
        <f t="array" aca="1" ref="CD199" ca="1">eConcatenar(A199:CB199,"|")</f>
        <v>#NAME?</v>
      </c>
    </row>
    <row r="200" spans="1:82" x14ac:dyDescent="0.25">
      <c r="A200" t="s">
        <v>295</v>
      </c>
      <c r="B200" t="s">
        <v>1304</v>
      </c>
      <c r="C200">
        <v>3</v>
      </c>
      <c r="D200" t="s">
        <v>2155</v>
      </c>
      <c r="E200" t="s">
        <v>2158</v>
      </c>
      <c r="F200" t="s">
        <v>2162</v>
      </c>
      <c r="G200" t="s">
        <v>2284</v>
      </c>
      <c r="H200" t="s">
        <v>2827</v>
      </c>
      <c r="I200">
        <v>12900</v>
      </c>
      <c r="J200">
        <v>0</v>
      </c>
      <c r="K200">
        <v>400</v>
      </c>
      <c r="L200">
        <v>50</v>
      </c>
      <c r="M200">
        <v>2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 t="s">
        <v>3132</v>
      </c>
      <c r="AC200" t="s">
        <v>3115</v>
      </c>
      <c r="AD200" t="s">
        <v>3439</v>
      </c>
      <c r="AE200" t="s">
        <v>4</v>
      </c>
      <c r="AF200" t="s">
        <v>1</v>
      </c>
      <c r="AG200" t="s">
        <v>1</v>
      </c>
      <c r="AH200" t="s">
        <v>4252</v>
      </c>
      <c r="AI200" t="s">
        <v>2284</v>
      </c>
      <c r="AJ200" t="s">
        <v>1</v>
      </c>
      <c r="AK200">
        <v>9331355233</v>
      </c>
      <c r="AL200" t="s">
        <v>1</v>
      </c>
      <c r="AM200" t="s">
        <v>1</v>
      </c>
      <c r="AN200" t="s">
        <v>1</v>
      </c>
      <c r="AO200" t="s">
        <v>4252</v>
      </c>
      <c r="AP200" t="s">
        <v>1</v>
      </c>
      <c r="AQ200" t="s">
        <v>2</v>
      </c>
      <c r="AR200" t="s">
        <v>1</v>
      </c>
      <c r="AS200" t="s">
        <v>1</v>
      </c>
      <c r="AT200" t="s">
        <v>1</v>
      </c>
      <c r="AU200" t="s">
        <v>1</v>
      </c>
      <c r="AV200" t="s">
        <v>1</v>
      </c>
      <c r="AW200" t="s">
        <v>9</v>
      </c>
      <c r="AX200">
        <f>Tabla1[[#This Row],[precio del paquete]]-Tabla1[[#This Row],[Saldo_Deudor]]</f>
        <v>1400</v>
      </c>
      <c r="AY200">
        <v>11500</v>
      </c>
      <c r="AZ200">
        <v>0</v>
      </c>
      <c r="BA200">
        <v>0</v>
      </c>
      <c r="BB200">
        <v>0</v>
      </c>
      <c r="BC200" t="s">
        <v>2803</v>
      </c>
      <c r="BD200" t="s">
        <v>4922</v>
      </c>
      <c r="BE200" t="s">
        <v>3</v>
      </c>
      <c r="BF200" t="s">
        <v>3</v>
      </c>
      <c r="BG200" t="s">
        <v>3</v>
      </c>
      <c r="BH200" t="s">
        <v>3</v>
      </c>
      <c r="BI200" t="s">
        <v>3</v>
      </c>
      <c r="BJ200" t="s">
        <v>4998</v>
      </c>
      <c r="BK200" t="s">
        <v>3</v>
      </c>
      <c r="BL200" t="s">
        <v>96</v>
      </c>
      <c r="BM200" t="s">
        <v>1</v>
      </c>
      <c r="BN200">
        <v>12900</v>
      </c>
      <c r="BO200" t="s">
        <v>1</v>
      </c>
      <c r="BP200" t="s">
        <v>1</v>
      </c>
      <c r="BQ200" t="s">
        <v>1</v>
      </c>
      <c r="BR200" t="s">
        <v>1</v>
      </c>
      <c r="BS200" t="s">
        <v>1</v>
      </c>
      <c r="BT200" t="s">
        <v>1</v>
      </c>
      <c r="BU200" t="s">
        <v>1</v>
      </c>
      <c r="BV200" t="s">
        <v>1</v>
      </c>
      <c r="BW200" t="s">
        <v>0</v>
      </c>
      <c r="BX200" t="s">
        <v>1</v>
      </c>
      <c r="BY200" t="s">
        <v>1</v>
      </c>
      <c r="BZ200" t="s">
        <v>1</v>
      </c>
      <c r="CA200" t="s">
        <v>1</v>
      </c>
      <c r="CB200" t="s">
        <v>1</v>
      </c>
      <c r="CD200" t="e" cm="1">
        <f t="array" aca="1" ref="CD200" ca="1">eConcatenar(A200:CB200,"|")</f>
        <v>#NAME?</v>
      </c>
    </row>
    <row r="201" spans="1:82" x14ac:dyDescent="0.25">
      <c r="A201" t="s">
        <v>296</v>
      </c>
      <c r="B201" t="s">
        <v>1305</v>
      </c>
      <c r="C201">
        <v>3</v>
      </c>
      <c r="D201" t="s">
        <v>2153</v>
      </c>
      <c r="E201" t="s">
        <v>2158</v>
      </c>
      <c r="F201" t="s">
        <v>2162</v>
      </c>
      <c r="G201" t="s">
        <v>2284</v>
      </c>
      <c r="H201" t="s">
        <v>2704</v>
      </c>
      <c r="I201">
        <v>14800</v>
      </c>
      <c r="J201">
        <v>0</v>
      </c>
      <c r="K201">
        <v>800</v>
      </c>
      <c r="L201">
        <v>50</v>
      </c>
      <c r="M201">
        <v>2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 t="s">
        <v>3256</v>
      </c>
      <c r="AC201" t="s">
        <v>3440</v>
      </c>
      <c r="AD201" t="s">
        <v>3441</v>
      </c>
      <c r="AE201" t="s">
        <v>4</v>
      </c>
      <c r="AF201" t="s">
        <v>1</v>
      </c>
      <c r="AG201" t="s">
        <v>1</v>
      </c>
      <c r="AH201" t="s">
        <v>4253</v>
      </c>
      <c r="AI201" t="s">
        <v>2284</v>
      </c>
      <c r="AJ201" t="s">
        <v>1</v>
      </c>
      <c r="AK201">
        <v>9331345152</v>
      </c>
      <c r="AL201" t="s">
        <v>1</v>
      </c>
      <c r="AM201" t="s">
        <v>1</v>
      </c>
      <c r="AN201" t="s">
        <v>1</v>
      </c>
      <c r="AO201" t="s">
        <v>4253</v>
      </c>
      <c r="AP201" t="s">
        <v>1</v>
      </c>
      <c r="AQ201" t="s">
        <v>2</v>
      </c>
      <c r="AR201" t="s">
        <v>1</v>
      </c>
      <c r="AS201" t="s">
        <v>1</v>
      </c>
      <c r="AT201" t="s">
        <v>1</v>
      </c>
      <c r="AU201" t="s">
        <v>1</v>
      </c>
      <c r="AV201" t="s">
        <v>1</v>
      </c>
      <c r="AW201" t="s">
        <v>9</v>
      </c>
      <c r="AX201">
        <f>Tabla1[[#This Row],[precio del paquete]]-Tabla1[[#This Row],[Saldo_Deudor]]</f>
        <v>800</v>
      </c>
      <c r="AY201">
        <v>14000</v>
      </c>
      <c r="AZ201">
        <v>0</v>
      </c>
      <c r="BA201">
        <v>0</v>
      </c>
      <c r="BB201">
        <v>0</v>
      </c>
      <c r="BC201" t="s">
        <v>3099</v>
      </c>
      <c r="BD201" t="s">
        <v>4846</v>
      </c>
      <c r="BE201" t="s">
        <v>3</v>
      </c>
      <c r="BF201" t="s">
        <v>3</v>
      </c>
      <c r="BG201" t="s">
        <v>3</v>
      </c>
      <c r="BH201" t="s">
        <v>3</v>
      </c>
      <c r="BI201" t="s">
        <v>3</v>
      </c>
      <c r="BJ201" t="s">
        <v>4998</v>
      </c>
      <c r="BK201" t="s">
        <v>3</v>
      </c>
      <c r="BL201" t="s">
        <v>96</v>
      </c>
      <c r="BM201" t="s">
        <v>1</v>
      </c>
      <c r="BN201">
        <v>14800</v>
      </c>
      <c r="BO201" t="s">
        <v>1</v>
      </c>
      <c r="BP201" t="s">
        <v>1</v>
      </c>
      <c r="BQ201" t="s">
        <v>1</v>
      </c>
      <c r="BR201" t="s">
        <v>1</v>
      </c>
      <c r="BS201" t="s">
        <v>1</v>
      </c>
      <c r="BT201" t="s">
        <v>1</v>
      </c>
      <c r="BU201" t="s">
        <v>1</v>
      </c>
      <c r="BV201" t="s">
        <v>1</v>
      </c>
      <c r="BW201" t="s">
        <v>0</v>
      </c>
      <c r="BX201" t="s">
        <v>1</v>
      </c>
      <c r="BY201" t="s">
        <v>1</v>
      </c>
      <c r="BZ201" t="s">
        <v>1</v>
      </c>
      <c r="CA201" t="s">
        <v>1</v>
      </c>
      <c r="CB201" t="s">
        <v>1</v>
      </c>
      <c r="CD201" t="e" cm="1">
        <f t="array" aca="1" ref="CD201" ca="1">eConcatenar(A201:CB201,"|")</f>
        <v>#NAME?</v>
      </c>
    </row>
    <row r="202" spans="1:82" x14ac:dyDescent="0.25">
      <c r="A202" t="s">
        <v>297</v>
      </c>
      <c r="B202" t="s">
        <v>1306</v>
      </c>
      <c r="C202">
        <v>3</v>
      </c>
      <c r="D202" t="s">
        <v>2157</v>
      </c>
      <c r="E202" t="s">
        <v>2158</v>
      </c>
      <c r="F202" t="s">
        <v>2162</v>
      </c>
      <c r="G202" t="s">
        <v>2284</v>
      </c>
      <c r="H202" t="s">
        <v>2824</v>
      </c>
      <c r="I202">
        <v>12900</v>
      </c>
      <c r="J202">
        <v>0</v>
      </c>
      <c r="K202">
        <v>500</v>
      </c>
      <c r="L202">
        <v>50</v>
      </c>
      <c r="M202">
        <v>2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 t="s">
        <v>3115</v>
      </c>
      <c r="AC202" t="s">
        <v>3442</v>
      </c>
      <c r="AD202" t="s">
        <v>3443</v>
      </c>
      <c r="AE202" t="s">
        <v>4</v>
      </c>
      <c r="AF202" t="s">
        <v>1</v>
      </c>
      <c r="AG202" t="s">
        <v>1</v>
      </c>
      <c r="AH202" t="s">
        <v>4238</v>
      </c>
      <c r="AI202" t="s">
        <v>2284</v>
      </c>
      <c r="AJ202" t="s">
        <v>1</v>
      </c>
      <c r="AK202">
        <v>9333295948</v>
      </c>
      <c r="AL202" t="s">
        <v>1</v>
      </c>
      <c r="AM202" t="s">
        <v>1</v>
      </c>
      <c r="AN202" t="s">
        <v>1</v>
      </c>
      <c r="AO202" t="s">
        <v>4238</v>
      </c>
      <c r="AP202" t="s">
        <v>1</v>
      </c>
      <c r="AQ202" t="s">
        <v>2</v>
      </c>
      <c r="AR202" t="s">
        <v>1</v>
      </c>
      <c r="AS202" t="s">
        <v>1</v>
      </c>
      <c r="AT202" t="s">
        <v>1</v>
      </c>
      <c r="AU202" t="s">
        <v>1</v>
      </c>
      <c r="AV202" t="s">
        <v>1</v>
      </c>
      <c r="AW202" t="s">
        <v>9</v>
      </c>
      <c r="AX202">
        <f>Tabla1[[#This Row],[precio del paquete]]-Tabla1[[#This Row],[Saldo_Deudor]]</f>
        <v>5200</v>
      </c>
      <c r="AY202">
        <v>7700</v>
      </c>
      <c r="AZ202">
        <v>0</v>
      </c>
      <c r="BA202">
        <v>0</v>
      </c>
      <c r="BB202">
        <v>0</v>
      </c>
      <c r="BC202" t="s">
        <v>2904</v>
      </c>
      <c r="BD202" t="s">
        <v>4927</v>
      </c>
      <c r="BE202" t="s">
        <v>3</v>
      </c>
      <c r="BF202" t="s">
        <v>3</v>
      </c>
      <c r="BG202" t="s">
        <v>3</v>
      </c>
      <c r="BH202" t="s">
        <v>3</v>
      </c>
      <c r="BI202" t="s">
        <v>3</v>
      </c>
      <c r="BJ202" t="s">
        <v>4998</v>
      </c>
      <c r="BK202" t="s">
        <v>3</v>
      </c>
      <c r="BL202" t="s">
        <v>96</v>
      </c>
      <c r="BM202" t="s">
        <v>1</v>
      </c>
      <c r="BN202">
        <v>12900</v>
      </c>
      <c r="BO202" t="s">
        <v>1</v>
      </c>
      <c r="BP202" t="s">
        <v>1</v>
      </c>
      <c r="BQ202" t="s">
        <v>1</v>
      </c>
      <c r="BR202" t="s">
        <v>1</v>
      </c>
      <c r="BS202" t="s">
        <v>1</v>
      </c>
      <c r="BT202" t="s">
        <v>1</v>
      </c>
      <c r="BU202" t="s">
        <v>1</v>
      </c>
      <c r="BV202" t="s">
        <v>1</v>
      </c>
      <c r="BW202" t="s">
        <v>0</v>
      </c>
      <c r="BX202" t="s">
        <v>1</v>
      </c>
      <c r="BY202" t="s">
        <v>1</v>
      </c>
      <c r="BZ202" t="s">
        <v>1</v>
      </c>
      <c r="CA202" t="s">
        <v>1</v>
      </c>
      <c r="CB202" t="s">
        <v>1</v>
      </c>
      <c r="CD202" t="e" cm="1">
        <f t="array" aca="1" ref="CD202" ca="1">eConcatenar(A202:CB202,"|")</f>
        <v>#NAME?</v>
      </c>
    </row>
    <row r="203" spans="1:82" x14ac:dyDescent="0.25">
      <c r="A203" t="s">
        <v>298</v>
      </c>
      <c r="B203" t="s">
        <v>1307</v>
      </c>
      <c r="C203">
        <v>3</v>
      </c>
      <c r="D203" t="s">
        <v>2153</v>
      </c>
      <c r="E203" t="s">
        <v>2158</v>
      </c>
      <c r="F203" t="s">
        <v>2161</v>
      </c>
      <c r="G203" t="s">
        <v>2285</v>
      </c>
      <c r="H203" t="s">
        <v>2773</v>
      </c>
      <c r="I203">
        <v>14800</v>
      </c>
      <c r="J203">
        <v>0</v>
      </c>
      <c r="K203">
        <v>500</v>
      </c>
      <c r="L203">
        <v>50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 t="s">
        <v>3117</v>
      </c>
      <c r="AC203" t="s">
        <v>3238</v>
      </c>
      <c r="AD203" t="s">
        <v>3392</v>
      </c>
      <c r="AE203" t="s">
        <v>4</v>
      </c>
      <c r="AF203" t="s">
        <v>1</v>
      </c>
      <c r="AG203" t="s">
        <v>1</v>
      </c>
      <c r="AH203" t="s">
        <v>4254</v>
      </c>
      <c r="AI203" t="s">
        <v>2285</v>
      </c>
      <c r="AJ203" t="s">
        <v>1</v>
      </c>
      <c r="AK203">
        <v>9141273496</v>
      </c>
      <c r="AL203" t="s">
        <v>1</v>
      </c>
      <c r="AM203" t="s">
        <v>1</v>
      </c>
      <c r="AN203" t="s">
        <v>1</v>
      </c>
      <c r="AO203" t="s">
        <v>4254</v>
      </c>
      <c r="AP203" t="s">
        <v>1</v>
      </c>
      <c r="AQ203" t="s">
        <v>2</v>
      </c>
      <c r="AR203" t="s">
        <v>1</v>
      </c>
      <c r="AS203" t="s">
        <v>1</v>
      </c>
      <c r="AT203" t="s">
        <v>1</v>
      </c>
      <c r="AU203" t="s">
        <v>1</v>
      </c>
      <c r="AV203" t="s">
        <v>1</v>
      </c>
      <c r="AW203" t="s">
        <v>9</v>
      </c>
      <c r="AX203">
        <f>Tabla1[[#This Row],[precio del paquete]]-Tabla1[[#This Row],[Saldo_Deudor]]</f>
        <v>1200</v>
      </c>
      <c r="AY203">
        <v>13600</v>
      </c>
      <c r="AZ203">
        <v>0</v>
      </c>
      <c r="BA203">
        <v>0</v>
      </c>
      <c r="BB203">
        <v>0</v>
      </c>
      <c r="BC203" t="s">
        <v>3016</v>
      </c>
      <c r="BD203" t="s">
        <v>4832</v>
      </c>
      <c r="BE203" t="s">
        <v>3</v>
      </c>
      <c r="BF203" t="s">
        <v>3</v>
      </c>
      <c r="BG203" t="s">
        <v>3</v>
      </c>
      <c r="BH203" t="s">
        <v>3</v>
      </c>
      <c r="BI203" t="s">
        <v>3</v>
      </c>
      <c r="BJ203" t="s">
        <v>4998</v>
      </c>
      <c r="BK203" t="s">
        <v>3</v>
      </c>
      <c r="BL203" t="s">
        <v>96</v>
      </c>
      <c r="BM203" t="s">
        <v>1</v>
      </c>
      <c r="BN203">
        <v>14800</v>
      </c>
      <c r="BO203" t="s">
        <v>1</v>
      </c>
      <c r="BP203" t="s">
        <v>1</v>
      </c>
      <c r="BQ203" t="s">
        <v>1</v>
      </c>
      <c r="BR203" t="s">
        <v>1</v>
      </c>
      <c r="BS203" t="s">
        <v>1</v>
      </c>
      <c r="BT203" t="s">
        <v>1</v>
      </c>
      <c r="BU203" t="s">
        <v>1</v>
      </c>
      <c r="BV203" t="s">
        <v>1</v>
      </c>
      <c r="BW203" t="s">
        <v>0</v>
      </c>
      <c r="BX203" t="s">
        <v>1</v>
      </c>
      <c r="BY203" t="s">
        <v>1</v>
      </c>
      <c r="BZ203" t="s">
        <v>1</v>
      </c>
      <c r="CA203" t="s">
        <v>1</v>
      </c>
      <c r="CB203" t="s">
        <v>1</v>
      </c>
      <c r="CD203" t="e" cm="1">
        <f t="array" aca="1" ref="CD203" ca="1">eConcatenar(A203:CB203,"|")</f>
        <v>#NAME?</v>
      </c>
    </row>
    <row r="204" spans="1:82" x14ac:dyDescent="0.25">
      <c r="A204" t="s">
        <v>299</v>
      </c>
      <c r="B204" t="s">
        <v>1308</v>
      </c>
      <c r="C204">
        <v>3</v>
      </c>
      <c r="D204" t="s">
        <v>2153</v>
      </c>
      <c r="E204" t="s">
        <v>2158</v>
      </c>
      <c r="F204" t="s">
        <v>0</v>
      </c>
      <c r="G204" t="s">
        <v>2286</v>
      </c>
      <c r="H204" t="s">
        <v>2738</v>
      </c>
      <c r="I204">
        <v>14800</v>
      </c>
      <c r="J204">
        <v>0</v>
      </c>
      <c r="K204">
        <v>100</v>
      </c>
      <c r="L204">
        <v>50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 t="s">
        <v>3117</v>
      </c>
      <c r="AC204" t="s">
        <v>3117</v>
      </c>
      <c r="AD204" t="s">
        <v>3444</v>
      </c>
      <c r="AE204" t="s">
        <v>4</v>
      </c>
      <c r="AF204" t="s">
        <v>1</v>
      </c>
      <c r="AG204" t="s">
        <v>1</v>
      </c>
      <c r="AH204" t="s">
        <v>2207</v>
      </c>
      <c r="AI204" t="s">
        <v>2286</v>
      </c>
      <c r="AJ204" t="s">
        <v>1</v>
      </c>
      <c r="AK204" t="s">
        <v>1</v>
      </c>
      <c r="AL204" t="s">
        <v>1</v>
      </c>
      <c r="AM204" t="s">
        <v>1</v>
      </c>
      <c r="AN204" t="s">
        <v>1</v>
      </c>
      <c r="AO204" t="s">
        <v>2207</v>
      </c>
      <c r="AP204" t="s">
        <v>1</v>
      </c>
      <c r="AQ204" t="s">
        <v>2</v>
      </c>
      <c r="AR204" t="s">
        <v>1</v>
      </c>
      <c r="AS204" t="s">
        <v>1</v>
      </c>
      <c r="AT204" t="s">
        <v>1</v>
      </c>
      <c r="AU204" t="s">
        <v>1</v>
      </c>
      <c r="AV204" t="s">
        <v>1</v>
      </c>
      <c r="AW204" t="s">
        <v>9</v>
      </c>
      <c r="AX204">
        <f>Tabla1[[#This Row],[precio del paquete]]-Tabla1[[#This Row],[Saldo_Deudor]]</f>
        <v>13400</v>
      </c>
      <c r="AY204">
        <v>1400</v>
      </c>
      <c r="AZ204">
        <v>0</v>
      </c>
      <c r="BA204">
        <v>0</v>
      </c>
      <c r="BB204">
        <v>0</v>
      </c>
      <c r="BC204" t="s">
        <v>2732</v>
      </c>
      <c r="BD204" t="s">
        <v>4904</v>
      </c>
      <c r="BE204" t="s">
        <v>3</v>
      </c>
      <c r="BF204" t="s">
        <v>3</v>
      </c>
      <c r="BG204" t="s">
        <v>3</v>
      </c>
      <c r="BH204" t="s">
        <v>3</v>
      </c>
      <c r="BI204" t="s">
        <v>3</v>
      </c>
      <c r="BJ204" t="s">
        <v>4983</v>
      </c>
      <c r="BK204" t="s">
        <v>3</v>
      </c>
      <c r="BL204" t="s">
        <v>96</v>
      </c>
      <c r="BM204" t="s">
        <v>1</v>
      </c>
      <c r="BN204">
        <v>14800</v>
      </c>
      <c r="BO204" t="s">
        <v>1</v>
      </c>
      <c r="BP204" t="s">
        <v>1</v>
      </c>
      <c r="BQ204" t="s">
        <v>1</v>
      </c>
      <c r="BR204" t="s">
        <v>1</v>
      </c>
      <c r="BS204" t="s">
        <v>1</v>
      </c>
      <c r="BT204" t="s">
        <v>1</v>
      </c>
      <c r="BU204" t="s">
        <v>1</v>
      </c>
      <c r="BV204" t="s">
        <v>1</v>
      </c>
      <c r="BW204" t="s">
        <v>0</v>
      </c>
      <c r="BX204" t="s">
        <v>1</v>
      </c>
      <c r="BY204" t="s">
        <v>1</v>
      </c>
      <c r="BZ204" t="s">
        <v>1</v>
      </c>
      <c r="CA204" t="s">
        <v>1</v>
      </c>
      <c r="CB204" t="s">
        <v>1</v>
      </c>
      <c r="CD204" t="e" cm="1">
        <f t="array" aca="1" ref="CD204" ca="1">eConcatenar(A204:CB204,"|")</f>
        <v>#NAME?</v>
      </c>
    </row>
    <row r="205" spans="1:82" x14ac:dyDescent="0.25">
      <c r="A205" t="s">
        <v>300</v>
      </c>
      <c r="B205" t="s">
        <v>1309</v>
      </c>
      <c r="C205">
        <v>3</v>
      </c>
      <c r="D205" t="s">
        <v>2153</v>
      </c>
      <c r="E205" t="s">
        <v>2158</v>
      </c>
      <c r="F205" t="s">
        <v>0</v>
      </c>
      <c r="G205" t="s">
        <v>2287</v>
      </c>
      <c r="H205" t="s">
        <v>2828</v>
      </c>
      <c r="I205">
        <v>14800</v>
      </c>
      <c r="J205">
        <v>0</v>
      </c>
      <c r="K205">
        <v>200</v>
      </c>
      <c r="L205">
        <v>50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 t="s">
        <v>3115</v>
      </c>
      <c r="AC205" t="s">
        <v>3445</v>
      </c>
      <c r="AD205" t="s">
        <v>3446</v>
      </c>
      <c r="AE205" t="s">
        <v>4</v>
      </c>
      <c r="AF205" t="s">
        <v>1</v>
      </c>
      <c r="AG205" t="s">
        <v>1</v>
      </c>
      <c r="AH205" t="s">
        <v>4255</v>
      </c>
      <c r="AI205" t="s">
        <v>2287</v>
      </c>
      <c r="AJ205" t="s">
        <v>1</v>
      </c>
      <c r="AK205">
        <v>9371237557</v>
      </c>
      <c r="AL205" t="s">
        <v>1</v>
      </c>
      <c r="AM205" t="s">
        <v>1</v>
      </c>
      <c r="AN205" t="s">
        <v>1</v>
      </c>
      <c r="AO205" t="s">
        <v>4255</v>
      </c>
      <c r="AP205" t="s">
        <v>1</v>
      </c>
      <c r="AQ205" t="s">
        <v>2</v>
      </c>
      <c r="AR205" t="s">
        <v>1</v>
      </c>
      <c r="AS205" t="s">
        <v>1</v>
      </c>
      <c r="AT205" t="s">
        <v>1</v>
      </c>
      <c r="AU205" t="s">
        <v>1</v>
      </c>
      <c r="AV205" t="s">
        <v>1</v>
      </c>
      <c r="AW205" t="s">
        <v>9</v>
      </c>
      <c r="AX205">
        <f>Tabla1[[#This Row],[precio del paquete]]-Tabla1[[#This Row],[Saldo_Deudor]]</f>
        <v>2100</v>
      </c>
      <c r="AY205">
        <v>12700</v>
      </c>
      <c r="AZ205">
        <v>0</v>
      </c>
      <c r="BA205">
        <v>0</v>
      </c>
      <c r="BB205">
        <v>0</v>
      </c>
      <c r="BC205" t="s">
        <v>3102</v>
      </c>
      <c r="BD205" t="s">
        <v>4897</v>
      </c>
      <c r="BE205" t="s">
        <v>3</v>
      </c>
      <c r="BF205" t="s">
        <v>3</v>
      </c>
      <c r="BG205" t="s">
        <v>3</v>
      </c>
      <c r="BH205" t="s">
        <v>3</v>
      </c>
      <c r="BI205" t="s">
        <v>3</v>
      </c>
      <c r="BJ205" t="s">
        <v>97</v>
      </c>
      <c r="BK205" t="s">
        <v>3</v>
      </c>
      <c r="BL205" t="s">
        <v>96</v>
      </c>
      <c r="BM205" t="s">
        <v>1</v>
      </c>
      <c r="BN205">
        <v>14800</v>
      </c>
      <c r="BO205" t="s">
        <v>1</v>
      </c>
      <c r="BP205" t="s">
        <v>1</v>
      </c>
      <c r="BQ205" t="s">
        <v>1</v>
      </c>
      <c r="BR205" t="s">
        <v>1</v>
      </c>
      <c r="BS205" t="s">
        <v>1</v>
      </c>
      <c r="BT205" t="s">
        <v>1</v>
      </c>
      <c r="BU205" t="s">
        <v>1</v>
      </c>
      <c r="BV205" t="s">
        <v>1</v>
      </c>
      <c r="BW205" t="s">
        <v>0</v>
      </c>
      <c r="BX205" t="s">
        <v>1</v>
      </c>
      <c r="BY205" t="s">
        <v>1</v>
      </c>
      <c r="BZ205" t="s">
        <v>1</v>
      </c>
      <c r="CA205" t="s">
        <v>1</v>
      </c>
      <c r="CB205" t="s">
        <v>1</v>
      </c>
      <c r="CD205" t="e" cm="1">
        <f t="array" aca="1" ref="CD205" ca="1">eConcatenar(A205:CB205,"|")</f>
        <v>#NAME?</v>
      </c>
    </row>
    <row r="206" spans="1:82" x14ac:dyDescent="0.25">
      <c r="A206" t="s">
        <v>301</v>
      </c>
      <c r="B206" t="s">
        <v>1310</v>
      </c>
      <c r="C206">
        <v>3</v>
      </c>
      <c r="D206" t="s">
        <v>2155</v>
      </c>
      <c r="E206" t="s">
        <v>2158</v>
      </c>
      <c r="F206" t="s">
        <v>2160</v>
      </c>
      <c r="G206" t="s">
        <v>2288</v>
      </c>
      <c r="H206" t="s">
        <v>2829</v>
      </c>
      <c r="I206">
        <v>12900</v>
      </c>
      <c r="J206">
        <v>0</v>
      </c>
      <c r="K206">
        <v>200</v>
      </c>
      <c r="L206">
        <v>50</v>
      </c>
      <c r="M206">
        <v>1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 t="s">
        <v>3290</v>
      </c>
      <c r="AC206" t="s">
        <v>5</v>
      </c>
      <c r="AD206" t="s">
        <v>3447</v>
      </c>
      <c r="AE206" t="s">
        <v>4</v>
      </c>
      <c r="AF206" t="s">
        <v>1</v>
      </c>
      <c r="AG206" t="s">
        <v>1</v>
      </c>
      <c r="AH206" t="s">
        <v>4256</v>
      </c>
      <c r="AI206" t="s">
        <v>2288</v>
      </c>
      <c r="AJ206" t="s">
        <v>1</v>
      </c>
      <c r="AK206">
        <v>9371055775</v>
      </c>
      <c r="AL206" t="s">
        <v>1</v>
      </c>
      <c r="AM206" t="s">
        <v>1</v>
      </c>
      <c r="AN206" t="s">
        <v>1</v>
      </c>
      <c r="AO206" t="s">
        <v>4256</v>
      </c>
      <c r="AP206" t="s">
        <v>1</v>
      </c>
      <c r="AQ206" t="s">
        <v>2</v>
      </c>
      <c r="AR206" t="s">
        <v>1</v>
      </c>
      <c r="AS206" t="s">
        <v>1</v>
      </c>
      <c r="AT206" t="s">
        <v>1</v>
      </c>
      <c r="AU206" t="s">
        <v>1</v>
      </c>
      <c r="AV206" t="s">
        <v>1</v>
      </c>
      <c r="AW206" t="s">
        <v>9</v>
      </c>
      <c r="AX206">
        <f>Tabla1[[#This Row],[precio del paquete]]-Tabla1[[#This Row],[Saldo_Deudor]]</f>
        <v>600</v>
      </c>
      <c r="AY206">
        <v>12300</v>
      </c>
      <c r="AZ206">
        <v>0</v>
      </c>
      <c r="BA206">
        <v>0</v>
      </c>
      <c r="BB206">
        <v>0</v>
      </c>
      <c r="BC206" t="s">
        <v>2733</v>
      </c>
      <c r="BD206" t="s">
        <v>4928</v>
      </c>
      <c r="BE206" t="s">
        <v>3</v>
      </c>
      <c r="BF206" t="s">
        <v>3</v>
      </c>
      <c r="BG206" t="s">
        <v>3</v>
      </c>
      <c r="BH206" t="s">
        <v>3</v>
      </c>
      <c r="BI206" t="s">
        <v>3</v>
      </c>
      <c r="BJ206" t="s">
        <v>4987</v>
      </c>
      <c r="BK206" t="s">
        <v>3</v>
      </c>
      <c r="BL206" t="s">
        <v>96</v>
      </c>
      <c r="BM206" t="s">
        <v>1</v>
      </c>
      <c r="BN206">
        <v>12900</v>
      </c>
      <c r="BO206" t="s">
        <v>1</v>
      </c>
      <c r="BP206" t="s">
        <v>1</v>
      </c>
      <c r="BQ206" t="s">
        <v>1</v>
      </c>
      <c r="BR206" t="s">
        <v>1</v>
      </c>
      <c r="BS206" t="s">
        <v>1</v>
      </c>
      <c r="BT206" t="s">
        <v>1</v>
      </c>
      <c r="BU206" t="s">
        <v>1</v>
      </c>
      <c r="BV206" t="s">
        <v>1</v>
      </c>
      <c r="BW206" t="s">
        <v>0</v>
      </c>
      <c r="BX206" t="s">
        <v>1</v>
      </c>
      <c r="BY206" t="s">
        <v>1</v>
      </c>
      <c r="BZ206" t="s">
        <v>1</v>
      </c>
      <c r="CA206" t="s">
        <v>1</v>
      </c>
      <c r="CB206" t="s">
        <v>1</v>
      </c>
      <c r="CD206" t="e" cm="1">
        <f t="array" aca="1" ref="CD206" ca="1">eConcatenar(A206:CB206,"|")</f>
        <v>#NAME?</v>
      </c>
    </row>
    <row r="207" spans="1:82" x14ac:dyDescent="0.25">
      <c r="A207" t="s">
        <v>302</v>
      </c>
      <c r="B207" t="s">
        <v>1311</v>
      </c>
      <c r="C207">
        <v>3</v>
      </c>
      <c r="D207" t="s">
        <v>2153</v>
      </c>
      <c r="E207" t="s">
        <v>2158</v>
      </c>
      <c r="F207" t="s">
        <v>2161</v>
      </c>
      <c r="G207" t="s">
        <v>2289</v>
      </c>
      <c r="H207" t="s">
        <v>2802</v>
      </c>
      <c r="I207">
        <v>14800</v>
      </c>
      <c r="J207">
        <v>0</v>
      </c>
      <c r="K207">
        <v>50</v>
      </c>
      <c r="L207">
        <v>50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 t="s">
        <v>3379</v>
      </c>
      <c r="AC207" t="s">
        <v>3276</v>
      </c>
      <c r="AD207" t="s">
        <v>3448</v>
      </c>
      <c r="AE207" t="s">
        <v>4</v>
      </c>
      <c r="AF207" t="s">
        <v>1</v>
      </c>
      <c r="AG207" t="s">
        <v>1</v>
      </c>
      <c r="AH207" t="s">
        <v>4257</v>
      </c>
      <c r="AI207" t="s">
        <v>2289</v>
      </c>
      <c r="AJ207" t="s">
        <v>1</v>
      </c>
      <c r="AK207">
        <v>9371031517</v>
      </c>
      <c r="AL207" t="s">
        <v>1</v>
      </c>
      <c r="AM207" t="s">
        <v>1</v>
      </c>
      <c r="AN207" t="s">
        <v>1</v>
      </c>
      <c r="AO207" t="s">
        <v>4257</v>
      </c>
      <c r="AP207" t="s">
        <v>1</v>
      </c>
      <c r="AQ207" t="s">
        <v>2</v>
      </c>
      <c r="AR207" t="s">
        <v>1</v>
      </c>
      <c r="AS207" t="s">
        <v>1</v>
      </c>
      <c r="AT207" t="s">
        <v>1</v>
      </c>
      <c r="AU207" t="s">
        <v>1</v>
      </c>
      <c r="AV207" t="s">
        <v>1</v>
      </c>
      <c r="AW207" t="s">
        <v>9</v>
      </c>
      <c r="AX207">
        <f>Tabla1[[#This Row],[precio del paquete]]-Tabla1[[#This Row],[Saldo_Deudor]]</f>
        <v>800</v>
      </c>
      <c r="AY207">
        <v>14000</v>
      </c>
      <c r="AZ207">
        <v>0</v>
      </c>
      <c r="BA207">
        <v>0</v>
      </c>
      <c r="BB207">
        <v>0</v>
      </c>
      <c r="BC207" t="s">
        <v>4829</v>
      </c>
      <c r="BD207" t="s">
        <v>4900</v>
      </c>
      <c r="BE207" t="s">
        <v>3</v>
      </c>
      <c r="BF207" t="s">
        <v>3</v>
      </c>
      <c r="BG207" t="s">
        <v>3</v>
      </c>
      <c r="BH207" t="s">
        <v>3</v>
      </c>
      <c r="BI207" t="s">
        <v>3</v>
      </c>
      <c r="BJ207" t="s">
        <v>4985</v>
      </c>
      <c r="BK207" t="s">
        <v>3</v>
      </c>
      <c r="BL207" t="s">
        <v>96</v>
      </c>
      <c r="BM207" t="s">
        <v>1</v>
      </c>
      <c r="BN207">
        <v>14800</v>
      </c>
      <c r="BO207" t="s">
        <v>1</v>
      </c>
      <c r="BP207" t="s">
        <v>1</v>
      </c>
      <c r="BQ207" t="s">
        <v>1</v>
      </c>
      <c r="BR207" t="s">
        <v>1</v>
      </c>
      <c r="BS207" t="s">
        <v>1</v>
      </c>
      <c r="BT207" t="s">
        <v>1</v>
      </c>
      <c r="BU207" t="s">
        <v>1</v>
      </c>
      <c r="BV207" t="s">
        <v>1</v>
      </c>
      <c r="BW207" t="s">
        <v>0</v>
      </c>
      <c r="BX207" t="s">
        <v>1</v>
      </c>
      <c r="BY207" t="s">
        <v>1</v>
      </c>
      <c r="BZ207" t="s">
        <v>1</v>
      </c>
      <c r="CA207" t="s">
        <v>1</v>
      </c>
      <c r="CB207" t="s">
        <v>1</v>
      </c>
      <c r="CD207" t="e" cm="1">
        <f t="array" aca="1" ref="CD207" ca="1">eConcatenar(A207:CB207,"|")</f>
        <v>#NAME?</v>
      </c>
    </row>
    <row r="208" spans="1:82" x14ac:dyDescent="0.25">
      <c r="A208" t="s">
        <v>303</v>
      </c>
      <c r="B208" t="s">
        <v>1312</v>
      </c>
      <c r="C208">
        <v>3</v>
      </c>
      <c r="D208" t="s">
        <v>2153</v>
      </c>
      <c r="E208" t="s">
        <v>2158</v>
      </c>
      <c r="F208" t="s">
        <v>2159</v>
      </c>
      <c r="G208" t="s">
        <v>2290</v>
      </c>
      <c r="H208" t="s">
        <v>2830</v>
      </c>
      <c r="I208">
        <v>14800</v>
      </c>
      <c r="J208">
        <v>0</v>
      </c>
      <c r="K208">
        <v>100</v>
      </c>
      <c r="L208">
        <v>50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 t="s">
        <v>3423</v>
      </c>
      <c r="AC208" t="s">
        <v>3311</v>
      </c>
      <c r="AD208" t="s">
        <v>3449</v>
      </c>
      <c r="AE208" t="s">
        <v>4</v>
      </c>
      <c r="AF208" t="s">
        <v>1</v>
      </c>
      <c r="AG208" t="s">
        <v>1</v>
      </c>
      <c r="AH208" t="s">
        <v>4218</v>
      </c>
      <c r="AI208" t="s">
        <v>2290</v>
      </c>
      <c r="AJ208" t="s">
        <v>1</v>
      </c>
      <c r="AK208">
        <v>9333271016</v>
      </c>
      <c r="AL208" t="s">
        <v>1</v>
      </c>
      <c r="AM208" t="s">
        <v>1</v>
      </c>
      <c r="AN208" t="s">
        <v>1</v>
      </c>
      <c r="AO208" t="s">
        <v>4218</v>
      </c>
      <c r="AP208" t="s">
        <v>1</v>
      </c>
      <c r="AQ208" t="s">
        <v>2</v>
      </c>
      <c r="AR208" t="s">
        <v>1</v>
      </c>
      <c r="AS208" t="s">
        <v>1</v>
      </c>
      <c r="AT208" t="s">
        <v>1</v>
      </c>
      <c r="AU208" t="s">
        <v>1</v>
      </c>
      <c r="AV208" t="s">
        <v>1</v>
      </c>
      <c r="AW208" t="s">
        <v>9</v>
      </c>
      <c r="AX208">
        <f>Tabla1[[#This Row],[precio del paquete]]-Tabla1[[#This Row],[Saldo_Deudor]]</f>
        <v>300</v>
      </c>
      <c r="AY208">
        <v>14500</v>
      </c>
      <c r="AZ208">
        <v>0</v>
      </c>
      <c r="BA208">
        <v>0</v>
      </c>
      <c r="BB208">
        <v>0</v>
      </c>
      <c r="BC208" t="s">
        <v>2775</v>
      </c>
      <c r="BD208" t="s">
        <v>2740</v>
      </c>
      <c r="BE208" t="s">
        <v>3</v>
      </c>
      <c r="BF208" t="s">
        <v>3</v>
      </c>
      <c r="BG208" t="s">
        <v>3</v>
      </c>
      <c r="BH208" t="s">
        <v>3</v>
      </c>
      <c r="BI208" t="s">
        <v>3</v>
      </c>
      <c r="BJ208" t="s">
        <v>4983</v>
      </c>
      <c r="BK208" t="s">
        <v>3</v>
      </c>
      <c r="BL208" t="s">
        <v>96</v>
      </c>
      <c r="BM208" t="s">
        <v>1</v>
      </c>
      <c r="BN208">
        <v>14800</v>
      </c>
      <c r="BO208" t="s">
        <v>1</v>
      </c>
      <c r="BP208" t="s">
        <v>1</v>
      </c>
      <c r="BQ208" t="s">
        <v>1</v>
      </c>
      <c r="BR208" t="s">
        <v>1</v>
      </c>
      <c r="BS208" t="s">
        <v>1</v>
      </c>
      <c r="BT208" t="s">
        <v>1</v>
      </c>
      <c r="BU208" t="s">
        <v>1</v>
      </c>
      <c r="BV208" t="s">
        <v>1</v>
      </c>
      <c r="BW208" t="s">
        <v>0</v>
      </c>
      <c r="BX208" t="s">
        <v>1</v>
      </c>
      <c r="BY208" t="s">
        <v>1</v>
      </c>
      <c r="BZ208" t="s">
        <v>1</v>
      </c>
      <c r="CA208" t="s">
        <v>1</v>
      </c>
      <c r="CB208" t="s">
        <v>1</v>
      </c>
      <c r="CD208" t="e" cm="1">
        <f t="array" aca="1" ref="CD208" ca="1">eConcatenar(A208:CB208,"|")</f>
        <v>#NAME?</v>
      </c>
    </row>
    <row r="209" spans="1:82" x14ac:dyDescent="0.25">
      <c r="A209" t="s">
        <v>304</v>
      </c>
      <c r="B209" t="s">
        <v>1313</v>
      </c>
      <c r="C209">
        <v>3</v>
      </c>
      <c r="D209" t="s">
        <v>2153</v>
      </c>
      <c r="E209" t="s">
        <v>2158</v>
      </c>
      <c r="F209" t="s">
        <v>0</v>
      </c>
      <c r="G209" t="s">
        <v>2291</v>
      </c>
      <c r="H209" t="s">
        <v>2807</v>
      </c>
      <c r="I209">
        <v>14800</v>
      </c>
      <c r="J209">
        <v>0</v>
      </c>
      <c r="K209">
        <v>100</v>
      </c>
      <c r="L209">
        <v>50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 t="s">
        <v>5</v>
      </c>
      <c r="AC209" t="s">
        <v>3117</v>
      </c>
      <c r="AD209" t="s">
        <v>3156</v>
      </c>
      <c r="AE209" t="s">
        <v>4</v>
      </c>
      <c r="AF209" t="s">
        <v>1</v>
      </c>
      <c r="AG209" t="s">
        <v>1</v>
      </c>
      <c r="AH209" t="s">
        <v>2207</v>
      </c>
      <c r="AI209" t="s">
        <v>2291</v>
      </c>
      <c r="AJ209" t="s">
        <v>1</v>
      </c>
      <c r="AK209" t="s">
        <v>1</v>
      </c>
      <c r="AL209" t="s">
        <v>1</v>
      </c>
      <c r="AM209" t="s">
        <v>1</v>
      </c>
      <c r="AN209" t="s">
        <v>1</v>
      </c>
      <c r="AO209" t="s">
        <v>2207</v>
      </c>
      <c r="AP209" t="s">
        <v>1</v>
      </c>
      <c r="AQ209" t="s">
        <v>2</v>
      </c>
      <c r="AR209" t="s">
        <v>1</v>
      </c>
      <c r="AS209" t="s">
        <v>1</v>
      </c>
      <c r="AT209" t="s">
        <v>1</v>
      </c>
      <c r="AU209" t="s">
        <v>1</v>
      </c>
      <c r="AV209" t="s">
        <v>1</v>
      </c>
      <c r="AW209" t="s">
        <v>9</v>
      </c>
      <c r="AX209">
        <f>Tabla1[[#This Row],[precio del paquete]]-Tabla1[[#This Row],[Saldo_Deudor]]</f>
        <v>1300</v>
      </c>
      <c r="AY209">
        <v>13500</v>
      </c>
      <c r="AZ209">
        <v>0</v>
      </c>
      <c r="BA209">
        <v>0</v>
      </c>
      <c r="BB209">
        <v>0</v>
      </c>
      <c r="BC209" t="s">
        <v>2928</v>
      </c>
      <c r="BD209" t="s">
        <v>2711</v>
      </c>
      <c r="BE209" t="s">
        <v>3</v>
      </c>
      <c r="BF209" t="s">
        <v>3</v>
      </c>
      <c r="BG209" t="s">
        <v>3</v>
      </c>
      <c r="BH209" t="s">
        <v>3</v>
      </c>
      <c r="BI209" t="s">
        <v>3</v>
      </c>
      <c r="BJ209" t="s">
        <v>5003</v>
      </c>
      <c r="BK209" t="s">
        <v>3</v>
      </c>
      <c r="BL209" t="s">
        <v>96</v>
      </c>
      <c r="BM209" t="s">
        <v>1</v>
      </c>
      <c r="BN209">
        <v>14800</v>
      </c>
      <c r="BO209" t="s">
        <v>1</v>
      </c>
      <c r="BP209" t="s">
        <v>1</v>
      </c>
      <c r="BQ209" t="s">
        <v>1</v>
      </c>
      <c r="BR209" t="s">
        <v>1</v>
      </c>
      <c r="BS209" t="s">
        <v>1</v>
      </c>
      <c r="BT209" t="s">
        <v>1</v>
      </c>
      <c r="BU209" t="s">
        <v>1</v>
      </c>
      <c r="BV209" t="s">
        <v>1</v>
      </c>
      <c r="BW209" t="s">
        <v>0</v>
      </c>
      <c r="BX209" t="s">
        <v>1</v>
      </c>
      <c r="BY209" t="s">
        <v>1</v>
      </c>
      <c r="BZ209" t="s">
        <v>1</v>
      </c>
      <c r="CA209" t="s">
        <v>1</v>
      </c>
      <c r="CB209" t="s">
        <v>1</v>
      </c>
      <c r="CD209" t="e" cm="1">
        <f t="array" aca="1" ref="CD209" ca="1">eConcatenar(A209:CB209,"|")</f>
        <v>#NAME?</v>
      </c>
    </row>
    <row r="210" spans="1:82" x14ac:dyDescent="0.25">
      <c r="A210" t="s">
        <v>305</v>
      </c>
      <c r="B210" t="s">
        <v>1314</v>
      </c>
      <c r="C210">
        <v>3</v>
      </c>
      <c r="D210" t="s">
        <v>2153</v>
      </c>
      <c r="E210" t="s">
        <v>2158</v>
      </c>
      <c r="F210" t="s">
        <v>0</v>
      </c>
      <c r="G210" t="s">
        <v>2291</v>
      </c>
      <c r="H210" t="s">
        <v>2727</v>
      </c>
      <c r="I210">
        <v>14800</v>
      </c>
      <c r="J210">
        <v>0</v>
      </c>
      <c r="K210">
        <v>100</v>
      </c>
      <c r="L210">
        <v>50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 t="s">
        <v>3236</v>
      </c>
      <c r="AC210" t="s">
        <v>3180</v>
      </c>
      <c r="AD210" t="s">
        <v>3450</v>
      </c>
      <c r="AE210" t="s">
        <v>4</v>
      </c>
      <c r="AF210" t="s">
        <v>1</v>
      </c>
      <c r="AG210" t="s">
        <v>1</v>
      </c>
      <c r="AH210" t="s">
        <v>2207</v>
      </c>
      <c r="AI210" t="s">
        <v>2291</v>
      </c>
      <c r="AJ210" t="s">
        <v>1</v>
      </c>
      <c r="AK210" t="s">
        <v>1</v>
      </c>
      <c r="AL210" t="s">
        <v>1</v>
      </c>
      <c r="AM210" t="s">
        <v>1</v>
      </c>
      <c r="AN210" t="s">
        <v>1</v>
      </c>
      <c r="AO210" t="s">
        <v>2207</v>
      </c>
      <c r="AP210" t="s">
        <v>1</v>
      </c>
      <c r="AQ210" t="s">
        <v>2</v>
      </c>
      <c r="AR210" t="s">
        <v>1</v>
      </c>
      <c r="AS210" t="s">
        <v>1</v>
      </c>
      <c r="AT210" t="s">
        <v>1</v>
      </c>
      <c r="AU210" t="s">
        <v>1</v>
      </c>
      <c r="AV210" t="s">
        <v>1</v>
      </c>
      <c r="AW210" t="s">
        <v>9</v>
      </c>
      <c r="AX210">
        <f>Tabla1[[#This Row],[precio del paquete]]-Tabla1[[#This Row],[Saldo_Deudor]]</f>
        <v>200</v>
      </c>
      <c r="AY210">
        <v>14600</v>
      </c>
      <c r="AZ210">
        <v>0</v>
      </c>
      <c r="BA210">
        <v>0</v>
      </c>
      <c r="BB210">
        <v>0</v>
      </c>
      <c r="BC210" t="s">
        <v>4826</v>
      </c>
      <c r="BD210" t="s">
        <v>2706</v>
      </c>
      <c r="BE210" t="s">
        <v>3</v>
      </c>
      <c r="BF210" t="s">
        <v>3</v>
      </c>
      <c r="BG210" t="s">
        <v>3</v>
      </c>
      <c r="BH210" t="s">
        <v>3</v>
      </c>
      <c r="BI210" t="s">
        <v>3</v>
      </c>
      <c r="BJ210" t="s">
        <v>97</v>
      </c>
      <c r="BK210" t="s">
        <v>3</v>
      </c>
      <c r="BL210" t="s">
        <v>96</v>
      </c>
      <c r="BM210" t="s">
        <v>1</v>
      </c>
      <c r="BN210">
        <v>14800</v>
      </c>
      <c r="BO210" t="s">
        <v>1</v>
      </c>
      <c r="BP210" t="s">
        <v>1</v>
      </c>
      <c r="BQ210" t="s">
        <v>1</v>
      </c>
      <c r="BR210" t="s">
        <v>1</v>
      </c>
      <c r="BS210" t="s">
        <v>1</v>
      </c>
      <c r="BT210" t="s">
        <v>1</v>
      </c>
      <c r="BU210" t="s">
        <v>1</v>
      </c>
      <c r="BV210" t="s">
        <v>1</v>
      </c>
      <c r="BW210" t="s">
        <v>0</v>
      </c>
      <c r="BX210" t="s">
        <v>1</v>
      </c>
      <c r="BY210" t="s">
        <v>1</v>
      </c>
      <c r="BZ210" t="s">
        <v>1</v>
      </c>
      <c r="CA210" t="s">
        <v>1</v>
      </c>
      <c r="CB210" t="s">
        <v>1</v>
      </c>
      <c r="CD210" t="e" cm="1">
        <f t="array" aca="1" ref="CD210" ca="1">eConcatenar(A210:CB210,"|")</f>
        <v>#NAME?</v>
      </c>
    </row>
    <row r="211" spans="1:82" x14ac:dyDescent="0.25">
      <c r="A211" t="s">
        <v>306</v>
      </c>
      <c r="B211" t="s">
        <v>1315</v>
      </c>
      <c r="C211">
        <v>3</v>
      </c>
      <c r="D211" t="s">
        <v>2153</v>
      </c>
      <c r="E211" t="s">
        <v>2158</v>
      </c>
      <c r="F211" t="s">
        <v>2161</v>
      </c>
      <c r="G211" t="s">
        <v>2292</v>
      </c>
      <c r="H211" t="s">
        <v>2735</v>
      </c>
      <c r="I211">
        <v>14800</v>
      </c>
      <c r="J211">
        <v>0</v>
      </c>
      <c r="K211">
        <v>100</v>
      </c>
      <c r="L211">
        <v>50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 t="s">
        <v>3246</v>
      </c>
      <c r="AC211" t="s">
        <v>3132</v>
      </c>
      <c r="AD211" t="s">
        <v>3451</v>
      </c>
      <c r="AE211" t="s">
        <v>4</v>
      </c>
      <c r="AF211" t="s">
        <v>1</v>
      </c>
      <c r="AG211" t="s">
        <v>1</v>
      </c>
      <c r="AH211" t="s">
        <v>4258</v>
      </c>
      <c r="AI211" t="s">
        <v>2292</v>
      </c>
      <c r="AJ211" t="s">
        <v>1</v>
      </c>
      <c r="AK211">
        <v>9141231843</v>
      </c>
      <c r="AL211" t="s">
        <v>1</v>
      </c>
      <c r="AM211" t="s">
        <v>1</v>
      </c>
      <c r="AN211" t="s">
        <v>1</v>
      </c>
      <c r="AO211" t="s">
        <v>4258</v>
      </c>
      <c r="AP211" t="s">
        <v>1</v>
      </c>
      <c r="AQ211" t="s">
        <v>2</v>
      </c>
      <c r="AR211" t="s">
        <v>1</v>
      </c>
      <c r="AS211" t="s">
        <v>1</v>
      </c>
      <c r="AT211" t="s">
        <v>1</v>
      </c>
      <c r="AU211" t="s">
        <v>1</v>
      </c>
      <c r="AV211" t="s">
        <v>1</v>
      </c>
      <c r="AW211" t="s">
        <v>9</v>
      </c>
      <c r="AX211">
        <f>Tabla1[[#This Row],[precio del paquete]]-Tabla1[[#This Row],[Saldo_Deudor]]</f>
        <v>2400</v>
      </c>
      <c r="AY211">
        <v>12400</v>
      </c>
      <c r="AZ211">
        <v>0</v>
      </c>
      <c r="BA211">
        <v>0</v>
      </c>
      <c r="BB211">
        <v>0</v>
      </c>
      <c r="BC211" t="s">
        <v>3098</v>
      </c>
      <c r="BD211" t="s">
        <v>4829</v>
      </c>
      <c r="BE211" t="s">
        <v>3</v>
      </c>
      <c r="BF211" t="s">
        <v>3</v>
      </c>
      <c r="BG211" t="s">
        <v>3</v>
      </c>
      <c r="BH211" t="s">
        <v>3</v>
      </c>
      <c r="BI211" t="s">
        <v>3</v>
      </c>
      <c r="BJ211" t="s">
        <v>97</v>
      </c>
      <c r="BK211" t="s">
        <v>3</v>
      </c>
      <c r="BL211" t="s">
        <v>96</v>
      </c>
      <c r="BM211" t="s">
        <v>1</v>
      </c>
      <c r="BN211">
        <v>14800</v>
      </c>
      <c r="BO211" t="s">
        <v>1</v>
      </c>
      <c r="BP211" t="s">
        <v>1</v>
      </c>
      <c r="BQ211" t="s">
        <v>1</v>
      </c>
      <c r="BR211" t="s">
        <v>1</v>
      </c>
      <c r="BS211" t="s">
        <v>1</v>
      </c>
      <c r="BT211" t="s">
        <v>1</v>
      </c>
      <c r="BU211" t="s">
        <v>1</v>
      </c>
      <c r="BV211" t="s">
        <v>1</v>
      </c>
      <c r="BW211" t="s">
        <v>0</v>
      </c>
      <c r="BX211" t="s">
        <v>1</v>
      </c>
      <c r="BY211" t="s">
        <v>1</v>
      </c>
      <c r="BZ211" t="s">
        <v>1</v>
      </c>
      <c r="CA211" t="s">
        <v>1</v>
      </c>
      <c r="CB211" t="s">
        <v>1</v>
      </c>
      <c r="CD211" t="e" cm="1">
        <f t="array" aca="1" ref="CD211" ca="1">eConcatenar(A211:CB211,"|")</f>
        <v>#NAME?</v>
      </c>
    </row>
    <row r="212" spans="1:82" x14ac:dyDescent="0.25">
      <c r="A212" t="s">
        <v>307</v>
      </c>
      <c r="B212" t="s">
        <v>1316</v>
      </c>
      <c r="C212">
        <v>3</v>
      </c>
      <c r="D212" t="s">
        <v>2153</v>
      </c>
      <c r="E212" t="s">
        <v>2158</v>
      </c>
      <c r="F212" t="s">
        <v>2161</v>
      </c>
      <c r="G212" t="s">
        <v>2293</v>
      </c>
      <c r="H212" t="s">
        <v>2735</v>
      </c>
      <c r="I212">
        <v>14800</v>
      </c>
      <c r="J212">
        <v>0</v>
      </c>
      <c r="K212">
        <v>100</v>
      </c>
      <c r="L212">
        <v>50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 t="s">
        <v>3290</v>
      </c>
      <c r="AC212" t="s">
        <v>6</v>
      </c>
      <c r="AD212" t="s">
        <v>3452</v>
      </c>
      <c r="AE212" t="s">
        <v>4</v>
      </c>
      <c r="AF212" t="s">
        <v>1</v>
      </c>
      <c r="AG212" t="s">
        <v>1</v>
      </c>
      <c r="AH212" t="s">
        <v>4259</v>
      </c>
      <c r="AI212" t="s">
        <v>2293</v>
      </c>
      <c r="AJ212" t="s">
        <v>1</v>
      </c>
      <c r="AK212">
        <v>9141196823</v>
      </c>
      <c r="AL212" t="s">
        <v>1</v>
      </c>
      <c r="AM212" t="s">
        <v>1</v>
      </c>
      <c r="AN212" t="s">
        <v>1</v>
      </c>
      <c r="AO212" t="s">
        <v>4259</v>
      </c>
      <c r="AP212" t="s">
        <v>1</v>
      </c>
      <c r="AQ212" t="s">
        <v>2</v>
      </c>
      <c r="AR212" t="s">
        <v>1</v>
      </c>
      <c r="AS212" t="s">
        <v>1</v>
      </c>
      <c r="AT212" t="s">
        <v>1</v>
      </c>
      <c r="AU212" t="s">
        <v>1</v>
      </c>
      <c r="AV212" t="s">
        <v>1</v>
      </c>
      <c r="AW212" t="s">
        <v>9</v>
      </c>
      <c r="AX212">
        <f>Tabla1[[#This Row],[precio del paquete]]-Tabla1[[#This Row],[Saldo_Deudor]]</f>
        <v>850</v>
      </c>
      <c r="AY212">
        <v>13950</v>
      </c>
      <c r="AZ212">
        <v>0</v>
      </c>
      <c r="BA212">
        <v>0</v>
      </c>
      <c r="BB212">
        <v>0</v>
      </c>
      <c r="BC212" t="s">
        <v>4829</v>
      </c>
      <c r="BD212" t="s">
        <v>4900</v>
      </c>
      <c r="BE212" t="s">
        <v>3</v>
      </c>
      <c r="BF212" t="s">
        <v>3</v>
      </c>
      <c r="BG212" t="s">
        <v>3</v>
      </c>
      <c r="BH212" t="s">
        <v>3</v>
      </c>
      <c r="BI212" t="s">
        <v>3</v>
      </c>
      <c r="BJ212" t="s">
        <v>4983</v>
      </c>
      <c r="BK212" t="s">
        <v>3</v>
      </c>
      <c r="BL212" t="s">
        <v>96</v>
      </c>
      <c r="BM212" t="s">
        <v>1</v>
      </c>
      <c r="BN212">
        <v>14800</v>
      </c>
      <c r="BO212" t="s">
        <v>1</v>
      </c>
      <c r="BP212" t="s">
        <v>1</v>
      </c>
      <c r="BQ212" t="s">
        <v>1</v>
      </c>
      <c r="BR212" t="s">
        <v>1</v>
      </c>
      <c r="BS212" t="s">
        <v>1</v>
      </c>
      <c r="BT212" t="s">
        <v>1</v>
      </c>
      <c r="BU212" t="s">
        <v>1</v>
      </c>
      <c r="BV212" t="s">
        <v>1</v>
      </c>
      <c r="BW212" t="s">
        <v>0</v>
      </c>
      <c r="BX212" t="s">
        <v>1</v>
      </c>
      <c r="BY212" t="s">
        <v>1</v>
      </c>
      <c r="BZ212" t="s">
        <v>1</v>
      </c>
      <c r="CA212" t="s">
        <v>1</v>
      </c>
      <c r="CB212" t="s">
        <v>1</v>
      </c>
      <c r="CD212" t="e" cm="1">
        <f t="array" aca="1" ref="CD212" ca="1">eConcatenar(A212:CB212,"|")</f>
        <v>#NAME?</v>
      </c>
    </row>
    <row r="213" spans="1:82" x14ac:dyDescent="0.25">
      <c r="A213" t="s">
        <v>308</v>
      </c>
      <c r="B213" t="s">
        <v>1317</v>
      </c>
      <c r="C213">
        <v>3</v>
      </c>
      <c r="D213" t="s">
        <v>2153</v>
      </c>
      <c r="E213" t="s">
        <v>2158</v>
      </c>
      <c r="F213" t="s">
        <v>2161</v>
      </c>
      <c r="G213" t="s">
        <v>2294</v>
      </c>
      <c r="H213" t="s">
        <v>2831</v>
      </c>
      <c r="I213">
        <v>14800</v>
      </c>
      <c r="J213">
        <v>0</v>
      </c>
      <c r="K213">
        <v>300</v>
      </c>
      <c r="L213">
        <v>50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 t="s">
        <v>3115</v>
      </c>
      <c r="AC213" t="s">
        <v>3453</v>
      </c>
      <c r="AD213" t="s">
        <v>3401</v>
      </c>
      <c r="AE213" t="s">
        <v>4</v>
      </c>
      <c r="AF213" t="s">
        <v>1</v>
      </c>
      <c r="AG213" t="s">
        <v>1</v>
      </c>
      <c r="AH213" t="s">
        <v>4260</v>
      </c>
      <c r="AI213" t="s">
        <v>2294</v>
      </c>
      <c r="AJ213" t="s">
        <v>1</v>
      </c>
      <c r="AK213">
        <v>9931760210</v>
      </c>
      <c r="AL213" t="s">
        <v>1</v>
      </c>
      <c r="AM213" t="s">
        <v>1</v>
      </c>
      <c r="AN213" t="s">
        <v>1</v>
      </c>
      <c r="AO213" t="s">
        <v>4260</v>
      </c>
      <c r="AP213" t="s">
        <v>1</v>
      </c>
      <c r="AQ213" t="s">
        <v>2</v>
      </c>
      <c r="AR213" t="s">
        <v>1</v>
      </c>
      <c r="AS213" t="s">
        <v>1</v>
      </c>
      <c r="AT213" t="s">
        <v>1</v>
      </c>
      <c r="AU213" t="s">
        <v>1</v>
      </c>
      <c r="AV213" t="s">
        <v>1</v>
      </c>
      <c r="AW213" t="s">
        <v>9</v>
      </c>
      <c r="AX213">
        <f>Tabla1[[#This Row],[precio del paquete]]-Tabla1[[#This Row],[Saldo_Deudor]]</f>
        <v>1100</v>
      </c>
      <c r="AY213">
        <v>13700</v>
      </c>
      <c r="AZ213">
        <v>0</v>
      </c>
      <c r="BA213">
        <v>0</v>
      </c>
      <c r="BB213">
        <v>0</v>
      </c>
      <c r="BC213" t="s">
        <v>2831</v>
      </c>
      <c r="BD213" t="s">
        <v>2774</v>
      </c>
      <c r="BE213" t="s">
        <v>3</v>
      </c>
      <c r="BF213" t="s">
        <v>3</v>
      </c>
      <c r="BG213" t="s">
        <v>3</v>
      </c>
      <c r="BH213" t="s">
        <v>3</v>
      </c>
      <c r="BI213" t="s">
        <v>3</v>
      </c>
      <c r="BJ213" t="s">
        <v>4986</v>
      </c>
      <c r="BK213" t="s">
        <v>3</v>
      </c>
      <c r="BL213" t="s">
        <v>96</v>
      </c>
      <c r="BM213" t="s">
        <v>1</v>
      </c>
      <c r="BN213">
        <v>14800</v>
      </c>
      <c r="BO213" t="s">
        <v>1</v>
      </c>
      <c r="BP213" t="s">
        <v>1</v>
      </c>
      <c r="BQ213" t="s">
        <v>1</v>
      </c>
      <c r="BR213" t="s">
        <v>1</v>
      </c>
      <c r="BS213" t="s">
        <v>1</v>
      </c>
      <c r="BT213" t="s">
        <v>1</v>
      </c>
      <c r="BU213" t="s">
        <v>1</v>
      </c>
      <c r="BV213" t="s">
        <v>1</v>
      </c>
      <c r="BW213" t="s">
        <v>0</v>
      </c>
      <c r="BX213" t="s">
        <v>1</v>
      </c>
      <c r="BY213" t="s">
        <v>1</v>
      </c>
      <c r="BZ213" t="s">
        <v>1</v>
      </c>
      <c r="CA213" t="s">
        <v>1</v>
      </c>
      <c r="CB213" t="s">
        <v>1</v>
      </c>
      <c r="CD213" t="e" cm="1">
        <f t="array" aca="1" ref="CD213" ca="1">eConcatenar(A213:CB213,"|")</f>
        <v>#NAME?</v>
      </c>
    </row>
    <row r="214" spans="1:82" x14ac:dyDescent="0.25">
      <c r="A214" t="s">
        <v>309</v>
      </c>
      <c r="B214" t="s">
        <v>1318</v>
      </c>
      <c r="C214">
        <v>3</v>
      </c>
      <c r="D214" t="s">
        <v>2153</v>
      </c>
      <c r="E214" t="s">
        <v>2158</v>
      </c>
      <c r="F214" t="s">
        <v>2161</v>
      </c>
      <c r="G214" t="s">
        <v>2295</v>
      </c>
      <c r="H214" t="s">
        <v>2831</v>
      </c>
      <c r="I214">
        <v>14800</v>
      </c>
      <c r="J214">
        <v>0</v>
      </c>
      <c r="K214">
        <v>300</v>
      </c>
      <c r="L214">
        <v>50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 t="s">
        <v>3157</v>
      </c>
      <c r="AC214" t="s">
        <v>3453</v>
      </c>
      <c r="AD214" t="s">
        <v>3454</v>
      </c>
      <c r="AE214" t="s">
        <v>4</v>
      </c>
      <c r="AF214" t="s">
        <v>1</v>
      </c>
      <c r="AG214" t="s">
        <v>1</v>
      </c>
      <c r="AH214" t="s">
        <v>4261</v>
      </c>
      <c r="AI214" t="s">
        <v>2295</v>
      </c>
      <c r="AJ214" t="s">
        <v>1</v>
      </c>
      <c r="AK214">
        <v>9331598515</v>
      </c>
      <c r="AL214" t="s">
        <v>1</v>
      </c>
      <c r="AM214" t="s">
        <v>1</v>
      </c>
      <c r="AN214" t="s">
        <v>1</v>
      </c>
      <c r="AO214" t="s">
        <v>4261</v>
      </c>
      <c r="AP214" t="s">
        <v>1</v>
      </c>
      <c r="AQ214" t="s">
        <v>2</v>
      </c>
      <c r="AR214" t="s">
        <v>1</v>
      </c>
      <c r="AS214" t="s">
        <v>1</v>
      </c>
      <c r="AT214" t="s">
        <v>1</v>
      </c>
      <c r="AU214" t="s">
        <v>1</v>
      </c>
      <c r="AV214" t="s">
        <v>1</v>
      </c>
      <c r="AW214" t="s">
        <v>9</v>
      </c>
      <c r="AX214">
        <f>Tabla1[[#This Row],[precio del paquete]]-Tabla1[[#This Row],[Saldo_Deudor]]</f>
        <v>1100</v>
      </c>
      <c r="AY214">
        <v>13700</v>
      </c>
      <c r="AZ214">
        <v>0</v>
      </c>
      <c r="BA214">
        <v>0</v>
      </c>
      <c r="BB214">
        <v>0</v>
      </c>
      <c r="BC214" t="s">
        <v>3024</v>
      </c>
      <c r="BD214" t="s">
        <v>4830</v>
      </c>
      <c r="BE214" t="s">
        <v>3</v>
      </c>
      <c r="BF214" t="s">
        <v>3</v>
      </c>
      <c r="BG214" t="s">
        <v>3</v>
      </c>
      <c r="BH214" t="s">
        <v>3</v>
      </c>
      <c r="BI214" t="s">
        <v>3</v>
      </c>
      <c r="BJ214" t="s">
        <v>4986</v>
      </c>
      <c r="BK214" t="s">
        <v>3</v>
      </c>
      <c r="BL214" t="s">
        <v>96</v>
      </c>
      <c r="BM214" t="s">
        <v>1</v>
      </c>
      <c r="BN214">
        <v>14800</v>
      </c>
      <c r="BO214" t="s">
        <v>1</v>
      </c>
      <c r="BP214" t="s">
        <v>1</v>
      </c>
      <c r="BQ214" t="s">
        <v>1</v>
      </c>
      <c r="BR214" t="s">
        <v>1</v>
      </c>
      <c r="BS214" t="s">
        <v>1</v>
      </c>
      <c r="BT214" t="s">
        <v>1</v>
      </c>
      <c r="BU214" t="s">
        <v>1</v>
      </c>
      <c r="BV214" t="s">
        <v>1</v>
      </c>
      <c r="BW214" t="s">
        <v>0</v>
      </c>
      <c r="BX214" t="s">
        <v>1</v>
      </c>
      <c r="BY214" t="s">
        <v>1</v>
      </c>
      <c r="BZ214" t="s">
        <v>1</v>
      </c>
      <c r="CA214" t="s">
        <v>1</v>
      </c>
      <c r="CB214" t="s">
        <v>1</v>
      </c>
      <c r="CD214" t="e" cm="1">
        <f t="array" aca="1" ref="CD214" ca="1">eConcatenar(A214:CB214,"|")</f>
        <v>#NAME?</v>
      </c>
    </row>
    <row r="215" spans="1:82" x14ac:dyDescent="0.25">
      <c r="A215" t="s">
        <v>310</v>
      </c>
      <c r="B215" t="s">
        <v>1319</v>
      </c>
      <c r="C215">
        <v>3</v>
      </c>
      <c r="D215" t="s">
        <v>2153</v>
      </c>
      <c r="E215" t="s">
        <v>2158</v>
      </c>
      <c r="F215" t="s">
        <v>2161</v>
      </c>
      <c r="G215" t="s">
        <v>2296</v>
      </c>
      <c r="H215" t="s">
        <v>2832</v>
      </c>
      <c r="I215">
        <v>14800</v>
      </c>
      <c r="J215">
        <v>0</v>
      </c>
      <c r="K215">
        <v>100</v>
      </c>
      <c r="L215">
        <v>50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 t="s">
        <v>3115</v>
      </c>
      <c r="AC215" t="s">
        <v>3455</v>
      </c>
      <c r="AD215" t="s">
        <v>3456</v>
      </c>
      <c r="AE215" t="s">
        <v>4</v>
      </c>
      <c r="AF215" t="s">
        <v>1</v>
      </c>
      <c r="AG215" t="s">
        <v>1</v>
      </c>
      <c r="AH215" t="s">
        <v>4262</v>
      </c>
      <c r="AI215" t="s">
        <v>2296</v>
      </c>
      <c r="AJ215" t="s">
        <v>1</v>
      </c>
      <c r="AK215">
        <v>9371349124</v>
      </c>
      <c r="AL215" t="s">
        <v>1</v>
      </c>
      <c r="AM215" t="s">
        <v>1</v>
      </c>
      <c r="AN215" t="s">
        <v>1</v>
      </c>
      <c r="AO215" t="s">
        <v>4262</v>
      </c>
      <c r="AP215" t="s">
        <v>1</v>
      </c>
      <c r="AQ215" t="s">
        <v>2</v>
      </c>
      <c r="AR215" t="s">
        <v>1</v>
      </c>
      <c r="AS215" t="s">
        <v>1</v>
      </c>
      <c r="AT215" t="s">
        <v>1</v>
      </c>
      <c r="AU215" t="s">
        <v>1</v>
      </c>
      <c r="AV215" t="s">
        <v>1</v>
      </c>
      <c r="AW215" t="s">
        <v>9</v>
      </c>
      <c r="AX215">
        <f>Tabla1[[#This Row],[precio del paquete]]-Tabla1[[#This Row],[Saldo_Deudor]]</f>
        <v>1200</v>
      </c>
      <c r="AY215">
        <v>13600</v>
      </c>
      <c r="AZ215">
        <v>0</v>
      </c>
      <c r="BA215">
        <v>0</v>
      </c>
      <c r="BB215">
        <v>0</v>
      </c>
      <c r="BC215" t="s">
        <v>3024</v>
      </c>
      <c r="BD215" t="s">
        <v>4830</v>
      </c>
      <c r="BE215" t="s">
        <v>3</v>
      </c>
      <c r="BF215" t="s">
        <v>3</v>
      </c>
      <c r="BG215" t="s">
        <v>3</v>
      </c>
      <c r="BH215" t="s">
        <v>3</v>
      </c>
      <c r="BI215" t="s">
        <v>3</v>
      </c>
      <c r="BJ215" t="s">
        <v>4986</v>
      </c>
      <c r="BK215" t="s">
        <v>3</v>
      </c>
      <c r="BL215" t="s">
        <v>96</v>
      </c>
      <c r="BM215" t="s">
        <v>1</v>
      </c>
      <c r="BN215">
        <v>14800</v>
      </c>
      <c r="BO215" t="s">
        <v>1</v>
      </c>
      <c r="BP215" t="s">
        <v>1</v>
      </c>
      <c r="BQ215" t="s">
        <v>1</v>
      </c>
      <c r="BR215" t="s">
        <v>1</v>
      </c>
      <c r="BS215" t="s">
        <v>1</v>
      </c>
      <c r="BT215" t="s">
        <v>1</v>
      </c>
      <c r="BU215" t="s">
        <v>1</v>
      </c>
      <c r="BV215" t="s">
        <v>1</v>
      </c>
      <c r="BW215" t="s">
        <v>0</v>
      </c>
      <c r="BX215" t="s">
        <v>1</v>
      </c>
      <c r="BY215" t="s">
        <v>1</v>
      </c>
      <c r="BZ215" t="s">
        <v>1</v>
      </c>
      <c r="CA215" t="s">
        <v>1</v>
      </c>
      <c r="CB215" t="s">
        <v>1</v>
      </c>
      <c r="CD215" t="e" cm="1">
        <f t="array" aca="1" ref="CD215" ca="1">eConcatenar(A215:CB215,"|")</f>
        <v>#NAME?</v>
      </c>
    </row>
    <row r="216" spans="1:82" x14ac:dyDescent="0.25">
      <c r="A216" t="s">
        <v>311</v>
      </c>
      <c r="B216" t="s">
        <v>1320</v>
      </c>
      <c r="C216">
        <v>3</v>
      </c>
      <c r="D216" t="s">
        <v>2153</v>
      </c>
      <c r="E216" t="s">
        <v>2158</v>
      </c>
      <c r="F216" t="s">
        <v>2161</v>
      </c>
      <c r="G216" t="s">
        <v>2297</v>
      </c>
      <c r="H216" t="s">
        <v>2833</v>
      </c>
      <c r="I216">
        <v>14800</v>
      </c>
      <c r="J216">
        <v>0</v>
      </c>
      <c r="K216">
        <v>50</v>
      </c>
      <c r="L216">
        <v>50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 t="s">
        <v>3342</v>
      </c>
      <c r="AC216" t="s">
        <v>3114</v>
      </c>
      <c r="AD216" t="s">
        <v>3457</v>
      </c>
      <c r="AE216" t="s">
        <v>4</v>
      </c>
      <c r="AF216" t="s">
        <v>1</v>
      </c>
      <c r="AG216" t="s">
        <v>1</v>
      </c>
      <c r="AH216" t="s">
        <v>4263</v>
      </c>
      <c r="AI216" t="s">
        <v>2297</v>
      </c>
      <c r="AJ216" t="s">
        <v>1</v>
      </c>
      <c r="AK216">
        <v>9372706554</v>
      </c>
      <c r="AL216" t="s">
        <v>1</v>
      </c>
      <c r="AM216" t="s">
        <v>1</v>
      </c>
      <c r="AN216" t="s">
        <v>1</v>
      </c>
      <c r="AO216" t="s">
        <v>4263</v>
      </c>
      <c r="AP216" t="s">
        <v>1</v>
      </c>
      <c r="AQ216" t="s">
        <v>2</v>
      </c>
      <c r="AR216" t="s">
        <v>1</v>
      </c>
      <c r="AS216" t="s">
        <v>1</v>
      </c>
      <c r="AT216" t="s">
        <v>1</v>
      </c>
      <c r="AU216" t="s">
        <v>1</v>
      </c>
      <c r="AV216" t="s">
        <v>1</v>
      </c>
      <c r="AW216" t="s">
        <v>9</v>
      </c>
      <c r="AX216">
        <f>Tabla1[[#This Row],[precio del paquete]]-Tabla1[[#This Row],[Saldo_Deudor]]</f>
        <v>900</v>
      </c>
      <c r="AY216">
        <v>13900</v>
      </c>
      <c r="AZ216">
        <v>0</v>
      </c>
      <c r="BA216">
        <v>0</v>
      </c>
      <c r="BB216">
        <v>0</v>
      </c>
      <c r="BC216" t="s">
        <v>4834</v>
      </c>
      <c r="BD216" t="s">
        <v>4915</v>
      </c>
      <c r="BE216" t="s">
        <v>3</v>
      </c>
      <c r="BF216" t="s">
        <v>3</v>
      </c>
      <c r="BG216" t="s">
        <v>3</v>
      </c>
      <c r="BH216" t="s">
        <v>3</v>
      </c>
      <c r="BI216" t="s">
        <v>3</v>
      </c>
      <c r="BJ216" t="s">
        <v>4986</v>
      </c>
      <c r="BK216" t="s">
        <v>3</v>
      </c>
      <c r="BL216" t="s">
        <v>96</v>
      </c>
      <c r="BM216" t="s">
        <v>1</v>
      </c>
      <c r="BN216">
        <v>14800</v>
      </c>
      <c r="BO216" t="s">
        <v>1</v>
      </c>
      <c r="BP216" t="s">
        <v>1</v>
      </c>
      <c r="BQ216" t="s">
        <v>1</v>
      </c>
      <c r="BR216" t="s">
        <v>1</v>
      </c>
      <c r="BS216" t="s">
        <v>1</v>
      </c>
      <c r="BT216" t="s">
        <v>1</v>
      </c>
      <c r="BU216" t="s">
        <v>1</v>
      </c>
      <c r="BV216" t="s">
        <v>1</v>
      </c>
      <c r="BW216" t="s">
        <v>0</v>
      </c>
      <c r="BX216" t="s">
        <v>1</v>
      </c>
      <c r="BY216" t="s">
        <v>1</v>
      </c>
      <c r="BZ216" t="s">
        <v>1</v>
      </c>
      <c r="CA216" t="s">
        <v>1</v>
      </c>
      <c r="CB216" t="s">
        <v>1</v>
      </c>
      <c r="CD216" t="e" cm="1">
        <f t="array" aca="1" ref="CD216" ca="1">eConcatenar(A216:CB216,"|")</f>
        <v>#NAME?</v>
      </c>
    </row>
    <row r="217" spans="1:82" x14ac:dyDescent="0.25">
      <c r="A217" t="s">
        <v>312</v>
      </c>
      <c r="B217" t="s">
        <v>1321</v>
      </c>
      <c r="C217">
        <v>3</v>
      </c>
      <c r="D217" t="s">
        <v>2157</v>
      </c>
      <c r="E217" t="s">
        <v>2158</v>
      </c>
      <c r="F217" t="s">
        <v>2161</v>
      </c>
      <c r="G217" t="s">
        <v>2297</v>
      </c>
      <c r="H217" t="s">
        <v>2834</v>
      </c>
      <c r="I217">
        <v>12900</v>
      </c>
      <c r="J217">
        <v>0</v>
      </c>
      <c r="K217">
        <v>100</v>
      </c>
      <c r="L217">
        <v>50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 t="s">
        <v>3342</v>
      </c>
      <c r="AC217" t="s">
        <v>3114</v>
      </c>
      <c r="AD217" t="s">
        <v>3458</v>
      </c>
      <c r="AE217" t="s">
        <v>4</v>
      </c>
      <c r="AF217" t="s">
        <v>1</v>
      </c>
      <c r="AG217" t="s">
        <v>1</v>
      </c>
      <c r="AH217" t="s">
        <v>4264</v>
      </c>
      <c r="AI217" t="s">
        <v>2297</v>
      </c>
      <c r="AJ217" t="s">
        <v>1</v>
      </c>
      <c r="AK217" t="s">
        <v>1</v>
      </c>
      <c r="AL217" t="s">
        <v>1</v>
      </c>
      <c r="AM217" t="s">
        <v>1</v>
      </c>
      <c r="AN217" t="s">
        <v>1</v>
      </c>
      <c r="AO217" t="s">
        <v>4264</v>
      </c>
      <c r="AP217" t="s">
        <v>1</v>
      </c>
      <c r="AQ217" t="s">
        <v>2</v>
      </c>
      <c r="AR217" t="s">
        <v>1</v>
      </c>
      <c r="AS217" t="s">
        <v>1</v>
      </c>
      <c r="AT217" t="s">
        <v>1</v>
      </c>
      <c r="AU217" t="s">
        <v>1</v>
      </c>
      <c r="AV217" t="s">
        <v>1</v>
      </c>
      <c r="AW217" t="s">
        <v>9</v>
      </c>
      <c r="AX217">
        <f>Tabla1[[#This Row],[precio del paquete]]-Tabla1[[#This Row],[Saldo_Deudor]]</f>
        <v>9050</v>
      </c>
      <c r="AY217">
        <v>3850</v>
      </c>
      <c r="AZ217">
        <v>0</v>
      </c>
      <c r="BA217">
        <v>0</v>
      </c>
      <c r="BB217">
        <v>0</v>
      </c>
      <c r="BC217" t="s">
        <v>4834</v>
      </c>
      <c r="BD217" t="s">
        <v>4915</v>
      </c>
      <c r="BE217" t="s">
        <v>3</v>
      </c>
      <c r="BF217" t="s">
        <v>3</v>
      </c>
      <c r="BG217" t="s">
        <v>3</v>
      </c>
      <c r="BH217" t="s">
        <v>3</v>
      </c>
      <c r="BI217" t="s">
        <v>3</v>
      </c>
      <c r="BJ217" t="s">
        <v>4997</v>
      </c>
      <c r="BK217" t="s">
        <v>3</v>
      </c>
      <c r="BL217" t="s">
        <v>96</v>
      </c>
      <c r="BM217" t="s">
        <v>1</v>
      </c>
      <c r="BN217">
        <v>12900</v>
      </c>
      <c r="BO217" t="s">
        <v>1</v>
      </c>
      <c r="BP217" t="s">
        <v>1</v>
      </c>
      <c r="BQ217" t="s">
        <v>1</v>
      </c>
      <c r="BR217" t="s">
        <v>1</v>
      </c>
      <c r="BS217" t="s">
        <v>1</v>
      </c>
      <c r="BT217" t="s">
        <v>1</v>
      </c>
      <c r="BU217" t="s">
        <v>1</v>
      </c>
      <c r="BV217" t="s">
        <v>1</v>
      </c>
      <c r="BW217" t="s">
        <v>0</v>
      </c>
      <c r="BX217" t="s">
        <v>1</v>
      </c>
      <c r="BY217" t="s">
        <v>1</v>
      </c>
      <c r="BZ217" t="s">
        <v>1</v>
      </c>
      <c r="CA217" t="s">
        <v>1</v>
      </c>
      <c r="CB217" t="s">
        <v>1</v>
      </c>
      <c r="CD217" t="e" cm="1">
        <f t="array" aca="1" ref="CD217" ca="1">eConcatenar(A217:CB217,"|")</f>
        <v>#NAME?</v>
      </c>
    </row>
    <row r="218" spans="1:82" x14ac:dyDescent="0.25">
      <c r="A218" t="s">
        <v>313</v>
      </c>
      <c r="B218" t="s">
        <v>1322</v>
      </c>
      <c r="C218">
        <v>3</v>
      </c>
      <c r="D218" t="s">
        <v>2153</v>
      </c>
      <c r="E218" t="s">
        <v>2158</v>
      </c>
      <c r="F218" t="s">
        <v>2161</v>
      </c>
      <c r="G218" t="s">
        <v>2297</v>
      </c>
      <c r="H218" t="s">
        <v>2721</v>
      </c>
      <c r="I218">
        <v>14800</v>
      </c>
      <c r="J218">
        <v>0</v>
      </c>
      <c r="K218">
        <v>50</v>
      </c>
      <c r="L218">
        <v>50</v>
      </c>
      <c r="M218">
        <v>1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 t="s">
        <v>3342</v>
      </c>
      <c r="AC218" t="s">
        <v>3114</v>
      </c>
      <c r="AD218" t="s">
        <v>3459</v>
      </c>
      <c r="AE218" t="s">
        <v>4</v>
      </c>
      <c r="AF218" t="s">
        <v>1</v>
      </c>
      <c r="AG218" t="s">
        <v>1</v>
      </c>
      <c r="AH218" t="s">
        <v>2207</v>
      </c>
      <c r="AI218" t="s">
        <v>2297</v>
      </c>
      <c r="AJ218" t="s">
        <v>1</v>
      </c>
      <c r="AK218">
        <v>9371273272</v>
      </c>
      <c r="AL218" t="s">
        <v>1</v>
      </c>
      <c r="AM218" t="s">
        <v>1</v>
      </c>
      <c r="AN218" t="s">
        <v>1</v>
      </c>
      <c r="AO218" t="s">
        <v>2207</v>
      </c>
      <c r="AP218" t="s">
        <v>1</v>
      </c>
      <c r="AQ218" t="s">
        <v>2</v>
      </c>
      <c r="AR218" t="s">
        <v>1</v>
      </c>
      <c r="AS218" t="s">
        <v>1</v>
      </c>
      <c r="AT218" t="s">
        <v>1</v>
      </c>
      <c r="AU218" t="s">
        <v>1</v>
      </c>
      <c r="AV218" t="s">
        <v>1</v>
      </c>
      <c r="AW218" t="s">
        <v>9</v>
      </c>
      <c r="AX218">
        <f>Tabla1[[#This Row],[precio del paquete]]-Tabla1[[#This Row],[Saldo_Deudor]]</f>
        <v>550</v>
      </c>
      <c r="AY218">
        <v>14250</v>
      </c>
      <c r="AZ218">
        <v>0</v>
      </c>
      <c r="BA218">
        <v>0</v>
      </c>
      <c r="BB218">
        <v>0</v>
      </c>
      <c r="BC218" t="s">
        <v>4834</v>
      </c>
      <c r="BD218" t="s">
        <v>4915</v>
      </c>
      <c r="BE218" t="s">
        <v>3</v>
      </c>
      <c r="BF218" t="s">
        <v>3</v>
      </c>
      <c r="BG218" t="s">
        <v>3</v>
      </c>
      <c r="BH218" t="s">
        <v>3</v>
      </c>
      <c r="BI218" t="s">
        <v>3</v>
      </c>
      <c r="BJ218" t="s">
        <v>4997</v>
      </c>
      <c r="BK218" t="s">
        <v>3</v>
      </c>
      <c r="BL218" t="s">
        <v>96</v>
      </c>
      <c r="BM218" t="s">
        <v>1</v>
      </c>
      <c r="BN218">
        <v>14800</v>
      </c>
      <c r="BO218" t="s">
        <v>1</v>
      </c>
      <c r="BP218" t="s">
        <v>1</v>
      </c>
      <c r="BQ218" t="s">
        <v>1</v>
      </c>
      <c r="BR218" t="s">
        <v>1</v>
      </c>
      <c r="BS218" t="s">
        <v>1</v>
      </c>
      <c r="BT218" t="s">
        <v>1</v>
      </c>
      <c r="BU218" t="s">
        <v>1</v>
      </c>
      <c r="BV218" t="s">
        <v>1</v>
      </c>
      <c r="BW218" t="s">
        <v>0</v>
      </c>
      <c r="BX218" t="s">
        <v>1</v>
      </c>
      <c r="BY218" t="s">
        <v>1</v>
      </c>
      <c r="BZ218" t="s">
        <v>1</v>
      </c>
      <c r="CA218" t="s">
        <v>1</v>
      </c>
      <c r="CB218" t="s">
        <v>1</v>
      </c>
      <c r="CD218" t="e" cm="1">
        <f t="array" aca="1" ref="CD218" ca="1">eConcatenar(A218:CB218,"|")</f>
        <v>#NAME?</v>
      </c>
    </row>
    <row r="219" spans="1:82" x14ac:dyDescent="0.25">
      <c r="A219" t="s">
        <v>314</v>
      </c>
      <c r="B219" t="s">
        <v>1323</v>
      </c>
      <c r="C219">
        <v>3</v>
      </c>
      <c r="D219" t="s">
        <v>2153</v>
      </c>
      <c r="E219" t="s">
        <v>2158</v>
      </c>
      <c r="F219" t="s">
        <v>0</v>
      </c>
      <c r="G219" t="s">
        <v>2297</v>
      </c>
      <c r="H219" t="s">
        <v>2832</v>
      </c>
      <c r="I219">
        <v>14800</v>
      </c>
      <c r="J219">
        <v>0</v>
      </c>
      <c r="K219">
        <v>50</v>
      </c>
      <c r="L219">
        <v>50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 t="s">
        <v>3177</v>
      </c>
      <c r="AC219" t="s">
        <v>3342</v>
      </c>
      <c r="AD219" t="s">
        <v>3344</v>
      </c>
      <c r="AE219" t="s">
        <v>4</v>
      </c>
      <c r="AF219" t="s">
        <v>1</v>
      </c>
      <c r="AG219" t="s">
        <v>1</v>
      </c>
      <c r="AH219" t="s">
        <v>4265</v>
      </c>
      <c r="AI219" t="s">
        <v>2297</v>
      </c>
      <c r="AJ219" t="s">
        <v>1</v>
      </c>
      <c r="AK219">
        <v>9371187960</v>
      </c>
      <c r="AL219" t="s">
        <v>1</v>
      </c>
      <c r="AM219" t="s">
        <v>1</v>
      </c>
      <c r="AN219" t="s">
        <v>1</v>
      </c>
      <c r="AO219" t="s">
        <v>4265</v>
      </c>
      <c r="AP219" t="s">
        <v>1</v>
      </c>
      <c r="AQ219" t="s">
        <v>2</v>
      </c>
      <c r="AR219" t="s">
        <v>1</v>
      </c>
      <c r="AS219" t="s">
        <v>1</v>
      </c>
      <c r="AT219" t="s">
        <v>1</v>
      </c>
      <c r="AU219" t="s">
        <v>1</v>
      </c>
      <c r="AV219" t="s">
        <v>1</v>
      </c>
      <c r="AW219" t="s">
        <v>9</v>
      </c>
      <c r="AX219">
        <f>Tabla1[[#This Row],[precio del paquete]]-Tabla1[[#This Row],[Saldo_Deudor]]</f>
        <v>650</v>
      </c>
      <c r="AY219">
        <v>14150</v>
      </c>
      <c r="AZ219">
        <v>0</v>
      </c>
      <c r="BA219">
        <v>0</v>
      </c>
      <c r="BB219">
        <v>0</v>
      </c>
      <c r="BC219" t="s">
        <v>2768</v>
      </c>
      <c r="BD219" t="s">
        <v>3013</v>
      </c>
      <c r="BE219" t="s">
        <v>3</v>
      </c>
      <c r="BF219" t="s">
        <v>3</v>
      </c>
      <c r="BG219" t="s">
        <v>3</v>
      </c>
      <c r="BH219" t="s">
        <v>3</v>
      </c>
      <c r="BI219" t="s">
        <v>3</v>
      </c>
      <c r="BJ219" t="s">
        <v>4997</v>
      </c>
      <c r="BK219" t="s">
        <v>3</v>
      </c>
      <c r="BL219" t="s">
        <v>96</v>
      </c>
      <c r="BM219" t="s">
        <v>1</v>
      </c>
      <c r="BN219">
        <v>14800</v>
      </c>
      <c r="BO219" t="s">
        <v>1</v>
      </c>
      <c r="BP219" t="s">
        <v>1</v>
      </c>
      <c r="BQ219" t="s">
        <v>1</v>
      </c>
      <c r="BR219" t="s">
        <v>1</v>
      </c>
      <c r="BS219" t="s">
        <v>1</v>
      </c>
      <c r="BT219" t="s">
        <v>1</v>
      </c>
      <c r="BU219" t="s">
        <v>1</v>
      </c>
      <c r="BV219" t="s">
        <v>1</v>
      </c>
      <c r="BW219" t="s">
        <v>0</v>
      </c>
      <c r="BX219" t="s">
        <v>1</v>
      </c>
      <c r="BY219" t="s">
        <v>1</v>
      </c>
      <c r="BZ219" t="s">
        <v>1</v>
      </c>
      <c r="CA219" t="s">
        <v>1</v>
      </c>
      <c r="CB219" t="s">
        <v>1</v>
      </c>
      <c r="CD219" t="e" cm="1">
        <f t="array" aca="1" ref="CD219" ca="1">eConcatenar(A219:CB219,"|")</f>
        <v>#NAME?</v>
      </c>
    </row>
    <row r="220" spans="1:82" x14ac:dyDescent="0.25">
      <c r="A220" t="s">
        <v>315</v>
      </c>
      <c r="B220" t="s">
        <v>1324</v>
      </c>
      <c r="C220">
        <v>3</v>
      </c>
      <c r="D220" t="s">
        <v>2153</v>
      </c>
      <c r="E220" t="s">
        <v>2158</v>
      </c>
      <c r="F220" t="s">
        <v>0</v>
      </c>
      <c r="G220" t="s">
        <v>2297</v>
      </c>
      <c r="H220" t="s">
        <v>2833</v>
      </c>
      <c r="I220">
        <v>14800</v>
      </c>
      <c r="J220">
        <v>0</v>
      </c>
      <c r="K220">
        <v>50</v>
      </c>
      <c r="L220">
        <v>50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 t="s">
        <v>3117</v>
      </c>
      <c r="AC220" t="s">
        <v>3236</v>
      </c>
      <c r="AD220" t="s">
        <v>3460</v>
      </c>
      <c r="AE220" t="s">
        <v>4</v>
      </c>
      <c r="AF220" t="s">
        <v>1</v>
      </c>
      <c r="AG220" t="s">
        <v>1</v>
      </c>
      <c r="AH220" t="s">
        <v>4266</v>
      </c>
      <c r="AI220" t="s">
        <v>2297</v>
      </c>
      <c r="AJ220" t="s">
        <v>1</v>
      </c>
      <c r="AK220">
        <v>8130827639</v>
      </c>
      <c r="AL220" t="s">
        <v>1</v>
      </c>
      <c r="AM220" t="s">
        <v>1</v>
      </c>
      <c r="AN220" t="s">
        <v>1</v>
      </c>
      <c r="AO220" t="s">
        <v>4266</v>
      </c>
      <c r="AP220" t="s">
        <v>1</v>
      </c>
      <c r="AQ220" t="s">
        <v>2</v>
      </c>
      <c r="AR220" t="s">
        <v>1</v>
      </c>
      <c r="AS220" t="s">
        <v>1</v>
      </c>
      <c r="AT220" t="s">
        <v>1</v>
      </c>
      <c r="AU220" t="s">
        <v>1</v>
      </c>
      <c r="AV220" t="s">
        <v>1</v>
      </c>
      <c r="AW220" t="s">
        <v>9</v>
      </c>
      <c r="AX220">
        <f>Tabla1[[#This Row],[precio del paquete]]-Tabla1[[#This Row],[Saldo_Deudor]]</f>
        <v>900</v>
      </c>
      <c r="AY220">
        <v>13900</v>
      </c>
      <c r="AZ220">
        <v>0</v>
      </c>
      <c r="BA220">
        <v>0</v>
      </c>
      <c r="BB220">
        <v>0</v>
      </c>
      <c r="BC220" t="s">
        <v>3098</v>
      </c>
      <c r="BD220" t="s">
        <v>4829</v>
      </c>
      <c r="BE220" t="s">
        <v>3</v>
      </c>
      <c r="BF220" t="s">
        <v>3</v>
      </c>
      <c r="BG220" t="s">
        <v>3</v>
      </c>
      <c r="BH220" t="s">
        <v>3</v>
      </c>
      <c r="BI220" t="s">
        <v>3</v>
      </c>
      <c r="BJ220" t="s">
        <v>4982</v>
      </c>
      <c r="BK220" t="s">
        <v>3</v>
      </c>
      <c r="BL220" t="s">
        <v>96</v>
      </c>
      <c r="BM220" t="s">
        <v>1</v>
      </c>
      <c r="BN220">
        <v>14800</v>
      </c>
      <c r="BO220" t="s">
        <v>1</v>
      </c>
      <c r="BP220" t="s">
        <v>1</v>
      </c>
      <c r="BQ220" t="s">
        <v>1</v>
      </c>
      <c r="BR220" t="s">
        <v>1</v>
      </c>
      <c r="BS220" t="s">
        <v>1</v>
      </c>
      <c r="BT220" t="s">
        <v>1</v>
      </c>
      <c r="BU220" t="s">
        <v>1</v>
      </c>
      <c r="BV220" t="s">
        <v>1</v>
      </c>
      <c r="BW220" t="s">
        <v>0</v>
      </c>
      <c r="BX220" t="s">
        <v>1</v>
      </c>
      <c r="BY220" t="s">
        <v>1</v>
      </c>
      <c r="BZ220" t="s">
        <v>1</v>
      </c>
      <c r="CA220" t="s">
        <v>1</v>
      </c>
      <c r="CB220" t="s">
        <v>1</v>
      </c>
      <c r="CD220" t="e" cm="1">
        <f t="array" aca="1" ref="CD220" ca="1">eConcatenar(A220:CB220,"|")</f>
        <v>#NAME?</v>
      </c>
    </row>
    <row r="221" spans="1:82" x14ac:dyDescent="0.25">
      <c r="A221" t="s">
        <v>316</v>
      </c>
      <c r="B221" t="s">
        <v>1325</v>
      </c>
      <c r="C221">
        <v>3</v>
      </c>
      <c r="D221" t="s">
        <v>2153</v>
      </c>
      <c r="E221" t="s">
        <v>2158</v>
      </c>
      <c r="F221" t="s">
        <v>0</v>
      </c>
      <c r="G221" t="s">
        <v>2298</v>
      </c>
      <c r="H221" t="s">
        <v>2835</v>
      </c>
      <c r="I221">
        <v>14800</v>
      </c>
      <c r="J221">
        <v>0</v>
      </c>
      <c r="K221">
        <v>200</v>
      </c>
      <c r="L221">
        <v>50</v>
      </c>
      <c r="M221">
        <v>1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 t="s">
        <v>3117</v>
      </c>
      <c r="AC221" t="s">
        <v>3461</v>
      </c>
      <c r="AD221" t="s">
        <v>3116</v>
      </c>
      <c r="AE221" t="s">
        <v>4</v>
      </c>
      <c r="AF221" t="s">
        <v>1</v>
      </c>
      <c r="AG221" t="s">
        <v>1</v>
      </c>
      <c r="AH221" t="s">
        <v>4267</v>
      </c>
      <c r="AI221" t="s">
        <v>2298</v>
      </c>
      <c r="AJ221" t="s">
        <v>1</v>
      </c>
      <c r="AK221" t="s">
        <v>1</v>
      </c>
      <c r="AL221" t="s">
        <v>1</v>
      </c>
      <c r="AM221" t="s">
        <v>1</v>
      </c>
      <c r="AN221" t="s">
        <v>1</v>
      </c>
      <c r="AO221" t="s">
        <v>4267</v>
      </c>
      <c r="AP221" t="s">
        <v>1</v>
      </c>
      <c r="AQ221" t="s">
        <v>2</v>
      </c>
      <c r="AR221" t="s">
        <v>1</v>
      </c>
      <c r="AS221" t="s">
        <v>1</v>
      </c>
      <c r="AT221" t="s">
        <v>1</v>
      </c>
      <c r="AU221" t="s">
        <v>1</v>
      </c>
      <c r="AV221" t="s">
        <v>1</v>
      </c>
      <c r="AW221" t="s">
        <v>9</v>
      </c>
      <c r="AX221">
        <f>Tabla1[[#This Row],[precio del paquete]]-Tabla1[[#This Row],[Saldo_Deudor]]</f>
        <v>3600</v>
      </c>
      <c r="AY221">
        <v>11200</v>
      </c>
      <c r="AZ221">
        <v>0</v>
      </c>
      <c r="BA221">
        <v>0</v>
      </c>
      <c r="BB221">
        <v>0</v>
      </c>
      <c r="BC221" t="s">
        <v>3061</v>
      </c>
      <c r="BD221" t="s">
        <v>3040</v>
      </c>
      <c r="BE221" t="s">
        <v>3</v>
      </c>
      <c r="BF221" t="s">
        <v>3</v>
      </c>
      <c r="BG221" t="s">
        <v>3</v>
      </c>
      <c r="BH221" t="s">
        <v>3</v>
      </c>
      <c r="BI221" t="s">
        <v>3</v>
      </c>
      <c r="BJ221" t="s">
        <v>4982</v>
      </c>
      <c r="BK221" t="s">
        <v>3</v>
      </c>
      <c r="BL221" t="s">
        <v>96</v>
      </c>
      <c r="BM221" t="s">
        <v>1</v>
      </c>
      <c r="BN221">
        <v>14800</v>
      </c>
      <c r="BO221" t="s">
        <v>1</v>
      </c>
      <c r="BP221" t="s">
        <v>1</v>
      </c>
      <c r="BQ221" t="s">
        <v>1</v>
      </c>
      <c r="BR221" t="s">
        <v>1</v>
      </c>
      <c r="BS221" t="s">
        <v>1</v>
      </c>
      <c r="BT221" t="s">
        <v>1</v>
      </c>
      <c r="BU221" t="s">
        <v>1</v>
      </c>
      <c r="BV221" t="s">
        <v>1</v>
      </c>
      <c r="BW221" t="s">
        <v>0</v>
      </c>
      <c r="BX221" t="s">
        <v>1</v>
      </c>
      <c r="BY221" t="s">
        <v>1</v>
      </c>
      <c r="BZ221" t="s">
        <v>1</v>
      </c>
      <c r="CA221" t="s">
        <v>1</v>
      </c>
      <c r="CB221" t="s">
        <v>1</v>
      </c>
      <c r="CD221" t="e" cm="1">
        <f t="array" aca="1" ref="CD221" ca="1">eConcatenar(A221:CB221,"|")</f>
        <v>#NAME?</v>
      </c>
    </row>
    <row r="222" spans="1:82" x14ac:dyDescent="0.25">
      <c r="A222" t="s">
        <v>317</v>
      </c>
      <c r="B222" t="s">
        <v>1326</v>
      </c>
      <c r="C222">
        <v>3</v>
      </c>
      <c r="D222" t="s">
        <v>2153</v>
      </c>
      <c r="E222" t="s">
        <v>2158</v>
      </c>
      <c r="F222" t="s">
        <v>2161</v>
      </c>
      <c r="G222" t="s">
        <v>2299</v>
      </c>
      <c r="H222" t="s">
        <v>2836</v>
      </c>
      <c r="I222">
        <v>14800</v>
      </c>
      <c r="J222">
        <v>0</v>
      </c>
      <c r="K222">
        <v>100</v>
      </c>
      <c r="L222">
        <v>50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 t="s">
        <v>3137</v>
      </c>
      <c r="AC222" t="s">
        <v>3462</v>
      </c>
      <c r="AD222" t="s">
        <v>3189</v>
      </c>
      <c r="AE222" t="s">
        <v>4</v>
      </c>
      <c r="AF222" t="s">
        <v>1</v>
      </c>
      <c r="AG222" t="s">
        <v>1</v>
      </c>
      <c r="AH222" t="s">
        <v>2207</v>
      </c>
      <c r="AI222" t="s">
        <v>2299</v>
      </c>
      <c r="AJ222" t="s">
        <v>1</v>
      </c>
      <c r="AK222" t="s">
        <v>1</v>
      </c>
      <c r="AL222" t="s">
        <v>1</v>
      </c>
      <c r="AM222" t="s">
        <v>1</v>
      </c>
      <c r="AN222" t="s">
        <v>1</v>
      </c>
      <c r="AO222" t="s">
        <v>2207</v>
      </c>
      <c r="AP222" t="s">
        <v>1</v>
      </c>
      <c r="AQ222" t="s">
        <v>2</v>
      </c>
      <c r="AR222" t="s">
        <v>1</v>
      </c>
      <c r="AS222" t="s">
        <v>1</v>
      </c>
      <c r="AT222" t="s">
        <v>1</v>
      </c>
      <c r="AU222" t="s">
        <v>1</v>
      </c>
      <c r="AV222" t="s">
        <v>1</v>
      </c>
      <c r="AW222" t="s">
        <v>9</v>
      </c>
      <c r="AX222">
        <f>Tabla1[[#This Row],[precio del paquete]]-Tabla1[[#This Row],[Saldo_Deudor]]</f>
        <v>900</v>
      </c>
      <c r="AY222">
        <v>13900</v>
      </c>
      <c r="AZ222">
        <v>0</v>
      </c>
      <c r="BA222">
        <v>0</v>
      </c>
      <c r="BB222">
        <v>0</v>
      </c>
      <c r="BC222" t="s">
        <v>3061</v>
      </c>
      <c r="BD222" t="s">
        <v>3040</v>
      </c>
      <c r="BE222" t="s">
        <v>3</v>
      </c>
      <c r="BF222" t="s">
        <v>3</v>
      </c>
      <c r="BG222" t="s">
        <v>3</v>
      </c>
      <c r="BH222" t="s">
        <v>3</v>
      </c>
      <c r="BI222" t="s">
        <v>3</v>
      </c>
      <c r="BJ222" t="s">
        <v>4995</v>
      </c>
      <c r="BK222" t="s">
        <v>3</v>
      </c>
      <c r="BL222" t="s">
        <v>96</v>
      </c>
      <c r="BM222" t="s">
        <v>1</v>
      </c>
      <c r="BN222">
        <v>14800</v>
      </c>
      <c r="BO222" t="s">
        <v>1</v>
      </c>
      <c r="BP222" t="s">
        <v>1</v>
      </c>
      <c r="BQ222" t="s">
        <v>1</v>
      </c>
      <c r="BR222" t="s">
        <v>1</v>
      </c>
      <c r="BS222" t="s">
        <v>1</v>
      </c>
      <c r="BT222" t="s">
        <v>1</v>
      </c>
      <c r="BU222" t="s">
        <v>1</v>
      </c>
      <c r="BV222" t="s">
        <v>1</v>
      </c>
      <c r="BW222" t="s">
        <v>0</v>
      </c>
      <c r="BX222" t="s">
        <v>1</v>
      </c>
      <c r="BY222" t="s">
        <v>1</v>
      </c>
      <c r="BZ222" t="s">
        <v>1</v>
      </c>
      <c r="CA222" t="s">
        <v>1</v>
      </c>
      <c r="CB222" t="s">
        <v>1</v>
      </c>
      <c r="CD222" t="e" cm="1">
        <f t="array" aca="1" ref="CD222" ca="1">eConcatenar(A222:CB222,"|")</f>
        <v>#NAME?</v>
      </c>
    </row>
    <row r="223" spans="1:82" x14ac:dyDescent="0.25">
      <c r="A223" t="s">
        <v>318</v>
      </c>
      <c r="B223" t="s">
        <v>1327</v>
      </c>
      <c r="C223">
        <v>3</v>
      </c>
      <c r="D223" t="s">
        <v>2153</v>
      </c>
      <c r="E223" t="s">
        <v>2158</v>
      </c>
      <c r="F223" t="s">
        <v>2161</v>
      </c>
      <c r="G223" t="s">
        <v>2300</v>
      </c>
      <c r="H223" t="s">
        <v>2837</v>
      </c>
      <c r="I223">
        <v>14800</v>
      </c>
      <c r="J223">
        <v>0</v>
      </c>
      <c r="K223">
        <v>100</v>
      </c>
      <c r="L223">
        <v>50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 t="s">
        <v>3148</v>
      </c>
      <c r="AC223" t="s">
        <v>3121</v>
      </c>
      <c r="AD223" t="s">
        <v>3463</v>
      </c>
      <c r="AE223" t="s">
        <v>4</v>
      </c>
      <c r="AF223" t="s">
        <v>1</v>
      </c>
      <c r="AG223" t="s">
        <v>1</v>
      </c>
      <c r="AH223" t="s">
        <v>2207</v>
      </c>
      <c r="AI223" t="s">
        <v>2300</v>
      </c>
      <c r="AJ223" t="s">
        <v>1</v>
      </c>
      <c r="AK223" t="s">
        <v>1</v>
      </c>
      <c r="AL223" t="s">
        <v>1</v>
      </c>
      <c r="AM223" t="s">
        <v>1</v>
      </c>
      <c r="AN223" t="s">
        <v>1</v>
      </c>
      <c r="AO223" t="s">
        <v>2207</v>
      </c>
      <c r="AP223" t="s">
        <v>1</v>
      </c>
      <c r="AQ223" t="s">
        <v>2</v>
      </c>
      <c r="AR223" t="s">
        <v>1</v>
      </c>
      <c r="AS223" t="s">
        <v>1</v>
      </c>
      <c r="AT223" t="s">
        <v>1</v>
      </c>
      <c r="AU223" t="s">
        <v>1</v>
      </c>
      <c r="AV223" t="s">
        <v>1</v>
      </c>
      <c r="AW223" t="s">
        <v>9</v>
      </c>
      <c r="AX223">
        <f>Tabla1[[#This Row],[precio del paquete]]-Tabla1[[#This Row],[Saldo_Deudor]]</f>
        <v>550</v>
      </c>
      <c r="AY223">
        <v>14250</v>
      </c>
      <c r="AZ223">
        <v>0</v>
      </c>
      <c r="BA223">
        <v>0</v>
      </c>
      <c r="BB223">
        <v>0</v>
      </c>
      <c r="BC223" t="s">
        <v>3078</v>
      </c>
      <c r="BD223" t="s">
        <v>4827</v>
      </c>
      <c r="BE223" t="s">
        <v>3</v>
      </c>
      <c r="BF223" t="s">
        <v>3</v>
      </c>
      <c r="BG223" t="s">
        <v>3</v>
      </c>
      <c r="BH223" t="s">
        <v>3</v>
      </c>
      <c r="BI223" t="s">
        <v>3</v>
      </c>
      <c r="BJ223" t="s">
        <v>4986</v>
      </c>
      <c r="BK223" t="s">
        <v>3</v>
      </c>
      <c r="BL223" t="s">
        <v>96</v>
      </c>
      <c r="BM223" t="s">
        <v>1</v>
      </c>
      <c r="BN223">
        <v>14800</v>
      </c>
      <c r="BO223" t="s">
        <v>1</v>
      </c>
      <c r="BP223" t="s">
        <v>1</v>
      </c>
      <c r="BQ223" t="s">
        <v>1</v>
      </c>
      <c r="BR223" t="s">
        <v>1</v>
      </c>
      <c r="BS223" t="s">
        <v>1</v>
      </c>
      <c r="BT223" t="s">
        <v>1</v>
      </c>
      <c r="BU223" t="s">
        <v>1</v>
      </c>
      <c r="BV223" t="s">
        <v>1</v>
      </c>
      <c r="BW223" t="s">
        <v>0</v>
      </c>
      <c r="BX223" t="s">
        <v>1</v>
      </c>
      <c r="BY223" t="s">
        <v>1</v>
      </c>
      <c r="BZ223" t="s">
        <v>1</v>
      </c>
      <c r="CA223" t="s">
        <v>1</v>
      </c>
      <c r="CB223" t="s">
        <v>1</v>
      </c>
      <c r="CD223" t="e" cm="1">
        <f t="array" aca="1" ref="CD223" ca="1">eConcatenar(A223:CB223,"|")</f>
        <v>#NAME?</v>
      </c>
    </row>
    <row r="224" spans="1:82" x14ac:dyDescent="0.25">
      <c r="A224" t="s">
        <v>319</v>
      </c>
      <c r="B224" t="s">
        <v>1328</v>
      </c>
      <c r="C224">
        <v>3</v>
      </c>
      <c r="D224" t="s">
        <v>2153</v>
      </c>
      <c r="E224" t="s">
        <v>2158</v>
      </c>
      <c r="F224" t="s">
        <v>2161</v>
      </c>
      <c r="G224" t="s">
        <v>2301</v>
      </c>
      <c r="H224" t="s">
        <v>2722</v>
      </c>
      <c r="I224">
        <v>14800</v>
      </c>
      <c r="J224">
        <v>0</v>
      </c>
      <c r="K224">
        <v>100</v>
      </c>
      <c r="L224">
        <v>50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 t="s">
        <v>3453</v>
      </c>
      <c r="AC224" t="s">
        <v>3342</v>
      </c>
      <c r="AD224" t="s">
        <v>3464</v>
      </c>
      <c r="AE224" t="s">
        <v>4</v>
      </c>
      <c r="AF224" t="s">
        <v>1</v>
      </c>
      <c r="AG224" t="s">
        <v>1</v>
      </c>
      <c r="AH224" t="s">
        <v>4268</v>
      </c>
      <c r="AI224" t="s">
        <v>2301</v>
      </c>
      <c r="AJ224" t="s">
        <v>1</v>
      </c>
      <c r="AK224" t="s">
        <v>1</v>
      </c>
      <c r="AL224" t="s">
        <v>1</v>
      </c>
      <c r="AM224" t="s">
        <v>1</v>
      </c>
      <c r="AN224" t="s">
        <v>1</v>
      </c>
      <c r="AO224" t="s">
        <v>4268</v>
      </c>
      <c r="AP224" t="s">
        <v>1</v>
      </c>
      <c r="AQ224" t="s">
        <v>2</v>
      </c>
      <c r="AR224" t="s">
        <v>1</v>
      </c>
      <c r="AS224" t="s">
        <v>1</v>
      </c>
      <c r="AT224" t="s">
        <v>1</v>
      </c>
      <c r="AU224" t="s">
        <v>1</v>
      </c>
      <c r="AV224" t="s">
        <v>1</v>
      </c>
      <c r="AW224" t="s">
        <v>9</v>
      </c>
      <c r="AX224">
        <f>Tabla1[[#This Row],[precio del paquete]]-Tabla1[[#This Row],[Saldo_Deudor]]</f>
        <v>1350</v>
      </c>
      <c r="AY224">
        <v>13450</v>
      </c>
      <c r="AZ224">
        <v>0</v>
      </c>
      <c r="BA224">
        <v>0</v>
      </c>
      <c r="BB224">
        <v>0</v>
      </c>
      <c r="BC224" t="s">
        <v>3078</v>
      </c>
      <c r="BD224" t="s">
        <v>4827</v>
      </c>
      <c r="BE224" t="s">
        <v>3</v>
      </c>
      <c r="BF224" t="s">
        <v>3</v>
      </c>
      <c r="BG224" t="s">
        <v>3</v>
      </c>
      <c r="BH224" t="s">
        <v>3</v>
      </c>
      <c r="BI224" t="s">
        <v>3</v>
      </c>
      <c r="BJ224" t="s">
        <v>97</v>
      </c>
      <c r="BK224" t="s">
        <v>3</v>
      </c>
      <c r="BL224" t="s">
        <v>96</v>
      </c>
      <c r="BM224" t="s">
        <v>1</v>
      </c>
      <c r="BN224">
        <v>14800</v>
      </c>
      <c r="BO224" t="s">
        <v>1</v>
      </c>
      <c r="BP224" t="s">
        <v>1</v>
      </c>
      <c r="BQ224" t="s">
        <v>1</v>
      </c>
      <c r="BR224" t="s">
        <v>1</v>
      </c>
      <c r="BS224" t="s">
        <v>1</v>
      </c>
      <c r="BT224" t="s">
        <v>1</v>
      </c>
      <c r="BU224" t="s">
        <v>1</v>
      </c>
      <c r="BV224" t="s">
        <v>1</v>
      </c>
      <c r="BW224" t="s">
        <v>0</v>
      </c>
      <c r="BX224" t="s">
        <v>1</v>
      </c>
      <c r="BY224" t="s">
        <v>1</v>
      </c>
      <c r="BZ224" t="s">
        <v>1</v>
      </c>
      <c r="CA224" t="s">
        <v>1</v>
      </c>
      <c r="CB224" t="s">
        <v>1</v>
      </c>
      <c r="CD224" t="e" cm="1">
        <f t="array" aca="1" ref="CD224" ca="1">eConcatenar(A224:CB224,"|")</f>
        <v>#NAME?</v>
      </c>
    </row>
    <row r="225" spans="1:82" x14ac:dyDescent="0.25">
      <c r="A225" t="s">
        <v>320</v>
      </c>
      <c r="B225" t="s">
        <v>1329</v>
      </c>
      <c r="C225">
        <v>3</v>
      </c>
      <c r="D225" t="s">
        <v>2153</v>
      </c>
      <c r="E225" t="s">
        <v>2158</v>
      </c>
      <c r="F225" t="s">
        <v>2161</v>
      </c>
      <c r="G225" t="s">
        <v>2302</v>
      </c>
      <c r="H225" t="s">
        <v>2833</v>
      </c>
      <c r="I225">
        <v>14800</v>
      </c>
      <c r="J225">
        <v>0</v>
      </c>
      <c r="K225">
        <v>50</v>
      </c>
      <c r="L225">
        <v>50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 t="s">
        <v>3180</v>
      </c>
      <c r="AC225" t="s">
        <v>3132</v>
      </c>
      <c r="AD225" t="s">
        <v>3465</v>
      </c>
      <c r="AE225" t="s">
        <v>4</v>
      </c>
      <c r="AF225" t="s">
        <v>1</v>
      </c>
      <c r="AG225" t="s">
        <v>1</v>
      </c>
      <c r="AH225" t="s">
        <v>2207</v>
      </c>
      <c r="AI225" t="s">
        <v>2302</v>
      </c>
      <c r="AJ225" t="s">
        <v>1</v>
      </c>
      <c r="AK225">
        <v>9371007615</v>
      </c>
      <c r="AL225" t="s">
        <v>1</v>
      </c>
      <c r="AM225" t="s">
        <v>1</v>
      </c>
      <c r="AN225" t="s">
        <v>1</v>
      </c>
      <c r="AO225" t="s">
        <v>2207</v>
      </c>
      <c r="AP225" t="s">
        <v>1</v>
      </c>
      <c r="AQ225" t="s">
        <v>2</v>
      </c>
      <c r="AR225" t="s">
        <v>1</v>
      </c>
      <c r="AS225" t="s">
        <v>1</v>
      </c>
      <c r="AT225" t="s">
        <v>1</v>
      </c>
      <c r="AU225" t="s">
        <v>1</v>
      </c>
      <c r="AV225" t="s">
        <v>1</v>
      </c>
      <c r="AW225" t="s">
        <v>9</v>
      </c>
      <c r="AX225">
        <f>Tabla1[[#This Row],[precio del paquete]]-Tabla1[[#This Row],[Saldo_Deudor]]</f>
        <v>700</v>
      </c>
      <c r="AY225">
        <v>14100</v>
      </c>
      <c r="AZ225">
        <v>0</v>
      </c>
      <c r="BA225">
        <v>0</v>
      </c>
      <c r="BB225">
        <v>0</v>
      </c>
      <c r="BC225" t="s">
        <v>4834</v>
      </c>
      <c r="BD225" t="s">
        <v>4915</v>
      </c>
      <c r="BE225" t="s">
        <v>3</v>
      </c>
      <c r="BF225" t="s">
        <v>3</v>
      </c>
      <c r="BG225" t="s">
        <v>3</v>
      </c>
      <c r="BH225" t="s">
        <v>3</v>
      </c>
      <c r="BI225" t="s">
        <v>3</v>
      </c>
      <c r="BJ225" t="s">
        <v>5010</v>
      </c>
      <c r="BK225" t="s">
        <v>3</v>
      </c>
      <c r="BL225" t="s">
        <v>96</v>
      </c>
      <c r="BM225" t="s">
        <v>1</v>
      </c>
      <c r="BN225">
        <v>14800</v>
      </c>
      <c r="BO225" t="s">
        <v>1</v>
      </c>
      <c r="BP225" t="s">
        <v>1</v>
      </c>
      <c r="BQ225" t="s">
        <v>1</v>
      </c>
      <c r="BR225" t="s">
        <v>1</v>
      </c>
      <c r="BS225" t="s">
        <v>1</v>
      </c>
      <c r="BT225" t="s">
        <v>1</v>
      </c>
      <c r="BU225" t="s">
        <v>1</v>
      </c>
      <c r="BV225" t="s">
        <v>1</v>
      </c>
      <c r="BW225" t="s">
        <v>0</v>
      </c>
      <c r="BX225" t="s">
        <v>1</v>
      </c>
      <c r="BY225" t="s">
        <v>1</v>
      </c>
      <c r="BZ225" t="s">
        <v>1</v>
      </c>
      <c r="CA225" t="s">
        <v>1</v>
      </c>
      <c r="CB225" t="s">
        <v>1</v>
      </c>
      <c r="CD225" t="e" cm="1">
        <f t="array" aca="1" ref="CD225" ca="1">eConcatenar(A225:CB225,"|")</f>
        <v>#NAME?</v>
      </c>
    </row>
    <row r="226" spans="1:82" x14ac:dyDescent="0.25">
      <c r="A226" t="s">
        <v>321</v>
      </c>
      <c r="B226" t="s">
        <v>1330</v>
      </c>
      <c r="C226">
        <v>3</v>
      </c>
      <c r="D226" t="s">
        <v>2153</v>
      </c>
      <c r="E226" t="s">
        <v>2158</v>
      </c>
      <c r="F226" t="s">
        <v>0</v>
      </c>
      <c r="G226" t="s">
        <v>2303</v>
      </c>
      <c r="H226" t="s">
        <v>2838</v>
      </c>
      <c r="I226">
        <v>14800</v>
      </c>
      <c r="J226">
        <v>0</v>
      </c>
      <c r="K226">
        <v>3000</v>
      </c>
      <c r="L226">
        <v>50</v>
      </c>
      <c r="M226">
        <v>2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 t="s">
        <v>3177</v>
      </c>
      <c r="AC226" t="s">
        <v>3180</v>
      </c>
      <c r="AD226" t="s">
        <v>3466</v>
      </c>
      <c r="AE226" t="s">
        <v>4</v>
      </c>
      <c r="AF226" t="s">
        <v>1</v>
      </c>
      <c r="AG226" t="s">
        <v>1</v>
      </c>
      <c r="AH226" t="s">
        <v>4269</v>
      </c>
      <c r="AI226" t="s">
        <v>2303</v>
      </c>
      <c r="AJ226" t="s">
        <v>1</v>
      </c>
      <c r="AK226">
        <v>9371668786</v>
      </c>
      <c r="AL226" t="s">
        <v>1</v>
      </c>
      <c r="AM226" t="s">
        <v>1</v>
      </c>
      <c r="AN226" t="s">
        <v>1</v>
      </c>
      <c r="AO226" t="s">
        <v>4269</v>
      </c>
      <c r="AP226" t="s">
        <v>1</v>
      </c>
      <c r="AQ226" t="s">
        <v>2</v>
      </c>
      <c r="AR226" t="s">
        <v>1</v>
      </c>
      <c r="AS226" t="s">
        <v>1</v>
      </c>
      <c r="AT226" t="s">
        <v>1</v>
      </c>
      <c r="AU226" t="s">
        <v>1</v>
      </c>
      <c r="AV226" t="s">
        <v>1</v>
      </c>
      <c r="AW226" t="s">
        <v>9</v>
      </c>
      <c r="AX226">
        <f>Tabla1[[#This Row],[precio del paquete]]-Tabla1[[#This Row],[Saldo_Deudor]]</f>
        <v>3400</v>
      </c>
      <c r="AY226">
        <v>11400</v>
      </c>
      <c r="AZ226">
        <v>0</v>
      </c>
      <c r="BA226">
        <v>0</v>
      </c>
      <c r="BB226">
        <v>0</v>
      </c>
      <c r="BC226" t="s">
        <v>2775</v>
      </c>
      <c r="BD226" t="s">
        <v>2740</v>
      </c>
      <c r="BE226" t="s">
        <v>3</v>
      </c>
      <c r="BF226" t="s">
        <v>3</v>
      </c>
      <c r="BG226" t="s">
        <v>3</v>
      </c>
      <c r="BH226" t="s">
        <v>3</v>
      </c>
      <c r="BI226" t="s">
        <v>3</v>
      </c>
      <c r="BJ226" t="s">
        <v>4997</v>
      </c>
      <c r="BK226" t="s">
        <v>3</v>
      </c>
      <c r="BL226" t="s">
        <v>96</v>
      </c>
      <c r="BM226" t="s">
        <v>1</v>
      </c>
      <c r="BN226">
        <v>14800</v>
      </c>
      <c r="BO226" t="s">
        <v>1</v>
      </c>
      <c r="BP226" t="s">
        <v>1</v>
      </c>
      <c r="BQ226" t="s">
        <v>1</v>
      </c>
      <c r="BR226" t="s">
        <v>1</v>
      </c>
      <c r="BS226" t="s">
        <v>1</v>
      </c>
      <c r="BT226" t="s">
        <v>1</v>
      </c>
      <c r="BU226" t="s">
        <v>1</v>
      </c>
      <c r="BV226" t="s">
        <v>1</v>
      </c>
      <c r="BW226" t="s">
        <v>0</v>
      </c>
      <c r="BX226" t="s">
        <v>1</v>
      </c>
      <c r="BY226" t="s">
        <v>1</v>
      </c>
      <c r="BZ226" t="s">
        <v>1</v>
      </c>
      <c r="CA226" t="s">
        <v>1</v>
      </c>
      <c r="CB226" t="s">
        <v>1</v>
      </c>
      <c r="CD226" t="e" cm="1">
        <f t="array" aca="1" ref="CD226" ca="1">eConcatenar(A226:CB226,"|")</f>
        <v>#NAME?</v>
      </c>
    </row>
    <row r="227" spans="1:82" x14ac:dyDescent="0.25">
      <c r="A227" t="s">
        <v>322</v>
      </c>
      <c r="B227" t="s">
        <v>1331</v>
      </c>
      <c r="C227">
        <v>3</v>
      </c>
      <c r="D227" t="s">
        <v>2153</v>
      </c>
      <c r="E227" t="s">
        <v>2158</v>
      </c>
      <c r="F227" t="s">
        <v>0</v>
      </c>
      <c r="G227" t="s">
        <v>2304</v>
      </c>
      <c r="H227" t="s">
        <v>2800</v>
      </c>
      <c r="I227">
        <v>14800</v>
      </c>
      <c r="J227">
        <v>0</v>
      </c>
      <c r="K227">
        <v>200</v>
      </c>
      <c r="L227">
        <v>50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 t="s">
        <v>3379</v>
      </c>
      <c r="AC227" t="s">
        <v>3467</v>
      </c>
      <c r="AD227" t="s">
        <v>3468</v>
      </c>
      <c r="AE227" t="s">
        <v>4</v>
      </c>
      <c r="AF227" t="s">
        <v>1</v>
      </c>
      <c r="AG227" t="s">
        <v>1</v>
      </c>
      <c r="AH227" t="s">
        <v>4270</v>
      </c>
      <c r="AI227" t="s">
        <v>2304</v>
      </c>
      <c r="AJ227" t="s">
        <v>1</v>
      </c>
      <c r="AK227">
        <v>9371042150</v>
      </c>
      <c r="AL227" t="s">
        <v>1</v>
      </c>
      <c r="AM227" t="s">
        <v>1</v>
      </c>
      <c r="AN227" t="s">
        <v>1</v>
      </c>
      <c r="AO227" t="s">
        <v>4270</v>
      </c>
      <c r="AP227" t="s">
        <v>1</v>
      </c>
      <c r="AQ227" t="s">
        <v>2</v>
      </c>
      <c r="AR227" t="s">
        <v>1</v>
      </c>
      <c r="AS227" t="s">
        <v>1</v>
      </c>
      <c r="AT227" t="s">
        <v>1</v>
      </c>
      <c r="AU227" t="s">
        <v>1</v>
      </c>
      <c r="AV227" t="s">
        <v>1</v>
      </c>
      <c r="AW227" t="s">
        <v>9</v>
      </c>
      <c r="AX227">
        <f>Tabla1[[#This Row],[precio del paquete]]-Tabla1[[#This Row],[Saldo_Deudor]]</f>
        <v>1400</v>
      </c>
      <c r="AY227">
        <v>13400</v>
      </c>
      <c r="AZ227">
        <v>0</v>
      </c>
      <c r="BA227">
        <v>0</v>
      </c>
      <c r="BB227">
        <v>0</v>
      </c>
      <c r="BC227" t="s">
        <v>3098</v>
      </c>
      <c r="BD227" t="s">
        <v>4829</v>
      </c>
      <c r="BE227" t="s">
        <v>3</v>
      </c>
      <c r="BF227" t="s">
        <v>3</v>
      </c>
      <c r="BG227" t="s">
        <v>3</v>
      </c>
      <c r="BH227" t="s">
        <v>3</v>
      </c>
      <c r="BI227" t="s">
        <v>3</v>
      </c>
      <c r="BJ227" t="s">
        <v>4985</v>
      </c>
      <c r="BK227" t="s">
        <v>3</v>
      </c>
      <c r="BL227" t="s">
        <v>96</v>
      </c>
      <c r="BM227" t="s">
        <v>1</v>
      </c>
      <c r="BN227">
        <v>14800</v>
      </c>
      <c r="BO227" t="s">
        <v>1</v>
      </c>
      <c r="BP227" t="s">
        <v>1</v>
      </c>
      <c r="BQ227" t="s">
        <v>1</v>
      </c>
      <c r="BR227" t="s">
        <v>1</v>
      </c>
      <c r="BS227" t="s">
        <v>1</v>
      </c>
      <c r="BT227" t="s">
        <v>1</v>
      </c>
      <c r="BU227" t="s">
        <v>1</v>
      </c>
      <c r="BV227" t="s">
        <v>1</v>
      </c>
      <c r="BW227" t="s">
        <v>0</v>
      </c>
      <c r="BX227" t="s">
        <v>1</v>
      </c>
      <c r="BY227" t="s">
        <v>1</v>
      </c>
      <c r="BZ227" t="s">
        <v>1</v>
      </c>
      <c r="CA227" t="s">
        <v>1</v>
      </c>
      <c r="CB227" t="s">
        <v>1</v>
      </c>
      <c r="CD227" t="e" cm="1">
        <f t="array" aca="1" ref="CD227" ca="1">eConcatenar(A227:CB227,"|")</f>
        <v>#NAME?</v>
      </c>
    </row>
    <row r="228" spans="1:82" x14ac:dyDescent="0.25">
      <c r="A228" t="s">
        <v>323</v>
      </c>
      <c r="B228" t="s">
        <v>1332</v>
      </c>
      <c r="C228">
        <v>3</v>
      </c>
      <c r="D228" t="s">
        <v>2153</v>
      </c>
      <c r="E228" t="s">
        <v>2158</v>
      </c>
      <c r="F228" t="s">
        <v>2159</v>
      </c>
      <c r="G228" t="s">
        <v>2305</v>
      </c>
      <c r="H228" t="s">
        <v>2839</v>
      </c>
      <c r="I228">
        <v>14800</v>
      </c>
      <c r="J228">
        <v>0</v>
      </c>
      <c r="K228">
        <v>100</v>
      </c>
      <c r="L228">
        <v>50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 t="s">
        <v>3236</v>
      </c>
      <c r="AC228" t="s">
        <v>3148</v>
      </c>
      <c r="AD228" t="s">
        <v>3156</v>
      </c>
      <c r="AE228" t="s">
        <v>4</v>
      </c>
      <c r="AF228" t="s">
        <v>1</v>
      </c>
      <c r="AG228" t="s">
        <v>1</v>
      </c>
      <c r="AH228" t="s">
        <v>4271</v>
      </c>
      <c r="AI228" t="s">
        <v>2305</v>
      </c>
      <c r="AJ228" t="s">
        <v>1</v>
      </c>
      <c r="AK228" t="s">
        <v>1</v>
      </c>
      <c r="AL228" t="s">
        <v>1</v>
      </c>
      <c r="AM228" t="s">
        <v>1</v>
      </c>
      <c r="AN228" t="s">
        <v>1</v>
      </c>
      <c r="AO228" t="s">
        <v>4271</v>
      </c>
      <c r="AP228" t="s">
        <v>1</v>
      </c>
      <c r="AQ228" t="s">
        <v>2</v>
      </c>
      <c r="AR228" t="s">
        <v>1</v>
      </c>
      <c r="AS228" t="s">
        <v>1</v>
      </c>
      <c r="AT228" t="s">
        <v>1</v>
      </c>
      <c r="AU228" t="s">
        <v>1</v>
      </c>
      <c r="AV228" t="s">
        <v>1</v>
      </c>
      <c r="AW228" t="s">
        <v>9</v>
      </c>
      <c r="AX228">
        <f>Tabla1[[#This Row],[precio del paquete]]-Tabla1[[#This Row],[Saldo_Deudor]]</f>
        <v>600</v>
      </c>
      <c r="AY228">
        <v>14200</v>
      </c>
      <c r="AZ228">
        <v>0</v>
      </c>
      <c r="BA228">
        <v>0</v>
      </c>
      <c r="BB228">
        <v>0</v>
      </c>
      <c r="BC228" t="s">
        <v>4829</v>
      </c>
      <c r="BD228" t="s">
        <v>4900</v>
      </c>
      <c r="BE228" t="s">
        <v>3</v>
      </c>
      <c r="BF228" t="s">
        <v>3</v>
      </c>
      <c r="BG228" t="s">
        <v>3</v>
      </c>
      <c r="BH228" t="s">
        <v>3</v>
      </c>
      <c r="BI228" t="s">
        <v>3</v>
      </c>
      <c r="BJ228" t="s">
        <v>4983</v>
      </c>
      <c r="BK228" t="s">
        <v>3</v>
      </c>
      <c r="BL228" t="s">
        <v>96</v>
      </c>
      <c r="BM228" t="s">
        <v>1</v>
      </c>
      <c r="BN228">
        <v>14800</v>
      </c>
      <c r="BO228" t="s">
        <v>1</v>
      </c>
      <c r="BP228" t="s">
        <v>1</v>
      </c>
      <c r="BQ228" t="s">
        <v>1</v>
      </c>
      <c r="BR228" t="s">
        <v>1</v>
      </c>
      <c r="BS228" t="s">
        <v>1</v>
      </c>
      <c r="BT228" t="s">
        <v>1</v>
      </c>
      <c r="BU228" t="s">
        <v>1</v>
      </c>
      <c r="BV228" t="s">
        <v>1</v>
      </c>
      <c r="BW228" t="s">
        <v>0</v>
      </c>
      <c r="BX228" t="s">
        <v>1</v>
      </c>
      <c r="BY228" t="s">
        <v>1</v>
      </c>
      <c r="BZ228" t="s">
        <v>1</v>
      </c>
      <c r="CA228" t="s">
        <v>1</v>
      </c>
      <c r="CB228" t="s">
        <v>1</v>
      </c>
      <c r="CD228" t="e" cm="1">
        <f t="array" aca="1" ref="CD228" ca="1">eConcatenar(A228:CB228,"|")</f>
        <v>#NAME?</v>
      </c>
    </row>
    <row r="229" spans="1:82" x14ac:dyDescent="0.25">
      <c r="A229" t="s">
        <v>324</v>
      </c>
      <c r="B229" t="s">
        <v>1333</v>
      </c>
      <c r="C229">
        <v>3</v>
      </c>
      <c r="D229" t="s">
        <v>2157</v>
      </c>
      <c r="E229" t="s">
        <v>2158</v>
      </c>
      <c r="F229" t="s">
        <v>2161</v>
      </c>
      <c r="G229" t="s">
        <v>2306</v>
      </c>
      <c r="H229" t="s">
        <v>2840</v>
      </c>
      <c r="I229">
        <v>9860</v>
      </c>
      <c r="J229">
        <v>0</v>
      </c>
      <c r="K229">
        <v>100</v>
      </c>
      <c r="L229">
        <v>50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 t="s">
        <v>3115</v>
      </c>
      <c r="AC229" t="s">
        <v>3132</v>
      </c>
      <c r="AD229" t="s">
        <v>3393</v>
      </c>
      <c r="AE229" t="s">
        <v>4</v>
      </c>
      <c r="AF229" t="s">
        <v>1</v>
      </c>
      <c r="AG229" t="s">
        <v>1</v>
      </c>
      <c r="AH229" t="s">
        <v>4272</v>
      </c>
      <c r="AI229" t="s">
        <v>2306</v>
      </c>
      <c r="AJ229" t="s">
        <v>1</v>
      </c>
      <c r="AK229">
        <v>9141313942</v>
      </c>
      <c r="AL229" t="s">
        <v>1</v>
      </c>
      <c r="AM229" t="s">
        <v>1</v>
      </c>
      <c r="AN229" t="s">
        <v>1</v>
      </c>
      <c r="AO229" t="s">
        <v>4272</v>
      </c>
      <c r="AP229" t="s">
        <v>1</v>
      </c>
      <c r="AQ229" t="s">
        <v>2</v>
      </c>
      <c r="AR229" t="s">
        <v>1</v>
      </c>
      <c r="AS229" t="s">
        <v>1</v>
      </c>
      <c r="AT229" t="s">
        <v>1</v>
      </c>
      <c r="AU229" t="s">
        <v>1</v>
      </c>
      <c r="AV229" t="s">
        <v>1</v>
      </c>
      <c r="AW229" t="s">
        <v>9</v>
      </c>
      <c r="AX229">
        <f>Tabla1[[#This Row],[precio del paquete]]-Tabla1[[#This Row],[Saldo_Deudor]]</f>
        <v>8660</v>
      </c>
      <c r="AY229">
        <v>1200</v>
      </c>
      <c r="AZ229">
        <v>0</v>
      </c>
      <c r="BA229">
        <v>0</v>
      </c>
      <c r="BB229">
        <v>0</v>
      </c>
      <c r="BC229" t="s">
        <v>4828</v>
      </c>
      <c r="BD229" t="s">
        <v>3098</v>
      </c>
      <c r="BE229" t="s">
        <v>3</v>
      </c>
      <c r="BF229" t="s">
        <v>3</v>
      </c>
      <c r="BG229" t="s">
        <v>3</v>
      </c>
      <c r="BH229" t="s">
        <v>3</v>
      </c>
      <c r="BI229" t="s">
        <v>3</v>
      </c>
      <c r="BJ229" t="s">
        <v>5009</v>
      </c>
      <c r="BK229" t="s">
        <v>3</v>
      </c>
      <c r="BL229" t="s">
        <v>96</v>
      </c>
      <c r="BM229" t="s">
        <v>1</v>
      </c>
      <c r="BN229">
        <v>9860</v>
      </c>
      <c r="BO229" t="s">
        <v>1</v>
      </c>
      <c r="BP229" t="s">
        <v>1</v>
      </c>
      <c r="BQ229" t="s">
        <v>1</v>
      </c>
      <c r="BR229" t="s">
        <v>1</v>
      </c>
      <c r="BS229" t="s">
        <v>1</v>
      </c>
      <c r="BT229" t="s">
        <v>1</v>
      </c>
      <c r="BU229" t="s">
        <v>1</v>
      </c>
      <c r="BV229" t="s">
        <v>1</v>
      </c>
      <c r="BW229" t="s">
        <v>0</v>
      </c>
      <c r="BX229" t="s">
        <v>1</v>
      </c>
      <c r="BY229" t="s">
        <v>1</v>
      </c>
      <c r="BZ229" t="s">
        <v>1</v>
      </c>
      <c r="CA229" t="s">
        <v>1</v>
      </c>
      <c r="CB229" t="s">
        <v>1</v>
      </c>
      <c r="CD229" t="e" cm="1">
        <f t="array" aca="1" ref="CD229" ca="1">eConcatenar(A229:CB229,"|")</f>
        <v>#NAME?</v>
      </c>
    </row>
    <row r="230" spans="1:82" x14ac:dyDescent="0.25">
      <c r="A230" t="s">
        <v>325</v>
      </c>
      <c r="B230" t="s">
        <v>1334</v>
      </c>
      <c r="C230">
        <v>3</v>
      </c>
      <c r="D230" t="s">
        <v>2153</v>
      </c>
      <c r="E230" t="s">
        <v>2158</v>
      </c>
      <c r="F230" t="s">
        <v>0</v>
      </c>
      <c r="G230" t="s">
        <v>2307</v>
      </c>
      <c r="H230" t="s">
        <v>2841</v>
      </c>
      <c r="I230">
        <v>14800</v>
      </c>
      <c r="J230">
        <v>0</v>
      </c>
      <c r="K230">
        <v>50</v>
      </c>
      <c r="L230">
        <v>50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 t="s">
        <v>3162</v>
      </c>
      <c r="AC230" t="s">
        <v>3295</v>
      </c>
      <c r="AD230" t="s">
        <v>3469</v>
      </c>
      <c r="AE230" t="s">
        <v>4</v>
      </c>
      <c r="AF230" t="s">
        <v>1</v>
      </c>
      <c r="AG230" t="s">
        <v>1</v>
      </c>
      <c r="AH230" t="s">
        <v>2207</v>
      </c>
      <c r="AI230" t="s">
        <v>2307</v>
      </c>
      <c r="AJ230" t="s">
        <v>1</v>
      </c>
      <c r="AK230">
        <v>9331681093</v>
      </c>
      <c r="AL230" t="s">
        <v>1</v>
      </c>
      <c r="AM230" t="s">
        <v>1</v>
      </c>
      <c r="AN230" t="s">
        <v>1</v>
      </c>
      <c r="AO230" t="s">
        <v>2207</v>
      </c>
      <c r="AP230" t="s">
        <v>1</v>
      </c>
      <c r="AQ230" t="s">
        <v>2</v>
      </c>
      <c r="AR230" t="s">
        <v>1</v>
      </c>
      <c r="AS230" t="s">
        <v>1</v>
      </c>
      <c r="AT230" t="s">
        <v>1</v>
      </c>
      <c r="AU230" t="s">
        <v>1</v>
      </c>
      <c r="AV230" t="s">
        <v>1</v>
      </c>
      <c r="AW230" t="s">
        <v>9</v>
      </c>
      <c r="AX230">
        <f>Tabla1[[#This Row],[precio del paquete]]-Tabla1[[#This Row],[Saldo_Deudor]]</f>
        <v>1235</v>
      </c>
      <c r="AY230">
        <v>13565</v>
      </c>
      <c r="AZ230">
        <v>0</v>
      </c>
      <c r="BA230">
        <v>0</v>
      </c>
      <c r="BB230">
        <v>0</v>
      </c>
      <c r="BC230" t="s">
        <v>3102</v>
      </c>
      <c r="BD230" t="s">
        <v>4897</v>
      </c>
      <c r="BE230" t="s">
        <v>3</v>
      </c>
      <c r="BF230" t="s">
        <v>3</v>
      </c>
      <c r="BG230" t="s">
        <v>3</v>
      </c>
      <c r="BH230" t="s">
        <v>3</v>
      </c>
      <c r="BI230" t="s">
        <v>3</v>
      </c>
      <c r="BJ230" t="s">
        <v>4986</v>
      </c>
      <c r="BK230" t="s">
        <v>3</v>
      </c>
      <c r="BL230" t="s">
        <v>96</v>
      </c>
      <c r="BM230" t="s">
        <v>1</v>
      </c>
      <c r="BN230">
        <v>14800</v>
      </c>
      <c r="BO230" t="s">
        <v>1</v>
      </c>
      <c r="BP230" t="s">
        <v>1</v>
      </c>
      <c r="BQ230" t="s">
        <v>1</v>
      </c>
      <c r="BR230" t="s">
        <v>1</v>
      </c>
      <c r="BS230" t="s">
        <v>1</v>
      </c>
      <c r="BT230" t="s">
        <v>1</v>
      </c>
      <c r="BU230" t="s">
        <v>1</v>
      </c>
      <c r="BV230" t="s">
        <v>1</v>
      </c>
      <c r="BW230" t="s">
        <v>0</v>
      </c>
      <c r="BX230" t="s">
        <v>1</v>
      </c>
      <c r="BY230" t="s">
        <v>1</v>
      </c>
      <c r="BZ230" t="s">
        <v>1</v>
      </c>
      <c r="CA230" t="s">
        <v>1</v>
      </c>
      <c r="CB230" t="s">
        <v>1</v>
      </c>
      <c r="CD230" t="e" cm="1">
        <f t="array" aca="1" ref="CD230" ca="1">eConcatenar(A230:CB230,"|")</f>
        <v>#NAME?</v>
      </c>
    </row>
    <row r="231" spans="1:82" x14ac:dyDescent="0.25">
      <c r="A231" t="s">
        <v>326</v>
      </c>
      <c r="B231" t="s">
        <v>1335</v>
      </c>
      <c r="C231">
        <v>3</v>
      </c>
      <c r="D231" t="s">
        <v>2153</v>
      </c>
      <c r="E231" t="s">
        <v>2158</v>
      </c>
      <c r="F231" t="s">
        <v>2162</v>
      </c>
      <c r="G231" t="s">
        <v>2308</v>
      </c>
      <c r="H231" t="s">
        <v>2842</v>
      </c>
      <c r="I231">
        <v>14800</v>
      </c>
      <c r="J231">
        <v>0</v>
      </c>
      <c r="K231">
        <v>500</v>
      </c>
      <c r="L231">
        <v>50</v>
      </c>
      <c r="M231">
        <v>2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 t="s">
        <v>3115</v>
      </c>
      <c r="AC231" t="s">
        <v>3470</v>
      </c>
      <c r="AD231" t="s">
        <v>3410</v>
      </c>
      <c r="AE231" t="s">
        <v>4</v>
      </c>
      <c r="AF231" t="s">
        <v>1</v>
      </c>
      <c r="AG231" t="s">
        <v>1</v>
      </c>
      <c r="AH231" t="s">
        <v>4273</v>
      </c>
      <c r="AI231" t="s">
        <v>2308</v>
      </c>
      <c r="AJ231" t="s">
        <v>1</v>
      </c>
      <c r="AK231">
        <v>9331221154</v>
      </c>
      <c r="AL231" t="s">
        <v>1</v>
      </c>
      <c r="AM231" t="s">
        <v>1</v>
      </c>
      <c r="AN231" t="s">
        <v>1</v>
      </c>
      <c r="AO231" t="s">
        <v>4273</v>
      </c>
      <c r="AP231" t="s">
        <v>1</v>
      </c>
      <c r="AQ231" t="s">
        <v>2</v>
      </c>
      <c r="AR231" t="s">
        <v>1</v>
      </c>
      <c r="AS231" t="s">
        <v>1</v>
      </c>
      <c r="AT231" t="s">
        <v>1</v>
      </c>
      <c r="AU231" t="s">
        <v>1</v>
      </c>
      <c r="AV231" t="s">
        <v>1</v>
      </c>
      <c r="AW231" t="s">
        <v>9</v>
      </c>
      <c r="AX231">
        <f>Tabla1[[#This Row],[precio del paquete]]-Tabla1[[#This Row],[Saldo_Deudor]]</f>
        <v>2500</v>
      </c>
      <c r="AY231">
        <v>12300</v>
      </c>
      <c r="AZ231">
        <v>0</v>
      </c>
      <c r="BA231">
        <v>0</v>
      </c>
      <c r="BB231">
        <v>0</v>
      </c>
      <c r="BC231" t="s">
        <v>2928</v>
      </c>
      <c r="BD231" t="s">
        <v>2711</v>
      </c>
      <c r="BE231" t="s">
        <v>3</v>
      </c>
      <c r="BF231" t="s">
        <v>3</v>
      </c>
      <c r="BG231" t="s">
        <v>3</v>
      </c>
      <c r="BH231" t="s">
        <v>3</v>
      </c>
      <c r="BI231" t="s">
        <v>3</v>
      </c>
      <c r="BJ231" t="s">
        <v>4987</v>
      </c>
      <c r="BK231" t="s">
        <v>3</v>
      </c>
      <c r="BL231" t="s">
        <v>96</v>
      </c>
      <c r="BM231" t="s">
        <v>1</v>
      </c>
      <c r="BN231">
        <v>14800</v>
      </c>
      <c r="BO231" t="s">
        <v>1</v>
      </c>
      <c r="BP231" t="s">
        <v>1</v>
      </c>
      <c r="BQ231" t="s">
        <v>1</v>
      </c>
      <c r="BR231" t="s">
        <v>1</v>
      </c>
      <c r="BS231" t="s">
        <v>1</v>
      </c>
      <c r="BT231" t="s">
        <v>1</v>
      </c>
      <c r="BU231" t="s">
        <v>1</v>
      </c>
      <c r="BV231" t="s">
        <v>1</v>
      </c>
      <c r="BW231" t="s">
        <v>0</v>
      </c>
      <c r="BX231" t="s">
        <v>1</v>
      </c>
      <c r="BY231" t="s">
        <v>1</v>
      </c>
      <c r="BZ231" t="s">
        <v>1</v>
      </c>
      <c r="CA231" t="s">
        <v>1</v>
      </c>
      <c r="CB231" t="s">
        <v>1</v>
      </c>
      <c r="CD231" t="e" cm="1">
        <f t="array" aca="1" ref="CD231" ca="1">eConcatenar(A231:CB231,"|")</f>
        <v>#NAME?</v>
      </c>
    </row>
    <row r="232" spans="1:82" x14ac:dyDescent="0.25">
      <c r="A232" t="s">
        <v>327</v>
      </c>
      <c r="B232" t="s">
        <v>1336</v>
      </c>
      <c r="C232">
        <v>3</v>
      </c>
      <c r="D232" t="s">
        <v>2153</v>
      </c>
      <c r="E232" t="s">
        <v>2158</v>
      </c>
      <c r="F232" t="s">
        <v>2162</v>
      </c>
      <c r="G232" t="s">
        <v>2309</v>
      </c>
      <c r="H232" t="s">
        <v>2843</v>
      </c>
      <c r="I232">
        <v>14800</v>
      </c>
      <c r="J232">
        <v>0</v>
      </c>
      <c r="K232">
        <v>100</v>
      </c>
      <c r="L232">
        <v>50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 t="s">
        <v>3265</v>
      </c>
      <c r="AC232" t="s">
        <v>6</v>
      </c>
      <c r="AD232" t="s">
        <v>3130</v>
      </c>
      <c r="AE232" t="s">
        <v>4</v>
      </c>
      <c r="AF232" t="s">
        <v>1</v>
      </c>
      <c r="AG232" t="s">
        <v>1</v>
      </c>
      <c r="AH232" t="s">
        <v>4274</v>
      </c>
      <c r="AI232" t="s">
        <v>2309</v>
      </c>
      <c r="AJ232" t="s">
        <v>1</v>
      </c>
      <c r="AK232">
        <v>9331376717</v>
      </c>
      <c r="AL232" t="s">
        <v>1</v>
      </c>
      <c r="AM232" t="s">
        <v>1</v>
      </c>
      <c r="AN232" t="s">
        <v>1</v>
      </c>
      <c r="AO232" t="s">
        <v>4274</v>
      </c>
      <c r="AP232" t="s">
        <v>1</v>
      </c>
      <c r="AQ232" t="s">
        <v>2</v>
      </c>
      <c r="AR232" t="s">
        <v>1</v>
      </c>
      <c r="AS232" t="s">
        <v>1</v>
      </c>
      <c r="AT232" t="s">
        <v>1</v>
      </c>
      <c r="AU232" t="s">
        <v>1</v>
      </c>
      <c r="AV232" t="s">
        <v>1</v>
      </c>
      <c r="AW232" t="s">
        <v>9</v>
      </c>
      <c r="AX232">
        <f>Tabla1[[#This Row],[precio del paquete]]-Tabla1[[#This Row],[Saldo_Deudor]]</f>
        <v>1000</v>
      </c>
      <c r="AY232">
        <v>13800</v>
      </c>
      <c r="AZ232">
        <v>0</v>
      </c>
      <c r="BA232">
        <v>0</v>
      </c>
      <c r="BB232">
        <v>0</v>
      </c>
      <c r="BC232" t="s">
        <v>3024</v>
      </c>
      <c r="BD232" t="s">
        <v>4830</v>
      </c>
      <c r="BE232" t="s">
        <v>3</v>
      </c>
      <c r="BF232" t="s">
        <v>3</v>
      </c>
      <c r="BG232" t="s">
        <v>3</v>
      </c>
      <c r="BH232" t="s">
        <v>3</v>
      </c>
      <c r="BI232" t="s">
        <v>3</v>
      </c>
      <c r="BJ232" t="s">
        <v>4998</v>
      </c>
      <c r="BK232" t="s">
        <v>3</v>
      </c>
      <c r="BL232" t="s">
        <v>96</v>
      </c>
      <c r="BM232" t="s">
        <v>1</v>
      </c>
      <c r="BN232">
        <v>14800</v>
      </c>
      <c r="BO232" t="s">
        <v>1</v>
      </c>
      <c r="BP232" t="s">
        <v>1</v>
      </c>
      <c r="BQ232" t="s">
        <v>1</v>
      </c>
      <c r="BR232" t="s">
        <v>1</v>
      </c>
      <c r="BS232" t="s">
        <v>1</v>
      </c>
      <c r="BT232" t="s">
        <v>1</v>
      </c>
      <c r="BU232" t="s">
        <v>1</v>
      </c>
      <c r="BV232" t="s">
        <v>1</v>
      </c>
      <c r="BW232" t="s">
        <v>0</v>
      </c>
      <c r="BX232" t="s">
        <v>1</v>
      </c>
      <c r="BY232" t="s">
        <v>1</v>
      </c>
      <c r="BZ232" t="s">
        <v>1</v>
      </c>
      <c r="CA232" t="s">
        <v>1</v>
      </c>
      <c r="CB232" t="s">
        <v>1</v>
      </c>
      <c r="CD232" t="e" cm="1">
        <f t="array" aca="1" ref="CD232" ca="1">eConcatenar(A232:CB232,"|")</f>
        <v>#NAME?</v>
      </c>
    </row>
    <row r="233" spans="1:82" x14ac:dyDescent="0.25">
      <c r="A233" t="s">
        <v>328</v>
      </c>
      <c r="B233" t="s">
        <v>1337</v>
      </c>
      <c r="C233">
        <v>3</v>
      </c>
      <c r="D233" t="s">
        <v>2153</v>
      </c>
      <c r="E233" t="s">
        <v>2158</v>
      </c>
      <c r="F233" t="s">
        <v>2162</v>
      </c>
      <c r="G233" t="s">
        <v>2309</v>
      </c>
      <c r="H233" t="s">
        <v>2708</v>
      </c>
      <c r="I233">
        <v>14800</v>
      </c>
      <c r="J233">
        <v>0</v>
      </c>
      <c r="K233">
        <v>100</v>
      </c>
      <c r="L233">
        <v>50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 t="s">
        <v>3315</v>
      </c>
      <c r="AC233" t="s">
        <v>3315</v>
      </c>
      <c r="AD233" t="s">
        <v>3471</v>
      </c>
      <c r="AE233" t="s">
        <v>4</v>
      </c>
      <c r="AF233" t="s">
        <v>1</v>
      </c>
      <c r="AG233" t="s">
        <v>1</v>
      </c>
      <c r="AH233" t="s">
        <v>4226</v>
      </c>
      <c r="AI233" t="s">
        <v>2309</v>
      </c>
      <c r="AJ233" t="s">
        <v>1</v>
      </c>
      <c r="AK233" t="s">
        <v>1</v>
      </c>
      <c r="AL233" t="s">
        <v>1</v>
      </c>
      <c r="AM233" t="s">
        <v>1</v>
      </c>
      <c r="AN233" t="s">
        <v>1</v>
      </c>
      <c r="AO233" t="s">
        <v>4226</v>
      </c>
      <c r="AP233" t="s">
        <v>1</v>
      </c>
      <c r="AQ233" t="s">
        <v>2</v>
      </c>
      <c r="AR233" t="s">
        <v>1</v>
      </c>
      <c r="AS233" t="s">
        <v>1</v>
      </c>
      <c r="AT233" t="s">
        <v>1</v>
      </c>
      <c r="AU233" t="s">
        <v>1</v>
      </c>
      <c r="AV233" t="s">
        <v>1</v>
      </c>
      <c r="AW233" t="s">
        <v>9</v>
      </c>
      <c r="AX233">
        <f>Tabla1[[#This Row],[precio del paquete]]-Tabla1[[#This Row],[Saldo_Deudor]]</f>
        <v>1200</v>
      </c>
      <c r="AY233">
        <v>13600</v>
      </c>
      <c r="AZ233">
        <v>0</v>
      </c>
      <c r="BA233">
        <v>0</v>
      </c>
      <c r="BB233">
        <v>0</v>
      </c>
      <c r="BC233" t="s">
        <v>2708</v>
      </c>
      <c r="BD233" t="s">
        <v>2809</v>
      </c>
      <c r="BE233" t="s">
        <v>3</v>
      </c>
      <c r="BF233" t="s">
        <v>3</v>
      </c>
      <c r="BG233" t="s">
        <v>3</v>
      </c>
      <c r="BH233" t="s">
        <v>3</v>
      </c>
      <c r="BI233" t="s">
        <v>3</v>
      </c>
      <c r="BJ233" t="s">
        <v>5000</v>
      </c>
      <c r="BK233" t="s">
        <v>3</v>
      </c>
      <c r="BL233" t="s">
        <v>96</v>
      </c>
      <c r="BM233" t="s">
        <v>1</v>
      </c>
      <c r="BN233">
        <v>14800</v>
      </c>
      <c r="BO233" t="s">
        <v>1</v>
      </c>
      <c r="BP233" t="s">
        <v>1</v>
      </c>
      <c r="BQ233" t="s">
        <v>1</v>
      </c>
      <c r="BR233" t="s">
        <v>1</v>
      </c>
      <c r="BS233" t="s">
        <v>1</v>
      </c>
      <c r="BT233" t="s">
        <v>1</v>
      </c>
      <c r="BU233" t="s">
        <v>1</v>
      </c>
      <c r="BV233" t="s">
        <v>1</v>
      </c>
      <c r="BW233" t="s">
        <v>0</v>
      </c>
      <c r="BX233" t="s">
        <v>1</v>
      </c>
      <c r="BY233" t="s">
        <v>1</v>
      </c>
      <c r="BZ233" t="s">
        <v>1</v>
      </c>
      <c r="CA233" t="s">
        <v>1</v>
      </c>
      <c r="CB233" t="s">
        <v>1</v>
      </c>
      <c r="CD233" t="e" cm="1">
        <f t="array" aca="1" ref="CD233" ca="1">eConcatenar(A233:CB233,"|")</f>
        <v>#NAME?</v>
      </c>
    </row>
    <row r="234" spans="1:82" x14ac:dyDescent="0.25">
      <c r="A234" t="s">
        <v>329</v>
      </c>
      <c r="B234" t="s">
        <v>1338</v>
      </c>
      <c r="C234">
        <v>3</v>
      </c>
      <c r="D234" t="s">
        <v>2157</v>
      </c>
      <c r="E234" t="s">
        <v>2158</v>
      </c>
      <c r="F234" t="s">
        <v>2162</v>
      </c>
      <c r="G234" t="s">
        <v>2310</v>
      </c>
      <c r="H234" t="s">
        <v>2844</v>
      </c>
      <c r="I234">
        <v>12900</v>
      </c>
      <c r="J234">
        <v>0</v>
      </c>
      <c r="K234">
        <v>200</v>
      </c>
      <c r="L234">
        <v>50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 t="s">
        <v>3168</v>
      </c>
      <c r="AC234" t="s">
        <v>3115</v>
      </c>
      <c r="AD234" t="s">
        <v>3283</v>
      </c>
      <c r="AE234" t="s">
        <v>4</v>
      </c>
      <c r="AF234" t="s">
        <v>1</v>
      </c>
      <c r="AG234" t="s">
        <v>1</v>
      </c>
      <c r="AH234" t="s">
        <v>4275</v>
      </c>
      <c r="AI234" t="s">
        <v>2310</v>
      </c>
      <c r="AJ234" t="s">
        <v>1</v>
      </c>
      <c r="AK234">
        <v>9332099056</v>
      </c>
      <c r="AL234" t="s">
        <v>1</v>
      </c>
      <c r="AM234" t="s">
        <v>1</v>
      </c>
      <c r="AN234" t="s">
        <v>1</v>
      </c>
      <c r="AO234" t="s">
        <v>4275</v>
      </c>
      <c r="AP234" t="s">
        <v>1</v>
      </c>
      <c r="AQ234" t="s">
        <v>2</v>
      </c>
      <c r="AR234" t="s">
        <v>1</v>
      </c>
      <c r="AS234" t="s">
        <v>1</v>
      </c>
      <c r="AT234" t="s">
        <v>1</v>
      </c>
      <c r="AU234" t="s">
        <v>1</v>
      </c>
      <c r="AV234" t="s">
        <v>1</v>
      </c>
      <c r="AW234" t="s">
        <v>9</v>
      </c>
      <c r="AX234">
        <f>Tabla1[[#This Row],[precio del paquete]]-Tabla1[[#This Row],[Saldo_Deudor]]</f>
        <v>12500</v>
      </c>
      <c r="AY234">
        <v>400</v>
      </c>
      <c r="AZ234">
        <v>0</v>
      </c>
      <c r="BA234">
        <v>0</v>
      </c>
      <c r="BB234">
        <v>0</v>
      </c>
      <c r="BC234" t="s">
        <v>2905</v>
      </c>
      <c r="BD234" t="s">
        <v>3024</v>
      </c>
      <c r="BE234" t="s">
        <v>3</v>
      </c>
      <c r="BF234" t="s">
        <v>3</v>
      </c>
      <c r="BG234" t="s">
        <v>3</v>
      </c>
      <c r="BH234" t="s">
        <v>3</v>
      </c>
      <c r="BI234" t="s">
        <v>3</v>
      </c>
      <c r="BJ234" t="s">
        <v>5000</v>
      </c>
      <c r="BK234" t="s">
        <v>3</v>
      </c>
      <c r="BL234" t="s">
        <v>96</v>
      </c>
      <c r="BM234" t="s">
        <v>1</v>
      </c>
      <c r="BN234">
        <v>12900</v>
      </c>
      <c r="BO234" t="s">
        <v>1</v>
      </c>
      <c r="BP234" t="s">
        <v>1</v>
      </c>
      <c r="BQ234" t="s">
        <v>1</v>
      </c>
      <c r="BR234" t="s">
        <v>1</v>
      </c>
      <c r="BS234" t="s">
        <v>1</v>
      </c>
      <c r="BT234" t="s">
        <v>1</v>
      </c>
      <c r="BU234" t="s">
        <v>1</v>
      </c>
      <c r="BV234" t="s">
        <v>1</v>
      </c>
      <c r="BW234" t="s">
        <v>0</v>
      </c>
      <c r="BX234" t="s">
        <v>1</v>
      </c>
      <c r="BY234" t="s">
        <v>1</v>
      </c>
      <c r="BZ234" t="s">
        <v>1</v>
      </c>
      <c r="CA234" t="s">
        <v>1</v>
      </c>
      <c r="CB234" t="s">
        <v>1</v>
      </c>
      <c r="CD234" t="e" cm="1">
        <f t="array" aca="1" ref="CD234" ca="1">eConcatenar(A234:CB234,"|")</f>
        <v>#NAME?</v>
      </c>
    </row>
    <row r="235" spans="1:82" x14ac:dyDescent="0.25">
      <c r="A235" t="s">
        <v>330</v>
      </c>
      <c r="B235" t="s">
        <v>1339</v>
      </c>
      <c r="C235">
        <v>3</v>
      </c>
      <c r="D235" t="s">
        <v>2157</v>
      </c>
      <c r="E235" t="s">
        <v>2158</v>
      </c>
      <c r="F235" t="s">
        <v>2162</v>
      </c>
      <c r="G235" t="s">
        <v>2310</v>
      </c>
      <c r="H235" t="s">
        <v>2845</v>
      </c>
      <c r="I235">
        <v>12900</v>
      </c>
      <c r="J235">
        <v>0</v>
      </c>
      <c r="K235">
        <v>200</v>
      </c>
      <c r="L235">
        <v>50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 t="s">
        <v>3115</v>
      </c>
      <c r="AC235" t="s">
        <v>3472</v>
      </c>
      <c r="AD235" t="s">
        <v>3473</v>
      </c>
      <c r="AE235" t="s">
        <v>4</v>
      </c>
      <c r="AF235" t="s">
        <v>1</v>
      </c>
      <c r="AG235" t="s">
        <v>1</v>
      </c>
      <c r="AH235" t="s">
        <v>4276</v>
      </c>
      <c r="AI235" t="s">
        <v>2310</v>
      </c>
      <c r="AJ235" t="s">
        <v>1</v>
      </c>
      <c r="AK235">
        <v>9331249433</v>
      </c>
      <c r="AL235" t="s">
        <v>1</v>
      </c>
      <c r="AM235" t="s">
        <v>1</v>
      </c>
      <c r="AN235" t="s">
        <v>1</v>
      </c>
      <c r="AO235" t="s">
        <v>4276</v>
      </c>
      <c r="AP235" t="s">
        <v>1</v>
      </c>
      <c r="AQ235" t="s">
        <v>2</v>
      </c>
      <c r="AR235" t="s">
        <v>1</v>
      </c>
      <c r="AS235" t="s">
        <v>1</v>
      </c>
      <c r="AT235" t="s">
        <v>1</v>
      </c>
      <c r="AU235" t="s">
        <v>1</v>
      </c>
      <c r="AV235" t="s">
        <v>1</v>
      </c>
      <c r="AW235" t="s">
        <v>9</v>
      </c>
      <c r="AX235">
        <f>Tabla1[[#This Row],[precio del paquete]]-Tabla1[[#This Row],[Saldo_Deudor]]</f>
        <v>12200</v>
      </c>
      <c r="AY235">
        <v>700</v>
      </c>
      <c r="AZ235">
        <v>0</v>
      </c>
      <c r="BA235">
        <v>0</v>
      </c>
      <c r="BB235">
        <v>0</v>
      </c>
      <c r="BC235" t="s">
        <v>2905</v>
      </c>
      <c r="BD235" t="s">
        <v>3024</v>
      </c>
      <c r="BE235" t="s">
        <v>3</v>
      </c>
      <c r="BF235" t="s">
        <v>3</v>
      </c>
      <c r="BG235" t="s">
        <v>3</v>
      </c>
      <c r="BH235" t="s">
        <v>3</v>
      </c>
      <c r="BI235" t="s">
        <v>3</v>
      </c>
      <c r="BJ235" t="s">
        <v>5011</v>
      </c>
      <c r="BK235" t="s">
        <v>3</v>
      </c>
      <c r="BL235" t="s">
        <v>96</v>
      </c>
      <c r="BM235" t="s">
        <v>1</v>
      </c>
      <c r="BN235">
        <v>12900</v>
      </c>
      <c r="BO235" t="s">
        <v>1</v>
      </c>
      <c r="BP235" t="s">
        <v>1</v>
      </c>
      <c r="BQ235" t="s">
        <v>1</v>
      </c>
      <c r="BR235" t="s">
        <v>1</v>
      </c>
      <c r="BS235" t="s">
        <v>1</v>
      </c>
      <c r="BT235" t="s">
        <v>1</v>
      </c>
      <c r="BU235" t="s">
        <v>1</v>
      </c>
      <c r="BV235" t="s">
        <v>1</v>
      </c>
      <c r="BW235" t="s">
        <v>0</v>
      </c>
      <c r="BX235" t="s">
        <v>1</v>
      </c>
      <c r="BY235" t="s">
        <v>1</v>
      </c>
      <c r="BZ235" t="s">
        <v>1</v>
      </c>
      <c r="CA235" t="s">
        <v>1</v>
      </c>
      <c r="CB235" t="s">
        <v>1</v>
      </c>
      <c r="CD235" t="e" cm="1">
        <f t="array" aca="1" ref="CD235" ca="1">eConcatenar(A235:CB235,"|")</f>
        <v>#NAME?</v>
      </c>
    </row>
    <row r="236" spans="1:82" x14ac:dyDescent="0.25">
      <c r="A236" t="s">
        <v>331</v>
      </c>
      <c r="B236" t="s">
        <v>1340</v>
      </c>
      <c r="C236">
        <v>3</v>
      </c>
      <c r="D236" t="s">
        <v>2157</v>
      </c>
      <c r="E236" t="s">
        <v>2158</v>
      </c>
      <c r="F236" t="s">
        <v>0</v>
      </c>
      <c r="G236" t="s">
        <v>2311</v>
      </c>
      <c r="H236" t="s">
        <v>2846</v>
      </c>
      <c r="I236">
        <v>12900</v>
      </c>
      <c r="J236">
        <v>0</v>
      </c>
      <c r="K236">
        <v>200</v>
      </c>
      <c r="L236">
        <v>50</v>
      </c>
      <c r="M236">
        <v>1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 t="s">
        <v>3474</v>
      </c>
      <c r="AC236" t="s">
        <v>5</v>
      </c>
      <c r="AD236" t="s">
        <v>3475</v>
      </c>
      <c r="AE236" t="s">
        <v>4</v>
      </c>
      <c r="AF236" t="s">
        <v>1</v>
      </c>
      <c r="AG236" t="s">
        <v>1</v>
      </c>
      <c r="AH236" t="s">
        <v>4277</v>
      </c>
      <c r="AI236" t="s">
        <v>2311</v>
      </c>
      <c r="AJ236" t="s">
        <v>1</v>
      </c>
      <c r="AK236">
        <v>9373742212</v>
      </c>
      <c r="AL236" t="s">
        <v>1</v>
      </c>
      <c r="AM236" t="s">
        <v>1</v>
      </c>
      <c r="AN236" t="s">
        <v>1</v>
      </c>
      <c r="AO236" t="s">
        <v>4277</v>
      </c>
      <c r="AP236" t="s">
        <v>1</v>
      </c>
      <c r="AQ236" t="s">
        <v>2</v>
      </c>
      <c r="AR236" t="s">
        <v>1</v>
      </c>
      <c r="AS236" t="s">
        <v>1</v>
      </c>
      <c r="AT236" t="s">
        <v>1</v>
      </c>
      <c r="AU236" t="s">
        <v>1</v>
      </c>
      <c r="AV236" t="s">
        <v>1</v>
      </c>
      <c r="AW236" t="s">
        <v>9</v>
      </c>
      <c r="AX236">
        <f>Tabla1[[#This Row],[precio del paquete]]-Tabla1[[#This Row],[Saldo_Deudor]]</f>
        <v>10000</v>
      </c>
      <c r="AY236">
        <v>2900</v>
      </c>
      <c r="AZ236">
        <v>0</v>
      </c>
      <c r="BA236">
        <v>0</v>
      </c>
      <c r="BB236">
        <v>0</v>
      </c>
      <c r="BC236" t="s">
        <v>4826</v>
      </c>
      <c r="BD236" t="s">
        <v>2706</v>
      </c>
      <c r="BE236" t="s">
        <v>3</v>
      </c>
      <c r="BF236" t="s">
        <v>3</v>
      </c>
      <c r="BG236" t="s">
        <v>3</v>
      </c>
      <c r="BH236" t="s">
        <v>3</v>
      </c>
      <c r="BI236" t="s">
        <v>3</v>
      </c>
      <c r="BJ236" t="s">
        <v>5011</v>
      </c>
      <c r="BK236" t="s">
        <v>3</v>
      </c>
      <c r="BL236" t="s">
        <v>96</v>
      </c>
      <c r="BM236" t="s">
        <v>1</v>
      </c>
      <c r="BN236">
        <v>12900</v>
      </c>
      <c r="BO236" t="s">
        <v>1</v>
      </c>
      <c r="BP236" t="s">
        <v>1</v>
      </c>
      <c r="BQ236" t="s">
        <v>1</v>
      </c>
      <c r="BR236" t="s">
        <v>1</v>
      </c>
      <c r="BS236" t="s">
        <v>1</v>
      </c>
      <c r="BT236" t="s">
        <v>1</v>
      </c>
      <c r="BU236" t="s">
        <v>1</v>
      </c>
      <c r="BV236" t="s">
        <v>1</v>
      </c>
      <c r="BW236" t="s">
        <v>0</v>
      </c>
      <c r="BX236" t="s">
        <v>1</v>
      </c>
      <c r="BY236" t="s">
        <v>1</v>
      </c>
      <c r="BZ236" t="s">
        <v>1</v>
      </c>
      <c r="CA236" t="s">
        <v>1</v>
      </c>
      <c r="CB236" t="s">
        <v>1</v>
      </c>
      <c r="CD236" t="e" cm="1">
        <f t="array" aca="1" ref="CD236" ca="1">eConcatenar(A236:CB236,"|")</f>
        <v>#NAME?</v>
      </c>
    </row>
    <row r="237" spans="1:82" x14ac:dyDescent="0.25">
      <c r="A237" t="s">
        <v>332</v>
      </c>
      <c r="B237" t="s">
        <v>1341</v>
      </c>
      <c r="C237">
        <v>3</v>
      </c>
      <c r="D237" t="s">
        <v>2153</v>
      </c>
      <c r="E237" t="s">
        <v>2158</v>
      </c>
      <c r="F237" t="s">
        <v>2161</v>
      </c>
      <c r="G237" t="s">
        <v>2312</v>
      </c>
      <c r="H237" t="s">
        <v>2847</v>
      </c>
      <c r="I237">
        <v>14800</v>
      </c>
      <c r="J237">
        <v>0</v>
      </c>
      <c r="K237">
        <v>500</v>
      </c>
      <c r="L237">
        <v>50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 t="s">
        <v>3476</v>
      </c>
      <c r="AC237" t="s">
        <v>3236</v>
      </c>
      <c r="AD237" t="s">
        <v>3477</v>
      </c>
      <c r="AE237" t="s">
        <v>4</v>
      </c>
      <c r="AF237" t="s">
        <v>1</v>
      </c>
      <c r="AG237" t="s">
        <v>1</v>
      </c>
      <c r="AH237" t="s">
        <v>4278</v>
      </c>
      <c r="AI237" t="s">
        <v>2312</v>
      </c>
      <c r="AJ237" t="s">
        <v>1</v>
      </c>
      <c r="AK237">
        <v>9371378560</v>
      </c>
      <c r="AL237" t="s">
        <v>1</v>
      </c>
      <c r="AM237" t="s">
        <v>1</v>
      </c>
      <c r="AN237" t="s">
        <v>1</v>
      </c>
      <c r="AO237" t="s">
        <v>4278</v>
      </c>
      <c r="AP237" t="s">
        <v>1</v>
      </c>
      <c r="AQ237" t="s">
        <v>2</v>
      </c>
      <c r="AR237" t="s">
        <v>1</v>
      </c>
      <c r="AS237" t="s">
        <v>1</v>
      </c>
      <c r="AT237" t="s">
        <v>1</v>
      </c>
      <c r="AU237" t="s">
        <v>1</v>
      </c>
      <c r="AV237" t="s">
        <v>1</v>
      </c>
      <c r="AW237" t="s">
        <v>9</v>
      </c>
      <c r="AX237">
        <f>Tabla1[[#This Row],[precio del paquete]]-Tabla1[[#This Row],[Saldo_Deudor]]</f>
        <v>1500</v>
      </c>
      <c r="AY237">
        <v>13300</v>
      </c>
      <c r="AZ237">
        <v>0</v>
      </c>
      <c r="BA237">
        <v>0</v>
      </c>
      <c r="BB237">
        <v>0</v>
      </c>
      <c r="BC237" t="s">
        <v>2905</v>
      </c>
      <c r="BD237" t="s">
        <v>3024</v>
      </c>
      <c r="BE237" t="s">
        <v>3</v>
      </c>
      <c r="BF237" t="s">
        <v>3</v>
      </c>
      <c r="BG237" t="s">
        <v>3</v>
      </c>
      <c r="BH237" t="s">
        <v>3</v>
      </c>
      <c r="BI237" t="s">
        <v>3</v>
      </c>
      <c r="BJ237" t="s">
        <v>4982</v>
      </c>
      <c r="BK237" t="s">
        <v>3</v>
      </c>
      <c r="BL237" t="s">
        <v>96</v>
      </c>
      <c r="BM237" t="s">
        <v>1</v>
      </c>
      <c r="BN237">
        <v>14800</v>
      </c>
      <c r="BO237" t="s">
        <v>1</v>
      </c>
      <c r="BP237" t="s">
        <v>1</v>
      </c>
      <c r="BQ237" t="s">
        <v>1</v>
      </c>
      <c r="BR237" t="s">
        <v>1</v>
      </c>
      <c r="BS237" t="s">
        <v>1</v>
      </c>
      <c r="BT237" t="s">
        <v>1</v>
      </c>
      <c r="BU237" t="s">
        <v>1</v>
      </c>
      <c r="BV237" t="s">
        <v>1</v>
      </c>
      <c r="BW237" t="s">
        <v>0</v>
      </c>
      <c r="BX237" t="s">
        <v>1</v>
      </c>
      <c r="BY237" t="s">
        <v>1</v>
      </c>
      <c r="BZ237" t="s">
        <v>1</v>
      </c>
      <c r="CA237" t="s">
        <v>1</v>
      </c>
      <c r="CB237" t="s">
        <v>1</v>
      </c>
      <c r="CD237" t="e" cm="1">
        <f t="array" aca="1" ref="CD237" ca="1">eConcatenar(A237:CB237,"|")</f>
        <v>#NAME?</v>
      </c>
    </row>
    <row r="238" spans="1:82" x14ac:dyDescent="0.25">
      <c r="A238" t="s">
        <v>333</v>
      </c>
      <c r="B238" t="s">
        <v>1342</v>
      </c>
      <c r="C238">
        <v>3</v>
      </c>
      <c r="D238" t="s">
        <v>2153</v>
      </c>
      <c r="E238" t="s">
        <v>2158</v>
      </c>
      <c r="F238" t="s">
        <v>2161</v>
      </c>
      <c r="G238" t="s">
        <v>2313</v>
      </c>
      <c r="H238" t="s">
        <v>2848</v>
      </c>
      <c r="I238">
        <v>14800</v>
      </c>
      <c r="J238">
        <v>0</v>
      </c>
      <c r="K238">
        <v>200</v>
      </c>
      <c r="L238">
        <v>50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 t="s">
        <v>3132</v>
      </c>
      <c r="AC238" t="s">
        <v>3310</v>
      </c>
      <c r="AD238" t="s">
        <v>3189</v>
      </c>
      <c r="AE238" t="s">
        <v>4</v>
      </c>
      <c r="AF238" t="s">
        <v>1</v>
      </c>
      <c r="AG238" t="s">
        <v>1</v>
      </c>
      <c r="AH238" t="s">
        <v>4279</v>
      </c>
      <c r="AI238" t="s">
        <v>2313</v>
      </c>
      <c r="AJ238" t="s">
        <v>1</v>
      </c>
      <c r="AK238">
        <v>9931951981</v>
      </c>
      <c r="AL238" t="s">
        <v>1</v>
      </c>
      <c r="AM238" t="s">
        <v>1</v>
      </c>
      <c r="AN238" t="s">
        <v>1</v>
      </c>
      <c r="AO238" t="s">
        <v>4279</v>
      </c>
      <c r="AP238" t="s">
        <v>1</v>
      </c>
      <c r="AQ238" t="s">
        <v>2</v>
      </c>
      <c r="AR238" t="s">
        <v>1</v>
      </c>
      <c r="AS238" t="s">
        <v>1</v>
      </c>
      <c r="AT238" t="s">
        <v>1</v>
      </c>
      <c r="AU238" t="s">
        <v>1</v>
      </c>
      <c r="AV238" t="s">
        <v>1</v>
      </c>
      <c r="AW238" t="s">
        <v>9</v>
      </c>
      <c r="AX238">
        <f>Tabla1[[#This Row],[precio del paquete]]-Tabla1[[#This Row],[Saldo_Deudor]]</f>
        <v>1100</v>
      </c>
      <c r="AY238">
        <v>13700</v>
      </c>
      <c r="AZ238">
        <v>0</v>
      </c>
      <c r="BA238">
        <v>0</v>
      </c>
      <c r="BB238">
        <v>0</v>
      </c>
      <c r="BC238" t="s">
        <v>3098</v>
      </c>
      <c r="BD238" t="s">
        <v>4829</v>
      </c>
      <c r="BE238" t="s">
        <v>3</v>
      </c>
      <c r="BF238" t="s">
        <v>3</v>
      </c>
      <c r="BG238" t="s">
        <v>3</v>
      </c>
      <c r="BH238" t="s">
        <v>3</v>
      </c>
      <c r="BI238" t="s">
        <v>3</v>
      </c>
      <c r="BJ238" t="s">
        <v>4986</v>
      </c>
      <c r="BK238" t="s">
        <v>3</v>
      </c>
      <c r="BL238" t="s">
        <v>96</v>
      </c>
      <c r="BM238" t="s">
        <v>1</v>
      </c>
      <c r="BN238">
        <v>14800</v>
      </c>
      <c r="BO238" t="s">
        <v>1</v>
      </c>
      <c r="BP238" t="s">
        <v>1</v>
      </c>
      <c r="BQ238" t="s">
        <v>1</v>
      </c>
      <c r="BR238" t="s">
        <v>1</v>
      </c>
      <c r="BS238" t="s">
        <v>1</v>
      </c>
      <c r="BT238" t="s">
        <v>1</v>
      </c>
      <c r="BU238" t="s">
        <v>1</v>
      </c>
      <c r="BV238" t="s">
        <v>1</v>
      </c>
      <c r="BW238" t="s">
        <v>0</v>
      </c>
      <c r="BX238" t="s">
        <v>1</v>
      </c>
      <c r="BY238" t="s">
        <v>1</v>
      </c>
      <c r="BZ238" t="s">
        <v>1</v>
      </c>
      <c r="CA238" t="s">
        <v>1</v>
      </c>
      <c r="CB238" t="s">
        <v>1</v>
      </c>
      <c r="CD238" t="e" cm="1">
        <f t="array" aca="1" ref="CD238" ca="1">eConcatenar(A238:CB238,"|")</f>
        <v>#NAME?</v>
      </c>
    </row>
    <row r="239" spans="1:82" x14ac:dyDescent="0.25">
      <c r="A239" t="s">
        <v>334</v>
      </c>
      <c r="B239" t="s">
        <v>1344</v>
      </c>
      <c r="C239">
        <v>3</v>
      </c>
      <c r="D239" t="s">
        <v>2153</v>
      </c>
      <c r="E239" t="s">
        <v>2158</v>
      </c>
      <c r="F239" t="s">
        <v>2161</v>
      </c>
      <c r="G239" t="s">
        <v>2314</v>
      </c>
      <c r="H239" t="s">
        <v>2738</v>
      </c>
      <c r="I239">
        <v>14800</v>
      </c>
      <c r="J239">
        <v>0</v>
      </c>
      <c r="K239">
        <v>100</v>
      </c>
      <c r="L239">
        <v>50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 t="s">
        <v>3453</v>
      </c>
      <c r="AC239" t="s">
        <v>3131</v>
      </c>
      <c r="AD239" t="s">
        <v>3480</v>
      </c>
      <c r="AE239" t="s">
        <v>4</v>
      </c>
      <c r="AF239" t="s">
        <v>1</v>
      </c>
      <c r="AG239" t="s">
        <v>1</v>
      </c>
      <c r="AH239" t="s">
        <v>4254</v>
      </c>
      <c r="AI239" t="s">
        <v>2314</v>
      </c>
      <c r="AJ239" t="s">
        <v>1</v>
      </c>
      <c r="AK239">
        <v>9141248315</v>
      </c>
      <c r="AL239" t="s">
        <v>1</v>
      </c>
      <c r="AM239" t="s">
        <v>1</v>
      </c>
      <c r="AN239" t="s">
        <v>1</v>
      </c>
      <c r="AO239" t="s">
        <v>4254</v>
      </c>
      <c r="AP239" t="s">
        <v>1</v>
      </c>
      <c r="AQ239" t="s">
        <v>2</v>
      </c>
      <c r="AR239" t="s">
        <v>1</v>
      </c>
      <c r="AS239" t="s">
        <v>1</v>
      </c>
      <c r="AT239" t="s">
        <v>1</v>
      </c>
      <c r="AU239" t="s">
        <v>1</v>
      </c>
      <c r="AV239" t="s">
        <v>1</v>
      </c>
      <c r="AW239" t="s">
        <v>9</v>
      </c>
      <c r="AX239">
        <f>Tabla1[[#This Row],[precio del paquete]]-Tabla1[[#This Row],[Saldo_Deudor]]</f>
        <v>1500</v>
      </c>
      <c r="AY239">
        <v>13300</v>
      </c>
      <c r="AZ239">
        <v>0</v>
      </c>
      <c r="BA239">
        <v>0</v>
      </c>
      <c r="BB239">
        <v>0</v>
      </c>
      <c r="BC239" t="s">
        <v>3098</v>
      </c>
      <c r="BD239" t="s">
        <v>4829</v>
      </c>
      <c r="BE239" t="s">
        <v>3</v>
      </c>
      <c r="BF239" t="s">
        <v>3</v>
      </c>
      <c r="BG239" t="s">
        <v>3</v>
      </c>
      <c r="BH239" t="s">
        <v>3</v>
      </c>
      <c r="BI239" t="s">
        <v>3</v>
      </c>
      <c r="BJ239" t="s">
        <v>4983</v>
      </c>
      <c r="BK239" t="s">
        <v>3</v>
      </c>
      <c r="BL239" t="s">
        <v>96</v>
      </c>
      <c r="BM239" t="s">
        <v>1</v>
      </c>
      <c r="BN239">
        <v>14800</v>
      </c>
      <c r="BO239" t="s">
        <v>1</v>
      </c>
      <c r="BP239" t="s">
        <v>1</v>
      </c>
      <c r="BQ239" t="s">
        <v>1</v>
      </c>
      <c r="BR239" t="s">
        <v>1</v>
      </c>
      <c r="BS239" t="s">
        <v>1</v>
      </c>
      <c r="BT239" t="s">
        <v>1</v>
      </c>
      <c r="BU239" t="s">
        <v>1</v>
      </c>
      <c r="BV239" t="s">
        <v>1</v>
      </c>
      <c r="BW239" t="s">
        <v>0</v>
      </c>
      <c r="BX239" t="s">
        <v>1</v>
      </c>
      <c r="BY239" t="s">
        <v>1</v>
      </c>
      <c r="BZ239" t="s">
        <v>1</v>
      </c>
      <c r="CA239" t="s">
        <v>1</v>
      </c>
      <c r="CB239" t="s">
        <v>1</v>
      </c>
      <c r="CD239" t="e" cm="1">
        <f t="array" aca="1" ref="CD239" ca="1">eConcatenar(A239:CB239,"|")</f>
        <v>#NAME?</v>
      </c>
    </row>
    <row r="240" spans="1:82" x14ac:dyDescent="0.25">
      <c r="A240" t="s">
        <v>335</v>
      </c>
      <c r="B240" t="s">
        <v>1345</v>
      </c>
      <c r="C240">
        <v>3</v>
      </c>
      <c r="D240" t="s">
        <v>2157</v>
      </c>
      <c r="E240" t="s">
        <v>2158</v>
      </c>
      <c r="F240" t="s">
        <v>2161</v>
      </c>
      <c r="G240" t="s">
        <v>2314</v>
      </c>
      <c r="H240" t="s">
        <v>2706</v>
      </c>
      <c r="I240">
        <v>12900</v>
      </c>
      <c r="J240">
        <v>0</v>
      </c>
      <c r="K240">
        <v>100</v>
      </c>
      <c r="L240">
        <v>50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 t="s">
        <v>6</v>
      </c>
      <c r="AC240" t="s">
        <v>3177</v>
      </c>
      <c r="AD240" t="s">
        <v>3309</v>
      </c>
      <c r="AE240" t="s">
        <v>4</v>
      </c>
      <c r="AF240" t="s">
        <v>1</v>
      </c>
      <c r="AG240" t="s">
        <v>1</v>
      </c>
      <c r="AH240" t="s">
        <v>4280</v>
      </c>
      <c r="AI240" t="s">
        <v>2314</v>
      </c>
      <c r="AJ240" t="s">
        <v>1</v>
      </c>
      <c r="AK240" t="s">
        <v>1</v>
      </c>
      <c r="AL240" t="s">
        <v>1</v>
      </c>
      <c r="AM240" t="s">
        <v>1</v>
      </c>
      <c r="AN240" t="s">
        <v>1</v>
      </c>
      <c r="AO240" t="s">
        <v>4280</v>
      </c>
      <c r="AP240" t="s">
        <v>1</v>
      </c>
      <c r="AQ240" t="s">
        <v>2</v>
      </c>
      <c r="AR240" t="s">
        <v>1</v>
      </c>
      <c r="AS240" t="s">
        <v>1</v>
      </c>
      <c r="AT240" t="s">
        <v>1</v>
      </c>
      <c r="AU240" t="s">
        <v>1</v>
      </c>
      <c r="AV240" t="s">
        <v>1</v>
      </c>
      <c r="AW240" t="s">
        <v>9</v>
      </c>
      <c r="AX240">
        <f>Tabla1[[#This Row],[precio del paquete]]-Tabla1[[#This Row],[Saldo_Deudor]]</f>
        <v>9300</v>
      </c>
      <c r="AY240">
        <v>3600</v>
      </c>
      <c r="AZ240">
        <v>0</v>
      </c>
      <c r="BA240">
        <v>0</v>
      </c>
      <c r="BB240">
        <v>0</v>
      </c>
      <c r="BC240" t="s">
        <v>3024</v>
      </c>
      <c r="BD240" t="s">
        <v>4830</v>
      </c>
      <c r="BE240" t="s">
        <v>3</v>
      </c>
      <c r="BF240" t="s">
        <v>3</v>
      </c>
      <c r="BG240" t="s">
        <v>3</v>
      </c>
      <c r="BH240" t="s">
        <v>3</v>
      </c>
      <c r="BI240" t="s">
        <v>3</v>
      </c>
      <c r="BJ240" t="s">
        <v>4983</v>
      </c>
      <c r="BK240" t="s">
        <v>3</v>
      </c>
      <c r="BL240" t="s">
        <v>96</v>
      </c>
      <c r="BM240" t="s">
        <v>1</v>
      </c>
      <c r="BN240">
        <v>12900</v>
      </c>
      <c r="BO240" t="s">
        <v>1</v>
      </c>
      <c r="BP240" t="s">
        <v>1</v>
      </c>
      <c r="BQ240" t="s">
        <v>1</v>
      </c>
      <c r="BR240" t="s">
        <v>1</v>
      </c>
      <c r="BS240" t="s">
        <v>1</v>
      </c>
      <c r="BT240" t="s">
        <v>1</v>
      </c>
      <c r="BU240" t="s">
        <v>1</v>
      </c>
      <c r="BV240" t="s">
        <v>1</v>
      </c>
      <c r="BW240" t="s">
        <v>0</v>
      </c>
      <c r="BX240" t="s">
        <v>1</v>
      </c>
      <c r="BY240" t="s">
        <v>1</v>
      </c>
      <c r="BZ240" t="s">
        <v>1</v>
      </c>
      <c r="CA240" t="s">
        <v>1</v>
      </c>
      <c r="CB240" t="s">
        <v>1</v>
      </c>
      <c r="CD240" t="e" cm="1">
        <f t="array" aca="1" ref="CD240" ca="1">eConcatenar(A240:CB240,"|")</f>
        <v>#NAME?</v>
      </c>
    </row>
    <row r="241" spans="1:82" x14ac:dyDescent="0.25">
      <c r="A241" t="s">
        <v>336</v>
      </c>
      <c r="B241" t="s">
        <v>1346</v>
      </c>
      <c r="C241">
        <v>3</v>
      </c>
      <c r="D241" t="s">
        <v>2153</v>
      </c>
      <c r="E241" t="s">
        <v>2158</v>
      </c>
      <c r="F241" t="s">
        <v>2159</v>
      </c>
      <c r="G241" t="s">
        <v>2315</v>
      </c>
      <c r="H241" t="s">
        <v>2714</v>
      </c>
      <c r="I241">
        <v>14800</v>
      </c>
      <c r="J241">
        <v>0</v>
      </c>
      <c r="K241">
        <v>100</v>
      </c>
      <c r="L241">
        <v>50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 t="s">
        <v>3354</v>
      </c>
      <c r="AC241" t="s">
        <v>3178</v>
      </c>
      <c r="AD241" t="s">
        <v>3481</v>
      </c>
      <c r="AE241" t="s">
        <v>4</v>
      </c>
      <c r="AF241" t="s">
        <v>1</v>
      </c>
      <c r="AG241" t="s">
        <v>1</v>
      </c>
      <c r="AH241" t="s">
        <v>4281</v>
      </c>
      <c r="AI241" t="s">
        <v>2315</v>
      </c>
      <c r="AJ241" t="s">
        <v>1</v>
      </c>
      <c r="AK241" t="s">
        <v>1</v>
      </c>
      <c r="AL241" t="s">
        <v>1</v>
      </c>
      <c r="AM241" t="s">
        <v>1</v>
      </c>
      <c r="AN241" t="s">
        <v>1</v>
      </c>
      <c r="AO241" t="s">
        <v>4281</v>
      </c>
      <c r="AP241" t="s">
        <v>1</v>
      </c>
      <c r="AQ241" t="s">
        <v>2</v>
      </c>
      <c r="AR241" t="s">
        <v>1</v>
      </c>
      <c r="AS241" t="s">
        <v>1</v>
      </c>
      <c r="AT241" t="s">
        <v>1</v>
      </c>
      <c r="AU241" t="s">
        <v>1</v>
      </c>
      <c r="AV241" t="s">
        <v>1</v>
      </c>
      <c r="AW241" t="s">
        <v>9</v>
      </c>
      <c r="AX241">
        <f>Tabla1[[#This Row],[precio del paquete]]-Tabla1[[#This Row],[Saldo_Deudor]]</f>
        <v>1100</v>
      </c>
      <c r="AY241">
        <v>13700</v>
      </c>
      <c r="AZ241">
        <v>0</v>
      </c>
      <c r="BA241">
        <v>0</v>
      </c>
      <c r="BB241">
        <v>0</v>
      </c>
      <c r="BC241" t="s">
        <v>3024</v>
      </c>
      <c r="BD241" t="s">
        <v>4830</v>
      </c>
      <c r="BE241" t="s">
        <v>3</v>
      </c>
      <c r="BF241" t="s">
        <v>3</v>
      </c>
      <c r="BG241" t="s">
        <v>3</v>
      </c>
      <c r="BH241" t="s">
        <v>3</v>
      </c>
      <c r="BI241" t="s">
        <v>3</v>
      </c>
      <c r="BJ241" t="s">
        <v>4986</v>
      </c>
      <c r="BK241" t="s">
        <v>3</v>
      </c>
      <c r="BL241" t="s">
        <v>96</v>
      </c>
      <c r="BM241" t="s">
        <v>1</v>
      </c>
      <c r="BN241">
        <v>14800</v>
      </c>
      <c r="BO241" t="s">
        <v>1</v>
      </c>
      <c r="BP241" t="s">
        <v>1</v>
      </c>
      <c r="BQ241" t="s">
        <v>1</v>
      </c>
      <c r="BR241" t="s">
        <v>1</v>
      </c>
      <c r="BS241" t="s">
        <v>1</v>
      </c>
      <c r="BT241" t="s">
        <v>1</v>
      </c>
      <c r="BU241" t="s">
        <v>1</v>
      </c>
      <c r="BV241" t="s">
        <v>1</v>
      </c>
      <c r="BW241" t="s">
        <v>0</v>
      </c>
      <c r="BX241" t="s">
        <v>1</v>
      </c>
      <c r="BY241" t="s">
        <v>1</v>
      </c>
      <c r="BZ241" t="s">
        <v>1</v>
      </c>
      <c r="CA241" t="s">
        <v>1</v>
      </c>
      <c r="CB241" t="s">
        <v>1</v>
      </c>
      <c r="CD241" t="e" cm="1">
        <f t="array" aca="1" ref="CD241" ca="1">eConcatenar(A241:CB241,"|")</f>
        <v>#NAME?</v>
      </c>
    </row>
    <row r="242" spans="1:82" x14ac:dyDescent="0.25">
      <c r="A242" t="s">
        <v>337</v>
      </c>
      <c r="B242" t="s">
        <v>1347</v>
      </c>
      <c r="C242">
        <v>3</v>
      </c>
      <c r="D242" t="s">
        <v>2153</v>
      </c>
      <c r="E242" t="s">
        <v>2158</v>
      </c>
      <c r="F242" t="s">
        <v>2159</v>
      </c>
      <c r="G242" t="s">
        <v>2315</v>
      </c>
      <c r="H242" t="s">
        <v>2849</v>
      </c>
      <c r="I242">
        <v>14800</v>
      </c>
      <c r="J242">
        <v>0</v>
      </c>
      <c r="K242">
        <v>100</v>
      </c>
      <c r="L242">
        <v>50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 t="s">
        <v>3482</v>
      </c>
      <c r="AC242" t="s">
        <v>3354</v>
      </c>
      <c r="AD242" t="s">
        <v>3460</v>
      </c>
      <c r="AE242" t="s">
        <v>4</v>
      </c>
      <c r="AF242" t="s">
        <v>1</v>
      </c>
      <c r="AG242" t="s">
        <v>1</v>
      </c>
      <c r="AH242" t="s">
        <v>4281</v>
      </c>
      <c r="AI242" t="s">
        <v>2315</v>
      </c>
      <c r="AJ242" t="s">
        <v>1</v>
      </c>
      <c r="AK242" t="s">
        <v>1</v>
      </c>
      <c r="AL242" t="s">
        <v>1</v>
      </c>
      <c r="AM242" t="s">
        <v>1</v>
      </c>
      <c r="AN242" t="s">
        <v>1</v>
      </c>
      <c r="AO242" t="s">
        <v>4281</v>
      </c>
      <c r="AP242" t="s">
        <v>1</v>
      </c>
      <c r="AQ242" t="s">
        <v>2</v>
      </c>
      <c r="AR242" t="s">
        <v>1</v>
      </c>
      <c r="AS242" t="s">
        <v>1</v>
      </c>
      <c r="AT242" t="s">
        <v>1</v>
      </c>
      <c r="AU242" t="s">
        <v>1</v>
      </c>
      <c r="AV242" t="s">
        <v>1</v>
      </c>
      <c r="AW242" t="s">
        <v>9</v>
      </c>
      <c r="AX242">
        <f>Tabla1[[#This Row],[precio del paquete]]-Tabla1[[#This Row],[Saldo_Deudor]]</f>
        <v>1200</v>
      </c>
      <c r="AY242">
        <v>13600</v>
      </c>
      <c r="AZ242">
        <v>0</v>
      </c>
      <c r="BA242">
        <v>0</v>
      </c>
      <c r="BB242">
        <v>0</v>
      </c>
      <c r="BC242" t="s">
        <v>3024</v>
      </c>
      <c r="BD242" t="s">
        <v>4830</v>
      </c>
      <c r="BE242" t="s">
        <v>3</v>
      </c>
      <c r="BF242" t="s">
        <v>3</v>
      </c>
      <c r="BG242" t="s">
        <v>3</v>
      </c>
      <c r="BH242" t="s">
        <v>3</v>
      </c>
      <c r="BI242" t="s">
        <v>3</v>
      </c>
      <c r="BJ242" t="s">
        <v>5009</v>
      </c>
      <c r="BK242" t="s">
        <v>3</v>
      </c>
      <c r="BL242" t="s">
        <v>96</v>
      </c>
      <c r="BM242" t="s">
        <v>1</v>
      </c>
      <c r="BN242">
        <v>14800</v>
      </c>
      <c r="BO242" t="s">
        <v>1</v>
      </c>
      <c r="BP242" t="s">
        <v>1</v>
      </c>
      <c r="BQ242" t="s">
        <v>1</v>
      </c>
      <c r="BR242" t="s">
        <v>1</v>
      </c>
      <c r="BS242" t="s">
        <v>1</v>
      </c>
      <c r="BT242" t="s">
        <v>1</v>
      </c>
      <c r="BU242" t="s">
        <v>1</v>
      </c>
      <c r="BV242" t="s">
        <v>1</v>
      </c>
      <c r="BW242" t="s">
        <v>0</v>
      </c>
      <c r="BX242" t="s">
        <v>1</v>
      </c>
      <c r="BY242" t="s">
        <v>1</v>
      </c>
      <c r="BZ242" t="s">
        <v>1</v>
      </c>
      <c r="CA242" t="s">
        <v>1</v>
      </c>
      <c r="CB242" t="s">
        <v>1</v>
      </c>
      <c r="CD242" t="e" cm="1">
        <f t="array" aca="1" ref="CD242" ca="1">eConcatenar(A242:CB242,"|")</f>
        <v>#NAME?</v>
      </c>
    </row>
    <row r="243" spans="1:82" x14ac:dyDescent="0.25">
      <c r="A243" t="s">
        <v>338</v>
      </c>
      <c r="B243" t="s">
        <v>1348</v>
      </c>
      <c r="C243">
        <v>3</v>
      </c>
      <c r="D243" t="s">
        <v>2157</v>
      </c>
      <c r="E243" t="s">
        <v>2158</v>
      </c>
      <c r="F243" t="s">
        <v>2162</v>
      </c>
      <c r="G243" t="s">
        <v>2316</v>
      </c>
      <c r="H243" t="s">
        <v>2706</v>
      </c>
      <c r="I243">
        <v>12900</v>
      </c>
      <c r="J243">
        <v>0</v>
      </c>
      <c r="K243">
        <v>100</v>
      </c>
      <c r="L243">
        <v>50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 t="s">
        <v>3157</v>
      </c>
      <c r="AC243" t="s">
        <v>3114</v>
      </c>
      <c r="AD243" t="s">
        <v>3483</v>
      </c>
      <c r="AE243" t="s">
        <v>4</v>
      </c>
      <c r="AF243" t="s">
        <v>1</v>
      </c>
      <c r="AG243" t="s">
        <v>1</v>
      </c>
      <c r="AH243" t="s">
        <v>1</v>
      </c>
      <c r="AI243" t="s">
        <v>2316</v>
      </c>
      <c r="AJ243" t="s">
        <v>1</v>
      </c>
      <c r="AK243" t="s">
        <v>1</v>
      </c>
      <c r="AL243" t="s">
        <v>1</v>
      </c>
      <c r="AM243" t="s">
        <v>1</v>
      </c>
      <c r="AN243" t="s">
        <v>1</v>
      </c>
      <c r="AO243" t="s">
        <v>1</v>
      </c>
      <c r="AP243" t="s">
        <v>1</v>
      </c>
      <c r="AQ243" t="s">
        <v>2</v>
      </c>
      <c r="AR243" t="s">
        <v>1</v>
      </c>
      <c r="AS243" t="s">
        <v>1</v>
      </c>
      <c r="AT243" t="s">
        <v>1</v>
      </c>
      <c r="AU243" t="s">
        <v>1</v>
      </c>
      <c r="AV243" t="s">
        <v>1</v>
      </c>
      <c r="AW243" t="s">
        <v>9</v>
      </c>
      <c r="AX243">
        <f>Tabla1[[#This Row],[precio del paquete]]-Tabla1[[#This Row],[Saldo_Deudor]]</f>
        <v>11100</v>
      </c>
      <c r="AY243">
        <v>1800</v>
      </c>
      <c r="AZ243">
        <v>0</v>
      </c>
      <c r="BA243">
        <v>0</v>
      </c>
      <c r="BB243">
        <v>0</v>
      </c>
      <c r="BC243" t="s">
        <v>3061</v>
      </c>
      <c r="BD243" t="s">
        <v>3040</v>
      </c>
      <c r="BE243" t="s">
        <v>3</v>
      </c>
      <c r="BF243" t="s">
        <v>3</v>
      </c>
      <c r="BG243" t="s">
        <v>3</v>
      </c>
      <c r="BH243" t="s">
        <v>3</v>
      </c>
      <c r="BI243" t="s">
        <v>3</v>
      </c>
      <c r="BJ243" t="s">
        <v>5009</v>
      </c>
      <c r="BK243" t="s">
        <v>3</v>
      </c>
      <c r="BL243" t="s">
        <v>96</v>
      </c>
      <c r="BM243" t="s">
        <v>1</v>
      </c>
      <c r="BN243">
        <v>12900</v>
      </c>
      <c r="BO243" t="s">
        <v>1</v>
      </c>
      <c r="BP243" t="s">
        <v>1</v>
      </c>
      <c r="BQ243" t="s">
        <v>1</v>
      </c>
      <c r="BR243" t="s">
        <v>1</v>
      </c>
      <c r="BS243" t="s">
        <v>1</v>
      </c>
      <c r="BT243" t="s">
        <v>1</v>
      </c>
      <c r="BU243" t="s">
        <v>1</v>
      </c>
      <c r="BV243" t="s">
        <v>1</v>
      </c>
      <c r="BW243" t="s">
        <v>0</v>
      </c>
      <c r="BX243" t="s">
        <v>1</v>
      </c>
      <c r="BY243" t="s">
        <v>1</v>
      </c>
      <c r="BZ243" t="s">
        <v>1</v>
      </c>
      <c r="CA243" t="s">
        <v>1</v>
      </c>
      <c r="CB243" t="s">
        <v>1</v>
      </c>
      <c r="CD243" t="e" cm="1">
        <f t="array" aca="1" ref="CD243" ca="1">eConcatenar(A243:CB243,"|")</f>
        <v>#NAME?</v>
      </c>
    </row>
    <row r="244" spans="1:82" x14ac:dyDescent="0.25">
      <c r="A244" t="s">
        <v>339</v>
      </c>
      <c r="B244" t="s">
        <v>1349</v>
      </c>
      <c r="C244">
        <v>3</v>
      </c>
      <c r="D244" t="s">
        <v>2156</v>
      </c>
      <c r="E244" t="s">
        <v>2158</v>
      </c>
      <c r="F244" t="s">
        <v>2162</v>
      </c>
      <c r="G244" t="s">
        <v>2316</v>
      </c>
      <c r="H244" t="s">
        <v>2850</v>
      </c>
      <c r="I244">
        <v>19800</v>
      </c>
      <c r="J244">
        <v>0</v>
      </c>
      <c r="K244">
        <v>800</v>
      </c>
      <c r="L244">
        <v>50</v>
      </c>
      <c r="M244">
        <v>2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 t="s">
        <v>3122</v>
      </c>
      <c r="AC244" t="s">
        <v>3484</v>
      </c>
      <c r="AD244" t="s">
        <v>3269</v>
      </c>
      <c r="AE244" t="s">
        <v>4</v>
      </c>
      <c r="AF244" t="s">
        <v>1</v>
      </c>
      <c r="AG244" t="s">
        <v>1</v>
      </c>
      <c r="AH244" t="s">
        <v>4282</v>
      </c>
      <c r="AI244" t="s">
        <v>2316</v>
      </c>
      <c r="AJ244" t="s">
        <v>1</v>
      </c>
      <c r="AK244">
        <v>9331350730</v>
      </c>
      <c r="AL244" t="s">
        <v>1</v>
      </c>
      <c r="AM244" t="s">
        <v>1</v>
      </c>
      <c r="AN244" t="s">
        <v>1</v>
      </c>
      <c r="AO244" t="s">
        <v>4282</v>
      </c>
      <c r="AP244" t="s">
        <v>1</v>
      </c>
      <c r="AQ244" t="s">
        <v>2</v>
      </c>
      <c r="AR244" t="s">
        <v>1</v>
      </c>
      <c r="AS244" t="s">
        <v>1</v>
      </c>
      <c r="AT244" t="s">
        <v>1</v>
      </c>
      <c r="AU244" t="s">
        <v>1</v>
      </c>
      <c r="AV244" t="s">
        <v>1</v>
      </c>
      <c r="AW244" t="s">
        <v>9</v>
      </c>
      <c r="AX244">
        <f>Tabla1[[#This Row],[precio del paquete]]-Tabla1[[#This Row],[Saldo_Deudor]]</f>
        <v>5700</v>
      </c>
      <c r="AY244">
        <v>14100</v>
      </c>
      <c r="AZ244">
        <v>0</v>
      </c>
      <c r="BA244">
        <v>0</v>
      </c>
      <c r="BB244">
        <v>0</v>
      </c>
      <c r="BC244" t="s">
        <v>2923</v>
      </c>
      <c r="BD244" t="s">
        <v>4910</v>
      </c>
      <c r="BE244" t="s">
        <v>3</v>
      </c>
      <c r="BF244" t="s">
        <v>3</v>
      </c>
      <c r="BG244" t="s">
        <v>3</v>
      </c>
      <c r="BH244" t="s">
        <v>3</v>
      </c>
      <c r="BI244" t="s">
        <v>3</v>
      </c>
      <c r="BJ244" t="s">
        <v>4998</v>
      </c>
      <c r="BK244" t="s">
        <v>3</v>
      </c>
      <c r="BL244" t="s">
        <v>96</v>
      </c>
      <c r="BM244" t="s">
        <v>1</v>
      </c>
      <c r="BN244">
        <v>19800</v>
      </c>
      <c r="BO244" t="s">
        <v>1</v>
      </c>
      <c r="BP244" t="s">
        <v>1</v>
      </c>
      <c r="BQ244" t="s">
        <v>1</v>
      </c>
      <c r="BR244" t="s">
        <v>1</v>
      </c>
      <c r="BS244" t="s">
        <v>1</v>
      </c>
      <c r="BT244" t="s">
        <v>1</v>
      </c>
      <c r="BU244" t="s">
        <v>1</v>
      </c>
      <c r="BV244" t="s">
        <v>1</v>
      </c>
      <c r="BW244" t="s">
        <v>0</v>
      </c>
      <c r="BX244" t="s">
        <v>1</v>
      </c>
      <c r="BY244" t="s">
        <v>1</v>
      </c>
      <c r="BZ244" t="s">
        <v>1</v>
      </c>
      <c r="CA244" t="s">
        <v>1</v>
      </c>
      <c r="CB244" t="s">
        <v>1</v>
      </c>
      <c r="CD244" t="e" cm="1">
        <f t="array" aca="1" ref="CD244" ca="1">eConcatenar(A244:CB244,"|")</f>
        <v>#NAME?</v>
      </c>
    </row>
    <row r="245" spans="1:82" x14ac:dyDescent="0.25">
      <c r="A245" t="s">
        <v>340</v>
      </c>
      <c r="B245" t="s">
        <v>1350</v>
      </c>
      <c r="C245">
        <v>3</v>
      </c>
      <c r="D245" t="s">
        <v>2153</v>
      </c>
      <c r="E245" t="s">
        <v>2158</v>
      </c>
      <c r="F245" t="s">
        <v>2162</v>
      </c>
      <c r="G245" t="s">
        <v>2316</v>
      </c>
      <c r="H245" t="s">
        <v>2706</v>
      </c>
      <c r="I245">
        <v>14800</v>
      </c>
      <c r="J245">
        <v>0</v>
      </c>
      <c r="K245">
        <v>100</v>
      </c>
      <c r="L245">
        <v>50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 t="s">
        <v>3485</v>
      </c>
      <c r="AC245" t="s">
        <v>3484</v>
      </c>
      <c r="AD245" t="s">
        <v>3486</v>
      </c>
      <c r="AE245" t="s">
        <v>4</v>
      </c>
      <c r="AF245" t="s">
        <v>1</v>
      </c>
      <c r="AG245" t="s">
        <v>1</v>
      </c>
      <c r="AH245" t="s">
        <v>2316</v>
      </c>
      <c r="AI245" t="s">
        <v>2316</v>
      </c>
      <c r="AJ245" t="s">
        <v>1</v>
      </c>
      <c r="AK245" t="s">
        <v>1</v>
      </c>
      <c r="AL245" t="s">
        <v>1</v>
      </c>
      <c r="AM245" t="s">
        <v>1</v>
      </c>
      <c r="AN245" t="s">
        <v>1</v>
      </c>
      <c r="AO245" t="s">
        <v>2316</v>
      </c>
      <c r="AP245" t="s">
        <v>1</v>
      </c>
      <c r="AQ245" t="s">
        <v>2</v>
      </c>
      <c r="AR245" t="s">
        <v>1</v>
      </c>
      <c r="AS245" t="s">
        <v>1</v>
      </c>
      <c r="AT245" t="s">
        <v>1</v>
      </c>
      <c r="AU245" t="s">
        <v>1</v>
      </c>
      <c r="AV245" t="s">
        <v>1</v>
      </c>
      <c r="AW245" t="s">
        <v>9</v>
      </c>
      <c r="AX245">
        <f>Tabla1[[#This Row],[precio del paquete]]-Tabla1[[#This Row],[Saldo_Deudor]]</f>
        <v>1250</v>
      </c>
      <c r="AY245">
        <v>13550</v>
      </c>
      <c r="AZ245">
        <v>0</v>
      </c>
      <c r="BA245">
        <v>0</v>
      </c>
      <c r="BB245">
        <v>0</v>
      </c>
      <c r="BC245" t="s">
        <v>3078</v>
      </c>
      <c r="BD245" t="s">
        <v>4827</v>
      </c>
      <c r="BE245" t="s">
        <v>3</v>
      </c>
      <c r="BF245" t="s">
        <v>3</v>
      </c>
      <c r="BG245" t="s">
        <v>3</v>
      </c>
      <c r="BH245" t="s">
        <v>3</v>
      </c>
      <c r="BI245" t="s">
        <v>3</v>
      </c>
      <c r="BJ245" t="s">
        <v>4998</v>
      </c>
      <c r="BK245" t="s">
        <v>3</v>
      </c>
      <c r="BL245" t="s">
        <v>96</v>
      </c>
      <c r="BM245" t="s">
        <v>1</v>
      </c>
      <c r="BN245">
        <v>14800</v>
      </c>
      <c r="BO245" t="s">
        <v>1</v>
      </c>
      <c r="BP245" t="s">
        <v>1</v>
      </c>
      <c r="BQ245" t="s">
        <v>1</v>
      </c>
      <c r="BR245" t="s">
        <v>1</v>
      </c>
      <c r="BS245" t="s">
        <v>1</v>
      </c>
      <c r="BT245" t="s">
        <v>1</v>
      </c>
      <c r="BU245" t="s">
        <v>1</v>
      </c>
      <c r="BV245" t="s">
        <v>1</v>
      </c>
      <c r="BW245" t="s">
        <v>0</v>
      </c>
      <c r="BX245" t="s">
        <v>1</v>
      </c>
      <c r="BY245" t="s">
        <v>1</v>
      </c>
      <c r="BZ245" t="s">
        <v>1</v>
      </c>
      <c r="CA245" t="s">
        <v>1</v>
      </c>
      <c r="CB245" t="s">
        <v>1</v>
      </c>
      <c r="CD245" t="e" cm="1">
        <f t="array" aca="1" ref="CD245" ca="1">eConcatenar(A245:CB245,"|")</f>
        <v>#NAME?</v>
      </c>
    </row>
    <row r="246" spans="1:82" x14ac:dyDescent="0.25">
      <c r="A246" t="s">
        <v>341</v>
      </c>
      <c r="B246" t="s">
        <v>1351</v>
      </c>
      <c r="C246">
        <v>3</v>
      </c>
      <c r="D246" t="s">
        <v>2153</v>
      </c>
      <c r="E246" t="s">
        <v>2158</v>
      </c>
      <c r="F246" t="s">
        <v>2162</v>
      </c>
      <c r="G246" t="s">
        <v>2316</v>
      </c>
      <c r="H246" t="s">
        <v>2706</v>
      </c>
      <c r="I246">
        <v>14800</v>
      </c>
      <c r="J246">
        <v>0</v>
      </c>
      <c r="K246">
        <v>100</v>
      </c>
      <c r="L246">
        <v>50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 t="s">
        <v>3155</v>
      </c>
      <c r="AC246" t="s">
        <v>3485</v>
      </c>
      <c r="AD246" t="s">
        <v>3487</v>
      </c>
      <c r="AE246" t="s">
        <v>4</v>
      </c>
      <c r="AF246" t="s">
        <v>1</v>
      </c>
      <c r="AG246" t="s">
        <v>1</v>
      </c>
      <c r="AH246" t="s">
        <v>2316</v>
      </c>
      <c r="AI246" t="s">
        <v>2316</v>
      </c>
      <c r="AJ246" t="s">
        <v>1</v>
      </c>
      <c r="AK246">
        <v>9333295518</v>
      </c>
      <c r="AL246" t="s">
        <v>1</v>
      </c>
      <c r="AM246" t="s">
        <v>1</v>
      </c>
      <c r="AN246" t="s">
        <v>1</v>
      </c>
      <c r="AO246" t="s">
        <v>2316</v>
      </c>
      <c r="AP246" t="s">
        <v>1</v>
      </c>
      <c r="AQ246" t="s">
        <v>2</v>
      </c>
      <c r="AR246" t="s">
        <v>1</v>
      </c>
      <c r="AS246" t="s">
        <v>1</v>
      </c>
      <c r="AT246" t="s">
        <v>1</v>
      </c>
      <c r="AU246" t="s">
        <v>1</v>
      </c>
      <c r="AV246" t="s">
        <v>1</v>
      </c>
      <c r="AW246" t="s">
        <v>9</v>
      </c>
      <c r="AX246">
        <f>Tabla1[[#This Row],[precio del paquete]]-Tabla1[[#This Row],[Saldo_Deudor]]</f>
        <v>1300</v>
      </c>
      <c r="AY246">
        <v>13500</v>
      </c>
      <c r="AZ246">
        <v>0</v>
      </c>
      <c r="BA246">
        <v>0</v>
      </c>
      <c r="BB246">
        <v>0</v>
      </c>
      <c r="BC246" t="s">
        <v>3078</v>
      </c>
      <c r="BD246" t="s">
        <v>4827</v>
      </c>
      <c r="BE246" t="s">
        <v>3</v>
      </c>
      <c r="BF246" t="s">
        <v>3</v>
      </c>
      <c r="BG246" t="s">
        <v>3</v>
      </c>
      <c r="BH246" t="s">
        <v>3</v>
      </c>
      <c r="BI246" t="s">
        <v>3</v>
      </c>
      <c r="BJ246" t="s">
        <v>4989</v>
      </c>
      <c r="BK246" t="s">
        <v>3</v>
      </c>
      <c r="BL246" t="s">
        <v>96</v>
      </c>
      <c r="BM246" t="s">
        <v>1</v>
      </c>
      <c r="BN246">
        <v>14800</v>
      </c>
      <c r="BO246" t="s">
        <v>1</v>
      </c>
      <c r="BP246" t="s">
        <v>1</v>
      </c>
      <c r="BQ246" t="s">
        <v>1</v>
      </c>
      <c r="BR246" t="s">
        <v>1</v>
      </c>
      <c r="BS246" t="s">
        <v>1</v>
      </c>
      <c r="BT246" t="s">
        <v>1</v>
      </c>
      <c r="BU246" t="s">
        <v>1</v>
      </c>
      <c r="BV246" t="s">
        <v>1</v>
      </c>
      <c r="BW246" t="s">
        <v>0</v>
      </c>
      <c r="BX246" t="s">
        <v>1</v>
      </c>
      <c r="BY246" t="s">
        <v>1</v>
      </c>
      <c r="BZ246" t="s">
        <v>1</v>
      </c>
      <c r="CA246" t="s">
        <v>1</v>
      </c>
      <c r="CB246" t="s">
        <v>1</v>
      </c>
      <c r="CD246" t="e" cm="1">
        <f t="array" aca="1" ref="CD246" ca="1">eConcatenar(A246:CB246,"|")</f>
        <v>#NAME?</v>
      </c>
    </row>
    <row r="247" spans="1:82" x14ac:dyDescent="0.25">
      <c r="A247" t="s">
        <v>342</v>
      </c>
      <c r="B247" t="s">
        <v>1352</v>
      </c>
      <c r="C247">
        <v>3</v>
      </c>
      <c r="D247" t="s">
        <v>2153</v>
      </c>
      <c r="E247" t="s">
        <v>2158</v>
      </c>
      <c r="F247" t="s">
        <v>2162</v>
      </c>
      <c r="G247" t="s">
        <v>2316</v>
      </c>
      <c r="H247" t="s">
        <v>2706</v>
      </c>
      <c r="I247">
        <v>14800</v>
      </c>
      <c r="J247">
        <v>0</v>
      </c>
      <c r="K247">
        <v>100</v>
      </c>
      <c r="L247">
        <v>50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 t="s">
        <v>3259</v>
      </c>
      <c r="AC247" t="s">
        <v>3183</v>
      </c>
      <c r="AD247" t="s">
        <v>3488</v>
      </c>
      <c r="AE247" t="s">
        <v>4</v>
      </c>
      <c r="AF247" t="s">
        <v>1</v>
      </c>
      <c r="AG247" t="s">
        <v>1</v>
      </c>
      <c r="AH247" t="s">
        <v>2316</v>
      </c>
      <c r="AI247" t="s">
        <v>2316</v>
      </c>
      <c r="AJ247" t="s">
        <v>1</v>
      </c>
      <c r="AK247">
        <v>9334047791</v>
      </c>
      <c r="AL247" t="s">
        <v>1</v>
      </c>
      <c r="AM247" t="s">
        <v>1</v>
      </c>
      <c r="AN247" t="s">
        <v>1</v>
      </c>
      <c r="AO247" t="s">
        <v>2316</v>
      </c>
      <c r="AP247" t="s">
        <v>1</v>
      </c>
      <c r="AQ247" t="s">
        <v>2</v>
      </c>
      <c r="AR247" t="s">
        <v>1</v>
      </c>
      <c r="AS247" t="s">
        <v>1</v>
      </c>
      <c r="AT247" t="s">
        <v>1</v>
      </c>
      <c r="AU247" t="s">
        <v>1</v>
      </c>
      <c r="AV247" t="s">
        <v>1</v>
      </c>
      <c r="AW247" t="s">
        <v>9</v>
      </c>
      <c r="AX247">
        <f>Tabla1[[#This Row],[precio del paquete]]-Tabla1[[#This Row],[Saldo_Deudor]]</f>
        <v>1450</v>
      </c>
      <c r="AY247">
        <v>13350</v>
      </c>
      <c r="AZ247">
        <v>0</v>
      </c>
      <c r="BA247">
        <v>0</v>
      </c>
      <c r="BB247">
        <v>0</v>
      </c>
      <c r="BC247" t="s">
        <v>3078</v>
      </c>
      <c r="BD247" t="s">
        <v>4827</v>
      </c>
      <c r="BE247" t="s">
        <v>3</v>
      </c>
      <c r="BF247" t="s">
        <v>3</v>
      </c>
      <c r="BG247" t="s">
        <v>3</v>
      </c>
      <c r="BH247" t="s">
        <v>3</v>
      </c>
      <c r="BI247" t="s">
        <v>3</v>
      </c>
      <c r="BJ247" t="s">
        <v>4989</v>
      </c>
      <c r="BK247" t="s">
        <v>3</v>
      </c>
      <c r="BL247" t="s">
        <v>96</v>
      </c>
      <c r="BM247" t="s">
        <v>1</v>
      </c>
      <c r="BN247">
        <v>14800</v>
      </c>
      <c r="BO247" t="s">
        <v>1</v>
      </c>
      <c r="BP247" t="s">
        <v>1</v>
      </c>
      <c r="BQ247" t="s">
        <v>1</v>
      </c>
      <c r="BR247" t="s">
        <v>1</v>
      </c>
      <c r="BS247" t="s">
        <v>1</v>
      </c>
      <c r="BT247" t="s">
        <v>1</v>
      </c>
      <c r="BU247" t="s">
        <v>1</v>
      </c>
      <c r="BV247" t="s">
        <v>1</v>
      </c>
      <c r="BW247" t="s">
        <v>0</v>
      </c>
      <c r="BX247" t="s">
        <v>1</v>
      </c>
      <c r="BY247" t="s">
        <v>1</v>
      </c>
      <c r="BZ247" t="s">
        <v>1</v>
      </c>
      <c r="CA247" t="s">
        <v>1</v>
      </c>
      <c r="CB247" t="s">
        <v>1</v>
      </c>
      <c r="CD247" t="e" cm="1">
        <f t="array" aca="1" ref="CD247" ca="1">eConcatenar(A247:CB247,"|")</f>
        <v>#NAME?</v>
      </c>
    </row>
    <row r="248" spans="1:82" x14ac:dyDescent="0.25">
      <c r="A248" t="s">
        <v>343</v>
      </c>
      <c r="B248" t="s">
        <v>1353</v>
      </c>
      <c r="C248">
        <v>3</v>
      </c>
      <c r="D248" t="s">
        <v>2157</v>
      </c>
      <c r="E248" t="s">
        <v>2158</v>
      </c>
      <c r="F248" t="s">
        <v>2162</v>
      </c>
      <c r="G248" t="s">
        <v>2316</v>
      </c>
      <c r="H248" t="s">
        <v>2851</v>
      </c>
      <c r="I248">
        <v>12900</v>
      </c>
      <c r="J248">
        <v>0</v>
      </c>
      <c r="K248">
        <v>200</v>
      </c>
      <c r="L248">
        <v>50</v>
      </c>
      <c r="M248">
        <v>1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 t="s">
        <v>3352</v>
      </c>
      <c r="AC248" t="s">
        <v>3357</v>
      </c>
      <c r="AD248" t="s">
        <v>3489</v>
      </c>
      <c r="AE248" t="s">
        <v>4</v>
      </c>
      <c r="AF248" t="s">
        <v>1</v>
      </c>
      <c r="AG248" t="s">
        <v>1</v>
      </c>
      <c r="AH248" t="s">
        <v>2316</v>
      </c>
      <c r="AI248" t="s">
        <v>2316</v>
      </c>
      <c r="AJ248" t="s">
        <v>1</v>
      </c>
      <c r="AK248">
        <v>9331357676</v>
      </c>
      <c r="AL248" t="s">
        <v>1</v>
      </c>
      <c r="AM248" t="s">
        <v>1</v>
      </c>
      <c r="AN248" t="s">
        <v>1</v>
      </c>
      <c r="AO248" t="s">
        <v>2316</v>
      </c>
      <c r="AP248" t="s">
        <v>1</v>
      </c>
      <c r="AQ248" t="s">
        <v>2</v>
      </c>
      <c r="AR248" t="s">
        <v>1</v>
      </c>
      <c r="AS248" t="s">
        <v>1</v>
      </c>
      <c r="AT248" t="s">
        <v>1</v>
      </c>
      <c r="AU248" t="s">
        <v>1</v>
      </c>
      <c r="AV248" t="s">
        <v>1</v>
      </c>
      <c r="AW248" t="s">
        <v>9</v>
      </c>
      <c r="AX248">
        <f>Tabla1[[#This Row],[precio del paquete]]-Tabla1[[#This Row],[Saldo_Deudor]]</f>
        <v>6700</v>
      </c>
      <c r="AY248">
        <v>6200</v>
      </c>
      <c r="AZ248">
        <v>0</v>
      </c>
      <c r="BA248">
        <v>0</v>
      </c>
      <c r="BB248">
        <v>0</v>
      </c>
      <c r="BC248" t="s">
        <v>4843</v>
      </c>
      <c r="BD248" t="s">
        <v>4929</v>
      </c>
      <c r="BE248" t="s">
        <v>3</v>
      </c>
      <c r="BF248" t="s">
        <v>3</v>
      </c>
      <c r="BG248" t="s">
        <v>3</v>
      </c>
      <c r="BH248" t="s">
        <v>3</v>
      </c>
      <c r="BI248" t="s">
        <v>3</v>
      </c>
      <c r="BJ248" t="s">
        <v>4989</v>
      </c>
      <c r="BK248" t="s">
        <v>3</v>
      </c>
      <c r="BL248" t="s">
        <v>96</v>
      </c>
      <c r="BM248" t="s">
        <v>1</v>
      </c>
      <c r="BN248">
        <v>12900</v>
      </c>
      <c r="BO248" t="s">
        <v>1</v>
      </c>
      <c r="BP248" t="s">
        <v>1</v>
      </c>
      <c r="BQ248" t="s">
        <v>1</v>
      </c>
      <c r="BR248" t="s">
        <v>1</v>
      </c>
      <c r="BS248" t="s">
        <v>1</v>
      </c>
      <c r="BT248" t="s">
        <v>1</v>
      </c>
      <c r="BU248" t="s">
        <v>1</v>
      </c>
      <c r="BV248" t="s">
        <v>1</v>
      </c>
      <c r="BW248" t="s">
        <v>0</v>
      </c>
      <c r="BX248" t="s">
        <v>1</v>
      </c>
      <c r="BY248" t="s">
        <v>1</v>
      </c>
      <c r="BZ248" t="s">
        <v>1</v>
      </c>
      <c r="CA248" t="s">
        <v>1</v>
      </c>
      <c r="CB248" t="s">
        <v>1</v>
      </c>
      <c r="CD248" t="e" cm="1">
        <f t="array" aca="1" ref="CD248" ca="1">eConcatenar(A248:CB248,"|")</f>
        <v>#NAME?</v>
      </c>
    </row>
    <row r="249" spans="1:82" x14ac:dyDescent="0.25">
      <c r="A249" t="s">
        <v>344</v>
      </c>
      <c r="B249" t="s">
        <v>1354</v>
      </c>
      <c r="C249">
        <v>3</v>
      </c>
      <c r="D249" t="s">
        <v>2157</v>
      </c>
      <c r="E249" t="s">
        <v>2158</v>
      </c>
      <c r="F249" t="s">
        <v>2162</v>
      </c>
      <c r="G249" t="s">
        <v>2316</v>
      </c>
      <c r="H249" t="s">
        <v>2751</v>
      </c>
      <c r="I249">
        <v>12900</v>
      </c>
      <c r="J249">
        <v>0</v>
      </c>
      <c r="K249">
        <v>200</v>
      </c>
      <c r="L249">
        <v>50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 t="s">
        <v>3373</v>
      </c>
      <c r="AC249" t="s">
        <v>3484</v>
      </c>
      <c r="AD249" t="s">
        <v>3490</v>
      </c>
      <c r="AE249" t="s">
        <v>4</v>
      </c>
      <c r="AF249" t="s">
        <v>1</v>
      </c>
      <c r="AG249" t="s">
        <v>1</v>
      </c>
      <c r="AH249" t="s">
        <v>2316</v>
      </c>
      <c r="AI249" t="s">
        <v>2316</v>
      </c>
      <c r="AJ249" t="s">
        <v>1</v>
      </c>
      <c r="AK249">
        <v>9334061230</v>
      </c>
      <c r="AL249" t="s">
        <v>1</v>
      </c>
      <c r="AM249" t="s">
        <v>1</v>
      </c>
      <c r="AN249" t="s">
        <v>1</v>
      </c>
      <c r="AO249" t="s">
        <v>2316</v>
      </c>
      <c r="AP249" t="s">
        <v>1</v>
      </c>
      <c r="AQ249" t="s">
        <v>2</v>
      </c>
      <c r="AR249" t="s">
        <v>1</v>
      </c>
      <c r="AS249" t="s">
        <v>1</v>
      </c>
      <c r="AT249" t="s">
        <v>1</v>
      </c>
      <c r="AU249" t="s">
        <v>1</v>
      </c>
      <c r="AV249" t="s">
        <v>1</v>
      </c>
      <c r="AW249" t="s">
        <v>9</v>
      </c>
      <c r="AX249">
        <f>Tabla1[[#This Row],[precio del paquete]]-Tabla1[[#This Row],[Saldo_Deudor]]</f>
        <v>9800</v>
      </c>
      <c r="AY249">
        <v>3100</v>
      </c>
      <c r="AZ249">
        <v>0</v>
      </c>
      <c r="BA249">
        <v>0</v>
      </c>
      <c r="BB249">
        <v>0</v>
      </c>
      <c r="BC249" t="s">
        <v>2699</v>
      </c>
      <c r="BD249" t="s">
        <v>4854</v>
      </c>
      <c r="BE249" t="s">
        <v>3</v>
      </c>
      <c r="BF249" t="s">
        <v>3</v>
      </c>
      <c r="BG249" t="s">
        <v>3</v>
      </c>
      <c r="BH249" t="s">
        <v>3</v>
      </c>
      <c r="BI249" t="s">
        <v>3</v>
      </c>
      <c r="BJ249" t="s">
        <v>4998</v>
      </c>
      <c r="BK249" t="s">
        <v>3</v>
      </c>
      <c r="BL249" t="s">
        <v>96</v>
      </c>
      <c r="BM249" t="s">
        <v>1</v>
      </c>
      <c r="BN249">
        <v>12900</v>
      </c>
      <c r="BO249" t="s">
        <v>1</v>
      </c>
      <c r="BP249" t="s">
        <v>1</v>
      </c>
      <c r="BQ249" t="s">
        <v>1</v>
      </c>
      <c r="BR249" t="s">
        <v>1</v>
      </c>
      <c r="BS249" t="s">
        <v>1</v>
      </c>
      <c r="BT249" t="s">
        <v>1</v>
      </c>
      <c r="BU249" t="s">
        <v>1</v>
      </c>
      <c r="BV249" t="s">
        <v>1</v>
      </c>
      <c r="BW249" t="s">
        <v>0</v>
      </c>
      <c r="BX249" t="s">
        <v>1</v>
      </c>
      <c r="BY249" t="s">
        <v>1</v>
      </c>
      <c r="BZ249" t="s">
        <v>1</v>
      </c>
      <c r="CA249" t="s">
        <v>1</v>
      </c>
      <c r="CB249" t="s">
        <v>1</v>
      </c>
      <c r="CD249" t="e" cm="1">
        <f t="array" aca="1" ref="CD249" ca="1">eConcatenar(A249:CB249,"|")</f>
        <v>#NAME?</v>
      </c>
    </row>
    <row r="250" spans="1:82" x14ac:dyDescent="0.25">
      <c r="A250" t="s">
        <v>345</v>
      </c>
      <c r="B250" t="s">
        <v>1355</v>
      </c>
      <c r="C250">
        <v>3</v>
      </c>
      <c r="D250" t="s">
        <v>2153</v>
      </c>
      <c r="E250" t="s">
        <v>2158</v>
      </c>
      <c r="F250" t="s">
        <v>2162</v>
      </c>
      <c r="G250" t="s">
        <v>2316</v>
      </c>
      <c r="H250" t="s">
        <v>2850</v>
      </c>
      <c r="I250">
        <v>14800</v>
      </c>
      <c r="J250">
        <v>0</v>
      </c>
      <c r="K250">
        <v>200</v>
      </c>
      <c r="L250">
        <v>50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 t="s">
        <v>3132</v>
      </c>
      <c r="AC250" t="s">
        <v>3161</v>
      </c>
      <c r="AD250" t="s">
        <v>3269</v>
      </c>
      <c r="AE250" t="s">
        <v>4</v>
      </c>
      <c r="AF250" t="s">
        <v>1</v>
      </c>
      <c r="AG250" t="s">
        <v>1</v>
      </c>
      <c r="AH250" t="s">
        <v>2316</v>
      </c>
      <c r="AI250" t="s">
        <v>2316</v>
      </c>
      <c r="AJ250" t="s">
        <v>1</v>
      </c>
      <c r="AK250" t="s">
        <v>1</v>
      </c>
      <c r="AL250" t="s">
        <v>1</v>
      </c>
      <c r="AM250" t="s">
        <v>1</v>
      </c>
      <c r="AN250" t="s">
        <v>1</v>
      </c>
      <c r="AO250" t="s">
        <v>2316</v>
      </c>
      <c r="AP250" t="s">
        <v>1</v>
      </c>
      <c r="AQ250" t="s">
        <v>2</v>
      </c>
      <c r="AR250" t="s">
        <v>1</v>
      </c>
      <c r="AS250" t="s">
        <v>1</v>
      </c>
      <c r="AT250" t="s">
        <v>1</v>
      </c>
      <c r="AU250" t="s">
        <v>1</v>
      </c>
      <c r="AV250" t="s">
        <v>1</v>
      </c>
      <c r="AW250" t="s">
        <v>9</v>
      </c>
      <c r="AX250">
        <f>Tabla1[[#This Row],[precio del paquete]]-Tabla1[[#This Row],[Saldo_Deudor]]</f>
        <v>6500</v>
      </c>
      <c r="AY250">
        <v>8300</v>
      </c>
      <c r="AZ250">
        <v>0</v>
      </c>
      <c r="BA250">
        <v>0</v>
      </c>
      <c r="BB250">
        <v>0</v>
      </c>
      <c r="BC250" t="s">
        <v>2928</v>
      </c>
      <c r="BD250" t="s">
        <v>2711</v>
      </c>
      <c r="BE250" t="s">
        <v>3</v>
      </c>
      <c r="BF250" t="s">
        <v>3</v>
      </c>
      <c r="BG250" t="s">
        <v>3</v>
      </c>
      <c r="BH250" t="s">
        <v>3</v>
      </c>
      <c r="BI250" t="s">
        <v>3</v>
      </c>
      <c r="BJ250" t="s">
        <v>4998</v>
      </c>
      <c r="BK250" t="s">
        <v>3</v>
      </c>
      <c r="BL250" t="s">
        <v>96</v>
      </c>
      <c r="BM250" t="s">
        <v>1</v>
      </c>
      <c r="BN250">
        <v>14800</v>
      </c>
      <c r="BO250" t="s">
        <v>1</v>
      </c>
      <c r="BP250" t="s">
        <v>1</v>
      </c>
      <c r="BQ250" t="s">
        <v>1</v>
      </c>
      <c r="BR250" t="s">
        <v>1</v>
      </c>
      <c r="BS250" t="s">
        <v>1</v>
      </c>
      <c r="BT250" t="s">
        <v>1</v>
      </c>
      <c r="BU250" t="s">
        <v>1</v>
      </c>
      <c r="BV250" t="s">
        <v>1</v>
      </c>
      <c r="BW250" t="s">
        <v>0</v>
      </c>
      <c r="BX250" t="s">
        <v>1</v>
      </c>
      <c r="BY250" t="s">
        <v>1</v>
      </c>
      <c r="BZ250" t="s">
        <v>1</v>
      </c>
      <c r="CA250" t="s">
        <v>1</v>
      </c>
      <c r="CB250" t="s">
        <v>1</v>
      </c>
      <c r="CD250" t="e" cm="1">
        <f t="array" aca="1" ref="CD250" ca="1">eConcatenar(A250:CB250,"|")</f>
        <v>#NAME?</v>
      </c>
    </row>
    <row r="251" spans="1:82" x14ac:dyDescent="0.25">
      <c r="A251" t="s">
        <v>346</v>
      </c>
      <c r="B251" t="s">
        <v>1356</v>
      </c>
      <c r="C251">
        <v>3</v>
      </c>
      <c r="D251" t="s">
        <v>2153</v>
      </c>
      <c r="E251" t="s">
        <v>2158</v>
      </c>
      <c r="F251" t="s">
        <v>2162</v>
      </c>
      <c r="G251" t="s">
        <v>2316</v>
      </c>
      <c r="H251" t="s">
        <v>2852</v>
      </c>
      <c r="I251">
        <v>14800</v>
      </c>
      <c r="J251">
        <v>0</v>
      </c>
      <c r="K251">
        <v>100</v>
      </c>
      <c r="L251">
        <v>50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 t="s">
        <v>3491</v>
      </c>
      <c r="AC251" t="s">
        <v>3137</v>
      </c>
      <c r="AD251" t="s">
        <v>3492</v>
      </c>
      <c r="AE251" t="s">
        <v>4</v>
      </c>
      <c r="AF251" t="s">
        <v>1</v>
      </c>
      <c r="AG251" t="s">
        <v>1</v>
      </c>
      <c r="AH251" t="s">
        <v>2316</v>
      </c>
      <c r="AI251" t="s">
        <v>2316</v>
      </c>
      <c r="AJ251" t="s">
        <v>1</v>
      </c>
      <c r="AK251">
        <v>9331348175</v>
      </c>
      <c r="AL251" t="s">
        <v>1</v>
      </c>
      <c r="AM251" t="s">
        <v>1</v>
      </c>
      <c r="AN251" t="s">
        <v>1</v>
      </c>
      <c r="AO251" t="s">
        <v>2316</v>
      </c>
      <c r="AP251" t="s">
        <v>1</v>
      </c>
      <c r="AQ251" t="s">
        <v>2</v>
      </c>
      <c r="AR251" t="s">
        <v>1</v>
      </c>
      <c r="AS251" t="s">
        <v>1</v>
      </c>
      <c r="AT251" t="s">
        <v>1</v>
      </c>
      <c r="AU251" t="s">
        <v>1</v>
      </c>
      <c r="AV251" t="s">
        <v>1</v>
      </c>
      <c r="AW251" t="s">
        <v>9</v>
      </c>
      <c r="AX251">
        <f>Tabla1[[#This Row],[precio del paquete]]-Tabla1[[#This Row],[Saldo_Deudor]]</f>
        <v>7100</v>
      </c>
      <c r="AY251">
        <v>7700</v>
      </c>
      <c r="AZ251">
        <v>0</v>
      </c>
      <c r="BA251">
        <v>0</v>
      </c>
      <c r="BB251">
        <v>0</v>
      </c>
      <c r="BC251" t="s">
        <v>2927</v>
      </c>
      <c r="BD251" t="s">
        <v>2896</v>
      </c>
      <c r="BE251" t="s">
        <v>3</v>
      </c>
      <c r="BF251" t="s">
        <v>3</v>
      </c>
      <c r="BG251" t="s">
        <v>3</v>
      </c>
      <c r="BH251" t="s">
        <v>3</v>
      </c>
      <c r="BI251" t="s">
        <v>3</v>
      </c>
      <c r="BJ251" t="s">
        <v>4998</v>
      </c>
      <c r="BK251" t="s">
        <v>3</v>
      </c>
      <c r="BL251" t="s">
        <v>96</v>
      </c>
      <c r="BM251" t="s">
        <v>1</v>
      </c>
      <c r="BN251">
        <v>14800</v>
      </c>
      <c r="BO251" t="s">
        <v>1</v>
      </c>
      <c r="BP251" t="s">
        <v>1</v>
      </c>
      <c r="BQ251" t="s">
        <v>1</v>
      </c>
      <c r="BR251" t="s">
        <v>1</v>
      </c>
      <c r="BS251" t="s">
        <v>1</v>
      </c>
      <c r="BT251" t="s">
        <v>1</v>
      </c>
      <c r="BU251" t="s">
        <v>1</v>
      </c>
      <c r="BV251" t="s">
        <v>1</v>
      </c>
      <c r="BW251" t="s">
        <v>0</v>
      </c>
      <c r="BX251" t="s">
        <v>1</v>
      </c>
      <c r="BY251" t="s">
        <v>1</v>
      </c>
      <c r="BZ251" t="s">
        <v>1</v>
      </c>
      <c r="CA251" t="s">
        <v>1</v>
      </c>
      <c r="CB251" t="s">
        <v>1</v>
      </c>
      <c r="CD251" t="e" cm="1">
        <f t="array" aca="1" ref="CD251" ca="1">eConcatenar(A251:CB251,"|")</f>
        <v>#NAME?</v>
      </c>
    </row>
    <row r="252" spans="1:82" x14ac:dyDescent="0.25">
      <c r="A252" t="s">
        <v>347</v>
      </c>
      <c r="B252" t="s">
        <v>1357</v>
      </c>
      <c r="C252">
        <v>3</v>
      </c>
      <c r="D252" t="s">
        <v>2157</v>
      </c>
      <c r="E252" t="s">
        <v>2158</v>
      </c>
      <c r="F252" t="s">
        <v>2162</v>
      </c>
      <c r="G252" t="s">
        <v>2316</v>
      </c>
      <c r="H252" t="s">
        <v>2706</v>
      </c>
      <c r="I252">
        <v>12900</v>
      </c>
      <c r="J252">
        <v>0</v>
      </c>
      <c r="K252">
        <v>200</v>
      </c>
      <c r="L252">
        <v>50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 t="s">
        <v>3115</v>
      </c>
      <c r="AC252" t="s">
        <v>3484</v>
      </c>
      <c r="AD252" t="s">
        <v>3493</v>
      </c>
      <c r="AE252" t="s">
        <v>4</v>
      </c>
      <c r="AF252" t="s">
        <v>1</v>
      </c>
      <c r="AG252" t="s">
        <v>1</v>
      </c>
      <c r="AH252" t="s">
        <v>2316</v>
      </c>
      <c r="AI252" t="s">
        <v>2316</v>
      </c>
      <c r="AJ252" t="s">
        <v>1</v>
      </c>
      <c r="AK252">
        <v>9371216548</v>
      </c>
      <c r="AL252" t="s">
        <v>1</v>
      </c>
      <c r="AM252" t="s">
        <v>1</v>
      </c>
      <c r="AN252" t="s">
        <v>1</v>
      </c>
      <c r="AO252" t="s">
        <v>2316</v>
      </c>
      <c r="AP252" t="s">
        <v>1</v>
      </c>
      <c r="AQ252" t="s">
        <v>2</v>
      </c>
      <c r="AR252" t="s">
        <v>1</v>
      </c>
      <c r="AS252" t="s">
        <v>1</v>
      </c>
      <c r="AT252" t="s">
        <v>1</v>
      </c>
      <c r="AU252" t="s">
        <v>1</v>
      </c>
      <c r="AV252" t="s">
        <v>1</v>
      </c>
      <c r="AW252" t="s">
        <v>9</v>
      </c>
      <c r="AX252">
        <f>Tabla1[[#This Row],[precio del paquete]]-Tabla1[[#This Row],[Saldo_Deudor]]</f>
        <v>11500</v>
      </c>
      <c r="AY252">
        <v>1400</v>
      </c>
      <c r="AZ252">
        <v>0</v>
      </c>
      <c r="BA252">
        <v>0</v>
      </c>
      <c r="BB252">
        <v>0</v>
      </c>
      <c r="BC252" t="s">
        <v>2928</v>
      </c>
      <c r="BD252" t="s">
        <v>2711</v>
      </c>
      <c r="BE252" t="s">
        <v>3</v>
      </c>
      <c r="BF252" t="s">
        <v>3</v>
      </c>
      <c r="BG252" t="s">
        <v>3</v>
      </c>
      <c r="BH252" t="s">
        <v>3</v>
      </c>
      <c r="BI252" t="s">
        <v>3</v>
      </c>
      <c r="BJ252" t="s">
        <v>4998</v>
      </c>
      <c r="BK252" t="s">
        <v>3</v>
      </c>
      <c r="BL252" t="s">
        <v>96</v>
      </c>
      <c r="BM252" t="s">
        <v>1</v>
      </c>
      <c r="BN252">
        <v>12900</v>
      </c>
      <c r="BO252" t="s">
        <v>1</v>
      </c>
      <c r="BP252" t="s">
        <v>1</v>
      </c>
      <c r="BQ252" t="s">
        <v>1</v>
      </c>
      <c r="BR252" t="s">
        <v>1</v>
      </c>
      <c r="BS252" t="s">
        <v>1</v>
      </c>
      <c r="BT252" t="s">
        <v>1</v>
      </c>
      <c r="BU252" t="s">
        <v>1</v>
      </c>
      <c r="BV252" t="s">
        <v>1</v>
      </c>
      <c r="BW252" t="s">
        <v>0</v>
      </c>
      <c r="BX252" t="s">
        <v>1</v>
      </c>
      <c r="BY252" t="s">
        <v>1</v>
      </c>
      <c r="BZ252" t="s">
        <v>1</v>
      </c>
      <c r="CA252" t="s">
        <v>1</v>
      </c>
      <c r="CB252" t="s">
        <v>1</v>
      </c>
      <c r="CD252" t="e" cm="1">
        <f t="array" aca="1" ref="CD252" ca="1">eConcatenar(A252:CB252,"|")</f>
        <v>#NAME?</v>
      </c>
    </row>
    <row r="253" spans="1:82" x14ac:dyDescent="0.25">
      <c r="A253" t="s">
        <v>348</v>
      </c>
      <c r="B253" t="s">
        <v>1358</v>
      </c>
      <c r="C253">
        <v>3</v>
      </c>
      <c r="D253" t="s">
        <v>2153</v>
      </c>
      <c r="E253" t="s">
        <v>10</v>
      </c>
      <c r="F253" t="s">
        <v>0</v>
      </c>
      <c r="G253" t="s">
        <v>2317</v>
      </c>
      <c r="H253" t="s">
        <v>2853</v>
      </c>
      <c r="I253">
        <v>14800</v>
      </c>
      <c r="J253">
        <v>0</v>
      </c>
      <c r="K253">
        <v>100</v>
      </c>
      <c r="L253">
        <v>50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 t="s">
        <v>3132</v>
      </c>
      <c r="AC253" t="s">
        <v>3137</v>
      </c>
      <c r="AD253" t="s">
        <v>3251</v>
      </c>
      <c r="AE253" t="s">
        <v>4</v>
      </c>
      <c r="AF253" t="s">
        <v>1</v>
      </c>
      <c r="AG253" t="s">
        <v>1</v>
      </c>
      <c r="AH253" t="s">
        <v>4283</v>
      </c>
      <c r="AI253" t="s">
        <v>2317</v>
      </c>
      <c r="AJ253" t="s">
        <v>1</v>
      </c>
      <c r="AK253">
        <v>9371710778</v>
      </c>
      <c r="AL253" t="s">
        <v>1</v>
      </c>
      <c r="AM253" t="s">
        <v>1</v>
      </c>
      <c r="AN253" t="s">
        <v>1</v>
      </c>
      <c r="AO253" t="s">
        <v>4283</v>
      </c>
      <c r="AP253" t="s">
        <v>1</v>
      </c>
      <c r="AQ253" t="s">
        <v>2</v>
      </c>
      <c r="AR253" t="s">
        <v>1</v>
      </c>
      <c r="AS253" t="s">
        <v>1</v>
      </c>
      <c r="AT253" t="s">
        <v>1</v>
      </c>
      <c r="AU253" t="s">
        <v>1</v>
      </c>
      <c r="AV253" t="s">
        <v>1</v>
      </c>
      <c r="AW253" t="s">
        <v>9</v>
      </c>
      <c r="AX253">
        <f>Tabla1[[#This Row],[precio del paquete]]-Tabla1[[#This Row],[Saldo_Deudor]]</f>
        <v>620</v>
      </c>
      <c r="AY253">
        <v>14180</v>
      </c>
      <c r="AZ253">
        <v>0</v>
      </c>
      <c r="BA253">
        <v>0</v>
      </c>
      <c r="BB253">
        <v>0</v>
      </c>
      <c r="BC253" t="s">
        <v>2889</v>
      </c>
      <c r="BD253" t="s">
        <v>4930</v>
      </c>
      <c r="BE253" t="s">
        <v>3</v>
      </c>
      <c r="BF253" t="s">
        <v>3</v>
      </c>
      <c r="BG253" t="s">
        <v>3</v>
      </c>
      <c r="BH253" t="s">
        <v>3</v>
      </c>
      <c r="BI253" t="s">
        <v>3</v>
      </c>
      <c r="BJ253" t="s">
        <v>4998</v>
      </c>
      <c r="BK253" t="s">
        <v>3</v>
      </c>
      <c r="BL253" t="s">
        <v>96</v>
      </c>
      <c r="BM253" t="s">
        <v>1</v>
      </c>
      <c r="BN253">
        <v>14800</v>
      </c>
      <c r="BO253" t="s">
        <v>1</v>
      </c>
      <c r="BP253" t="s">
        <v>1</v>
      </c>
      <c r="BQ253" t="s">
        <v>1</v>
      </c>
      <c r="BR253" t="s">
        <v>1</v>
      </c>
      <c r="BS253" t="s">
        <v>1</v>
      </c>
      <c r="BT253" t="s">
        <v>1</v>
      </c>
      <c r="BU253" t="s">
        <v>1</v>
      </c>
      <c r="BV253" t="s">
        <v>1</v>
      </c>
      <c r="BW253" t="s">
        <v>0</v>
      </c>
      <c r="BX253" t="s">
        <v>1</v>
      </c>
      <c r="BY253" t="s">
        <v>1</v>
      </c>
      <c r="BZ253" t="s">
        <v>1</v>
      </c>
      <c r="CA253" t="s">
        <v>1</v>
      </c>
      <c r="CB253" t="s">
        <v>1</v>
      </c>
      <c r="CD253" t="e" cm="1">
        <f t="array" aca="1" ref="CD253" ca="1">eConcatenar(A253:CB253,"|")</f>
        <v>#NAME?</v>
      </c>
    </row>
    <row r="254" spans="1:82" x14ac:dyDescent="0.25">
      <c r="A254" t="s">
        <v>349</v>
      </c>
      <c r="B254" t="s">
        <v>1359</v>
      </c>
      <c r="C254">
        <v>3</v>
      </c>
      <c r="D254" t="s">
        <v>2153</v>
      </c>
      <c r="E254" t="s">
        <v>2158</v>
      </c>
      <c r="F254" t="s">
        <v>2162</v>
      </c>
      <c r="G254" t="s">
        <v>2318</v>
      </c>
      <c r="H254" t="s">
        <v>2854</v>
      </c>
      <c r="I254">
        <v>14800</v>
      </c>
      <c r="J254">
        <v>0</v>
      </c>
      <c r="K254">
        <v>400</v>
      </c>
      <c r="L254">
        <v>50</v>
      </c>
      <c r="M254">
        <v>2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 t="s">
        <v>3423</v>
      </c>
      <c r="AC254" t="s">
        <v>3115</v>
      </c>
      <c r="AD254" t="s">
        <v>3130</v>
      </c>
      <c r="AE254" t="s">
        <v>4</v>
      </c>
      <c r="AF254" t="s">
        <v>1</v>
      </c>
      <c r="AG254" t="s">
        <v>1</v>
      </c>
      <c r="AH254" t="s">
        <v>4284</v>
      </c>
      <c r="AI254" t="s">
        <v>2318</v>
      </c>
      <c r="AJ254" t="s">
        <v>1</v>
      </c>
      <c r="AK254">
        <v>9331021801</v>
      </c>
      <c r="AL254" t="s">
        <v>1</v>
      </c>
      <c r="AM254" t="s">
        <v>1</v>
      </c>
      <c r="AN254" t="s">
        <v>1</v>
      </c>
      <c r="AO254" t="s">
        <v>4284</v>
      </c>
      <c r="AP254" t="s">
        <v>1</v>
      </c>
      <c r="AQ254" t="s">
        <v>2</v>
      </c>
      <c r="AR254" t="s">
        <v>1</v>
      </c>
      <c r="AS254" t="s">
        <v>1</v>
      </c>
      <c r="AT254" t="s">
        <v>1</v>
      </c>
      <c r="AU254" t="s">
        <v>1</v>
      </c>
      <c r="AV254" t="s">
        <v>1</v>
      </c>
      <c r="AW254" t="s">
        <v>9</v>
      </c>
      <c r="AX254">
        <f>Tabla1[[#This Row],[precio del paquete]]-Tabla1[[#This Row],[Saldo_Deudor]]</f>
        <v>3100</v>
      </c>
      <c r="AY254">
        <v>11700</v>
      </c>
      <c r="AZ254">
        <v>0</v>
      </c>
      <c r="BA254">
        <v>0</v>
      </c>
      <c r="BB254">
        <v>0</v>
      </c>
      <c r="BC254" t="s">
        <v>2821</v>
      </c>
      <c r="BD254" t="s">
        <v>4931</v>
      </c>
      <c r="BE254" t="s">
        <v>3</v>
      </c>
      <c r="BF254" t="s">
        <v>3</v>
      </c>
      <c r="BG254" t="s">
        <v>3</v>
      </c>
      <c r="BH254" t="s">
        <v>3</v>
      </c>
      <c r="BI254" t="s">
        <v>3</v>
      </c>
      <c r="BJ254" t="s">
        <v>4985</v>
      </c>
      <c r="BK254" t="s">
        <v>3</v>
      </c>
      <c r="BL254" t="s">
        <v>96</v>
      </c>
      <c r="BM254" t="s">
        <v>1</v>
      </c>
      <c r="BN254">
        <v>14800</v>
      </c>
      <c r="BO254" t="s">
        <v>1</v>
      </c>
      <c r="BP254" t="s">
        <v>1</v>
      </c>
      <c r="BQ254" t="s">
        <v>1</v>
      </c>
      <c r="BR254" t="s">
        <v>1</v>
      </c>
      <c r="BS254" t="s">
        <v>1</v>
      </c>
      <c r="BT254" t="s">
        <v>1</v>
      </c>
      <c r="BU254" t="s">
        <v>1</v>
      </c>
      <c r="BV254" t="s">
        <v>1</v>
      </c>
      <c r="BW254" t="s">
        <v>0</v>
      </c>
      <c r="BX254" t="s">
        <v>1</v>
      </c>
      <c r="BY254" t="s">
        <v>1</v>
      </c>
      <c r="BZ254" t="s">
        <v>1</v>
      </c>
      <c r="CA254" t="s">
        <v>1</v>
      </c>
      <c r="CB254" t="s">
        <v>1</v>
      </c>
      <c r="CD254" t="e" cm="1">
        <f t="array" aca="1" ref="CD254" ca="1">eConcatenar(A254:CB254,"|")</f>
        <v>#NAME?</v>
      </c>
    </row>
    <row r="255" spans="1:82" x14ac:dyDescent="0.25">
      <c r="A255" t="s">
        <v>350</v>
      </c>
      <c r="B255" t="s">
        <v>1360</v>
      </c>
      <c r="C255">
        <v>3</v>
      </c>
      <c r="D255" t="s">
        <v>2153</v>
      </c>
      <c r="E255" t="s">
        <v>2158</v>
      </c>
      <c r="F255" t="s">
        <v>2162</v>
      </c>
      <c r="G255" t="s">
        <v>2319</v>
      </c>
      <c r="H255" t="s">
        <v>2855</v>
      </c>
      <c r="I255">
        <v>14800</v>
      </c>
      <c r="J255">
        <v>0</v>
      </c>
      <c r="K255">
        <v>200</v>
      </c>
      <c r="L255">
        <v>50</v>
      </c>
      <c r="M255">
        <v>2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 t="s">
        <v>3494</v>
      </c>
      <c r="AC255" t="s">
        <v>3315</v>
      </c>
      <c r="AD255" t="s">
        <v>3495</v>
      </c>
      <c r="AE255" t="s">
        <v>4</v>
      </c>
      <c r="AF255" t="s">
        <v>1</v>
      </c>
      <c r="AG255" t="s">
        <v>1</v>
      </c>
      <c r="AH255" t="s">
        <v>4285</v>
      </c>
      <c r="AI255" t="s">
        <v>2319</v>
      </c>
      <c r="AJ255" t="s">
        <v>1</v>
      </c>
      <c r="AK255">
        <v>9331588331</v>
      </c>
      <c r="AL255" t="s">
        <v>1</v>
      </c>
      <c r="AM255" t="s">
        <v>1</v>
      </c>
      <c r="AN255" t="s">
        <v>1</v>
      </c>
      <c r="AO255" t="s">
        <v>4285</v>
      </c>
      <c r="AP255" t="s">
        <v>1</v>
      </c>
      <c r="AQ255" t="s">
        <v>2</v>
      </c>
      <c r="AR255" t="s">
        <v>1</v>
      </c>
      <c r="AS255" t="s">
        <v>1</v>
      </c>
      <c r="AT255" t="s">
        <v>1</v>
      </c>
      <c r="AU255" t="s">
        <v>1</v>
      </c>
      <c r="AV255" t="s">
        <v>1</v>
      </c>
      <c r="AW255" t="s">
        <v>9</v>
      </c>
      <c r="AX255">
        <f>Tabla1[[#This Row],[precio del paquete]]-Tabla1[[#This Row],[Saldo_Deudor]]</f>
        <v>1000</v>
      </c>
      <c r="AY255">
        <v>13800</v>
      </c>
      <c r="AZ255">
        <v>0</v>
      </c>
      <c r="BA255">
        <v>0</v>
      </c>
      <c r="BB255">
        <v>0</v>
      </c>
      <c r="BC255" t="s">
        <v>2808</v>
      </c>
      <c r="BD255" t="s">
        <v>2868</v>
      </c>
      <c r="BE255" t="s">
        <v>3</v>
      </c>
      <c r="BF255" t="s">
        <v>3</v>
      </c>
      <c r="BG255" t="s">
        <v>3</v>
      </c>
      <c r="BH255" t="s">
        <v>3</v>
      </c>
      <c r="BI255" t="s">
        <v>3</v>
      </c>
      <c r="BJ255" t="s">
        <v>4990</v>
      </c>
      <c r="BK255" t="s">
        <v>3</v>
      </c>
      <c r="BL255" t="s">
        <v>96</v>
      </c>
      <c r="BM255" t="s">
        <v>1</v>
      </c>
      <c r="BN255">
        <v>14800</v>
      </c>
      <c r="BO255" t="s">
        <v>1</v>
      </c>
      <c r="BP255" t="s">
        <v>1</v>
      </c>
      <c r="BQ255" t="s">
        <v>1</v>
      </c>
      <c r="BR255" t="s">
        <v>1</v>
      </c>
      <c r="BS255" t="s">
        <v>1</v>
      </c>
      <c r="BT255" t="s">
        <v>1</v>
      </c>
      <c r="BU255" t="s">
        <v>1</v>
      </c>
      <c r="BV255" t="s">
        <v>1</v>
      </c>
      <c r="BW255" t="s">
        <v>0</v>
      </c>
      <c r="BX255" t="s">
        <v>1</v>
      </c>
      <c r="BY255" t="s">
        <v>1</v>
      </c>
      <c r="BZ255" t="s">
        <v>1</v>
      </c>
      <c r="CA255" t="s">
        <v>1</v>
      </c>
      <c r="CB255" t="s">
        <v>1</v>
      </c>
      <c r="CD255" t="e" cm="1">
        <f t="array" aca="1" ref="CD255" ca="1">eConcatenar(A255:CB255,"|")</f>
        <v>#NAME?</v>
      </c>
    </row>
    <row r="256" spans="1:82" x14ac:dyDescent="0.25">
      <c r="A256" t="s">
        <v>351</v>
      </c>
      <c r="B256" t="s">
        <v>1361</v>
      </c>
      <c r="C256">
        <v>3</v>
      </c>
      <c r="D256" t="s">
        <v>3108</v>
      </c>
      <c r="E256" t="s">
        <v>2158</v>
      </c>
      <c r="F256" t="s">
        <v>2162</v>
      </c>
      <c r="G256" t="s">
        <v>2319</v>
      </c>
      <c r="H256" t="s">
        <v>2856</v>
      </c>
      <c r="I256">
        <v>31800</v>
      </c>
      <c r="J256">
        <v>0</v>
      </c>
      <c r="K256">
        <v>800</v>
      </c>
      <c r="L256">
        <v>50</v>
      </c>
      <c r="M256">
        <v>2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 t="s">
        <v>3379</v>
      </c>
      <c r="AC256" t="s">
        <v>3496</v>
      </c>
      <c r="AD256" t="s">
        <v>3497</v>
      </c>
      <c r="AE256" t="s">
        <v>4</v>
      </c>
      <c r="AF256" t="s">
        <v>1</v>
      </c>
      <c r="AG256" t="s">
        <v>1</v>
      </c>
      <c r="AH256" t="s">
        <v>4286</v>
      </c>
      <c r="AI256" t="s">
        <v>2319</v>
      </c>
      <c r="AJ256" t="s">
        <v>1</v>
      </c>
      <c r="AK256">
        <v>9331060112</v>
      </c>
      <c r="AL256" t="s">
        <v>1</v>
      </c>
      <c r="AM256" t="s">
        <v>1</v>
      </c>
      <c r="AN256" t="s">
        <v>1</v>
      </c>
      <c r="AO256" t="s">
        <v>4286</v>
      </c>
      <c r="AP256" t="s">
        <v>1</v>
      </c>
      <c r="AQ256" t="s">
        <v>2</v>
      </c>
      <c r="AR256" t="s">
        <v>1</v>
      </c>
      <c r="AS256" t="s">
        <v>1</v>
      </c>
      <c r="AT256" t="s">
        <v>1</v>
      </c>
      <c r="AU256" t="s">
        <v>1</v>
      </c>
      <c r="AV256" t="s">
        <v>1</v>
      </c>
      <c r="AW256" t="s">
        <v>9</v>
      </c>
      <c r="AX256">
        <f>Tabla1[[#This Row],[precio del paquete]]-Tabla1[[#This Row],[Saldo_Deudor]]</f>
        <v>800</v>
      </c>
      <c r="AY256">
        <v>31000</v>
      </c>
      <c r="AZ256">
        <v>0</v>
      </c>
      <c r="BA256">
        <v>0</v>
      </c>
      <c r="BB256">
        <v>0</v>
      </c>
      <c r="BC256" t="s">
        <v>4844</v>
      </c>
      <c r="BD256" t="s">
        <v>2797</v>
      </c>
      <c r="BE256" t="s">
        <v>3</v>
      </c>
      <c r="BF256" t="s">
        <v>3</v>
      </c>
      <c r="BG256" t="s">
        <v>3</v>
      </c>
      <c r="BH256" t="s">
        <v>3</v>
      </c>
      <c r="BI256" t="s">
        <v>3</v>
      </c>
      <c r="BJ256" t="s">
        <v>4990</v>
      </c>
      <c r="BK256" t="s">
        <v>3</v>
      </c>
      <c r="BL256" t="s">
        <v>96</v>
      </c>
      <c r="BM256" t="s">
        <v>1</v>
      </c>
      <c r="BN256">
        <v>31800</v>
      </c>
      <c r="BO256" t="s">
        <v>1</v>
      </c>
      <c r="BP256" t="s">
        <v>1</v>
      </c>
      <c r="BQ256" t="s">
        <v>1</v>
      </c>
      <c r="BR256" t="s">
        <v>1</v>
      </c>
      <c r="BS256" t="s">
        <v>1</v>
      </c>
      <c r="BT256" t="s">
        <v>1</v>
      </c>
      <c r="BU256" t="s">
        <v>1</v>
      </c>
      <c r="BV256" t="s">
        <v>1</v>
      </c>
      <c r="BW256" t="s">
        <v>0</v>
      </c>
      <c r="BX256" t="s">
        <v>1</v>
      </c>
      <c r="BY256" t="s">
        <v>1</v>
      </c>
      <c r="BZ256" t="s">
        <v>1</v>
      </c>
      <c r="CA256" t="s">
        <v>1</v>
      </c>
      <c r="CB256" t="s">
        <v>1</v>
      </c>
      <c r="CD256" t="e" cm="1">
        <f t="array" aca="1" ref="CD256" ca="1">eConcatenar(A256:CB256,"|")</f>
        <v>#NAME?</v>
      </c>
    </row>
    <row r="257" spans="1:82" x14ac:dyDescent="0.25">
      <c r="A257" t="s">
        <v>352</v>
      </c>
      <c r="B257" t="s">
        <v>1362</v>
      </c>
      <c r="C257">
        <v>3</v>
      </c>
      <c r="D257" t="s">
        <v>2153</v>
      </c>
      <c r="E257" t="s">
        <v>2158</v>
      </c>
      <c r="F257" t="s">
        <v>2162</v>
      </c>
      <c r="G257" t="s">
        <v>2319</v>
      </c>
      <c r="H257" t="s">
        <v>2857</v>
      </c>
      <c r="I257">
        <v>14800</v>
      </c>
      <c r="J257">
        <v>0</v>
      </c>
      <c r="K257">
        <v>500</v>
      </c>
      <c r="L257">
        <v>50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 t="s">
        <v>3412</v>
      </c>
      <c r="AC257" t="s">
        <v>5</v>
      </c>
      <c r="AD257" t="s">
        <v>3498</v>
      </c>
      <c r="AE257" t="s">
        <v>4</v>
      </c>
      <c r="AF257" t="s">
        <v>1</v>
      </c>
      <c r="AG257" t="s">
        <v>1</v>
      </c>
      <c r="AH257" t="s">
        <v>4287</v>
      </c>
      <c r="AI257" t="s">
        <v>2319</v>
      </c>
      <c r="AJ257" t="s">
        <v>1</v>
      </c>
      <c r="AK257">
        <v>9331375994</v>
      </c>
      <c r="AL257" t="s">
        <v>1</v>
      </c>
      <c r="AM257" t="s">
        <v>1</v>
      </c>
      <c r="AN257" t="s">
        <v>1</v>
      </c>
      <c r="AO257" t="s">
        <v>4287</v>
      </c>
      <c r="AP257" t="s">
        <v>1</v>
      </c>
      <c r="AQ257" t="s">
        <v>2</v>
      </c>
      <c r="AR257" t="s">
        <v>1</v>
      </c>
      <c r="AS257" t="s">
        <v>1</v>
      </c>
      <c r="AT257" t="s">
        <v>1</v>
      </c>
      <c r="AU257" t="s">
        <v>1</v>
      </c>
      <c r="AV257" t="s">
        <v>1</v>
      </c>
      <c r="AW257" t="s">
        <v>9</v>
      </c>
      <c r="AX257">
        <f>Tabla1[[#This Row],[precio del paquete]]-Tabla1[[#This Row],[Saldo_Deudor]]</f>
        <v>500</v>
      </c>
      <c r="AY257">
        <v>14300</v>
      </c>
      <c r="AZ257">
        <v>0</v>
      </c>
      <c r="BA257">
        <v>0</v>
      </c>
      <c r="BB257">
        <v>0</v>
      </c>
      <c r="BC257" t="s">
        <v>4845</v>
      </c>
      <c r="BD257" t="s">
        <v>4882</v>
      </c>
      <c r="BE257" t="s">
        <v>3</v>
      </c>
      <c r="BF257" t="s">
        <v>3</v>
      </c>
      <c r="BG257" t="s">
        <v>3</v>
      </c>
      <c r="BH257" t="s">
        <v>3</v>
      </c>
      <c r="BI257" t="s">
        <v>3</v>
      </c>
      <c r="BJ257" t="s">
        <v>4990</v>
      </c>
      <c r="BK257" t="s">
        <v>3</v>
      </c>
      <c r="BL257" t="s">
        <v>96</v>
      </c>
      <c r="BM257" t="s">
        <v>1</v>
      </c>
      <c r="BN257">
        <v>14800</v>
      </c>
      <c r="BO257" t="s">
        <v>1</v>
      </c>
      <c r="BP257" t="s">
        <v>1</v>
      </c>
      <c r="BQ257" t="s">
        <v>1</v>
      </c>
      <c r="BR257" t="s">
        <v>1</v>
      </c>
      <c r="BS257" t="s">
        <v>1</v>
      </c>
      <c r="BT257" t="s">
        <v>1</v>
      </c>
      <c r="BU257" t="s">
        <v>1</v>
      </c>
      <c r="BV257" t="s">
        <v>1</v>
      </c>
      <c r="BW257" t="s">
        <v>0</v>
      </c>
      <c r="BX257" t="s">
        <v>1</v>
      </c>
      <c r="BY257" t="s">
        <v>1</v>
      </c>
      <c r="BZ257" t="s">
        <v>1</v>
      </c>
      <c r="CA257" t="s">
        <v>1</v>
      </c>
      <c r="CB257" t="s">
        <v>1</v>
      </c>
      <c r="CD257" t="e" cm="1">
        <f t="array" aca="1" ref="CD257" ca="1">eConcatenar(A257:CB257,"|")</f>
        <v>#NAME?</v>
      </c>
    </row>
    <row r="258" spans="1:82" x14ac:dyDescent="0.25">
      <c r="A258" t="s">
        <v>353</v>
      </c>
      <c r="B258" t="s">
        <v>1363</v>
      </c>
      <c r="C258">
        <v>3</v>
      </c>
      <c r="D258" t="s">
        <v>2153</v>
      </c>
      <c r="E258" t="s">
        <v>2158</v>
      </c>
      <c r="F258" t="s">
        <v>2162</v>
      </c>
      <c r="G258" t="s">
        <v>2320</v>
      </c>
      <c r="H258" t="s">
        <v>2720</v>
      </c>
      <c r="I258">
        <v>14800</v>
      </c>
      <c r="J258">
        <v>0</v>
      </c>
      <c r="K258">
        <v>100</v>
      </c>
      <c r="L258">
        <v>50</v>
      </c>
      <c r="M258">
        <v>1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 t="s">
        <v>3214</v>
      </c>
      <c r="AC258" t="s">
        <v>3131</v>
      </c>
      <c r="AD258" t="s">
        <v>3187</v>
      </c>
      <c r="AE258" t="s">
        <v>4</v>
      </c>
      <c r="AF258" t="s">
        <v>1</v>
      </c>
      <c r="AG258" t="s">
        <v>1</v>
      </c>
      <c r="AH258" t="s">
        <v>4288</v>
      </c>
      <c r="AI258" t="s">
        <v>2320</v>
      </c>
      <c r="AJ258" t="s">
        <v>1</v>
      </c>
      <c r="AK258">
        <v>9331357933</v>
      </c>
      <c r="AL258" t="s">
        <v>1</v>
      </c>
      <c r="AM258" t="s">
        <v>1</v>
      </c>
      <c r="AN258" t="s">
        <v>1</v>
      </c>
      <c r="AO258" t="s">
        <v>4288</v>
      </c>
      <c r="AP258" t="s">
        <v>1</v>
      </c>
      <c r="AQ258" t="s">
        <v>2</v>
      </c>
      <c r="AR258" t="s">
        <v>1</v>
      </c>
      <c r="AS258" t="s">
        <v>1</v>
      </c>
      <c r="AT258" t="s">
        <v>1</v>
      </c>
      <c r="AU258" t="s">
        <v>1</v>
      </c>
      <c r="AV258" t="s">
        <v>1</v>
      </c>
      <c r="AW258" t="s">
        <v>9</v>
      </c>
      <c r="AX258">
        <f>Tabla1[[#This Row],[precio del paquete]]-Tabla1[[#This Row],[Saldo_Deudor]]</f>
        <v>1300</v>
      </c>
      <c r="AY258">
        <v>13500</v>
      </c>
      <c r="AZ258">
        <v>0</v>
      </c>
      <c r="BA258">
        <v>0</v>
      </c>
      <c r="BB258">
        <v>0</v>
      </c>
      <c r="BC258" t="s">
        <v>2905</v>
      </c>
      <c r="BD258" t="s">
        <v>3024</v>
      </c>
      <c r="BE258" t="s">
        <v>3</v>
      </c>
      <c r="BF258" t="s">
        <v>3</v>
      </c>
      <c r="BG258" t="s">
        <v>3</v>
      </c>
      <c r="BH258" t="s">
        <v>3</v>
      </c>
      <c r="BI258" t="s">
        <v>3</v>
      </c>
      <c r="BJ258" t="s">
        <v>5006</v>
      </c>
      <c r="BK258" t="s">
        <v>3</v>
      </c>
      <c r="BL258" t="s">
        <v>96</v>
      </c>
      <c r="BM258" t="s">
        <v>1</v>
      </c>
      <c r="BN258">
        <v>14800</v>
      </c>
      <c r="BO258" t="s">
        <v>1</v>
      </c>
      <c r="BP258" t="s">
        <v>1</v>
      </c>
      <c r="BQ258" t="s">
        <v>1</v>
      </c>
      <c r="BR258" t="s">
        <v>1</v>
      </c>
      <c r="BS258" t="s">
        <v>1</v>
      </c>
      <c r="BT258" t="s">
        <v>1</v>
      </c>
      <c r="BU258" t="s">
        <v>1</v>
      </c>
      <c r="BV258" t="s">
        <v>1</v>
      </c>
      <c r="BW258" t="s">
        <v>0</v>
      </c>
      <c r="BX258" t="s">
        <v>1</v>
      </c>
      <c r="BY258" t="s">
        <v>1</v>
      </c>
      <c r="BZ258" t="s">
        <v>1</v>
      </c>
      <c r="CA258" t="s">
        <v>1</v>
      </c>
      <c r="CB258" t="s">
        <v>1</v>
      </c>
      <c r="CD258" t="e" cm="1">
        <f t="array" aca="1" ref="CD258" ca="1">eConcatenar(A258:CB258,"|")</f>
        <v>#NAME?</v>
      </c>
    </row>
    <row r="259" spans="1:82" x14ac:dyDescent="0.25">
      <c r="A259" t="s">
        <v>354</v>
      </c>
      <c r="B259" t="s">
        <v>1364</v>
      </c>
      <c r="C259">
        <v>3</v>
      </c>
      <c r="D259" t="s">
        <v>2153</v>
      </c>
      <c r="E259" t="s">
        <v>2158</v>
      </c>
      <c r="F259" t="s">
        <v>2162</v>
      </c>
      <c r="G259" t="s">
        <v>2321</v>
      </c>
      <c r="H259" t="s">
        <v>2858</v>
      </c>
      <c r="I259">
        <v>14800</v>
      </c>
      <c r="J259">
        <v>0</v>
      </c>
      <c r="K259">
        <v>400</v>
      </c>
      <c r="L259">
        <v>50</v>
      </c>
      <c r="M259">
        <v>2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 t="s">
        <v>3132</v>
      </c>
      <c r="AC259" t="s">
        <v>3162</v>
      </c>
      <c r="AD259" t="s">
        <v>3499</v>
      </c>
      <c r="AE259" t="s">
        <v>4</v>
      </c>
      <c r="AF259" t="s">
        <v>1</v>
      </c>
      <c r="AG259" t="s">
        <v>1</v>
      </c>
      <c r="AH259" t="s">
        <v>4289</v>
      </c>
      <c r="AI259" t="s">
        <v>2321</v>
      </c>
      <c r="AJ259" t="s">
        <v>1</v>
      </c>
      <c r="AK259">
        <v>9331339128</v>
      </c>
      <c r="AL259" t="s">
        <v>1</v>
      </c>
      <c r="AM259" t="s">
        <v>1</v>
      </c>
      <c r="AN259" t="s">
        <v>1</v>
      </c>
      <c r="AO259" t="s">
        <v>4289</v>
      </c>
      <c r="AP259" t="s">
        <v>1</v>
      </c>
      <c r="AQ259" t="s">
        <v>2</v>
      </c>
      <c r="AR259" t="s">
        <v>1</v>
      </c>
      <c r="AS259" t="s">
        <v>1</v>
      </c>
      <c r="AT259" t="s">
        <v>1</v>
      </c>
      <c r="AU259" t="s">
        <v>1</v>
      </c>
      <c r="AV259" t="s">
        <v>1</v>
      </c>
      <c r="AW259" t="s">
        <v>9</v>
      </c>
      <c r="AX259">
        <f>Tabla1[[#This Row],[precio del paquete]]-Tabla1[[#This Row],[Saldo_Deudor]]</f>
        <v>6500</v>
      </c>
      <c r="AY259">
        <v>8300</v>
      </c>
      <c r="AZ259">
        <v>0</v>
      </c>
      <c r="BA259">
        <v>0</v>
      </c>
      <c r="BB259">
        <v>0</v>
      </c>
      <c r="BC259" t="s">
        <v>2897</v>
      </c>
      <c r="BD259" t="s">
        <v>3074</v>
      </c>
      <c r="BE259" t="s">
        <v>3</v>
      </c>
      <c r="BF259" t="s">
        <v>3</v>
      </c>
      <c r="BG259" t="s">
        <v>3</v>
      </c>
      <c r="BH259" t="s">
        <v>3</v>
      </c>
      <c r="BI259" t="s">
        <v>3</v>
      </c>
      <c r="BJ259" t="s">
        <v>5000</v>
      </c>
      <c r="BK259" t="s">
        <v>3</v>
      </c>
      <c r="BL259" t="s">
        <v>96</v>
      </c>
      <c r="BM259" t="s">
        <v>1</v>
      </c>
      <c r="BN259">
        <v>14800</v>
      </c>
      <c r="BO259" t="s">
        <v>1</v>
      </c>
      <c r="BP259" t="s">
        <v>1</v>
      </c>
      <c r="BQ259" t="s">
        <v>1</v>
      </c>
      <c r="BR259" t="s">
        <v>1</v>
      </c>
      <c r="BS259" t="s">
        <v>1</v>
      </c>
      <c r="BT259" t="s">
        <v>1</v>
      </c>
      <c r="BU259" t="s">
        <v>1</v>
      </c>
      <c r="BV259" t="s">
        <v>1</v>
      </c>
      <c r="BW259" t="s">
        <v>0</v>
      </c>
      <c r="BX259" t="s">
        <v>1</v>
      </c>
      <c r="BY259" t="s">
        <v>1</v>
      </c>
      <c r="BZ259" t="s">
        <v>1</v>
      </c>
      <c r="CA259" t="s">
        <v>1</v>
      </c>
      <c r="CB259" t="s">
        <v>1</v>
      </c>
      <c r="CD259" t="e" cm="1">
        <f t="array" aca="1" ref="CD259" ca="1">eConcatenar(A259:CB259,"|")</f>
        <v>#NAME?</v>
      </c>
    </row>
    <row r="260" spans="1:82" x14ac:dyDescent="0.25">
      <c r="A260" t="s">
        <v>355</v>
      </c>
      <c r="B260" t="s">
        <v>1365</v>
      </c>
      <c r="C260">
        <v>3</v>
      </c>
      <c r="D260" t="s">
        <v>2153</v>
      </c>
      <c r="E260" t="s">
        <v>2158</v>
      </c>
      <c r="F260" t="s">
        <v>2162</v>
      </c>
      <c r="G260" t="s">
        <v>2321</v>
      </c>
      <c r="H260" t="s">
        <v>2858</v>
      </c>
      <c r="I260">
        <v>14800</v>
      </c>
      <c r="J260">
        <v>0</v>
      </c>
      <c r="K260">
        <v>400</v>
      </c>
      <c r="L260">
        <v>50</v>
      </c>
      <c r="M260">
        <v>2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 t="s">
        <v>3150</v>
      </c>
      <c r="AC260" t="s">
        <v>3148</v>
      </c>
      <c r="AD260" t="s">
        <v>3500</v>
      </c>
      <c r="AE260" t="s">
        <v>4</v>
      </c>
      <c r="AF260" t="s">
        <v>1</v>
      </c>
      <c r="AG260" t="s">
        <v>1</v>
      </c>
      <c r="AH260" t="s">
        <v>4290</v>
      </c>
      <c r="AI260" t="s">
        <v>2321</v>
      </c>
      <c r="AJ260" t="s">
        <v>1</v>
      </c>
      <c r="AK260">
        <v>9331210203</v>
      </c>
      <c r="AL260" t="s">
        <v>1</v>
      </c>
      <c r="AM260" t="s">
        <v>1</v>
      </c>
      <c r="AN260" t="s">
        <v>1</v>
      </c>
      <c r="AO260" t="s">
        <v>4290</v>
      </c>
      <c r="AP260" t="s">
        <v>1</v>
      </c>
      <c r="AQ260" t="s">
        <v>2</v>
      </c>
      <c r="AR260" t="s">
        <v>1</v>
      </c>
      <c r="AS260" t="s">
        <v>1</v>
      </c>
      <c r="AT260" t="s">
        <v>1</v>
      </c>
      <c r="AU260" t="s">
        <v>1</v>
      </c>
      <c r="AV260" t="s">
        <v>1</v>
      </c>
      <c r="AW260" t="s">
        <v>9</v>
      </c>
      <c r="AX260">
        <f>Tabla1[[#This Row],[precio del paquete]]-Tabla1[[#This Row],[Saldo_Deudor]]</f>
        <v>6500</v>
      </c>
      <c r="AY260">
        <v>8300</v>
      </c>
      <c r="AZ260">
        <v>0</v>
      </c>
      <c r="BA260">
        <v>0</v>
      </c>
      <c r="BB260">
        <v>0</v>
      </c>
      <c r="BC260" t="s">
        <v>2923</v>
      </c>
      <c r="BD260" t="s">
        <v>4910</v>
      </c>
      <c r="BE260" t="s">
        <v>3</v>
      </c>
      <c r="BF260" t="s">
        <v>3</v>
      </c>
      <c r="BG260" t="s">
        <v>3</v>
      </c>
      <c r="BH260" t="s">
        <v>3</v>
      </c>
      <c r="BI260" t="s">
        <v>3</v>
      </c>
      <c r="BJ260" t="s">
        <v>4998</v>
      </c>
      <c r="BK260" t="s">
        <v>3</v>
      </c>
      <c r="BL260" t="s">
        <v>96</v>
      </c>
      <c r="BM260" t="s">
        <v>1</v>
      </c>
      <c r="BN260">
        <v>14800</v>
      </c>
      <c r="BO260" t="s">
        <v>1</v>
      </c>
      <c r="BP260" t="s">
        <v>1</v>
      </c>
      <c r="BQ260" t="s">
        <v>1</v>
      </c>
      <c r="BR260" t="s">
        <v>1</v>
      </c>
      <c r="BS260" t="s">
        <v>1</v>
      </c>
      <c r="BT260" t="s">
        <v>1</v>
      </c>
      <c r="BU260" t="s">
        <v>1</v>
      </c>
      <c r="BV260" t="s">
        <v>1</v>
      </c>
      <c r="BW260" t="s">
        <v>0</v>
      </c>
      <c r="BX260" t="s">
        <v>1</v>
      </c>
      <c r="BY260" t="s">
        <v>1</v>
      </c>
      <c r="BZ260" t="s">
        <v>1</v>
      </c>
      <c r="CA260" t="s">
        <v>1</v>
      </c>
      <c r="CB260" t="s">
        <v>1</v>
      </c>
      <c r="CD260" t="e" cm="1">
        <f t="array" aca="1" ref="CD260" ca="1">eConcatenar(A260:CB260,"|")</f>
        <v>#NAME?</v>
      </c>
    </row>
    <row r="261" spans="1:82" x14ac:dyDescent="0.25">
      <c r="A261" t="s">
        <v>356</v>
      </c>
      <c r="B261" t="s">
        <v>1366</v>
      </c>
      <c r="C261">
        <v>3</v>
      </c>
      <c r="D261" t="s">
        <v>2153</v>
      </c>
      <c r="E261" t="s">
        <v>2158</v>
      </c>
      <c r="F261" t="s">
        <v>2162</v>
      </c>
      <c r="G261" t="s">
        <v>2321</v>
      </c>
      <c r="H261" t="s">
        <v>2749</v>
      </c>
      <c r="I261">
        <v>14800</v>
      </c>
      <c r="J261">
        <v>0</v>
      </c>
      <c r="K261">
        <v>300</v>
      </c>
      <c r="L261">
        <v>50</v>
      </c>
      <c r="M261">
        <v>2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 t="s">
        <v>3177</v>
      </c>
      <c r="AC261" t="s">
        <v>3214</v>
      </c>
      <c r="AD261" t="s">
        <v>3501</v>
      </c>
      <c r="AE261" t="s">
        <v>4</v>
      </c>
      <c r="AF261" t="s">
        <v>1</v>
      </c>
      <c r="AG261" t="s">
        <v>1</v>
      </c>
      <c r="AH261" t="s">
        <v>4291</v>
      </c>
      <c r="AI261" t="s">
        <v>2321</v>
      </c>
      <c r="AJ261" t="s">
        <v>1</v>
      </c>
      <c r="AK261">
        <v>9331014156</v>
      </c>
      <c r="AL261" t="s">
        <v>1</v>
      </c>
      <c r="AM261" t="s">
        <v>1</v>
      </c>
      <c r="AN261" t="s">
        <v>1</v>
      </c>
      <c r="AO261" t="s">
        <v>4291</v>
      </c>
      <c r="AP261" t="s">
        <v>1</v>
      </c>
      <c r="AQ261" t="s">
        <v>2</v>
      </c>
      <c r="AR261" t="s">
        <v>1</v>
      </c>
      <c r="AS261" t="s">
        <v>1</v>
      </c>
      <c r="AT261" t="s">
        <v>1</v>
      </c>
      <c r="AU261" t="s">
        <v>1</v>
      </c>
      <c r="AV261" t="s">
        <v>1</v>
      </c>
      <c r="AW261" t="s">
        <v>9</v>
      </c>
      <c r="AX261">
        <f>Tabla1[[#This Row],[precio del paquete]]-Tabla1[[#This Row],[Saldo_Deudor]]</f>
        <v>2700</v>
      </c>
      <c r="AY261">
        <v>12100</v>
      </c>
      <c r="AZ261">
        <v>0</v>
      </c>
      <c r="BA261">
        <v>0</v>
      </c>
      <c r="BB261">
        <v>0</v>
      </c>
      <c r="BC261" t="s">
        <v>2923</v>
      </c>
      <c r="BD261" t="s">
        <v>4910</v>
      </c>
      <c r="BE261" t="s">
        <v>3</v>
      </c>
      <c r="BF261" t="s">
        <v>3</v>
      </c>
      <c r="BG261" t="s">
        <v>3</v>
      </c>
      <c r="BH261" t="s">
        <v>3</v>
      </c>
      <c r="BI261" t="s">
        <v>3</v>
      </c>
      <c r="BJ261" t="s">
        <v>4998</v>
      </c>
      <c r="BK261" t="s">
        <v>3</v>
      </c>
      <c r="BL261" t="s">
        <v>96</v>
      </c>
      <c r="BM261" t="s">
        <v>1</v>
      </c>
      <c r="BN261">
        <v>14800</v>
      </c>
      <c r="BO261" t="s">
        <v>1</v>
      </c>
      <c r="BP261" t="s">
        <v>1</v>
      </c>
      <c r="BQ261" t="s">
        <v>1</v>
      </c>
      <c r="BR261" t="s">
        <v>1</v>
      </c>
      <c r="BS261" t="s">
        <v>1</v>
      </c>
      <c r="BT261" t="s">
        <v>1</v>
      </c>
      <c r="BU261" t="s">
        <v>1</v>
      </c>
      <c r="BV261" t="s">
        <v>1</v>
      </c>
      <c r="BW261" t="s">
        <v>0</v>
      </c>
      <c r="BX261" t="s">
        <v>1</v>
      </c>
      <c r="BY261" t="s">
        <v>1</v>
      </c>
      <c r="BZ261" t="s">
        <v>1</v>
      </c>
      <c r="CA261" t="s">
        <v>1</v>
      </c>
      <c r="CB261" t="s">
        <v>1</v>
      </c>
      <c r="CD261" t="e" cm="1">
        <f t="array" aca="1" ref="CD261" ca="1">eConcatenar(A261:CB261,"|")</f>
        <v>#NAME?</v>
      </c>
    </row>
    <row r="262" spans="1:82" x14ac:dyDescent="0.25">
      <c r="A262" t="s">
        <v>357</v>
      </c>
      <c r="B262" t="s">
        <v>1367</v>
      </c>
      <c r="C262">
        <v>3</v>
      </c>
      <c r="D262" t="s">
        <v>2153</v>
      </c>
      <c r="E262" t="s">
        <v>2158</v>
      </c>
      <c r="F262" t="s">
        <v>2162</v>
      </c>
      <c r="G262" t="s">
        <v>2321</v>
      </c>
      <c r="H262" t="s">
        <v>2746</v>
      </c>
      <c r="I262">
        <v>14800</v>
      </c>
      <c r="J262">
        <v>0</v>
      </c>
      <c r="K262">
        <v>200</v>
      </c>
      <c r="L262">
        <v>50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 t="s">
        <v>3115</v>
      </c>
      <c r="AC262" t="s">
        <v>3322</v>
      </c>
      <c r="AD262" t="s">
        <v>3258</v>
      </c>
      <c r="AE262" t="s">
        <v>4</v>
      </c>
      <c r="AF262" t="s">
        <v>1</v>
      </c>
      <c r="AG262" t="s">
        <v>1</v>
      </c>
      <c r="AH262" t="s">
        <v>4292</v>
      </c>
      <c r="AI262" t="s">
        <v>2321</v>
      </c>
      <c r="AJ262" t="s">
        <v>1</v>
      </c>
      <c r="AK262">
        <v>9331300059</v>
      </c>
      <c r="AL262" t="s">
        <v>1</v>
      </c>
      <c r="AM262" t="s">
        <v>1</v>
      </c>
      <c r="AN262" t="s">
        <v>1</v>
      </c>
      <c r="AO262" t="s">
        <v>4292</v>
      </c>
      <c r="AP262" t="s">
        <v>1</v>
      </c>
      <c r="AQ262" t="s">
        <v>2</v>
      </c>
      <c r="AR262" t="s">
        <v>1</v>
      </c>
      <c r="AS262" t="s">
        <v>1</v>
      </c>
      <c r="AT262" t="s">
        <v>1</v>
      </c>
      <c r="AU262" t="s">
        <v>1</v>
      </c>
      <c r="AV262" t="s">
        <v>1</v>
      </c>
      <c r="AW262" t="s">
        <v>9</v>
      </c>
      <c r="AX262">
        <f>Tabla1[[#This Row],[precio del paquete]]-Tabla1[[#This Row],[Saldo_Deudor]]</f>
        <v>800</v>
      </c>
      <c r="AY262">
        <v>14000</v>
      </c>
      <c r="AZ262">
        <v>0</v>
      </c>
      <c r="BA262">
        <v>0</v>
      </c>
      <c r="BB262">
        <v>0</v>
      </c>
      <c r="BC262" t="s">
        <v>4846</v>
      </c>
      <c r="BD262" t="s">
        <v>4894</v>
      </c>
      <c r="BE262" t="s">
        <v>3</v>
      </c>
      <c r="BF262" t="s">
        <v>3</v>
      </c>
      <c r="BG262" t="s">
        <v>3</v>
      </c>
      <c r="BH262" t="s">
        <v>3</v>
      </c>
      <c r="BI262" t="s">
        <v>3</v>
      </c>
      <c r="BJ262" t="s">
        <v>4998</v>
      </c>
      <c r="BK262" t="s">
        <v>3</v>
      </c>
      <c r="BL262" t="s">
        <v>96</v>
      </c>
      <c r="BM262" t="s">
        <v>1</v>
      </c>
      <c r="BN262">
        <v>14800</v>
      </c>
      <c r="BO262" t="s">
        <v>1</v>
      </c>
      <c r="BP262" t="s">
        <v>1</v>
      </c>
      <c r="BQ262" t="s">
        <v>1</v>
      </c>
      <c r="BR262" t="s">
        <v>1</v>
      </c>
      <c r="BS262" t="s">
        <v>1</v>
      </c>
      <c r="BT262" t="s">
        <v>1</v>
      </c>
      <c r="BU262" t="s">
        <v>1</v>
      </c>
      <c r="BV262" t="s">
        <v>1</v>
      </c>
      <c r="BW262" t="s">
        <v>0</v>
      </c>
      <c r="BX262" t="s">
        <v>1</v>
      </c>
      <c r="BY262" t="s">
        <v>1</v>
      </c>
      <c r="BZ262" t="s">
        <v>1</v>
      </c>
      <c r="CA262" t="s">
        <v>1</v>
      </c>
      <c r="CB262" t="s">
        <v>1</v>
      </c>
      <c r="CD262" t="e" cm="1">
        <f t="array" aca="1" ref="CD262" ca="1">eConcatenar(A262:CB262,"|")</f>
        <v>#NAME?</v>
      </c>
    </row>
    <row r="263" spans="1:82" x14ac:dyDescent="0.25">
      <c r="A263" t="s">
        <v>358</v>
      </c>
      <c r="B263" t="s">
        <v>1368</v>
      </c>
      <c r="C263">
        <v>3</v>
      </c>
      <c r="D263" t="s">
        <v>2153</v>
      </c>
      <c r="E263" t="s">
        <v>2158</v>
      </c>
      <c r="F263" t="s">
        <v>0</v>
      </c>
      <c r="G263" t="s">
        <v>2322</v>
      </c>
      <c r="H263" t="s">
        <v>2760</v>
      </c>
      <c r="I263">
        <v>14800</v>
      </c>
      <c r="J263">
        <v>0</v>
      </c>
      <c r="K263">
        <v>500</v>
      </c>
      <c r="L263">
        <v>50</v>
      </c>
      <c r="M263">
        <v>2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 t="s">
        <v>3290</v>
      </c>
      <c r="AC263" t="s">
        <v>3132</v>
      </c>
      <c r="AD263" t="s">
        <v>3426</v>
      </c>
      <c r="AE263" t="s">
        <v>4</v>
      </c>
      <c r="AF263" t="s">
        <v>1</v>
      </c>
      <c r="AG263" t="s">
        <v>1</v>
      </c>
      <c r="AH263" t="s">
        <v>4293</v>
      </c>
      <c r="AI263" t="s">
        <v>2322</v>
      </c>
      <c r="AJ263" t="s">
        <v>1</v>
      </c>
      <c r="AK263">
        <v>9935906858</v>
      </c>
      <c r="AL263" t="s">
        <v>1</v>
      </c>
      <c r="AM263" t="s">
        <v>1</v>
      </c>
      <c r="AN263" t="s">
        <v>1</v>
      </c>
      <c r="AO263" t="s">
        <v>4293</v>
      </c>
      <c r="AP263" t="s">
        <v>1</v>
      </c>
      <c r="AQ263" t="s">
        <v>2</v>
      </c>
      <c r="AR263" t="s">
        <v>1</v>
      </c>
      <c r="AS263" t="s">
        <v>1</v>
      </c>
      <c r="AT263" t="s">
        <v>1</v>
      </c>
      <c r="AU263" t="s">
        <v>1</v>
      </c>
      <c r="AV263" t="s">
        <v>1</v>
      </c>
      <c r="AW263" t="s">
        <v>9</v>
      </c>
      <c r="AX263">
        <f>Tabla1[[#This Row],[precio del paquete]]-Tabla1[[#This Row],[Saldo_Deudor]]</f>
        <v>3000</v>
      </c>
      <c r="AY263">
        <v>11800</v>
      </c>
      <c r="AZ263">
        <v>0</v>
      </c>
      <c r="BA263">
        <v>0</v>
      </c>
      <c r="BB263">
        <v>0</v>
      </c>
      <c r="BC263" t="s">
        <v>2982</v>
      </c>
      <c r="BD263" t="s">
        <v>4872</v>
      </c>
      <c r="BE263" t="s">
        <v>3</v>
      </c>
      <c r="BF263" t="s">
        <v>3</v>
      </c>
      <c r="BG263" t="s">
        <v>3</v>
      </c>
      <c r="BH263" t="s">
        <v>3</v>
      </c>
      <c r="BI263" t="s">
        <v>3</v>
      </c>
      <c r="BJ263" t="s">
        <v>4990</v>
      </c>
      <c r="BK263" t="s">
        <v>3</v>
      </c>
      <c r="BL263" t="s">
        <v>96</v>
      </c>
      <c r="BM263" t="s">
        <v>1</v>
      </c>
      <c r="BN263">
        <v>14800</v>
      </c>
      <c r="BO263" t="s">
        <v>1</v>
      </c>
      <c r="BP263" t="s">
        <v>1</v>
      </c>
      <c r="BQ263" t="s">
        <v>1</v>
      </c>
      <c r="BR263" t="s">
        <v>1</v>
      </c>
      <c r="BS263" t="s">
        <v>1</v>
      </c>
      <c r="BT263" t="s">
        <v>1</v>
      </c>
      <c r="BU263" t="s">
        <v>1</v>
      </c>
      <c r="BV263" t="s">
        <v>1</v>
      </c>
      <c r="BW263" t="s">
        <v>0</v>
      </c>
      <c r="BX263" t="s">
        <v>1</v>
      </c>
      <c r="BY263" t="s">
        <v>1</v>
      </c>
      <c r="BZ263" t="s">
        <v>1</v>
      </c>
      <c r="CA263" t="s">
        <v>1</v>
      </c>
      <c r="CB263" t="s">
        <v>1</v>
      </c>
      <c r="CD263" t="e" cm="1">
        <f t="array" aca="1" ref="CD263" ca="1">eConcatenar(A263:CB263,"|")</f>
        <v>#NAME?</v>
      </c>
    </row>
    <row r="264" spans="1:82" x14ac:dyDescent="0.25">
      <c r="A264" t="s">
        <v>359</v>
      </c>
      <c r="B264" t="s">
        <v>1369</v>
      </c>
      <c r="C264">
        <v>3</v>
      </c>
      <c r="D264" t="s">
        <v>2153</v>
      </c>
      <c r="E264" t="s">
        <v>2158</v>
      </c>
      <c r="F264" t="s">
        <v>0</v>
      </c>
      <c r="G264" t="s">
        <v>2322</v>
      </c>
      <c r="H264" t="s">
        <v>2700</v>
      </c>
      <c r="I264">
        <v>14800</v>
      </c>
      <c r="J264">
        <v>0</v>
      </c>
      <c r="K264">
        <v>50</v>
      </c>
      <c r="L264">
        <v>50</v>
      </c>
      <c r="M264">
        <v>2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 t="s">
        <v>3119</v>
      </c>
      <c r="AC264" t="s">
        <v>3117</v>
      </c>
      <c r="AD264" t="s">
        <v>3502</v>
      </c>
      <c r="AE264" t="s">
        <v>4</v>
      </c>
      <c r="AF264" t="s">
        <v>1</v>
      </c>
      <c r="AG264" t="s">
        <v>1</v>
      </c>
      <c r="AH264" t="s">
        <v>4294</v>
      </c>
      <c r="AI264" t="s">
        <v>2322</v>
      </c>
      <c r="AJ264" t="s">
        <v>1</v>
      </c>
      <c r="AK264">
        <v>9373779806</v>
      </c>
      <c r="AL264" t="s">
        <v>1</v>
      </c>
      <c r="AM264" t="s">
        <v>1</v>
      </c>
      <c r="AN264" t="s">
        <v>1</v>
      </c>
      <c r="AO264" t="s">
        <v>4294</v>
      </c>
      <c r="AP264" t="s">
        <v>1</v>
      </c>
      <c r="AQ264" t="s">
        <v>2</v>
      </c>
      <c r="AR264" t="s">
        <v>1</v>
      </c>
      <c r="AS264" t="s">
        <v>1</v>
      </c>
      <c r="AT264" t="s">
        <v>1</v>
      </c>
      <c r="AU264" t="s">
        <v>1</v>
      </c>
      <c r="AV264" t="s">
        <v>1</v>
      </c>
      <c r="AW264" t="s">
        <v>9</v>
      </c>
      <c r="AX264">
        <f>Tabla1[[#This Row],[precio del paquete]]-Tabla1[[#This Row],[Saldo_Deudor]]</f>
        <v>450</v>
      </c>
      <c r="AY264">
        <v>14350</v>
      </c>
      <c r="AZ264">
        <v>0</v>
      </c>
      <c r="BA264">
        <v>0</v>
      </c>
      <c r="BB264">
        <v>0</v>
      </c>
      <c r="BC264" t="s">
        <v>2929</v>
      </c>
      <c r="BD264" t="s">
        <v>2810</v>
      </c>
      <c r="BE264" t="s">
        <v>3</v>
      </c>
      <c r="BF264" t="s">
        <v>3</v>
      </c>
      <c r="BG264" t="s">
        <v>3</v>
      </c>
      <c r="BH264" t="s">
        <v>3</v>
      </c>
      <c r="BI264" t="s">
        <v>3</v>
      </c>
      <c r="BJ264" t="s">
        <v>4982</v>
      </c>
      <c r="BK264" t="s">
        <v>3</v>
      </c>
      <c r="BL264" t="s">
        <v>96</v>
      </c>
      <c r="BM264" t="s">
        <v>1</v>
      </c>
      <c r="BN264">
        <v>14800</v>
      </c>
      <c r="BO264" t="s">
        <v>1</v>
      </c>
      <c r="BP264" t="s">
        <v>1</v>
      </c>
      <c r="BQ264" t="s">
        <v>1</v>
      </c>
      <c r="BR264" t="s">
        <v>1</v>
      </c>
      <c r="BS264" t="s">
        <v>1</v>
      </c>
      <c r="BT264" t="s">
        <v>1</v>
      </c>
      <c r="BU264" t="s">
        <v>1</v>
      </c>
      <c r="BV264" t="s">
        <v>1</v>
      </c>
      <c r="BW264" t="s">
        <v>0</v>
      </c>
      <c r="BX264" t="s">
        <v>1</v>
      </c>
      <c r="BY264" t="s">
        <v>1</v>
      </c>
      <c r="BZ264" t="s">
        <v>1</v>
      </c>
      <c r="CA264" t="s">
        <v>1</v>
      </c>
      <c r="CB264" t="s">
        <v>1</v>
      </c>
      <c r="CD264" t="e" cm="1">
        <f t="array" aca="1" ref="CD264" ca="1">eConcatenar(A264:CB264,"|")</f>
        <v>#NAME?</v>
      </c>
    </row>
    <row r="265" spans="1:82" x14ac:dyDescent="0.25">
      <c r="A265" t="s">
        <v>360</v>
      </c>
      <c r="B265" t="s">
        <v>1370</v>
      </c>
      <c r="C265">
        <v>3</v>
      </c>
      <c r="D265" t="s">
        <v>2153</v>
      </c>
      <c r="E265" t="s">
        <v>2158</v>
      </c>
      <c r="F265" t="s">
        <v>0</v>
      </c>
      <c r="G265" t="s">
        <v>2322</v>
      </c>
      <c r="H265" t="s">
        <v>2708</v>
      </c>
      <c r="I265">
        <v>14800</v>
      </c>
      <c r="J265">
        <v>0</v>
      </c>
      <c r="K265">
        <v>100</v>
      </c>
      <c r="L265">
        <v>50</v>
      </c>
      <c r="M265">
        <v>1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 t="s">
        <v>3117</v>
      </c>
      <c r="AC265" t="s">
        <v>3135</v>
      </c>
      <c r="AD265" t="s">
        <v>3333</v>
      </c>
      <c r="AE265" t="s">
        <v>4</v>
      </c>
      <c r="AF265" t="s">
        <v>1</v>
      </c>
      <c r="AG265" t="s">
        <v>1</v>
      </c>
      <c r="AH265" t="s">
        <v>4295</v>
      </c>
      <c r="AI265" t="s">
        <v>2322</v>
      </c>
      <c r="AJ265" t="s">
        <v>1</v>
      </c>
      <c r="AK265">
        <v>9141099693</v>
      </c>
      <c r="AL265" t="s">
        <v>1</v>
      </c>
      <c r="AM265" t="s">
        <v>1</v>
      </c>
      <c r="AN265" t="s">
        <v>1</v>
      </c>
      <c r="AO265" t="s">
        <v>4295</v>
      </c>
      <c r="AP265" t="s">
        <v>1</v>
      </c>
      <c r="AQ265" t="s">
        <v>2</v>
      </c>
      <c r="AR265" t="s">
        <v>1</v>
      </c>
      <c r="AS265" t="s">
        <v>1</v>
      </c>
      <c r="AT265" t="s">
        <v>1</v>
      </c>
      <c r="AU265" t="s">
        <v>1</v>
      </c>
      <c r="AV265" t="s">
        <v>1</v>
      </c>
      <c r="AW265" t="s">
        <v>9</v>
      </c>
      <c r="AX265">
        <f>Tabla1[[#This Row],[precio del paquete]]-Tabla1[[#This Row],[Saldo_Deudor]]</f>
        <v>500</v>
      </c>
      <c r="AY265">
        <v>14300</v>
      </c>
      <c r="AZ265">
        <v>0</v>
      </c>
      <c r="BA265">
        <v>0</v>
      </c>
      <c r="BB265">
        <v>0</v>
      </c>
      <c r="BC265" t="s">
        <v>3072</v>
      </c>
      <c r="BD265" t="s">
        <v>4875</v>
      </c>
      <c r="BE265" t="s">
        <v>3</v>
      </c>
      <c r="BF265" t="s">
        <v>3</v>
      </c>
      <c r="BG265" t="s">
        <v>3</v>
      </c>
      <c r="BH265" t="s">
        <v>3</v>
      </c>
      <c r="BI265" t="s">
        <v>3</v>
      </c>
      <c r="BJ265" t="s">
        <v>4988</v>
      </c>
      <c r="BK265" t="s">
        <v>3</v>
      </c>
      <c r="BL265" t="s">
        <v>96</v>
      </c>
      <c r="BM265" t="s">
        <v>1</v>
      </c>
      <c r="BN265">
        <v>14800</v>
      </c>
      <c r="BO265" t="s">
        <v>1</v>
      </c>
      <c r="BP265" t="s">
        <v>1</v>
      </c>
      <c r="BQ265" t="s">
        <v>1</v>
      </c>
      <c r="BR265" t="s">
        <v>1</v>
      </c>
      <c r="BS265" t="s">
        <v>1</v>
      </c>
      <c r="BT265" t="s">
        <v>1</v>
      </c>
      <c r="BU265" t="s">
        <v>1</v>
      </c>
      <c r="BV265" t="s">
        <v>1</v>
      </c>
      <c r="BW265" t="s">
        <v>0</v>
      </c>
      <c r="BX265" t="s">
        <v>1</v>
      </c>
      <c r="BY265" t="s">
        <v>1</v>
      </c>
      <c r="BZ265" t="s">
        <v>1</v>
      </c>
      <c r="CA265" t="s">
        <v>1</v>
      </c>
      <c r="CB265" t="s">
        <v>1</v>
      </c>
      <c r="CD265" t="e" cm="1">
        <f t="array" aca="1" ref="CD265" ca="1">eConcatenar(A265:CB265,"|")</f>
        <v>#NAME?</v>
      </c>
    </row>
    <row r="266" spans="1:82" x14ac:dyDescent="0.25">
      <c r="A266" t="s">
        <v>361</v>
      </c>
      <c r="B266" t="s">
        <v>1371</v>
      </c>
      <c r="C266">
        <v>3</v>
      </c>
      <c r="D266" t="s">
        <v>2153</v>
      </c>
      <c r="E266" t="s">
        <v>2158</v>
      </c>
      <c r="F266" t="s">
        <v>0</v>
      </c>
      <c r="G266" t="s">
        <v>2322</v>
      </c>
      <c r="H266" t="s">
        <v>2767</v>
      </c>
      <c r="I266">
        <v>14800</v>
      </c>
      <c r="J266">
        <v>0</v>
      </c>
      <c r="K266">
        <v>200</v>
      </c>
      <c r="L266">
        <v>50</v>
      </c>
      <c r="M266">
        <v>1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 t="s">
        <v>6</v>
      </c>
      <c r="AC266" t="s">
        <v>3295</v>
      </c>
      <c r="AD266" t="s">
        <v>3497</v>
      </c>
      <c r="AE266" t="s">
        <v>4</v>
      </c>
      <c r="AF266" t="s">
        <v>1</v>
      </c>
      <c r="AG266" t="s">
        <v>1</v>
      </c>
      <c r="AH266" t="s">
        <v>4296</v>
      </c>
      <c r="AI266" t="s">
        <v>2322</v>
      </c>
      <c r="AJ266" t="s">
        <v>1</v>
      </c>
      <c r="AK266">
        <v>9331525318</v>
      </c>
      <c r="AL266" t="s">
        <v>1</v>
      </c>
      <c r="AM266" t="s">
        <v>1</v>
      </c>
      <c r="AN266" t="s">
        <v>1</v>
      </c>
      <c r="AO266" t="s">
        <v>4296</v>
      </c>
      <c r="AP266" t="s">
        <v>1</v>
      </c>
      <c r="AQ266" t="s">
        <v>2</v>
      </c>
      <c r="AR266" t="s">
        <v>1</v>
      </c>
      <c r="AS266" t="s">
        <v>1</v>
      </c>
      <c r="AT266" t="s">
        <v>1</v>
      </c>
      <c r="AU266" t="s">
        <v>1</v>
      </c>
      <c r="AV266" t="s">
        <v>1</v>
      </c>
      <c r="AW266" t="s">
        <v>9</v>
      </c>
      <c r="AX266">
        <f>Tabla1[[#This Row],[precio del paquete]]-Tabla1[[#This Row],[Saldo_Deudor]]</f>
        <v>800</v>
      </c>
      <c r="AY266">
        <v>14000</v>
      </c>
      <c r="AZ266">
        <v>0</v>
      </c>
      <c r="BA266">
        <v>0</v>
      </c>
      <c r="BB266">
        <v>0</v>
      </c>
      <c r="BC266" t="s">
        <v>3072</v>
      </c>
      <c r="BD266" t="s">
        <v>4875</v>
      </c>
      <c r="BE266" t="s">
        <v>3</v>
      </c>
      <c r="BF266" t="s">
        <v>3</v>
      </c>
      <c r="BG266" t="s">
        <v>3</v>
      </c>
      <c r="BH266" t="s">
        <v>3</v>
      </c>
      <c r="BI266" t="s">
        <v>3</v>
      </c>
      <c r="BJ266" t="s">
        <v>4983</v>
      </c>
      <c r="BK266" t="s">
        <v>3</v>
      </c>
      <c r="BL266" t="s">
        <v>96</v>
      </c>
      <c r="BM266" t="s">
        <v>1</v>
      </c>
      <c r="BN266">
        <v>14800</v>
      </c>
      <c r="BO266" t="s">
        <v>1</v>
      </c>
      <c r="BP266" t="s">
        <v>1</v>
      </c>
      <c r="BQ266" t="s">
        <v>1</v>
      </c>
      <c r="BR266" t="s">
        <v>1</v>
      </c>
      <c r="BS266" t="s">
        <v>1</v>
      </c>
      <c r="BT266" t="s">
        <v>1</v>
      </c>
      <c r="BU266" t="s">
        <v>1</v>
      </c>
      <c r="BV266" t="s">
        <v>1</v>
      </c>
      <c r="BW266" t="s">
        <v>0</v>
      </c>
      <c r="BX266" t="s">
        <v>1</v>
      </c>
      <c r="BY266" t="s">
        <v>1</v>
      </c>
      <c r="BZ266" t="s">
        <v>1</v>
      </c>
      <c r="CA266" t="s">
        <v>1</v>
      </c>
      <c r="CB266" t="s">
        <v>1</v>
      </c>
      <c r="CD266" t="e" cm="1">
        <f t="array" aca="1" ref="CD266" ca="1">eConcatenar(A266:CB266,"|")</f>
        <v>#NAME?</v>
      </c>
    </row>
    <row r="267" spans="1:82" x14ac:dyDescent="0.25">
      <c r="A267" t="s">
        <v>362</v>
      </c>
      <c r="B267" t="s">
        <v>1372</v>
      </c>
      <c r="C267">
        <v>3</v>
      </c>
      <c r="D267" t="s">
        <v>2153</v>
      </c>
      <c r="E267" t="s">
        <v>2158</v>
      </c>
      <c r="F267" t="s">
        <v>0</v>
      </c>
      <c r="G267" t="s">
        <v>2323</v>
      </c>
      <c r="H267" t="s">
        <v>2760</v>
      </c>
      <c r="I267">
        <v>14800</v>
      </c>
      <c r="J267">
        <v>0</v>
      </c>
      <c r="K267">
        <v>400</v>
      </c>
      <c r="L267">
        <v>50</v>
      </c>
      <c r="M267">
        <v>2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 t="s">
        <v>3177</v>
      </c>
      <c r="AD267" t="s">
        <v>3190</v>
      </c>
      <c r="AE267" t="s">
        <v>4</v>
      </c>
      <c r="AF267" t="s">
        <v>1</v>
      </c>
      <c r="AG267" t="s">
        <v>1</v>
      </c>
      <c r="AH267" t="s">
        <v>2323</v>
      </c>
      <c r="AI267" t="s">
        <v>2323</v>
      </c>
      <c r="AJ267" t="s">
        <v>1</v>
      </c>
      <c r="AK267">
        <v>9371197942</v>
      </c>
      <c r="AL267" t="s">
        <v>1</v>
      </c>
      <c r="AM267" t="s">
        <v>1</v>
      </c>
      <c r="AN267" t="s">
        <v>1</v>
      </c>
      <c r="AO267" t="s">
        <v>2323</v>
      </c>
      <c r="AP267" t="s">
        <v>1</v>
      </c>
      <c r="AQ267" t="s">
        <v>2</v>
      </c>
      <c r="AR267" t="s">
        <v>1</v>
      </c>
      <c r="AS267" t="s">
        <v>1</v>
      </c>
      <c r="AT267" t="s">
        <v>1</v>
      </c>
      <c r="AU267" t="s">
        <v>1</v>
      </c>
      <c r="AV267" t="s">
        <v>1</v>
      </c>
      <c r="AW267" t="s">
        <v>9</v>
      </c>
      <c r="AX267">
        <f>Tabla1[[#This Row],[precio del paquete]]-Tabla1[[#This Row],[Saldo_Deudor]]</f>
        <v>1500</v>
      </c>
      <c r="AY267">
        <v>13300</v>
      </c>
      <c r="AZ267">
        <v>0</v>
      </c>
      <c r="BA267">
        <v>0</v>
      </c>
      <c r="BB267">
        <v>0</v>
      </c>
      <c r="BC267" t="s">
        <v>2982</v>
      </c>
      <c r="BD267" t="s">
        <v>4872</v>
      </c>
      <c r="BE267" t="s">
        <v>3</v>
      </c>
      <c r="BF267" t="s">
        <v>3</v>
      </c>
      <c r="BG267" t="s">
        <v>3</v>
      </c>
      <c r="BH267" t="s">
        <v>3</v>
      </c>
      <c r="BI267" t="s">
        <v>3</v>
      </c>
      <c r="BJ267" t="s">
        <v>4983</v>
      </c>
      <c r="BK267" t="s">
        <v>3</v>
      </c>
      <c r="BL267" t="s">
        <v>96</v>
      </c>
      <c r="BM267" t="s">
        <v>1</v>
      </c>
      <c r="BN267">
        <v>14800</v>
      </c>
      <c r="BO267" t="s">
        <v>1</v>
      </c>
      <c r="BP267" t="s">
        <v>1</v>
      </c>
      <c r="BQ267" t="s">
        <v>1</v>
      </c>
      <c r="BR267" t="s">
        <v>1</v>
      </c>
      <c r="BS267" t="s">
        <v>1</v>
      </c>
      <c r="BT267" t="s">
        <v>1</v>
      </c>
      <c r="BU267" t="s">
        <v>1</v>
      </c>
      <c r="BV267" t="s">
        <v>1</v>
      </c>
      <c r="BW267" t="s">
        <v>0</v>
      </c>
      <c r="BX267" t="s">
        <v>1</v>
      </c>
      <c r="BY267" t="s">
        <v>1</v>
      </c>
      <c r="BZ267" t="s">
        <v>1</v>
      </c>
      <c r="CA267" t="s">
        <v>1</v>
      </c>
      <c r="CB267" t="s">
        <v>1</v>
      </c>
      <c r="CD267" t="e" cm="1">
        <f t="array" aca="1" ref="CD267" ca="1">eConcatenar(A267:CB267,"|")</f>
        <v>#NAME?</v>
      </c>
    </row>
    <row r="268" spans="1:82" x14ac:dyDescent="0.25">
      <c r="A268" t="s">
        <v>363</v>
      </c>
      <c r="B268" t="s">
        <v>1373</v>
      </c>
      <c r="C268">
        <v>3</v>
      </c>
      <c r="D268" t="s">
        <v>2153</v>
      </c>
      <c r="E268" t="s">
        <v>2158</v>
      </c>
      <c r="F268" t="s">
        <v>0</v>
      </c>
      <c r="G268" t="s">
        <v>2324</v>
      </c>
      <c r="H268" t="s">
        <v>2729</v>
      </c>
      <c r="I268">
        <v>14800</v>
      </c>
      <c r="J268">
        <v>0</v>
      </c>
      <c r="K268">
        <v>100</v>
      </c>
      <c r="L268">
        <v>50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 t="s">
        <v>3115</v>
      </c>
      <c r="AC268" t="s">
        <v>3119</v>
      </c>
      <c r="AD268" t="s">
        <v>3503</v>
      </c>
      <c r="AE268" t="s">
        <v>4</v>
      </c>
      <c r="AF268" t="s">
        <v>1</v>
      </c>
      <c r="AG268" t="s">
        <v>1</v>
      </c>
      <c r="AH268" t="s">
        <v>4297</v>
      </c>
      <c r="AI268" t="s">
        <v>2324</v>
      </c>
      <c r="AJ268" t="s">
        <v>1</v>
      </c>
      <c r="AK268">
        <v>9371676111</v>
      </c>
      <c r="AL268" t="s">
        <v>1</v>
      </c>
      <c r="AM268" t="s">
        <v>1</v>
      </c>
      <c r="AN268" t="s">
        <v>1</v>
      </c>
      <c r="AO268" t="s">
        <v>4297</v>
      </c>
      <c r="AP268" t="s">
        <v>1</v>
      </c>
      <c r="AQ268" t="s">
        <v>2</v>
      </c>
      <c r="AR268" t="s">
        <v>1</v>
      </c>
      <c r="AS268" t="s">
        <v>1</v>
      </c>
      <c r="AT268" t="s">
        <v>1</v>
      </c>
      <c r="AU268" t="s">
        <v>1</v>
      </c>
      <c r="AV268" t="s">
        <v>1</v>
      </c>
      <c r="AW268" t="s">
        <v>9</v>
      </c>
      <c r="AX268">
        <f>Tabla1[[#This Row],[precio del paquete]]-Tabla1[[#This Row],[Saldo_Deudor]]</f>
        <v>1100</v>
      </c>
      <c r="AY268">
        <v>13700</v>
      </c>
      <c r="AZ268">
        <v>0</v>
      </c>
      <c r="BA268">
        <v>0</v>
      </c>
      <c r="BB268">
        <v>0</v>
      </c>
      <c r="BC268" t="s">
        <v>2729</v>
      </c>
      <c r="BD268" t="s">
        <v>2781</v>
      </c>
      <c r="BE268" t="s">
        <v>3</v>
      </c>
      <c r="BF268" t="s">
        <v>3</v>
      </c>
      <c r="BG268" t="s">
        <v>3</v>
      </c>
      <c r="BH268" t="s">
        <v>3</v>
      </c>
      <c r="BI268" t="s">
        <v>3</v>
      </c>
      <c r="BJ268" t="s">
        <v>4982</v>
      </c>
      <c r="BK268" t="s">
        <v>3</v>
      </c>
      <c r="BL268" t="s">
        <v>96</v>
      </c>
      <c r="BM268" t="s">
        <v>1</v>
      </c>
      <c r="BN268">
        <v>14800</v>
      </c>
      <c r="BO268" t="s">
        <v>1</v>
      </c>
      <c r="BP268" t="s">
        <v>1</v>
      </c>
      <c r="BQ268" t="s">
        <v>1</v>
      </c>
      <c r="BR268" t="s">
        <v>1</v>
      </c>
      <c r="BS268" t="s">
        <v>1</v>
      </c>
      <c r="BT268" t="s">
        <v>1</v>
      </c>
      <c r="BU268" t="s">
        <v>1</v>
      </c>
      <c r="BV268" t="s">
        <v>1</v>
      </c>
      <c r="BW268" t="s">
        <v>0</v>
      </c>
      <c r="BX268" t="s">
        <v>1</v>
      </c>
      <c r="BY268" t="s">
        <v>1</v>
      </c>
      <c r="BZ268" t="s">
        <v>1</v>
      </c>
      <c r="CA268" t="s">
        <v>1</v>
      </c>
      <c r="CB268" t="s">
        <v>1</v>
      </c>
      <c r="CD268" t="e" cm="1">
        <f t="array" aca="1" ref="CD268" ca="1">eConcatenar(A268:CB268,"|")</f>
        <v>#NAME?</v>
      </c>
    </row>
    <row r="269" spans="1:82" x14ac:dyDescent="0.25">
      <c r="A269" t="s">
        <v>364</v>
      </c>
      <c r="B269" t="s">
        <v>1374</v>
      </c>
      <c r="C269">
        <v>3</v>
      </c>
      <c r="D269" t="s">
        <v>2153</v>
      </c>
      <c r="E269" t="s">
        <v>10</v>
      </c>
      <c r="F269" t="s">
        <v>2161</v>
      </c>
      <c r="G269" t="s">
        <v>2325</v>
      </c>
      <c r="H269" t="s">
        <v>2773</v>
      </c>
      <c r="I269">
        <v>14800</v>
      </c>
      <c r="J269">
        <v>0</v>
      </c>
      <c r="K269">
        <v>50</v>
      </c>
      <c r="L269">
        <v>50</v>
      </c>
      <c r="M269">
        <v>1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 t="s">
        <v>3241</v>
      </c>
      <c r="AC269" t="s">
        <v>3504</v>
      </c>
      <c r="AD269" t="s">
        <v>3505</v>
      </c>
      <c r="AE269" t="s">
        <v>4</v>
      </c>
      <c r="AF269" t="s">
        <v>1</v>
      </c>
      <c r="AG269" t="s">
        <v>1</v>
      </c>
      <c r="AH269" t="s">
        <v>4298</v>
      </c>
      <c r="AI269" t="s">
        <v>2325</v>
      </c>
      <c r="AJ269" t="s">
        <v>1</v>
      </c>
      <c r="AK269">
        <v>9331010069</v>
      </c>
      <c r="AL269" t="s">
        <v>1</v>
      </c>
      <c r="AM269" t="s">
        <v>1</v>
      </c>
      <c r="AN269" t="s">
        <v>1</v>
      </c>
      <c r="AO269" t="s">
        <v>4298</v>
      </c>
      <c r="AP269" t="s">
        <v>1</v>
      </c>
      <c r="AQ269" t="s">
        <v>2</v>
      </c>
      <c r="AR269" t="s">
        <v>1</v>
      </c>
      <c r="AS269" t="s">
        <v>1</v>
      </c>
      <c r="AT269" t="s">
        <v>1</v>
      </c>
      <c r="AU269" t="s">
        <v>1</v>
      </c>
      <c r="AV269" t="s">
        <v>1</v>
      </c>
      <c r="AW269" t="s">
        <v>9</v>
      </c>
      <c r="AX269">
        <f>Tabla1[[#This Row],[precio del paquete]]-Tabla1[[#This Row],[Saldo_Deudor]]</f>
        <v>50</v>
      </c>
      <c r="AY269">
        <v>14750</v>
      </c>
      <c r="AZ269">
        <v>0</v>
      </c>
      <c r="BA269">
        <v>0</v>
      </c>
      <c r="BB269">
        <v>0</v>
      </c>
      <c r="BC269" t="s">
        <v>2773</v>
      </c>
      <c r="BD269" t="s">
        <v>2978</v>
      </c>
      <c r="BE269" t="s">
        <v>3</v>
      </c>
      <c r="BF269" t="s">
        <v>3</v>
      </c>
      <c r="BG269" t="s">
        <v>3</v>
      </c>
      <c r="BH269" t="s">
        <v>3</v>
      </c>
      <c r="BI269" t="s">
        <v>3</v>
      </c>
      <c r="BJ269" t="s">
        <v>4994</v>
      </c>
      <c r="BK269" t="s">
        <v>3</v>
      </c>
      <c r="BL269" t="s">
        <v>96</v>
      </c>
      <c r="BM269" t="s">
        <v>1</v>
      </c>
      <c r="BN269">
        <v>14800</v>
      </c>
      <c r="BO269" t="s">
        <v>1</v>
      </c>
      <c r="BP269" t="s">
        <v>1</v>
      </c>
      <c r="BQ269" t="s">
        <v>1</v>
      </c>
      <c r="BR269" t="s">
        <v>1</v>
      </c>
      <c r="BS269" t="s">
        <v>1</v>
      </c>
      <c r="BT269" t="s">
        <v>1</v>
      </c>
      <c r="BU269" t="s">
        <v>1</v>
      </c>
      <c r="BV269" t="s">
        <v>1</v>
      </c>
      <c r="BW269" t="s">
        <v>0</v>
      </c>
      <c r="BX269" t="s">
        <v>1</v>
      </c>
      <c r="BY269" t="s">
        <v>1</v>
      </c>
      <c r="BZ269" t="s">
        <v>1</v>
      </c>
      <c r="CA269" t="s">
        <v>1</v>
      </c>
      <c r="CB269" t="s">
        <v>1</v>
      </c>
      <c r="CD269" t="e" cm="1">
        <f t="array" aca="1" ref="CD269" ca="1">eConcatenar(A269:CB269,"|")</f>
        <v>#NAME?</v>
      </c>
    </row>
    <row r="270" spans="1:82" x14ac:dyDescent="0.25">
      <c r="A270" t="s">
        <v>365</v>
      </c>
      <c r="B270" t="s">
        <v>1376</v>
      </c>
      <c r="C270">
        <v>3</v>
      </c>
      <c r="D270" t="s">
        <v>2153</v>
      </c>
      <c r="E270" t="s">
        <v>2158</v>
      </c>
      <c r="F270" t="s">
        <v>2159</v>
      </c>
      <c r="G270" t="s">
        <v>2326</v>
      </c>
      <c r="H270" t="s">
        <v>2698</v>
      </c>
      <c r="I270">
        <v>14800</v>
      </c>
      <c r="J270">
        <v>0</v>
      </c>
      <c r="K270">
        <v>100</v>
      </c>
      <c r="L270">
        <v>50</v>
      </c>
      <c r="M270">
        <v>1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 t="s">
        <v>3117</v>
      </c>
      <c r="AC270" t="s">
        <v>3507</v>
      </c>
      <c r="AD270" t="s">
        <v>3508</v>
      </c>
      <c r="AE270" t="s">
        <v>4</v>
      </c>
      <c r="AF270" t="s">
        <v>1</v>
      </c>
      <c r="AG270" t="s">
        <v>1</v>
      </c>
      <c r="AH270" t="s">
        <v>4299</v>
      </c>
      <c r="AI270" t="s">
        <v>2326</v>
      </c>
      <c r="AJ270" t="s">
        <v>1</v>
      </c>
      <c r="AK270">
        <v>9333034192</v>
      </c>
      <c r="AL270" t="s">
        <v>1</v>
      </c>
      <c r="AM270" t="s">
        <v>1</v>
      </c>
      <c r="AN270" t="s">
        <v>1</v>
      </c>
      <c r="AO270" t="s">
        <v>4299</v>
      </c>
      <c r="AP270" t="s">
        <v>1</v>
      </c>
      <c r="AQ270" t="s">
        <v>2</v>
      </c>
      <c r="AR270" t="s">
        <v>1</v>
      </c>
      <c r="AS270" t="s">
        <v>1</v>
      </c>
      <c r="AT270" t="s">
        <v>1</v>
      </c>
      <c r="AU270" t="s">
        <v>1</v>
      </c>
      <c r="AV270" t="s">
        <v>1</v>
      </c>
      <c r="AW270" t="s">
        <v>9</v>
      </c>
      <c r="AX270">
        <f>Tabla1[[#This Row],[precio del paquete]]-Tabla1[[#This Row],[Saldo_Deudor]]</f>
        <v>1200</v>
      </c>
      <c r="AY270">
        <v>13600</v>
      </c>
      <c r="AZ270">
        <v>0</v>
      </c>
      <c r="BA270">
        <v>0</v>
      </c>
      <c r="BB270">
        <v>0</v>
      </c>
      <c r="BC270" t="s">
        <v>2879</v>
      </c>
      <c r="BD270" t="s">
        <v>2713</v>
      </c>
      <c r="BE270" t="s">
        <v>3</v>
      </c>
      <c r="BF270" t="s">
        <v>3</v>
      </c>
      <c r="BG270" t="s">
        <v>3</v>
      </c>
      <c r="BH270" t="s">
        <v>3</v>
      </c>
      <c r="BI270" t="s">
        <v>3</v>
      </c>
      <c r="BJ270" t="s">
        <v>4991</v>
      </c>
      <c r="BK270" t="s">
        <v>3</v>
      </c>
      <c r="BL270" t="s">
        <v>96</v>
      </c>
      <c r="BM270" t="s">
        <v>1</v>
      </c>
      <c r="BN270">
        <v>14800</v>
      </c>
      <c r="BO270" t="s">
        <v>1</v>
      </c>
      <c r="BP270" t="s">
        <v>1</v>
      </c>
      <c r="BQ270" t="s">
        <v>1</v>
      </c>
      <c r="BR270" t="s">
        <v>1</v>
      </c>
      <c r="BS270" t="s">
        <v>1</v>
      </c>
      <c r="BT270" t="s">
        <v>1</v>
      </c>
      <c r="BU270" t="s">
        <v>1</v>
      </c>
      <c r="BV270" t="s">
        <v>1</v>
      </c>
      <c r="BW270" t="s">
        <v>0</v>
      </c>
      <c r="BX270" t="s">
        <v>1</v>
      </c>
      <c r="BY270" t="s">
        <v>1</v>
      </c>
      <c r="BZ270" t="s">
        <v>1</v>
      </c>
      <c r="CA270" t="s">
        <v>1</v>
      </c>
      <c r="CB270" t="s">
        <v>1</v>
      </c>
      <c r="CD270" t="e" cm="1">
        <f t="array" aca="1" ref="CD270" ca="1">eConcatenar(A270:CB270,"|")</f>
        <v>#NAME?</v>
      </c>
    </row>
    <row r="271" spans="1:82" x14ac:dyDescent="0.25">
      <c r="A271" t="s">
        <v>366</v>
      </c>
      <c r="B271" t="s">
        <v>1377</v>
      </c>
      <c r="C271">
        <v>3</v>
      </c>
      <c r="D271" t="s">
        <v>2153</v>
      </c>
      <c r="E271" t="s">
        <v>2158</v>
      </c>
      <c r="F271" t="s">
        <v>0</v>
      </c>
      <c r="G271" t="s">
        <v>2327</v>
      </c>
      <c r="H271" t="s">
        <v>2706</v>
      </c>
      <c r="I271">
        <v>14800</v>
      </c>
      <c r="J271">
        <v>0</v>
      </c>
      <c r="K271">
        <v>100</v>
      </c>
      <c r="L271">
        <v>50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 t="s">
        <v>3214</v>
      </c>
      <c r="AD271" t="s">
        <v>3509</v>
      </c>
      <c r="AE271" t="s">
        <v>4</v>
      </c>
      <c r="AF271" t="s">
        <v>1</v>
      </c>
      <c r="AG271" t="s">
        <v>1</v>
      </c>
      <c r="AH271" t="s">
        <v>2327</v>
      </c>
      <c r="AI271" t="s">
        <v>2327</v>
      </c>
      <c r="AJ271" t="s">
        <v>1</v>
      </c>
      <c r="AK271">
        <v>9371404244</v>
      </c>
      <c r="AL271" t="s">
        <v>1</v>
      </c>
      <c r="AM271" t="s">
        <v>1</v>
      </c>
      <c r="AN271" t="s">
        <v>1</v>
      </c>
      <c r="AO271" t="s">
        <v>2327</v>
      </c>
      <c r="AP271" t="s">
        <v>1</v>
      </c>
      <c r="AQ271" t="s">
        <v>2</v>
      </c>
      <c r="AR271" t="s">
        <v>1</v>
      </c>
      <c r="AS271" t="s">
        <v>1</v>
      </c>
      <c r="AT271" t="s">
        <v>1</v>
      </c>
      <c r="AU271" t="s">
        <v>1</v>
      </c>
      <c r="AV271" t="s">
        <v>1</v>
      </c>
      <c r="AW271" t="s">
        <v>9</v>
      </c>
      <c r="AX271">
        <f>Tabla1[[#This Row],[precio del paquete]]-Tabla1[[#This Row],[Saldo_Deudor]]</f>
        <v>12300</v>
      </c>
      <c r="AY271">
        <v>2500</v>
      </c>
      <c r="AZ271">
        <v>0</v>
      </c>
      <c r="BA271">
        <v>0</v>
      </c>
      <c r="BB271">
        <v>0</v>
      </c>
      <c r="BC271" t="s">
        <v>3061</v>
      </c>
      <c r="BD271" t="s">
        <v>3040</v>
      </c>
      <c r="BE271" t="s">
        <v>3</v>
      </c>
      <c r="BF271" t="s">
        <v>3</v>
      </c>
      <c r="BG271" t="s">
        <v>3</v>
      </c>
      <c r="BH271" t="s">
        <v>3</v>
      </c>
      <c r="BI271" t="s">
        <v>3</v>
      </c>
      <c r="BJ271" t="s">
        <v>4991</v>
      </c>
      <c r="BK271" t="s">
        <v>3</v>
      </c>
      <c r="BL271" t="s">
        <v>96</v>
      </c>
      <c r="BM271" t="s">
        <v>1</v>
      </c>
      <c r="BN271">
        <v>14800</v>
      </c>
      <c r="BO271" t="s">
        <v>1</v>
      </c>
      <c r="BP271" t="s">
        <v>1</v>
      </c>
      <c r="BQ271" t="s">
        <v>1</v>
      </c>
      <c r="BR271" t="s">
        <v>1</v>
      </c>
      <c r="BS271" t="s">
        <v>1</v>
      </c>
      <c r="BT271" t="s">
        <v>1</v>
      </c>
      <c r="BU271" t="s">
        <v>1</v>
      </c>
      <c r="BV271" t="s">
        <v>1</v>
      </c>
      <c r="BW271" t="s">
        <v>0</v>
      </c>
      <c r="BX271" t="s">
        <v>1</v>
      </c>
      <c r="BY271" t="s">
        <v>1</v>
      </c>
      <c r="BZ271" t="s">
        <v>1</v>
      </c>
      <c r="CA271" t="s">
        <v>1</v>
      </c>
      <c r="CB271" t="s">
        <v>1</v>
      </c>
      <c r="CD271" t="e" cm="1">
        <f t="array" aca="1" ref="CD271" ca="1">eConcatenar(A271:CB271,"|")</f>
        <v>#NAME?</v>
      </c>
    </row>
    <row r="272" spans="1:82" x14ac:dyDescent="0.25">
      <c r="A272" t="s">
        <v>367</v>
      </c>
      <c r="B272" t="s">
        <v>1378</v>
      </c>
      <c r="C272">
        <v>3</v>
      </c>
      <c r="D272" t="s">
        <v>2153</v>
      </c>
      <c r="E272" t="s">
        <v>2158</v>
      </c>
      <c r="F272" t="s">
        <v>0</v>
      </c>
      <c r="G272" t="s">
        <v>2327</v>
      </c>
      <c r="H272" t="s">
        <v>2706</v>
      </c>
      <c r="I272">
        <v>14800</v>
      </c>
      <c r="J272">
        <v>0</v>
      </c>
      <c r="K272">
        <v>100</v>
      </c>
      <c r="L272">
        <v>50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 t="s">
        <v>3115</v>
      </c>
      <c r="AC272" t="s">
        <v>3510</v>
      </c>
      <c r="AD272" t="s">
        <v>3511</v>
      </c>
      <c r="AE272" t="s">
        <v>4</v>
      </c>
      <c r="AF272" t="s">
        <v>1</v>
      </c>
      <c r="AG272" t="s">
        <v>1</v>
      </c>
      <c r="AH272" t="s">
        <v>2327</v>
      </c>
      <c r="AI272" t="s">
        <v>2327</v>
      </c>
      <c r="AJ272" t="s">
        <v>1</v>
      </c>
      <c r="AK272" t="s">
        <v>1</v>
      </c>
      <c r="AL272" t="s">
        <v>1</v>
      </c>
      <c r="AM272" t="s">
        <v>1</v>
      </c>
      <c r="AN272" t="s">
        <v>1</v>
      </c>
      <c r="AO272" t="s">
        <v>2327</v>
      </c>
      <c r="AP272" t="s">
        <v>1</v>
      </c>
      <c r="AQ272" t="s">
        <v>2</v>
      </c>
      <c r="AR272" t="s">
        <v>1</v>
      </c>
      <c r="AS272" t="s">
        <v>1</v>
      </c>
      <c r="AT272" t="s">
        <v>1</v>
      </c>
      <c r="AU272" t="s">
        <v>1</v>
      </c>
      <c r="AV272" t="s">
        <v>1</v>
      </c>
      <c r="AW272" t="s">
        <v>9</v>
      </c>
      <c r="AX272">
        <f>Tabla1[[#This Row],[precio del paquete]]-Tabla1[[#This Row],[Saldo_Deudor]]</f>
        <v>10400</v>
      </c>
      <c r="AY272">
        <v>4400</v>
      </c>
      <c r="AZ272">
        <v>0</v>
      </c>
      <c r="BA272">
        <v>0</v>
      </c>
      <c r="BB272">
        <v>0</v>
      </c>
      <c r="BC272" t="s">
        <v>3061</v>
      </c>
      <c r="BD272" t="s">
        <v>3040</v>
      </c>
      <c r="BE272" t="s">
        <v>3</v>
      </c>
      <c r="BF272" t="s">
        <v>3</v>
      </c>
      <c r="BG272" t="s">
        <v>3</v>
      </c>
      <c r="BH272" t="s">
        <v>3</v>
      </c>
      <c r="BI272" t="s">
        <v>3</v>
      </c>
      <c r="BJ272" t="s">
        <v>4987</v>
      </c>
      <c r="BK272" t="s">
        <v>3</v>
      </c>
      <c r="BL272" t="s">
        <v>96</v>
      </c>
      <c r="BM272" t="s">
        <v>1</v>
      </c>
      <c r="BN272">
        <v>14800</v>
      </c>
      <c r="BO272" t="s">
        <v>1</v>
      </c>
      <c r="BP272" t="s">
        <v>1</v>
      </c>
      <c r="BQ272" t="s">
        <v>1</v>
      </c>
      <c r="BR272" t="s">
        <v>1</v>
      </c>
      <c r="BS272" t="s">
        <v>1</v>
      </c>
      <c r="BT272" t="s">
        <v>1</v>
      </c>
      <c r="BU272" t="s">
        <v>1</v>
      </c>
      <c r="BV272" t="s">
        <v>1</v>
      </c>
      <c r="BW272" t="s">
        <v>0</v>
      </c>
      <c r="BX272" t="s">
        <v>1</v>
      </c>
      <c r="BY272" t="s">
        <v>1</v>
      </c>
      <c r="BZ272" t="s">
        <v>1</v>
      </c>
      <c r="CA272" t="s">
        <v>1</v>
      </c>
      <c r="CB272" t="s">
        <v>1</v>
      </c>
      <c r="CD272" t="e" cm="1">
        <f t="array" aca="1" ref="CD272" ca="1">eConcatenar(A272:CB272,"|")</f>
        <v>#NAME?</v>
      </c>
    </row>
    <row r="273" spans="1:82" x14ac:dyDescent="0.25">
      <c r="A273" t="s">
        <v>368</v>
      </c>
      <c r="B273" t="s">
        <v>1379</v>
      </c>
      <c r="C273">
        <v>3</v>
      </c>
      <c r="D273" t="s">
        <v>2153</v>
      </c>
      <c r="E273" t="s">
        <v>10</v>
      </c>
      <c r="F273" t="s">
        <v>95</v>
      </c>
      <c r="G273" t="s">
        <v>2328</v>
      </c>
      <c r="H273" t="s">
        <v>2790</v>
      </c>
      <c r="I273">
        <v>14800</v>
      </c>
      <c r="J273">
        <v>0</v>
      </c>
      <c r="K273">
        <v>200</v>
      </c>
      <c r="L273">
        <v>50</v>
      </c>
      <c r="M273">
        <v>2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 t="s">
        <v>3236</v>
      </c>
      <c r="AC273" t="s">
        <v>6</v>
      </c>
      <c r="AD273" t="s">
        <v>3211</v>
      </c>
      <c r="AE273" t="s">
        <v>4</v>
      </c>
      <c r="AF273" t="s">
        <v>1</v>
      </c>
      <c r="AG273" t="s">
        <v>1</v>
      </c>
      <c r="AH273" t="s">
        <v>4300</v>
      </c>
      <c r="AI273" t="s">
        <v>2328</v>
      </c>
      <c r="AJ273" t="s">
        <v>1</v>
      </c>
      <c r="AK273">
        <v>9371224038</v>
      </c>
      <c r="AL273" t="s">
        <v>1</v>
      </c>
      <c r="AM273" t="s">
        <v>1</v>
      </c>
      <c r="AN273" t="s">
        <v>1</v>
      </c>
      <c r="AO273" t="s">
        <v>4300</v>
      </c>
      <c r="AP273" t="s">
        <v>1</v>
      </c>
      <c r="AQ273" t="s">
        <v>2</v>
      </c>
      <c r="AR273" t="s">
        <v>1</v>
      </c>
      <c r="AS273" t="s">
        <v>1</v>
      </c>
      <c r="AT273" t="s">
        <v>1</v>
      </c>
      <c r="AU273" t="s">
        <v>1</v>
      </c>
      <c r="AV273" t="s">
        <v>1</v>
      </c>
      <c r="AW273" t="s">
        <v>9</v>
      </c>
      <c r="AX273">
        <f>Tabla1[[#This Row],[precio del paquete]]-Tabla1[[#This Row],[Saldo_Deudor]]</f>
        <v>1800</v>
      </c>
      <c r="AY273">
        <v>13000</v>
      </c>
      <c r="AZ273">
        <v>0</v>
      </c>
      <c r="BA273">
        <v>0</v>
      </c>
      <c r="BB273">
        <v>0</v>
      </c>
      <c r="BC273" t="s">
        <v>2874</v>
      </c>
      <c r="BD273" t="s">
        <v>4932</v>
      </c>
      <c r="BE273" t="s">
        <v>3</v>
      </c>
      <c r="BF273" t="s">
        <v>3</v>
      </c>
      <c r="BG273" t="s">
        <v>3</v>
      </c>
      <c r="BH273" t="s">
        <v>3</v>
      </c>
      <c r="BI273" t="s">
        <v>3</v>
      </c>
      <c r="BJ273" t="s">
        <v>4987</v>
      </c>
      <c r="BK273" t="s">
        <v>3</v>
      </c>
      <c r="BL273" t="s">
        <v>96</v>
      </c>
      <c r="BM273" t="s">
        <v>1</v>
      </c>
      <c r="BN273">
        <v>14800</v>
      </c>
      <c r="BO273" t="s">
        <v>1</v>
      </c>
      <c r="BP273" t="s">
        <v>1</v>
      </c>
      <c r="BQ273" t="s">
        <v>1</v>
      </c>
      <c r="BR273" t="s">
        <v>1</v>
      </c>
      <c r="BS273" t="s">
        <v>1</v>
      </c>
      <c r="BT273" t="s">
        <v>1</v>
      </c>
      <c r="BU273" t="s">
        <v>1</v>
      </c>
      <c r="BV273" t="s">
        <v>1</v>
      </c>
      <c r="BW273" t="s">
        <v>0</v>
      </c>
      <c r="BX273" t="s">
        <v>1</v>
      </c>
      <c r="BY273" t="s">
        <v>1</v>
      </c>
      <c r="BZ273" t="s">
        <v>1</v>
      </c>
      <c r="CA273" t="s">
        <v>1</v>
      </c>
      <c r="CB273" t="s">
        <v>1</v>
      </c>
      <c r="CD273" t="e" cm="1">
        <f t="array" aca="1" ref="CD273" ca="1">eConcatenar(A273:CB273,"|")</f>
        <v>#NAME?</v>
      </c>
    </row>
    <row r="274" spans="1:82" x14ac:dyDescent="0.25">
      <c r="A274" t="s">
        <v>369</v>
      </c>
      <c r="B274" t="s">
        <v>1380</v>
      </c>
      <c r="C274">
        <v>3</v>
      </c>
      <c r="D274" t="s">
        <v>2153</v>
      </c>
      <c r="E274" t="s">
        <v>2158</v>
      </c>
      <c r="F274" t="s">
        <v>2159</v>
      </c>
      <c r="G274" t="s">
        <v>2329</v>
      </c>
      <c r="H274" t="s">
        <v>2697</v>
      </c>
      <c r="I274">
        <v>14800</v>
      </c>
      <c r="J274">
        <v>0</v>
      </c>
      <c r="K274">
        <v>200</v>
      </c>
      <c r="L274">
        <v>50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 t="s">
        <v>3512</v>
      </c>
      <c r="AC274" t="s">
        <v>3246</v>
      </c>
      <c r="AD274" t="s">
        <v>3269</v>
      </c>
      <c r="AE274" t="s">
        <v>4</v>
      </c>
      <c r="AF274" t="s">
        <v>1</v>
      </c>
      <c r="AG274" t="s">
        <v>1</v>
      </c>
      <c r="AH274" t="s">
        <v>2411</v>
      </c>
      <c r="AI274" t="s">
        <v>2329</v>
      </c>
      <c r="AJ274" t="s">
        <v>1</v>
      </c>
      <c r="AK274">
        <v>9331354824</v>
      </c>
      <c r="AL274" t="s">
        <v>1</v>
      </c>
      <c r="AM274" t="s">
        <v>1</v>
      </c>
      <c r="AN274" t="s">
        <v>1</v>
      </c>
      <c r="AO274" t="s">
        <v>2411</v>
      </c>
      <c r="AP274" t="s">
        <v>1</v>
      </c>
      <c r="AQ274" t="s">
        <v>2</v>
      </c>
      <c r="AR274" t="s">
        <v>1</v>
      </c>
      <c r="AS274" t="s">
        <v>1</v>
      </c>
      <c r="AT274" t="s">
        <v>1</v>
      </c>
      <c r="AU274" t="s">
        <v>1</v>
      </c>
      <c r="AV274" t="s">
        <v>1</v>
      </c>
      <c r="AW274" t="s">
        <v>9</v>
      </c>
      <c r="AX274">
        <f>Tabla1[[#This Row],[precio del paquete]]-Tabla1[[#This Row],[Saldo_Deudor]]</f>
        <v>2800</v>
      </c>
      <c r="AY274">
        <v>12000</v>
      </c>
      <c r="AZ274">
        <v>0</v>
      </c>
      <c r="BA274">
        <v>0</v>
      </c>
      <c r="BB274">
        <v>0</v>
      </c>
      <c r="BC274" t="s">
        <v>2925</v>
      </c>
      <c r="BD274" t="s">
        <v>3078</v>
      </c>
      <c r="BE274" t="s">
        <v>3</v>
      </c>
      <c r="BF274" t="s">
        <v>3</v>
      </c>
      <c r="BG274" t="s">
        <v>3</v>
      </c>
      <c r="BH274" t="s">
        <v>3</v>
      </c>
      <c r="BI274" t="s">
        <v>3</v>
      </c>
      <c r="BJ274" t="s">
        <v>4983</v>
      </c>
      <c r="BK274" t="s">
        <v>3</v>
      </c>
      <c r="BL274" t="s">
        <v>96</v>
      </c>
      <c r="BM274" t="s">
        <v>1</v>
      </c>
      <c r="BN274">
        <v>14800</v>
      </c>
      <c r="BO274" t="s">
        <v>1</v>
      </c>
      <c r="BP274" t="s">
        <v>1</v>
      </c>
      <c r="BQ274" t="s">
        <v>1</v>
      </c>
      <c r="BR274" t="s">
        <v>1</v>
      </c>
      <c r="BS274" t="s">
        <v>1</v>
      </c>
      <c r="BT274" t="s">
        <v>1</v>
      </c>
      <c r="BU274" t="s">
        <v>1</v>
      </c>
      <c r="BV274" t="s">
        <v>1</v>
      </c>
      <c r="BW274" t="s">
        <v>0</v>
      </c>
      <c r="BX274" t="s">
        <v>1</v>
      </c>
      <c r="BY274" t="s">
        <v>1</v>
      </c>
      <c r="BZ274" t="s">
        <v>1</v>
      </c>
      <c r="CA274" t="s">
        <v>1</v>
      </c>
      <c r="CB274" t="s">
        <v>1</v>
      </c>
      <c r="CD274" t="e" cm="1">
        <f t="array" aca="1" ref="CD274" ca="1">eConcatenar(A274:CB274,"|")</f>
        <v>#NAME?</v>
      </c>
    </row>
    <row r="275" spans="1:82" x14ac:dyDescent="0.25">
      <c r="A275" t="s">
        <v>370</v>
      </c>
      <c r="B275" t="s">
        <v>1381</v>
      </c>
      <c r="C275">
        <v>3</v>
      </c>
      <c r="D275" t="s">
        <v>2153</v>
      </c>
      <c r="E275" t="s">
        <v>2158</v>
      </c>
      <c r="F275" t="s">
        <v>2159</v>
      </c>
      <c r="G275" t="s">
        <v>2330</v>
      </c>
      <c r="H275" t="s">
        <v>2710</v>
      </c>
      <c r="I275">
        <v>14800</v>
      </c>
      <c r="J275">
        <v>0</v>
      </c>
      <c r="K275">
        <v>200</v>
      </c>
      <c r="L275">
        <v>50</v>
      </c>
      <c r="M275">
        <v>1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 t="s">
        <v>3513</v>
      </c>
      <c r="AC275" t="s">
        <v>3514</v>
      </c>
      <c r="AD275" t="s">
        <v>3515</v>
      </c>
      <c r="AE275" t="s">
        <v>4</v>
      </c>
      <c r="AF275" t="s">
        <v>1</v>
      </c>
      <c r="AG275" t="s">
        <v>1</v>
      </c>
      <c r="AH275" t="s">
        <v>4301</v>
      </c>
      <c r="AI275" t="s">
        <v>2330</v>
      </c>
      <c r="AJ275" t="s">
        <v>1</v>
      </c>
      <c r="AK275">
        <v>9141207767</v>
      </c>
      <c r="AL275" t="s">
        <v>1</v>
      </c>
      <c r="AM275" t="s">
        <v>1</v>
      </c>
      <c r="AN275" t="s">
        <v>1</v>
      </c>
      <c r="AO275" t="s">
        <v>4301</v>
      </c>
      <c r="AP275" t="s">
        <v>1</v>
      </c>
      <c r="AQ275" t="s">
        <v>2</v>
      </c>
      <c r="AR275" t="s">
        <v>1</v>
      </c>
      <c r="AS275" t="s">
        <v>1</v>
      </c>
      <c r="AT275" t="s">
        <v>1</v>
      </c>
      <c r="AU275" t="s">
        <v>1</v>
      </c>
      <c r="AV275" t="s">
        <v>1</v>
      </c>
      <c r="AW275" t="s">
        <v>9</v>
      </c>
      <c r="AX275">
        <f>Tabla1[[#This Row],[precio del paquete]]-Tabla1[[#This Row],[Saldo_Deudor]]</f>
        <v>5200</v>
      </c>
      <c r="AY275">
        <v>9600</v>
      </c>
      <c r="AZ275">
        <v>0</v>
      </c>
      <c r="BA275">
        <v>0</v>
      </c>
      <c r="BB275">
        <v>0</v>
      </c>
      <c r="BC275" t="s">
        <v>3013</v>
      </c>
      <c r="BD275" t="s">
        <v>2871</v>
      </c>
      <c r="BE275" t="s">
        <v>3</v>
      </c>
      <c r="BF275" t="s">
        <v>3</v>
      </c>
      <c r="BG275" t="s">
        <v>3</v>
      </c>
      <c r="BH275" t="s">
        <v>3</v>
      </c>
      <c r="BI275" t="s">
        <v>3</v>
      </c>
      <c r="BJ275" t="s">
        <v>5002</v>
      </c>
      <c r="BK275" t="s">
        <v>3</v>
      </c>
      <c r="BL275" t="s">
        <v>96</v>
      </c>
      <c r="BM275" t="s">
        <v>1</v>
      </c>
      <c r="BN275">
        <v>14800</v>
      </c>
      <c r="BO275" t="s">
        <v>1</v>
      </c>
      <c r="BP275" t="s">
        <v>1</v>
      </c>
      <c r="BQ275" t="s">
        <v>1</v>
      </c>
      <c r="BR275" t="s">
        <v>1</v>
      </c>
      <c r="BS275" t="s">
        <v>1</v>
      </c>
      <c r="BT275" t="s">
        <v>1</v>
      </c>
      <c r="BU275" t="s">
        <v>1</v>
      </c>
      <c r="BV275" t="s">
        <v>1</v>
      </c>
      <c r="BW275" t="s">
        <v>0</v>
      </c>
      <c r="BX275" t="s">
        <v>1</v>
      </c>
      <c r="BY275" t="s">
        <v>1</v>
      </c>
      <c r="BZ275" t="s">
        <v>1</v>
      </c>
      <c r="CA275" t="s">
        <v>1</v>
      </c>
      <c r="CB275" t="s">
        <v>1</v>
      </c>
      <c r="CD275" t="e" cm="1">
        <f t="array" aca="1" ref="CD275" ca="1">eConcatenar(A275:CB275,"|")</f>
        <v>#NAME?</v>
      </c>
    </row>
    <row r="276" spans="1:82" x14ac:dyDescent="0.25">
      <c r="A276" t="s">
        <v>371</v>
      </c>
      <c r="B276" t="s">
        <v>1382</v>
      </c>
      <c r="C276">
        <v>3</v>
      </c>
      <c r="D276" t="s">
        <v>2153</v>
      </c>
      <c r="E276" t="s">
        <v>2158</v>
      </c>
      <c r="F276" t="s">
        <v>0</v>
      </c>
      <c r="G276" t="s">
        <v>2331</v>
      </c>
      <c r="H276" t="s">
        <v>2720</v>
      </c>
      <c r="I276">
        <v>14800</v>
      </c>
      <c r="J276">
        <v>0</v>
      </c>
      <c r="K276">
        <v>200</v>
      </c>
      <c r="L276">
        <v>50</v>
      </c>
      <c r="M276">
        <v>1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 t="s">
        <v>3236</v>
      </c>
      <c r="AC276" t="s">
        <v>3132</v>
      </c>
      <c r="AD276" t="s">
        <v>3431</v>
      </c>
      <c r="AE276" t="s">
        <v>4</v>
      </c>
      <c r="AF276" t="s">
        <v>1</v>
      </c>
      <c r="AG276" t="s">
        <v>1</v>
      </c>
      <c r="AH276" t="s">
        <v>2331</v>
      </c>
      <c r="AI276" t="s">
        <v>2331</v>
      </c>
      <c r="AJ276" t="s">
        <v>1</v>
      </c>
      <c r="AK276">
        <v>9371664490</v>
      </c>
      <c r="AL276" t="s">
        <v>1</v>
      </c>
      <c r="AM276" t="s">
        <v>1</v>
      </c>
      <c r="AN276" t="s">
        <v>1</v>
      </c>
      <c r="AO276" t="s">
        <v>2331</v>
      </c>
      <c r="AP276" t="s">
        <v>1</v>
      </c>
      <c r="AQ276" t="s">
        <v>2</v>
      </c>
      <c r="AR276" t="s">
        <v>1</v>
      </c>
      <c r="AS276" t="s">
        <v>1</v>
      </c>
      <c r="AT276" t="s">
        <v>1</v>
      </c>
      <c r="AU276" t="s">
        <v>1</v>
      </c>
      <c r="AV276" t="s">
        <v>1</v>
      </c>
      <c r="AW276" t="s">
        <v>9</v>
      </c>
      <c r="AX276">
        <f>Tabla1[[#This Row],[precio del paquete]]-Tabla1[[#This Row],[Saldo_Deudor]]</f>
        <v>1000</v>
      </c>
      <c r="AY276">
        <v>13800</v>
      </c>
      <c r="AZ276">
        <v>0</v>
      </c>
      <c r="BA276">
        <v>0</v>
      </c>
      <c r="BB276">
        <v>0</v>
      </c>
      <c r="BC276" t="s">
        <v>4826</v>
      </c>
      <c r="BD276" t="s">
        <v>2706</v>
      </c>
      <c r="BE276" t="s">
        <v>3</v>
      </c>
      <c r="BF276" t="s">
        <v>3</v>
      </c>
      <c r="BG276" t="s">
        <v>3</v>
      </c>
      <c r="BH276" t="s">
        <v>3</v>
      </c>
      <c r="BI276" t="s">
        <v>3</v>
      </c>
      <c r="BJ276" t="s">
        <v>4991</v>
      </c>
      <c r="BK276" t="s">
        <v>3</v>
      </c>
      <c r="BL276" t="s">
        <v>96</v>
      </c>
      <c r="BM276" t="s">
        <v>1</v>
      </c>
      <c r="BN276">
        <v>14800</v>
      </c>
      <c r="BO276" t="s">
        <v>1</v>
      </c>
      <c r="BP276" t="s">
        <v>1</v>
      </c>
      <c r="BQ276" t="s">
        <v>1</v>
      </c>
      <c r="BR276" t="s">
        <v>1</v>
      </c>
      <c r="BS276" t="s">
        <v>1</v>
      </c>
      <c r="BT276" t="s">
        <v>1</v>
      </c>
      <c r="BU276" t="s">
        <v>1</v>
      </c>
      <c r="BV276" t="s">
        <v>1</v>
      </c>
      <c r="BW276" t="s">
        <v>0</v>
      </c>
      <c r="BX276" t="s">
        <v>1</v>
      </c>
      <c r="BY276" t="s">
        <v>1</v>
      </c>
      <c r="BZ276" t="s">
        <v>1</v>
      </c>
      <c r="CA276" t="s">
        <v>1</v>
      </c>
      <c r="CB276" t="s">
        <v>1</v>
      </c>
      <c r="CD276" t="e" cm="1">
        <f t="array" aca="1" ref="CD276" ca="1">eConcatenar(A276:CB276,"|")</f>
        <v>#NAME?</v>
      </c>
    </row>
    <row r="277" spans="1:82" x14ac:dyDescent="0.25">
      <c r="A277" t="s">
        <v>372</v>
      </c>
      <c r="B277" t="s">
        <v>1383</v>
      </c>
      <c r="C277">
        <v>3</v>
      </c>
      <c r="D277" t="s">
        <v>3109</v>
      </c>
      <c r="E277" t="s">
        <v>2158</v>
      </c>
      <c r="F277" t="s">
        <v>0</v>
      </c>
      <c r="G277" t="s">
        <v>2332</v>
      </c>
      <c r="H277" t="s">
        <v>2859</v>
      </c>
      <c r="I277">
        <v>12900</v>
      </c>
      <c r="J277">
        <v>0</v>
      </c>
      <c r="K277">
        <v>200</v>
      </c>
      <c r="L277">
        <v>50</v>
      </c>
      <c r="M277">
        <v>1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 t="s">
        <v>3117</v>
      </c>
      <c r="AC277" t="s">
        <v>3516</v>
      </c>
      <c r="AD277" t="s">
        <v>3517</v>
      </c>
      <c r="AE277" t="s">
        <v>4</v>
      </c>
      <c r="AF277" t="s">
        <v>1</v>
      </c>
      <c r="AG277" t="s">
        <v>1</v>
      </c>
      <c r="AH277" t="s">
        <v>4302</v>
      </c>
      <c r="AI277" t="s">
        <v>2332</v>
      </c>
      <c r="AJ277" t="s">
        <v>1</v>
      </c>
      <c r="AK277">
        <v>9371204951</v>
      </c>
      <c r="AL277" t="s">
        <v>1</v>
      </c>
      <c r="AM277" t="s">
        <v>1</v>
      </c>
      <c r="AN277" t="s">
        <v>1</v>
      </c>
      <c r="AO277" t="s">
        <v>4302</v>
      </c>
      <c r="AP277" t="s">
        <v>1</v>
      </c>
      <c r="AQ277" t="s">
        <v>2</v>
      </c>
      <c r="AR277" t="s">
        <v>1</v>
      </c>
      <c r="AS277" t="s">
        <v>1</v>
      </c>
      <c r="AT277" t="s">
        <v>1</v>
      </c>
      <c r="AU277" t="s">
        <v>1</v>
      </c>
      <c r="AV277" t="s">
        <v>1</v>
      </c>
      <c r="AW277" t="s">
        <v>9</v>
      </c>
      <c r="AX277">
        <f>Tabla1[[#This Row],[precio del paquete]]-Tabla1[[#This Row],[Saldo_Deudor]]</f>
        <v>2800</v>
      </c>
      <c r="AY277">
        <v>10100</v>
      </c>
      <c r="AZ277">
        <v>0</v>
      </c>
      <c r="BA277">
        <v>0</v>
      </c>
      <c r="BB277">
        <v>0</v>
      </c>
      <c r="BC277" t="s">
        <v>2735</v>
      </c>
      <c r="BD277" t="s">
        <v>4933</v>
      </c>
      <c r="BE277" t="s">
        <v>3</v>
      </c>
      <c r="BF277" t="s">
        <v>3</v>
      </c>
      <c r="BG277" t="s">
        <v>3</v>
      </c>
      <c r="BH277" t="s">
        <v>3</v>
      </c>
      <c r="BI277" t="s">
        <v>3</v>
      </c>
      <c r="BJ277" t="s">
        <v>4999</v>
      </c>
      <c r="BK277" t="s">
        <v>3</v>
      </c>
      <c r="BL277" t="s">
        <v>96</v>
      </c>
      <c r="BM277" t="s">
        <v>1</v>
      </c>
      <c r="BN277">
        <v>12900</v>
      </c>
      <c r="BO277" t="s">
        <v>1</v>
      </c>
      <c r="BP277" t="s">
        <v>1</v>
      </c>
      <c r="BQ277" t="s">
        <v>1</v>
      </c>
      <c r="BR277" t="s">
        <v>1</v>
      </c>
      <c r="BS277" t="s">
        <v>1</v>
      </c>
      <c r="BT277" t="s">
        <v>1</v>
      </c>
      <c r="BU277" t="s">
        <v>1</v>
      </c>
      <c r="BV277" t="s">
        <v>1</v>
      </c>
      <c r="BW277" t="s">
        <v>0</v>
      </c>
      <c r="BX277" t="s">
        <v>1</v>
      </c>
      <c r="BY277" t="s">
        <v>1</v>
      </c>
      <c r="BZ277" t="s">
        <v>1</v>
      </c>
      <c r="CA277" t="s">
        <v>1</v>
      </c>
      <c r="CB277" t="s">
        <v>1</v>
      </c>
      <c r="CD277" t="e" cm="1">
        <f t="array" aca="1" ref="CD277" ca="1">eConcatenar(A277:CB277,"|")</f>
        <v>#NAME?</v>
      </c>
    </row>
    <row r="278" spans="1:82" x14ac:dyDescent="0.25">
      <c r="A278" t="s">
        <v>373</v>
      </c>
      <c r="B278" t="s">
        <v>1384</v>
      </c>
      <c r="C278">
        <v>3</v>
      </c>
      <c r="D278" t="s">
        <v>2154</v>
      </c>
      <c r="E278" t="s">
        <v>2158</v>
      </c>
      <c r="F278" t="s">
        <v>0</v>
      </c>
      <c r="G278" t="s">
        <v>2333</v>
      </c>
      <c r="H278" t="s">
        <v>2775</v>
      </c>
      <c r="I278">
        <v>24500</v>
      </c>
      <c r="J278">
        <v>0</v>
      </c>
      <c r="K278">
        <v>200</v>
      </c>
      <c r="L278">
        <v>50</v>
      </c>
      <c r="M278">
        <v>1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 t="s">
        <v>3518</v>
      </c>
      <c r="AC278" t="s">
        <v>3168</v>
      </c>
      <c r="AD278" t="s">
        <v>3519</v>
      </c>
      <c r="AE278" t="s">
        <v>4</v>
      </c>
      <c r="AF278" t="s">
        <v>1</v>
      </c>
      <c r="AG278" t="s">
        <v>1</v>
      </c>
      <c r="AH278" t="s">
        <v>4303</v>
      </c>
      <c r="AI278" t="s">
        <v>2333</v>
      </c>
      <c r="AJ278" t="s">
        <v>1</v>
      </c>
      <c r="AK278" t="s">
        <v>1</v>
      </c>
      <c r="AL278" t="s">
        <v>1</v>
      </c>
      <c r="AM278" t="s">
        <v>1</v>
      </c>
      <c r="AN278" t="s">
        <v>1</v>
      </c>
      <c r="AO278" t="s">
        <v>4303</v>
      </c>
      <c r="AP278" t="s">
        <v>1</v>
      </c>
      <c r="AQ278" t="s">
        <v>2</v>
      </c>
      <c r="AR278" t="s">
        <v>1</v>
      </c>
      <c r="AS278" t="s">
        <v>1</v>
      </c>
      <c r="AT278" t="s">
        <v>1</v>
      </c>
      <c r="AU278" t="s">
        <v>1</v>
      </c>
      <c r="AV278" t="s">
        <v>1</v>
      </c>
      <c r="AW278" t="s">
        <v>9</v>
      </c>
      <c r="AX278">
        <f>Tabla1[[#This Row],[precio del paquete]]-Tabla1[[#This Row],[Saldo_Deudor]]</f>
        <v>1500</v>
      </c>
      <c r="AY278">
        <v>23000</v>
      </c>
      <c r="AZ278">
        <v>0</v>
      </c>
      <c r="BA278">
        <v>0</v>
      </c>
      <c r="BB278">
        <v>0</v>
      </c>
      <c r="BC278" t="s">
        <v>4847</v>
      </c>
      <c r="BD278" t="s">
        <v>4826</v>
      </c>
      <c r="BE278" t="s">
        <v>3</v>
      </c>
      <c r="BF278" t="s">
        <v>3</v>
      </c>
      <c r="BG278" t="s">
        <v>3</v>
      </c>
      <c r="BH278" t="s">
        <v>3</v>
      </c>
      <c r="BI278" t="s">
        <v>3</v>
      </c>
      <c r="BJ278" t="s">
        <v>4985</v>
      </c>
      <c r="BK278" t="s">
        <v>3</v>
      </c>
      <c r="BL278" t="s">
        <v>96</v>
      </c>
      <c r="BM278" t="s">
        <v>1</v>
      </c>
      <c r="BN278">
        <v>24500</v>
      </c>
      <c r="BO278" t="s">
        <v>1</v>
      </c>
      <c r="BP278" t="s">
        <v>1</v>
      </c>
      <c r="BQ278" t="s">
        <v>1</v>
      </c>
      <c r="BR278" t="s">
        <v>1</v>
      </c>
      <c r="BS278" t="s">
        <v>1</v>
      </c>
      <c r="BT278" t="s">
        <v>1</v>
      </c>
      <c r="BU278" t="s">
        <v>1</v>
      </c>
      <c r="BV278" t="s">
        <v>1</v>
      </c>
      <c r="BW278" t="s">
        <v>0</v>
      </c>
      <c r="BX278" t="s">
        <v>1</v>
      </c>
      <c r="BY278" t="s">
        <v>1</v>
      </c>
      <c r="BZ278" t="s">
        <v>1</v>
      </c>
      <c r="CA278" t="s">
        <v>1</v>
      </c>
      <c r="CB278" t="s">
        <v>1</v>
      </c>
      <c r="CD278" t="e" cm="1">
        <f t="array" aca="1" ref="CD278" ca="1">eConcatenar(A278:CB278,"|")</f>
        <v>#NAME?</v>
      </c>
    </row>
    <row r="279" spans="1:82" x14ac:dyDescent="0.25">
      <c r="A279" t="s">
        <v>374</v>
      </c>
      <c r="B279" t="s">
        <v>1385</v>
      </c>
      <c r="C279">
        <v>3</v>
      </c>
      <c r="D279" t="s">
        <v>2153</v>
      </c>
      <c r="E279" t="s">
        <v>2158</v>
      </c>
      <c r="F279" t="s">
        <v>0</v>
      </c>
      <c r="G279" t="s">
        <v>2333</v>
      </c>
      <c r="H279" t="s">
        <v>2775</v>
      </c>
      <c r="I279">
        <v>14800</v>
      </c>
      <c r="J279">
        <v>0</v>
      </c>
      <c r="K279">
        <v>200</v>
      </c>
      <c r="L279">
        <v>50</v>
      </c>
      <c r="M279">
        <v>1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 t="s">
        <v>3232</v>
      </c>
      <c r="AC279" t="s">
        <v>3520</v>
      </c>
      <c r="AD279" t="s">
        <v>3391</v>
      </c>
      <c r="AE279" t="s">
        <v>4</v>
      </c>
      <c r="AF279" t="s">
        <v>1</v>
      </c>
      <c r="AG279" t="s">
        <v>1</v>
      </c>
      <c r="AH279" t="s">
        <v>4304</v>
      </c>
      <c r="AI279" t="s">
        <v>2333</v>
      </c>
      <c r="AJ279" t="s">
        <v>1</v>
      </c>
      <c r="AK279" t="s">
        <v>1</v>
      </c>
      <c r="AL279" t="s">
        <v>1</v>
      </c>
      <c r="AM279" t="s">
        <v>1</v>
      </c>
      <c r="AN279" t="s">
        <v>1</v>
      </c>
      <c r="AO279" t="s">
        <v>4304</v>
      </c>
      <c r="AP279" t="s">
        <v>1</v>
      </c>
      <c r="AQ279" t="s">
        <v>2</v>
      </c>
      <c r="AR279" t="s">
        <v>1</v>
      </c>
      <c r="AS279" t="s">
        <v>1</v>
      </c>
      <c r="AT279" t="s">
        <v>1</v>
      </c>
      <c r="AU279" t="s">
        <v>1</v>
      </c>
      <c r="AV279" t="s">
        <v>1</v>
      </c>
      <c r="AW279" t="s">
        <v>9</v>
      </c>
      <c r="AX279">
        <f>Tabla1[[#This Row],[precio del paquete]]-Tabla1[[#This Row],[Saldo_Deudor]]</f>
        <v>50</v>
      </c>
      <c r="AY279">
        <v>14750</v>
      </c>
      <c r="AZ279">
        <v>0</v>
      </c>
      <c r="BA279">
        <v>0</v>
      </c>
      <c r="BB279">
        <v>0</v>
      </c>
      <c r="BC279" t="s">
        <v>2775</v>
      </c>
      <c r="BD279" t="s">
        <v>2740</v>
      </c>
      <c r="BE279" t="s">
        <v>3</v>
      </c>
      <c r="BF279" t="s">
        <v>3</v>
      </c>
      <c r="BG279" t="s">
        <v>3</v>
      </c>
      <c r="BH279" t="s">
        <v>3</v>
      </c>
      <c r="BI279" t="s">
        <v>3</v>
      </c>
      <c r="BJ279" t="s">
        <v>4995</v>
      </c>
      <c r="BK279" t="s">
        <v>3</v>
      </c>
      <c r="BL279" t="s">
        <v>96</v>
      </c>
      <c r="BM279" t="s">
        <v>1</v>
      </c>
      <c r="BN279">
        <v>14800</v>
      </c>
      <c r="BO279" t="s">
        <v>1</v>
      </c>
      <c r="BP279" t="s">
        <v>1</v>
      </c>
      <c r="BQ279" t="s">
        <v>1</v>
      </c>
      <c r="BR279" t="s">
        <v>1</v>
      </c>
      <c r="BS279" t="s">
        <v>1</v>
      </c>
      <c r="BT279" t="s">
        <v>1</v>
      </c>
      <c r="BU279" t="s">
        <v>1</v>
      </c>
      <c r="BV279" t="s">
        <v>1</v>
      </c>
      <c r="BW279" t="s">
        <v>0</v>
      </c>
      <c r="BX279" t="s">
        <v>1</v>
      </c>
      <c r="BY279" t="s">
        <v>1</v>
      </c>
      <c r="BZ279" t="s">
        <v>1</v>
      </c>
      <c r="CA279" t="s">
        <v>1</v>
      </c>
      <c r="CB279" t="s">
        <v>1</v>
      </c>
      <c r="CD279" t="e" cm="1">
        <f t="array" aca="1" ref="CD279" ca="1">eConcatenar(A279:CB279,"|")</f>
        <v>#NAME?</v>
      </c>
    </row>
    <row r="280" spans="1:82" x14ac:dyDescent="0.25">
      <c r="A280" t="s">
        <v>375</v>
      </c>
      <c r="B280" t="s">
        <v>1386</v>
      </c>
      <c r="C280">
        <v>3</v>
      </c>
      <c r="D280" t="s">
        <v>2153</v>
      </c>
      <c r="E280" t="s">
        <v>2158</v>
      </c>
      <c r="F280" t="s">
        <v>0</v>
      </c>
      <c r="G280" t="s">
        <v>2334</v>
      </c>
      <c r="H280" t="s">
        <v>2797</v>
      </c>
      <c r="I280">
        <v>14800</v>
      </c>
      <c r="J280">
        <v>0</v>
      </c>
      <c r="K280">
        <v>100</v>
      </c>
      <c r="L280">
        <v>50</v>
      </c>
      <c r="M280">
        <v>1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 t="s">
        <v>3117</v>
      </c>
      <c r="AC280" t="s">
        <v>3236</v>
      </c>
      <c r="AD280" t="s">
        <v>3521</v>
      </c>
      <c r="AE280" t="s">
        <v>4</v>
      </c>
      <c r="AF280" t="s">
        <v>1</v>
      </c>
      <c r="AG280" t="s">
        <v>1</v>
      </c>
      <c r="AH280" t="s">
        <v>4305</v>
      </c>
      <c r="AI280" t="s">
        <v>2334</v>
      </c>
      <c r="AJ280" t="s">
        <v>1</v>
      </c>
      <c r="AK280">
        <v>9371279585</v>
      </c>
      <c r="AL280" t="s">
        <v>1</v>
      </c>
      <c r="AM280" t="s">
        <v>1</v>
      </c>
      <c r="AN280" t="s">
        <v>1</v>
      </c>
      <c r="AO280" t="s">
        <v>4305</v>
      </c>
      <c r="AP280" t="s">
        <v>1</v>
      </c>
      <c r="AQ280" t="s">
        <v>2</v>
      </c>
      <c r="AR280" t="s">
        <v>1</v>
      </c>
      <c r="AS280" t="s">
        <v>1</v>
      </c>
      <c r="AT280" t="s">
        <v>1</v>
      </c>
      <c r="AU280" t="s">
        <v>1</v>
      </c>
      <c r="AV280" t="s">
        <v>1</v>
      </c>
      <c r="AW280" t="s">
        <v>9</v>
      </c>
      <c r="AX280">
        <f>Tabla1[[#This Row],[precio del paquete]]-Tabla1[[#This Row],[Saldo_Deudor]]</f>
        <v>1500</v>
      </c>
      <c r="AY280">
        <v>13300</v>
      </c>
      <c r="AZ280">
        <v>0</v>
      </c>
      <c r="BA280">
        <v>0</v>
      </c>
      <c r="BB280">
        <v>0</v>
      </c>
      <c r="BC280" t="s">
        <v>3061</v>
      </c>
      <c r="BD280" t="s">
        <v>3040</v>
      </c>
      <c r="BE280" t="s">
        <v>3</v>
      </c>
      <c r="BF280" t="s">
        <v>3</v>
      </c>
      <c r="BG280" t="s">
        <v>3</v>
      </c>
      <c r="BH280" t="s">
        <v>3</v>
      </c>
      <c r="BI280" t="s">
        <v>3</v>
      </c>
      <c r="BJ280" t="s">
        <v>5009</v>
      </c>
      <c r="BK280" t="s">
        <v>3</v>
      </c>
      <c r="BL280" t="s">
        <v>96</v>
      </c>
      <c r="BM280" t="s">
        <v>1</v>
      </c>
      <c r="BN280">
        <v>14800</v>
      </c>
      <c r="BO280" t="s">
        <v>1</v>
      </c>
      <c r="BP280" t="s">
        <v>1</v>
      </c>
      <c r="BQ280" t="s">
        <v>1</v>
      </c>
      <c r="BR280" t="s">
        <v>1</v>
      </c>
      <c r="BS280" t="s">
        <v>1</v>
      </c>
      <c r="BT280" t="s">
        <v>1</v>
      </c>
      <c r="BU280" t="s">
        <v>1</v>
      </c>
      <c r="BV280" t="s">
        <v>1</v>
      </c>
      <c r="BW280" t="s">
        <v>0</v>
      </c>
      <c r="BX280" t="s">
        <v>1</v>
      </c>
      <c r="BY280" t="s">
        <v>1</v>
      </c>
      <c r="BZ280" t="s">
        <v>1</v>
      </c>
      <c r="CA280" t="s">
        <v>1</v>
      </c>
      <c r="CB280" t="s">
        <v>1</v>
      </c>
      <c r="CD280" t="e" cm="1">
        <f t="array" aca="1" ref="CD280" ca="1">eConcatenar(A280:CB280,"|")</f>
        <v>#NAME?</v>
      </c>
    </row>
    <row r="281" spans="1:82" x14ac:dyDescent="0.25">
      <c r="A281" t="s">
        <v>376</v>
      </c>
      <c r="B281" t="s">
        <v>1387</v>
      </c>
      <c r="C281">
        <v>3</v>
      </c>
      <c r="D281" t="s">
        <v>2153</v>
      </c>
      <c r="E281" t="s">
        <v>2158</v>
      </c>
      <c r="F281" t="s">
        <v>0</v>
      </c>
      <c r="G281" t="s">
        <v>2335</v>
      </c>
      <c r="H281" t="s">
        <v>2714</v>
      </c>
      <c r="I281">
        <v>14800</v>
      </c>
      <c r="J281">
        <v>0</v>
      </c>
      <c r="K281">
        <v>100</v>
      </c>
      <c r="L281">
        <v>50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 t="s">
        <v>3178</v>
      </c>
      <c r="AC281" t="s">
        <v>3227</v>
      </c>
      <c r="AD281" t="s">
        <v>3522</v>
      </c>
      <c r="AE281" t="s">
        <v>4</v>
      </c>
      <c r="AF281" t="s">
        <v>1</v>
      </c>
      <c r="AG281" t="s">
        <v>1</v>
      </c>
      <c r="AH281" t="s">
        <v>4306</v>
      </c>
      <c r="AI281" t="s">
        <v>2335</v>
      </c>
      <c r="AJ281" t="s">
        <v>1</v>
      </c>
      <c r="AK281">
        <v>9371037703</v>
      </c>
      <c r="AL281" t="s">
        <v>1</v>
      </c>
      <c r="AM281" t="s">
        <v>1</v>
      </c>
      <c r="AN281" t="s">
        <v>1</v>
      </c>
      <c r="AO281" t="s">
        <v>4306</v>
      </c>
      <c r="AP281" t="s">
        <v>1</v>
      </c>
      <c r="AQ281" t="s">
        <v>2</v>
      </c>
      <c r="AR281" t="s">
        <v>1</v>
      </c>
      <c r="AS281" t="s">
        <v>1</v>
      </c>
      <c r="AT281" t="s">
        <v>1</v>
      </c>
      <c r="AU281" t="s">
        <v>1</v>
      </c>
      <c r="AV281" t="s">
        <v>1</v>
      </c>
      <c r="AW281" t="s">
        <v>9</v>
      </c>
      <c r="AX281">
        <f>Tabla1[[#This Row],[precio del paquete]]-Tabla1[[#This Row],[Saldo_Deudor]]</f>
        <v>700</v>
      </c>
      <c r="AY281">
        <v>14100</v>
      </c>
      <c r="AZ281">
        <v>0</v>
      </c>
      <c r="BA281">
        <v>0</v>
      </c>
      <c r="BB281">
        <v>0</v>
      </c>
      <c r="BC281" t="s">
        <v>4827</v>
      </c>
      <c r="BD281" t="s">
        <v>4895</v>
      </c>
      <c r="BE281" t="s">
        <v>3</v>
      </c>
      <c r="BF281" t="s">
        <v>3</v>
      </c>
      <c r="BG281" t="s">
        <v>3</v>
      </c>
      <c r="BH281" t="s">
        <v>3</v>
      </c>
      <c r="BI281" t="s">
        <v>3</v>
      </c>
      <c r="BJ281" t="s">
        <v>4994</v>
      </c>
      <c r="BK281" t="s">
        <v>3</v>
      </c>
      <c r="BL281" t="s">
        <v>96</v>
      </c>
      <c r="BM281" t="s">
        <v>1</v>
      </c>
      <c r="BN281">
        <v>14800</v>
      </c>
      <c r="BO281" t="s">
        <v>1</v>
      </c>
      <c r="BP281" t="s">
        <v>1</v>
      </c>
      <c r="BQ281" t="s">
        <v>1</v>
      </c>
      <c r="BR281" t="s">
        <v>1</v>
      </c>
      <c r="BS281" t="s">
        <v>1</v>
      </c>
      <c r="BT281" t="s">
        <v>1</v>
      </c>
      <c r="BU281" t="s">
        <v>1</v>
      </c>
      <c r="BV281" t="s">
        <v>1</v>
      </c>
      <c r="BW281" t="s">
        <v>0</v>
      </c>
      <c r="BX281" t="s">
        <v>1</v>
      </c>
      <c r="BY281" t="s">
        <v>1</v>
      </c>
      <c r="BZ281" t="s">
        <v>1</v>
      </c>
      <c r="CA281" t="s">
        <v>1</v>
      </c>
      <c r="CB281" t="s">
        <v>1</v>
      </c>
      <c r="CD281" t="e" cm="1">
        <f t="array" aca="1" ref="CD281" ca="1">eConcatenar(A281:CB281,"|")</f>
        <v>#NAME?</v>
      </c>
    </row>
    <row r="282" spans="1:82" x14ac:dyDescent="0.25">
      <c r="A282" t="s">
        <v>377</v>
      </c>
      <c r="B282" t="s">
        <v>1388</v>
      </c>
      <c r="C282">
        <v>3</v>
      </c>
      <c r="D282" t="s">
        <v>2155</v>
      </c>
      <c r="E282" t="s">
        <v>2158</v>
      </c>
      <c r="F282" t="s">
        <v>2162</v>
      </c>
      <c r="G282" t="s">
        <v>2336</v>
      </c>
      <c r="H282" t="s">
        <v>2860</v>
      </c>
      <c r="I282">
        <v>12900</v>
      </c>
      <c r="J282">
        <v>0</v>
      </c>
      <c r="K282">
        <v>200</v>
      </c>
      <c r="L282">
        <v>50</v>
      </c>
      <c r="M282">
        <v>1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 t="s">
        <v>3155</v>
      </c>
      <c r="AC282" t="s">
        <v>3523</v>
      </c>
      <c r="AD282" t="s">
        <v>3524</v>
      </c>
      <c r="AE282" t="s">
        <v>4</v>
      </c>
      <c r="AF282" t="s">
        <v>1</v>
      </c>
      <c r="AG282" t="s">
        <v>1</v>
      </c>
      <c r="AH282" t="s">
        <v>4307</v>
      </c>
      <c r="AI282" t="s">
        <v>2336</v>
      </c>
      <c r="AJ282" t="s">
        <v>1</v>
      </c>
      <c r="AK282">
        <v>9331368854</v>
      </c>
      <c r="AL282" t="s">
        <v>1</v>
      </c>
      <c r="AM282" t="s">
        <v>1</v>
      </c>
      <c r="AN282" t="s">
        <v>1</v>
      </c>
      <c r="AO282" t="s">
        <v>4307</v>
      </c>
      <c r="AP282" t="s">
        <v>1</v>
      </c>
      <c r="AQ282" t="s">
        <v>2</v>
      </c>
      <c r="AR282" t="s">
        <v>1</v>
      </c>
      <c r="AS282" t="s">
        <v>1</v>
      </c>
      <c r="AT282" t="s">
        <v>1</v>
      </c>
      <c r="AU282" t="s">
        <v>1</v>
      </c>
      <c r="AV282" t="s">
        <v>1</v>
      </c>
      <c r="AW282" t="s">
        <v>9</v>
      </c>
      <c r="AX282">
        <f>Tabla1[[#This Row],[precio del paquete]]-Tabla1[[#This Row],[Saldo_Deudor]]</f>
        <v>7000</v>
      </c>
      <c r="AY282">
        <v>5900</v>
      </c>
      <c r="AZ282">
        <v>0</v>
      </c>
      <c r="BA282">
        <v>0</v>
      </c>
      <c r="BB282">
        <v>0</v>
      </c>
      <c r="BC282" t="s">
        <v>3098</v>
      </c>
      <c r="BD282" t="s">
        <v>4829</v>
      </c>
      <c r="BE282" t="s">
        <v>3</v>
      </c>
      <c r="BF282" t="s">
        <v>3</v>
      </c>
      <c r="BG282" t="s">
        <v>3</v>
      </c>
      <c r="BH282" t="s">
        <v>3</v>
      </c>
      <c r="BI282" t="s">
        <v>3</v>
      </c>
      <c r="BJ282" t="s">
        <v>4985</v>
      </c>
      <c r="BK282" t="s">
        <v>3</v>
      </c>
      <c r="BL282" t="s">
        <v>96</v>
      </c>
      <c r="BM282" t="s">
        <v>1</v>
      </c>
      <c r="BN282">
        <v>12900</v>
      </c>
      <c r="BO282" t="s">
        <v>1</v>
      </c>
      <c r="BP282" t="s">
        <v>1</v>
      </c>
      <c r="BQ282" t="s">
        <v>1</v>
      </c>
      <c r="BR282" t="s">
        <v>1</v>
      </c>
      <c r="BS282" t="s">
        <v>1</v>
      </c>
      <c r="BT282" t="s">
        <v>1</v>
      </c>
      <c r="BU282" t="s">
        <v>1</v>
      </c>
      <c r="BV282" t="s">
        <v>1</v>
      </c>
      <c r="BW282" t="s">
        <v>0</v>
      </c>
      <c r="BX282" t="s">
        <v>1</v>
      </c>
      <c r="BY282" t="s">
        <v>1</v>
      </c>
      <c r="BZ282" t="s">
        <v>1</v>
      </c>
      <c r="CA282" t="s">
        <v>1</v>
      </c>
      <c r="CB282" t="s">
        <v>1</v>
      </c>
      <c r="CD282" t="e" cm="1">
        <f t="array" aca="1" ref="CD282" ca="1">eConcatenar(A282:CB282,"|")</f>
        <v>#NAME?</v>
      </c>
    </row>
    <row r="283" spans="1:82" x14ac:dyDescent="0.25">
      <c r="A283" t="s">
        <v>378</v>
      </c>
      <c r="B283" t="s">
        <v>1389</v>
      </c>
      <c r="C283">
        <v>3</v>
      </c>
      <c r="D283" t="s">
        <v>2153</v>
      </c>
      <c r="E283" t="s">
        <v>2158</v>
      </c>
      <c r="F283" t="s">
        <v>2162</v>
      </c>
      <c r="G283" t="s">
        <v>2337</v>
      </c>
      <c r="H283" t="s">
        <v>2726</v>
      </c>
      <c r="I283">
        <v>14800</v>
      </c>
      <c r="J283">
        <v>0</v>
      </c>
      <c r="K283">
        <v>200</v>
      </c>
      <c r="L283">
        <v>50</v>
      </c>
      <c r="M283">
        <v>1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 t="s">
        <v>5</v>
      </c>
      <c r="AC283" t="s">
        <v>3177</v>
      </c>
      <c r="AD283" t="s">
        <v>3525</v>
      </c>
      <c r="AE283" t="s">
        <v>4</v>
      </c>
      <c r="AF283" t="s">
        <v>1</v>
      </c>
      <c r="AG283" t="s">
        <v>1</v>
      </c>
      <c r="AH283" t="s">
        <v>4308</v>
      </c>
      <c r="AI283" t="s">
        <v>2337</v>
      </c>
      <c r="AJ283" t="s">
        <v>1</v>
      </c>
      <c r="AK283">
        <v>9331232998</v>
      </c>
      <c r="AL283" t="s">
        <v>1</v>
      </c>
      <c r="AM283" t="s">
        <v>1</v>
      </c>
      <c r="AN283" t="s">
        <v>1</v>
      </c>
      <c r="AO283" t="s">
        <v>4308</v>
      </c>
      <c r="AP283" t="s">
        <v>1</v>
      </c>
      <c r="AQ283" t="s">
        <v>2</v>
      </c>
      <c r="AR283" t="s">
        <v>1</v>
      </c>
      <c r="AS283" t="s">
        <v>1</v>
      </c>
      <c r="AT283" t="s">
        <v>1</v>
      </c>
      <c r="AU283" t="s">
        <v>1</v>
      </c>
      <c r="AV283" t="s">
        <v>1</v>
      </c>
      <c r="AW283" t="s">
        <v>9</v>
      </c>
      <c r="AX283">
        <f>Tabla1[[#This Row],[precio del paquete]]-Tabla1[[#This Row],[Saldo_Deudor]]</f>
        <v>950</v>
      </c>
      <c r="AY283">
        <v>13850</v>
      </c>
      <c r="AZ283">
        <v>0</v>
      </c>
      <c r="BA283">
        <v>0</v>
      </c>
      <c r="BB283">
        <v>0</v>
      </c>
      <c r="BC283" t="s">
        <v>3098</v>
      </c>
      <c r="BD283" t="s">
        <v>4829</v>
      </c>
      <c r="BE283" t="s">
        <v>3</v>
      </c>
      <c r="BF283" t="s">
        <v>3</v>
      </c>
      <c r="BG283" t="s">
        <v>3</v>
      </c>
      <c r="BH283" t="s">
        <v>3</v>
      </c>
      <c r="BI283" t="s">
        <v>3</v>
      </c>
      <c r="BJ283" t="s">
        <v>5000</v>
      </c>
      <c r="BK283" t="s">
        <v>3</v>
      </c>
      <c r="BL283" t="s">
        <v>96</v>
      </c>
      <c r="BM283" t="s">
        <v>1</v>
      </c>
      <c r="BN283">
        <v>14800</v>
      </c>
      <c r="BO283" t="s">
        <v>1</v>
      </c>
      <c r="BP283" t="s">
        <v>1</v>
      </c>
      <c r="BQ283" t="s">
        <v>1</v>
      </c>
      <c r="BR283" t="s">
        <v>1</v>
      </c>
      <c r="BS283" t="s">
        <v>1</v>
      </c>
      <c r="BT283" t="s">
        <v>1</v>
      </c>
      <c r="BU283" t="s">
        <v>1</v>
      </c>
      <c r="BV283" t="s">
        <v>1</v>
      </c>
      <c r="BW283" t="s">
        <v>0</v>
      </c>
      <c r="BX283" t="s">
        <v>1</v>
      </c>
      <c r="BY283" t="s">
        <v>1</v>
      </c>
      <c r="BZ283" t="s">
        <v>1</v>
      </c>
      <c r="CA283" t="s">
        <v>1</v>
      </c>
      <c r="CB283" t="s">
        <v>1</v>
      </c>
      <c r="CD283" t="e" cm="1">
        <f t="array" aca="1" ref="CD283" ca="1">eConcatenar(A283:CB283,"|")</f>
        <v>#NAME?</v>
      </c>
    </row>
    <row r="284" spans="1:82" x14ac:dyDescent="0.25">
      <c r="A284" t="s">
        <v>379</v>
      </c>
      <c r="B284" t="s">
        <v>1390</v>
      </c>
      <c r="C284">
        <v>3</v>
      </c>
      <c r="D284" t="s">
        <v>2153</v>
      </c>
      <c r="E284" t="s">
        <v>2158</v>
      </c>
      <c r="F284" t="s">
        <v>2162</v>
      </c>
      <c r="G284" t="s">
        <v>2337</v>
      </c>
      <c r="H284" t="s">
        <v>2807</v>
      </c>
      <c r="I284">
        <v>14800</v>
      </c>
      <c r="J284">
        <v>0</v>
      </c>
      <c r="K284">
        <v>200</v>
      </c>
      <c r="L284">
        <v>50</v>
      </c>
      <c r="M284">
        <v>1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 t="s">
        <v>5</v>
      </c>
      <c r="AC284" t="s">
        <v>3177</v>
      </c>
      <c r="AD284" t="s">
        <v>3138</v>
      </c>
      <c r="AE284" t="s">
        <v>4</v>
      </c>
      <c r="AF284" t="s">
        <v>1</v>
      </c>
      <c r="AG284" t="s">
        <v>1</v>
      </c>
      <c r="AH284" t="s">
        <v>4309</v>
      </c>
      <c r="AI284" t="s">
        <v>2337</v>
      </c>
      <c r="AJ284" t="s">
        <v>1</v>
      </c>
      <c r="AK284">
        <v>9331368618</v>
      </c>
      <c r="AL284" t="s">
        <v>1</v>
      </c>
      <c r="AM284" t="s">
        <v>1</v>
      </c>
      <c r="AN284" t="s">
        <v>1</v>
      </c>
      <c r="AO284" t="s">
        <v>4309</v>
      </c>
      <c r="AP284" t="s">
        <v>1</v>
      </c>
      <c r="AQ284" t="s">
        <v>2</v>
      </c>
      <c r="AR284" t="s">
        <v>1</v>
      </c>
      <c r="AS284" t="s">
        <v>1</v>
      </c>
      <c r="AT284" t="s">
        <v>1</v>
      </c>
      <c r="AU284" t="s">
        <v>1</v>
      </c>
      <c r="AV284" t="s">
        <v>1</v>
      </c>
      <c r="AW284" t="s">
        <v>9</v>
      </c>
      <c r="AX284">
        <f>Tabla1[[#This Row],[precio del paquete]]-Tabla1[[#This Row],[Saldo_Deudor]]</f>
        <v>300</v>
      </c>
      <c r="AY284">
        <v>14500</v>
      </c>
      <c r="AZ284">
        <v>0</v>
      </c>
      <c r="BA284">
        <v>0</v>
      </c>
      <c r="BB284">
        <v>0</v>
      </c>
      <c r="BC284" t="s">
        <v>2705</v>
      </c>
      <c r="BD284" t="s">
        <v>2831</v>
      </c>
      <c r="BE284" t="s">
        <v>3</v>
      </c>
      <c r="BF284" t="s">
        <v>3</v>
      </c>
      <c r="BG284" t="s">
        <v>3</v>
      </c>
      <c r="BH284" t="s">
        <v>3</v>
      </c>
      <c r="BI284" t="s">
        <v>3</v>
      </c>
      <c r="BJ284" t="s">
        <v>5000</v>
      </c>
      <c r="BK284" t="s">
        <v>3</v>
      </c>
      <c r="BL284" t="s">
        <v>96</v>
      </c>
      <c r="BM284" t="s">
        <v>1</v>
      </c>
      <c r="BN284">
        <v>14800</v>
      </c>
      <c r="BO284" t="s">
        <v>1</v>
      </c>
      <c r="BP284" t="s">
        <v>1</v>
      </c>
      <c r="BQ284" t="s">
        <v>1</v>
      </c>
      <c r="BR284" t="s">
        <v>1</v>
      </c>
      <c r="BS284" t="s">
        <v>1</v>
      </c>
      <c r="BT284" t="s">
        <v>1</v>
      </c>
      <c r="BU284" t="s">
        <v>1</v>
      </c>
      <c r="BV284" t="s">
        <v>1</v>
      </c>
      <c r="BW284" t="s">
        <v>0</v>
      </c>
      <c r="BX284" t="s">
        <v>1</v>
      </c>
      <c r="BY284" t="s">
        <v>1</v>
      </c>
      <c r="BZ284" t="s">
        <v>1</v>
      </c>
      <c r="CA284" t="s">
        <v>1</v>
      </c>
      <c r="CB284" t="s">
        <v>1</v>
      </c>
      <c r="CD284" t="e" cm="1">
        <f t="array" aca="1" ref="CD284" ca="1">eConcatenar(A284:CB284,"|")</f>
        <v>#NAME?</v>
      </c>
    </row>
    <row r="285" spans="1:82" x14ac:dyDescent="0.25">
      <c r="A285" t="s">
        <v>380</v>
      </c>
      <c r="B285" t="s">
        <v>1391</v>
      </c>
      <c r="C285">
        <v>3</v>
      </c>
      <c r="D285" t="s">
        <v>2153</v>
      </c>
      <c r="E285" t="s">
        <v>2158</v>
      </c>
      <c r="F285" t="s">
        <v>2162</v>
      </c>
      <c r="G285" t="s">
        <v>2337</v>
      </c>
      <c r="H285" t="s">
        <v>2807</v>
      </c>
      <c r="I285">
        <v>14800</v>
      </c>
      <c r="J285">
        <v>0</v>
      </c>
      <c r="K285">
        <v>50</v>
      </c>
      <c r="L285">
        <v>50</v>
      </c>
      <c r="M285">
        <v>1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 t="s">
        <v>3526</v>
      </c>
      <c r="AC285" t="s">
        <v>3132</v>
      </c>
      <c r="AD285" t="s">
        <v>3527</v>
      </c>
      <c r="AE285" t="s">
        <v>4</v>
      </c>
      <c r="AF285" t="s">
        <v>1</v>
      </c>
      <c r="AG285" t="s">
        <v>1</v>
      </c>
      <c r="AH285" t="s">
        <v>4310</v>
      </c>
      <c r="AI285" t="s">
        <v>2337</v>
      </c>
      <c r="AJ285" t="s">
        <v>1</v>
      </c>
      <c r="AK285">
        <v>9331324040</v>
      </c>
      <c r="AL285" t="s">
        <v>1</v>
      </c>
      <c r="AM285" t="s">
        <v>1</v>
      </c>
      <c r="AN285" t="s">
        <v>1</v>
      </c>
      <c r="AO285" t="s">
        <v>4310</v>
      </c>
      <c r="AP285" t="s">
        <v>1</v>
      </c>
      <c r="AQ285" t="s">
        <v>2</v>
      </c>
      <c r="AR285" t="s">
        <v>1</v>
      </c>
      <c r="AS285" t="s">
        <v>1</v>
      </c>
      <c r="AT285" t="s">
        <v>1</v>
      </c>
      <c r="AU285" t="s">
        <v>1</v>
      </c>
      <c r="AV285" t="s">
        <v>1</v>
      </c>
      <c r="AW285" t="s">
        <v>9</v>
      </c>
      <c r="AX285">
        <f>Tabla1[[#This Row],[precio del paquete]]-Tabla1[[#This Row],[Saldo_Deudor]]</f>
        <v>1450</v>
      </c>
      <c r="AY285">
        <v>13350</v>
      </c>
      <c r="AZ285">
        <v>0</v>
      </c>
      <c r="BA285">
        <v>0</v>
      </c>
      <c r="BB285">
        <v>0</v>
      </c>
      <c r="BC285" t="s">
        <v>4830</v>
      </c>
      <c r="BD285" t="s">
        <v>4906</v>
      </c>
      <c r="BE285" t="s">
        <v>3</v>
      </c>
      <c r="BF285" t="s">
        <v>3</v>
      </c>
      <c r="BG285" t="s">
        <v>3</v>
      </c>
      <c r="BH285" t="s">
        <v>3</v>
      </c>
      <c r="BI285" t="s">
        <v>3</v>
      </c>
      <c r="BJ285" t="s">
        <v>5000</v>
      </c>
      <c r="BK285" t="s">
        <v>3</v>
      </c>
      <c r="BL285" t="s">
        <v>96</v>
      </c>
      <c r="BM285" t="s">
        <v>1</v>
      </c>
      <c r="BN285">
        <v>14800</v>
      </c>
      <c r="BO285" t="s">
        <v>1</v>
      </c>
      <c r="BP285" t="s">
        <v>1</v>
      </c>
      <c r="BQ285" t="s">
        <v>1</v>
      </c>
      <c r="BR285" t="s">
        <v>1</v>
      </c>
      <c r="BS285" t="s">
        <v>1</v>
      </c>
      <c r="BT285" t="s">
        <v>1</v>
      </c>
      <c r="BU285" t="s">
        <v>1</v>
      </c>
      <c r="BV285" t="s">
        <v>1</v>
      </c>
      <c r="BW285" t="s">
        <v>0</v>
      </c>
      <c r="BX285" t="s">
        <v>1</v>
      </c>
      <c r="BY285" t="s">
        <v>1</v>
      </c>
      <c r="BZ285" t="s">
        <v>1</v>
      </c>
      <c r="CA285" t="s">
        <v>1</v>
      </c>
      <c r="CB285" t="s">
        <v>1</v>
      </c>
      <c r="CD285" t="e" cm="1">
        <f t="array" aca="1" ref="CD285" ca="1">eConcatenar(A285:CB285,"|")</f>
        <v>#NAME?</v>
      </c>
    </row>
    <row r="286" spans="1:82" x14ac:dyDescent="0.25">
      <c r="A286" t="s">
        <v>381</v>
      </c>
      <c r="B286" t="s">
        <v>1392</v>
      </c>
      <c r="C286">
        <v>3</v>
      </c>
      <c r="D286" t="s">
        <v>2157</v>
      </c>
      <c r="E286" t="s">
        <v>2158</v>
      </c>
      <c r="F286" t="s">
        <v>2162</v>
      </c>
      <c r="G286" t="s">
        <v>2337</v>
      </c>
      <c r="H286" t="s">
        <v>2861</v>
      </c>
      <c r="I286">
        <v>11900</v>
      </c>
      <c r="J286">
        <v>0</v>
      </c>
      <c r="K286">
        <v>400</v>
      </c>
      <c r="L286">
        <v>50</v>
      </c>
      <c r="M286">
        <v>2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 t="s">
        <v>3236</v>
      </c>
      <c r="AC286" t="s">
        <v>3214</v>
      </c>
      <c r="AD286" t="s">
        <v>3120</v>
      </c>
      <c r="AE286" t="s">
        <v>4</v>
      </c>
      <c r="AF286" t="s">
        <v>1</v>
      </c>
      <c r="AG286" t="s">
        <v>1</v>
      </c>
      <c r="AH286" t="s">
        <v>4311</v>
      </c>
      <c r="AI286" t="s">
        <v>2337</v>
      </c>
      <c r="AJ286" t="s">
        <v>1</v>
      </c>
      <c r="AK286" t="s">
        <v>1</v>
      </c>
      <c r="AL286" t="s">
        <v>1</v>
      </c>
      <c r="AM286" t="s">
        <v>1</v>
      </c>
      <c r="AN286" t="s">
        <v>1</v>
      </c>
      <c r="AO286" t="s">
        <v>4311</v>
      </c>
      <c r="AP286" t="s">
        <v>1</v>
      </c>
      <c r="AQ286" t="s">
        <v>2</v>
      </c>
      <c r="AR286" t="s">
        <v>1</v>
      </c>
      <c r="AS286" t="s">
        <v>1</v>
      </c>
      <c r="AT286" t="s">
        <v>1</v>
      </c>
      <c r="AU286" t="s">
        <v>1</v>
      </c>
      <c r="AV286" t="s">
        <v>1</v>
      </c>
      <c r="AW286" t="s">
        <v>9</v>
      </c>
      <c r="AX286">
        <f>Tabla1[[#This Row],[precio del paquete]]-Tabla1[[#This Row],[Saldo_Deudor]]</f>
        <v>4300</v>
      </c>
      <c r="AY286">
        <v>7600</v>
      </c>
      <c r="AZ286">
        <v>0</v>
      </c>
      <c r="BA286">
        <v>0</v>
      </c>
      <c r="BB286">
        <v>0</v>
      </c>
      <c r="BC286" t="s">
        <v>2902</v>
      </c>
      <c r="BD286" t="s">
        <v>3089</v>
      </c>
      <c r="BE286" t="s">
        <v>3</v>
      </c>
      <c r="BF286" t="s">
        <v>3</v>
      </c>
      <c r="BG286" t="s">
        <v>3</v>
      </c>
      <c r="BH286" t="s">
        <v>3</v>
      </c>
      <c r="BI286" t="s">
        <v>3</v>
      </c>
      <c r="BJ286" t="s">
        <v>5000</v>
      </c>
      <c r="BK286" t="s">
        <v>3</v>
      </c>
      <c r="BL286" t="s">
        <v>96</v>
      </c>
      <c r="BM286" t="s">
        <v>1</v>
      </c>
      <c r="BN286">
        <v>11900</v>
      </c>
      <c r="BO286" t="s">
        <v>1</v>
      </c>
      <c r="BP286" t="s">
        <v>1</v>
      </c>
      <c r="BQ286" t="s">
        <v>1</v>
      </c>
      <c r="BR286" t="s">
        <v>1</v>
      </c>
      <c r="BS286" t="s">
        <v>1</v>
      </c>
      <c r="BT286" t="s">
        <v>1</v>
      </c>
      <c r="BU286" t="s">
        <v>1</v>
      </c>
      <c r="BV286" t="s">
        <v>1</v>
      </c>
      <c r="BW286" t="s">
        <v>0</v>
      </c>
      <c r="BX286" t="s">
        <v>1</v>
      </c>
      <c r="BY286" t="s">
        <v>1</v>
      </c>
      <c r="BZ286" t="s">
        <v>1</v>
      </c>
      <c r="CA286" t="s">
        <v>1</v>
      </c>
      <c r="CB286" t="s">
        <v>1</v>
      </c>
      <c r="CD286" t="e" cm="1">
        <f t="array" aca="1" ref="CD286" ca="1">eConcatenar(A286:CB286,"|")</f>
        <v>#NAME?</v>
      </c>
    </row>
    <row r="287" spans="1:82" x14ac:dyDescent="0.25">
      <c r="A287" t="s">
        <v>382</v>
      </c>
      <c r="B287" t="s">
        <v>1393</v>
      </c>
      <c r="C287">
        <v>3</v>
      </c>
      <c r="D287" t="s">
        <v>2155</v>
      </c>
      <c r="E287" t="s">
        <v>2158</v>
      </c>
      <c r="F287" t="s">
        <v>2160</v>
      </c>
      <c r="G287" t="s">
        <v>2338</v>
      </c>
      <c r="H287" t="s">
        <v>2862</v>
      </c>
      <c r="I287">
        <v>12900</v>
      </c>
      <c r="J287">
        <v>0</v>
      </c>
      <c r="K287">
        <v>200</v>
      </c>
      <c r="L287">
        <v>50</v>
      </c>
      <c r="M287">
        <v>1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 t="s">
        <v>3478</v>
      </c>
      <c r="AC287" t="s">
        <v>3400</v>
      </c>
      <c r="AD287" t="s">
        <v>3528</v>
      </c>
      <c r="AE287" t="s">
        <v>4</v>
      </c>
      <c r="AF287" t="s">
        <v>1</v>
      </c>
      <c r="AG287" t="s">
        <v>1</v>
      </c>
      <c r="AH287" t="s">
        <v>4312</v>
      </c>
      <c r="AI287" t="s">
        <v>2338</v>
      </c>
      <c r="AJ287" t="s">
        <v>1</v>
      </c>
      <c r="AK287">
        <v>9371419073</v>
      </c>
      <c r="AL287" t="s">
        <v>1</v>
      </c>
      <c r="AM287" t="s">
        <v>1</v>
      </c>
      <c r="AN287" t="s">
        <v>1</v>
      </c>
      <c r="AO287" t="s">
        <v>4312</v>
      </c>
      <c r="AP287" t="s">
        <v>1</v>
      </c>
      <c r="AQ287" t="s">
        <v>2</v>
      </c>
      <c r="AR287" t="s">
        <v>1</v>
      </c>
      <c r="AS287" t="s">
        <v>1</v>
      </c>
      <c r="AT287" t="s">
        <v>1</v>
      </c>
      <c r="AU287" t="s">
        <v>1</v>
      </c>
      <c r="AV287" t="s">
        <v>1</v>
      </c>
      <c r="AW287" t="s">
        <v>9</v>
      </c>
      <c r="AX287">
        <f>Tabla1[[#This Row],[precio del paquete]]-Tabla1[[#This Row],[Saldo_Deudor]]</f>
        <v>1600</v>
      </c>
      <c r="AY287">
        <v>11300</v>
      </c>
      <c r="AZ287">
        <v>0</v>
      </c>
      <c r="BA287">
        <v>0</v>
      </c>
      <c r="BB287">
        <v>0</v>
      </c>
      <c r="BC287" t="s">
        <v>4848</v>
      </c>
      <c r="BD287" t="s">
        <v>2800</v>
      </c>
      <c r="BE287" t="s">
        <v>3</v>
      </c>
      <c r="BF287" t="s">
        <v>3</v>
      </c>
      <c r="BG287" t="s">
        <v>3</v>
      </c>
      <c r="BH287" t="s">
        <v>3</v>
      </c>
      <c r="BI287" t="s">
        <v>3</v>
      </c>
      <c r="BJ287" t="s">
        <v>4998</v>
      </c>
      <c r="BK287" t="s">
        <v>3</v>
      </c>
      <c r="BL287" t="s">
        <v>96</v>
      </c>
      <c r="BM287" t="s">
        <v>1</v>
      </c>
      <c r="BN287">
        <v>12900</v>
      </c>
      <c r="BO287" t="s">
        <v>1</v>
      </c>
      <c r="BP287" t="s">
        <v>1</v>
      </c>
      <c r="BQ287" t="s">
        <v>1</v>
      </c>
      <c r="BR287" t="s">
        <v>1</v>
      </c>
      <c r="BS287" t="s">
        <v>1</v>
      </c>
      <c r="BT287" t="s">
        <v>1</v>
      </c>
      <c r="BU287" t="s">
        <v>1</v>
      </c>
      <c r="BV287" t="s">
        <v>1</v>
      </c>
      <c r="BW287" t="s">
        <v>0</v>
      </c>
      <c r="BX287" t="s">
        <v>1</v>
      </c>
      <c r="BY287" t="s">
        <v>1</v>
      </c>
      <c r="BZ287" t="s">
        <v>1</v>
      </c>
      <c r="CA287" t="s">
        <v>1</v>
      </c>
      <c r="CB287" t="s">
        <v>1</v>
      </c>
      <c r="CD287" t="e" cm="1">
        <f t="array" aca="1" ref="CD287" ca="1">eConcatenar(A287:CB287,"|")</f>
        <v>#NAME?</v>
      </c>
    </row>
    <row r="288" spans="1:82" x14ac:dyDescent="0.25">
      <c r="A288" t="s">
        <v>383</v>
      </c>
      <c r="B288" t="s">
        <v>1394</v>
      </c>
      <c r="C288">
        <v>3</v>
      </c>
      <c r="D288" t="s">
        <v>2154</v>
      </c>
      <c r="E288" t="s">
        <v>2158</v>
      </c>
      <c r="F288" t="s">
        <v>2160</v>
      </c>
      <c r="G288" t="s">
        <v>2338</v>
      </c>
      <c r="H288" t="s">
        <v>2728</v>
      </c>
      <c r="I288">
        <v>24500</v>
      </c>
      <c r="J288">
        <v>0</v>
      </c>
      <c r="K288">
        <v>200</v>
      </c>
      <c r="L288">
        <v>50</v>
      </c>
      <c r="M288">
        <v>1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 t="s">
        <v>3115</v>
      </c>
      <c r="AC288" t="s">
        <v>3241</v>
      </c>
      <c r="AD288" t="s">
        <v>3529</v>
      </c>
      <c r="AE288" t="s">
        <v>4</v>
      </c>
      <c r="AF288" t="s">
        <v>1</v>
      </c>
      <c r="AG288" t="s">
        <v>1</v>
      </c>
      <c r="AH288" t="s">
        <v>4313</v>
      </c>
      <c r="AI288" t="s">
        <v>2338</v>
      </c>
      <c r="AJ288" t="s">
        <v>1</v>
      </c>
      <c r="AK288">
        <v>9371176629</v>
      </c>
      <c r="AL288" t="s">
        <v>1</v>
      </c>
      <c r="AM288" t="s">
        <v>1</v>
      </c>
      <c r="AN288" t="s">
        <v>1</v>
      </c>
      <c r="AO288" t="s">
        <v>4313</v>
      </c>
      <c r="AP288" t="s">
        <v>1</v>
      </c>
      <c r="AQ288" t="s">
        <v>2</v>
      </c>
      <c r="AR288" t="s">
        <v>1</v>
      </c>
      <c r="AS288" t="s">
        <v>1</v>
      </c>
      <c r="AT288" t="s">
        <v>1</v>
      </c>
      <c r="AU288" t="s">
        <v>1</v>
      </c>
      <c r="AV288" t="s">
        <v>1</v>
      </c>
      <c r="AW288" t="s">
        <v>9</v>
      </c>
      <c r="AX288">
        <f>Tabla1[[#This Row],[precio del paquete]]-Tabla1[[#This Row],[Saldo_Deudor]]</f>
        <v>200</v>
      </c>
      <c r="AY288">
        <v>24300</v>
      </c>
      <c r="AZ288">
        <v>0</v>
      </c>
      <c r="BA288">
        <v>0</v>
      </c>
      <c r="BB288">
        <v>0</v>
      </c>
      <c r="BC288" t="s">
        <v>2728</v>
      </c>
      <c r="BD288" t="s">
        <v>4934</v>
      </c>
      <c r="BE288" t="s">
        <v>3</v>
      </c>
      <c r="BF288" t="s">
        <v>3</v>
      </c>
      <c r="BG288" t="s">
        <v>3</v>
      </c>
      <c r="BH288" t="s">
        <v>3</v>
      </c>
      <c r="BI288" t="s">
        <v>3</v>
      </c>
      <c r="BJ288" t="s">
        <v>4985</v>
      </c>
      <c r="BK288" t="s">
        <v>3</v>
      </c>
      <c r="BL288" t="s">
        <v>96</v>
      </c>
      <c r="BM288" t="s">
        <v>1</v>
      </c>
      <c r="BN288">
        <v>24500</v>
      </c>
      <c r="BO288" t="s">
        <v>1</v>
      </c>
      <c r="BP288" t="s">
        <v>1</v>
      </c>
      <c r="BQ288" t="s">
        <v>1</v>
      </c>
      <c r="BR288" t="s">
        <v>1</v>
      </c>
      <c r="BS288" t="s">
        <v>1</v>
      </c>
      <c r="BT288" t="s">
        <v>1</v>
      </c>
      <c r="BU288" t="s">
        <v>1</v>
      </c>
      <c r="BV288" t="s">
        <v>1</v>
      </c>
      <c r="BW288" t="s">
        <v>0</v>
      </c>
      <c r="BX288" t="s">
        <v>1</v>
      </c>
      <c r="BY288" t="s">
        <v>1</v>
      </c>
      <c r="BZ288" t="s">
        <v>1</v>
      </c>
      <c r="CA288" t="s">
        <v>1</v>
      </c>
      <c r="CB288" t="s">
        <v>1</v>
      </c>
      <c r="CD288" t="e" cm="1">
        <f t="array" aca="1" ref="CD288" ca="1">eConcatenar(A288:CB288,"|")</f>
        <v>#NAME?</v>
      </c>
    </row>
    <row r="289" spans="1:82" x14ac:dyDescent="0.25">
      <c r="A289" t="s">
        <v>384</v>
      </c>
      <c r="B289" t="s">
        <v>1395</v>
      </c>
      <c r="C289">
        <v>3</v>
      </c>
      <c r="D289" t="s">
        <v>2154</v>
      </c>
      <c r="E289" t="s">
        <v>2158</v>
      </c>
      <c r="F289" t="s">
        <v>0</v>
      </c>
      <c r="G289" t="s">
        <v>2338</v>
      </c>
      <c r="H289" t="s">
        <v>2863</v>
      </c>
      <c r="I289">
        <v>24500</v>
      </c>
      <c r="J289">
        <v>0</v>
      </c>
      <c r="K289">
        <v>100</v>
      </c>
      <c r="L289">
        <v>50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 t="s">
        <v>3180</v>
      </c>
      <c r="AC289" t="s">
        <v>3530</v>
      </c>
      <c r="AD289" t="s">
        <v>3531</v>
      </c>
      <c r="AE289" t="s">
        <v>4</v>
      </c>
      <c r="AF289" t="s">
        <v>1</v>
      </c>
      <c r="AG289" t="s">
        <v>1</v>
      </c>
      <c r="AH289" t="s">
        <v>4314</v>
      </c>
      <c r="AI289" t="s">
        <v>2338</v>
      </c>
      <c r="AJ289" t="s">
        <v>1</v>
      </c>
      <c r="AK289">
        <v>9371549821</v>
      </c>
      <c r="AL289" t="s">
        <v>1</v>
      </c>
      <c r="AM289" t="s">
        <v>1</v>
      </c>
      <c r="AN289" t="s">
        <v>1</v>
      </c>
      <c r="AO289" t="s">
        <v>4314</v>
      </c>
      <c r="AP289" t="s">
        <v>1</v>
      </c>
      <c r="AQ289" t="s">
        <v>2</v>
      </c>
      <c r="AR289" t="s">
        <v>1</v>
      </c>
      <c r="AS289" t="s">
        <v>1</v>
      </c>
      <c r="AT289" t="s">
        <v>1</v>
      </c>
      <c r="AU289" t="s">
        <v>1</v>
      </c>
      <c r="AV289" t="s">
        <v>1</v>
      </c>
      <c r="AW289" t="s">
        <v>9</v>
      </c>
      <c r="AX289">
        <f>Tabla1[[#This Row],[precio del paquete]]-Tabla1[[#This Row],[Saldo_Deudor]]</f>
        <v>2600</v>
      </c>
      <c r="AY289">
        <v>21900</v>
      </c>
      <c r="AZ289">
        <v>0</v>
      </c>
      <c r="BA289">
        <v>0</v>
      </c>
      <c r="BB289">
        <v>0</v>
      </c>
      <c r="BC289" t="s">
        <v>2699</v>
      </c>
      <c r="BD289" t="s">
        <v>4854</v>
      </c>
      <c r="BE289" t="s">
        <v>3</v>
      </c>
      <c r="BF289" t="s">
        <v>3</v>
      </c>
      <c r="BG289" t="s">
        <v>3</v>
      </c>
      <c r="BH289" t="s">
        <v>3</v>
      </c>
      <c r="BI289" t="s">
        <v>3</v>
      </c>
      <c r="BJ289" t="s">
        <v>4985</v>
      </c>
      <c r="BK289" t="s">
        <v>3</v>
      </c>
      <c r="BL289" t="s">
        <v>96</v>
      </c>
      <c r="BM289" t="s">
        <v>1</v>
      </c>
      <c r="BN289">
        <v>24500</v>
      </c>
      <c r="BO289" t="s">
        <v>1</v>
      </c>
      <c r="BP289" t="s">
        <v>1</v>
      </c>
      <c r="BQ289" t="s">
        <v>1</v>
      </c>
      <c r="BR289" t="s">
        <v>1</v>
      </c>
      <c r="BS289" t="s">
        <v>1</v>
      </c>
      <c r="BT289" t="s">
        <v>1</v>
      </c>
      <c r="BU289" t="s">
        <v>1</v>
      </c>
      <c r="BV289" t="s">
        <v>1</v>
      </c>
      <c r="BW289" t="s">
        <v>0</v>
      </c>
      <c r="BX289" t="s">
        <v>1</v>
      </c>
      <c r="BY289" t="s">
        <v>1</v>
      </c>
      <c r="BZ289" t="s">
        <v>1</v>
      </c>
      <c r="CA289" t="s">
        <v>1</v>
      </c>
      <c r="CB289" t="s">
        <v>1</v>
      </c>
      <c r="CD289" t="e" cm="1">
        <f t="array" aca="1" ref="CD289" ca="1">eConcatenar(A289:CB289,"|")</f>
        <v>#NAME?</v>
      </c>
    </row>
    <row r="290" spans="1:82" x14ac:dyDescent="0.25">
      <c r="A290" t="s">
        <v>385</v>
      </c>
      <c r="B290" t="s">
        <v>1396</v>
      </c>
      <c r="C290">
        <v>3</v>
      </c>
      <c r="D290" t="s">
        <v>2154</v>
      </c>
      <c r="E290" t="s">
        <v>2158</v>
      </c>
      <c r="F290" t="s">
        <v>0</v>
      </c>
      <c r="G290" t="s">
        <v>2339</v>
      </c>
      <c r="H290" t="s">
        <v>2722</v>
      </c>
      <c r="I290">
        <v>24500</v>
      </c>
      <c r="J290">
        <v>0</v>
      </c>
      <c r="K290">
        <v>500</v>
      </c>
      <c r="L290">
        <v>50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 t="s">
        <v>3132</v>
      </c>
      <c r="AC290" t="s">
        <v>3472</v>
      </c>
      <c r="AD290" t="s">
        <v>3532</v>
      </c>
      <c r="AE290" t="s">
        <v>4</v>
      </c>
      <c r="AF290" t="s">
        <v>1</v>
      </c>
      <c r="AG290" t="s">
        <v>1</v>
      </c>
      <c r="AH290" t="s">
        <v>4315</v>
      </c>
      <c r="AI290" t="s">
        <v>2339</v>
      </c>
      <c r="AJ290" t="s">
        <v>1</v>
      </c>
      <c r="AK290">
        <v>9372830839</v>
      </c>
      <c r="AL290" t="s">
        <v>1</v>
      </c>
      <c r="AM290" t="s">
        <v>1</v>
      </c>
      <c r="AN290" t="s">
        <v>1</v>
      </c>
      <c r="AO290" t="s">
        <v>4315</v>
      </c>
      <c r="AP290" t="s">
        <v>1</v>
      </c>
      <c r="AQ290" t="s">
        <v>2</v>
      </c>
      <c r="AR290" t="s">
        <v>1</v>
      </c>
      <c r="AS290" t="s">
        <v>1</v>
      </c>
      <c r="AT290" t="s">
        <v>1</v>
      </c>
      <c r="AU290" t="s">
        <v>1</v>
      </c>
      <c r="AV290" t="s">
        <v>1</v>
      </c>
      <c r="AW290" t="s">
        <v>9</v>
      </c>
      <c r="AX290">
        <f>Tabla1[[#This Row],[precio del paquete]]-Tabla1[[#This Row],[Saldo_Deudor]]</f>
        <v>600</v>
      </c>
      <c r="AY290">
        <v>23900</v>
      </c>
      <c r="AZ290">
        <v>0</v>
      </c>
      <c r="BA290">
        <v>0</v>
      </c>
      <c r="BB290">
        <v>0</v>
      </c>
      <c r="BC290" t="s">
        <v>3061</v>
      </c>
      <c r="BD290" t="s">
        <v>3040</v>
      </c>
      <c r="BE290" t="s">
        <v>3</v>
      </c>
      <c r="BF290" t="s">
        <v>3</v>
      </c>
      <c r="BG290" t="s">
        <v>3</v>
      </c>
      <c r="BH290" t="s">
        <v>3</v>
      </c>
      <c r="BI290" t="s">
        <v>3</v>
      </c>
      <c r="BJ290" t="s">
        <v>4987</v>
      </c>
      <c r="BK290" t="s">
        <v>3</v>
      </c>
      <c r="BL290" t="s">
        <v>96</v>
      </c>
      <c r="BM290" t="s">
        <v>1</v>
      </c>
      <c r="BN290">
        <v>24500</v>
      </c>
      <c r="BO290" t="s">
        <v>1</v>
      </c>
      <c r="BP290" t="s">
        <v>1</v>
      </c>
      <c r="BQ290" t="s">
        <v>1</v>
      </c>
      <c r="BR290" t="s">
        <v>1</v>
      </c>
      <c r="BS290" t="s">
        <v>1</v>
      </c>
      <c r="BT290" t="s">
        <v>1</v>
      </c>
      <c r="BU290" t="s">
        <v>1</v>
      </c>
      <c r="BV290" t="s">
        <v>1</v>
      </c>
      <c r="BW290" t="s">
        <v>0</v>
      </c>
      <c r="BX290" t="s">
        <v>1</v>
      </c>
      <c r="BY290" t="s">
        <v>1</v>
      </c>
      <c r="BZ290" t="s">
        <v>1</v>
      </c>
      <c r="CA290" t="s">
        <v>1</v>
      </c>
      <c r="CB290" t="s">
        <v>1</v>
      </c>
      <c r="CD290" t="e" cm="1">
        <f t="array" aca="1" ref="CD290" ca="1">eConcatenar(A290:CB290,"|")</f>
        <v>#NAME?</v>
      </c>
    </row>
    <row r="291" spans="1:82" x14ac:dyDescent="0.25">
      <c r="A291" t="s">
        <v>386</v>
      </c>
      <c r="B291" t="s">
        <v>1397</v>
      </c>
      <c r="C291">
        <v>3</v>
      </c>
      <c r="D291" t="s">
        <v>2153</v>
      </c>
      <c r="E291" t="s">
        <v>2158</v>
      </c>
      <c r="F291" t="s">
        <v>2162</v>
      </c>
      <c r="G291" t="s">
        <v>2340</v>
      </c>
      <c r="H291" t="s">
        <v>2710</v>
      </c>
      <c r="I291">
        <v>14800</v>
      </c>
      <c r="J291">
        <v>0</v>
      </c>
      <c r="K291">
        <v>200</v>
      </c>
      <c r="L291">
        <v>50</v>
      </c>
      <c r="M291">
        <v>1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 t="s">
        <v>6</v>
      </c>
      <c r="AC291" t="s">
        <v>3146</v>
      </c>
      <c r="AD291" t="s">
        <v>3441</v>
      </c>
      <c r="AE291" t="s">
        <v>4</v>
      </c>
      <c r="AF291" t="s">
        <v>1</v>
      </c>
      <c r="AG291" t="s">
        <v>1</v>
      </c>
      <c r="AH291" t="s">
        <v>4316</v>
      </c>
      <c r="AI291" t="s">
        <v>2340</v>
      </c>
      <c r="AJ291" t="s">
        <v>1</v>
      </c>
      <c r="AK291">
        <v>9331023422</v>
      </c>
      <c r="AL291" t="s">
        <v>1</v>
      </c>
      <c r="AM291" t="s">
        <v>1</v>
      </c>
      <c r="AN291" t="s">
        <v>1</v>
      </c>
      <c r="AO291" t="s">
        <v>4316</v>
      </c>
      <c r="AP291" t="s">
        <v>1</v>
      </c>
      <c r="AQ291" t="s">
        <v>2</v>
      </c>
      <c r="AR291" t="s">
        <v>1</v>
      </c>
      <c r="AS291" t="s">
        <v>1</v>
      </c>
      <c r="AT291" t="s">
        <v>1</v>
      </c>
      <c r="AU291" t="s">
        <v>1</v>
      </c>
      <c r="AV291" t="s">
        <v>1</v>
      </c>
      <c r="AW291" t="s">
        <v>9</v>
      </c>
      <c r="AX291">
        <f>Tabla1[[#This Row],[precio del paquete]]-Tabla1[[#This Row],[Saldo_Deudor]]</f>
        <v>1800</v>
      </c>
      <c r="AY291">
        <v>13000</v>
      </c>
      <c r="AZ291">
        <v>0</v>
      </c>
      <c r="BA291">
        <v>0</v>
      </c>
      <c r="BB291">
        <v>0</v>
      </c>
      <c r="BC291" t="s">
        <v>4841</v>
      </c>
      <c r="BD291" t="s">
        <v>4926</v>
      </c>
      <c r="BE291" t="s">
        <v>3</v>
      </c>
      <c r="BF291" t="s">
        <v>3</v>
      </c>
      <c r="BG291" t="s">
        <v>3</v>
      </c>
      <c r="BH291" t="s">
        <v>3</v>
      </c>
      <c r="BI291" t="s">
        <v>3</v>
      </c>
      <c r="BJ291" t="s">
        <v>4994</v>
      </c>
      <c r="BK291" t="s">
        <v>3</v>
      </c>
      <c r="BL291" t="s">
        <v>96</v>
      </c>
      <c r="BM291" t="s">
        <v>1</v>
      </c>
      <c r="BN291">
        <v>14800</v>
      </c>
      <c r="BO291" t="s">
        <v>1</v>
      </c>
      <c r="BP291" t="s">
        <v>1</v>
      </c>
      <c r="BQ291" t="s">
        <v>1</v>
      </c>
      <c r="BR291" t="s">
        <v>1</v>
      </c>
      <c r="BS291" t="s">
        <v>1</v>
      </c>
      <c r="BT291" t="s">
        <v>1</v>
      </c>
      <c r="BU291" t="s">
        <v>1</v>
      </c>
      <c r="BV291" t="s">
        <v>1</v>
      </c>
      <c r="BW291" t="s">
        <v>0</v>
      </c>
      <c r="BX291" t="s">
        <v>1</v>
      </c>
      <c r="BY291" t="s">
        <v>1</v>
      </c>
      <c r="BZ291" t="s">
        <v>1</v>
      </c>
      <c r="CA291" t="s">
        <v>1</v>
      </c>
      <c r="CB291" t="s">
        <v>1</v>
      </c>
      <c r="CD291" t="e" cm="1">
        <f t="array" aca="1" ref="CD291" ca="1">eConcatenar(A291:CB291,"|")</f>
        <v>#NAME?</v>
      </c>
    </row>
    <row r="292" spans="1:82" x14ac:dyDescent="0.25">
      <c r="A292" t="s">
        <v>387</v>
      </c>
      <c r="B292" t="s">
        <v>1399</v>
      </c>
      <c r="C292">
        <v>3</v>
      </c>
      <c r="D292" t="s">
        <v>2157</v>
      </c>
      <c r="E292" t="s">
        <v>2158</v>
      </c>
      <c r="F292" t="s">
        <v>2162</v>
      </c>
      <c r="G292" t="s">
        <v>2341</v>
      </c>
      <c r="H292" t="s">
        <v>2864</v>
      </c>
      <c r="I292">
        <v>12900</v>
      </c>
      <c r="J292">
        <v>0</v>
      </c>
      <c r="K292">
        <v>200</v>
      </c>
      <c r="L292">
        <v>50</v>
      </c>
      <c r="M292">
        <v>1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 t="s">
        <v>3180</v>
      </c>
      <c r="AC292" t="s">
        <v>3533</v>
      </c>
      <c r="AD292" t="s">
        <v>3534</v>
      </c>
      <c r="AE292" t="s">
        <v>4</v>
      </c>
      <c r="AF292" t="s">
        <v>1</v>
      </c>
      <c r="AG292" t="s">
        <v>1</v>
      </c>
      <c r="AH292" t="s">
        <v>4317</v>
      </c>
      <c r="AI292" t="s">
        <v>2341</v>
      </c>
      <c r="AJ292" t="s">
        <v>1</v>
      </c>
      <c r="AK292">
        <v>9331136399</v>
      </c>
      <c r="AL292" t="s">
        <v>1</v>
      </c>
      <c r="AM292" t="s">
        <v>1</v>
      </c>
      <c r="AN292" t="s">
        <v>1</v>
      </c>
      <c r="AO292" t="s">
        <v>4317</v>
      </c>
      <c r="AP292" t="s">
        <v>1</v>
      </c>
      <c r="AQ292" t="s">
        <v>2</v>
      </c>
      <c r="AR292" t="s">
        <v>1</v>
      </c>
      <c r="AS292" t="s">
        <v>1</v>
      </c>
      <c r="AT292" t="s">
        <v>1</v>
      </c>
      <c r="AU292" t="s">
        <v>1</v>
      </c>
      <c r="AV292" t="s">
        <v>1</v>
      </c>
      <c r="AW292" t="s">
        <v>9</v>
      </c>
      <c r="AX292">
        <f>Tabla1[[#This Row],[precio del paquete]]-Tabla1[[#This Row],[Saldo_Deudor]]</f>
        <v>11000</v>
      </c>
      <c r="AY292">
        <v>1900</v>
      </c>
      <c r="AZ292">
        <v>0</v>
      </c>
      <c r="BA292">
        <v>0</v>
      </c>
      <c r="BB292">
        <v>0</v>
      </c>
      <c r="BC292" t="s">
        <v>2905</v>
      </c>
      <c r="BD292" t="s">
        <v>3024</v>
      </c>
      <c r="BE292" t="s">
        <v>3</v>
      </c>
      <c r="BF292" t="s">
        <v>3</v>
      </c>
      <c r="BG292" t="s">
        <v>3</v>
      </c>
      <c r="BH292" t="s">
        <v>3</v>
      </c>
      <c r="BI292" t="s">
        <v>3</v>
      </c>
      <c r="BJ292" t="s">
        <v>4999</v>
      </c>
      <c r="BK292" t="s">
        <v>3</v>
      </c>
      <c r="BL292" t="s">
        <v>96</v>
      </c>
      <c r="BM292" t="s">
        <v>1</v>
      </c>
      <c r="BN292">
        <v>12900</v>
      </c>
      <c r="BO292" t="s">
        <v>1</v>
      </c>
      <c r="BP292" t="s">
        <v>1</v>
      </c>
      <c r="BQ292" t="s">
        <v>1</v>
      </c>
      <c r="BR292" t="s">
        <v>1</v>
      </c>
      <c r="BS292" t="s">
        <v>1</v>
      </c>
      <c r="BT292" t="s">
        <v>1</v>
      </c>
      <c r="BU292" t="s">
        <v>1</v>
      </c>
      <c r="BV292" t="s">
        <v>1</v>
      </c>
      <c r="BW292" t="s">
        <v>0</v>
      </c>
      <c r="BX292" t="s">
        <v>1</v>
      </c>
      <c r="BY292" t="s">
        <v>1</v>
      </c>
      <c r="BZ292" t="s">
        <v>1</v>
      </c>
      <c r="CA292" t="s">
        <v>1</v>
      </c>
      <c r="CB292" t="s">
        <v>1</v>
      </c>
      <c r="CD292" t="e" cm="1">
        <f t="array" aca="1" ref="CD292" ca="1">eConcatenar(A292:CB292,"|")</f>
        <v>#NAME?</v>
      </c>
    </row>
    <row r="293" spans="1:82" x14ac:dyDescent="0.25">
      <c r="A293" t="s">
        <v>388</v>
      </c>
      <c r="B293" t="s">
        <v>1400</v>
      </c>
      <c r="C293">
        <v>3</v>
      </c>
      <c r="D293" t="s">
        <v>2153</v>
      </c>
      <c r="E293" t="s">
        <v>2158</v>
      </c>
      <c r="F293" t="s">
        <v>2162</v>
      </c>
      <c r="G293" t="s">
        <v>2341</v>
      </c>
      <c r="H293" t="s">
        <v>2755</v>
      </c>
      <c r="I293">
        <v>14800</v>
      </c>
      <c r="J293">
        <v>0</v>
      </c>
      <c r="K293">
        <v>50</v>
      </c>
      <c r="L293">
        <v>50</v>
      </c>
      <c r="M293">
        <v>1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 t="s">
        <v>3367</v>
      </c>
      <c r="AC293" t="s">
        <v>3295</v>
      </c>
      <c r="AD293" t="s">
        <v>3489</v>
      </c>
      <c r="AE293" t="s">
        <v>4</v>
      </c>
      <c r="AF293" t="s">
        <v>1</v>
      </c>
      <c r="AG293" t="s">
        <v>1</v>
      </c>
      <c r="AH293" t="s">
        <v>4318</v>
      </c>
      <c r="AI293" t="s">
        <v>2341</v>
      </c>
      <c r="AJ293" t="s">
        <v>1</v>
      </c>
      <c r="AK293">
        <v>9331319082</v>
      </c>
      <c r="AL293" t="s">
        <v>1</v>
      </c>
      <c r="AM293" t="s">
        <v>1</v>
      </c>
      <c r="AN293" t="s">
        <v>1</v>
      </c>
      <c r="AO293" t="s">
        <v>4318</v>
      </c>
      <c r="AP293" t="s">
        <v>1</v>
      </c>
      <c r="AQ293" t="s">
        <v>2</v>
      </c>
      <c r="AR293" t="s">
        <v>1</v>
      </c>
      <c r="AS293" t="s">
        <v>1</v>
      </c>
      <c r="AT293" t="s">
        <v>1</v>
      </c>
      <c r="AU293" t="s">
        <v>1</v>
      </c>
      <c r="AV293" t="s">
        <v>1</v>
      </c>
      <c r="AW293" t="s">
        <v>9</v>
      </c>
      <c r="AX293">
        <f>Tabla1[[#This Row],[precio del paquete]]-Tabla1[[#This Row],[Saldo_Deudor]]</f>
        <v>550</v>
      </c>
      <c r="AY293">
        <v>14250</v>
      </c>
      <c r="AZ293">
        <v>0</v>
      </c>
      <c r="BA293">
        <v>0</v>
      </c>
      <c r="BB293">
        <v>0</v>
      </c>
      <c r="BC293" t="s">
        <v>2905</v>
      </c>
      <c r="BD293" t="s">
        <v>3024</v>
      </c>
      <c r="BE293" t="s">
        <v>3</v>
      </c>
      <c r="BF293" t="s">
        <v>3</v>
      </c>
      <c r="BG293" t="s">
        <v>3</v>
      </c>
      <c r="BH293" t="s">
        <v>3</v>
      </c>
      <c r="BI293" t="s">
        <v>3</v>
      </c>
      <c r="BJ293" t="s">
        <v>5000</v>
      </c>
      <c r="BK293" t="s">
        <v>3</v>
      </c>
      <c r="BL293" t="s">
        <v>96</v>
      </c>
      <c r="BM293" t="s">
        <v>1</v>
      </c>
      <c r="BN293">
        <v>14800</v>
      </c>
      <c r="BO293" t="s">
        <v>1</v>
      </c>
      <c r="BP293" t="s">
        <v>1</v>
      </c>
      <c r="BQ293" t="s">
        <v>1</v>
      </c>
      <c r="BR293" t="s">
        <v>1</v>
      </c>
      <c r="BS293" t="s">
        <v>1</v>
      </c>
      <c r="BT293" t="s">
        <v>1</v>
      </c>
      <c r="BU293" t="s">
        <v>1</v>
      </c>
      <c r="BV293" t="s">
        <v>1</v>
      </c>
      <c r="BW293" t="s">
        <v>0</v>
      </c>
      <c r="BX293" t="s">
        <v>1</v>
      </c>
      <c r="BY293" t="s">
        <v>1</v>
      </c>
      <c r="BZ293" t="s">
        <v>1</v>
      </c>
      <c r="CA293" t="s">
        <v>1</v>
      </c>
      <c r="CB293" t="s">
        <v>1</v>
      </c>
      <c r="CD293" t="e" cm="1">
        <f t="array" aca="1" ref="CD293" ca="1">eConcatenar(A293:CB293,"|")</f>
        <v>#NAME?</v>
      </c>
    </row>
    <row r="294" spans="1:82" x14ac:dyDescent="0.25">
      <c r="A294" t="s">
        <v>389</v>
      </c>
      <c r="B294" t="s">
        <v>1401</v>
      </c>
      <c r="C294">
        <v>3</v>
      </c>
      <c r="D294" t="s">
        <v>2153</v>
      </c>
      <c r="E294" t="s">
        <v>2158</v>
      </c>
      <c r="F294" t="s">
        <v>2162</v>
      </c>
      <c r="G294" t="s">
        <v>2341</v>
      </c>
      <c r="H294" t="s">
        <v>2755</v>
      </c>
      <c r="I294">
        <v>14800</v>
      </c>
      <c r="J294">
        <v>0</v>
      </c>
      <c r="K294">
        <v>50</v>
      </c>
      <c r="L294">
        <v>50</v>
      </c>
      <c r="M294">
        <v>1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 t="s">
        <v>3115</v>
      </c>
      <c r="AC294" t="s">
        <v>3535</v>
      </c>
      <c r="AD294" t="s">
        <v>3536</v>
      </c>
      <c r="AE294" t="s">
        <v>4</v>
      </c>
      <c r="AF294" t="s">
        <v>1</v>
      </c>
      <c r="AG294" t="s">
        <v>1</v>
      </c>
      <c r="AH294" t="s">
        <v>4318</v>
      </c>
      <c r="AI294" t="s">
        <v>2341</v>
      </c>
      <c r="AJ294" t="s">
        <v>1</v>
      </c>
      <c r="AK294">
        <v>9331636215</v>
      </c>
      <c r="AL294" t="s">
        <v>1</v>
      </c>
      <c r="AM294" t="s">
        <v>1</v>
      </c>
      <c r="AN294" t="s">
        <v>1</v>
      </c>
      <c r="AO294" t="s">
        <v>4318</v>
      </c>
      <c r="AP294" t="s">
        <v>1</v>
      </c>
      <c r="AQ294" t="s">
        <v>2</v>
      </c>
      <c r="AR294" t="s">
        <v>1</v>
      </c>
      <c r="AS294" t="s">
        <v>1</v>
      </c>
      <c r="AT294" t="s">
        <v>1</v>
      </c>
      <c r="AU294" t="s">
        <v>1</v>
      </c>
      <c r="AV294" t="s">
        <v>1</v>
      </c>
      <c r="AW294" t="s">
        <v>9</v>
      </c>
      <c r="AX294">
        <f>Tabla1[[#This Row],[precio del paquete]]-Tabla1[[#This Row],[Saldo_Deudor]]</f>
        <v>250</v>
      </c>
      <c r="AY294">
        <v>14550</v>
      </c>
      <c r="AZ294">
        <v>0</v>
      </c>
      <c r="BA294">
        <v>0</v>
      </c>
      <c r="BB294">
        <v>0</v>
      </c>
      <c r="BC294" t="s">
        <v>2905</v>
      </c>
      <c r="BD294" t="s">
        <v>3024</v>
      </c>
      <c r="BE294" t="s">
        <v>3</v>
      </c>
      <c r="BF294" t="s">
        <v>3</v>
      </c>
      <c r="BG294" t="s">
        <v>3</v>
      </c>
      <c r="BH294" t="s">
        <v>3</v>
      </c>
      <c r="BI294" t="s">
        <v>3</v>
      </c>
      <c r="BJ294" t="s">
        <v>5000</v>
      </c>
      <c r="BK294" t="s">
        <v>3</v>
      </c>
      <c r="BL294" t="s">
        <v>96</v>
      </c>
      <c r="BM294" t="s">
        <v>1</v>
      </c>
      <c r="BN294">
        <v>14800</v>
      </c>
      <c r="BO294" t="s">
        <v>1</v>
      </c>
      <c r="BP294" t="s">
        <v>1</v>
      </c>
      <c r="BQ294" t="s">
        <v>1</v>
      </c>
      <c r="BR294" t="s">
        <v>1</v>
      </c>
      <c r="BS294" t="s">
        <v>1</v>
      </c>
      <c r="BT294" t="s">
        <v>1</v>
      </c>
      <c r="BU294" t="s">
        <v>1</v>
      </c>
      <c r="BV294" t="s">
        <v>1</v>
      </c>
      <c r="BW294" t="s">
        <v>0</v>
      </c>
      <c r="BX294" t="s">
        <v>1</v>
      </c>
      <c r="BY294" t="s">
        <v>1</v>
      </c>
      <c r="BZ294" t="s">
        <v>1</v>
      </c>
      <c r="CA294" t="s">
        <v>1</v>
      </c>
      <c r="CB294" t="s">
        <v>1</v>
      </c>
      <c r="CD294" t="e" cm="1">
        <f t="array" aca="1" ref="CD294" ca="1">eConcatenar(A294:CB294,"|")</f>
        <v>#NAME?</v>
      </c>
    </row>
    <row r="295" spans="1:82" x14ac:dyDescent="0.25">
      <c r="A295" t="s">
        <v>390</v>
      </c>
      <c r="B295" t="s">
        <v>1402</v>
      </c>
      <c r="C295">
        <v>3</v>
      </c>
      <c r="D295" t="s">
        <v>2154</v>
      </c>
      <c r="E295" t="s">
        <v>2158</v>
      </c>
      <c r="F295" t="s">
        <v>2162</v>
      </c>
      <c r="G295" t="s">
        <v>2341</v>
      </c>
      <c r="H295" t="s">
        <v>2865</v>
      </c>
      <c r="I295">
        <v>24500</v>
      </c>
      <c r="J295">
        <v>0</v>
      </c>
      <c r="K295">
        <v>200</v>
      </c>
      <c r="L295">
        <v>50</v>
      </c>
      <c r="M295">
        <v>1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 t="s">
        <v>3214</v>
      </c>
      <c r="AC295" t="s">
        <v>3115</v>
      </c>
      <c r="AD295" t="s">
        <v>3537</v>
      </c>
      <c r="AE295" t="s">
        <v>4</v>
      </c>
      <c r="AF295" t="s">
        <v>1</v>
      </c>
      <c r="AG295" t="s">
        <v>1</v>
      </c>
      <c r="AH295" t="s">
        <v>4319</v>
      </c>
      <c r="AI295" t="s">
        <v>2341</v>
      </c>
      <c r="AJ295" t="s">
        <v>1</v>
      </c>
      <c r="AK295">
        <v>9331325543</v>
      </c>
      <c r="AL295" t="s">
        <v>1</v>
      </c>
      <c r="AM295" t="s">
        <v>1</v>
      </c>
      <c r="AN295" t="s">
        <v>1</v>
      </c>
      <c r="AO295" t="s">
        <v>4319</v>
      </c>
      <c r="AP295" t="s">
        <v>1</v>
      </c>
      <c r="AQ295" t="s">
        <v>2</v>
      </c>
      <c r="AR295" t="s">
        <v>1</v>
      </c>
      <c r="AS295" t="s">
        <v>1</v>
      </c>
      <c r="AT295" t="s">
        <v>1</v>
      </c>
      <c r="AU295" t="s">
        <v>1</v>
      </c>
      <c r="AV295" t="s">
        <v>1</v>
      </c>
      <c r="AW295" t="s">
        <v>9</v>
      </c>
      <c r="AX295">
        <f>Tabla1[[#This Row],[precio del paquete]]-Tabla1[[#This Row],[Saldo_Deudor]]</f>
        <v>400</v>
      </c>
      <c r="AY295">
        <v>24100</v>
      </c>
      <c r="AZ295">
        <v>0</v>
      </c>
      <c r="BA295">
        <v>0</v>
      </c>
      <c r="BB295">
        <v>0</v>
      </c>
      <c r="BC295" t="s">
        <v>2905</v>
      </c>
      <c r="BD295" t="s">
        <v>3024</v>
      </c>
      <c r="BE295" t="s">
        <v>3</v>
      </c>
      <c r="BF295" t="s">
        <v>3</v>
      </c>
      <c r="BG295" t="s">
        <v>3</v>
      </c>
      <c r="BH295" t="s">
        <v>3</v>
      </c>
      <c r="BI295" t="s">
        <v>3</v>
      </c>
      <c r="BJ295" t="s">
        <v>5000</v>
      </c>
      <c r="BK295" t="s">
        <v>3</v>
      </c>
      <c r="BL295" t="s">
        <v>96</v>
      </c>
      <c r="BM295" t="s">
        <v>1</v>
      </c>
      <c r="BN295">
        <v>24500</v>
      </c>
      <c r="BO295" t="s">
        <v>1</v>
      </c>
      <c r="BP295" t="s">
        <v>1</v>
      </c>
      <c r="BQ295" t="s">
        <v>1</v>
      </c>
      <c r="BR295" t="s">
        <v>1</v>
      </c>
      <c r="BS295" t="s">
        <v>1</v>
      </c>
      <c r="BT295" t="s">
        <v>1</v>
      </c>
      <c r="BU295" t="s">
        <v>1</v>
      </c>
      <c r="BV295" t="s">
        <v>1</v>
      </c>
      <c r="BW295" t="s">
        <v>0</v>
      </c>
      <c r="BX295" t="s">
        <v>1</v>
      </c>
      <c r="BY295" t="s">
        <v>1</v>
      </c>
      <c r="BZ295" t="s">
        <v>1</v>
      </c>
      <c r="CA295" t="s">
        <v>1</v>
      </c>
      <c r="CB295" t="s">
        <v>1</v>
      </c>
      <c r="CD295" t="e" cm="1">
        <f t="array" aca="1" ref="CD295" ca="1">eConcatenar(A295:CB295,"|")</f>
        <v>#NAME?</v>
      </c>
    </row>
    <row r="296" spans="1:82" x14ac:dyDescent="0.25">
      <c r="A296" t="s">
        <v>391</v>
      </c>
      <c r="B296" t="s">
        <v>1403</v>
      </c>
      <c r="C296">
        <v>3</v>
      </c>
      <c r="D296" t="s">
        <v>2153</v>
      </c>
      <c r="E296" t="s">
        <v>2158</v>
      </c>
      <c r="F296" t="s">
        <v>2159</v>
      </c>
      <c r="G296" t="s">
        <v>2341</v>
      </c>
      <c r="H296" t="s">
        <v>2866</v>
      </c>
      <c r="I296">
        <v>14800</v>
      </c>
      <c r="J296">
        <v>0</v>
      </c>
      <c r="K296">
        <v>100</v>
      </c>
      <c r="L296">
        <v>50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 t="s">
        <v>3195</v>
      </c>
      <c r="AC296" t="s">
        <v>3214</v>
      </c>
      <c r="AD296" t="s">
        <v>3185</v>
      </c>
      <c r="AE296" t="s">
        <v>4</v>
      </c>
      <c r="AF296" t="s">
        <v>1</v>
      </c>
      <c r="AG296" t="s">
        <v>1</v>
      </c>
      <c r="AH296" t="s">
        <v>4320</v>
      </c>
      <c r="AI296" t="s">
        <v>2341</v>
      </c>
      <c r="AJ296" t="s">
        <v>1</v>
      </c>
      <c r="AK296">
        <v>9332072226</v>
      </c>
      <c r="AL296" t="s">
        <v>1</v>
      </c>
      <c r="AM296" t="s">
        <v>1</v>
      </c>
      <c r="AN296" t="s">
        <v>1</v>
      </c>
      <c r="AO296" t="s">
        <v>4320</v>
      </c>
      <c r="AP296" t="s">
        <v>1</v>
      </c>
      <c r="AQ296" t="s">
        <v>2</v>
      </c>
      <c r="AR296" t="s">
        <v>1</v>
      </c>
      <c r="AS296" t="s">
        <v>1</v>
      </c>
      <c r="AT296" t="s">
        <v>1</v>
      </c>
      <c r="AU296" t="s">
        <v>1</v>
      </c>
      <c r="AV296" t="s">
        <v>1</v>
      </c>
      <c r="AW296" t="s">
        <v>9</v>
      </c>
      <c r="AX296">
        <f>Tabla1[[#This Row],[precio del paquete]]-Tabla1[[#This Row],[Saldo_Deudor]]</f>
        <v>1300</v>
      </c>
      <c r="AY296">
        <v>13500</v>
      </c>
      <c r="AZ296">
        <v>0</v>
      </c>
      <c r="BA296">
        <v>0</v>
      </c>
      <c r="BB296">
        <v>0</v>
      </c>
      <c r="BC296" t="s">
        <v>2905</v>
      </c>
      <c r="BD296" t="s">
        <v>3024</v>
      </c>
      <c r="BE296" t="s">
        <v>3</v>
      </c>
      <c r="BF296" t="s">
        <v>3</v>
      </c>
      <c r="BG296" t="s">
        <v>3</v>
      </c>
      <c r="BH296" t="s">
        <v>3</v>
      </c>
      <c r="BI296" t="s">
        <v>3</v>
      </c>
      <c r="BJ296" t="s">
        <v>5000</v>
      </c>
      <c r="BK296" t="s">
        <v>3</v>
      </c>
      <c r="BL296" t="s">
        <v>96</v>
      </c>
      <c r="BM296" t="s">
        <v>1</v>
      </c>
      <c r="BN296">
        <v>14800</v>
      </c>
      <c r="BO296" t="s">
        <v>1</v>
      </c>
      <c r="BP296" t="s">
        <v>1</v>
      </c>
      <c r="BQ296" t="s">
        <v>1</v>
      </c>
      <c r="BR296" t="s">
        <v>1</v>
      </c>
      <c r="BS296" t="s">
        <v>1</v>
      </c>
      <c r="BT296" t="s">
        <v>1</v>
      </c>
      <c r="BU296" t="s">
        <v>1</v>
      </c>
      <c r="BV296" t="s">
        <v>1</v>
      </c>
      <c r="BW296" t="s">
        <v>0</v>
      </c>
      <c r="BX296" t="s">
        <v>1</v>
      </c>
      <c r="BY296" t="s">
        <v>1</v>
      </c>
      <c r="BZ296" t="s">
        <v>1</v>
      </c>
      <c r="CA296" t="s">
        <v>1</v>
      </c>
      <c r="CB296" t="s">
        <v>1</v>
      </c>
      <c r="CD296" t="e" cm="1">
        <f t="array" aca="1" ref="CD296" ca="1">eConcatenar(A296:CB296,"|")</f>
        <v>#NAME?</v>
      </c>
    </row>
    <row r="297" spans="1:82" x14ac:dyDescent="0.25">
      <c r="A297" t="s">
        <v>392</v>
      </c>
      <c r="B297" t="s">
        <v>1404</v>
      </c>
      <c r="C297">
        <v>3</v>
      </c>
      <c r="D297" t="s">
        <v>2153</v>
      </c>
      <c r="E297" t="s">
        <v>2158</v>
      </c>
      <c r="F297" t="s">
        <v>2159</v>
      </c>
      <c r="G297" t="s">
        <v>2341</v>
      </c>
      <c r="H297" t="s">
        <v>2802</v>
      </c>
      <c r="I297">
        <v>14800</v>
      </c>
      <c r="J297">
        <v>0</v>
      </c>
      <c r="K297">
        <v>100</v>
      </c>
      <c r="L297">
        <v>50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 t="s">
        <v>3129</v>
      </c>
      <c r="AC297" t="s">
        <v>3352</v>
      </c>
      <c r="AD297" t="s">
        <v>3538</v>
      </c>
      <c r="AE297" t="s">
        <v>4</v>
      </c>
      <c r="AF297" t="s">
        <v>1</v>
      </c>
      <c r="AG297" t="s">
        <v>1</v>
      </c>
      <c r="AH297" t="s">
        <v>4321</v>
      </c>
      <c r="AI297" t="s">
        <v>2341</v>
      </c>
      <c r="AJ297" t="s">
        <v>1</v>
      </c>
      <c r="AK297">
        <v>9331224880</v>
      </c>
      <c r="AL297" t="s">
        <v>1</v>
      </c>
      <c r="AM297" t="s">
        <v>1</v>
      </c>
      <c r="AN297" t="s">
        <v>1</v>
      </c>
      <c r="AO297" t="s">
        <v>4321</v>
      </c>
      <c r="AP297" t="s">
        <v>1</v>
      </c>
      <c r="AQ297" t="s">
        <v>2</v>
      </c>
      <c r="AR297" t="s">
        <v>1</v>
      </c>
      <c r="AS297" t="s">
        <v>1</v>
      </c>
      <c r="AT297" t="s">
        <v>1</v>
      </c>
      <c r="AU297" t="s">
        <v>1</v>
      </c>
      <c r="AV297" t="s">
        <v>1</v>
      </c>
      <c r="AW297" t="s">
        <v>9</v>
      </c>
      <c r="AX297">
        <f>Tabla1[[#This Row],[precio del paquete]]-Tabla1[[#This Row],[Saldo_Deudor]]</f>
        <v>900</v>
      </c>
      <c r="AY297">
        <v>13900</v>
      </c>
      <c r="AZ297">
        <v>0</v>
      </c>
      <c r="BA297">
        <v>0</v>
      </c>
      <c r="BB297">
        <v>0</v>
      </c>
      <c r="BC297" t="s">
        <v>4849</v>
      </c>
      <c r="BD297" t="s">
        <v>4935</v>
      </c>
      <c r="BE297" t="s">
        <v>3</v>
      </c>
      <c r="BF297" t="s">
        <v>3</v>
      </c>
      <c r="BG297" t="s">
        <v>3</v>
      </c>
      <c r="BH297" t="s">
        <v>3</v>
      </c>
      <c r="BI297" t="s">
        <v>3</v>
      </c>
      <c r="BJ297" t="s">
        <v>4993</v>
      </c>
      <c r="BK297" t="s">
        <v>3</v>
      </c>
      <c r="BL297" t="s">
        <v>96</v>
      </c>
      <c r="BM297" t="s">
        <v>1</v>
      </c>
      <c r="BN297">
        <v>14800</v>
      </c>
      <c r="BO297" t="s">
        <v>1</v>
      </c>
      <c r="BP297" t="s">
        <v>1</v>
      </c>
      <c r="BQ297" t="s">
        <v>1</v>
      </c>
      <c r="BR297" t="s">
        <v>1</v>
      </c>
      <c r="BS297" t="s">
        <v>1</v>
      </c>
      <c r="BT297" t="s">
        <v>1</v>
      </c>
      <c r="BU297" t="s">
        <v>1</v>
      </c>
      <c r="BV297" t="s">
        <v>1</v>
      </c>
      <c r="BW297" t="s">
        <v>0</v>
      </c>
      <c r="BX297" t="s">
        <v>1</v>
      </c>
      <c r="BY297" t="s">
        <v>1</v>
      </c>
      <c r="BZ297" t="s">
        <v>1</v>
      </c>
      <c r="CA297" t="s">
        <v>1</v>
      </c>
      <c r="CB297" t="s">
        <v>1</v>
      </c>
      <c r="CD297" t="e" cm="1">
        <f t="array" aca="1" ref="CD297" ca="1">eConcatenar(A297:CB297,"|")</f>
        <v>#NAME?</v>
      </c>
    </row>
    <row r="298" spans="1:82" x14ac:dyDescent="0.25">
      <c r="A298" t="s">
        <v>393</v>
      </c>
      <c r="B298" t="s">
        <v>1405</v>
      </c>
      <c r="C298">
        <v>3</v>
      </c>
      <c r="D298" t="s">
        <v>2153</v>
      </c>
      <c r="E298" t="s">
        <v>2158</v>
      </c>
      <c r="F298" t="s">
        <v>2159</v>
      </c>
      <c r="G298" t="s">
        <v>2341</v>
      </c>
      <c r="H298" t="s">
        <v>2867</v>
      </c>
      <c r="I298">
        <v>14800</v>
      </c>
      <c r="J298">
        <v>0</v>
      </c>
      <c r="K298">
        <v>100</v>
      </c>
      <c r="L298">
        <v>50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 t="s">
        <v>3276</v>
      </c>
      <c r="AC298" t="s">
        <v>3539</v>
      </c>
      <c r="AD298" t="s">
        <v>3220</v>
      </c>
      <c r="AE298" t="s">
        <v>4</v>
      </c>
      <c r="AF298" t="s">
        <v>1</v>
      </c>
      <c r="AG298" t="s">
        <v>1</v>
      </c>
      <c r="AH298" t="s">
        <v>4322</v>
      </c>
      <c r="AI298" t="s">
        <v>2341</v>
      </c>
      <c r="AJ298" t="s">
        <v>1</v>
      </c>
      <c r="AK298">
        <v>9331702265</v>
      </c>
      <c r="AL298" t="s">
        <v>1</v>
      </c>
      <c r="AM298" t="s">
        <v>1</v>
      </c>
      <c r="AN298" t="s">
        <v>1</v>
      </c>
      <c r="AO298" t="s">
        <v>4322</v>
      </c>
      <c r="AP298" t="s">
        <v>1</v>
      </c>
      <c r="AQ298" t="s">
        <v>2</v>
      </c>
      <c r="AR298" t="s">
        <v>1</v>
      </c>
      <c r="AS298" t="s">
        <v>1</v>
      </c>
      <c r="AT298" t="s">
        <v>1</v>
      </c>
      <c r="AU298" t="s">
        <v>1</v>
      </c>
      <c r="AV298" t="s">
        <v>1</v>
      </c>
      <c r="AW298" t="s">
        <v>9</v>
      </c>
      <c r="AX298">
        <f>Tabla1[[#This Row],[precio del paquete]]-Tabla1[[#This Row],[Saldo_Deudor]]</f>
        <v>2100</v>
      </c>
      <c r="AY298">
        <v>12700</v>
      </c>
      <c r="AZ298">
        <v>0</v>
      </c>
      <c r="BA298">
        <v>0</v>
      </c>
      <c r="BB298">
        <v>0</v>
      </c>
      <c r="BC298" t="s">
        <v>4826</v>
      </c>
      <c r="BD298" t="s">
        <v>2706</v>
      </c>
      <c r="BE298" t="s">
        <v>3</v>
      </c>
      <c r="BF298" t="s">
        <v>3</v>
      </c>
      <c r="BG298" t="s">
        <v>3</v>
      </c>
      <c r="BH298" t="s">
        <v>3</v>
      </c>
      <c r="BI298" t="s">
        <v>3</v>
      </c>
      <c r="BJ298" t="s">
        <v>4993</v>
      </c>
      <c r="BK298" t="s">
        <v>3</v>
      </c>
      <c r="BL298" t="s">
        <v>96</v>
      </c>
      <c r="BM298" t="s">
        <v>1</v>
      </c>
      <c r="BN298">
        <v>14800</v>
      </c>
      <c r="BO298" t="s">
        <v>1</v>
      </c>
      <c r="BP298" t="s">
        <v>1</v>
      </c>
      <c r="BQ298" t="s">
        <v>1</v>
      </c>
      <c r="BR298" t="s">
        <v>1</v>
      </c>
      <c r="BS298" t="s">
        <v>1</v>
      </c>
      <c r="BT298" t="s">
        <v>1</v>
      </c>
      <c r="BU298" t="s">
        <v>1</v>
      </c>
      <c r="BV298" t="s">
        <v>1</v>
      </c>
      <c r="BW298" t="s">
        <v>0</v>
      </c>
      <c r="BX298" t="s">
        <v>1</v>
      </c>
      <c r="BY298" t="s">
        <v>1</v>
      </c>
      <c r="BZ298" t="s">
        <v>1</v>
      </c>
      <c r="CA298" t="s">
        <v>1</v>
      </c>
      <c r="CB298" t="s">
        <v>1</v>
      </c>
      <c r="CD298" t="e" cm="1">
        <f t="array" aca="1" ref="CD298" ca="1">eConcatenar(A298:CB298,"|")</f>
        <v>#NAME?</v>
      </c>
    </row>
    <row r="299" spans="1:82" x14ac:dyDescent="0.25">
      <c r="A299" t="s">
        <v>394</v>
      </c>
      <c r="B299" t="s">
        <v>1406</v>
      </c>
      <c r="C299">
        <v>3</v>
      </c>
      <c r="D299" t="s">
        <v>2153</v>
      </c>
      <c r="E299" t="s">
        <v>2158</v>
      </c>
      <c r="F299" t="s">
        <v>2159</v>
      </c>
      <c r="G299" t="s">
        <v>2341</v>
      </c>
      <c r="H299" t="s">
        <v>2698</v>
      </c>
      <c r="I299">
        <v>14800</v>
      </c>
      <c r="J299">
        <v>0</v>
      </c>
      <c r="K299">
        <v>100</v>
      </c>
      <c r="L299">
        <v>50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 t="s">
        <v>3155</v>
      </c>
      <c r="AC299" t="s">
        <v>3132</v>
      </c>
      <c r="AD299" t="s">
        <v>3540</v>
      </c>
      <c r="AE299" t="s">
        <v>4</v>
      </c>
      <c r="AF299" t="s">
        <v>1</v>
      </c>
      <c r="AG299" t="s">
        <v>1</v>
      </c>
      <c r="AH299" t="s">
        <v>2207</v>
      </c>
      <c r="AI299" t="s">
        <v>2341</v>
      </c>
      <c r="AJ299" t="s">
        <v>1</v>
      </c>
      <c r="AK299">
        <v>9331688771</v>
      </c>
      <c r="AL299" t="s">
        <v>1</v>
      </c>
      <c r="AM299" t="s">
        <v>1</v>
      </c>
      <c r="AN299" t="s">
        <v>1</v>
      </c>
      <c r="AO299" t="s">
        <v>2207</v>
      </c>
      <c r="AP299" t="s">
        <v>1</v>
      </c>
      <c r="AQ299" t="s">
        <v>2</v>
      </c>
      <c r="AR299" t="s">
        <v>1</v>
      </c>
      <c r="AS299" t="s">
        <v>1</v>
      </c>
      <c r="AT299" t="s">
        <v>1</v>
      </c>
      <c r="AU299" t="s">
        <v>1</v>
      </c>
      <c r="AV299" t="s">
        <v>1</v>
      </c>
      <c r="AW299" t="s">
        <v>9</v>
      </c>
      <c r="AX299">
        <f>Tabla1[[#This Row],[precio del paquete]]-Tabla1[[#This Row],[Saldo_Deudor]]</f>
        <v>1600</v>
      </c>
      <c r="AY299">
        <v>13200</v>
      </c>
      <c r="AZ299">
        <v>0</v>
      </c>
      <c r="BA299">
        <v>0</v>
      </c>
      <c r="BB299">
        <v>0</v>
      </c>
      <c r="BC299" t="s">
        <v>2836</v>
      </c>
      <c r="BD299" t="s">
        <v>3017</v>
      </c>
      <c r="BE299" t="s">
        <v>3</v>
      </c>
      <c r="BF299" t="s">
        <v>3</v>
      </c>
      <c r="BG299" t="s">
        <v>3</v>
      </c>
      <c r="BH299" t="s">
        <v>3</v>
      </c>
      <c r="BI299" t="s">
        <v>3</v>
      </c>
      <c r="BJ299" t="s">
        <v>4993</v>
      </c>
      <c r="BK299" t="s">
        <v>3</v>
      </c>
      <c r="BL299" t="s">
        <v>96</v>
      </c>
      <c r="BM299" t="s">
        <v>1</v>
      </c>
      <c r="BN299">
        <v>14800</v>
      </c>
      <c r="BO299" t="s">
        <v>1</v>
      </c>
      <c r="BP299" t="s">
        <v>1</v>
      </c>
      <c r="BQ299" t="s">
        <v>1</v>
      </c>
      <c r="BR299" t="s">
        <v>1</v>
      </c>
      <c r="BS299" t="s">
        <v>1</v>
      </c>
      <c r="BT299" t="s">
        <v>1</v>
      </c>
      <c r="BU299" t="s">
        <v>1</v>
      </c>
      <c r="BV299" t="s">
        <v>1</v>
      </c>
      <c r="BW299" t="s">
        <v>0</v>
      </c>
      <c r="BX299" t="s">
        <v>1</v>
      </c>
      <c r="BY299" t="s">
        <v>1</v>
      </c>
      <c r="BZ299" t="s">
        <v>1</v>
      </c>
      <c r="CA299" t="s">
        <v>1</v>
      </c>
      <c r="CB299" t="s">
        <v>1</v>
      </c>
      <c r="CD299" t="e" cm="1">
        <f t="array" aca="1" ref="CD299" ca="1">eConcatenar(A299:CB299,"|")</f>
        <v>#NAME?</v>
      </c>
    </row>
    <row r="300" spans="1:82" x14ac:dyDescent="0.25">
      <c r="A300" t="s">
        <v>395</v>
      </c>
      <c r="B300" t="s">
        <v>1407</v>
      </c>
      <c r="C300">
        <v>3</v>
      </c>
      <c r="D300" t="s">
        <v>2153</v>
      </c>
      <c r="E300" t="s">
        <v>2158</v>
      </c>
      <c r="F300" t="s">
        <v>2162</v>
      </c>
      <c r="G300" t="s">
        <v>2341</v>
      </c>
      <c r="H300" t="s">
        <v>2730</v>
      </c>
      <c r="I300">
        <v>14800</v>
      </c>
      <c r="J300">
        <v>0</v>
      </c>
      <c r="K300">
        <v>100</v>
      </c>
      <c r="L300">
        <v>50</v>
      </c>
      <c r="M300">
        <v>1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 t="s">
        <v>3270</v>
      </c>
      <c r="AC300" t="s">
        <v>3295</v>
      </c>
      <c r="AD300" t="s">
        <v>3495</v>
      </c>
      <c r="AE300" t="s">
        <v>4</v>
      </c>
      <c r="AF300" t="s">
        <v>1</v>
      </c>
      <c r="AG300" t="s">
        <v>1</v>
      </c>
      <c r="AH300" t="s">
        <v>4323</v>
      </c>
      <c r="AI300" t="s">
        <v>2341</v>
      </c>
      <c r="AJ300" t="s">
        <v>1</v>
      </c>
      <c r="AK300">
        <v>9334065079</v>
      </c>
      <c r="AL300" t="s">
        <v>1</v>
      </c>
      <c r="AM300" t="s">
        <v>1</v>
      </c>
      <c r="AN300" t="s">
        <v>1</v>
      </c>
      <c r="AO300" t="s">
        <v>4323</v>
      </c>
      <c r="AP300" t="s">
        <v>1</v>
      </c>
      <c r="AQ300" t="s">
        <v>2</v>
      </c>
      <c r="AR300" t="s">
        <v>1</v>
      </c>
      <c r="AS300" t="s">
        <v>1</v>
      </c>
      <c r="AT300" t="s">
        <v>1</v>
      </c>
      <c r="AU300" t="s">
        <v>1</v>
      </c>
      <c r="AV300" t="s">
        <v>1</v>
      </c>
      <c r="AW300" t="s">
        <v>9</v>
      </c>
      <c r="AX300">
        <f>Tabla1[[#This Row],[precio del paquete]]-Tabla1[[#This Row],[Saldo_Deudor]]</f>
        <v>900</v>
      </c>
      <c r="AY300">
        <v>13900</v>
      </c>
      <c r="AZ300">
        <v>0</v>
      </c>
      <c r="BA300">
        <v>0</v>
      </c>
      <c r="BB300">
        <v>0</v>
      </c>
      <c r="BC300" t="s">
        <v>3013</v>
      </c>
      <c r="BD300" t="s">
        <v>2871</v>
      </c>
      <c r="BE300" t="s">
        <v>3</v>
      </c>
      <c r="BF300" t="s">
        <v>3</v>
      </c>
      <c r="BG300" t="s">
        <v>3</v>
      </c>
      <c r="BH300" t="s">
        <v>3</v>
      </c>
      <c r="BI300" t="s">
        <v>3</v>
      </c>
      <c r="BJ300" t="s">
        <v>4993</v>
      </c>
      <c r="BK300" t="s">
        <v>3</v>
      </c>
      <c r="BL300" t="s">
        <v>96</v>
      </c>
      <c r="BM300" t="s">
        <v>1</v>
      </c>
      <c r="BN300">
        <v>14800</v>
      </c>
      <c r="BO300" t="s">
        <v>1</v>
      </c>
      <c r="BP300" t="s">
        <v>1</v>
      </c>
      <c r="BQ300" t="s">
        <v>1</v>
      </c>
      <c r="BR300" t="s">
        <v>1</v>
      </c>
      <c r="BS300" t="s">
        <v>1</v>
      </c>
      <c r="BT300" t="s">
        <v>1</v>
      </c>
      <c r="BU300" t="s">
        <v>1</v>
      </c>
      <c r="BV300" t="s">
        <v>1</v>
      </c>
      <c r="BW300" t="s">
        <v>0</v>
      </c>
      <c r="BX300" t="s">
        <v>1</v>
      </c>
      <c r="BY300" t="s">
        <v>1</v>
      </c>
      <c r="BZ300" t="s">
        <v>1</v>
      </c>
      <c r="CA300" t="s">
        <v>1</v>
      </c>
      <c r="CB300" t="s">
        <v>1</v>
      </c>
      <c r="CD300" t="e" cm="1">
        <f t="array" aca="1" ref="CD300" ca="1">eConcatenar(A300:CB300,"|")</f>
        <v>#NAME?</v>
      </c>
    </row>
    <row r="301" spans="1:82" x14ac:dyDescent="0.25">
      <c r="A301" t="s">
        <v>396</v>
      </c>
      <c r="B301" t="s">
        <v>1408</v>
      </c>
      <c r="C301">
        <v>3</v>
      </c>
      <c r="D301" t="s">
        <v>2153</v>
      </c>
      <c r="E301" t="s">
        <v>2158</v>
      </c>
      <c r="F301" t="s">
        <v>2162</v>
      </c>
      <c r="G301" t="s">
        <v>2341</v>
      </c>
      <c r="H301" t="s">
        <v>2785</v>
      </c>
      <c r="I301">
        <v>14800</v>
      </c>
      <c r="J301">
        <v>0</v>
      </c>
      <c r="K301">
        <v>200</v>
      </c>
      <c r="L301">
        <v>50</v>
      </c>
      <c r="M301">
        <v>1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 t="s">
        <v>3367</v>
      </c>
      <c r="AC301" t="s">
        <v>3115</v>
      </c>
      <c r="AD301" t="s">
        <v>3541</v>
      </c>
      <c r="AE301" t="s">
        <v>4</v>
      </c>
      <c r="AF301" t="s">
        <v>1</v>
      </c>
      <c r="AG301" t="s">
        <v>1</v>
      </c>
      <c r="AH301" t="s">
        <v>4323</v>
      </c>
      <c r="AI301" t="s">
        <v>2341</v>
      </c>
      <c r="AJ301" t="s">
        <v>1</v>
      </c>
      <c r="AK301">
        <v>9331366901</v>
      </c>
      <c r="AL301" t="s">
        <v>1</v>
      </c>
      <c r="AM301" t="s">
        <v>1</v>
      </c>
      <c r="AN301" t="s">
        <v>1</v>
      </c>
      <c r="AO301" t="s">
        <v>4323</v>
      </c>
      <c r="AP301" t="s">
        <v>1</v>
      </c>
      <c r="AQ301" t="s">
        <v>2</v>
      </c>
      <c r="AR301" t="s">
        <v>1</v>
      </c>
      <c r="AS301" t="s">
        <v>1</v>
      </c>
      <c r="AT301" t="s">
        <v>1</v>
      </c>
      <c r="AU301" t="s">
        <v>1</v>
      </c>
      <c r="AV301" t="s">
        <v>1</v>
      </c>
      <c r="AW301" t="s">
        <v>9</v>
      </c>
      <c r="AX301">
        <f>Tabla1[[#This Row],[precio del paquete]]-Tabla1[[#This Row],[Saldo_Deudor]]</f>
        <v>1400</v>
      </c>
      <c r="AY301">
        <v>13400</v>
      </c>
      <c r="AZ301">
        <v>0</v>
      </c>
      <c r="BA301">
        <v>0</v>
      </c>
      <c r="BB301">
        <v>0</v>
      </c>
      <c r="BC301" t="s">
        <v>2925</v>
      </c>
      <c r="BD301" t="s">
        <v>3078</v>
      </c>
      <c r="BE301" t="s">
        <v>3</v>
      </c>
      <c r="BF301" t="s">
        <v>3</v>
      </c>
      <c r="BG301" t="s">
        <v>3</v>
      </c>
      <c r="BH301" t="s">
        <v>3</v>
      </c>
      <c r="BI301" t="s">
        <v>3</v>
      </c>
      <c r="BJ301" t="s">
        <v>5002</v>
      </c>
      <c r="BK301" t="s">
        <v>3</v>
      </c>
      <c r="BL301" t="s">
        <v>96</v>
      </c>
      <c r="BM301" t="s">
        <v>1</v>
      </c>
      <c r="BN301">
        <v>14800</v>
      </c>
      <c r="BO301" t="s">
        <v>1</v>
      </c>
      <c r="BP301" t="s">
        <v>1</v>
      </c>
      <c r="BQ301" t="s">
        <v>1</v>
      </c>
      <c r="BR301" t="s">
        <v>1</v>
      </c>
      <c r="BS301" t="s">
        <v>1</v>
      </c>
      <c r="BT301" t="s">
        <v>1</v>
      </c>
      <c r="BU301" t="s">
        <v>1</v>
      </c>
      <c r="BV301" t="s">
        <v>1</v>
      </c>
      <c r="BW301" t="s">
        <v>0</v>
      </c>
      <c r="BX301" t="s">
        <v>1</v>
      </c>
      <c r="BY301" t="s">
        <v>1</v>
      </c>
      <c r="BZ301" t="s">
        <v>1</v>
      </c>
      <c r="CA301" t="s">
        <v>1</v>
      </c>
      <c r="CB301" t="s">
        <v>1</v>
      </c>
      <c r="CD301" t="e" cm="1">
        <f t="array" aca="1" ref="CD301" ca="1">eConcatenar(A301:CB301,"|")</f>
        <v>#NAME?</v>
      </c>
    </row>
    <row r="302" spans="1:82" x14ac:dyDescent="0.25">
      <c r="A302" t="s">
        <v>397</v>
      </c>
      <c r="B302" t="s">
        <v>1409</v>
      </c>
      <c r="C302">
        <v>3</v>
      </c>
      <c r="D302" t="s">
        <v>2153</v>
      </c>
      <c r="E302" t="s">
        <v>2158</v>
      </c>
      <c r="F302" t="s">
        <v>2159</v>
      </c>
      <c r="G302" t="s">
        <v>2341</v>
      </c>
      <c r="H302" t="s">
        <v>2738</v>
      </c>
      <c r="I302">
        <v>14800</v>
      </c>
      <c r="J302">
        <v>0</v>
      </c>
      <c r="K302">
        <v>100</v>
      </c>
      <c r="L302">
        <v>50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 t="s">
        <v>3155</v>
      </c>
      <c r="AC302" t="s">
        <v>3423</v>
      </c>
      <c r="AD302" t="s">
        <v>3424</v>
      </c>
      <c r="AE302" t="s">
        <v>4</v>
      </c>
      <c r="AF302" t="s">
        <v>1</v>
      </c>
      <c r="AG302" t="s">
        <v>1</v>
      </c>
      <c r="AH302" t="s">
        <v>4324</v>
      </c>
      <c r="AI302" t="s">
        <v>2341</v>
      </c>
      <c r="AJ302" t="s">
        <v>1</v>
      </c>
      <c r="AK302">
        <v>9331043093</v>
      </c>
      <c r="AL302" t="s">
        <v>1</v>
      </c>
      <c r="AM302" t="s">
        <v>1</v>
      </c>
      <c r="AN302" t="s">
        <v>1</v>
      </c>
      <c r="AO302" t="s">
        <v>4324</v>
      </c>
      <c r="AP302" t="s">
        <v>1</v>
      </c>
      <c r="AQ302" t="s">
        <v>2</v>
      </c>
      <c r="AR302" t="s">
        <v>1</v>
      </c>
      <c r="AS302" t="s">
        <v>1</v>
      </c>
      <c r="AT302" t="s">
        <v>1</v>
      </c>
      <c r="AU302" t="s">
        <v>1</v>
      </c>
      <c r="AV302" t="s">
        <v>1</v>
      </c>
      <c r="AW302" t="s">
        <v>9</v>
      </c>
      <c r="AX302">
        <f>Tabla1[[#This Row],[precio del paquete]]-Tabla1[[#This Row],[Saldo_Deudor]]</f>
        <v>800</v>
      </c>
      <c r="AY302">
        <v>14000</v>
      </c>
      <c r="AZ302">
        <v>0</v>
      </c>
      <c r="BA302">
        <v>0</v>
      </c>
      <c r="BB302">
        <v>0</v>
      </c>
      <c r="BC302" t="s">
        <v>2925</v>
      </c>
      <c r="BD302" t="s">
        <v>3078</v>
      </c>
      <c r="BE302" t="s">
        <v>3</v>
      </c>
      <c r="BF302" t="s">
        <v>3</v>
      </c>
      <c r="BG302" t="s">
        <v>3</v>
      </c>
      <c r="BH302" t="s">
        <v>3</v>
      </c>
      <c r="BI302" t="s">
        <v>3</v>
      </c>
      <c r="BJ302" t="s">
        <v>5002</v>
      </c>
      <c r="BK302" t="s">
        <v>3</v>
      </c>
      <c r="BL302" t="s">
        <v>96</v>
      </c>
      <c r="BM302" t="s">
        <v>1</v>
      </c>
      <c r="BN302">
        <v>14800</v>
      </c>
      <c r="BO302" t="s">
        <v>1</v>
      </c>
      <c r="BP302" t="s">
        <v>1</v>
      </c>
      <c r="BQ302" t="s">
        <v>1</v>
      </c>
      <c r="BR302" t="s">
        <v>1</v>
      </c>
      <c r="BS302" t="s">
        <v>1</v>
      </c>
      <c r="BT302" t="s">
        <v>1</v>
      </c>
      <c r="BU302" t="s">
        <v>1</v>
      </c>
      <c r="BV302" t="s">
        <v>1</v>
      </c>
      <c r="BW302" t="s">
        <v>0</v>
      </c>
      <c r="BX302" t="s">
        <v>1</v>
      </c>
      <c r="BY302" t="s">
        <v>1</v>
      </c>
      <c r="BZ302" t="s">
        <v>1</v>
      </c>
      <c r="CA302" t="s">
        <v>1</v>
      </c>
      <c r="CB302" t="s">
        <v>1</v>
      </c>
      <c r="CD302" t="e" cm="1">
        <f t="array" aca="1" ref="CD302" ca="1">eConcatenar(A302:CB302,"|")</f>
        <v>#NAME?</v>
      </c>
    </row>
    <row r="303" spans="1:82" x14ac:dyDescent="0.25">
      <c r="A303" t="s">
        <v>398</v>
      </c>
      <c r="B303" t="s">
        <v>1410</v>
      </c>
      <c r="C303">
        <v>3</v>
      </c>
      <c r="D303" t="s">
        <v>2153</v>
      </c>
      <c r="E303" t="s">
        <v>2158</v>
      </c>
      <c r="F303" t="s">
        <v>2162</v>
      </c>
      <c r="G303" t="s">
        <v>2342</v>
      </c>
      <c r="H303" t="s">
        <v>2785</v>
      </c>
      <c r="I303">
        <v>14800</v>
      </c>
      <c r="J303">
        <v>0</v>
      </c>
      <c r="K303">
        <v>200</v>
      </c>
      <c r="L303">
        <v>50</v>
      </c>
      <c r="M303">
        <v>1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 t="s">
        <v>3115</v>
      </c>
      <c r="AC303" t="s">
        <v>3177</v>
      </c>
      <c r="AD303" t="s">
        <v>3542</v>
      </c>
      <c r="AE303" t="s">
        <v>4</v>
      </c>
      <c r="AF303" t="s">
        <v>1</v>
      </c>
      <c r="AG303" t="s">
        <v>1</v>
      </c>
      <c r="AH303" t="s">
        <v>4323</v>
      </c>
      <c r="AI303" t="s">
        <v>2342</v>
      </c>
      <c r="AJ303" t="s">
        <v>1</v>
      </c>
      <c r="AK303">
        <v>9331302424</v>
      </c>
      <c r="AL303" t="s">
        <v>1</v>
      </c>
      <c r="AM303" t="s">
        <v>1</v>
      </c>
      <c r="AN303" t="s">
        <v>1</v>
      </c>
      <c r="AO303" t="s">
        <v>4323</v>
      </c>
      <c r="AP303" t="s">
        <v>1</v>
      </c>
      <c r="AQ303" t="s">
        <v>2</v>
      </c>
      <c r="AR303" t="s">
        <v>1</v>
      </c>
      <c r="AS303" t="s">
        <v>1</v>
      </c>
      <c r="AT303" t="s">
        <v>1</v>
      </c>
      <c r="AU303" t="s">
        <v>1</v>
      </c>
      <c r="AV303" t="s">
        <v>1</v>
      </c>
      <c r="AW303" t="s">
        <v>9</v>
      </c>
      <c r="AX303">
        <f>Tabla1[[#This Row],[precio del paquete]]-Tabla1[[#This Row],[Saldo_Deudor]]</f>
        <v>1400</v>
      </c>
      <c r="AY303">
        <v>13400</v>
      </c>
      <c r="AZ303">
        <v>0</v>
      </c>
      <c r="BA303">
        <v>0</v>
      </c>
      <c r="BB303">
        <v>0</v>
      </c>
      <c r="BC303" t="s">
        <v>2925</v>
      </c>
      <c r="BD303" t="s">
        <v>3078</v>
      </c>
      <c r="BE303" t="s">
        <v>3</v>
      </c>
      <c r="BF303" t="s">
        <v>3</v>
      </c>
      <c r="BG303" t="s">
        <v>3</v>
      </c>
      <c r="BH303" t="s">
        <v>3</v>
      </c>
      <c r="BI303" t="s">
        <v>3</v>
      </c>
      <c r="BJ303" t="s">
        <v>5002</v>
      </c>
      <c r="BK303" t="s">
        <v>3</v>
      </c>
      <c r="BL303" t="s">
        <v>96</v>
      </c>
      <c r="BM303" t="s">
        <v>1</v>
      </c>
      <c r="BN303">
        <v>14800</v>
      </c>
      <c r="BO303" t="s">
        <v>1</v>
      </c>
      <c r="BP303" t="s">
        <v>1</v>
      </c>
      <c r="BQ303" t="s">
        <v>1</v>
      </c>
      <c r="BR303" t="s">
        <v>1</v>
      </c>
      <c r="BS303" t="s">
        <v>1</v>
      </c>
      <c r="BT303" t="s">
        <v>1</v>
      </c>
      <c r="BU303" t="s">
        <v>1</v>
      </c>
      <c r="BV303" t="s">
        <v>1</v>
      </c>
      <c r="BW303" t="s">
        <v>0</v>
      </c>
      <c r="BX303" t="s">
        <v>1</v>
      </c>
      <c r="BY303" t="s">
        <v>1</v>
      </c>
      <c r="BZ303" t="s">
        <v>1</v>
      </c>
      <c r="CA303" t="s">
        <v>1</v>
      </c>
      <c r="CB303" t="s">
        <v>1</v>
      </c>
      <c r="CD303" t="e" cm="1">
        <f t="array" aca="1" ref="CD303" ca="1">eConcatenar(A303:CB303,"|")</f>
        <v>#NAME?</v>
      </c>
    </row>
    <row r="304" spans="1:82" x14ac:dyDescent="0.25">
      <c r="A304" t="s">
        <v>399</v>
      </c>
      <c r="B304" t="s">
        <v>1411</v>
      </c>
      <c r="C304">
        <v>3</v>
      </c>
      <c r="D304" t="s">
        <v>2153</v>
      </c>
      <c r="E304" t="s">
        <v>2158</v>
      </c>
      <c r="F304" t="s">
        <v>2159</v>
      </c>
      <c r="G304" t="s">
        <v>2342</v>
      </c>
      <c r="H304" t="s">
        <v>2868</v>
      </c>
      <c r="I304">
        <v>14800</v>
      </c>
      <c r="J304">
        <v>0</v>
      </c>
      <c r="K304">
        <v>100</v>
      </c>
      <c r="L304">
        <v>50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 t="s">
        <v>3115</v>
      </c>
      <c r="AC304" t="s">
        <v>3138</v>
      </c>
      <c r="AD304" t="s">
        <v>3278</v>
      </c>
      <c r="AE304" t="s">
        <v>4</v>
      </c>
      <c r="AF304" t="s">
        <v>1</v>
      </c>
      <c r="AG304" t="s">
        <v>1</v>
      </c>
      <c r="AH304" t="s">
        <v>4325</v>
      </c>
      <c r="AI304" t="s">
        <v>2342</v>
      </c>
      <c r="AJ304" t="s">
        <v>1</v>
      </c>
      <c r="AK304">
        <v>9331686013</v>
      </c>
      <c r="AL304" t="s">
        <v>1</v>
      </c>
      <c r="AM304" t="s">
        <v>1</v>
      </c>
      <c r="AN304" t="s">
        <v>1</v>
      </c>
      <c r="AO304" t="s">
        <v>4325</v>
      </c>
      <c r="AP304" t="s">
        <v>1</v>
      </c>
      <c r="AQ304" t="s">
        <v>2</v>
      </c>
      <c r="AR304" t="s">
        <v>1</v>
      </c>
      <c r="AS304" t="s">
        <v>1</v>
      </c>
      <c r="AT304" t="s">
        <v>1</v>
      </c>
      <c r="AU304" t="s">
        <v>1</v>
      </c>
      <c r="AV304" t="s">
        <v>1</v>
      </c>
      <c r="AW304" t="s">
        <v>9</v>
      </c>
      <c r="AX304">
        <f>Tabla1[[#This Row],[precio del paquete]]-Tabla1[[#This Row],[Saldo_Deudor]]</f>
        <v>4000</v>
      </c>
      <c r="AY304">
        <v>10800</v>
      </c>
      <c r="AZ304">
        <v>0</v>
      </c>
      <c r="BA304">
        <v>0</v>
      </c>
      <c r="BB304">
        <v>0</v>
      </c>
      <c r="BC304" t="s">
        <v>2735</v>
      </c>
      <c r="BD304" t="s">
        <v>4933</v>
      </c>
      <c r="BE304" t="s">
        <v>3</v>
      </c>
      <c r="BF304" t="s">
        <v>3</v>
      </c>
      <c r="BG304" t="s">
        <v>3</v>
      </c>
      <c r="BH304" t="s">
        <v>3</v>
      </c>
      <c r="BI304" t="s">
        <v>3</v>
      </c>
      <c r="BJ304" t="s">
        <v>5002</v>
      </c>
      <c r="BK304" t="s">
        <v>3</v>
      </c>
      <c r="BL304" t="s">
        <v>96</v>
      </c>
      <c r="BM304" t="s">
        <v>1</v>
      </c>
      <c r="BN304">
        <v>14800</v>
      </c>
      <c r="BO304" t="s">
        <v>1</v>
      </c>
      <c r="BP304" t="s">
        <v>1</v>
      </c>
      <c r="BQ304" t="s">
        <v>1</v>
      </c>
      <c r="BR304" t="s">
        <v>1</v>
      </c>
      <c r="BS304" t="s">
        <v>1</v>
      </c>
      <c r="BT304" t="s">
        <v>1</v>
      </c>
      <c r="BU304" t="s">
        <v>1</v>
      </c>
      <c r="BV304" t="s">
        <v>1</v>
      </c>
      <c r="BW304" t="s">
        <v>0</v>
      </c>
      <c r="BX304" t="s">
        <v>1</v>
      </c>
      <c r="BY304" t="s">
        <v>1</v>
      </c>
      <c r="BZ304" t="s">
        <v>1</v>
      </c>
      <c r="CA304" t="s">
        <v>1</v>
      </c>
      <c r="CB304" t="s">
        <v>1</v>
      </c>
      <c r="CD304" t="e" cm="1">
        <f t="array" aca="1" ref="CD304" ca="1">eConcatenar(A304:CB304,"|")</f>
        <v>#NAME?</v>
      </c>
    </row>
    <row r="305" spans="1:82" x14ac:dyDescent="0.25">
      <c r="A305" t="s">
        <v>400</v>
      </c>
      <c r="B305" t="s">
        <v>1412</v>
      </c>
      <c r="C305">
        <v>3</v>
      </c>
      <c r="D305" t="s">
        <v>2153</v>
      </c>
      <c r="E305" t="s">
        <v>2158</v>
      </c>
      <c r="F305" t="s">
        <v>2159</v>
      </c>
      <c r="G305" t="s">
        <v>2342</v>
      </c>
      <c r="H305" t="s">
        <v>2868</v>
      </c>
      <c r="I305">
        <v>14800</v>
      </c>
      <c r="J305">
        <v>0</v>
      </c>
      <c r="K305">
        <v>100</v>
      </c>
      <c r="L305">
        <v>50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 t="s">
        <v>3543</v>
      </c>
      <c r="AC305" t="s">
        <v>3236</v>
      </c>
      <c r="AD305" t="s">
        <v>3130</v>
      </c>
      <c r="AE305" t="s">
        <v>4</v>
      </c>
      <c r="AF305" t="s">
        <v>1</v>
      </c>
      <c r="AG305" t="s">
        <v>1</v>
      </c>
      <c r="AH305" t="s">
        <v>4325</v>
      </c>
      <c r="AI305" t="s">
        <v>2342</v>
      </c>
      <c r="AJ305" t="s">
        <v>1</v>
      </c>
      <c r="AK305">
        <v>9332086918</v>
      </c>
      <c r="AL305" t="s">
        <v>1</v>
      </c>
      <c r="AM305" t="s">
        <v>1</v>
      </c>
      <c r="AN305" t="s">
        <v>1</v>
      </c>
      <c r="AO305" t="s">
        <v>4325</v>
      </c>
      <c r="AP305" t="s">
        <v>1</v>
      </c>
      <c r="AQ305" t="s">
        <v>2</v>
      </c>
      <c r="AR305" t="s">
        <v>1</v>
      </c>
      <c r="AS305" t="s">
        <v>1</v>
      </c>
      <c r="AT305" t="s">
        <v>1</v>
      </c>
      <c r="AU305" t="s">
        <v>1</v>
      </c>
      <c r="AV305" t="s">
        <v>1</v>
      </c>
      <c r="AW305" t="s">
        <v>9</v>
      </c>
      <c r="AX305">
        <f>Tabla1[[#This Row],[precio del paquete]]-Tabla1[[#This Row],[Saldo_Deudor]]</f>
        <v>700</v>
      </c>
      <c r="AY305">
        <v>14100</v>
      </c>
      <c r="AZ305">
        <v>0</v>
      </c>
      <c r="BA305">
        <v>0</v>
      </c>
      <c r="BB305">
        <v>0</v>
      </c>
      <c r="BC305" t="s">
        <v>2828</v>
      </c>
      <c r="BD305" t="s">
        <v>4893</v>
      </c>
      <c r="BE305" t="s">
        <v>3</v>
      </c>
      <c r="BF305" t="s">
        <v>3</v>
      </c>
      <c r="BG305" t="s">
        <v>3</v>
      </c>
      <c r="BH305" t="s">
        <v>3</v>
      </c>
      <c r="BI305" t="s">
        <v>3</v>
      </c>
      <c r="BJ305" t="s">
        <v>5002</v>
      </c>
      <c r="BK305" t="s">
        <v>3</v>
      </c>
      <c r="BL305" t="s">
        <v>96</v>
      </c>
      <c r="BM305" t="s">
        <v>1</v>
      </c>
      <c r="BN305">
        <v>14800</v>
      </c>
      <c r="BO305" t="s">
        <v>1</v>
      </c>
      <c r="BP305" t="s">
        <v>1</v>
      </c>
      <c r="BQ305" t="s">
        <v>1</v>
      </c>
      <c r="BR305" t="s">
        <v>1</v>
      </c>
      <c r="BS305" t="s">
        <v>1</v>
      </c>
      <c r="BT305" t="s">
        <v>1</v>
      </c>
      <c r="BU305" t="s">
        <v>1</v>
      </c>
      <c r="BV305" t="s">
        <v>1</v>
      </c>
      <c r="BW305" t="s">
        <v>0</v>
      </c>
      <c r="BX305" t="s">
        <v>1</v>
      </c>
      <c r="BY305" t="s">
        <v>1</v>
      </c>
      <c r="BZ305" t="s">
        <v>1</v>
      </c>
      <c r="CA305" t="s">
        <v>1</v>
      </c>
      <c r="CB305" t="s">
        <v>1</v>
      </c>
      <c r="CD305" t="e" cm="1">
        <f t="array" aca="1" ref="CD305" ca="1">eConcatenar(A305:CB305,"|")</f>
        <v>#NAME?</v>
      </c>
    </row>
    <row r="306" spans="1:82" x14ac:dyDescent="0.25">
      <c r="A306" t="s">
        <v>401</v>
      </c>
      <c r="B306" t="s">
        <v>1413</v>
      </c>
      <c r="C306">
        <v>3</v>
      </c>
      <c r="D306" t="s">
        <v>2153</v>
      </c>
      <c r="E306" t="s">
        <v>2158</v>
      </c>
      <c r="F306" t="s">
        <v>2159</v>
      </c>
      <c r="G306" t="s">
        <v>2343</v>
      </c>
      <c r="H306" t="s">
        <v>2866</v>
      </c>
      <c r="I306">
        <v>14800</v>
      </c>
      <c r="J306">
        <v>0</v>
      </c>
      <c r="K306">
        <v>100</v>
      </c>
      <c r="L306">
        <v>50</v>
      </c>
      <c r="M306">
        <v>1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 t="s">
        <v>3544</v>
      </c>
      <c r="AC306" t="s">
        <v>3178</v>
      </c>
      <c r="AD306" t="s">
        <v>3332</v>
      </c>
      <c r="AE306" t="s">
        <v>4</v>
      </c>
      <c r="AF306" t="s">
        <v>1</v>
      </c>
      <c r="AG306" t="s">
        <v>1</v>
      </c>
      <c r="AH306" t="s">
        <v>4152</v>
      </c>
      <c r="AI306" t="s">
        <v>2343</v>
      </c>
      <c r="AJ306" t="s">
        <v>1</v>
      </c>
      <c r="AK306">
        <v>9331591928</v>
      </c>
      <c r="AL306" t="s">
        <v>1</v>
      </c>
      <c r="AM306" t="s">
        <v>1</v>
      </c>
      <c r="AN306" t="s">
        <v>1</v>
      </c>
      <c r="AO306" t="s">
        <v>4152</v>
      </c>
      <c r="AP306" t="s">
        <v>1</v>
      </c>
      <c r="AQ306" t="s">
        <v>2</v>
      </c>
      <c r="AR306" t="s">
        <v>1</v>
      </c>
      <c r="AS306" t="s">
        <v>1</v>
      </c>
      <c r="AT306" t="s">
        <v>1</v>
      </c>
      <c r="AU306" t="s">
        <v>1</v>
      </c>
      <c r="AV306" t="s">
        <v>1</v>
      </c>
      <c r="AW306" t="s">
        <v>9</v>
      </c>
      <c r="AX306">
        <f>Tabla1[[#This Row],[precio del paquete]]-Tabla1[[#This Row],[Saldo_Deudor]]</f>
        <v>1000</v>
      </c>
      <c r="AY306">
        <v>13800</v>
      </c>
      <c r="AZ306">
        <v>0</v>
      </c>
      <c r="BA306">
        <v>0</v>
      </c>
      <c r="BB306">
        <v>0</v>
      </c>
      <c r="BC306" t="s">
        <v>3061</v>
      </c>
      <c r="BD306" t="s">
        <v>3040</v>
      </c>
      <c r="BE306" t="s">
        <v>3</v>
      </c>
      <c r="BF306" t="s">
        <v>3</v>
      </c>
      <c r="BG306" t="s">
        <v>3</v>
      </c>
      <c r="BH306" t="s">
        <v>3</v>
      </c>
      <c r="BI306" t="s">
        <v>3</v>
      </c>
      <c r="BJ306" t="s">
        <v>5002</v>
      </c>
      <c r="BK306" t="s">
        <v>3</v>
      </c>
      <c r="BL306" t="s">
        <v>96</v>
      </c>
      <c r="BM306" t="s">
        <v>1</v>
      </c>
      <c r="BN306">
        <v>14800</v>
      </c>
      <c r="BO306" t="s">
        <v>1</v>
      </c>
      <c r="BP306" t="s">
        <v>1</v>
      </c>
      <c r="BQ306" t="s">
        <v>1</v>
      </c>
      <c r="BR306" t="s">
        <v>1</v>
      </c>
      <c r="BS306" t="s">
        <v>1</v>
      </c>
      <c r="BT306" t="s">
        <v>1</v>
      </c>
      <c r="BU306" t="s">
        <v>1</v>
      </c>
      <c r="BV306" t="s">
        <v>1</v>
      </c>
      <c r="BW306" t="s">
        <v>0</v>
      </c>
      <c r="BX306" t="s">
        <v>1</v>
      </c>
      <c r="BY306" t="s">
        <v>1</v>
      </c>
      <c r="BZ306" t="s">
        <v>1</v>
      </c>
      <c r="CA306" t="s">
        <v>1</v>
      </c>
      <c r="CB306" t="s">
        <v>1</v>
      </c>
      <c r="CD306" t="e" cm="1">
        <f t="array" aca="1" ref="CD306" ca="1">eConcatenar(A306:CB306,"|")</f>
        <v>#NAME?</v>
      </c>
    </row>
    <row r="307" spans="1:82" x14ac:dyDescent="0.25">
      <c r="A307" t="s">
        <v>402</v>
      </c>
      <c r="B307" t="s">
        <v>1414</v>
      </c>
      <c r="C307">
        <v>3</v>
      </c>
      <c r="D307" t="s">
        <v>2153</v>
      </c>
      <c r="E307" t="s">
        <v>2158</v>
      </c>
      <c r="F307" t="s">
        <v>2159</v>
      </c>
      <c r="G307" t="s">
        <v>2344</v>
      </c>
      <c r="H307" t="s">
        <v>2698</v>
      </c>
      <c r="I307">
        <v>14800</v>
      </c>
      <c r="J307">
        <v>0</v>
      </c>
      <c r="K307">
        <v>200</v>
      </c>
      <c r="L307">
        <v>50</v>
      </c>
      <c r="M307">
        <v>1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 t="s">
        <v>5</v>
      </c>
      <c r="AC307" t="s">
        <v>3245</v>
      </c>
      <c r="AD307" t="s">
        <v>3545</v>
      </c>
      <c r="AE307" t="s">
        <v>4</v>
      </c>
      <c r="AF307" t="s">
        <v>1</v>
      </c>
      <c r="AG307" t="s">
        <v>1</v>
      </c>
      <c r="AH307" t="s">
        <v>4326</v>
      </c>
      <c r="AI307" t="s">
        <v>2344</v>
      </c>
      <c r="AJ307" t="s">
        <v>1</v>
      </c>
      <c r="AK307">
        <v>9331595650</v>
      </c>
      <c r="AL307" t="s">
        <v>1</v>
      </c>
      <c r="AM307" t="s">
        <v>1</v>
      </c>
      <c r="AN307" t="s">
        <v>1</v>
      </c>
      <c r="AO307" t="s">
        <v>4326</v>
      </c>
      <c r="AP307" t="s">
        <v>1</v>
      </c>
      <c r="AQ307" t="s">
        <v>2</v>
      </c>
      <c r="AR307" t="s">
        <v>1</v>
      </c>
      <c r="AS307" t="s">
        <v>1</v>
      </c>
      <c r="AT307" t="s">
        <v>1</v>
      </c>
      <c r="AU307" t="s">
        <v>1</v>
      </c>
      <c r="AV307" t="s">
        <v>1</v>
      </c>
      <c r="AW307" t="s">
        <v>9</v>
      </c>
      <c r="AX307">
        <f>Tabla1[[#This Row],[precio del paquete]]-Tabla1[[#This Row],[Saldo_Deudor]]</f>
        <v>2350</v>
      </c>
      <c r="AY307">
        <v>12450</v>
      </c>
      <c r="AZ307">
        <v>0</v>
      </c>
      <c r="BA307">
        <v>0</v>
      </c>
      <c r="BB307">
        <v>0</v>
      </c>
      <c r="BC307" t="s">
        <v>2905</v>
      </c>
      <c r="BD307" t="s">
        <v>3024</v>
      </c>
      <c r="BE307" t="s">
        <v>3</v>
      </c>
      <c r="BF307" t="s">
        <v>3</v>
      </c>
      <c r="BG307" t="s">
        <v>3</v>
      </c>
      <c r="BH307" t="s">
        <v>3</v>
      </c>
      <c r="BI307" t="s">
        <v>3</v>
      </c>
      <c r="BJ307" t="s">
        <v>4991</v>
      </c>
      <c r="BK307" t="s">
        <v>3</v>
      </c>
      <c r="BL307" t="s">
        <v>96</v>
      </c>
      <c r="BM307" t="s">
        <v>1</v>
      </c>
      <c r="BN307">
        <v>14800</v>
      </c>
      <c r="BO307" t="s">
        <v>1</v>
      </c>
      <c r="BP307" t="s">
        <v>1</v>
      </c>
      <c r="BQ307" t="s">
        <v>1</v>
      </c>
      <c r="BR307" t="s">
        <v>1</v>
      </c>
      <c r="BS307" t="s">
        <v>1</v>
      </c>
      <c r="BT307" t="s">
        <v>1</v>
      </c>
      <c r="BU307" t="s">
        <v>1</v>
      </c>
      <c r="BV307" t="s">
        <v>1</v>
      </c>
      <c r="BW307" t="s">
        <v>0</v>
      </c>
      <c r="BX307" t="s">
        <v>1</v>
      </c>
      <c r="BY307" t="s">
        <v>1</v>
      </c>
      <c r="BZ307" t="s">
        <v>1</v>
      </c>
      <c r="CA307" t="s">
        <v>1</v>
      </c>
      <c r="CB307" t="s">
        <v>1</v>
      </c>
      <c r="CD307" t="e" cm="1">
        <f t="array" aca="1" ref="CD307" ca="1">eConcatenar(A307:CB307,"|")</f>
        <v>#NAME?</v>
      </c>
    </row>
    <row r="308" spans="1:82" x14ac:dyDescent="0.25">
      <c r="A308" t="s">
        <v>403</v>
      </c>
      <c r="B308" t="s">
        <v>1415</v>
      </c>
      <c r="C308">
        <v>3</v>
      </c>
      <c r="D308" t="s">
        <v>2153</v>
      </c>
      <c r="E308" t="s">
        <v>2158</v>
      </c>
      <c r="F308" t="s">
        <v>2159</v>
      </c>
      <c r="G308" t="s">
        <v>2345</v>
      </c>
      <c r="H308" t="s">
        <v>2706</v>
      </c>
      <c r="I308">
        <v>14800</v>
      </c>
      <c r="J308">
        <v>0</v>
      </c>
      <c r="K308">
        <v>100</v>
      </c>
      <c r="L308">
        <v>50</v>
      </c>
      <c r="M308">
        <v>1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 t="s">
        <v>3546</v>
      </c>
      <c r="AC308" t="s">
        <v>3547</v>
      </c>
      <c r="AD308" t="s">
        <v>3548</v>
      </c>
      <c r="AE308" t="s">
        <v>4</v>
      </c>
      <c r="AF308" t="s">
        <v>1</v>
      </c>
      <c r="AG308" t="s">
        <v>1</v>
      </c>
      <c r="AH308" t="s">
        <v>4327</v>
      </c>
      <c r="AI308" t="s">
        <v>2345</v>
      </c>
      <c r="AJ308" t="s">
        <v>1</v>
      </c>
      <c r="AK308" t="s">
        <v>1</v>
      </c>
      <c r="AL308" t="s">
        <v>1</v>
      </c>
      <c r="AM308" t="s">
        <v>1</v>
      </c>
      <c r="AN308" t="s">
        <v>1</v>
      </c>
      <c r="AO308" t="s">
        <v>4327</v>
      </c>
      <c r="AP308" t="s">
        <v>1</v>
      </c>
      <c r="AQ308" t="s">
        <v>2</v>
      </c>
      <c r="AR308" t="s">
        <v>1</v>
      </c>
      <c r="AS308" t="s">
        <v>1</v>
      </c>
      <c r="AT308" t="s">
        <v>1</v>
      </c>
      <c r="AU308" t="s">
        <v>1</v>
      </c>
      <c r="AV308" t="s">
        <v>1</v>
      </c>
      <c r="AW308" t="s">
        <v>9</v>
      </c>
      <c r="AX308">
        <f>Tabla1[[#This Row],[precio del paquete]]-Tabla1[[#This Row],[Saldo_Deudor]]</f>
        <v>700</v>
      </c>
      <c r="AY308">
        <v>14100</v>
      </c>
      <c r="AZ308">
        <v>0</v>
      </c>
      <c r="BA308">
        <v>0</v>
      </c>
      <c r="BB308">
        <v>0</v>
      </c>
      <c r="BC308" t="s">
        <v>2711</v>
      </c>
      <c r="BD308" t="s">
        <v>2712</v>
      </c>
      <c r="BE308" t="s">
        <v>3</v>
      </c>
      <c r="BF308" t="s">
        <v>3</v>
      </c>
      <c r="BG308" t="s">
        <v>3</v>
      </c>
      <c r="BH308" t="s">
        <v>3</v>
      </c>
      <c r="BI308" t="s">
        <v>3</v>
      </c>
      <c r="BJ308" t="s">
        <v>4993</v>
      </c>
      <c r="BK308" t="s">
        <v>3</v>
      </c>
      <c r="BL308" t="s">
        <v>96</v>
      </c>
      <c r="BM308" t="s">
        <v>1</v>
      </c>
      <c r="BN308">
        <v>14800</v>
      </c>
      <c r="BO308" t="s">
        <v>1</v>
      </c>
      <c r="BP308" t="s">
        <v>1</v>
      </c>
      <c r="BQ308" t="s">
        <v>1</v>
      </c>
      <c r="BR308" t="s">
        <v>1</v>
      </c>
      <c r="BS308" t="s">
        <v>1</v>
      </c>
      <c r="BT308" t="s">
        <v>1</v>
      </c>
      <c r="BU308" t="s">
        <v>1</v>
      </c>
      <c r="BV308" t="s">
        <v>1</v>
      </c>
      <c r="BW308" t="s">
        <v>0</v>
      </c>
      <c r="BX308" t="s">
        <v>1</v>
      </c>
      <c r="BY308" t="s">
        <v>1</v>
      </c>
      <c r="BZ308" t="s">
        <v>1</v>
      </c>
      <c r="CA308" t="s">
        <v>1</v>
      </c>
      <c r="CB308" t="s">
        <v>1</v>
      </c>
      <c r="CD308" t="e" cm="1">
        <f t="array" aca="1" ref="CD308" ca="1">eConcatenar(A308:CB308,"|")</f>
        <v>#NAME?</v>
      </c>
    </row>
    <row r="309" spans="1:82" s="2" customFormat="1" x14ac:dyDescent="0.25">
      <c r="A309" t="s">
        <v>404</v>
      </c>
      <c r="B309" t="s">
        <v>1416</v>
      </c>
      <c r="C309">
        <v>3</v>
      </c>
      <c r="D309" t="s">
        <v>2154</v>
      </c>
      <c r="E309" t="s">
        <v>2158</v>
      </c>
      <c r="F309" t="s">
        <v>2162</v>
      </c>
      <c r="G309" t="s">
        <v>2346</v>
      </c>
      <c r="H309" t="s">
        <v>2701</v>
      </c>
      <c r="I309">
        <v>24500</v>
      </c>
      <c r="J309">
        <v>0</v>
      </c>
      <c r="K309">
        <v>200</v>
      </c>
      <c r="L309">
        <v>50</v>
      </c>
      <c r="M309">
        <v>1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 t="s">
        <v>3155</v>
      </c>
      <c r="AC309" t="s">
        <v>3240</v>
      </c>
      <c r="AD309" t="s">
        <v>3549</v>
      </c>
      <c r="AE309" t="s">
        <v>4</v>
      </c>
      <c r="AF309" t="s">
        <v>1</v>
      </c>
      <c r="AG309" t="s">
        <v>1</v>
      </c>
      <c r="AH309" t="s">
        <v>4328</v>
      </c>
      <c r="AI309" t="s">
        <v>2346</v>
      </c>
      <c r="AJ309" t="s">
        <v>1</v>
      </c>
      <c r="AK309">
        <v>56117501762</v>
      </c>
      <c r="AL309" t="s">
        <v>1</v>
      </c>
      <c r="AM309" t="s">
        <v>1</v>
      </c>
      <c r="AN309" t="s">
        <v>1</v>
      </c>
      <c r="AO309" t="s">
        <v>4328</v>
      </c>
      <c r="AP309" t="s">
        <v>1</v>
      </c>
      <c r="AQ309" t="s">
        <v>2</v>
      </c>
      <c r="AR309" t="s">
        <v>1</v>
      </c>
      <c r="AS309" t="s">
        <v>1</v>
      </c>
      <c r="AT309" t="s">
        <v>1</v>
      </c>
      <c r="AU309" t="s">
        <v>1</v>
      </c>
      <c r="AV309" t="s">
        <v>1</v>
      </c>
      <c r="AW309" t="s">
        <v>9</v>
      </c>
      <c r="AX309">
        <f>Tabla1[[#This Row],[precio del paquete]]-Tabla1[[#This Row],[Saldo_Deudor]]</f>
        <v>1200</v>
      </c>
      <c r="AY309">
        <v>23300</v>
      </c>
      <c r="AZ309">
        <v>0</v>
      </c>
      <c r="BA309">
        <v>0</v>
      </c>
      <c r="BB309">
        <v>0</v>
      </c>
      <c r="BC309" t="s">
        <v>3061</v>
      </c>
      <c r="BD309" t="s">
        <v>3040</v>
      </c>
      <c r="BE309" t="s">
        <v>3</v>
      </c>
      <c r="BF309" t="s">
        <v>3</v>
      </c>
      <c r="BG309" t="s">
        <v>3</v>
      </c>
      <c r="BH309" t="s">
        <v>3</v>
      </c>
      <c r="BI309" t="s">
        <v>3</v>
      </c>
      <c r="BJ309" t="s">
        <v>4984</v>
      </c>
      <c r="BK309" t="s">
        <v>3</v>
      </c>
      <c r="BL309" t="s">
        <v>96</v>
      </c>
      <c r="BM309" t="s">
        <v>1</v>
      </c>
      <c r="BN309">
        <v>24500</v>
      </c>
      <c r="BO309" t="s">
        <v>1</v>
      </c>
      <c r="BP309" t="s">
        <v>1</v>
      </c>
      <c r="BQ309" t="s">
        <v>1</v>
      </c>
      <c r="BR309" t="s">
        <v>1</v>
      </c>
      <c r="BS309" t="s">
        <v>1</v>
      </c>
      <c r="BT309" t="s">
        <v>1</v>
      </c>
      <c r="BU309" t="s">
        <v>1</v>
      </c>
      <c r="BV309" t="s">
        <v>1</v>
      </c>
      <c r="BW309" t="s">
        <v>0</v>
      </c>
      <c r="BX309" t="s">
        <v>1</v>
      </c>
      <c r="BY309" t="s">
        <v>1</v>
      </c>
      <c r="BZ309" t="s">
        <v>1</v>
      </c>
      <c r="CA309" t="s">
        <v>1</v>
      </c>
      <c r="CB309" t="s">
        <v>1</v>
      </c>
      <c r="CD309" s="2" t="e" cm="1">
        <f t="array" aca="1" ref="CD309" ca="1">eConcatenar(A309:CB309,"|")</f>
        <v>#NAME?</v>
      </c>
    </row>
    <row r="310" spans="1:82" x14ac:dyDescent="0.25">
      <c r="A310" t="s">
        <v>405</v>
      </c>
      <c r="B310" t="s">
        <v>1417</v>
      </c>
      <c r="C310">
        <v>3</v>
      </c>
      <c r="D310" t="s">
        <v>2157</v>
      </c>
      <c r="E310" t="s">
        <v>2158</v>
      </c>
      <c r="F310" t="s">
        <v>2159</v>
      </c>
      <c r="G310" t="s">
        <v>2347</v>
      </c>
      <c r="H310" t="s">
        <v>2706</v>
      </c>
      <c r="I310">
        <v>12900</v>
      </c>
      <c r="J310">
        <v>0</v>
      </c>
      <c r="K310">
        <v>100</v>
      </c>
      <c r="L310">
        <v>50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 t="s">
        <v>3352</v>
      </c>
      <c r="AC310" t="s">
        <v>3132</v>
      </c>
      <c r="AD310" t="s">
        <v>3550</v>
      </c>
      <c r="AE310" t="s">
        <v>4</v>
      </c>
      <c r="AF310" t="s">
        <v>1</v>
      </c>
      <c r="AG310" t="s">
        <v>1</v>
      </c>
      <c r="AH310" t="s">
        <v>4329</v>
      </c>
      <c r="AI310" t="s">
        <v>2347</v>
      </c>
      <c r="AJ310" t="s">
        <v>1</v>
      </c>
      <c r="AK310" t="s">
        <v>1</v>
      </c>
      <c r="AL310" t="s">
        <v>1</v>
      </c>
      <c r="AM310" t="s">
        <v>1</v>
      </c>
      <c r="AN310" t="s">
        <v>1</v>
      </c>
      <c r="AO310" t="s">
        <v>4329</v>
      </c>
      <c r="AP310" t="s">
        <v>1</v>
      </c>
      <c r="AQ310" t="s">
        <v>2</v>
      </c>
      <c r="AR310" t="s">
        <v>1</v>
      </c>
      <c r="AS310" t="s">
        <v>1</v>
      </c>
      <c r="AT310" t="s">
        <v>1</v>
      </c>
      <c r="AU310" t="s">
        <v>1</v>
      </c>
      <c r="AV310" t="s">
        <v>1</v>
      </c>
      <c r="AW310" t="s">
        <v>9</v>
      </c>
      <c r="AX310">
        <f>Tabla1[[#This Row],[precio del paquete]]-Tabla1[[#This Row],[Saldo_Deudor]]</f>
        <v>7600</v>
      </c>
      <c r="AY310">
        <v>5300</v>
      </c>
      <c r="AZ310">
        <v>0</v>
      </c>
      <c r="BA310">
        <v>0</v>
      </c>
      <c r="BB310">
        <v>0</v>
      </c>
      <c r="BC310" t="s">
        <v>2711</v>
      </c>
      <c r="BD310" t="s">
        <v>2712</v>
      </c>
      <c r="BE310" t="s">
        <v>3</v>
      </c>
      <c r="BF310" t="s">
        <v>3</v>
      </c>
      <c r="BG310" t="s">
        <v>3</v>
      </c>
      <c r="BH310" t="s">
        <v>3</v>
      </c>
      <c r="BI310" t="s">
        <v>3</v>
      </c>
      <c r="BJ310" t="s">
        <v>5001</v>
      </c>
      <c r="BK310" t="s">
        <v>3</v>
      </c>
      <c r="BL310" t="s">
        <v>96</v>
      </c>
      <c r="BM310" t="s">
        <v>1</v>
      </c>
      <c r="BN310">
        <v>12900</v>
      </c>
      <c r="BO310" t="s">
        <v>1</v>
      </c>
      <c r="BP310" t="s">
        <v>1</v>
      </c>
      <c r="BQ310" t="s">
        <v>1</v>
      </c>
      <c r="BR310" t="s">
        <v>1</v>
      </c>
      <c r="BS310" t="s">
        <v>1</v>
      </c>
      <c r="BT310" t="s">
        <v>1</v>
      </c>
      <c r="BU310" t="s">
        <v>1</v>
      </c>
      <c r="BV310" t="s">
        <v>1</v>
      </c>
      <c r="BW310" t="s">
        <v>0</v>
      </c>
      <c r="BX310" t="s">
        <v>1</v>
      </c>
      <c r="BY310" t="s">
        <v>1</v>
      </c>
      <c r="BZ310" t="s">
        <v>1</v>
      </c>
      <c r="CA310" t="s">
        <v>1</v>
      </c>
      <c r="CB310" t="s">
        <v>1</v>
      </c>
      <c r="CD310" t="e" cm="1">
        <f t="array" aca="1" ref="CD310" ca="1">eConcatenar(A310:CB310,"|")</f>
        <v>#NAME?</v>
      </c>
    </row>
    <row r="311" spans="1:82" x14ac:dyDescent="0.25">
      <c r="A311" t="s">
        <v>406</v>
      </c>
      <c r="B311" t="s">
        <v>1418</v>
      </c>
      <c r="C311">
        <v>3</v>
      </c>
      <c r="D311" t="s">
        <v>2155</v>
      </c>
      <c r="E311" t="s">
        <v>2158</v>
      </c>
      <c r="F311" t="s">
        <v>2162</v>
      </c>
      <c r="G311" t="s">
        <v>2348</v>
      </c>
      <c r="H311" t="s">
        <v>2869</v>
      </c>
      <c r="I311">
        <v>12900</v>
      </c>
      <c r="J311">
        <v>0</v>
      </c>
      <c r="K311">
        <v>100</v>
      </c>
      <c r="L311">
        <v>50</v>
      </c>
      <c r="M311">
        <v>2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 t="s">
        <v>3551</v>
      </c>
      <c r="AC311" t="s">
        <v>3297</v>
      </c>
      <c r="AD311" t="s">
        <v>3552</v>
      </c>
      <c r="AE311" t="s">
        <v>4</v>
      </c>
      <c r="AF311" t="s">
        <v>1</v>
      </c>
      <c r="AG311" t="s">
        <v>1</v>
      </c>
      <c r="AH311" t="s">
        <v>4330</v>
      </c>
      <c r="AI311" t="s">
        <v>2348</v>
      </c>
      <c r="AJ311" t="s">
        <v>1</v>
      </c>
      <c r="AK311">
        <v>9331017929</v>
      </c>
      <c r="AL311" t="s">
        <v>1</v>
      </c>
      <c r="AM311" t="s">
        <v>1</v>
      </c>
      <c r="AN311" t="s">
        <v>1</v>
      </c>
      <c r="AO311" t="s">
        <v>4330</v>
      </c>
      <c r="AP311" t="s">
        <v>1</v>
      </c>
      <c r="AQ311" t="s">
        <v>2</v>
      </c>
      <c r="AR311" t="s">
        <v>1</v>
      </c>
      <c r="AS311" t="s">
        <v>1</v>
      </c>
      <c r="AT311" t="s">
        <v>1</v>
      </c>
      <c r="AU311" t="s">
        <v>1</v>
      </c>
      <c r="AV311" t="s">
        <v>1</v>
      </c>
      <c r="AW311" t="s">
        <v>9</v>
      </c>
      <c r="AX311">
        <f>Tabla1[[#This Row],[precio del paquete]]-Tabla1[[#This Row],[Saldo_Deudor]]</f>
        <v>12300</v>
      </c>
      <c r="AY311">
        <v>600</v>
      </c>
      <c r="AZ311">
        <v>0</v>
      </c>
      <c r="BA311">
        <v>0</v>
      </c>
      <c r="BB311">
        <v>0</v>
      </c>
      <c r="BC311" t="s">
        <v>2916</v>
      </c>
      <c r="BD311" t="s">
        <v>4896</v>
      </c>
      <c r="BE311" t="s">
        <v>3</v>
      </c>
      <c r="BF311" t="s">
        <v>3</v>
      </c>
      <c r="BG311" t="s">
        <v>3</v>
      </c>
      <c r="BH311" t="s">
        <v>3</v>
      </c>
      <c r="BI311" t="s">
        <v>3</v>
      </c>
      <c r="BJ311" t="s">
        <v>4984</v>
      </c>
      <c r="BK311" t="s">
        <v>3</v>
      </c>
      <c r="BL311" t="s">
        <v>96</v>
      </c>
      <c r="BM311" t="s">
        <v>1</v>
      </c>
      <c r="BN311">
        <v>12900</v>
      </c>
      <c r="BO311" t="s">
        <v>1</v>
      </c>
      <c r="BP311" t="s">
        <v>1</v>
      </c>
      <c r="BQ311" t="s">
        <v>1</v>
      </c>
      <c r="BR311" t="s">
        <v>1</v>
      </c>
      <c r="BS311" t="s">
        <v>1</v>
      </c>
      <c r="BT311" t="s">
        <v>1</v>
      </c>
      <c r="BU311" t="s">
        <v>1</v>
      </c>
      <c r="BV311" t="s">
        <v>1</v>
      </c>
      <c r="BW311" t="s">
        <v>0</v>
      </c>
      <c r="BX311" t="s">
        <v>1</v>
      </c>
      <c r="BY311" t="s">
        <v>1</v>
      </c>
      <c r="BZ311" t="s">
        <v>1</v>
      </c>
      <c r="CA311" t="s">
        <v>1</v>
      </c>
      <c r="CB311" t="s">
        <v>1</v>
      </c>
      <c r="CD311" t="e" cm="1">
        <f t="array" aca="1" ref="CD311" ca="1">eConcatenar(A311:CB311,"|")</f>
        <v>#NAME?</v>
      </c>
    </row>
    <row r="312" spans="1:82" x14ac:dyDescent="0.25">
      <c r="A312" t="s">
        <v>407</v>
      </c>
      <c r="B312" t="s">
        <v>1419</v>
      </c>
      <c r="C312">
        <v>3</v>
      </c>
      <c r="D312" t="s">
        <v>2153</v>
      </c>
      <c r="E312" t="s">
        <v>2158</v>
      </c>
      <c r="F312" t="s">
        <v>2159</v>
      </c>
      <c r="G312" t="s">
        <v>2348</v>
      </c>
      <c r="H312" t="s">
        <v>2870</v>
      </c>
      <c r="I312">
        <v>14800</v>
      </c>
      <c r="J312">
        <v>0</v>
      </c>
      <c r="K312">
        <v>100</v>
      </c>
      <c r="L312">
        <v>50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 t="s">
        <v>3383</v>
      </c>
      <c r="AC312" t="s">
        <v>3553</v>
      </c>
      <c r="AD312" t="s">
        <v>3422</v>
      </c>
      <c r="AE312" t="s">
        <v>4</v>
      </c>
      <c r="AF312" t="s">
        <v>1</v>
      </c>
      <c r="AG312" t="s">
        <v>1</v>
      </c>
      <c r="AH312" t="s">
        <v>2207</v>
      </c>
      <c r="AI312" t="s">
        <v>2348</v>
      </c>
      <c r="AJ312" t="s">
        <v>1</v>
      </c>
      <c r="AK312">
        <v>9331038998</v>
      </c>
      <c r="AL312" t="s">
        <v>1</v>
      </c>
      <c r="AM312" t="s">
        <v>1</v>
      </c>
      <c r="AN312" t="s">
        <v>1</v>
      </c>
      <c r="AO312" t="s">
        <v>2207</v>
      </c>
      <c r="AP312" t="s">
        <v>1</v>
      </c>
      <c r="AQ312" t="s">
        <v>2</v>
      </c>
      <c r="AR312" t="s">
        <v>1</v>
      </c>
      <c r="AS312" t="s">
        <v>1</v>
      </c>
      <c r="AT312" t="s">
        <v>1</v>
      </c>
      <c r="AU312" t="s">
        <v>1</v>
      </c>
      <c r="AV312" t="s">
        <v>1</v>
      </c>
      <c r="AW312" t="s">
        <v>9</v>
      </c>
      <c r="AX312">
        <f>Tabla1[[#This Row],[precio del paquete]]-Tabla1[[#This Row],[Saldo_Deudor]]</f>
        <v>1100</v>
      </c>
      <c r="AY312">
        <v>13700</v>
      </c>
      <c r="AZ312">
        <v>0</v>
      </c>
      <c r="BA312">
        <v>0</v>
      </c>
      <c r="BB312">
        <v>0</v>
      </c>
      <c r="BC312" t="s">
        <v>4847</v>
      </c>
      <c r="BD312" t="s">
        <v>4826</v>
      </c>
      <c r="BE312" t="s">
        <v>3</v>
      </c>
      <c r="BF312" t="s">
        <v>3</v>
      </c>
      <c r="BG312" t="s">
        <v>3</v>
      </c>
      <c r="BH312" t="s">
        <v>3</v>
      </c>
      <c r="BI312" t="s">
        <v>3</v>
      </c>
      <c r="BJ312" t="s">
        <v>5005</v>
      </c>
      <c r="BK312" t="s">
        <v>3</v>
      </c>
      <c r="BL312" t="s">
        <v>96</v>
      </c>
      <c r="BM312" t="s">
        <v>1</v>
      </c>
      <c r="BN312">
        <v>14800</v>
      </c>
      <c r="BO312" t="s">
        <v>1</v>
      </c>
      <c r="BP312" t="s">
        <v>1</v>
      </c>
      <c r="BQ312" t="s">
        <v>1</v>
      </c>
      <c r="BR312" t="s">
        <v>1</v>
      </c>
      <c r="BS312" t="s">
        <v>1</v>
      </c>
      <c r="BT312" t="s">
        <v>1</v>
      </c>
      <c r="BU312" t="s">
        <v>1</v>
      </c>
      <c r="BV312" t="s">
        <v>1</v>
      </c>
      <c r="BW312" t="s">
        <v>0</v>
      </c>
      <c r="BX312" t="s">
        <v>1</v>
      </c>
      <c r="BY312" t="s">
        <v>1</v>
      </c>
      <c r="BZ312" t="s">
        <v>1</v>
      </c>
      <c r="CA312" t="s">
        <v>1</v>
      </c>
      <c r="CB312" t="s">
        <v>1</v>
      </c>
      <c r="CD312" t="e" cm="1">
        <f t="array" aca="1" ref="CD312" ca="1">eConcatenar(A312:CB312,"|")</f>
        <v>#NAME?</v>
      </c>
    </row>
    <row r="313" spans="1:82" x14ac:dyDescent="0.25">
      <c r="A313" t="s">
        <v>408</v>
      </c>
      <c r="B313" t="s">
        <v>1420</v>
      </c>
      <c r="C313">
        <v>3</v>
      </c>
      <c r="D313" t="s">
        <v>2153</v>
      </c>
      <c r="E313" t="s">
        <v>2158</v>
      </c>
      <c r="F313" t="s">
        <v>2159</v>
      </c>
      <c r="G313" t="s">
        <v>2349</v>
      </c>
      <c r="H313" t="s">
        <v>2871</v>
      </c>
      <c r="I313">
        <v>14800</v>
      </c>
      <c r="J313">
        <v>0</v>
      </c>
      <c r="K313">
        <v>100</v>
      </c>
      <c r="L313">
        <v>50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 t="s">
        <v>3290</v>
      </c>
      <c r="AC313" t="s">
        <v>3339</v>
      </c>
      <c r="AD313" t="s">
        <v>3247</v>
      </c>
      <c r="AE313" t="s">
        <v>4</v>
      </c>
      <c r="AF313" t="s">
        <v>1</v>
      </c>
      <c r="AG313" t="s">
        <v>1</v>
      </c>
      <c r="AH313" t="s">
        <v>4331</v>
      </c>
      <c r="AI313" t="s">
        <v>2349</v>
      </c>
      <c r="AJ313" t="s">
        <v>1</v>
      </c>
      <c r="AK313">
        <v>9331455031</v>
      </c>
      <c r="AL313" t="s">
        <v>1</v>
      </c>
      <c r="AM313" t="s">
        <v>1</v>
      </c>
      <c r="AN313" t="s">
        <v>1</v>
      </c>
      <c r="AO313" t="s">
        <v>4331</v>
      </c>
      <c r="AP313" t="s">
        <v>1</v>
      </c>
      <c r="AQ313" t="s">
        <v>2</v>
      </c>
      <c r="AR313" t="s">
        <v>1</v>
      </c>
      <c r="AS313" t="s">
        <v>1</v>
      </c>
      <c r="AT313" t="s">
        <v>1</v>
      </c>
      <c r="AU313" t="s">
        <v>1</v>
      </c>
      <c r="AV313" t="s">
        <v>1</v>
      </c>
      <c r="AW313" t="s">
        <v>9</v>
      </c>
      <c r="AX313">
        <f>Tabla1[[#This Row],[precio del paquete]]-Tabla1[[#This Row],[Saldo_Deudor]]</f>
        <v>100</v>
      </c>
      <c r="AY313">
        <v>14700</v>
      </c>
      <c r="AZ313">
        <v>0</v>
      </c>
      <c r="BA313">
        <v>0</v>
      </c>
      <c r="BB313">
        <v>0</v>
      </c>
      <c r="BC313" t="s">
        <v>3058</v>
      </c>
      <c r="BD313" t="s">
        <v>4936</v>
      </c>
      <c r="BE313" t="s">
        <v>3</v>
      </c>
      <c r="BF313" t="s">
        <v>3</v>
      </c>
      <c r="BG313" t="s">
        <v>3</v>
      </c>
      <c r="BH313" t="s">
        <v>3</v>
      </c>
      <c r="BI313" t="s">
        <v>3</v>
      </c>
      <c r="BJ313" t="s">
        <v>5002</v>
      </c>
      <c r="BK313" t="s">
        <v>3</v>
      </c>
      <c r="BL313" t="s">
        <v>96</v>
      </c>
      <c r="BM313" t="s">
        <v>1</v>
      </c>
      <c r="BN313">
        <v>14800</v>
      </c>
      <c r="BO313" t="s">
        <v>1</v>
      </c>
      <c r="BP313" t="s">
        <v>1</v>
      </c>
      <c r="BQ313" t="s">
        <v>1</v>
      </c>
      <c r="BR313" t="s">
        <v>1</v>
      </c>
      <c r="BS313" t="s">
        <v>1</v>
      </c>
      <c r="BT313" t="s">
        <v>1</v>
      </c>
      <c r="BU313" t="s">
        <v>1</v>
      </c>
      <c r="BV313" t="s">
        <v>1</v>
      </c>
      <c r="BW313" t="s">
        <v>0</v>
      </c>
      <c r="BX313" t="s">
        <v>1</v>
      </c>
      <c r="BY313" t="s">
        <v>1</v>
      </c>
      <c r="BZ313" t="s">
        <v>1</v>
      </c>
      <c r="CA313" t="s">
        <v>1</v>
      </c>
      <c r="CB313" t="s">
        <v>1</v>
      </c>
      <c r="CD313" t="e" cm="1">
        <f t="array" aca="1" ref="CD313" ca="1">eConcatenar(A313:CB313,"|")</f>
        <v>#NAME?</v>
      </c>
    </row>
    <row r="314" spans="1:82" x14ac:dyDescent="0.25">
      <c r="A314" t="s">
        <v>409</v>
      </c>
      <c r="B314" t="s">
        <v>1421</v>
      </c>
      <c r="C314">
        <v>3</v>
      </c>
      <c r="D314" t="s">
        <v>2157</v>
      </c>
      <c r="E314" t="s">
        <v>2158</v>
      </c>
      <c r="F314" t="s">
        <v>0</v>
      </c>
      <c r="G314" t="s">
        <v>2350</v>
      </c>
      <c r="H314" t="s">
        <v>2872</v>
      </c>
      <c r="I314">
        <v>12900</v>
      </c>
      <c r="J314">
        <v>0</v>
      </c>
      <c r="K314">
        <v>100</v>
      </c>
      <c r="L314">
        <v>50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 t="s">
        <v>3378</v>
      </c>
      <c r="AC314" t="s">
        <v>3290</v>
      </c>
      <c r="AD314" t="s">
        <v>3457</v>
      </c>
      <c r="AE314" t="s">
        <v>4</v>
      </c>
      <c r="AF314" t="s">
        <v>1</v>
      </c>
      <c r="AG314" t="s">
        <v>1</v>
      </c>
      <c r="AH314" t="s">
        <v>4332</v>
      </c>
      <c r="AI314" t="s">
        <v>2350</v>
      </c>
      <c r="AJ314" t="s">
        <v>1</v>
      </c>
      <c r="AK314">
        <v>9371347405</v>
      </c>
      <c r="AL314" t="s">
        <v>1</v>
      </c>
      <c r="AM314" t="s">
        <v>1</v>
      </c>
      <c r="AN314" t="s">
        <v>1</v>
      </c>
      <c r="AO314" t="s">
        <v>4332</v>
      </c>
      <c r="AP314" t="s">
        <v>1</v>
      </c>
      <c r="AQ314" t="s">
        <v>2</v>
      </c>
      <c r="AR314" t="s">
        <v>1</v>
      </c>
      <c r="AS314" t="s">
        <v>1</v>
      </c>
      <c r="AT314" t="s">
        <v>1</v>
      </c>
      <c r="AU314" t="s">
        <v>1</v>
      </c>
      <c r="AV314" t="s">
        <v>1</v>
      </c>
      <c r="AW314" t="s">
        <v>9</v>
      </c>
      <c r="AX314">
        <f>Tabla1[[#This Row],[precio del paquete]]-Tabla1[[#This Row],[Saldo_Deudor]]</f>
        <v>9100</v>
      </c>
      <c r="AY314">
        <v>3800</v>
      </c>
      <c r="AZ314">
        <v>0</v>
      </c>
      <c r="BA314">
        <v>0</v>
      </c>
      <c r="BB314">
        <v>0</v>
      </c>
      <c r="BC314" t="s">
        <v>2928</v>
      </c>
      <c r="BD314" t="s">
        <v>2711</v>
      </c>
      <c r="BE314" t="s">
        <v>3</v>
      </c>
      <c r="BF314" t="s">
        <v>3</v>
      </c>
      <c r="BG314" t="s">
        <v>3</v>
      </c>
      <c r="BH314" t="s">
        <v>3</v>
      </c>
      <c r="BI314" t="s">
        <v>3</v>
      </c>
      <c r="BJ314" t="s">
        <v>4984</v>
      </c>
      <c r="BK314" t="s">
        <v>3</v>
      </c>
      <c r="BL314" t="s">
        <v>96</v>
      </c>
      <c r="BM314" t="s">
        <v>1</v>
      </c>
      <c r="BN314">
        <v>12900</v>
      </c>
      <c r="BO314" t="s">
        <v>1</v>
      </c>
      <c r="BP314" t="s">
        <v>1</v>
      </c>
      <c r="BQ314" t="s">
        <v>1</v>
      </c>
      <c r="BR314" t="s">
        <v>1</v>
      </c>
      <c r="BS314" t="s">
        <v>1</v>
      </c>
      <c r="BT314" t="s">
        <v>1</v>
      </c>
      <c r="BU314" t="s">
        <v>1</v>
      </c>
      <c r="BV314" t="s">
        <v>1</v>
      </c>
      <c r="BW314" t="s">
        <v>0</v>
      </c>
      <c r="BX314" t="s">
        <v>1</v>
      </c>
      <c r="BY314" t="s">
        <v>1</v>
      </c>
      <c r="BZ314" t="s">
        <v>1</v>
      </c>
      <c r="CA314" t="s">
        <v>1</v>
      </c>
      <c r="CB314" t="s">
        <v>1</v>
      </c>
      <c r="CD314" t="e" cm="1">
        <f t="array" aca="1" ref="CD314" ca="1">eConcatenar(A314:CB314,"|")</f>
        <v>#NAME?</v>
      </c>
    </row>
    <row r="315" spans="1:82" x14ac:dyDescent="0.25">
      <c r="A315" t="s">
        <v>410</v>
      </c>
      <c r="B315" t="s">
        <v>1422</v>
      </c>
      <c r="C315">
        <v>3</v>
      </c>
      <c r="D315" t="s">
        <v>2153</v>
      </c>
      <c r="E315" t="s">
        <v>2158</v>
      </c>
      <c r="F315" t="s">
        <v>0</v>
      </c>
      <c r="G315" t="s">
        <v>2351</v>
      </c>
      <c r="H315" t="s">
        <v>2873</v>
      </c>
      <c r="I315">
        <v>14800</v>
      </c>
      <c r="J315">
        <v>0</v>
      </c>
      <c r="K315">
        <v>200</v>
      </c>
      <c r="L315">
        <v>50</v>
      </c>
      <c r="M315">
        <v>1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 t="s">
        <v>3554</v>
      </c>
      <c r="AC315" t="s">
        <v>3117</v>
      </c>
      <c r="AD315" t="s">
        <v>3555</v>
      </c>
      <c r="AE315" t="s">
        <v>4</v>
      </c>
      <c r="AF315" t="s">
        <v>1</v>
      </c>
      <c r="AG315" t="s">
        <v>1</v>
      </c>
      <c r="AH315" t="s">
        <v>4333</v>
      </c>
      <c r="AI315" t="s">
        <v>2351</v>
      </c>
      <c r="AJ315" t="s">
        <v>1</v>
      </c>
      <c r="AK315">
        <v>9371652933</v>
      </c>
      <c r="AL315" t="s">
        <v>1</v>
      </c>
      <c r="AM315" t="s">
        <v>1</v>
      </c>
      <c r="AN315" t="s">
        <v>1</v>
      </c>
      <c r="AO315" t="s">
        <v>4333</v>
      </c>
      <c r="AP315" t="s">
        <v>1</v>
      </c>
      <c r="AQ315" t="s">
        <v>2</v>
      </c>
      <c r="AR315" t="s">
        <v>1</v>
      </c>
      <c r="AS315" t="s">
        <v>1</v>
      </c>
      <c r="AT315" t="s">
        <v>1</v>
      </c>
      <c r="AU315" t="s">
        <v>1</v>
      </c>
      <c r="AV315" t="s">
        <v>1</v>
      </c>
      <c r="AW315" t="s">
        <v>9</v>
      </c>
      <c r="AX315">
        <f>Tabla1[[#This Row],[precio del paquete]]-Tabla1[[#This Row],[Saldo_Deudor]]</f>
        <v>3300</v>
      </c>
      <c r="AY315">
        <v>11500</v>
      </c>
      <c r="AZ315">
        <v>0</v>
      </c>
      <c r="BA315">
        <v>0</v>
      </c>
      <c r="BB315">
        <v>0</v>
      </c>
      <c r="BC315" t="s">
        <v>2979</v>
      </c>
      <c r="BD315" t="s">
        <v>4937</v>
      </c>
      <c r="BE315" t="s">
        <v>3</v>
      </c>
      <c r="BF315" t="s">
        <v>3</v>
      </c>
      <c r="BG315" t="s">
        <v>3</v>
      </c>
      <c r="BH315" t="s">
        <v>3</v>
      </c>
      <c r="BI315" t="s">
        <v>3</v>
      </c>
      <c r="BJ315" t="s">
        <v>4994</v>
      </c>
      <c r="BK315" t="s">
        <v>3</v>
      </c>
      <c r="BL315" t="s">
        <v>96</v>
      </c>
      <c r="BM315" t="s">
        <v>1</v>
      </c>
      <c r="BN315">
        <v>14800</v>
      </c>
      <c r="BO315" t="s">
        <v>1</v>
      </c>
      <c r="BP315" t="s">
        <v>1</v>
      </c>
      <c r="BQ315" t="s">
        <v>1</v>
      </c>
      <c r="BR315" t="s">
        <v>1</v>
      </c>
      <c r="BS315" t="s">
        <v>1</v>
      </c>
      <c r="BT315" t="s">
        <v>1</v>
      </c>
      <c r="BU315" t="s">
        <v>1</v>
      </c>
      <c r="BV315" t="s">
        <v>1</v>
      </c>
      <c r="BW315" t="s">
        <v>0</v>
      </c>
      <c r="BX315" t="s">
        <v>1</v>
      </c>
      <c r="BY315" t="s">
        <v>1</v>
      </c>
      <c r="BZ315" t="s">
        <v>1</v>
      </c>
      <c r="CA315" t="s">
        <v>1</v>
      </c>
      <c r="CB315" t="s">
        <v>1</v>
      </c>
      <c r="CD315" t="e" cm="1">
        <f t="array" aca="1" ref="CD315" ca="1">eConcatenar(A315:CB315,"|")</f>
        <v>#NAME?</v>
      </c>
    </row>
    <row r="316" spans="1:82" x14ac:dyDescent="0.25">
      <c r="A316" t="s">
        <v>411</v>
      </c>
      <c r="B316" t="s">
        <v>1423</v>
      </c>
      <c r="C316">
        <v>3</v>
      </c>
      <c r="D316" t="s">
        <v>2153</v>
      </c>
      <c r="E316" t="s">
        <v>2158</v>
      </c>
      <c r="F316" t="s">
        <v>2161</v>
      </c>
      <c r="G316" t="s">
        <v>2352</v>
      </c>
      <c r="H316" t="s">
        <v>2730</v>
      </c>
      <c r="I316">
        <v>14800</v>
      </c>
      <c r="J316">
        <v>0</v>
      </c>
      <c r="K316">
        <v>500</v>
      </c>
      <c r="L316">
        <v>50</v>
      </c>
      <c r="M316">
        <v>1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 t="s">
        <v>3115</v>
      </c>
      <c r="AC316" t="s">
        <v>3373</v>
      </c>
      <c r="AD316" t="s">
        <v>3179</v>
      </c>
      <c r="AE316" t="s">
        <v>4</v>
      </c>
      <c r="AF316" t="s">
        <v>1</v>
      </c>
      <c r="AG316" t="s">
        <v>1</v>
      </c>
      <c r="AH316" t="s">
        <v>4334</v>
      </c>
      <c r="AI316" t="s">
        <v>2352</v>
      </c>
      <c r="AJ316" t="s">
        <v>1</v>
      </c>
      <c r="AK316">
        <v>9141378466</v>
      </c>
      <c r="AL316" t="s">
        <v>1</v>
      </c>
      <c r="AM316" t="s">
        <v>1</v>
      </c>
      <c r="AN316" t="s">
        <v>1</v>
      </c>
      <c r="AO316" t="s">
        <v>4334</v>
      </c>
      <c r="AP316" t="s">
        <v>1</v>
      </c>
      <c r="AQ316" t="s">
        <v>2</v>
      </c>
      <c r="AR316" t="s">
        <v>1</v>
      </c>
      <c r="AS316" t="s">
        <v>1</v>
      </c>
      <c r="AT316" t="s">
        <v>1</v>
      </c>
      <c r="AU316" t="s">
        <v>1</v>
      </c>
      <c r="AV316" t="s">
        <v>1</v>
      </c>
      <c r="AW316" t="s">
        <v>9</v>
      </c>
      <c r="AX316">
        <f>Tabla1[[#This Row],[precio del paquete]]-Tabla1[[#This Row],[Saldo_Deudor]]</f>
        <v>1100</v>
      </c>
      <c r="AY316">
        <v>13700</v>
      </c>
      <c r="AZ316">
        <v>0</v>
      </c>
      <c r="BA316">
        <v>0</v>
      </c>
      <c r="BB316">
        <v>0</v>
      </c>
      <c r="BC316" t="s">
        <v>3098</v>
      </c>
      <c r="BD316" t="s">
        <v>4829</v>
      </c>
      <c r="BE316" t="s">
        <v>3</v>
      </c>
      <c r="BF316" t="s">
        <v>3</v>
      </c>
      <c r="BG316" t="s">
        <v>3</v>
      </c>
      <c r="BH316" t="s">
        <v>3</v>
      </c>
      <c r="BI316" t="s">
        <v>3</v>
      </c>
      <c r="BJ316" t="s">
        <v>4983</v>
      </c>
      <c r="BK316" t="s">
        <v>3</v>
      </c>
      <c r="BL316" t="s">
        <v>96</v>
      </c>
      <c r="BM316" t="s">
        <v>1</v>
      </c>
      <c r="BN316">
        <v>14800</v>
      </c>
      <c r="BO316" t="s">
        <v>1</v>
      </c>
      <c r="BP316" t="s">
        <v>1</v>
      </c>
      <c r="BQ316" t="s">
        <v>1</v>
      </c>
      <c r="BR316" t="s">
        <v>1</v>
      </c>
      <c r="BS316" t="s">
        <v>1</v>
      </c>
      <c r="BT316" t="s">
        <v>1</v>
      </c>
      <c r="BU316" t="s">
        <v>1</v>
      </c>
      <c r="BV316" t="s">
        <v>1</v>
      </c>
      <c r="BW316" t="s">
        <v>0</v>
      </c>
      <c r="BX316" t="s">
        <v>1</v>
      </c>
      <c r="BY316" t="s">
        <v>1</v>
      </c>
      <c r="BZ316" t="s">
        <v>1</v>
      </c>
      <c r="CA316" t="s">
        <v>1</v>
      </c>
      <c r="CB316" t="s">
        <v>1</v>
      </c>
      <c r="CD316" t="e" cm="1">
        <f t="array" aca="1" ref="CD316" ca="1">eConcatenar(A316:CB316,"|")</f>
        <v>#NAME?</v>
      </c>
    </row>
    <row r="317" spans="1:82" x14ac:dyDescent="0.25">
      <c r="A317" t="s">
        <v>412</v>
      </c>
      <c r="B317" t="s">
        <v>1424</v>
      </c>
      <c r="C317">
        <v>3</v>
      </c>
      <c r="D317" t="s">
        <v>2154</v>
      </c>
      <c r="E317" t="s">
        <v>2158</v>
      </c>
      <c r="F317" t="s">
        <v>2161</v>
      </c>
      <c r="G317" t="s">
        <v>2352</v>
      </c>
      <c r="H317" t="s">
        <v>2730</v>
      </c>
      <c r="I317">
        <v>24500</v>
      </c>
      <c r="J317">
        <v>0</v>
      </c>
      <c r="K317">
        <v>100</v>
      </c>
      <c r="L317">
        <v>50</v>
      </c>
      <c r="M317">
        <v>1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 t="s">
        <v>3262</v>
      </c>
      <c r="AC317" t="s">
        <v>3556</v>
      </c>
      <c r="AD317" t="s">
        <v>3557</v>
      </c>
      <c r="AE317" t="s">
        <v>4</v>
      </c>
      <c r="AF317" t="s">
        <v>1</v>
      </c>
      <c r="AG317" t="s">
        <v>1</v>
      </c>
      <c r="AH317" t="s">
        <v>4335</v>
      </c>
      <c r="AI317" t="s">
        <v>2352</v>
      </c>
      <c r="AJ317" t="s">
        <v>1</v>
      </c>
      <c r="AK317">
        <v>9141251156</v>
      </c>
      <c r="AL317" t="s">
        <v>1</v>
      </c>
      <c r="AM317" t="s">
        <v>1</v>
      </c>
      <c r="AN317" t="s">
        <v>1</v>
      </c>
      <c r="AO317" t="s">
        <v>4335</v>
      </c>
      <c r="AP317" t="s">
        <v>1</v>
      </c>
      <c r="AQ317" t="s">
        <v>2</v>
      </c>
      <c r="AR317" t="s">
        <v>1</v>
      </c>
      <c r="AS317" t="s">
        <v>1</v>
      </c>
      <c r="AT317" t="s">
        <v>1</v>
      </c>
      <c r="AU317" t="s">
        <v>1</v>
      </c>
      <c r="AV317" t="s">
        <v>1</v>
      </c>
      <c r="AW317" t="s">
        <v>9</v>
      </c>
      <c r="AX317">
        <f>Tabla1[[#This Row],[precio del paquete]]-Tabla1[[#This Row],[Saldo_Deudor]]</f>
        <v>3700</v>
      </c>
      <c r="AY317">
        <v>20800</v>
      </c>
      <c r="AZ317">
        <v>0</v>
      </c>
      <c r="BA317">
        <v>0</v>
      </c>
      <c r="BB317">
        <v>0</v>
      </c>
      <c r="BC317" t="s">
        <v>3098</v>
      </c>
      <c r="BD317" t="s">
        <v>4829</v>
      </c>
      <c r="BE317" t="s">
        <v>3</v>
      </c>
      <c r="BF317" t="s">
        <v>3</v>
      </c>
      <c r="BG317" t="s">
        <v>3</v>
      </c>
      <c r="BH317" t="s">
        <v>3</v>
      </c>
      <c r="BI317" t="s">
        <v>3</v>
      </c>
      <c r="BJ317" t="s">
        <v>5000</v>
      </c>
      <c r="BK317" t="s">
        <v>3</v>
      </c>
      <c r="BL317" t="s">
        <v>96</v>
      </c>
      <c r="BM317" t="s">
        <v>1</v>
      </c>
      <c r="BN317">
        <v>24500</v>
      </c>
      <c r="BO317" t="s">
        <v>1</v>
      </c>
      <c r="BP317" t="s">
        <v>1</v>
      </c>
      <c r="BQ317" t="s">
        <v>1</v>
      </c>
      <c r="BR317" t="s">
        <v>1</v>
      </c>
      <c r="BS317" t="s">
        <v>1</v>
      </c>
      <c r="BT317" t="s">
        <v>1</v>
      </c>
      <c r="BU317" t="s">
        <v>1</v>
      </c>
      <c r="BV317" t="s">
        <v>1</v>
      </c>
      <c r="BW317" t="s">
        <v>0</v>
      </c>
      <c r="BX317" t="s">
        <v>1</v>
      </c>
      <c r="BY317" t="s">
        <v>1</v>
      </c>
      <c r="BZ317" t="s">
        <v>1</v>
      </c>
      <c r="CA317" t="s">
        <v>1</v>
      </c>
      <c r="CB317" t="s">
        <v>1</v>
      </c>
      <c r="CD317" t="e" cm="1">
        <f t="array" aca="1" ref="CD317" ca="1">eConcatenar(A317:CB317,"|")</f>
        <v>#NAME?</v>
      </c>
    </row>
    <row r="318" spans="1:82" x14ac:dyDescent="0.25">
      <c r="A318" t="s">
        <v>413</v>
      </c>
      <c r="B318" t="s">
        <v>1425</v>
      </c>
      <c r="C318">
        <v>3</v>
      </c>
      <c r="D318" t="s">
        <v>2153</v>
      </c>
      <c r="E318" t="s">
        <v>2158</v>
      </c>
      <c r="F318" t="s">
        <v>2161</v>
      </c>
      <c r="G318" t="s">
        <v>2353</v>
      </c>
      <c r="H318" t="s">
        <v>2874</v>
      </c>
      <c r="I318">
        <v>14800</v>
      </c>
      <c r="J318">
        <v>0</v>
      </c>
      <c r="K318">
        <v>200</v>
      </c>
      <c r="L318">
        <v>50</v>
      </c>
      <c r="M318">
        <v>1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 t="s">
        <v>3115</v>
      </c>
      <c r="AC318" t="s">
        <v>3558</v>
      </c>
      <c r="AD318" t="s">
        <v>3403</v>
      </c>
      <c r="AE318" t="s">
        <v>4</v>
      </c>
      <c r="AF318" t="s">
        <v>1</v>
      </c>
      <c r="AG318" t="s">
        <v>1</v>
      </c>
      <c r="AH318" t="s">
        <v>2207</v>
      </c>
      <c r="AI318" t="s">
        <v>2353</v>
      </c>
      <c r="AJ318" t="s">
        <v>1</v>
      </c>
      <c r="AK318">
        <v>9141398364</v>
      </c>
      <c r="AL318" t="s">
        <v>1</v>
      </c>
      <c r="AM318" t="s">
        <v>1</v>
      </c>
      <c r="AN318" t="s">
        <v>1</v>
      </c>
      <c r="AO318" t="s">
        <v>2207</v>
      </c>
      <c r="AP318" t="s">
        <v>1</v>
      </c>
      <c r="AQ318" t="s">
        <v>2</v>
      </c>
      <c r="AR318" t="s">
        <v>1</v>
      </c>
      <c r="AS318" t="s">
        <v>1</v>
      </c>
      <c r="AT318" t="s">
        <v>1</v>
      </c>
      <c r="AU318" t="s">
        <v>1</v>
      </c>
      <c r="AV318" t="s">
        <v>1</v>
      </c>
      <c r="AW318" t="s">
        <v>9</v>
      </c>
      <c r="AX318">
        <f>Tabla1[[#This Row],[precio del paquete]]-Tabla1[[#This Row],[Saldo_Deudor]]</f>
        <v>800</v>
      </c>
      <c r="AY318">
        <v>14000</v>
      </c>
      <c r="AZ318">
        <v>0</v>
      </c>
      <c r="BA318">
        <v>0</v>
      </c>
      <c r="BB318">
        <v>0</v>
      </c>
      <c r="BC318" t="s">
        <v>3098</v>
      </c>
      <c r="BD318" t="s">
        <v>4829</v>
      </c>
      <c r="BE318" t="s">
        <v>3</v>
      </c>
      <c r="BF318" t="s">
        <v>3</v>
      </c>
      <c r="BG318" t="s">
        <v>3</v>
      </c>
      <c r="BH318" t="s">
        <v>3</v>
      </c>
      <c r="BI318" t="s">
        <v>3</v>
      </c>
      <c r="BJ318" t="s">
        <v>5000</v>
      </c>
      <c r="BK318" t="s">
        <v>3</v>
      </c>
      <c r="BL318" t="s">
        <v>96</v>
      </c>
      <c r="BM318" t="s">
        <v>1</v>
      </c>
      <c r="BN318">
        <v>14800</v>
      </c>
      <c r="BO318" t="s">
        <v>1</v>
      </c>
      <c r="BP318" t="s">
        <v>1</v>
      </c>
      <c r="BQ318" t="s">
        <v>1</v>
      </c>
      <c r="BR318" t="s">
        <v>1</v>
      </c>
      <c r="BS318" t="s">
        <v>1</v>
      </c>
      <c r="BT318" t="s">
        <v>1</v>
      </c>
      <c r="BU318" t="s">
        <v>1</v>
      </c>
      <c r="BV318" t="s">
        <v>1</v>
      </c>
      <c r="BW318" t="s">
        <v>0</v>
      </c>
      <c r="BX318" t="s">
        <v>1</v>
      </c>
      <c r="BY318" t="s">
        <v>1</v>
      </c>
      <c r="BZ318" t="s">
        <v>1</v>
      </c>
      <c r="CA318" t="s">
        <v>1</v>
      </c>
      <c r="CB318" t="s">
        <v>1</v>
      </c>
      <c r="CD318" t="e" cm="1">
        <f t="array" aca="1" ref="CD318" ca="1">eConcatenar(A318:CB318,"|")</f>
        <v>#NAME?</v>
      </c>
    </row>
    <row r="319" spans="1:82" x14ac:dyDescent="0.25">
      <c r="A319" t="s">
        <v>414</v>
      </c>
      <c r="B319" t="s">
        <v>1426</v>
      </c>
      <c r="C319">
        <v>3</v>
      </c>
      <c r="D319" t="s">
        <v>2153</v>
      </c>
      <c r="E319" t="s">
        <v>2158</v>
      </c>
      <c r="F319" t="s">
        <v>2161</v>
      </c>
      <c r="G319" t="s">
        <v>2353</v>
      </c>
      <c r="H319" t="s">
        <v>2803</v>
      </c>
      <c r="I319">
        <v>14800</v>
      </c>
      <c r="J319">
        <v>0</v>
      </c>
      <c r="K319">
        <v>200</v>
      </c>
      <c r="L319">
        <v>50</v>
      </c>
      <c r="M319">
        <v>1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 t="s">
        <v>3280</v>
      </c>
      <c r="AC319" t="s">
        <v>3304</v>
      </c>
      <c r="AD319" t="s">
        <v>3559</v>
      </c>
      <c r="AE319" t="s">
        <v>4</v>
      </c>
      <c r="AF319" t="s">
        <v>1</v>
      </c>
      <c r="AG319" t="s">
        <v>1</v>
      </c>
      <c r="AH319" t="s">
        <v>4336</v>
      </c>
      <c r="AI319" t="s">
        <v>2353</v>
      </c>
      <c r="AJ319" t="s">
        <v>1</v>
      </c>
      <c r="AK319">
        <v>9934421177</v>
      </c>
      <c r="AL319" t="s">
        <v>1</v>
      </c>
      <c r="AM319" t="s">
        <v>1</v>
      </c>
      <c r="AN319" t="s">
        <v>1</v>
      </c>
      <c r="AO319" t="s">
        <v>4336</v>
      </c>
      <c r="AP319" t="s">
        <v>1</v>
      </c>
      <c r="AQ319" t="s">
        <v>2</v>
      </c>
      <c r="AR319" t="s">
        <v>1</v>
      </c>
      <c r="AS319" t="s">
        <v>1</v>
      </c>
      <c r="AT319" t="s">
        <v>1</v>
      </c>
      <c r="AU319" t="s">
        <v>1</v>
      </c>
      <c r="AV319" t="s">
        <v>1</v>
      </c>
      <c r="AW319" t="s">
        <v>9</v>
      </c>
      <c r="AX319">
        <f>Tabla1[[#This Row],[precio del paquete]]-Tabla1[[#This Row],[Saldo_Deudor]]</f>
        <v>800</v>
      </c>
      <c r="AY319">
        <v>14000</v>
      </c>
      <c r="AZ319">
        <v>0</v>
      </c>
      <c r="BA319">
        <v>0</v>
      </c>
      <c r="BB319">
        <v>0</v>
      </c>
      <c r="BC319" t="s">
        <v>4850</v>
      </c>
      <c r="BD319" t="s">
        <v>4938</v>
      </c>
      <c r="BE319" t="s">
        <v>3</v>
      </c>
      <c r="BF319" t="s">
        <v>3</v>
      </c>
      <c r="BG319" t="s">
        <v>3</v>
      </c>
      <c r="BH319" t="s">
        <v>3</v>
      </c>
      <c r="BI319" t="s">
        <v>3</v>
      </c>
      <c r="BJ319" t="s">
        <v>5000</v>
      </c>
      <c r="BK319" t="s">
        <v>3</v>
      </c>
      <c r="BL319" t="s">
        <v>96</v>
      </c>
      <c r="BM319" t="s">
        <v>1</v>
      </c>
      <c r="BN319">
        <v>14800</v>
      </c>
      <c r="BO319" t="s">
        <v>1</v>
      </c>
      <c r="BP319" t="s">
        <v>1</v>
      </c>
      <c r="BQ319" t="s">
        <v>1</v>
      </c>
      <c r="BR319" t="s">
        <v>1</v>
      </c>
      <c r="BS319" t="s">
        <v>1</v>
      </c>
      <c r="BT319" t="s">
        <v>1</v>
      </c>
      <c r="BU319" t="s">
        <v>1</v>
      </c>
      <c r="BV319" t="s">
        <v>1</v>
      </c>
      <c r="BW319" t="s">
        <v>0</v>
      </c>
      <c r="BX319" t="s">
        <v>1</v>
      </c>
      <c r="BY319" t="s">
        <v>1</v>
      </c>
      <c r="BZ319" t="s">
        <v>1</v>
      </c>
      <c r="CA319" t="s">
        <v>1</v>
      </c>
      <c r="CB319" t="s">
        <v>1</v>
      </c>
      <c r="CD319" t="e" cm="1">
        <f t="array" aca="1" ref="CD319" ca="1">eConcatenar(A319:CB319,"|")</f>
        <v>#NAME?</v>
      </c>
    </row>
    <row r="320" spans="1:82" x14ac:dyDescent="0.25">
      <c r="A320" t="s">
        <v>415</v>
      </c>
      <c r="B320" t="s">
        <v>1427</v>
      </c>
      <c r="C320">
        <v>3</v>
      </c>
      <c r="D320" t="s">
        <v>2153</v>
      </c>
      <c r="E320" t="s">
        <v>2158</v>
      </c>
      <c r="F320" t="s">
        <v>2161</v>
      </c>
      <c r="G320" t="s">
        <v>2353</v>
      </c>
      <c r="H320" t="s">
        <v>2803</v>
      </c>
      <c r="I320">
        <v>14800</v>
      </c>
      <c r="J320">
        <v>0</v>
      </c>
      <c r="K320">
        <v>200</v>
      </c>
      <c r="L320">
        <v>50</v>
      </c>
      <c r="M320">
        <v>1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 t="s">
        <v>3560</v>
      </c>
      <c r="AC320" t="s">
        <v>3178</v>
      </c>
      <c r="AD320" t="s">
        <v>3561</v>
      </c>
      <c r="AE320" t="s">
        <v>4</v>
      </c>
      <c r="AF320" t="s">
        <v>1</v>
      </c>
      <c r="AG320" t="s">
        <v>1</v>
      </c>
      <c r="AH320" t="s">
        <v>2207</v>
      </c>
      <c r="AI320" t="s">
        <v>2353</v>
      </c>
      <c r="AJ320" t="s">
        <v>1</v>
      </c>
      <c r="AK320">
        <v>9191568941</v>
      </c>
      <c r="AL320" t="s">
        <v>1</v>
      </c>
      <c r="AM320" t="s">
        <v>1</v>
      </c>
      <c r="AN320" t="s">
        <v>1</v>
      </c>
      <c r="AO320" t="s">
        <v>2207</v>
      </c>
      <c r="AP320" t="s">
        <v>1</v>
      </c>
      <c r="AQ320" t="s">
        <v>2</v>
      </c>
      <c r="AR320" t="s">
        <v>1</v>
      </c>
      <c r="AS320" t="s">
        <v>1</v>
      </c>
      <c r="AT320" t="s">
        <v>1</v>
      </c>
      <c r="AU320" t="s">
        <v>1</v>
      </c>
      <c r="AV320" t="s">
        <v>1</v>
      </c>
      <c r="AW320" t="s">
        <v>9</v>
      </c>
      <c r="AX320">
        <f>Tabla1[[#This Row],[precio del paquete]]-Tabla1[[#This Row],[Saldo_Deudor]]</f>
        <v>800</v>
      </c>
      <c r="AY320">
        <v>14000</v>
      </c>
      <c r="AZ320">
        <v>0</v>
      </c>
      <c r="BA320">
        <v>0</v>
      </c>
      <c r="BB320">
        <v>0</v>
      </c>
      <c r="BC320" t="s">
        <v>3098</v>
      </c>
      <c r="BD320" t="s">
        <v>4829</v>
      </c>
      <c r="BE320" t="s">
        <v>3</v>
      </c>
      <c r="BF320" t="s">
        <v>3</v>
      </c>
      <c r="BG320" t="s">
        <v>3</v>
      </c>
      <c r="BH320" t="s">
        <v>3</v>
      </c>
      <c r="BI320" t="s">
        <v>3</v>
      </c>
      <c r="BJ320" t="s">
        <v>5000</v>
      </c>
      <c r="BK320" t="s">
        <v>3</v>
      </c>
      <c r="BL320" t="s">
        <v>96</v>
      </c>
      <c r="BM320" t="s">
        <v>1</v>
      </c>
      <c r="BN320">
        <v>14800</v>
      </c>
      <c r="BO320" t="s">
        <v>1</v>
      </c>
      <c r="BP320" t="s">
        <v>1</v>
      </c>
      <c r="BQ320" t="s">
        <v>1</v>
      </c>
      <c r="BR320" t="s">
        <v>1</v>
      </c>
      <c r="BS320" t="s">
        <v>1</v>
      </c>
      <c r="BT320" t="s">
        <v>1</v>
      </c>
      <c r="BU320" t="s">
        <v>1</v>
      </c>
      <c r="BV320" t="s">
        <v>1</v>
      </c>
      <c r="BW320" t="s">
        <v>0</v>
      </c>
      <c r="BX320" t="s">
        <v>1</v>
      </c>
      <c r="BY320" t="s">
        <v>1</v>
      </c>
      <c r="BZ320" t="s">
        <v>1</v>
      </c>
      <c r="CA320" t="s">
        <v>1</v>
      </c>
      <c r="CB320" t="s">
        <v>1</v>
      </c>
      <c r="CD320" t="e" cm="1">
        <f t="array" aca="1" ref="CD320" ca="1">eConcatenar(A320:CB320,"|")</f>
        <v>#NAME?</v>
      </c>
    </row>
    <row r="321" spans="1:82" x14ac:dyDescent="0.25">
      <c r="A321" t="s">
        <v>416</v>
      </c>
      <c r="B321" t="s">
        <v>1428</v>
      </c>
      <c r="C321">
        <v>3</v>
      </c>
      <c r="D321" t="s">
        <v>2153</v>
      </c>
      <c r="E321" t="s">
        <v>2158</v>
      </c>
      <c r="F321" t="s">
        <v>2161</v>
      </c>
      <c r="G321" t="s">
        <v>2353</v>
      </c>
      <c r="H321" t="s">
        <v>2803</v>
      </c>
      <c r="I321">
        <v>14800</v>
      </c>
      <c r="J321">
        <v>0</v>
      </c>
      <c r="K321">
        <v>150</v>
      </c>
      <c r="L321">
        <v>50</v>
      </c>
      <c r="M321">
        <v>1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 t="s">
        <v>5</v>
      </c>
      <c r="AC321" t="s">
        <v>3178</v>
      </c>
      <c r="AD321" t="s">
        <v>3457</v>
      </c>
      <c r="AE321" t="s">
        <v>4</v>
      </c>
      <c r="AF321" t="s">
        <v>1</v>
      </c>
      <c r="AG321" t="s">
        <v>1</v>
      </c>
      <c r="AH321" t="s">
        <v>4337</v>
      </c>
      <c r="AI321" t="s">
        <v>2353</v>
      </c>
      <c r="AJ321" t="s">
        <v>1</v>
      </c>
      <c r="AK321">
        <v>9141125806</v>
      </c>
      <c r="AL321" t="s">
        <v>1</v>
      </c>
      <c r="AM321" t="s">
        <v>1</v>
      </c>
      <c r="AN321" t="s">
        <v>1</v>
      </c>
      <c r="AO321" t="s">
        <v>4337</v>
      </c>
      <c r="AP321" t="s">
        <v>1</v>
      </c>
      <c r="AQ321" t="s">
        <v>2</v>
      </c>
      <c r="AR321" t="s">
        <v>1</v>
      </c>
      <c r="AS321" t="s">
        <v>1</v>
      </c>
      <c r="AT321" t="s">
        <v>1</v>
      </c>
      <c r="AU321" t="s">
        <v>1</v>
      </c>
      <c r="AV321" t="s">
        <v>1</v>
      </c>
      <c r="AW321" t="s">
        <v>9</v>
      </c>
      <c r="AX321">
        <f>Tabla1[[#This Row],[precio del paquete]]-Tabla1[[#This Row],[Saldo_Deudor]]</f>
        <v>1050</v>
      </c>
      <c r="AY321">
        <v>13750</v>
      </c>
      <c r="AZ321">
        <v>0</v>
      </c>
      <c r="BA321">
        <v>0</v>
      </c>
      <c r="BB321">
        <v>0</v>
      </c>
      <c r="BC321" t="s">
        <v>3098</v>
      </c>
      <c r="BD321" t="s">
        <v>4829</v>
      </c>
      <c r="BE321" t="s">
        <v>3</v>
      </c>
      <c r="BF321" t="s">
        <v>3</v>
      </c>
      <c r="BG321" t="s">
        <v>3</v>
      </c>
      <c r="BH321" t="s">
        <v>3</v>
      </c>
      <c r="BI321" t="s">
        <v>3</v>
      </c>
      <c r="BJ321" t="s">
        <v>5000</v>
      </c>
      <c r="BK321" t="s">
        <v>3</v>
      </c>
      <c r="BL321" t="s">
        <v>96</v>
      </c>
      <c r="BM321" t="s">
        <v>1</v>
      </c>
      <c r="BN321">
        <v>14800</v>
      </c>
      <c r="BO321" t="s">
        <v>1</v>
      </c>
      <c r="BP321" t="s">
        <v>1</v>
      </c>
      <c r="BQ321" t="s">
        <v>1</v>
      </c>
      <c r="BR321" t="s">
        <v>1</v>
      </c>
      <c r="BS321" t="s">
        <v>1</v>
      </c>
      <c r="BT321" t="s">
        <v>1</v>
      </c>
      <c r="BU321" t="s">
        <v>1</v>
      </c>
      <c r="BV321" t="s">
        <v>1</v>
      </c>
      <c r="BW321" t="s">
        <v>0</v>
      </c>
      <c r="BX321" t="s">
        <v>1</v>
      </c>
      <c r="BY321" t="s">
        <v>1</v>
      </c>
      <c r="BZ321" t="s">
        <v>1</v>
      </c>
      <c r="CA321" t="s">
        <v>1</v>
      </c>
      <c r="CB321" t="s">
        <v>1</v>
      </c>
      <c r="CD321" t="e" cm="1">
        <f t="array" aca="1" ref="CD321" ca="1">eConcatenar(A321:CB321,"|")</f>
        <v>#NAME?</v>
      </c>
    </row>
    <row r="322" spans="1:82" x14ac:dyDescent="0.25">
      <c r="A322" t="s">
        <v>417</v>
      </c>
      <c r="B322" t="s">
        <v>1429</v>
      </c>
      <c r="C322">
        <v>3</v>
      </c>
      <c r="D322" t="s">
        <v>2153</v>
      </c>
      <c r="E322" t="s">
        <v>2158</v>
      </c>
      <c r="F322" t="s">
        <v>2161</v>
      </c>
      <c r="G322" t="s">
        <v>2353</v>
      </c>
      <c r="H322" t="s">
        <v>2843</v>
      </c>
      <c r="I322">
        <v>14800</v>
      </c>
      <c r="J322">
        <v>0</v>
      </c>
      <c r="K322">
        <v>200</v>
      </c>
      <c r="L322">
        <v>50</v>
      </c>
      <c r="M322">
        <v>1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 t="s">
        <v>3562</v>
      </c>
      <c r="AC322" t="s">
        <v>3115</v>
      </c>
      <c r="AD322" t="s">
        <v>3563</v>
      </c>
      <c r="AE322" t="s">
        <v>4</v>
      </c>
      <c r="AF322" t="s">
        <v>1</v>
      </c>
      <c r="AG322" t="s">
        <v>1</v>
      </c>
      <c r="AH322" t="s">
        <v>4099</v>
      </c>
      <c r="AI322" t="s">
        <v>2353</v>
      </c>
      <c r="AJ322" t="s">
        <v>1</v>
      </c>
      <c r="AK322">
        <v>9141135950</v>
      </c>
      <c r="AL322" t="s">
        <v>1</v>
      </c>
      <c r="AM322" t="s">
        <v>1</v>
      </c>
      <c r="AN322" t="s">
        <v>1</v>
      </c>
      <c r="AO322" t="s">
        <v>4099</v>
      </c>
      <c r="AP322" t="s">
        <v>1</v>
      </c>
      <c r="AQ322" t="s">
        <v>2</v>
      </c>
      <c r="AR322" t="s">
        <v>1</v>
      </c>
      <c r="AS322" t="s">
        <v>1</v>
      </c>
      <c r="AT322" t="s">
        <v>1</v>
      </c>
      <c r="AU322" t="s">
        <v>1</v>
      </c>
      <c r="AV322" t="s">
        <v>1</v>
      </c>
      <c r="AW322" t="s">
        <v>9</v>
      </c>
      <c r="AX322">
        <f>Tabla1[[#This Row],[precio del paquete]]-Tabla1[[#This Row],[Saldo_Deudor]]</f>
        <v>1800</v>
      </c>
      <c r="AY322">
        <v>13000</v>
      </c>
      <c r="AZ322">
        <v>0</v>
      </c>
      <c r="BA322">
        <v>0</v>
      </c>
      <c r="BB322">
        <v>0</v>
      </c>
      <c r="BC322" t="s">
        <v>3098</v>
      </c>
      <c r="BD322" t="s">
        <v>4829</v>
      </c>
      <c r="BE322" t="s">
        <v>3</v>
      </c>
      <c r="BF322" t="s">
        <v>3</v>
      </c>
      <c r="BG322" t="s">
        <v>3</v>
      </c>
      <c r="BH322" t="s">
        <v>3</v>
      </c>
      <c r="BI322" t="s">
        <v>3</v>
      </c>
      <c r="BJ322" t="s">
        <v>5000</v>
      </c>
      <c r="BK322" t="s">
        <v>3</v>
      </c>
      <c r="BL322" t="s">
        <v>96</v>
      </c>
      <c r="BM322" t="s">
        <v>1</v>
      </c>
      <c r="BN322">
        <v>14800</v>
      </c>
      <c r="BO322" t="s">
        <v>1</v>
      </c>
      <c r="BP322" t="s">
        <v>1</v>
      </c>
      <c r="BQ322" t="s">
        <v>1</v>
      </c>
      <c r="BR322" t="s">
        <v>1</v>
      </c>
      <c r="BS322" t="s">
        <v>1</v>
      </c>
      <c r="BT322" t="s">
        <v>1</v>
      </c>
      <c r="BU322" t="s">
        <v>1</v>
      </c>
      <c r="BV322" t="s">
        <v>1</v>
      </c>
      <c r="BW322" t="s">
        <v>0</v>
      </c>
      <c r="BX322" t="s">
        <v>1</v>
      </c>
      <c r="BY322" t="s">
        <v>1</v>
      </c>
      <c r="BZ322" t="s">
        <v>1</v>
      </c>
      <c r="CA322" t="s">
        <v>1</v>
      </c>
      <c r="CB322" t="s">
        <v>1</v>
      </c>
      <c r="CD322" t="e" cm="1">
        <f t="array" aca="1" ref="CD322" ca="1">eConcatenar(A322:CB322,"|")</f>
        <v>#NAME?</v>
      </c>
    </row>
    <row r="323" spans="1:82" x14ac:dyDescent="0.25">
      <c r="A323" t="s">
        <v>418</v>
      </c>
      <c r="B323" t="s">
        <v>1430</v>
      </c>
      <c r="C323">
        <v>3</v>
      </c>
      <c r="D323" t="s">
        <v>2153</v>
      </c>
      <c r="E323" t="s">
        <v>2158</v>
      </c>
      <c r="F323" t="s">
        <v>2161</v>
      </c>
      <c r="G323" t="s">
        <v>2353</v>
      </c>
      <c r="H323" t="s">
        <v>2730</v>
      </c>
      <c r="I323">
        <v>14800</v>
      </c>
      <c r="J323">
        <v>0</v>
      </c>
      <c r="K323">
        <v>200</v>
      </c>
      <c r="L323">
        <v>50</v>
      </c>
      <c r="M323">
        <v>1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 t="s">
        <v>3327</v>
      </c>
      <c r="AC323" t="s">
        <v>3115</v>
      </c>
      <c r="AD323" t="s">
        <v>3564</v>
      </c>
      <c r="AE323" t="s">
        <v>4</v>
      </c>
      <c r="AF323" t="s">
        <v>1</v>
      </c>
      <c r="AG323" t="s">
        <v>1</v>
      </c>
      <c r="AH323" t="s">
        <v>4338</v>
      </c>
      <c r="AI323" t="s">
        <v>2353</v>
      </c>
      <c r="AJ323" t="s">
        <v>1</v>
      </c>
      <c r="AK323">
        <v>9141279597</v>
      </c>
      <c r="AL323" t="s">
        <v>1</v>
      </c>
      <c r="AM323" t="s">
        <v>1</v>
      </c>
      <c r="AN323" t="s">
        <v>1</v>
      </c>
      <c r="AO323" t="s">
        <v>4338</v>
      </c>
      <c r="AP323" t="s">
        <v>1</v>
      </c>
      <c r="AQ323" t="s">
        <v>2</v>
      </c>
      <c r="AR323" t="s">
        <v>1</v>
      </c>
      <c r="AS323" t="s">
        <v>1</v>
      </c>
      <c r="AT323" t="s">
        <v>1</v>
      </c>
      <c r="AU323" t="s">
        <v>1</v>
      </c>
      <c r="AV323" t="s">
        <v>1</v>
      </c>
      <c r="AW323" t="s">
        <v>9</v>
      </c>
      <c r="AX323">
        <f>Tabla1[[#This Row],[precio del paquete]]-Tabla1[[#This Row],[Saldo_Deudor]]</f>
        <v>800</v>
      </c>
      <c r="AY323">
        <v>14000</v>
      </c>
      <c r="AZ323">
        <v>0</v>
      </c>
      <c r="BA323">
        <v>0</v>
      </c>
      <c r="BB323">
        <v>0</v>
      </c>
      <c r="BC323" t="s">
        <v>3098</v>
      </c>
      <c r="BD323" t="s">
        <v>4829</v>
      </c>
      <c r="BE323" t="s">
        <v>3</v>
      </c>
      <c r="BF323" t="s">
        <v>3</v>
      </c>
      <c r="BG323" t="s">
        <v>3</v>
      </c>
      <c r="BH323" t="s">
        <v>3</v>
      </c>
      <c r="BI323" t="s">
        <v>3</v>
      </c>
      <c r="BJ323" t="s">
        <v>5000</v>
      </c>
      <c r="BK323" t="s">
        <v>3</v>
      </c>
      <c r="BL323" t="s">
        <v>96</v>
      </c>
      <c r="BM323" t="s">
        <v>1</v>
      </c>
      <c r="BN323">
        <v>14800</v>
      </c>
      <c r="BO323" t="s">
        <v>1</v>
      </c>
      <c r="BP323" t="s">
        <v>1</v>
      </c>
      <c r="BQ323" t="s">
        <v>1</v>
      </c>
      <c r="BR323" t="s">
        <v>1</v>
      </c>
      <c r="BS323" t="s">
        <v>1</v>
      </c>
      <c r="BT323" t="s">
        <v>1</v>
      </c>
      <c r="BU323" t="s">
        <v>1</v>
      </c>
      <c r="BV323" t="s">
        <v>1</v>
      </c>
      <c r="BW323" t="s">
        <v>0</v>
      </c>
      <c r="BX323" t="s">
        <v>1</v>
      </c>
      <c r="BY323" t="s">
        <v>1</v>
      </c>
      <c r="BZ323" t="s">
        <v>1</v>
      </c>
      <c r="CA323" t="s">
        <v>1</v>
      </c>
      <c r="CB323" t="s">
        <v>1</v>
      </c>
      <c r="CD323" t="e" cm="1">
        <f t="array" aca="1" ref="CD323" ca="1">eConcatenar(A323:CB323,"|")</f>
        <v>#NAME?</v>
      </c>
    </row>
    <row r="324" spans="1:82" x14ac:dyDescent="0.25">
      <c r="A324" t="s">
        <v>419</v>
      </c>
      <c r="B324" t="s">
        <v>1431</v>
      </c>
      <c r="C324">
        <v>3</v>
      </c>
      <c r="D324" t="s">
        <v>2153</v>
      </c>
      <c r="E324" t="s">
        <v>2158</v>
      </c>
      <c r="F324" t="s">
        <v>2161</v>
      </c>
      <c r="G324" t="s">
        <v>2353</v>
      </c>
      <c r="H324" t="s">
        <v>2730</v>
      </c>
      <c r="I324">
        <v>14800</v>
      </c>
      <c r="J324">
        <v>0</v>
      </c>
      <c r="K324">
        <v>200</v>
      </c>
      <c r="L324">
        <v>50</v>
      </c>
      <c r="M324">
        <v>1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 t="s">
        <v>3115</v>
      </c>
      <c r="AC324" t="s">
        <v>3357</v>
      </c>
      <c r="AD324" t="s">
        <v>3565</v>
      </c>
      <c r="AE324" t="s">
        <v>4</v>
      </c>
      <c r="AF324" t="s">
        <v>1</v>
      </c>
      <c r="AG324" t="s">
        <v>1</v>
      </c>
      <c r="AH324" t="s">
        <v>4339</v>
      </c>
      <c r="AI324" t="s">
        <v>2353</v>
      </c>
      <c r="AJ324" t="s">
        <v>1</v>
      </c>
      <c r="AK324">
        <v>9141279597</v>
      </c>
      <c r="AL324" t="s">
        <v>1</v>
      </c>
      <c r="AM324" t="s">
        <v>1</v>
      </c>
      <c r="AN324" t="s">
        <v>1</v>
      </c>
      <c r="AO324" t="s">
        <v>4339</v>
      </c>
      <c r="AP324" t="s">
        <v>1</v>
      </c>
      <c r="AQ324" t="s">
        <v>2</v>
      </c>
      <c r="AR324" t="s">
        <v>1</v>
      </c>
      <c r="AS324" t="s">
        <v>1</v>
      </c>
      <c r="AT324" t="s">
        <v>1</v>
      </c>
      <c r="AU324" t="s">
        <v>1</v>
      </c>
      <c r="AV324" t="s">
        <v>1</v>
      </c>
      <c r="AW324" t="s">
        <v>9</v>
      </c>
      <c r="AX324">
        <f>Tabla1[[#This Row],[precio del paquete]]-Tabla1[[#This Row],[Saldo_Deudor]]</f>
        <v>800</v>
      </c>
      <c r="AY324">
        <v>14000</v>
      </c>
      <c r="AZ324">
        <v>0</v>
      </c>
      <c r="BA324">
        <v>0</v>
      </c>
      <c r="BB324">
        <v>0</v>
      </c>
      <c r="BC324" t="s">
        <v>3098</v>
      </c>
      <c r="BD324" t="s">
        <v>4829</v>
      </c>
      <c r="BE324" t="s">
        <v>3</v>
      </c>
      <c r="BF324" t="s">
        <v>3</v>
      </c>
      <c r="BG324" t="s">
        <v>3</v>
      </c>
      <c r="BH324" t="s">
        <v>3</v>
      </c>
      <c r="BI324" t="s">
        <v>3</v>
      </c>
      <c r="BJ324" t="s">
        <v>5000</v>
      </c>
      <c r="BK324" t="s">
        <v>3</v>
      </c>
      <c r="BL324" t="s">
        <v>96</v>
      </c>
      <c r="BM324" t="s">
        <v>1</v>
      </c>
      <c r="BN324">
        <v>14800</v>
      </c>
      <c r="BO324" t="s">
        <v>1</v>
      </c>
      <c r="BP324" t="s">
        <v>1</v>
      </c>
      <c r="BQ324" t="s">
        <v>1</v>
      </c>
      <c r="BR324" t="s">
        <v>1</v>
      </c>
      <c r="BS324" t="s">
        <v>1</v>
      </c>
      <c r="BT324" t="s">
        <v>1</v>
      </c>
      <c r="BU324" t="s">
        <v>1</v>
      </c>
      <c r="BV324" t="s">
        <v>1</v>
      </c>
      <c r="BW324" t="s">
        <v>0</v>
      </c>
      <c r="BX324" t="s">
        <v>1</v>
      </c>
      <c r="BY324" t="s">
        <v>1</v>
      </c>
      <c r="BZ324" t="s">
        <v>1</v>
      </c>
      <c r="CA324" t="s">
        <v>1</v>
      </c>
      <c r="CB324" t="s">
        <v>1</v>
      </c>
      <c r="CD324" t="e" cm="1">
        <f t="array" aca="1" ref="CD324" ca="1">eConcatenar(A324:CB324,"|")</f>
        <v>#NAME?</v>
      </c>
    </row>
    <row r="325" spans="1:82" x14ac:dyDescent="0.25">
      <c r="A325" t="s">
        <v>420</v>
      </c>
      <c r="B325" t="s">
        <v>1432</v>
      </c>
      <c r="C325">
        <v>3</v>
      </c>
      <c r="D325" t="s">
        <v>2153</v>
      </c>
      <c r="E325" t="s">
        <v>10</v>
      </c>
      <c r="F325" t="s">
        <v>0</v>
      </c>
      <c r="G325" t="s">
        <v>2354</v>
      </c>
      <c r="H325" t="s">
        <v>2800</v>
      </c>
      <c r="I325">
        <v>14800</v>
      </c>
      <c r="J325">
        <v>0</v>
      </c>
      <c r="K325">
        <v>250</v>
      </c>
      <c r="L325">
        <v>50</v>
      </c>
      <c r="M325">
        <v>2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 t="s">
        <v>5</v>
      </c>
      <c r="AC325" t="s">
        <v>5</v>
      </c>
      <c r="AD325" t="s">
        <v>7</v>
      </c>
      <c r="AE325" t="s">
        <v>4</v>
      </c>
      <c r="AF325" t="s">
        <v>1</v>
      </c>
      <c r="AG325" t="s">
        <v>1</v>
      </c>
      <c r="AH325" t="s">
        <v>4340</v>
      </c>
      <c r="AI325" t="s">
        <v>2354</v>
      </c>
      <c r="AJ325" t="s">
        <v>1</v>
      </c>
      <c r="AK325">
        <v>9371661928</v>
      </c>
      <c r="AL325" t="s">
        <v>1</v>
      </c>
      <c r="AM325" t="s">
        <v>1</v>
      </c>
      <c r="AN325" t="s">
        <v>1</v>
      </c>
      <c r="AO325" t="s">
        <v>4340</v>
      </c>
      <c r="AP325" t="s">
        <v>1</v>
      </c>
      <c r="AQ325" t="s">
        <v>2</v>
      </c>
      <c r="AR325" t="s">
        <v>1</v>
      </c>
      <c r="AS325" t="s">
        <v>1</v>
      </c>
      <c r="AT325" t="s">
        <v>1</v>
      </c>
      <c r="AU325" t="s">
        <v>1</v>
      </c>
      <c r="AV325" t="s">
        <v>1</v>
      </c>
      <c r="AW325" t="s">
        <v>9</v>
      </c>
      <c r="AX325">
        <f>Tabla1[[#This Row],[precio del paquete]]-Tabla1[[#This Row],[Saldo_Deudor]]</f>
        <v>250</v>
      </c>
      <c r="AY325">
        <v>14550</v>
      </c>
      <c r="AZ325">
        <v>0</v>
      </c>
      <c r="BA325">
        <v>0</v>
      </c>
      <c r="BB325">
        <v>0</v>
      </c>
      <c r="BC325" t="s">
        <v>2800</v>
      </c>
      <c r="BD325" t="s">
        <v>4939</v>
      </c>
      <c r="BE325" t="s">
        <v>3</v>
      </c>
      <c r="BF325" t="s">
        <v>3</v>
      </c>
      <c r="BG325" t="s">
        <v>3</v>
      </c>
      <c r="BH325" t="s">
        <v>3</v>
      </c>
      <c r="BI325" t="s">
        <v>3</v>
      </c>
      <c r="BJ325" t="s">
        <v>5000</v>
      </c>
      <c r="BK325" t="s">
        <v>3</v>
      </c>
      <c r="BL325" t="s">
        <v>96</v>
      </c>
      <c r="BM325" t="s">
        <v>1</v>
      </c>
      <c r="BN325">
        <v>14800</v>
      </c>
      <c r="BO325" t="s">
        <v>1</v>
      </c>
      <c r="BP325" t="s">
        <v>1</v>
      </c>
      <c r="BQ325" t="s">
        <v>1</v>
      </c>
      <c r="BR325" t="s">
        <v>1</v>
      </c>
      <c r="BS325" t="s">
        <v>1</v>
      </c>
      <c r="BT325" t="s">
        <v>1</v>
      </c>
      <c r="BU325" t="s">
        <v>1</v>
      </c>
      <c r="BV325" t="s">
        <v>1</v>
      </c>
      <c r="BW325" t="s">
        <v>0</v>
      </c>
      <c r="BX325" t="s">
        <v>1</v>
      </c>
      <c r="BY325" t="s">
        <v>1</v>
      </c>
      <c r="BZ325" t="s">
        <v>1</v>
      </c>
      <c r="CA325" t="s">
        <v>1</v>
      </c>
      <c r="CB325" t="s">
        <v>1</v>
      </c>
      <c r="CD325" t="e" cm="1">
        <f t="array" aca="1" ref="CD325" ca="1">eConcatenar(A325:CB325,"|")</f>
        <v>#NAME?</v>
      </c>
    </row>
    <row r="326" spans="1:82" x14ac:dyDescent="0.25">
      <c r="A326" t="s">
        <v>421</v>
      </c>
      <c r="B326" t="s">
        <v>1433</v>
      </c>
      <c r="C326">
        <v>3</v>
      </c>
      <c r="D326" t="s">
        <v>2153</v>
      </c>
      <c r="E326" t="s">
        <v>2158</v>
      </c>
      <c r="F326" t="s">
        <v>0</v>
      </c>
      <c r="G326" t="s">
        <v>2355</v>
      </c>
      <c r="H326" t="s">
        <v>2776</v>
      </c>
      <c r="I326">
        <v>14800</v>
      </c>
      <c r="J326">
        <v>0</v>
      </c>
      <c r="K326">
        <v>100</v>
      </c>
      <c r="L326">
        <v>50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 t="s">
        <v>3115</v>
      </c>
      <c r="AC326" t="s">
        <v>3132</v>
      </c>
      <c r="AD326" t="s">
        <v>11</v>
      </c>
      <c r="AE326" t="s">
        <v>4</v>
      </c>
      <c r="AF326" t="s">
        <v>1</v>
      </c>
      <c r="AG326" t="s">
        <v>1</v>
      </c>
      <c r="AH326" t="s">
        <v>4341</v>
      </c>
      <c r="AI326" t="s">
        <v>2355</v>
      </c>
      <c r="AJ326" t="s">
        <v>1</v>
      </c>
      <c r="AK326">
        <v>9931590164</v>
      </c>
      <c r="AL326" t="s">
        <v>1</v>
      </c>
      <c r="AM326" t="s">
        <v>1</v>
      </c>
      <c r="AN326" t="s">
        <v>1</v>
      </c>
      <c r="AO326" t="s">
        <v>4341</v>
      </c>
      <c r="AP326" t="s">
        <v>1</v>
      </c>
      <c r="AQ326" t="s">
        <v>2</v>
      </c>
      <c r="AR326" t="s">
        <v>1</v>
      </c>
      <c r="AS326" t="s">
        <v>1</v>
      </c>
      <c r="AT326" t="s">
        <v>1</v>
      </c>
      <c r="AU326" t="s">
        <v>1</v>
      </c>
      <c r="AV326" t="s">
        <v>1</v>
      </c>
      <c r="AW326" t="s">
        <v>9</v>
      </c>
      <c r="AX326">
        <f>Tabla1[[#This Row],[precio del paquete]]-Tabla1[[#This Row],[Saldo_Deudor]]</f>
        <v>3800</v>
      </c>
      <c r="AY326">
        <v>11000</v>
      </c>
      <c r="AZ326">
        <v>0</v>
      </c>
      <c r="BA326">
        <v>0</v>
      </c>
      <c r="BB326">
        <v>0</v>
      </c>
      <c r="BC326" t="s">
        <v>2729</v>
      </c>
      <c r="BD326" t="s">
        <v>2781</v>
      </c>
      <c r="BE326" t="s">
        <v>3</v>
      </c>
      <c r="BF326" t="s">
        <v>3</v>
      </c>
      <c r="BG326" t="s">
        <v>3</v>
      </c>
      <c r="BH326" t="s">
        <v>3</v>
      </c>
      <c r="BI326" t="s">
        <v>3</v>
      </c>
      <c r="BJ326" t="s">
        <v>4983</v>
      </c>
      <c r="BK326" t="s">
        <v>3</v>
      </c>
      <c r="BL326" t="s">
        <v>96</v>
      </c>
      <c r="BM326" t="s">
        <v>1</v>
      </c>
      <c r="BN326">
        <v>14800</v>
      </c>
      <c r="BO326" t="s">
        <v>1</v>
      </c>
      <c r="BP326" t="s">
        <v>1</v>
      </c>
      <c r="BQ326" t="s">
        <v>1</v>
      </c>
      <c r="BR326" t="s">
        <v>1</v>
      </c>
      <c r="BS326" t="s">
        <v>1</v>
      </c>
      <c r="BT326" t="s">
        <v>1</v>
      </c>
      <c r="BU326" t="s">
        <v>1</v>
      </c>
      <c r="BV326" t="s">
        <v>1</v>
      </c>
      <c r="BW326" t="s">
        <v>0</v>
      </c>
      <c r="BX326" t="s">
        <v>1</v>
      </c>
      <c r="BY326" t="s">
        <v>1</v>
      </c>
      <c r="BZ326" t="s">
        <v>1</v>
      </c>
      <c r="CA326" t="s">
        <v>1</v>
      </c>
      <c r="CB326" t="s">
        <v>1</v>
      </c>
      <c r="CD326" t="e" cm="1">
        <f t="array" aca="1" ref="CD326" ca="1">eConcatenar(A326:CB326,"|")</f>
        <v>#NAME?</v>
      </c>
    </row>
    <row r="327" spans="1:82" x14ac:dyDescent="0.25">
      <c r="A327" t="s">
        <v>422</v>
      </c>
      <c r="B327" t="s">
        <v>1435</v>
      </c>
      <c r="C327">
        <v>3</v>
      </c>
      <c r="D327" t="s">
        <v>2153</v>
      </c>
      <c r="E327" t="s">
        <v>2158</v>
      </c>
      <c r="F327" t="s">
        <v>2159</v>
      </c>
      <c r="G327" t="s">
        <v>2356</v>
      </c>
      <c r="H327" t="s">
        <v>2875</v>
      </c>
      <c r="I327">
        <v>14800</v>
      </c>
      <c r="J327">
        <v>0</v>
      </c>
      <c r="K327">
        <v>100</v>
      </c>
      <c r="L327">
        <v>50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 t="s">
        <v>3114</v>
      </c>
      <c r="AC327" t="s">
        <v>3276</v>
      </c>
      <c r="AD327" t="s">
        <v>3224</v>
      </c>
      <c r="AE327" t="s">
        <v>4</v>
      </c>
      <c r="AF327" t="s">
        <v>1</v>
      </c>
      <c r="AG327" t="s">
        <v>1</v>
      </c>
      <c r="AH327" t="s">
        <v>2356</v>
      </c>
      <c r="AI327" t="s">
        <v>2356</v>
      </c>
      <c r="AJ327" t="s">
        <v>1</v>
      </c>
      <c r="AK327">
        <v>9331573682</v>
      </c>
      <c r="AL327" t="s">
        <v>1</v>
      </c>
      <c r="AM327" t="s">
        <v>1</v>
      </c>
      <c r="AN327" t="s">
        <v>1</v>
      </c>
      <c r="AO327" t="s">
        <v>2356</v>
      </c>
      <c r="AP327" t="s">
        <v>1</v>
      </c>
      <c r="AQ327" t="s">
        <v>2</v>
      </c>
      <c r="AR327" t="s">
        <v>1</v>
      </c>
      <c r="AS327" t="s">
        <v>1</v>
      </c>
      <c r="AT327" t="s">
        <v>1</v>
      </c>
      <c r="AU327" t="s">
        <v>1</v>
      </c>
      <c r="AV327" t="s">
        <v>1</v>
      </c>
      <c r="AW327" t="s">
        <v>9</v>
      </c>
      <c r="AX327">
        <f>Tabla1[[#This Row],[precio del paquete]]-Tabla1[[#This Row],[Saldo_Deudor]]</f>
        <v>9300</v>
      </c>
      <c r="AY327">
        <v>5500</v>
      </c>
      <c r="AZ327">
        <v>0</v>
      </c>
      <c r="BA327">
        <v>0</v>
      </c>
      <c r="BB327">
        <v>0</v>
      </c>
      <c r="BC327" t="s">
        <v>3078</v>
      </c>
      <c r="BD327" t="s">
        <v>4827</v>
      </c>
      <c r="BE327" t="s">
        <v>3</v>
      </c>
      <c r="BF327" t="s">
        <v>3</v>
      </c>
      <c r="BG327" t="s">
        <v>3</v>
      </c>
      <c r="BH327" t="s">
        <v>3</v>
      </c>
      <c r="BI327" t="s">
        <v>3</v>
      </c>
      <c r="BJ327" t="s">
        <v>4991</v>
      </c>
      <c r="BK327" t="s">
        <v>3</v>
      </c>
      <c r="BL327" t="s">
        <v>96</v>
      </c>
      <c r="BM327" t="s">
        <v>1</v>
      </c>
      <c r="BN327">
        <v>14800</v>
      </c>
      <c r="BO327" t="s">
        <v>1</v>
      </c>
      <c r="BP327" t="s">
        <v>1</v>
      </c>
      <c r="BQ327" t="s">
        <v>1</v>
      </c>
      <c r="BR327" t="s">
        <v>1</v>
      </c>
      <c r="BS327" t="s">
        <v>1</v>
      </c>
      <c r="BT327" t="s">
        <v>1</v>
      </c>
      <c r="BU327" t="s">
        <v>1</v>
      </c>
      <c r="BV327" t="s">
        <v>1</v>
      </c>
      <c r="BW327" t="s">
        <v>0</v>
      </c>
      <c r="BX327" t="s">
        <v>1</v>
      </c>
      <c r="BY327" t="s">
        <v>1</v>
      </c>
      <c r="BZ327" t="s">
        <v>1</v>
      </c>
      <c r="CA327" t="s">
        <v>1</v>
      </c>
      <c r="CB327" t="s">
        <v>1</v>
      </c>
      <c r="CD327" t="e" cm="1">
        <f t="array" aca="1" ref="CD327" ca="1">eConcatenar(A327:CB327,"|")</f>
        <v>#NAME?</v>
      </c>
    </row>
    <row r="328" spans="1:82" x14ac:dyDescent="0.25">
      <c r="A328" t="s">
        <v>423</v>
      </c>
      <c r="B328" t="s">
        <v>1436</v>
      </c>
      <c r="C328">
        <v>3</v>
      </c>
      <c r="D328" t="s">
        <v>2153</v>
      </c>
      <c r="E328" t="s">
        <v>2158</v>
      </c>
      <c r="F328" t="s">
        <v>2159</v>
      </c>
      <c r="G328" t="s">
        <v>2357</v>
      </c>
      <c r="H328" t="s">
        <v>2708</v>
      </c>
      <c r="I328">
        <v>14800</v>
      </c>
      <c r="J328">
        <v>0</v>
      </c>
      <c r="K328">
        <v>100</v>
      </c>
      <c r="L328">
        <v>50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 t="s">
        <v>3132</v>
      </c>
      <c r="AC328" t="s">
        <v>3186</v>
      </c>
      <c r="AD328" t="s">
        <v>3566</v>
      </c>
      <c r="AE328" t="s">
        <v>4</v>
      </c>
      <c r="AF328" t="s">
        <v>1</v>
      </c>
      <c r="AG328" t="s">
        <v>1</v>
      </c>
      <c r="AH328" t="s">
        <v>4342</v>
      </c>
      <c r="AI328" t="s">
        <v>2357</v>
      </c>
      <c r="AJ328" t="s">
        <v>1</v>
      </c>
      <c r="AK328">
        <v>9331556239</v>
      </c>
      <c r="AL328" t="s">
        <v>1</v>
      </c>
      <c r="AM328" t="s">
        <v>1</v>
      </c>
      <c r="AN328" t="s">
        <v>1</v>
      </c>
      <c r="AO328" t="s">
        <v>4342</v>
      </c>
      <c r="AP328" t="s">
        <v>1</v>
      </c>
      <c r="AQ328" t="s">
        <v>2</v>
      </c>
      <c r="AR328" t="s">
        <v>1</v>
      </c>
      <c r="AS328" t="s">
        <v>1</v>
      </c>
      <c r="AT328" t="s">
        <v>1</v>
      </c>
      <c r="AU328" t="s">
        <v>1</v>
      </c>
      <c r="AV328" t="s">
        <v>1</v>
      </c>
      <c r="AW328" t="s">
        <v>9</v>
      </c>
      <c r="AX328">
        <f>Tabla1[[#This Row],[precio del paquete]]-Tabla1[[#This Row],[Saldo_Deudor]]</f>
        <v>700</v>
      </c>
      <c r="AY328">
        <v>14100</v>
      </c>
      <c r="AZ328">
        <v>0</v>
      </c>
      <c r="BA328">
        <v>0</v>
      </c>
      <c r="BB328">
        <v>0</v>
      </c>
      <c r="BC328" t="s">
        <v>2768</v>
      </c>
      <c r="BD328" t="s">
        <v>3013</v>
      </c>
      <c r="BE328" t="s">
        <v>3</v>
      </c>
      <c r="BF328" t="s">
        <v>3</v>
      </c>
      <c r="BG328" t="s">
        <v>3</v>
      </c>
      <c r="BH328" t="s">
        <v>3</v>
      </c>
      <c r="BI328" t="s">
        <v>3</v>
      </c>
      <c r="BJ328" t="s">
        <v>5003</v>
      </c>
      <c r="BK328" t="s">
        <v>3</v>
      </c>
      <c r="BL328" t="s">
        <v>96</v>
      </c>
      <c r="BM328" t="s">
        <v>1</v>
      </c>
      <c r="BN328">
        <v>14800</v>
      </c>
      <c r="BO328" t="s">
        <v>1</v>
      </c>
      <c r="BP328" t="s">
        <v>1</v>
      </c>
      <c r="BQ328" t="s">
        <v>1</v>
      </c>
      <c r="BR328" t="s">
        <v>1</v>
      </c>
      <c r="BS328" t="s">
        <v>1</v>
      </c>
      <c r="BT328" t="s">
        <v>1</v>
      </c>
      <c r="BU328" t="s">
        <v>1</v>
      </c>
      <c r="BV328" t="s">
        <v>1</v>
      </c>
      <c r="BW328" t="s">
        <v>0</v>
      </c>
      <c r="BX328" t="s">
        <v>1</v>
      </c>
      <c r="BY328" t="s">
        <v>1</v>
      </c>
      <c r="BZ328" t="s">
        <v>1</v>
      </c>
      <c r="CA328" t="s">
        <v>1</v>
      </c>
      <c r="CB328" t="s">
        <v>1</v>
      </c>
      <c r="CD328" t="e" cm="1">
        <f t="array" aca="1" ref="CD328" ca="1">eConcatenar(A328:CB328,"|")</f>
        <v>#NAME?</v>
      </c>
    </row>
    <row r="329" spans="1:82" x14ac:dyDescent="0.25">
      <c r="A329" t="s">
        <v>424</v>
      </c>
      <c r="B329" t="s">
        <v>1437</v>
      </c>
      <c r="C329">
        <v>3</v>
      </c>
      <c r="D329" t="s">
        <v>2155</v>
      </c>
      <c r="E329" t="s">
        <v>10</v>
      </c>
      <c r="F329" t="s">
        <v>94</v>
      </c>
      <c r="G329" t="s">
        <v>2358</v>
      </c>
      <c r="H329" t="s">
        <v>2811</v>
      </c>
      <c r="I329">
        <v>12900</v>
      </c>
      <c r="J329">
        <v>0</v>
      </c>
      <c r="K329">
        <v>400</v>
      </c>
      <c r="L329">
        <v>50</v>
      </c>
      <c r="M329">
        <v>2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 t="s">
        <v>3562</v>
      </c>
      <c r="AC329" t="s">
        <v>3245</v>
      </c>
      <c r="AD329" t="s">
        <v>3567</v>
      </c>
      <c r="AE329" t="s">
        <v>4</v>
      </c>
      <c r="AF329" t="s">
        <v>1</v>
      </c>
      <c r="AG329" t="s">
        <v>1</v>
      </c>
      <c r="AH329" t="s">
        <v>4343</v>
      </c>
      <c r="AI329" t="s">
        <v>2358</v>
      </c>
      <c r="AJ329" t="s">
        <v>1</v>
      </c>
      <c r="AK329">
        <v>9331036287</v>
      </c>
      <c r="AL329" t="s">
        <v>1</v>
      </c>
      <c r="AM329" t="s">
        <v>1</v>
      </c>
      <c r="AN329" t="s">
        <v>1</v>
      </c>
      <c r="AO329" t="s">
        <v>4343</v>
      </c>
      <c r="AP329" t="s">
        <v>1</v>
      </c>
      <c r="AQ329" t="s">
        <v>2</v>
      </c>
      <c r="AR329" t="s">
        <v>1</v>
      </c>
      <c r="AS329" t="s">
        <v>1</v>
      </c>
      <c r="AT329" t="s">
        <v>1</v>
      </c>
      <c r="AU329" t="s">
        <v>1</v>
      </c>
      <c r="AV329" t="s">
        <v>1</v>
      </c>
      <c r="AW329" t="s">
        <v>9</v>
      </c>
      <c r="AX329">
        <f>Tabla1[[#This Row],[precio del paquete]]-Tabla1[[#This Row],[Saldo_Deudor]]</f>
        <v>3200</v>
      </c>
      <c r="AY329">
        <v>9700</v>
      </c>
      <c r="AZ329">
        <v>0</v>
      </c>
      <c r="BA329">
        <v>0</v>
      </c>
      <c r="BB329">
        <v>0</v>
      </c>
      <c r="BC329" t="s">
        <v>2904</v>
      </c>
      <c r="BD329" t="s">
        <v>4927</v>
      </c>
      <c r="BE329" t="s">
        <v>3</v>
      </c>
      <c r="BF329" t="s">
        <v>3</v>
      </c>
      <c r="BG329" t="s">
        <v>3</v>
      </c>
      <c r="BH329" t="s">
        <v>3</v>
      </c>
      <c r="BI329" t="s">
        <v>3</v>
      </c>
      <c r="BJ329" t="s">
        <v>5007</v>
      </c>
      <c r="BK329" t="s">
        <v>3</v>
      </c>
      <c r="BL329" t="s">
        <v>96</v>
      </c>
      <c r="BM329" t="s">
        <v>1</v>
      </c>
      <c r="BN329">
        <v>12900</v>
      </c>
      <c r="BO329" t="s">
        <v>1</v>
      </c>
      <c r="BP329" t="s">
        <v>1</v>
      </c>
      <c r="BQ329" t="s">
        <v>1</v>
      </c>
      <c r="BR329" t="s">
        <v>1</v>
      </c>
      <c r="BS329" t="s">
        <v>1</v>
      </c>
      <c r="BT329" t="s">
        <v>1</v>
      </c>
      <c r="BU329" t="s">
        <v>1</v>
      </c>
      <c r="BV329" t="s">
        <v>1</v>
      </c>
      <c r="BW329" t="s">
        <v>0</v>
      </c>
      <c r="BX329" t="s">
        <v>1</v>
      </c>
      <c r="BY329" t="s">
        <v>1</v>
      </c>
      <c r="BZ329" t="s">
        <v>1</v>
      </c>
      <c r="CA329" t="s">
        <v>1</v>
      </c>
      <c r="CB329" t="s">
        <v>1</v>
      </c>
      <c r="CD329" t="e" cm="1">
        <f t="array" aca="1" ref="CD329" ca="1">eConcatenar(A329:CB329,"|")</f>
        <v>#NAME?</v>
      </c>
    </row>
    <row r="330" spans="1:82" x14ac:dyDescent="0.25">
      <c r="A330" t="s">
        <v>425</v>
      </c>
      <c r="B330" t="s">
        <v>1438</v>
      </c>
      <c r="C330">
        <v>3</v>
      </c>
      <c r="D330" t="s">
        <v>2153</v>
      </c>
      <c r="E330" t="s">
        <v>10</v>
      </c>
      <c r="F330" t="s">
        <v>2162</v>
      </c>
      <c r="G330" t="s">
        <v>2359</v>
      </c>
      <c r="H330" t="s">
        <v>2876</v>
      </c>
      <c r="I330">
        <v>14800</v>
      </c>
      <c r="J330">
        <v>0</v>
      </c>
      <c r="K330">
        <v>200</v>
      </c>
      <c r="L330">
        <v>50</v>
      </c>
      <c r="M330">
        <v>2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 t="s">
        <v>3246</v>
      </c>
      <c r="AC330" t="s">
        <v>3115</v>
      </c>
      <c r="AD330" t="s">
        <v>3251</v>
      </c>
      <c r="AE330" t="s">
        <v>4</v>
      </c>
      <c r="AF330" t="s">
        <v>1</v>
      </c>
      <c r="AG330" t="s">
        <v>1</v>
      </c>
      <c r="AH330" t="s">
        <v>4344</v>
      </c>
      <c r="AI330" t="s">
        <v>2359</v>
      </c>
      <c r="AJ330" t="s">
        <v>1</v>
      </c>
      <c r="AK330">
        <v>9331341598</v>
      </c>
      <c r="AL330" t="s">
        <v>1</v>
      </c>
      <c r="AM330" t="s">
        <v>1</v>
      </c>
      <c r="AN330" t="s">
        <v>1</v>
      </c>
      <c r="AO330" t="s">
        <v>4344</v>
      </c>
      <c r="AP330" t="s">
        <v>1</v>
      </c>
      <c r="AQ330" t="s">
        <v>2</v>
      </c>
      <c r="AR330" t="s">
        <v>1</v>
      </c>
      <c r="AS330" t="s">
        <v>1</v>
      </c>
      <c r="AT330" t="s">
        <v>1</v>
      </c>
      <c r="AU330" t="s">
        <v>1</v>
      </c>
      <c r="AV330" t="s">
        <v>1</v>
      </c>
      <c r="AW330" t="s">
        <v>9</v>
      </c>
      <c r="AX330">
        <f>Tabla1[[#This Row],[precio del paquete]]-Tabla1[[#This Row],[Saldo_Deudor]]</f>
        <v>2700</v>
      </c>
      <c r="AY330">
        <v>12100</v>
      </c>
      <c r="AZ330">
        <v>0</v>
      </c>
      <c r="BA330">
        <v>0</v>
      </c>
      <c r="BB330">
        <v>0</v>
      </c>
      <c r="BC330" t="s">
        <v>2727</v>
      </c>
      <c r="BD330" t="s">
        <v>4838</v>
      </c>
      <c r="BE330" t="s">
        <v>3</v>
      </c>
      <c r="BF330" t="s">
        <v>3</v>
      </c>
      <c r="BG330" t="s">
        <v>3</v>
      </c>
      <c r="BH330" t="s">
        <v>3</v>
      </c>
      <c r="BI330" t="s">
        <v>3</v>
      </c>
      <c r="BJ330" t="s">
        <v>5006</v>
      </c>
      <c r="BK330" t="s">
        <v>3</v>
      </c>
      <c r="BL330" t="s">
        <v>96</v>
      </c>
      <c r="BM330" t="s">
        <v>1</v>
      </c>
      <c r="BN330">
        <v>14800</v>
      </c>
      <c r="BO330" t="s">
        <v>1</v>
      </c>
      <c r="BP330" t="s">
        <v>1</v>
      </c>
      <c r="BQ330" t="s">
        <v>1</v>
      </c>
      <c r="BR330" t="s">
        <v>1</v>
      </c>
      <c r="BS330" t="s">
        <v>1</v>
      </c>
      <c r="BT330" t="s">
        <v>1</v>
      </c>
      <c r="BU330" t="s">
        <v>1</v>
      </c>
      <c r="BV330" t="s">
        <v>1</v>
      </c>
      <c r="BW330" t="s">
        <v>0</v>
      </c>
      <c r="BX330" t="s">
        <v>1</v>
      </c>
      <c r="BY330" t="s">
        <v>1</v>
      </c>
      <c r="BZ330" t="s">
        <v>1</v>
      </c>
      <c r="CA330" t="s">
        <v>1</v>
      </c>
      <c r="CB330" t="s">
        <v>1</v>
      </c>
      <c r="CD330" t="e" cm="1">
        <f t="array" aca="1" ref="CD330" ca="1">eConcatenar(A330:CB330,"|")</f>
        <v>#NAME?</v>
      </c>
    </row>
    <row r="331" spans="1:82" x14ac:dyDescent="0.25">
      <c r="A331" t="s">
        <v>426</v>
      </c>
      <c r="B331" t="s">
        <v>1439</v>
      </c>
      <c r="C331">
        <v>3</v>
      </c>
      <c r="D331" t="s">
        <v>2153</v>
      </c>
      <c r="E331" t="s">
        <v>2158</v>
      </c>
      <c r="F331" t="s">
        <v>0</v>
      </c>
      <c r="G331" t="s">
        <v>2360</v>
      </c>
      <c r="H331" t="s">
        <v>2801</v>
      </c>
      <c r="I331">
        <v>14800</v>
      </c>
      <c r="J331">
        <v>0</v>
      </c>
      <c r="K331">
        <v>200</v>
      </c>
      <c r="L331">
        <v>50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 t="s">
        <v>3245</v>
      </c>
      <c r="AC331" t="s">
        <v>3568</v>
      </c>
      <c r="AD331" t="s">
        <v>3569</v>
      </c>
      <c r="AE331" t="s">
        <v>4</v>
      </c>
      <c r="AF331" t="s">
        <v>1</v>
      </c>
      <c r="AG331" t="s">
        <v>1</v>
      </c>
      <c r="AH331" t="s">
        <v>4345</v>
      </c>
      <c r="AI331" t="s">
        <v>2360</v>
      </c>
      <c r="AJ331" t="s">
        <v>1</v>
      </c>
      <c r="AK331">
        <v>9371181893</v>
      </c>
      <c r="AL331" t="s">
        <v>1</v>
      </c>
      <c r="AM331" t="s">
        <v>1</v>
      </c>
      <c r="AN331" t="s">
        <v>1</v>
      </c>
      <c r="AO331" t="s">
        <v>4345</v>
      </c>
      <c r="AP331" t="s">
        <v>1</v>
      </c>
      <c r="AQ331" t="s">
        <v>2</v>
      </c>
      <c r="AR331" t="s">
        <v>1</v>
      </c>
      <c r="AS331" t="s">
        <v>1</v>
      </c>
      <c r="AT331" t="s">
        <v>1</v>
      </c>
      <c r="AU331" t="s">
        <v>1</v>
      </c>
      <c r="AV331" t="s">
        <v>1</v>
      </c>
      <c r="AW331" t="s">
        <v>9</v>
      </c>
      <c r="AX331">
        <f>Tabla1[[#This Row],[precio del paquete]]-Tabla1[[#This Row],[Saldo_Deudor]]</f>
        <v>5700</v>
      </c>
      <c r="AY331">
        <v>9100</v>
      </c>
      <c r="AZ331">
        <v>0</v>
      </c>
      <c r="BA331">
        <v>0</v>
      </c>
      <c r="BB331">
        <v>0</v>
      </c>
      <c r="BC331" t="s">
        <v>2711</v>
      </c>
      <c r="BD331" t="s">
        <v>2712</v>
      </c>
      <c r="BE331" t="s">
        <v>3</v>
      </c>
      <c r="BF331" t="s">
        <v>3</v>
      </c>
      <c r="BG331" t="s">
        <v>3</v>
      </c>
      <c r="BH331" t="s">
        <v>3</v>
      </c>
      <c r="BI331" t="s">
        <v>3</v>
      </c>
      <c r="BJ331" t="s">
        <v>5006</v>
      </c>
      <c r="BK331" t="s">
        <v>3</v>
      </c>
      <c r="BL331" t="s">
        <v>96</v>
      </c>
      <c r="BM331" t="s">
        <v>1</v>
      </c>
      <c r="BN331">
        <v>14800</v>
      </c>
      <c r="BO331" t="s">
        <v>1</v>
      </c>
      <c r="BP331" t="s">
        <v>1</v>
      </c>
      <c r="BQ331" t="s">
        <v>1</v>
      </c>
      <c r="BR331" t="s">
        <v>1</v>
      </c>
      <c r="BS331" t="s">
        <v>1</v>
      </c>
      <c r="BT331" t="s">
        <v>1</v>
      </c>
      <c r="BU331" t="s">
        <v>1</v>
      </c>
      <c r="BV331" t="s">
        <v>1</v>
      </c>
      <c r="BW331" t="s">
        <v>0</v>
      </c>
      <c r="BX331" t="s">
        <v>1</v>
      </c>
      <c r="BY331" t="s">
        <v>1</v>
      </c>
      <c r="BZ331" t="s">
        <v>1</v>
      </c>
      <c r="CA331" t="s">
        <v>1</v>
      </c>
      <c r="CB331" t="s">
        <v>1</v>
      </c>
      <c r="CD331" t="e" cm="1">
        <f t="array" aca="1" ref="CD331" ca="1">eConcatenar(A331:CB331,"|")</f>
        <v>#NAME?</v>
      </c>
    </row>
    <row r="332" spans="1:82" x14ac:dyDescent="0.25">
      <c r="A332" t="s">
        <v>427</v>
      </c>
      <c r="B332" t="s">
        <v>1440</v>
      </c>
      <c r="C332">
        <v>3</v>
      </c>
      <c r="D332" t="s">
        <v>2153</v>
      </c>
      <c r="E332" t="s">
        <v>2158</v>
      </c>
      <c r="F332" t="s">
        <v>0</v>
      </c>
      <c r="G332" t="s">
        <v>2360</v>
      </c>
      <c r="H332" t="s">
        <v>2703</v>
      </c>
      <c r="I332">
        <v>14800</v>
      </c>
      <c r="J332">
        <v>0</v>
      </c>
      <c r="K332">
        <v>200</v>
      </c>
      <c r="L332">
        <v>50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 t="s">
        <v>3265</v>
      </c>
      <c r="AC332" t="s">
        <v>3150</v>
      </c>
      <c r="AD332" t="s">
        <v>3570</v>
      </c>
      <c r="AE332" t="s">
        <v>4</v>
      </c>
      <c r="AF332" t="s">
        <v>1</v>
      </c>
      <c r="AG332" t="s">
        <v>1</v>
      </c>
      <c r="AH332" t="s">
        <v>4345</v>
      </c>
      <c r="AI332" t="s">
        <v>2360</v>
      </c>
      <c r="AJ332" t="s">
        <v>1</v>
      </c>
      <c r="AK332">
        <v>9371546759</v>
      </c>
      <c r="AL332" t="s">
        <v>1</v>
      </c>
      <c r="AM332" t="s">
        <v>1</v>
      </c>
      <c r="AN332" t="s">
        <v>1</v>
      </c>
      <c r="AO332" t="s">
        <v>4345</v>
      </c>
      <c r="AP332" t="s">
        <v>1</v>
      </c>
      <c r="AQ332" t="s">
        <v>2</v>
      </c>
      <c r="AR332" t="s">
        <v>1</v>
      </c>
      <c r="AS332" t="s">
        <v>1</v>
      </c>
      <c r="AT332" t="s">
        <v>1</v>
      </c>
      <c r="AU332" t="s">
        <v>1</v>
      </c>
      <c r="AV332" t="s">
        <v>1</v>
      </c>
      <c r="AW332" t="s">
        <v>9</v>
      </c>
      <c r="AX332">
        <f>Tabla1[[#This Row],[precio del paquete]]-Tabla1[[#This Row],[Saldo_Deudor]]</f>
        <v>1000</v>
      </c>
      <c r="AY332">
        <v>13800</v>
      </c>
      <c r="AZ332">
        <v>0</v>
      </c>
      <c r="BA332">
        <v>0</v>
      </c>
      <c r="BB332">
        <v>0</v>
      </c>
      <c r="BC332" t="s">
        <v>2711</v>
      </c>
      <c r="BD332" t="s">
        <v>2712</v>
      </c>
      <c r="BE332" t="s">
        <v>3</v>
      </c>
      <c r="BF332" t="s">
        <v>3</v>
      </c>
      <c r="BG332" t="s">
        <v>3</v>
      </c>
      <c r="BH332" t="s">
        <v>3</v>
      </c>
      <c r="BI332" t="s">
        <v>3</v>
      </c>
      <c r="BJ332" t="s">
        <v>4994</v>
      </c>
      <c r="BK332" t="s">
        <v>3</v>
      </c>
      <c r="BL332" t="s">
        <v>96</v>
      </c>
      <c r="BM332" t="s">
        <v>1</v>
      </c>
      <c r="BN332">
        <v>14800</v>
      </c>
      <c r="BO332" t="s">
        <v>1</v>
      </c>
      <c r="BP332" t="s">
        <v>1</v>
      </c>
      <c r="BQ332" t="s">
        <v>1</v>
      </c>
      <c r="BR332" t="s">
        <v>1</v>
      </c>
      <c r="BS332" t="s">
        <v>1</v>
      </c>
      <c r="BT332" t="s">
        <v>1</v>
      </c>
      <c r="BU332" t="s">
        <v>1</v>
      </c>
      <c r="BV332" t="s">
        <v>1</v>
      </c>
      <c r="BW332" t="s">
        <v>0</v>
      </c>
      <c r="BX332" t="s">
        <v>1</v>
      </c>
      <c r="BY332" t="s">
        <v>1</v>
      </c>
      <c r="BZ332" t="s">
        <v>1</v>
      </c>
      <c r="CA332" t="s">
        <v>1</v>
      </c>
      <c r="CB332" t="s">
        <v>1</v>
      </c>
      <c r="CD332" t="e" cm="1">
        <f t="array" aca="1" ref="CD332" ca="1">eConcatenar(A332:CB332,"|")</f>
        <v>#NAME?</v>
      </c>
    </row>
    <row r="333" spans="1:82" x14ac:dyDescent="0.25">
      <c r="A333" t="s">
        <v>428</v>
      </c>
      <c r="B333" t="s">
        <v>1441</v>
      </c>
      <c r="C333">
        <v>3</v>
      </c>
      <c r="D333" t="s">
        <v>2153</v>
      </c>
      <c r="E333" t="s">
        <v>2158</v>
      </c>
      <c r="F333" t="s">
        <v>0</v>
      </c>
      <c r="G333" t="s">
        <v>2361</v>
      </c>
      <c r="H333" t="s">
        <v>2699</v>
      </c>
      <c r="I333">
        <v>14800</v>
      </c>
      <c r="J333">
        <v>0</v>
      </c>
      <c r="K333">
        <v>100</v>
      </c>
      <c r="L333">
        <v>50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 t="s">
        <v>3114</v>
      </c>
      <c r="AC333" t="s">
        <v>3114</v>
      </c>
      <c r="AD333" t="s">
        <v>3498</v>
      </c>
      <c r="AE333" t="s">
        <v>4</v>
      </c>
      <c r="AF333" t="s">
        <v>1</v>
      </c>
      <c r="AG333" t="s">
        <v>1</v>
      </c>
      <c r="AH333" t="s">
        <v>4346</v>
      </c>
      <c r="AI333" t="s">
        <v>2361</v>
      </c>
      <c r="AJ333" t="s">
        <v>1</v>
      </c>
      <c r="AK333">
        <v>9371277103</v>
      </c>
      <c r="AL333" t="s">
        <v>1</v>
      </c>
      <c r="AM333" t="s">
        <v>1</v>
      </c>
      <c r="AN333" t="s">
        <v>1</v>
      </c>
      <c r="AO333" t="s">
        <v>4346</v>
      </c>
      <c r="AP333" t="s">
        <v>1</v>
      </c>
      <c r="AQ333" t="s">
        <v>2</v>
      </c>
      <c r="AR333" t="s">
        <v>1</v>
      </c>
      <c r="AS333" t="s">
        <v>1</v>
      </c>
      <c r="AT333" t="s">
        <v>1</v>
      </c>
      <c r="AU333" t="s">
        <v>1</v>
      </c>
      <c r="AV333" t="s">
        <v>1</v>
      </c>
      <c r="AW333" t="s">
        <v>9</v>
      </c>
      <c r="AX333">
        <f>Tabla1[[#This Row],[precio del paquete]]-Tabla1[[#This Row],[Saldo_Deudor]]</f>
        <v>600</v>
      </c>
      <c r="AY333">
        <v>14200</v>
      </c>
      <c r="AZ333">
        <v>0</v>
      </c>
      <c r="BA333">
        <v>0</v>
      </c>
      <c r="BB333">
        <v>0</v>
      </c>
      <c r="BC333" t="s">
        <v>4826</v>
      </c>
      <c r="BD333" t="s">
        <v>2706</v>
      </c>
      <c r="BE333" t="s">
        <v>3</v>
      </c>
      <c r="BF333" t="s">
        <v>3</v>
      </c>
      <c r="BG333" t="s">
        <v>3</v>
      </c>
      <c r="BH333" t="s">
        <v>3</v>
      </c>
      <c r="BI333" t="s">
        <v>3</v>
      </c>
      <c r="BJ333" t="s">
        <v>4994</v>
      </c>
      <c r="BK333" t="s">
        <v>3</v>
      </c>
      <c r="BL333" t="s">
        <v>96</v>
      </c>
      <c r="BM333" t="s">
        <v>1</v>
      </c>
      <c r="BN333">
        <v>14800</v>
      </c>
      <c r="BO333" t="s">
        <v>1</v>
      </c>
      <c r="BP333" t="s">
        <v>1</v>
      </c>
      <c r="BQ333" t="s">
        <v>1</v>
      </c>
      <c r="BR333" t="s">
        <v>1</v>
      </c>
      <c r="BS333" t="s">
        <v>1</v>
      </c>
      <c r="BT333" t="s">
        <v>1</v>
      </c>
      <c r="BU333" t="s">
        <v>1</v>
      </c>
      <c r="BV333" t="s">
        <v>1</v>
      </c>
      <c r="BW333" t="s">
        <v>0</v>
      </c>
      <c r="BX333" t="s">
        <v>1</v>
      </c>
      <c r="BY333" t="s">
        <v>1</v>
      </c>
      <c r="BZ333" t="s">
        <v>1</v>
      </c>
      <c r="CA333" t="s">
        <v>1</v>
      </c>
      <c r="CB333" t="s">
        <v>1</v>
      </c>
      <c r="CD333" t="e" cm="1">
        <f t="array" aca="1" ref="CD333" ca="1">eConcatenar(A333:CB333,"|")</f>
        <v>#NAME?</v>
      </c>
    </row>
    <row r="334" spans="1:82" x14ac:dyDescent="0.25">
      <c r="A334" t="s">
        <v>429</v>
      </c>
      <c r="B334" t="s">
        <v>1442</v>
      </c>
      <c r="C334">
        <v>3</v>
      </c>
      <c r="D334" t="s">
        <v>2153</v>
      </c>
      <c r="E334" t="s">
        <v>2158</v>
      </c>
      <c r="F334" t="s">
        <v>0</v>
      </c>
      <c r="G334" t="s">
        <v>2361</v>
      </c>
      <c r="H334" t="s">
        <v>2699</v>
      </c>
      <c r="I334">
        <v>14800</v>
      </c>
      <c r="J334">
        <v>0</v>
      </c>
      <c r="K334">
        <v>100</v>
      </c>
      <c r="L334">
        <v>50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 t="s">
        <v>3571</v>
      </c>
      <c r="AC334" t="s">
        <v>6</v>
      </c>
      <c r="AD334" t="s">
        <v>3426</v>
      </c>
      <c r="AE334" t="s">
        <v>4</v>
      </c>
      <c r="AF334" t="s">
        <v>1</v>
      </c>
      <c r="AG334" t="s">
        <v>1</v>
      </c>
      <c r="AH334" t="s">
        <v>4346</v>
      </c>
      <c r="AI334" t="s">
        <v>2361</v>
      </c>
      <c r="AJ334" t="s">
        <v>1</v>
      </c>
      <c r="AK334">
        <v>9931674292</v>
      </c>
      <c r="AL334" t="s">
        <v>1</v>
      </c>
      <c r="AM334" t="s">
        <v>1</v>
      </c>
      <c r="AN334" t="s">
        <v>1</v>
      </c>
      <c r="AO334" t="s">
        <v>4346</v>
      </c>
      <c r="AP334" t="s">
        <v>1</v>
      </c>
      <c r="AQ334" t="s">
        <v>2</v>
      </c>
      <c r="AR334" t="s">
        <v>1</v>
      </c>
      <c r="AS334" t="s">
        <v>1</v>
      </c>
      <c r="AT334" t="s">
        <v>1</v>
      </c>
      <c r="AU334" t="s">
        <v>1</v>
      </c>
      <c r="AV334" t="s">
        <v>1</v>
      </c>
      <c r="AW334" t="s">
        <v>9</v>
      </c>
      <c r="AX334">
        <f>Tabla1[[#This Row],[precio del paquete]]-Tabla1[[#This Row],[Saldo_Deudor]]</f>
        <v>600</v>
      </c>
      <c r="AY334">
        <v>14200</v>
      </c>
      <c r="AZ334">
        <v>0</v>
      </c>
      <c r="BA334">
        <v>0</v>
      </c>
      <c r="BB334">
        <v>0</v>
      </c>
      <c r="BC334" t="s">
        <v>4826</v>
      </c>
      <c r="BD334" t="s">
        <v>2706</v>
      </c>
      <c r="BE334" t="s">
        <v>3</v>
      </c>
      <c r="BF334" t="s">
        <v>3</v>
      </c>
      <c r="BG334" t="s">
        <v>3</v>
      </c>
      <c r="BH334" t="s">
        <v>3</v>
      </c>
      <c r="BI334" t="s">
        <v>3</v>
      </c>
      <c r="BJ334" t="s">
        <v>4999</v>
      </c>
      <c r="BK334" t="s">
        <v>3</v>
      </c>
      <c r="BL334" t="s">
        <v>96</v>
      </c>
      <c r="BM334" t="s">
        <v>1</v>
      </c>
      <c r="BN334">
        <v>14800</v>
      </c>
      <c r="BO334" t="s">
        <v>1</v>
      </c>
      <c r="BP334" t="s">
        <v>1</v>
      </c>
      <c r="BQ334" t="s">
        <v>1</v>
      </c>
      <c r="BR334" t="s">
        <v>1</v>
      </c>
      <c r="BS334" t="s">
        <v>1</v>
      </c>
      <c r="BT334" t="s">
        <v>1</v>
      </c>
      <c r="BU334" t="s">
        <v>1</v>
      </c>
      <c r="BV334" t="s">
        <v>1</v>
      </c>
      <c r="BW334" t="s">
        <v>0</v>
      </c>
      <c r="BX334" t="s">
        <v>1</v>
      </c>
      <c r="BY334" t="s">
        <v>1</v>
      </c>
      <c r="BZ334" t="s">
        <v>1</v>
      </c>
      <c r="CA334" t="s">
        <v>1</v>
      </c>
      <c r="CB334" t="s">
        <v>1</v>
      </c>
      <c r="CD334" t="e" cm="1">
        <f t="array" aca="1" ref="CD334" ca="1">eConcatenar(A334:CB334,"|")</f>
        <v>#NAME?</v>
      </c>
    </row>
    <row r="335" spans="1:82" x14ac:dyDescent="0.25">
      <c r="A335" t="s">
        <v>430</v>
      </c>
      <c r="B335" t="s">
        <v>1443</v>
      </c>
      <c r="C335">
        <v>3</v>
      </c>
      <c r="D335" t="s">
        <v>2155</v>
      </c>
      <c r="E335" t="s">
        <v>2158</v>
      </c>
      <c r="F335" t="s">
        <v>0</v>
      </c>
      <c r="G335" t="s">
        <v>2362</v>
      </c>
      <c r="H335" t="s">
        <v>2707</v>
      </c>
      <c r="I335">
        <v>12900</v>
      </c>
      <c r="J335">
        <v>0</v>
      </c>
      <c r="K335">
        <v>400</v>
      </c>
      <c r="L335">
        <v>50</v>
      </c>
      <c r="M335">
        <v>2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 t="s">
        <v>3572</v>
      </c>
      <c r="AC335" t="s">
        <v>3134</v>
      </c>
      <c r="AD335" t="s">
        <v>3573</v>
      </c>
      <c r="AE335" t="s">
        <v>4</v>
      </c>
      <c r="AF335" t="s">
        <v>1</v>
      </c>
      <c r="AG335" t="s">
        <v>1</v>
      </c>
      <c r="AH335" t="s">
        <v>4347</v>
      </c>
      <c r="AI335" t="s">
        <v>2362</v>
      </c>
      <c r="AJ335" t="s">
        <v>1</v>
      </c>
      <c r="AK335">
        <v>9371628428</v>
      </c>
      <c r="AL335" t="s">
        <v>1</v>
      </c>
      <c r="AM335" t="s">
        <v>1</v>
      </c>
      <c r="AN335" t="s">
        <v>1</v>
      </c>
      <c r="AO335" t="s">
        <v>4347</v>
      </c>
      <c r="AP335" t="s">
        <v>1</v>
      </c>
      <c r="AQ335" t="s">
        <v>2</v>
      </c>
      <c r="AR335" t="s">
        <v>1</v>
      </c>
      <c r="AS335" t="s">
        <v>1</v>
      </c>
      <c r="AT335" t="s">
        <v>1</v>
      </c>
      <c r="AU335" t="s">
        <v>1</v>
      </c>
      <c r="AV335" t="s">
        <v>1</v>
      </c>
      <c r="AW335" t="s">
        <v>9</v>
      </c>
      <c r="AX335">
        <f>Tabla1[[#This Row],[precio del paquete]]-Tabla1[[#This Row],[Saldo_Deudor]]</f>
        <v>1000</v>
      </c>
      <c r="AY335">
        <v>11900</v>
      </c>
      <c r="AZ335">
        <v>0</v>
      </c>
      <c r="BA335">
        <v>0</v>
      </c>
      <c r="BB335">
        <v>0</v>
      </c>
      <c r="BC335" t="s">
        <v>2856</v>
      </c>
      <c r="BD335" t="s">
        <v>2744</v>
      </c>
      <c r="BE335" t="s">
        <v>3</v>
      </c>
      <c r="BF335" t="s">
        <v>3</v>
      </c>
      <c r="BG335" t="s">
        <v>3</v>
      </c>
      <c r="BH335" t="s">
        <v>3</v>
      </c>
      <c r="BI335" t="s">
        <v>3</v>
      </c>
      <c r="BJ335" t="s">
        <v>4999</v>
      </c>
      <c r="BK335" t="s">
        <v>3</v>
      </c>
      <c r="BL335" t="s">
        <v>96</v>
      </c>
      <c r="BM335" t="s">
        <v>1</v>
      </c>
      <c r="BN335">
        <v>12900</v>
      </c>
      <c r="BO335" t="s">
        <v>1</v>
      </c>
      <c r="BP335" t="s">
        <v>1</v>
      </c>
      <c r="BQ335" t="s">
        <v>1</v>
      </c>
      <c r="BR335" t="s">
        <v>1</v>
      </c>
      <c r="BS335" t="s">
        <v>1</v>
      </c>
      <c r="BT335" t="s">
        <v>1</v>
      </c>
      <c r="BU335" t="s">
        <v>1</v>
      </c>
      <c r="BV335" t="s">
        <v>1</v>
      </c>
      <c r="BW335" t="s">
        <v>0</v>
      </c>
      <c r="BX335" t="s">
        <v>1</v>
      </c>
      <c r="BY335" t="s">
        <v>1</v>
      </c>
      <c r="BZ335" t="s">
        <v>1</v>
      </c>
      <c r="CA335" t="s">
        <v>1</v>
      </c>
      <c r="CB335" t="s">
        <v>1</v>
      </c>
      <c r="CD335" t="e" cm="1">
        <f t="array" aca="1" ref="CD335" ca="1">eConcatenar(A335:CB335,"|")</f>
        <v>#NAME?</v>
      </c>
    </row>
    <row r="336" spans="1:82" x14ac:dyDescent="0.25">
      <c r="A336" t="s">
        <v>431</v>
      </c>
      <c r="B336" t="s">
        <v>1444</v>
      </c>
      <c r="C336">
        <v>3</v>
      </c>
      <c r="D336" t="s">
        <v>2153</v>
      </c>
      <c r="E336" t="s">
        <v>2158</v>
      </c>
      <c r="F336" t="s">
        <v>0</v>
      </c>
      <c r="G336" t="s">
        <v>2363</v>
      </c>
      <c r="H336" t="s">
        <v>2843</v>
      </c>
      <c r="I336">
        <v>14800</v>
      </c>
      <c r="J336">
        <v>0</v>
      </c>
      <c r="K336">
        <v>100</v>
      </c>
      <c r="L336">
        <v>50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 t="s">
        <v>6</v>
      </c>
      <c r="AC336" t="s">
        <v>3114</v>
      </c>
      <c r="AD336" t="s">
        <v>3574</v>
      </c>
      <c r="AE336" t="s">
        <v>4</v>
      </c>
      <c r="AF336" t="s">
        <v>1</v>
      </c>
      <c r="AG336" t="s">
        <v>1</v>
      </c>
      <c r="AH336" t="s">
        <v>4266</v>
      </c>
      <c r="AI336" t="s">
        <v>2363</v>
      </c>
      <c r="AJ336" t="s">
        <v>1</v>
      </c>
      <c r="AK336">
        <v>9371192028</v>
      </c>
      <c r="AL336" t="s">
        <v>1</v>
      </c>
      <c r="AM336" t="s">
        <v>1</v>
      </c>
      <c r="AN336" t="s">
        <v>1</v>
      </c>
      <c r="AO336" t="s">
        <v>4266</v>
      </c>
      <c r="AP336" t="s">
        <v>1</v>
      </c>
      <c r="AQ336" t="s">
        <v>2</v>
      </c>
      <c r="AR336" t="s">
        <v>1</v>
      </c>
      <c r="AS336" t="s">
        <v>1</v>
      </c>
      <c r="AT336" t="s">
        <v>1</v>
      </c>
      <c r="AU336" t="s">
        <v>1</v>
      </c>
      <c r="AV336" t="s">
        <v>1</v>
      </c>
      <c r="AW336" t="s">
        <v>9</v>
      </c>
      <c r="AX336">
        <f>Tabla1[[#This Row],[precio del paquete]]-Tabla1[[#This Row],[Saldo_Deudor]]</f>
        <v>650</v>
      </c>
      <c r="AY336">
        <v>14150</v>
      </c>
      <c r="AZ336">
        <v>0</v>
      </c>
      <c r="BA336">
        <v>0</v>
      </c>
      <c r="BB336">
        <v>0</v>
      </c>
      <c r="BC336" t="s">
        <v>3024</v>
      </c>
      <c r="BD336" t="s">
        <v>4830</v>
      </c>
      <c r="BE336" t="s">
        <v>3</v>
      </c>
      <c r="BF336" t="s">
        <v>3</v>
      </c>
      <c r="BG336" t="s">
        <v>3</v>
      </c>
      <c r="BH336" t="s">
        <v>3</v>
      </c>
      <c r="BI336" t="s">
        <v>3</v>
      </c>
      <c r="BJ336" t="s">
        <v>4995</v>
      </c>
      <c r="BK336" t="s">
        <v>3</v>
      </c>
      <c r="BL336" t="s">
        <v>96</v>
      </c>
      <c r="BM336" t="s">
        <v>1</v>
      </c>
      <c r="BN336">
        <v>14800</v>
      </c>
      <c r="BO336" t="s">
        <v>1</v>
      </c>
      <c r="BP336" t="s">
        <v>1</v>
      </c>
      <c r="BQ336" t="s">
        <v>1</v>
      </c>
      <c r="BR336" t="s">
        <v>1</v>
      </c>
      <c r="BS336" t="s">
        <v>1</v>
      </c>
      <c r="BT336" t="s">
        <v>1</v>
      </c>
      <c r="BU336" t="s">
        <v>1</v>
      </c>
      <c r="BV336" t="s">
        <v>1</v>
      </c>
      <c r="BW336" t="s">
        <v>0</v>
      </c>
      <c r="BX336" t="s">
        <v>1</v>
      </c>
      <c r="BY336" t="s">
        <v>1</v>
      </c>
      <c r="BZ336" t="s">
        <v>1</v>
      </c>
      <c r="CA336" t="s">
        <v>1</v>
      </c>
      <c r="CB336" t="s">
        <v>1</v>
      </c>
      <c r="CD336" t="e" cm="1">
        <f t="array" aca="1" ref="CD336" ca="1">eConcatenar(A336:CB336,"|")</f>
        <v>#NAME?</v>
      </c>
    </row>
    <row r="337" spans="1:82" x14ac:dyDescent="0.25">
      <c r="A337" t="s">
        <v>432</v>
      </c>
      <c r="B337" t="s">
        <v>1445</v>
      </c>
      <c r="C337">
        <v>3</v>
      </c>
      <c r="D337" t="s">
        <v>2153</v>
      </c>
      <c r="E337" t="s">
        <v>2158</v>
      </c>
      <c r="F337" t="s">
        <v>0</v>
      </c>
      <c r="G337" t="s">
        <v>2364</v>
      </c>
      <c r="H337" t="s">
        <v>2760</v>
      </c>
      <c r="I337">
        <v>14800</v>
      </c>
      <c r="J337">
        <v>0</v>
      </c>
      <c r="K337">
        <v>100</v>
      </c>
      <c r="L337">
        <v>50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 t="s">
        <v>3308</v>
      </c>
      <c r="AC337" t="s">
        <v>3575</v>
      </c>
      <c r="AD337" t="s">
        <v>3576</v>
      </c>
      <c r="AE337" t="s">
        <v>4</v>
      </c>
      <c r="AF337" t="s">
        <v>1</v>
      </c>
      <c r="AG337" t="s">
        <v>1</v>
      </c>
      <c r="AH337" t="s">
        <v>2364</v>
      </c>
      <c r="AI337" t="s">
        <v>2364</v>
      </c>
      <c r="AJ337" t="s">
        <v>1</v>
      </c>
      <c r="AK337">
        <v>9371023481</v>
      </c>
      <c r="AL337" t="s">
        <v>1</v>
      </c>
      <c r="AM337" t="s">
        <v>1</v>
      </c>
      <c r="AN337" t="s">
        <v>1</v>
      </c>
      <c r="AO337" t="s">
        <v>2364</v>
      </c>
      <c r="AP337" t="s">
        <v>1</v>
      </c>
      <c r="AQ337" t="s">
        <v>2</v>
      </c>
      <c r="AR337" t="s">
        <v>1</v>
      </c>
      <c r="AS337" t="s">
        <v>1</v>
      </c>
      <c r="AT337" t="s">
        <v>1</v>
      </c>
      <c r="AU337" t="s">
        <v>1</v>
      </c>
      <c r="AV337" t="s">
        <v>1</v>
      </c>
      <c r="AW337" t="s">
        <v>9</v>
      </c>
      <c r="AX337">
        <f>Tabla1[[#This Row],[precio del paquete]]-Tabla1[[#This Row],[Saldo_Deudor]]</f>
        <v>1300</v>
      </c>
      <c r="AY337">
        <v>13500</v>
      </c>
      <c r="AZ337">
        <v>0</v>
      </c>
      <c r="BA337">
        <v>0</v>
      </c>
      <c r="BB337">
        <v>0</v>
      </c>
      <c r="BC337" t="s">
        <v>2982</v>
      </c>
      <c r="BD337" t="s">
        <v>4872</v>
      </c>
      <c r="BE337" t="s">
        <v>3</v>
      </c>
      <c r="BF337" t="s">
        <v>3</v>
      </c>
      <c r="BG337" t="s">
        <v>3</v>
      </c>
      <c r="BH337" t="s">
        <v>3</v>
      </c>
      <c r="BI337" t="s">
        <v>3</v>
      </c>
      <c r="BJ337" t="s">
        <v>4983</v>
      </c>
      <c r="BK337" t="s">
        <v>3</v>
      </c>
      <c r="BL337" t="s">
        <v>96</v>
      </c>
      <c r="BM337" t="s">
        <v>1</v>
      </c>
      <c r="BN337">
        <v>14800</v>
      </c>
      <c r="BO337" t="s">
        <v>1</v>
      </c>
      <c r="BP337" t="s">
        <v>1</v>
      </c>
      <c r="BQ337" t="s">
        <v>1</v>
      </c>
      <c r="BR337" t="s">
        <v>1</v>
      </c>
      <c r="BS337" t="s">
        <v>1</v>
      </c>
      <c r="BT337" t="s">
        <v>1</v>
      </c>
      <c r="BU337" t="s">
        <v>1</v>
      </c>
      <c r="BV337" t="s">
        <v>1</v>
      </c>
      <c r="BW337" t="s">
        <v>0</v>
      </c>
      <c r="BX337" t="s">
        <v>1</v>
      </c>
      <c r="BY337" t="s">
        <v>1</v>
      </c>
      <c r="BZ337" t="s">
        <v>1</v>
      </c>
      <c r="CA337" t="s">
        <v>1</v>
      </c>
      <c r="CB337" t="s">
        <v>1</v>
      </c>
      <c r="CD337" t="e" cm="1">
        <f t="array" aca="1" ref="CD337" ca="1">eConcatenar(A337:CB337,"|")</f>
        <v>#NAME?</v>
      </c>
    </row>
    <row r="338" spans="1:82" x14ac:dyDescent="0.25">
      <c r="A338" t="s">
        <v>433</v>
      </c>
      <c r="B338" t="s">
        <v>1446</v>
      </c>
      <c r="C338">
        <v>3</v>
      </c>
      <c r="D338" t="s">
        <v>2153</v>
      </c>
      <c r="E338" t="s">
        <v>10</v>
      </c>
      <c r="F338" t="s">
        <v>0</v>
      </c>
      <c r="G338" t="s">
        <v>2364</v>
      </c>
      <c r="H338" t="s">
        <v>2847</v>
      </c>
      <c r="I338">
        <v>14800</v>
      </c>
      <c r="J338">
        <v>0</v>
      </c>
      <c r="K338">
        <v>100</v>
      </c>
      <c r="L338">
        <v>50</v>
      </c>
      <c r="M338">
        <v>2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 t="s">
        <v>3137</v>
      </c>
      <c r="AC338" t="s">
        <v>3132</v>
      </c>
      <c r="AD338" t="s">
        <v>3190</v>
      </c>
      <c r="AE338" t="s">
        <v>4</v>
      </c>
      <c r="AF338" t="s">
        <v>1</v>
      </c>
      <c r="AG338" t="s">
        <v>1</v>
      </c>
      <c r="AH338" t="s">
        <v>4348</v>
      </c>
      <c r="AI338" t="s">
        <v>2364</v>
      </c>
      <c r="AJ338" t="s">
        <v>1</v>
      </c>
      <c r="AK338">
        <v>9371706601</v>
      </c>
      <c r="AL338" t="s">
        <v>1</v>
      </c>
      <c r="AM338" t="s">
        <v>1</v>
      </c>
      <c r="AN338" t="s">
        <v>1</v>
      </c>
      <c r="AO338" t="s">
        <v>4348</v>
      </c>
      <c r="AP338" t="s">
        <v>1</v>
      </c>
      <c r="AQ338" t="s">
        <v>2</v>
      </c>
      <c r="AR338" t="s">
        <v>1</v>
      </c>
      <c r="AS338" t="s">
        <v>1</v>
      </c>
      <c r="AT338" t="s">
        <v>1</v>
      </c>
      <c r="AU338" t="s">
        <v>1</v>
      </c>
      <c r="AV338" t="s">
        <v>1</v>
      </c>
      <c r="AW338" t="s">
        <v>9</v>
      </c>
      <c r="AX338">
        <f>Tabla1[[#This Row],[precio del paquete]]-Tabla1[[#This Row],[Saldo_Deudor]]</f>
        <v>900</v>
      </c>
      <c r="AY338">
        <v>13900</v>
      </c>
      <c r="AZ338">
        <v>0</v>
      </c>
      <c r="BA338">
        <v>0</v>
      </c>
      <c r="BB338">
        <v>0</v>
      </c>
      <c r="BC338" t="s">
        <v>2874</v>
      </c>
      <c r="BD338" t="s">
        <v>4932</v>
      </c>
      <c r="BE338" t="s">
        <v>3</v>
      </c>
      <c r="BF338" t="s">
        <v>3</v>
      </c>
      <c r="BG338" t="s">
        <v>3</v>
      </c>
      <c r="BH338" t="s">
        <v>3</v>
      </c>
      <c r="BI338" t="s">
        <v>3</v>
      </c>
      <c r="BJ338" t="s">
        <v>4982</v>
      </c>
      <c r="BK338" t="s">
        <v>3</v>
      </c>
      <c r="BL338" t="s">
        <v>96</v>
      </c>
      <c r="BM338" t="s">
        <v>1</v>
      </c>
      <c r="BN338">
        <v>14800</v>
      </c>
      <c r="BO338" t="s">
        <v>1</v>
      </c>
      <c r="BP338" t="s">
        <v>1</v>
      </c>
      <c r="BQ338" t="s">
        <v>1</v>
      </c>
      <c r="BR338" t="s">
        <v>1</v>
      </c>
      <c r="BS338" t="s">
        <v>1</v>
      </c>
      <c r="BT338" t="s">
        <v>1</v>
      </c>
      <c r="BU338" t="s">
        <v>1</v>
      </c>
      <c r="BV338" t="s">
        <v>1</v>
      </c>
      <c r="BW338" t="s">
        <v>0</v>
      </c>
      <c r="BX338" t="s">
        <v>1</v>
      </c>
      <c r="BY338" t="s">
        <v>1</v>
      </c>
      <c r="BZ338" t="s">
        <v>1</v>
      </c>
      <c r="CA338" t="s">
        <v>1</v>
      </c>
      <c r="CB338" t="s">
        <v>1</v>
      </c>
      <c r="CD338" t="e" cm="1">
        <f t="array" aca="1" ref="CD338" ca="1">eConcatenar(A338:CB338,"|")</f>
        <v>#NAME?</v>
      </c>
    </row>
    <row r="339" spans="1:82" x14ac:dyDescent="0.25">
      <c r="A339" t="s">
        <v>434</v>
      </c>
      <c r="B339" t="s">
        <v>1447</v>
      </c>
      <c r="C339">
        <v>3</v>
      </c>
      <c r="D339" t="s">
        <v>2153</v>
      </c>
      <c r="E339" t="s">
        <v>2158</v>
      </c>
      <c r="F339" t="s">
        <v>0</v>
      </c>
      <c r="G339" t="s">
        <v>2365</v>
      </c>
      <c r="H339" t="s">
        <v>2825</v>
      </c>
      <c r="I339">
        <v>14800</v>
      </c>
      <c r="J339">
        <v>0</v>
      </c>
      <c r="K339">
        <v>100</v>
      </c>
      <c r="L339">
        <v>50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 t="s">
        <v>3115</v>
      </c>
      <c r="AC339" t="s">
        <v>3157</v>
      </c>
      <c r="AD339" t="s">
        <v>3353</v>
      </c>
      <c r="AE339" t="s">
        <v>4</v>
      </c>
      <c r="AF339" t="s">
        <v>1</v>
      </c>
      <c r="AG339" t="s">
        <v>1</v>
      </c>
      <c r="AH339" t="s">
        <v>4349</v>
      </c>
      <c r="AI339" t="s">
        <v>2365</v>
      </c>
      <c r="AJ339" t="s">
        <v>1</v>
      </c>
      <c r="AK339">
        <v>9371201829</v>
      </c>
      <c r="AL339" t="s">
        <v>1</v>
      </c>
      <c r="AM339" t="s">
        <v>1</v>
      </c>
      <c r="AN339" t="s">
        <v>1</v>
      </c>
      <c r="AO339" t="s">
        <v>4349</v>
      </c>
      <c r="AP339" t="s">
        <v>1</v>
      </c>
      <c r="AQ339" t="s">
        <v>2</v>
      </c>
      <c r="AR339" t="s">
        <v>1</v>
      </c>
      <c r="AS339" t="s">
        <v>1</v>
      </c>
      <c r="AT339" t="s">
        <v>1</v>
      </c>
      <c r="AU339" t="s">
        <v>1</v>
      </c>
      <c r="AV339" t="s">
        <v>1</v>
      </c>
      <c r="AW339" t="s">
        <v>9</v>
      </c>
      <c r="AX339">
        <f>Tabla1[[#This Row],[precio del paquete]]-Tabla1[[#This Row],[Saldo_Deudor]]</f>
        <v>800</v>
      </c>
      <c r="AY339">
        <v>14000</v>
      </c>
      <c r="AZ339">
        <v>0</v>
      </c>
      <c r="BA339">
        <v>0</v>
      </c>
      <c r="BB339">
        <v>0</v>
      </c>
      <c r="BC339" t="s">
        <v>4827</v>
      </c>
      <c r="BD339" t="s">
        <v>4895</v>
      </c>
      <c r="BE339" t="s">
        <v>3</v>
      </c>
      <c r="BF339" t="s">
        <v>3</v>
      </c>
      <c r="BG339" t="s">
        <v>3</v>
      </c>
      <c r="BH339" t="s">
        <v>3</v>
      </c>
      <c r="BI339" t="s">
        <v>3</v>
      </c>
      <c r="BJ339" t="s">
        <v>4983</v>
      </c>
      <c r="BK339" t="s">
        <v>3</v>
      </c>
      <c r="BL339" t="s">
        <v>96</v>
      </c>
      <c r="BM339" t="s">
        <v>1</v>
      </c>
      <c r="BN339">
        <v>14800</v>
      </c>
      <c r="BO339" t="s">
        <v>1</v>
      </c>
      <c r="BP339" t="s">
        <v>1</v>
      </c>
      <c r="BQ339" t="s">
        <v>1</v>
      </c>
      <c r="BR339" t="s">
        <v>1</v>
      </c>
      <c r="BS339" t="s">
        <v>1</v>
      </c>
      <c r="BT339" t="s">
        <v>1</v>
      </c>
      <c r="BU339" t="s">
        <v>1</v>
      </c>
      <c r="BV339" t="s">
        <v>1</v>
      </c>
      <c r="BW339" t="s">
        <v>0</v>
      </c>
      <c r="BX339" t="s">
        <v>1</v>
      </c>
      <c r="BY339" t="s">
        <v>1</v>
      </c>
      <c r="BZ339" t="s">
        <v>1</v>
      </c>
      <c r="CA339" t="s">
        <v>1</v>
      </c>
      <c r="CB339" t="s">
        <v>1</v>
      </c>
      <c r="CD339" t="e" cm="1">
        <f t="array" aca="1" ref="CD339" ca="1">eConcatenar(A339:CB339,"|")</f>
        <v>#NAME?</v>
      </c>
    </row>
    <row r="340" spans="1:82" x14ac:dyDescent="0.25">
      <c r="A340" t="s">
        <v>435</v>
      </c>
      <c r="B340" t="s">
        <v>1448</v>
      </c>
      <c r="C340">
        <v>3</v>
      </c>
      <c r="D340" t="s">
        <v>2154</v>
      </c>
      <c r="E340" t="s">
        <v>2158</v>
      </c>
      <c r="F340" t="s">
        <v>0</v>
      </c>
      <c r="G340" t="s">
        <v>2365</v>
      </c>
      <c r="H340" t="s">
        <v>2714</v>
      </c>
      <c r="I340">
        <v>24500</v>
      </c>
      <c r="J340">
        <v>0</v>
      </c>
      <c r="K340">
        <v>1500</v>
      </c>
      <c r="L340">
        <v>50</v>
      </c>
      <c r="M340">
        <v>1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 t="s">
        <v>3577</v>
      </c>
      <c r="AC340" t="s">
        <v>3148</v>
      </c>
      <c r="AD340" t="s">
        <v>3578</v>
      </c>
      <c r="AE340" t="s">
        <v>4</v>
      </c>
      <c r="AF340" t="s">
        <v>1</v>
      </c>
      <c r="AG340" t="s">
        <v>1</v>
      </c>
      <c r="AH340" t="s">
        <v>4350</v>
      </c>
      <c r="AI340" t="s">
        <v>2365</v>
      </c>
      <c r="AJ340" t="s">
        <v>1</v>
      </c>
      <c r="AK340">
        <v>9371274820</v>
      </c>
      <c r="AL340" t="s">
        <v>1</v>
      </c>
      <c r="AM340" t="s">
        <v>1</v>
      </c>
      <c r="AN340" t="s">
        <v>1</v>
      </c>
      <c r="AO340" t="s">
        <v>4350</v>
      </c>
      <c r="AP340" t="s">
        <v>1</v>
      </c>
      <c r="AQ340" t="s">
        <v>2</v>
      </c>
      <c r="AR340" t="s">
        <v>1</v>
      </c>
      <c r="AS340" t="s">
        <v>1</v>
      </c>
      <c r="AT340" t="s">
        <v>1</v>
      </c>
      <c r="AU340" t="s">
        <v>1</v>
      </c>
      <c r="AV340" t="s">
        <v>1</v>
      </c>
      <c r="AW340" t="s">
        <v>9</v>
      </c>
      <c r="AX340">
        <f>Tabla1[[#This Row],[precio del paquete]]-Tabla1[[#This Row],[Saldo_Deudor]]</f>
        <v>2100</v>
      </c>
      <c r="AY340">
        <v>22400</v>
      </c>
      <c r="AZ340">
        <v>0</v>
      </c>
      <c r="BA340">
        <v>0</v>
      </c>
      <c r="BB340">
        <v>0</v>
      </c>
      <c r="BC340" t="s">
        <v>4827</v>
      </c>
      <c r="BD340" t="s">
        <v>4895</v>
      </c>
      <c r="BE340" t="s">
        <v>3</v>
      </c>
      <c r="BF340" t="s">
        <v>3</v>
      </c>
      <c r="BG340" t="s">
        <v>3</v>
      </c>
      <c r="BH340" t="s">
        <v>3</v>
      </c>
      <c r="BI340" t="s">
        <v>3</v>
      </c>
      <c r="BJ340" t="s">
        <v>4985</v>
      </c>
      <c r="BK340" t="s">
        <v>3</v>
      </c>
      <c r="BL340" t="s">
        <v>96</v>
      </c>
      <c r="BM340" t="s">
        <v>1</v>
      </c>
      <c r="BN340">
        <v>24500</v>
      </c>
      <c r="BO340" t="s">
        <v>1</v>
      </c>
      <c r="BP340" t="s">
        <v>1</v>
      </c>
      <c r="BQ340" t="s">
        <v>1</v>
      </c>
      <c r="BR340" t="s">
        <v>1</v>
      </c>
      <c r="BS340" t="s">
        <v>1</v>
      </c>
      <c r="BT340" t="s">
        <v>1</v>
      </c>
      <c r="BU340" t="s">
        <v>1</v>
      </c>
      <c r="BV340" t="s">
        <v>1</v>
      </c>
      <c r="BW340" t="s">
        <v>0</v>
      </c>
      <c r="BX340" t="s">
        <v>1</v>
      </c>
      <c r="BY340" t="s">
        <v>1</v>
      </c>
      <c r="BZ340" t="s">
        <v>1</v>
      </c>
      <c r="CA340" t="s">
        <v>1</v>
      </c>
      <c r="CB340" t="s">
        <v>1</v>
      </c>
      <c r="CD340" t="e" cm="1">
        <f t="array" aca="1" ref="CD340" ca="1">eConcatenar(A340:CB340,"|")</f>
        <v>#NAME?</v>
      </c>
    </row>
    <row r="341" spans="1:82" x14ac:dyDescent="0.25">
      <c r="A341" t="s">
        <v>436</v>
      </c>
      <c r="B341" t="s">
        <v>1449</v>
      </c>
      <c r="C341">
        <v>3</v>
      </c>
      <c r="D341" t="s">
        <v>2153</v>
      </c>
      <c r="E341" t="s">
        <v>2158</v>
      </c>
      <c r="F341" t="s">
        <v>0</v>
      </c>
      <c r="G341" t="s">
        <v>2365</v>
      </c>
      <c r="H341" t="s">
        <v>2758</v>
      </c>
      <c r="I341">
        <v>14800</v>
      </c>
      <c r="J341">
        <v>0</v>
      </c>
      <c r="K341">
        <v>100</v>
      </c>
      <c r="L341">
        <v>50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 t="s">
        <v>5</v>
      </c>
      <c r="AC341" t="s">
        <v>3208</v>
      </c>
      <c r="AD341" t="s">
        <v>3579</v>
      </c>
      <c r="AE341" t="s">
        <v>4</v>
      </c>
      <c r="AF341" t="s">
        <v>1</v>
      </c>
      <c r="AG341" t="s">
        <v>1</v>
      </c>
      <c r="AH341" t="s">
        <v>2365</v>
      </c>
      <c r="AI341" t="s">
        <v>2365</v>
      </c>
      <c r="AJ341" t="s">
        <v>1</v>
      </c>
      <c r="AK341">
        <v>9372037009</v>
      </c>
      <c r="AL341" t="s">
        <v>1</v>
      </c>
      <c r="AM341" t="s">
        <v>1</v>
      </c>
      <c r="AN341" t="s">
        <v>1</v>
      </c>
      <c r="AO341" t="s">
        <v>2365</v>
      </c>
      <c r="AP341" t="s">
        <v>1</v>
      </c>
      <c r="AQ341" t="s">
        <v>2</v>
      </c>
      <c r="AR341" t="s">
        <v>1</v>
      </c>
      <c r="AS341" t="s">
        <v>1</v>
      </c>
      <c r="AT341" t="s">
        <v>1</v>
      </c>
      <c r="AU341" t="s">
        <v>1</v>
      </c>
      <c r="AV341" t="s">
        <v>1</v>
      </c>
      <c r="AW341" t="s">
        <v>9</v>
      </c>
      <c r="AX341">
        <f>Tabla1[[#This Row],[precio del paquete]]-Tabla1[[#This Row],[Saldo_Deudor]]</f>
        <v>8800</v>
      </c>
      <c r="AY341">
        <v>6000</v>
      </c>
      <c r="AZ341">
        <v>0</v>
      </c>
      <c r="BA341">
        <v>0</v>
      </c>
      <c r="BB341">
        <v>0</v>
      </c>
      <c r="BC341" t="s">
        <v>4827</v>
      </c>
      <c r="BD341" t="s">
        <v>4895</v>
      </c>
      <c r="BE341" t="s">
        <v>3</v>
      </c>
      <c r="BF341" t="s">
        <v>3</v>
      </c>
      <c r="BG341" t="s">
        <v>3</v>
      </c>
      <c r="BH341" t="s">
        <v>3</v>
      </c>
      <c r="BI341" t="s">
        <v>3</v>
      </c>
      <c r="BJ341" t="s">
        <v>4985</v>
      </c>
      <c r="BK341" t="s">
        <v>3</v>
      </c>
      <c r="BL341" t="s">
        <v>96</v>
      </c>
      <c r="BM341" t="s">
        <v>1</v>
      </c>
      <c r="BN341">
        <v>14800</v>
      </c>
      <c r="BO341" t="s">
        <v>1</v>
      </c>
      <c r="BP341" t="s">
        <v>1</v>
      </c>
      <c r="BQ341" t="s">
        <v>1</v>
      </c>
      <c r="BR341" t="s">
        <v>1</v>
      </c>
      <c r="BS341" t="s">
        <v>1</v>
      </c>
      <c r="BT341" t="s">
        <v>1</v>
      </c>
      <c r="BU341" t="s">
        <v>1</v>
      </c>
      <c r="BV341" t="s">
        <v>1</v>
      </c>
      <c r="BW341" t="s">
        <v>0</v>
      </c>
      <c r="BX341" t="s">
        <v>1</v>
      </c>
      <c r="BY341" t="s">
        <v>1</v>
      </c>
      <c r="BZ341" t="s">
        <v>1</v>
      </c>
      <c r="CA341" t="s">
        <v>1</v>
      </c>
      <c r="CB341" t="s">
        <v>1</v>
      </c>
      <c r="CD341" t="e" cm="1">
        <f t="array" aca="1" ref="CD341" ca="1">eConcatenar(A341:CB341,"|")</f>
        <v>#NAME?</v>
      </c>
    </row>
    <row r="342" spans="1:82" x14ac:dyDescent="0.25">
      <c r="A342" t="s">
        <v>437</v>
      </c>
      <c r="B342" t="s">
        <v>1450</v>
      </c>
      <c r="C342">
        <v>3</v>
      </c>
      <c r="D342" t="s">
        <v>2153</v>
      </c>
      <c r="E342" t="s">
        <v>2158</v>
      </c>
      <c r="F342" t="s">
        <v>0</v>
      </c>
      <c r="G342" t="s">
        <v>2365</v>
      </c>
      <c r="H342" t="s">
        <v>2775</v>
      </c>
      <c r="I342">
        <v>14800</v>
      </c>
      <c r="J342">
        <v>0</v>
      </c>
      <c r="K342">
        <v>100</v>
      </c>
      <c r="L342">
        <v>50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 t="s">
        <v>3580</v>
      </c>
      <c r="AC342" t="s">
        <v>3143</v>
      </c>
      <c r="AD342" t="s">
        <v>3581</v>
      </c>
      <c r="AE342" t="s">
        <v>4</v>
      </c>
      <c r="AF342" t="s">
        <v>1</v>
      </c>
      <c r="AG342" t="s">
        <v>1</v>
      </c>
      <c r="AH342" t="s">
        <v>4351</v>
      </c>
      <c r="AI342" t="s">
        <v>2365</v>
      </c>
      <c r="AJ342" t="s">
        <v>1</v>
      </c>
      <c r="AK342">
        <v>9372839944</v>
      </c>
      <c r="AL342" t="s">
        <v>1</v>
      </c>
      <c r="AM342" t="s">
        <v>1</v>
      </c>
      <c r="AN342" t="s">
        <v>1</v>
      </c>
      <c r="AO342" t="s">
        <v>4351</v>
      </c>
      <c r="AP342" t="s">
        <v>1</v>
      </c>
      <c r="AQ342" t="s">
        <v>2</v>
      </c>
      <c r="AR342" t="s">
        <v>1</v>
      </c>
      <c r="AS342" t="s">
        <v>1</v>
      </c>
      <c r="AT342" t="s">
        <v>1</v>
      </c>
      <c r="AU342" t="s">
        <v>1</v>
      </c>
      <c r="AV342" t="s">
        <v>1</v>
      </c>
      <c r="AW342" t="s">
        <v>9</v>
      </c>
      <c r="AX342">
        <f>Tabla1[[#This Row],[precio del paquete]]-Tabla1[[#This Row],[Saldo_Deudor]]</f>
        <v>1150</v>
      </c>
      <c r="AY342">
        <v>13650</v>
      </c>
      <c r="AZ342">
        <v>0</v>
      </c>
      <c r="BA342">
        <v>0</v>
      </c>
      <c r="BB342">
        <v>0</v>
      </c>
      <c r="BC342" t="s">
        <v>4851</v>
      </c>
      <c r="BD342" t="s">
        <v>2770</v>
      </c>
      <c r="BE342" t="s">
        <v>3</v>
      </c>
      <c r="BF342" t="s">
        <v>3</v>
      </c>
      <c r="BG342" t="s">
        <v>3</v>
      </c>
      <c r="BH342" t="s">
        <v>3</v>
      </c>
      <c r="BI342" t="s">
        <v>3</v>
      </c>
      <c r="BJ342" t="s">
        <v>4985</v>
      </c>
      <c r="BK342" t="s">
        <v>3</v>
      </c>
      <c r="BL342" t="s">
        <v>96</v>
      </c>
      <c r="BM342" t="s">
        <v>1</v>
      </c>
      <c r="BN342">
        <v>14800</v>
      </c>
      <c r="BO342" t="s">
        <v>1</v>
      </c>
      <c r="BP342" t="s">
        <v>1</v>
      </c>
      <c r="BQ342" t="s">
        <v>1</v>
      </c>
      <c r="BR342" t="s">
        <v>1</v>
      </c>
      <c r="BS342" t="s">
        <v>1</v>
      </c>
      <c r="BT342" t="s">
        <v>1</v>
      </c>
      <c r="BU342" t="s">
        <v>1</v>
      </c>
      <c r="BV342" t="s">
        <v>1</v>
      </c>
      <c r="BW342" t="s">
        <v>0</v>
      </c>
      <c r="BX342" t="s">
        <v>1</v>
      </c>
      <c r="BY342" t="s">
        <v>1</v>
      </c>
      <c r="BZ342" t="s">
        <v>1</v>
      </c>
      <c r="CA342" t="s">
        <v>1</v>
      </c>
      <c r="CB342" t="s">
        <v>1</v>
      </c>
      <c r="CD342" t="e" cm="1">
        <f t="array" aca="1" ref="CD342" ca="1">eConcatenar(A342:CB342,"|")</f>
        <v>#NAME?</v>
      </c>
    </row>
    <row r="343" spans="1:82" x14ac:dyDescent="0.25">
      <c r="A343" t="s">
        <v>438</v>
      </c>
      <c r="B343" t="s">
        <v>1451</v>
      </c>
      <c r="C343">
        <v>3</v>
      </c>
      <c r="D343" t="s">
        <v>2157</v>
      </c>
      <c r="E343" t="s">
        <v>2158</v>
      </c>
      <c r="F343" t="s">
        <v>0</v>
      </c>
      <c r="G343" t="s">
        <v>2365</v>
      </c>
      <c r="H343" t="s">
        <v>2706</v>
      </c>
      <c r="I343">
        <v>12900</v>
      </c>
      <c r="J343">
        <v>0</v>
      </c>
      <c r="K343">
        <v>100</v>
      </c>
      <c r="L343">
        <v>50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 t="s">
        <v>3582</v>
      </c>
      <c r="AC343" t="s">
        <v>3132</v>
      </c>
      <c r="AD343" t="s">
        <v>3199</v>
      </c>
      <c r="AE343" t="s">
        <v>4</v>
      </c>
      <c r="AF343" t="s">
        <v>1</v>
      </c>
      <c r="AG343" t="s">
        <v>1</v>
      </c>
      <c r="AH343" t="s">
        <v>4352</v>
      </c>
      <c r="AI343" t="s">
        <v>2365</v>
      </c>
      <c r="AJ343" t="s">
        <v>1</v>
      </c>
      <c r="AK343" t="s">
        <v>1</v>
      </c>
      <c r="AL343" t="s">
        <v>1</v>
      </c>
      <c r="AM343" t="s">
        <v>1</v>
      </c>
      <c r="AN343" t="s">
        <v>1</v>
      </c>
      <c r="AO343" t="s">
        <v>4352</v>
      </c>
      <c r="AP343" t="s">
        <v>1</v>
      </c>
      <c r="AQ343" t="s">
        <v>2</v>
      </c>
      <c r="AR343" t="s">
        <v>1</v>
      </c>
      <c r="AS343" t="s">
        <v>1</v>
      </c>
      <c r="AT343" t="s">
        <v>1</v>
      </c>
      <c r="AU343" t="s">
        <v>1</v>
      </c>
      <c r="AV343" t="s">
        <v>1</v>
      </c>
      <c r="AW343" t="s">
        <v>9</v>
      </c>
      <c r="AX343">
        <f>Tabla1[[#This Row],[precio del paquete]]-Tabla1[[#This Row],[Saldo_Deudor]]</f>
        <v>7700</v>
      </c>
      <c r="AY343">
        <v>5200</v>
      </c>
      <c r="AZ343">
        <v>0</v>
      </c>
      <c r="BA343">
        <v>0</v>
      </c>
      <c r="BB343">
        <v>0</v>
      </c>
      <c r="BC343" t="s">
        <v>2925</v>
      </c>
      <c r="BD343" t="s">
        <v>3078</v>
      </c>
      <c r="BE343" t="s">
        <v>3</v>
      </c>
      <c r="BF343" t="s">
        <v>3</v>
      </c>
      <c r="BG343" t="s">
        <v>3</v>
      </c>
      <c r="BH343" t="s">
        <v>3</v>
      </c>
      <c r="BI343" t="s">
        <v>3</v>
      </c>
      <c r="BJ343" t="s">
        <v>4996</v>
      </c>
      <c r="BK343" t="s">
        <v>3</v>
      </c>
      <c r="BL343" t="s">
        <v>96</v>
      </c>
      <c r="BM343" t="s">
        <v>1</v>
      </c>
      <c r="BN343">
        <v>12900</v>
      </c>
      <c r="BO343" t="s">
        <v>1</v>
      </c>
      <c r="BP343" t="s">
        <v>1</v>
      </c>
      <c r="BQ343" t="s">
        <v>1</v>
      </c>
      <c r="BR343" t="s">
        <v>1</v>
      </c>
      <c r="BS343" t="s">
        <v>1</v>
      </c>
      <c r="BT343" t="s">
        <v>1</v>
      </c>
      <c r="BU343" t="s">
        <v>1</v>
      </c>
      <c r="BV343" t="s">
        <v>1</v>
      </c>
      <c r="BW343" t="s">
        <v>0</v>
      </c>
      <c r="BX343" t="s">
        <v>1</v>
      </c>
      <c r="BY343" t="s">
        <v>1</v>
      </c>
      <c r="BZ343" t="s">
        <v>1</v>
      </c>
      <c r="CA343" t="s">
        <v>1</v>
      </c>
      <c r="CB343" t="s">
        <v>1</v>
      </c>
      <c r="CD343" t="e" cm="1">
        <f t="array" aca="1" ref="CD343" ca="1">eConcatenar(A343:CB343,"|")</f>
        <v>#NAME?</v>
      </c>
    </row>
    <row r="344" spans="1:82" x14ac:dyDescent="0.25">
      <c r="A344" t="s">
        <v>439</v>
      </c>
      <c r="B344" t="s">
        <v>1452</v>
      </c>
      <c r="C344">
        <v>3</v>
      </c>
      <c r="D344" t="s">
        <v>2157</v>
      </c>
      <c r="E344" t="s">
        <v>2158</v>
      </c>
      <c r="F344" t="s">
        <v>2162</v>
      </c>
      <c r="G344" t="s">
        <v>2366</v>
      </c>
      <c r="H344" t="s">
        <v>2877</v>
      </c>
      <c r="I344">
        <v>12900</v>
      </c>
      <c r="J344">
        <v>0</v>
      </c>
      <c r="K344">
        <v>200</v>
      </c>
      <c r="L344">
        <v>50</v>
      </c>
      <c r="M344">
        <v>1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 t="s">
        <v>3115</v>
      </c>
      <c r="AC344" t="s">
        <v>3155</v>
      </c>
      <c r="AD344" t="s">
        <v>3583</v>
      </c>
      <c r="AE344" t="s">
        <v>4</v>
      </c>
      <c r="AF344" t="s">
        <v>1</v>
      </c>
      <c r="AG344" t="s">
        <v>1</v>
      </c>
      <c r="AH344" t="s">
        <v>4353</v>
      </c>
      <c r="AI344" t="s">
        <v>2366</v>
      </c>
      <c r="AJ344" t="s">
        <v>1</v>
      </c>
      <c r="AK344">
        <v>9934032908</v>
      </c>
      <c r="AL344" t="s">
        <v>1</v>
      </c>
      <c r="AM344" t="s">
        <v>1</v>
      </c>
      <c r="AN344" t="s">
        <v>1</v>
      </c>
      <c r="AO344" t="s">
        <v>4353</v>
      </c>
      <c r="AP344" t="s">
        <v>1</v>
      </c>
      <c r="AQ344" t="s">
        <v>2</v>
      </c>
      <c r="AR344" t="s">
        <v>1</v>
      </c>
      <c r="AS344" t="s">
        <v>1</v>
      </c>
      <c r="AT344" t="s">
        <v>1</v>
      </c>
      <c r="AU344" t="s">
        <v>1</v>
      </c>
      <c r="AV344" t="s">
        <v>1</v>
      </c>
      <c r="AW344" t="s">
        <v>9</v>
      </c>
      <c r="AX344">
        <f>Tabla1[[#This Row],[precio del paquete]]-Tabla1[[#This Row],[Saldo_Deudor]]</f>
        <v>12100</v>
      </c>
      <c r="AY344">
        <v>800</v>
      </c>
      <c r="AZ344">
        <v>0</v>
      </c>
      <c r="BA344">
        <v>0</v>
      </c>
      <c r="BB344">
        <v>0</v>
      </c>
      <c r="BC344" t="s">
        <v>3061</v>
      </c>
      <c r="BD344" t="s">
        <v>3040</v>
      </c>
      <c r="BE344" t="s">
        <v>3</v>
      </c>
      <c r="BF344" t="s">
        <v>3</v>
      </c>
      <c r="BG344" t="s">
        <v>3</v>
      </c>
      <c r="BH344" t="s">
        <v>3</v>
      </c>
      <c r="BI344" t="s">
        <v>3</v>
      </c>
      <c r="BJ344" t="s">
        <v>5009</v>
      </c>
      <c r="BK344" t="s">
        <v>3</v>
      </c>
      <c r="BL344" t="s">
        <v>96</v>
      </c>
      <c r="BM344" t="s">
        <v>1</v>
      </c>
      <c r="BN344">
        <v>12900</v>
      </c>
      <c r="BO344" t="s">
        <v>1</v>
      </c>
      <c r="BP344" t="s">
        <v>1</v>
      </c>
      <c r="BQ344" t="s">
        <v>1</v>
      </c>
      <c r="BR344" t="s">
        <v>1</v>
      </c>
      <c r="BS344" t="s">
        <v>1</v>
      </c>
      <c r="BT344" t="s">
        <v>1</v>
      </c>
      <c r="BU344" t="s">
        <v>1</v>
      </c>
      <c r="BV344" t="s">
        <v>1</v>
      </c>
      <c r="BW344" t="s">
        <v>0</v>
      </c>
      <c r="BX344" t="s">
        <v>1</v>
      </c>
      <c r="BY344" t="s">
        <v>1</v>
      </c>
      <c r="BZ344" t="s">
        <v>1</v>
      </c>
      <c r="CA344" t="s">
        <v>1</v>
      </c>
      <c r="CB344" t="s">
        <v>1</v>
      </c>
      <c r="CD344" t="e" cm="1">
        <f t="array" aca="1" ref="CD344" ca="1">eConcatenar(A344:CB344,"|")</f>
        <v>#NAME?</v>
      </c>
    </row>
    <row r="345" spans="1:82" x14ac:dyDescent="0.25">
      <c r="A345" t="s">
        <v>440</v>
      </c>
      <c r="B345" t="s">
        <v>1453</v>
      </c>
      <c r="C345">
        <v>3</v>
      </c>
      <c r="D345" t="s">
        <v>2157</v>
      </c>
      <c r="E345" t="s">
        <v>2158</v>
      </c>
      <c r="F345" t="s">
        <v>2162</v>
      </c>
      <c r="G345" t="s">
        <v>2366</v>
      </c>
      <c r="H345" t="s">
        <v>2861</v>
      </c>
      <c r="I345">
        <v>12900</v>
      </c>
      <c r="J345">
        <v>0</v>
      </c>
      <c r="K345">
        <v>400</v>
      </c>
      <c r="L345">
        <v>50</v>
      </c>
      <c r="M345">
        <v>2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 t="s">
        <v>3584</v>
      </c>
      <c r="AD345" t="s">
        <v>3585</v>
      </c>
      <c r="AE345" t="s">
        <v>4</v>
      </c>
      <c r="AF345" t="s">
        <v>1</v>
      </c>
      <c r="AG345" t="s">
        <v>1</v>
      </c>
      <c r="AH345" t="s">
        <v>4354</v>
      </c>
      <c r="AI345" t="s">
        <v>2366</v>
      </c>
      <c r="AJ345" t="s">
        <v>1</v>
      </c>
      <c r="AK345">
        <v>9331083724</v>
      </c>
      <c r="AL345" t="s">
        <v>1</v>
      </c>
      <c r="AM345" t="s">
        <v>1</v>
      </c>
      <c r="AN345" t="s">
        <v>1</v>
      </c>
      <c r="AO345" t="s">
        <v>4354</v>
      </c>
      <c r="AP345" t="s">
        <v>1</v>
      </c>
      <c r="AQ345" t="s">
        <v>2</v>
      </c>
      <c r="AR345" t="s">
        <v>1</v>
      </c>
      <c r="AS345" t="s">
        <v>1</v>
      </c>
      <c r="AT345" t="s">
        <v>1</v>
      </c>
      <c r="AU345" t="s">
        <v>1</v>
      </c>
      <c r="AV345" t="s">
        <v>1</v>
      </c>
      <c r="AW345" t="s">
        <v>9</v>
      </c>
      <c r="AX345">
        <f>Tabla1[[#This Row],[precio del paquete]]-Tabla1[[#This Row],[Saldo_Deudor]]</f>
        <v>7600</v>
      </c>
      <c r="AY345">
        <v>5300</v>
      </c>
      <c r="AZ345">
        <v>0</v>
      </c>
      <c r="BA345">
        <v>0</v>
      </c>
      <c r="BB345">
        <v>0</v>
      </c>
      <c r="BC345" t="s">
        <v>3098</v>
      </c>
      <c r="BD345" t="s">
        <v>4829</v>
      </c>
      <c r="BE345" t="s">
        <v>3</v>
      </c>
      <c r="BF345" t="s">
        <v>3</v>
      </c>
      <c r="BG345" t="s">
        <v>3</v>
      </c>
      <c r="BH345" t="s">
        <v>3</v>
      </c>
      <c r="BI345" t="s">
        <v>3</v>
      </c>
      <c r="BJ345" t="s">
        <v>4998</v>
      </c>
      <c r="BK345" t="s">
        <v>3</v>
      </c>
      <c r="BL345" t="s">
        <v>96</v>
      </c>
      <c r="BM345" t="s">
        <v>1</v>
      </c>
      <c r="BN345">
        <v>12900</v>
      </c>
      <c r="BO345" t="s">
        <v>1</v>
      </c>
      <c r="BP345" t="s">
        <v>1</v>
      </c>
      <c r="BQ345" t="s">
        <v>1</v>
      </c>
      <c r="BR345" t="s">
        <v>1</v>
      </c>
      <c r="BS345" t="s">
        <v>1</v>
      </c>
      <c r="BT345" t="s">
        <v>1</v>
      </c>
      <c r="BU345" t="s">
        <v>1</v>
      </c>
      <c r="BV345" t="s">
        <v>1</v>
      </c>
      <c r="BW345" t="s">
        <v>0</v>
      </c>
      <c r="BX345" t="s">
        <v>1</v>
      </c>
      <c r="BY345" t="s">
        <v>1</v>
      </c>
      <c r="BZ345" t="s">
        <v>1</v>
      </c>
      <c r="CA345" t="s">
        <v>1</v>
      </c>
      <c r="CB345" t="s">
        <v>1</v>
      </c>
      <c r="CD345" t="e" cm="1">
        <f t="array" aca="1" ref="CD345" ca="1">eConcatenar(A345:CB345,"|")</f>
        <v>#NAME?</v>
      </c>
    </row>
    <row r="346" spans="1:82" x14ac:dyDescent="0.25">
      <c r="A346" t="s">
        <v>441</v>
      </c>
      <c r="B346" t="s">
        <v>1454</v>
      </c>
      <c r="C346">
        <v>3</v>
      </c>
      <c r="D346" t="s">
        <v>2157</v>
      </c>
      <c r="E346" t="s">
        <v>2158</v>
      </c>
      <c r="F346" t="s">
        <v>2164</v>
      </c>
      <c r="G346" t="s">
        <v>2366</v>
      </c>
      <c r="H346" t="s">
        <v>2878</v>
      </c>
      <c r="I346">
        <v>12900</v>
      </c>
      <c r="J346">
        <v>0</v>
      </c>
      <c r="K346">
        <v>100</v>
      </c>
      <c r="L346">
        <v>50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 t="s">
        <v>3249</v>
      </c>
      <c r="AC346" t="s">
        <v>3276</v>
      </c>
      <c r="AD346" t="s">
        <v>3586</v>
      </c>
      <c r="AE346" t="s">
        <v>4</v>
      </c>
      <c r="AF346" t="s">
        <v>1</v>
      </c>
      <c r="AG346" t="s">
        <v>1</v>
      </c>
      <c r="AH346" t="s">
        <v>2367</v>
      </c>
      <c r="AI346" t="s">
        <v>2366</v>
      </c>
      <c r="AJ346" t="s">
        <v>1</v>
      </c>
      <c r="AK346">
        <v>9331264889</v>
      </c>
      <c r="AL346" t="s">
        <v>1</v>
      </c>
      <c r="AM346" t="s">
        <v>1</v>
      </c>
      <c r="AN346" t="s">
        <v>1</v>
      </c>
      <c r="AO346" t="s">
        <v>2367</v>
      </c>
      <c r="AP346" t="s">
        <v>1</v>
      </c>
      <c r="AQ346" t="s">
        <v>2</v>
      </c>
      <c r="AR346" t="s">
        <v>1</v>
      </c>
      <c r="AS346" t="s">
        <v>1</v>
      </c>
      <c r="AT346" t="s">
        <v>1</v>
      </c>
      <c r="AU346" t="s">
        <v>1</v>
      </c>
      <c r="AV346" t="s">
        <v>1</v>
      </c>
      <c r="AW346" t="s">
        <v>9</v>
      </c>
      <c r="AX346">
        <f>Tabla1[[#This Row],[precio del paquete]]-Tabla1[[#This Row],[Saldo_Deudor]]</f>
        <v>10550</v>
      </c>
      <c r="AY346">
        <v>2350</v>
      </c>
      <c r="AZ346">
        <v>0</v>
      </c>
      <c r="BA346">
        <v>0</v>
      </c>
      <c r="BB346">
        <v>0</v>
      </c>
      <c r="BC346" t="s">
        <v>2711</v>
      </c>
      <c r="BD346" t="s">
        <v>2712</v>
      </c>
      <c r="BE346" t="s">
        <v>3</v>
      </c>
      <c r="BF346" t="s">
        <v>3</v>
      </c>
      <c r="BG346" t="s">
        <v>3</v>
      </c>
      <c r="BH346" t="s">
        <v>3</v>
      </c>
      <c r="BI346" t="s">
        <v>3</v>
      </c>
      <c r="BJ346" t="s">
        <v>4998</v>
      </c>
      <c r="BK346" t="s">
        <v>3</v>
      </c>
      <c r="BL346" t="s">
        <v>96</v>
      </c>
      <c r="BM346" t="s">
        <v>1</v>
      </c>
      <c r="BN346">
        <v>12900</v>
      </c>
      <c r="BO346" t="s">
        <v>1</v>
      </c>
      <c r="BP346" t="s">
        <v>1</v>
      </c>
      <c r="BQ346" t="s">
        <v>1</v>
      </c>
      <c r="BR346" t="s">
        <v>1</v>
      </c>
      <c r="BS346" t="s">
        <v>1</v>
      </c>
      <c r="BT346" t="s">
        <v>1</v>
      </c>
      <c r="BU346" t="s">
        <v>1</v>
      </c>
      <c r="BV346" t="s">
        <v>1</v>
      </c>
      <c r="BW346" t="s">
        <v>0</v>
      </c>
      <c r="BX346" t="s">
        <v>1</v>
      </c>
      <c r="BY346" t="s">
        <v>1</v>
      </c>
      <c r="BZ346" t="s">
        <v>1</v>
      </c>
      <c r="CA346" t="s">
        <v>1</v>
      </c>
      <c r="CB346" t="s">
        <v>1</v>
      </c>
      <c r="CD346" t="e" cm="1">
        <f t="array" aca="1" ref="CD346" ca="1">eConcatenar(A346:CB346,"|")</f>
        <v>#NAME?</v>
      </c>
    </row>
    <row r="347" spans="1:82" x14ac:dyDescent="0.25">
      <c r="A347" t="s">
        <v>442</v>
      </c>
      <c r="B347" t="s">
        <v>1455</v>
      </c>
      <c r="C347">
        <v>3</v>
      </c>
      <c r="D347" t="s">
        <v>2153</v>
      </c>
      <c r="E347" t="s">
        <v>2158</v>
      </c>
      <c r="F347" t="s">
        <v>2164</v>
      </c>
      <c r="G347" t="s">
        <v>2366</v>
      </c>
      <c r="H347" t="s">
        <v>2801</v>
      </c>
      <c r="I347">
        <v>14800</v>
      </c>
      <c r="J347">
        <v>0</v>
      </c>
      <c r="K347">
        <v>50</v>
      </c>
      <c r="L347">
        <v>50</v>
      </c>
      <c r="M347">
        <v>1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 t="s">
        <v>3357</v>
      </c>
      <c r="AC347" t="s">
        <v>3423</v>
      </c>
      <c r="AD347" t="s">
        <v>3457</v>
      </c>
      <c r="AE347" t="s">
        <v>4</v>
      </c>
      <c r="AF347" t="s">
        <v>1</v>
      </c>
      <c r="AG347" t="s">
        <v>1</v>
      </c>
      <c r="AH347" t="s">
        <v>2207</v>
      </c>
      <c r="AI347" t="s">
        <v>2366</v>
      </c>
      <c r="AJ347" t="s">
        <v>1</v>
      </c>
      <c r="AK347">
        <v>9131011079</v>
      </c>
      <c r="AL347" t="s">
        <v>1</v>
      </c>
      <c r="AM347" t="s">
        <v>1</v>
      </c>
      <c r="AN347" t="s">
        <v>1</v>
      </c>
      <c r="AO347" t="s">
        <v>2207</v>
      </c>
      <c r="AP347" t="s">
        <v>1</v>
      </c>
      <c r="AQ347" t="s">
        <v>2</v>
      </c>
      <c r="AR347" t="s">
        <v>1</v>
      </c>
      <c r="AS347" t="s">
        <v>1</v>
      </c>
      <c r="AT347" t="s">
        <v>1</v>
      </c>
      <c r="AU347" t="s">
        <v>1</v>
      </c>
      <c r="AV347" t="s">
        <v>1</v>
      </c>
      <c r="AW347" t="s">
        <v>9</v>
      </c>
      <c r="AX347">
        <f>Tabla1[[#This Row],[precio del paquete]]-Tabla1[[#This Row],[Saldo_Deudor]]</f>
        <v>1400</v>
      </c>
      <c r="AY347">
        <v>13400</v>
      </c>
      <c r="AZ347">
        <v>0</v>
      </c>
      <c r="BA347">
        <v>0</v>
      </c>
      <c r="BB347">
        <v>0</v>
      </c>
      <c r="BC347" t="s">
        <v>3061</v>
      </c>
      <c r="BD347" t="s">
        <v>3040</v>
      </c>
      <c r="BE347" t="s">
        <v>3</v>
      </c>
      <c r="BF347" t="s">
        <v>3</v>
      </c>
      <c r="BG347" t="s">
        <v>3</v>
      </c>
      <c r="BH347" t="s">
        <v>3</v>
      </c>
      <c r="BI347" t="s">
        <v>3</v>
      </c>
      <c r="BJ347" t="s">
        <v>4998</v>
      </c>
      <c r="BK347" t="s">
        <v>3</v>
      </c>
      <c r="BL347" t="s">
        <v>96</v>
      </c>
      <c r="BM347" t="s">
        <v>1</v>
      </c>
      <c r="BN347">
        <v>14800</v>
      </c>
      <c r="BO347" t="s">
        <v>1</v>
      </c>
      <c r="BP347" t="s">
        <v>1</v>
      </c>
      <c r="BQ347" t="s">
        <v>1</v>
      </c>
      <c r="BR347" t="s">
        <v>1</v>
      </c>
      <c r="BS347" t="s">
        <v>1</v>
      </c>
      <c r="BT347" t="s">
        <v>1</v>
      </c>
      <c r="BU347" t="s">
        <v>1</v>
      </c>
      <c r="BV347" t="s">
        <v>1</v>
      </c>
      <c r="BW347" t="s">
        <v>0</v>
      </c>
      <c r="BX347" t="s">
        <v>1</v>
      </c>
      <c r="BY347" t="s">
        <v>1</v>
      </c>
      <c r="BZ347" t="s">
        <v>1</v>
      </c>
      <c r="CA347" t="s">
        <v>1</v>
      </c>
      <c r="CB347" t="s">
        <v>1</v>
      </c>
      <c r="CD347" t="e" cm="1">
        <f t="array" aca="1" ref="CD347" ca="1">eConcatenar(A347:CB347,"|")</f>
        <v>#NAME?</v>
      </c>
    </row>
    <row r="348" spans="1:82" x14ac:dyDescent="0.25">
      <c r="A348" t="s">
        <v>443</v>
      </c>
      <c r="B348" t="s">
        <v>1456</v>
      </c>
      <c r="C348">
        <v>3</v>
      </c>
      <c r="D348" t="s">
        <v>2157</v>
      </c>
      <c r="E348" t="s">
        <v>2158</v>
      </c>
      <c r="F348" t="s">
        <v>2162</v>
      </c>
      <c r="G348" t="s">
        <v>2366</v>
      </c>
      <c r="H348" t="s">
        <v>2822</v>
      </c>
      <c r="I348">
        <v>12900</v>
      </c>
      <c r="J348">
        <v>0</v>
      </c>
      <c r="K348">
        <v>100</v>
      </c>
      <c r="L348">
        <v>50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 t="s">
        <v>3132</v>
      </c>
      <c r="AC348" t="s">
        <v>3114</v>
      </c>
      <c r="AD348" t="s">
        <v>3587</v>
      </c>
      <c r="AE348" t="s">
        <v>4</v>
      </c>
      <c r="AF348" t="s">
        <v>1</v>
      </c>
      <c r="AG348" t="s">
        <v>1</v>
      </c>
      <c r="AH348" t="s">
        <v>2366</v>
      </c>
      <c r="AI348" t="s">
        <v>2366</v>
      </c>
      <c r="AJ348" t="s">
        <v>1</v>
      </c>
      <c r="AK348" t="s">
        <v>1</v>
      </c>
      <c r="AL348" t="s">
        <v>1</v>
      </c>
      <c r="AM348" t="s">
        <v>1</v>
      </c>
      <c r="AN348" t="s">
        <v>1</v>
      </c>
      <c r="AO348" t="s">
        <v>2366</v>
      </c>
      <c r="AP348" t="s">
        <v>1</v>
      </c>
      <c r="AQ348" t="s">
        <v>2</v>
      </c>
      <c r="AR348" t="s">
        <v>1</v>
      </c>
      <c r="AS348" t="s">
        <v>1</v>
      </c>
      <c r="AT348" t="s">
        <v>1</v>
      </c>
      <c r="AU348" t="s">
        <v>1</v>
      </c>
      <c r="AV348" t="s">
        <v>1</v>
      </c>
      <c r="AW348" t="s">
        <v>9</v>
      </c>
      <c r="AX348">
        <f>Tabla1[[#This Row],[precio del paquete]]-Tabla1[[#This Row],[Saldo_Deudor]]</f>
        <v>9400</v>
      </c>
      <c r="AY348">
        <v>3500</v>
      </c>
      <c r="AZ348">
        <v>0</v>
      </c>
      <c r="BA348">
        <v>0</v>
      </c>
      <c r="BB348">
        <v>0</v>
      </c>
      <c r="BC348" t="s">
        <v>4852</v>
      </c>
      <c r="BD348" t="s">
        <v>4940</v>
      </c>
      <c r="BE348" t="s">
        <v>3</v>
      </c>
      <c r="BF348" t="s">
        <v>3</v>
      </c>
      <c r="BG348" t="s">
        <v>3</v>
      </c>
      <c r="BH348" t="s">
        <v>3</v>
      </c>
      <c r="BI348" t="s">
        <v>3</v>
      </c>
      <c r="BJ348" t="s">
        <v>4998</v>
      </c>
      <c r="BK348" t="s">
        <v>3</v>
      </c>
      <c r="BL348" t="s">
        <v>96</v>
      </c>
      <c r="BM348" t="s">
        <v>1</v>
      </c>
      <c r="BN348">
        <v>12900</v>
      </c>
      <c r="BO348" t="s">
        <v>1</v>
      </c>
      <c r="BP348" t="s">
        <v>1</v>
      </c>
      <c r="BQ348" t="s">
        <v>1</v>
      </c>
      <c r="BR348" t="s">
        <v>1</v>
      </c>
      <c r="BS348" t="s">
        <v>1</v>
      </c>
      <c r="BT348" t="s">
        <v>1</v>
      </c>
      <c r="BU348" t="s">
        <v>1</v>
      </c>
      <c r="BV348" t="s">
        <v>1</v>
      </c>
      <c r="BW348" t="s">
        <v>0</v>
      </c>
      <c r="BX348" t="s">
        <v>1</v>
      </c>
      <c r="BY348" t="s">
        <v>1</v>
      </c>
      <c r="BZ348" t="s">
        <v>1</v>
      </c>
      <c r="CA348" t="s">
        <v>1</v>
      </c>
      <c r="CB348" t="s">
        <v>1</v>
      </c>
      <c r="CD348" t="e" cm="1">
        <f t="array" aca="1" ref="CD348" ca="1">eConcatenar(A348:CB348,"|")</f>
        <v>#NAME?</v>
      </c>
    </row>
    <row r="349" spans="1:82" x14ac:dyDescent="0.25">
      <c r="A349" t="s">
        <v>444</v>
      </c>
      <c r="B349" t="s">
        <v>1457</v>
      </c>
      <c r="C349">
        <v>3</v>
      </c>
      <c r="D349" t="s">
        <v>2157</v>
      </c>
      <c r="E349" t="s">
        <v>2158</v>
      </c>
      <c r="F349" t="s">
        <v>2164</v>
      </c>
      <c r="G349" t="s">
        <v>2367</v>
      </c>
      <c r="H349" t="s">
        <v>2706</v>
      </c>
      <c r="I349">
        <v>12900</v>
      </c>
      <c r="J349">
        <v>0</v>
      </c>
      <c r="K349">
        <v>100</v>
      </c>
      <c r="L349">
        <v>50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 t="s">
        <v>3143</v>
      </c>
      <c r="AC349" t="s">
        <v>3588</v>
      </c>
      <c r="AD349" t="s">
        <v>3589</v>
      </c>
      <c r="AE349" t="s">
        <v>4</v>
      </c>
      <c r="AF349" t="s">
        <v>1</v>
      </c>
      <c r="AG349" t="s">
        <v>1</v>
      </c>
      <c r="AH349" t="s">
        <v>4355</v>
      </c>
      <c r="AI349" t="s">
        <v>2367</v>
      </c>
      <c r="AJ349" t="s">
        <v>1</v>
      </c>
      <c r="AK349" t="s">
        <v>1</v>
      </c>
      <c r="AL349" t="s">
        <v>1</v>
      </c>
      <c r="AM349" t="s">
        <v>1</v>
      </c>
      <c r="AN349" t="s">
        <v>1</v>
      </c>
      <c r="AO349" t="s">
        <v>4355</v>
      </c>
      <c r="AP349" t="s">
        <v>1</v>
      </c>
      <c r="AQ349" t="s">
        <v>2</v>
      </c>
      <c r="AR349" t="s">
        <v>1</v>
      </c>
      <c r="AS349" t="s">
        <v>1</v>
      </c>
      <c r="AT349" t="s">
        <v>1</v>
      </c>
      <c r="AU349" t="s">
        <v>1</v>
      </c>
      <c r="AV349" t="s">
        <v>1</v>
      </c>
      <c r="AW349" t="s">
        <v>9</v>
      </c>
      <c r="AX349">
        <f>Tabla1[[#This Row],[precio del paquete]]-Tabla1[[#This Row],[Saldo_Deudor]]</f>
        <v>9300</v>
      </c>
      <c r="AY349">
        <v>3600</v>
      </c>
      <c r="AZ349">
        <v>0</v>
      </c>
      <c r="BA349">
        <v>0</v>
      </c>
      <c r="BB349">
        <v>0</v>
      </c>
      <c r="BC349" t="s">
        <v>2711</v>
      </c>
      <c r="BD349" t="s">
        <v>2712</v>
      </c>
      <c r="BE349" t="s">
        <v>3</v>
      </c>
      <c r="BF349" t="s">
        <v>3</v>
      </c>
      <c r="BG349" t="s">
        <v>3</v>
      </c>
      <c r="BH349" t="s">
        <v>3</v>
      </c>
      <c r="BI349" t="s">
        <v>3</v>
      </c>
      <c r="BJ349" t="s">
        <v>4998</v>
      </c>
      <c r="BK349" t="s">
        <v>3</v>
      </c>
      <c r="BL349" t="s">
        <v>96</v>
      </c>
      <c r="BM349" t="s">
        <v>1</v>
      </c>
      <c r="BN349">
        <v>12900</v>
      </c>
      <c r="BO349" t="s">
        <v>1</v>
      </c>
      <c r="BP349" t="s">
        <v>1</v>
      </c>
      <c r="BQ349" t="s">
        <v>1</v>
      </c>
      <c r="BR349" t="s">
        <v>1</v>
      </c>
      <c r="BS349" t="s">
        <v>1</v>
      </c>
      <c r="BT349" t="s">
        <v>1</v>
      </c>
      <c r="BU349" t="s">
        <v>1</v>
      </c>
      <c r="BV349" t="s">
        <v>1</v>
      </c>
      <c r="BW349" t="s">
        <v>0</v>
      </c>
      <c r="BX349" t="s">
        <v>1</v>
      </c>
      <c r="BY349" t="s">
        <v>1</v>
      </c>
      <c r="BZ349" t="s">
        <v>1</v>
      </c>
      <c r="CA349" t="s">
        <v>1</v>
      </c>
      <c r="CB349" t="s">
        <v>1</v>
      </c>
      <c r="CD349" t="e" cm="1">
        <f t="array" aca="1" ref="CD349" ca="1">eConcatenar(A349:CB349,"|")</f>
        <v>#NAME?</v>
      </c>
    </row>
    <row r="350" spans="1:82" x14ac:dyDescent="0.25">
      <c r="A350" t="s">
        <v>445</v>
      </c>
      <c r="B350" t="s">
        <v>1458</v>
      </c>
      <c r="C350">
        <v>3</v>
      </c>
      <c r="D350" t="s">
        <v>2157</v>
      </c>
      <c r="E350" t="s">
        <v>2158</v>
      </c>
      <c r="F350" t="s">
        <v>2164</v>
      </c>
      <c r="G350" t="s">
        <v>2368</v>
      </c>
      <c r="H350" t="s">
        <v>2822</v>
      </c>
      <c r="I350">
        <v>12900</v>
      </c>
      <c r="J350">
        <v>0</v>
      </c>
      <c r="K350">
        <v>200</v>
      </c>
      <c r="L350">
        <v>50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 t="s">
        <v>3590</v>
      </c>
      <c r="AC350" t="s">
        <v>3420</v>
      </c>
      <c r="AD350" t="s">
        <v>3126</v>
      </c>
      <c r="AE350" t="s">
        <v>4</v>
      </c>
      <c r="AF350" t="s">
        <v>1</v>
      </c>
      <c r="AG350" t="s">
        <v>1</v>
      </c>
      <c r="AH350" t="s">
        <v>4356</v>
      </c>
      <c r="AI350" t="s">
        <v>2368</v>
      </c>
      <c r="AJ350" t="s">
        <v>1</v>
      </c>
      <c r="AK350">
        <v>9131063420</v>
      </c>
      <c r="AL350" t="s">
        <v>1</v>
      </c>
      <c r="AM350" t="s">
        <v>1</v>
      </c>
      <c r="AN350" t="s">
        <v>1</v>
      </c>
      <c r="AO350" t="s">
        <v>4356</v>
      </c>
      <c r="AP350" t="s">
        <v>1</v>
      </c>
      <c r="AQ350" t="s">
        <v>2</v>
      </c>
      <c r="AR350" t="s">
        <v>1</v>
      </c>
      <c r="AS350" t="s">
        <v>1</v>
      </c>
      <c r="AT350" t="s">
        <v>1</v>
      </c>
      <c r="AU350" t="s">
        <v>1</v>
      </c>
      <c r="AV350" t="s">
        <v>1</v>
      </c>
      <c r="AW350" t="s">
        <v>9</v>
      </c>
      <c r="AX350">
        <f>Tabla1[[#This Row],[precio del paquete]]-Tabla1[[#This Row],[Saldo_Deudor]]</f>
        <v>10300</v>
      </c>
      <c r="AY350">
        <v>2600</v>
      </c>
      <c r="AZ350">
        <v>0</v>
      </c>
      <c r="BA350">
        <v>0</v>
      </c>
      <c r="BB350">
        <v>0</v>
      </c>
      <c r="BC350" t="s">
        <v>3061</v>
      </c>
      <c r="BD350" t="s">
        <v>3040</v>
      </c>
      <c r="BE350" t="s">
        <v>3</v>
      </c>
      <c r="BF350" t="s">
        <v>3</v>
      </c>
      <c r="BG350" t="s">
        <v>3</v>
      </c>
      <c r="BH350" t="s">
        <v>3</v>
      </c>
      <c r="BI350" t="s">
        <v>3</v>
      </c>
      <c r="BJ350" t="s">
        <v>4998</v>
      </c>
      <c r="BK350" t="s">
        <v>3</v>
      </c>
      <c r="BL350" t="s">
        <v>96</v>
      </c>
      <c r="BM350" t="s">
        <v>1</v>
      </c>
      <c r="BN350">
        <v>12900</v>
      </c>
      <c r="BO350" t="s">
        <v>1</v>
      </c>
      <c r="BP350" t="s">
        <v>1</v>
      </c>
      <c r="BQ350" t="s">
        <v>1</v>
      </c>
      <c r="BR350" t="s">
        <v>1</v>
      </c>
      <c r="BS350" t="s">
        <v>1</v>
      </c>
      <c r="BT350" t="s">
        <v>1</v>
      </c>
      <c r="BU350" t="s">
        <v>1</v>
      </c>
      <c r="BV350" t="s">
        <v>1</v>
      </c>
      <c r="BW350" t="s">
        <v>0</v>
      </c>
      <c r="BX350" t="s">
        <v>1</v>
      </c>
      <c r="BY350" t="s">
        <v>1</v>
      </c>
      <c r="BZ350" t="s">
        <v>1</v>
      </c>
      <c r="CA350" t="s">
        <v>1</v>
      </c>
      <c r="CB350" t="s">
        <v>1</v>
      </c>
      <c r="CD350" t="e" cm="1">
        <f t="array" aca="1" ref="CD350" ca="1">eConcatenar(A350:CB350,"|")</f>
        <v>#NAME?</v>
      </c>
    </row>
    <row r="351" spans="1:82" x14ac:dyDescent="0.25">
      <c r="A351" t="s">
        <v>446</v>
      </c>
      <c r="B351" t="s">
        <v>1459</v>
      </c>
      <c r="C351">
        <v>3</v>
      </c>
      <c r="D351" t="s">
        <v>2153</v>
      </c>
      <c r="E351" t="s">
        <v>2158</v>
      </c>
      <c r="F351" t="s">
        <v>0</v>
      </c>
      <c r="G351" t="s">
        <v>2369</v>
      </c>
      <c r="H351" t="s">
        <v>2828</v>
      </c>
      <c r="I351">
        <v>14800</v>
      </c>
      <c r="J351">
        <v>0</v>
      </c>
      <c r="K351">
        <v>100</v>
      </c>
      <c r="L351">
        <v>50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 t="s">
        <v>5</v>
      </c>
      <c r="AC351" t="s">
        <v>3114</v>
      </c>
      <c r="AD351" t="s">
        <v>3591</v>
      </c>
      <c r="AE351" t="s">
        <v>4</v>
      </c>
      <c r="AF351" t="s">
        <v>1</v>
      </c>
      <c r="AG351" t="s">
        <v>1</v>
      </c>
      <c r="AH351" t="s">
        <v>4357</v>
      </c>
      <c r="AI351" t="s">
        <v>2369</v>
      </c>
      <c r="AJ351" t="s">
        <v>1</v>
      </c>
      <c r="AK351">
        <v>9371701248</v>
      </c>
      <c r="AL351" t="s">
        <v>1</v>
      </c>
      <c r="AM351" t="s">
        <v>1</v>
      </c>
      <c r="AN351" t="s">
        <v>1</v>
      </c>
      <c r="AO351" t="s">
        <v>4357</v>
      </c>
      <c r="AP351" t="s">
        <v>1</v>
      </c>
      <c r="AQ351" t="s">
        <v>2</v>
      </c>
      <c r="AR351" t="s">
        <v>1</v>
      </c>
      <c r="AS351" t="s">
        <v>1</v>
      </c>
      <c r="AT351" t="s">
        <v>1</v>
      </c>
      <c r="AU351" t="s">
        <v>1</v>
      </c>
      <c r="AV351" t="s">
        <v>1</v>
      </c>
      <c r="AW351" t="s">
        <v>9</v>
      </c>
      <c r="AX351">
        <f>Tabla1[[#This Row],[precio del paquete]]-Tabla1[[#This Row],[Saldo_Deudor]]</f>
        <v>1500</v>
      </c>
      <c r="AY351">
        <v>13300</v>
      </c>
      <c r="AZ351">
        <v>0</v>
      </c>
      <c r="BA351">
        <v>0</v>
      </c>
      <c r="BB351">
        <v>0</v>
      </c>
      <c r="BC351" t="s">
        <v>2906</v>
      </c>
      <c r="BD351" t="s">
        <v>4898</v>
      </c>
      <c r="BE351" t="s">
        <v>3</v>
      </c>
      <c r="BF351" t="s">
        <v>3</v>
      </c>
      <c r="BG351" t="s">
        <v>3</v>
      </c>
      <c r="BH351" t="s">
        <v>3</v>
      </c>
      <c r="BI351" t="s">
        <v>3</v>
      </c>
      <c r="BJ351" t="s">
        <v>4998</v>
      </c>
      <c r="BK351" t="s">
        <v>3</v>
      </c>
      <c r="BL351" t="s">
        <v>96</v>
      </c>
      <c r="BM351" t="s">
        <v>1</v>
      </c>
      <c r="BN351">
        <v>14800</v>
      </c>
      <c r="BO351" t="s">
        <v>1</v>
      </c>
      <c r="BP351" t="s">
        <v>1</v>
      </c>
      <c r="BQ351" t="s">
        <v>1</v>
      </c>
      <c r="BR351" t="s">
        <v>1</v>
      </c>
      <c r="BS351" t="s">
        <v>1</v>
      </c>
      <c r="BT351" t="s">
        <v>1</v>
      </c>
      <c r="BU351" t="s">
        <v>1</v>
      </c>
      <c r="BV351" t="s">
        <v>1</v>
      </c>
      <c r="BW351" t="s">
        <v>0</v>
      </c>
      <c r="BX351" t="s">
        <v>1</v>
      </c>
      <c r="BY351" t="s">
        <v>1</v>
      </c>
      <c r="BZ351" t="s">
        <v>1</v>
      </c>
      <c r="CA351" t="s">
        <v>1</v>
      </c>
      <c r="CB351" t="s">
        <v>1</v>
      </c>
      <c r="CD351" t="e" cm="1">
        <f t="array" aca="1" ref="CD351" ca="1">eConcatenar(A351:CB351,"|")</f>
        <v>#NAME?</v>
      </c>
    </row>
    <row r="352" spans="1:82" x14ac:dyDescent="0.25">
      <c r="A352" t="s">
        <v>447</v>
      </c>
      <c r="B352" t="s">
        <v>1460</v>
      </c>
      <c r="C352">
        <v>3</v>
      </c>
      <c r="D352" t="s">
        <v>2153</v>
      </c>
      <c r="E352" t="s">
        <v>10</v>
      </c>
      <c r="F352" t="s">
        <v>2161</v>
      </c>
      <c r="G352" t="s">
        <v>2370</v>
      </c>
      <c r="H352" t="s">
        <v>2796</v>
      </c>
      <c r="I352">
        <v>14800</v>
      </c>
      <c r="J352">
        <v>0</v>
      </c>
      <c r="K352">
        <v>100</v>
      </c>
      <c r="L352">
        <v>50</v>
      </c>
      <c r="M352">
        <v>1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 t="s">
        <v>3236</v>
      </c>
      <c r="AC352" t="s">
        <v>6</v>
      </c>
      <c r="AD352" t="s">
        <v>3592</v>
      </c>
      <c r="AE352" t="s">
        <v>4</v>
      </c>
      <c r="AF352" t="s">
        <v>1</v>
      </c>
      <c r="AG352" t="s">
        <v>1</v>
      </c>
      <c r="AH352" t="s">
        <v>4358</v>
      </c>
      <c r="AI352" t="s">
        <v>2370</v>
      </c>
      <c r="AJ352" t="s">
        <v>1</v>
      </c>
      <c r="AK352">
        <v>9141192030</v>
      </c>
      <c r="AL352" t="s">
        <v>1</v>
      </c>
      <c r="AM352" t="s">
        <v>1</v>
      </c>
      <c r="AN352" t="s">
        <v>1</v>
      </c>
      <c r="AO352" t="s">
        <v>4358</v>
      </c>
      <c r="AP352" t="s">
        <v>1</v>
      </c>
      <c r="AQ352" t="s">
        <v>2</v>
      </c>
      <c r="AR352" t="s">
        <v>1</v>
      </c>
      <c r="AS352" t="s">
        <v>1</v>
      </c>
      <c r="AT352" t="s">
        <v>1</v>
      </c>
      <c r="AU352" t="s">
        <v>1</v>
      </c>
      <c r="AV352" t="s">
        <v>1</v>
      </c>
      <c r="AW352" t="s">
        <v>9</v>
      </c>
      <c r="AX352">
        <f>Tabla1[[#This Row],[precio del paquete]]-Tabla1[[#This Row],[Saldo_Deudor]]</f>
        <v>100</v>
      </c>
      <c r="AY352">
        <v>14700</v>
      </c>
      <c r="AZ352">
        <v>0</v>
      </c>
      <c r="BA352">
        <v>0</v>
      </c>
      <c r="BB352">
        <v>0</v>
      </c>
      <c r="BC352" t="s">
        <v>2796</v>
      </c>
      <c r="BD352" t="s">
        <v>4941</v>
      </c>
      <c r="BE352" t="s">
        <v>3</v>
      </c>
      <c r="BF352" t="s">
        <v>3</v>
      </c>
      <c r="BG352" t="s">
        <v>3</v>
      </c>
      <c r="BH352" t="s">
        <v>3</v>
      </c>
      <c r="BI352" t="s">
        <v>3</v>
      </c>
      <c r="BJ352" t="s">
        <v>4982</v>
      </c>
      <c r="BK352" t="s">
        <v>3</v>
      </c>
      <c r="BL352" t="s">
        <v>96</v>
      </c>
      <c r="BM352" t="s">
        <v>1</v>
      </c>
      <c r="BN352">
        <v>14800</v>
      </c>
      <c r="BO352" t="s">
        <v>1</v>
      </c>
      <c r="BP352" t="s">
        <v>1</v>
      </c>
      <c r="BQ352" t="s">
        <v>1</v>
      </c>
      <c r="BR352" t="s">
        <v>1</v>
      </c>
      <c r="BS352" t="s">
        <v>1</v>
      </c>
      <c r="BT352" t="s">
        <v>1</v>
      </c>
      <c r="BU352" t="s">
        <v>1</v>
      </c>
      <c r="BV352" t="s">
        <v>1</v>
      </c>
      <c r="BW352" t="s">
        <v>0</v>
      </c>
      <c r="BX352" t="s">
        <v>1</v>
      </c>
      <c r="BY352" t="s">
        <v>1</v>
      </c>
      <c r="BZ352" t="s">
        <v>1</v>
      </c>
      <c r="CA352" t="s">
        <v>1</v>
      </c>
      <c r="CB352" t="s">
        <v>1</v>
      </c>
      <c r="CD352" t="e" cm="1">
        <f t="array" aca="1" ref="CD352" ca="1">eConcatenar(A352:CB352,"|")</f>
        <v>#NAME?</v>
      </c>
    </row>
    <row r="353" spans="1:82" x14ac:dyDescent="0.25">
      <c r="A353" t="s">
        <v>448</v>
      </c>
      <c r="B353" t="s">
        <v>1461</v>
      </c>
      <c r="C353">
        <v>3</v>
      </c>
      <c r="D353" t="s">
        <v>2153</v>
      </c>
      <c r="E353" t="s">
        <v>2158</v>
      </c>
      <c r="F353" t="s">
        <v>2159</v>
      </c>
      <c r="G353" t="s">
        <v>2371</v>
      </c>
      <c r="H353" t="s">
        <v>2730</v>
      </c>
      <c r="I353">
        <v>14800</v>
      </c>
      <c r="J353">
        <v>0</v>
      </c>
      <c r="K353">
        <v>200</v>
      </c>
      <c r="L353">
        <v>50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 t="s">
        <v>3593</v>
      </c>
      <c r="AC353" t="s">
        <v>3357</v>
      </c>
      <c r="AD353" t="s">
        <v>3594</v>
      </c>
      <c r="AE353" t="s">
        <v>4</v>
      </c>
      <c r="AF353" t="s">
        <v>1</v>
      </c>
      <c r="AG353" t="s">
        <v>1</v>
      </c>
      <c r="AH353" t="s">
        <v>2371</v>
      </c>
      <c r="AI353" t="s">
        <v>2371</v>
      </c>
      <c r="AJ353" t="s">
        <v>1</v>
      </c>
      <c r="AK353">
        <v>9331525089</v>
      </c>
      <c r="AL353" t="s">
        <v>1</v>
      </c>
      <c r="AM353" t="s">
        <v>1</v>
      </c>
      <c r="AN353" t="s">
        <v>1</v>
      </c>
      <c r="AO353" t="s">
        <v>2371</v>
      </c>
      <c r="AP353" t="s">
        <v>1</v>
      </c>
      <c r="AQ353" t="s">
        <v>2</v>
      </c>
      <c r="AR353" t="s">
        <v>1</v>
      </c>
      <c r="AS353" t="s">
        <v>1</v>
      </c>
      <c r="AT353" t="s">
        <v>1</v>
      </c>
      <c r="AU353" t="s">
        <v>1</v>
      </c>
      <c r="AV353" t="s">
        <v>1</v>
      </c>
      <c r="AW353" t="s">
        <v>9</v>
      </c>
      <c r="AX353">
        <f>Tabla1[[#This Row],[precio del paquete]]-Tabla1[[#This Row],[Saldo_Deudor]]</f>
        <v>1200</v>
      </c>
      <c r="AY353">
        <v>13600</v>
      </c>
      <c r="AZ353">
        <v>0</v>
      </c>
      <c r="BA353">
        <v>0</v>
      </c>
      <c r="BB353">
        <v>0</v>
      </c>
      <c r="BC353" t="s">
        <v>4826</v>
      </c>
      <c r="BD353" t="s">
        <v>2706</v>
      </c>
      <c r="BE353" t="s">
        <v>3</v>
      </c>
      <c r="BF353" t="s">
        <v>3</v>
      </c>
      <c r="BG353" t="s">
        <v>3</v>
      </c>
      <c r="BH353" t="s">
        <v>3</v>
      </c>
      <c r="BI353" t="s">
        <v>3</v>
      </c>
      <c r="BJ353" t="s">
        <v>4992</v>
      </c>
      <c r="BK353" t="s">
        <v>3</v>
      </c>
      <c r="BL353" t="s">
        <v>96</v>
      </c>
      <c r="BM353" t="s">
        <v>1</v>
      </c>
      <c r="BN353">
        <v>14800</v>
      </c>
      <c r="BO353" t="s">
        <v>1</v>
      </c>
      <c r="BP353" t="s">
        <v>1</v>
      </c>
      <c r="BQ353" t="s">
        <v>1</v>
      </c>
      <c r="BR353" t="s">
        <v>1</v>
      </c>
      <c r="BS353" t="s">
        <v>1</v>
      </c>
      <c r="BT353" t="s">
        <v>1</v>
      </c>
      <c r="BU353" t="s">
        <v>1</v>
      </c>
      <c r="BV353" t="s">
        <v>1</v>
      </c>
      <c r="BW353" t="s">
        <v>0</v>
      </c>
      <c r="BX353" t="s">
        <v>1</v>
      </c>
      <c r="BY353" t="s">
        <v>1</v>
      </c>
      <c r="BZ353" t="s">
        <v>1</v>
      </c>
      <c r="CA353" t="s">
        <v>1</v>
      </c>
      <c r="CB353" t="s">
        <v>1</v>
      </c>
      <c r="CD353" t="e" cm="1">
        <f t="array" aca="1" ref="CD353" ca="1">eConcatenar(A353:CB353,"|")</f>
        <v>#NAME?</v>
      </c>
    </row>
    <row r="354" spans="1:82" x14ac:dyDescent="0.25">
      <c r="A354" t="s">
        <v>449</v>
      </c>
      <c r="B354" t="s">
        <v>1462</v>
      </c>
      <c r="C354">
        <v>3</v>
      </c>
      <c r="D354" t="s">
        <v>2153</v>
      </c>
      <c r="E354" t="s">
        <v>2158</v>
      </c>
      <c r="F354" t="s">
        <v>2159</v>
      </c>
      <c r="G354" t="s">
        <v>2372</v>
      </c>
      <c r="H354" t="s">
        <v>2871</v>
      </c>
      <c r="I354">
        <v>14800</v>
      </c>
      <c r="J354">
        <v>0</v>
      </c>
      <c r="K354">
        <v>100</v>
      </c>
      <c r="L354">
        <v>50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 t="s">
        <v>3322</v>
      </c>
      <c r="AC354" t="s">
        <v>3115</v>
      </c>
      <c r="AD354" t="s">
        <v>3595</v>
      </c>
      <c r="AE354" t="s">
        <v>4</v>
      </c>
      <c r="AF354" t="s">
        <v>1</v>
      </c>
      <c r="AG354" t="s">
        <v>1</v>
      </c>
      <c r="AH354" t="s">
        <v>2405</v>
      </c>
      <c r="AI354" t="s">
        <v>2372</v>
      </c>
      <c r="AJ354" t="s">
        <v>1</v>
      </c>
      <c r="AK354">
        <v>9331078883</v>
      </c>
      <c r="AL354" t="s">
        <v>1</v>
      </c>
      <c r="AM354" t="s">
        <v>1</v>
      </c>
      <c r="AN354" t="s">
        <v>1</v>
      </c>
      <c r="AO354" t="s">
        <v>2405</v>
      </c>
      <c r="AP354" t="s">
        <v>1</v>
      </c>
      <c r="AQ354" t="s">
        <v>2</v>
      </c>
      <c r="AR354" t="s">
        <v>1</v>
      </c>
      <c r="AS354" t="s">
        <v>1</v>
      </c>
      <c r="AT354" t="s">
        <v>1</v>
      </c>
      <c r="AU354" t="s">
        <v>1</v>
      </c>
      <c r="AV354" t="s">
        <v>1</v>
      </c>
      <c r="AW354" t="s">
        <v>9</v>
      </c>
      <c r="AX354">
        <f>Tabla1[[#This Row],[precio del paquete]]-Tabla1[[#This Row],[Saldo_Deudor]]</f>
        <v>200</v>
      </c>
      <c r="AY354">
        <v>14600</v>
      </c>
      <c r="AZ354">
        <v>0</v>
      </c>
      <c r="BA354">
        <v>0</v>
      </c>
      <c r="BB354">
        <v>0</v>
      </c>
      <c r="BC354" t="s">
        <v>2928</v>
      </c>
      <c r="BD354" t="s">
        <v>2711</v>
      </c>
      <c r="BE354" t="s">
        <v>3</v>
      </c>
      <c r="BF354" t="s">
        <v>3</v>
      </c>
      <c r="BG354" t="s">
        <v>3</v>
      </c>
      <c r="BH354" t="s">
        <v>3</v>
      </c>
      <c r="BI354" t="s">
        <v>3</v>
      </c>
      <c r="BJ354" t="s">
        <v>4993</v>
      </c>
      <c r="BK354" t="s">
        <v>3</v>
      </c>
      <c r="BL354" t="s">
        <v>96</v>
      </c>
      <c r="BM354" t="s">
        <v>1</v>
      </c>
      <c r="BN354">
        <v>14800</v>
      </c>
      <c r="BO354" t="s">
        <v>1</v>
      </c>
      <c r="BP354" t="s">
        <v>1</v>
      </c>
      <c r="BQ354" t="s">
        <v>1</v>
      </c>
      <c r="BR354" t="s">
        <v>1</v>
      </c>
      <c r="BS354" t="s">
        <v>1</v>
      </c>
      <c r="BT354" t="s">
        <v>1</v>
      </c>
      <c r="BU354" t="s">
        <v>1</v>
      </c>
      <c r="BV354" t="s">
        <v>1</v>
      </c>
      <c r="BW354" t="s">
        <v>0</v>
      </c>
      <c r="BX354" t="s">
        <v>1</v>
      </c>
      <c r="BY354" t="s">
        <v>1</v>
      </c>
      <c r="BZ354" t="s">
        <v>1</v>
      </c>
      <c r="CA354" t="s">
        <v>1</v>
      </c>
      <c r="CB354" t="s">
        <v>1</v>
      </c>
      <c r="CD354" t="e" cm="1">
        <f t="array" aca="1" ref="CD354" ca="1">eConcatenar(A354:CB354,"|")</f>
        <v>#NAME?</v>
      </c>
    </row>
    <row r="355" spans="1:82" x14ac:dyDescent="0.25">
      <c r="A355" t="s">
        <v>450</v>
      </c>
      <c r="B355" t="s">
        <v>1463</v>
      </c>
      <c r="C355">
        <v>3</v>
      </c>
      <c r="D355" t="s">
        <v>2153</v>
      </c>
      <c r="E355" t="s">
        <v>10</v>
      </c>
      <c r="F355" t="s">
        <v>2161</v>
      </c>
      <c r="G355" t="s">
        <v>2373</v>
      </c>
      <c r="H355" t="s">
        <v>2785</v>
      </c>
      <c r="I355">
        <v>14800</v>
      </c>
      <c r="J355">
        <v>0</v>
      </c>
      <c r="K355">
        <v>100</v>
      </c>
      <c r="L355">
        <v>50</v>
      </c>
      <c r="M355">
        <v>1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 t="s">
        <v>3127</v>
      </c>
      <c r="AC355" t="s">
        <v>3119</v>
      </c>
      <c r="AD355" t="s">
        <v>3596</v>
      </c>
      <c r="AE355" t="s">
        <v>4</v>
      </c>
      <c r="AF355" t="s">
        <v>1</v>
      </c>
      <c r="AG355" t="s">
        <v>1</v>
      </c>
      <c r="AH355" t="s">
        <v>4359</v>
      </c>
      <c r="AI355" t="s">
        <v>2373</v>
      </c>
      <c r="AJ355" t="s">
        <v>1</v>
      </c>
      <c r="AK355">
        <v>9141247076</v>
      </c>
      <c r="AL355" t="s">
        <v>1</v>
      </c>
      <c r="AM355" t="s">
        <v>1</v>
      </c>
      <c r="AN355" t="s">
        <v>1</v>
      </c>
      <c r="AO355" t="s">
        <v>4359</v>
      </c>
      <c r="AP355" t="s">
        <v>1</v>
      </c>
      <c r="AQ355" t="s">
        <v>2</v>
      </c>
      <c r="AR355" t="s">
        <v>1</v>
      </c>
      <c r="AS355" t="s">
        <v>1</v>
      </c>
      <c r="AT355" t="s">
        <v>1</v>
      </c>
      <c r="AU355" t="s">
        <v>1</v>
      </c>
      <c r="AV355" t="s">
        <v>1</v>
      </c>
      <c r="AW355" t="s">
        <v>9</v>
      </c>
      <c r="AX355">
        <f>Tabla1[[#This Row],[precio del paquete]]-Tabla1[[#This Row],[Saldo_Deudor]]</f>
        <v>700</v>
      </c>
      <c r="AY355">
        <v>14100</v>
      </c>
      <c r="AZ355">
        <v>0</v>
      </c>
      <c r="BA355">
        <v>0</v>
      </c>
      <c r="BB355">
        <v>0</v>
      </c>
      <c r="BC355" t="s">
        <v>2778</v>
      </c>
      <c r="BD355" t="s">
        <v>2849</v>
      </c>
      <c r="BE355" t="s">
        <v>3</v>
      </c>
      <c r="BF355" t="s">
        <v>3</v>
      </c>
      <c r="BG355" t="s">
        <v>3</v>
      </c>
      <c r="BH355" t="s">
        <v>3</v>
      </c>
      <c r="BI355" t="s">
        <v>3</v>
      </c>
      <c r="BJ355" t="s">
        <v>4984</v>
      </c>
      <c r="BK355" t="s">
        <v>3</v>
      </c>
      <c r="BL355" t="s">
        <v>96</v>
      </c>
      <c r="BM355" t="s">
        <v>1</v>
      </c>
      <c r="BN355">
        <v>14800</v>
      </c>
      <c r="BO355" t="s">
        <v>1</v>
      </c>
      <c r="BP355" t="s">
        <v>1</v>
      </c>
      <c r="BQ355" t="s">
        <v>1</v>
      </c>
      <c r="BR355" t="s">
        <v>1</v>
      </c>
      <c r="BS355" t="s">
        <v>1</v>
      </c>
      <c r="BT355" t="s">
        <v>1</v>
      </c>
      <c r="BU355" t="s">
        <v>1</v>
      </c>
      <c r="BV355" t="s">
        <v>1</v>
      </c>
      <c r="BW355" t="s">
        <v>0</v>
      </c>
      <c r="BX355" t="s">
        <v>1</v>
      </c>
      <c r="BY355" t="s">
        <v>1</v>
      </c>
      <c r="BZ355" t="s">
        <v>1</v>
      </c>
      <c r="CA355" t="s">
        <v>1</v>
      </c>
      <c r="CB355" t="s">
        <v>1</v>
      </c>
      <c r="CD355" t="e" cm="1">
        <f t="array" aca="1" ref="CD355" ca="1">eConcatenar(A355:CB355,"|")</f>
        <v>#NAME?</v>
      </c>
    </row>
    <row r="356" spans="1:82" x14ac:dyDescent="0.25">
      <c r="A356" t="s">
        <v>451</v>
      </c>
      <c r="B356" t="s">
        <v>1464</v>
      </c>
      <c r="C356">
        <v>3</v>
      </c>
      <c r="D356" t="s">
        <v>2153</v>
      </c>
      <c r="E356" t="s">
        <v>10</v>
      </c>
      <c r="F356" t="s">
        <v>2161</v>
      </c>
      <c r="G356" t="s">
        <v>2373</v>
      </c>
      <c r="H356" t="s">
        <v>2800</v>
      </c>
      <c r="I356">
        <v>14800</v>
      </c>
      <c r="J356">
        <v>0</v>
      </c>
      <c r="K356">
        <v>500</v>
      </c>
      <c r="L356">
        <v>50</v>
      </c>
      <c r="M356">
        <v>1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 t="s">
        <v>3597</v>
      </c>
      <c r="AC356" t="s">
        <v>3523</v>
      </c>
      <c r="AD356" t="s">
        <v>3138</v>
      </c>
      <c r="AE356" t="s">
        <v>4</v>
      </c>
      <c r="AF356" t="s">
        <v>1</v>
      </c>
      <c r="AG356" t="s">
        <v>1</v>
      </c>
      <c r="AH356" t="s">
        <v>4360</v>
      </c>
      <c r="AI356" t="s">
        <v>2373</v>
      </c>
      <c r="AJ356" t="s">
        <v>1</v>
      </c>
      <c r="AK356">
        <v>9141137448</v>
      </c>
      <c r="AL356" t="s">
        <v>1</v>
      </c>
      <c r="AM356" t="s">
        <v>1</v>
      </c>
      <c r="AN356" t="s">
        <v>1</v>
      </c>
      <c r="AO356" t="s">
        <v>4360</v>
      </c>
      <c r="AP356" t="s">
        <v>1</v>
      </c>
      <c r="AQ356" t="s">
        <v>2</v>
      </c>
      <c r="AR356" t="s">
        <v>1</v>
      </c>
      <c r="AS356" t="s">
        <v>1</v>
      </c>
      <c r="AT356" t="s">
        <v>1</v>
      </c>
      <c r="AU356" t="s">
        <v>1</v>
      </c>
      <c r="AV356" t="s">
        <v>1</v>
      </c>
      <c r="AW356" t="s">
        <v>9</v>
      </c>
      <c r="AX356">
        <f>Tabla1[[#This Row],[precio del paquete]]-Tabla1[[#This Row],[Saldo_Deudor]]</f>
        <v>500</v>
      </c>
      <c r="AY356">
        <v>14300</v>
      </c>
      <c r="AZ356">
        <v>0</v>
      </c>
      <c r="BA356">
        <v>0</v>
      </c>
      <c r="BB356">
        <v>0</v>
      </c>
      <c r="BC356" t="s">
        <v>4853</v>
      </c>
      <c r="BD356" t="s">
        <v>4942</v>
      </c>
      <c r="BE356" t="s">
        <v>3</v>
      </c>
      <c r="BF356" t="s">
        <v>3</v>
      </c>
      <c r="BG356" t="s">
        <v>3</v>
      </c>
      <c r="BH356" t="s">
        <v>3</v>
      </c>
      <c r="BI356" t="s">
        <v>3</v>
      </c>
      <c r="BJ356" t="s">
        <v>4986</v>
      </c>
      <c r="BK356" t="s">
        <v>3</v>
      </c>
      <c r="BL356" t="s">
        <v>96</v>
      </c>
      <c r="BM356" t="s">
        <v>1</v>
      </c>
      <c r="BN356">
        <v>14800</v>
      </c>
      <c r="BO356" t="s">
        <v>1</v>
      </c>
      <c r="BP356" t="s">
        <v>1</v>
      </c>
      <c r="BQ356" t="s">
        <v>1</v>
      </c>
      <c r="BR356" t="s">
        <v>1</v>
      </c>
      <c r="BS356" t="s">
        <v>1</v>
      </c>
      <c r="BT356" t="s">
        <v>1</v>
      </c>
      <c r="BU356" t="s">
        <v>1</v>
      </c>
      <c r="BV356" t="s">
        <v>1</v>
      </c>
      <c r="BW356" t="s">
        <v>0</v>
      </c>
      <c r="BX356" t="s">
        <v>1</v>
      </c>
      <c r="BY356" t="s">
        <v>1</v>
      </c>
      <c r="BZ356" t="s">
        <v>1</v>
      </c>
      <c r="CA356" t="s">
        <v>1</v>
      </c>
      <c r="CB356" t="s">
        <v>1</v>
      </c>
      <c r="CD356" t="e" cm="1">
        <f t="array" aca="1" ref="CD356" ca="1">eConcatenar(A356:CB356,"|")</f>
        <v>#NAME?</v>
      </c>
    </row>
    <row r="357" spans="1:82" x14ac:dyDescent="0.25">
      <c r="A357" t="s">
        <v>452</v>
      </c>
      <c r="B357" t="s">
        <v>1465</v>
      </c>
      <c r="C357">
        <v>3</v>
      </c>
      <c r="D357" t="s">
        <v>2155</v>
      </c>
      <c r="E357" t="s">
        <v>2158</v>
      </c>
      <c r="F357" t="s">
        <v>2162</v>
      </c>
      <c r="G357" t="s">
        <v>2374</v>
      </c>
      <c r="H357" t="s">
        <v>2879</v>
      </c>
      <c r="I357">
        <v>12900</v>
      </c>
      <c r="J357">
        <v>0</v>
      </c>
      <c r="K357">
        <v>200</v>
      </c>
      <c r="L357">
        <v>50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 t="s">
        <v>3132</v>
      </c>
      <c r="AC357" t="s">
        <v>3290</v>
      </c>
      <c r="AD357" t="s">
        <v>3285</v>
      </c>
      <c r="AE357" t="s">
        <v>4</v>
      </c>
      <c r="AF357" t="s">
        <v>1</v>
      </c>
      <c r="AG357" t="s">
        <v>1</v>
      </c>
      <c r="AH357" t="s">
        <v>2316</v>
      </c>
      <c r="AI357" t="s">
        <v>2374</v>
      </c>
      <c r="AJ357" t="s">
        <v>1</v>
      </c>
      <c r="AK357">
        <v>9334065558</v>
      </c>
      <c r="AL357" t="s">
        <v>1</v>
      </c>
      <c r="AM357" t="s">
        <v>1</v>
      </c>
      <c r="AN357" t="s">
        <v>1</v>
      </c>
      <c r="AO357" t="s">
        <v>2316</v>
      </c>
      <c r="AP357" t="s">
        <v>1</v>
      </c>
      <c r="AQ357" t="s">
        <v>2</v>
      </c>
      <c r="AR357" t="s">
        <v>1</v>
      </c>
      <c r="AS357" t="s">
        <v>1</v>
      </c>
      <c r="AT357" t="s">
        <v>1</v>
      </c>
      <c r="AU357" t="s">
        <v>1</v>
      </c>
      <c r="AV357" t="s">
        <v>1</v>
      </c>
      <c r="AW357" t="s">
        <v>9</v>
      </c>
      <c r="AX357">
        <f>Tabla1[[#This Row],[precio del paquete]]-Tabla1[[#This Row],[Saldo_Deudor]]</f>
        <v>1650</v>
      </c>
      <c r="AY357">
        <v>11250</v>
      </c>
      <c r="AZ357">
        <v>0</v>
      </c>
      <c r="BA357">
        <v>0</v>
      </c>
      <c r="BB357">
        <v>0</v>
      </c>
      <c r="BC357" t="s">
        <v>3038</v>
      </c>
      <c r="BD357" t="s">
        <v>2739</v>
      </c>
      <c r="BE357" t="s">
        <v>3</v>
      </c>
      <c r="BF357" t="s">
        <v>3</v>
      </c>
      <c r="BG357" t="s">
        <v>3</v>
      </c>
      <c r="BH357" t="s">
        <v>3</v>
      </c>
      <c r="BI357" t="s">
        <v>3</v>
      </c>
      <c r="BJ357" t="s">
        <v>4986</v>
      </c>
      <c r="BK357" t="s">
        <v>3</v>
      </c>
      <c r="BL357" t="s">
        <v>96</v>
      </c>
      <c r="BM357" t="s">
        <v>1</v>
      </c>
      <c r="BN357">
        <v>12900</v>
      </c>
      <c r="BO357" t="s">
        <v>1</v>
      </c>
      <c r="BP357" t="s">
        <v>1</v>
      </c>
      <c r="BQ357" t="s">
        <v>1</v>
      </c>
      <c r="BR357" t="s">
        <v>1</v>
      </c>
      <c r="BS357" t="s">
        <v>1</v>
      </c>
      <c r="BT357" t="s">
        <v>1</v>
      </c>
      <c r="BU357" t="s">
        <v>1</v>
      </c>
      <c r="BV357" t="s">
        <v>1</v>
      </c>
      <c r="BW357" t="s">
        <v>0</v>
      </c>
      <c r="BX357" t="s">
        <v>1</v>
      </c>
      <c r="BY357" t="s">
        <v>1</v>
      </c>
      <c r="BZ357" t="s">
        <v>1</v>
      </c>
      <c r="CA357" t="s">
        <v>1</v>
      </c>
      <c r="CB357" t="s">
        <v>1</v>
      </c>
      <c r="CD357" t="e" cm="1">
        <f t="array" aca="1" ref="CD357" ca="1">eConcatenar(A357:CB357,"|")</f>
        <v>#NAME?</v>
      </c>
    </row>
    <row r="358" spans="1:82" x14ac:dyDescent="0.25">
      <c r="A358" t="s">
        <v>453</v>
      </c>
      <c r="B358" t="s">
        <v>1466</v>
      </c>
      <c r="C358">
        <v>3</v>
      </c>
      <c r="D358" t="s">
        <v>2153</v>
      </c>
      <c r="E358" t="s">
        <v>2158</v>
      </c>
      <c r="F358" t="s">
        <v>2159</v>
      </c>
      <c r="G358" t="s">
        <v>2375</v>
      </c>
      <c r="H358" t="s">
        <v>2866</v>
      </c>
      <c r="I358">
        <v>14800</v>
      </c>
      <c r="J358">
        <v>0</v>
      </c>
      <c r="K358">
        <v>200</v>
      </c>
      <c r="L358">
        <v>50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 t="s">
        <v>5</v>
      </c>
      <c r="AC358" t="s">
        <v>3114</v>
      </c>
      <c r="AD358" t="s">
        <v>3598</v>
      </c>
      <c r="AE358" t="s">
        <v>4</v>
      </c>
      <c r="AF358" t="s">
        <v>1</v>
      </c>
      <c r="AG358" t="s">
        <v>1</v>
      </c>
      <c r="AH358" t="s">
        <v>4361</v>
      </c>
      <c r="AI358" t="s">
        <v>2375</v>
      </c>
      <c r="AJ358" t="s">
        <v>1</v>
      </c>
      <c r="AK358">
        <v>9331570862</v>
      </c>
      <c r="AL358" t="s">
        <v>1</v>
      </c>
      <c r="AM358" t="s">
        <v>1</v>
      </c>
      <c r="AN358" t="s">
        <v>1</v>
      </c>
      <c r="AO358" t="s">
        <v>4361</v>
      </c>
      <c r="AP358" t="s">
        <v>1</v>
      </c>
      <c r="AQ358" t="s">
        <v>2</v>
      </c>
      <c r="AR358" t="s">
        <v>1</v>
      </c>
      <c r="AS358" t="s">
        <v>1</v>
      </c>
      <c r="AT358" t="s">
        <v>1</v>
      </c>
      <c r="AU358" t="s">
        <v>1</v>
      </c>
      <c r="AV358" t="s">
        <v>1</v>
      </c>
      <c r="AW358" t="s">
        <v>9</v>
      </c>
      <c r="AX358">
        <f>Tabla1[[#This Row],[precio del paquete]]-Tabla1[[#This Row],[Saldo_Deudor]]</f>
        <v>700</v>
      </c>
      <c r="AY358">
        <v>14100</v>
      </c>
      <c r="AZ358">
        <v>0</v>
      </c>
      <c r="BA358">
        <v>0</v>
      </c>
      <c r="BB358">
        <v>0</v>
      </c>
      <c r="BC358" t="s">
        <v>4854</v>
      </c>
      <c r="BD358" t="s">
        <v>2839</v>
      </c>
      <c r="BE358" t="s">
        <v>3</v>
      </c>
      <c r="BF358" t="s">
        <v>3</v>
      </c>
      <c r="BG358" t="s">
        <v>3</v>
      </c>
      <c r="BH358" t="s">
        <v>3</v>
      </c>
      <c r="BI358" t="s">
        <v>3</v>
      </c>
      <c r="BJ358" t="s">
        <v>4990</v>
      </c>
      <c r="BK358" t="s">
        <v>3</v>
      </c>
      <c r="BL358" t="s">
        <v>96</v>
      </c>
      <c r="BM358" t="s">
        <v>1</v>
      </c>
      <c r="BN358">
        <v>14800</v>
      </c>
      <c r="BO358" t="s">
        <v>1</v>
      </c>
      <c r="BP358" t="s">
        <v>1</v>
      </c>
      <c r="BQ358" t="s">
        <v>1</v>
      </c>
      <c r="BR358" t="s">
        <v>1</v>
      </c>
      <c r="BS358" t="s">
        <v>1</v>
      </c>
      <c r="BT358" t="s">
        <v>1</v>
      </c>
      <c r="BU358" t="s">
        <v>1</v>
      </c>
      <c r="BV358" t="s">
        <v>1</v>
      </c>
      <c r="BW358" t="s">
        <v>0</v>
      </c>
      <c r="BX358" t="s">
        <v>1</v>
      </c>
      <c r="BY358" t="s">
        <v>1</v>
      </c>
      <c r="BZ358" t="s">
        <v>1</v>
      </c>
      <c r="CA358" t="s">
        <v>1</v>
      </c>
      <c r="CB358" t="s">
        <v>1</v>
      </c>
      <c r="CD358" t="e" cm="1">
        <f t="array" aca="1" ref="CD358" ca="1">eConcatenar(A358:CB358,"|")</f>
        <v>#NAME?</v>
      </c>
    </row>
    <row r="359" spans="1:82" x14ac:dyDescent="0.25">
      <c r="A359" t="s">
        <v>454</v>
      </c>
      <c r="B359" t="s">
        <v>1467</v>
      </c>
      <c r="C359">
        <v>3</v>
      </c>
      <c r="D359" t="s">
        <v>2153</v>
      </c>
      <c r="E359" t="s">
        <v>2158</v>
      </c>
      <c r="F359" t="s">
        <v>2162</v>
      </c>
      <c r="G359" t="s">
        <v>2376</v>
      </c>
      <c r="H359" t="s">
        <v>2739</v>
      </c>
      <c r="I359">
        <v>14800</v>
      </c>
      <c r="J359">
        <v>0</v>
      </c>
      <c r="K359">
        <v>100</v>
      </c>
      <c r="L359">
        <v>50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 t="s">
        <v>3310</v>
      </c>
      <c r="AC359" t="s">
        <v>3304</v>
      </c>
      <c r="AD359" t="s">
        <v>3599</v>
      </c>
      <c r="AE359" t="s">
        <v>4</v>
      </c>
      <c r="AF359" t="s">
        <v>1</v>
      </c>
      <c r="AG359" t="s">
        <v>1</v>
      </c>
      <c r="AH359" t="s">
        <v>2376</v>
      </c>
      <c r="AI359" t="s">
        <v>2376</v>
      </c>
      <c r="AJ359" t="s">
        <v>1</v>
      </c>
      <c r="AK359">
        <v>9141006872</v>
      </c>
      <c r="AL359" t="s">
        <v>1</v>
      </c>
      <c r="AM359" t="s">
        <v>1</v>
      </c>
      <c r="AN359" t="s">
        <v>1</v>
      </c>
      <c r="AO359" t="s">
        <v>2376</v>
      </c>
      <c r="AP359" t="s">
        <v>1</v>
      </c>
      <c r="AQ359" t="s">
        <v>2</v>
      </c>
      <c r="AR359" t="s">
        <v>1</v>
      </c>
      <c r="AS359" t="s">
        <v>1</v>
      </c>
      <c r="AT359" t="s">
        <v>1</v>
      </c>
      <c r="AU359" t="s">
        <v>1</v>
      </c>
      <c r="AV359" t="s">
        <v>1</v>
      </c>
      <c r="AW359" t="s">
        <v>9</v>
      </c>
      <c r="AX359">
        <f>Tabla1[[#This Row],[precio del paquete]]-Tabla1[[#This Row],[Saldo_Deudor]]</f>
        <v>14500</v>
      </c>
      <c r="AY359">
        <v>300</v>
      </c>
      <c r="AZ359">
        <v>0</v>
      </c>
      <c r="BA359">
        <v>0</v>
      </c>
      <c r="BB359">
        <v>0</v>
      </c>
      <c r="BC359" t="s">
        <v>4855</v>
      </c>
      <c r="BD359" t="s">
        <v>2928</v>
      </c>
      <c r="BE359" t="s">
        <v>3</v>
      </c>
      <c r="BF359" t="s">
        <v>3</v>
      </c>
      <c r="BG359" t="s">
        <v>3</v>
      </c>
      <c r="BH359" t="s">
        <v>3</v>
      </c>
      <c r="BI359" t="s">
        <v>3</v>
      </c>
      <c r="BJ359" t="s">
        <v>4984</v>
      </c>
      <c r="BK359" t="s">
        <v>3</v>
      </c>
      <c r="BL359" t="s">
        <v>96</v>
      </c>
      <c r="BM359" t="s">
        <v>1</v>
      </c>
      <c r="BN359">
        <v>14800</v>
      </c>
      <c r="BO359" t="s">
        <v>1</v>
      </c>
      <c r="BP359" t="s">
        <v>1</v>
      </c>
      <c r="BQ359" t="s">
        <v>1</v>
      </c>
      <c r="BR359" t="s">
        <v>1</v>
      </c>
      <c r="BS359" t="s">
        <v>1</v>
      </c>
      <c r="BT359" t="s">
        <v>1</v>
      </c>
      <c r="BU359" t="s">
        <v>1</v>
      </c>
      <c r="BV359" t="s">
        <v>1</v>
      </c>
      <c r="BW359" t="s">
        <v>0</v>
      </c>
      <c r="BX359" t="s">
        <v>1</v>
      </c>
      <c r="BY359" t="s">
        <v>1</v>
      </c>
      <c r="BZ359" t="s">
        <v>1</v>
      </c>
      <c r="CA359" t="s">
        <v>1</v>
      </c>
      <c r="CB359" t="s">
        <v>1</v>
      </c>
      <c r="CD359" t="e" cm="1">
        <f t="array" aca="1" ref="CD359" ca="1">eConcatenar(A359:CB359,"|")</f>
        <v>#NAME?</v>
      </c>
    </row>
    <row r="360" spans="1:82" x14ac:dyDescent="0.25">
      <c r="A360" t="s">
        <v>455</v>
      </c>
      <c r="B360" t="s">
        <v>1468</v>
      </c>
      <c r="C360">
        <v>3</v>
      </c>
      <c r="D360" t="s">
        <v>3110</v>
      </c>
      <c r="E360" t="s">
        <v>2158</v>
      </c>
      <c r="F360" t="s">
        <v>2162</v>
      </c>
      <c r="G360" t="s">
        <v>2377</v>
      </c>
      <c r="H360" t="s">
        <v>2871</v>
      </c>
      <c r="I360">
        <v>14800</v>
      </c>
      <c r="J360">
        <v>0</v>
      </c>
      <c r="K360">
        <v>200</v>
      </c>
      <c r="L360">
        <v>50</v>
      </c>
      <c r="M360">
        <v>1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 t="s">
        <v>3600</v>
      </c>
      <c r="AC360" t="s">
        <v>3119</v>
      </c>
      <c r="AD360" t="s">
        <v>3601</v>
      </c>
      <c r="AE360" t="s">
        <v>4</v>
      </c>
      <c r="AF360" t="s">
        <v>1</v>
      </c>
      <c r="AG360" t="s">
        <v>1</v>
      </c>
      <c r="AH360" t="s">
        <v>4362</v>
      </c>
      <c r="AI360" t="s">
        <v>2377</v>
      </c>
      <c r="AJ360" t="s">
        <v>1</v>
      </c>
      <c r="AK360">
        <v>9141357233</v>
      </c>
      <c r="AL360" t="s">
        <v>1</v>
      </c>
      <c r="AM360" t="s">
        <v>1</v>
      </c>
      <c r="AN360" t="s">
        <v>1</v>
      </c>
      <c r="AO360" t="s">
        <v>4362</v>
      </c>
      <c r="AP360" t="s">
        <v>1</v>
      </c>
      <c r="AQ360" t="s">
        <v>2</v>
      </c>
      <c r="AR360" t="s">
        <v>1</v>
      </c>
      <c r="AS360" t="s">
        <v>1</v>
      </c>
      <c r="AT360" t="s">
        <v>1</v>
      </c>
      <c r="AU360" t="s">
        <v>1</v>
      </c>
      <c r="AV360" t="s">
        <v>1</v>
      </c>
      <c r="AW360" t="s">
        <v>9</v>
      </c>
      <c r="AX360">
        <f>Tabla1[[#This Row],[precio del paquete]]-Tabla1[[#This Row],[Saldo_Deudor]]</f>
        <v>1200</v>
      </c>
      <c r="AY360">
        <v>13600</v>
      </c>
      <c r="AZ360">
        <v>0</v>
      </c>
      <c r="BA360">
        <v>0</v>
      </c>
      <c r="BB360">
        <v>0</v>
      </c>
      <c r="BC360" t="s">
        <v>2849</v>
      </c>
      <c r="BD360" t="s">
        <v>4849</v>
      </c>
      <c r="BE360" t="s">
        <v>3</v>
      </c>
      <c r="BF360" t="s">
        <v>3</v>
      </c>
      <c r="BG360" t="s">
        <v>3</v>
      </c>
      <c r="BH360" t="s">
        <v>3</v>
      </c>
      <c r="BI360" t="s">
        <v>3</v>
      </c>
      <c r="BJ360" t="s">
        <v>4997</v>
      </c>
      <c r="BK360" t="s">
        <v>3</v>
      </c>
      <c r="BL360" t="s">
        <v>96</v>
      </c>
      <c r="BM360" t="s">
        <v>1</v>
      </c>
      <c r="BN360">
        <v>14800</v>
      </c>
      <c r="BO360" t="s">
        <v>1</v>
      </c>
      <c r="BP360" t="s">
        <v>1</v>
      </c>
      <c r="BQ360" t="s">
        <v>1</v>
      </c>
      <c r="BR360" t="s">
        <v>1</v>
      </c>
      <c r="BS360" t="s">
        <v>1</v>
      </c>
      <c r="BT360" t="s">
        <v>1</v>
      </c>
      <c r="BU360" t="s">
        <v>1</v>
      </c>
      <c r="BV360" t="s">
        <v>1</v>
      </c>
      <c r="BW360" t="s">
        <v>0</v>
      </c>
      <c r="BX360" t="s">
        <v>1</v>
      </c>
      <c r="BY360" t="s">
        <v>1</v>
      </c>
      <c r="BZ360" t="s">
        <v>1</v>
      </c>
      <c r="CA360" t="s">
        <v>1</v>
      </c>
      <c r="CB360" t="s">
        <v>1</v>
      </c>
      <c r="CD360" t="e" cm="1">
        <f t="array" aca="1" ref="CD360" ca="1">eConcatenar(A360:CB360,"|")</f>
        <v>#NAME?</v>
      </c>
    </row>
    <row r="361" spans="1:82" x14ac:dyDescent="0.25">
      <c r="A361" t="s">
        <v>456</v>
      </c>
      <c r="B361" t="s">
        <v>1469</v>
      </c>
      <c r="C361">
        <v>3</v>
      </c>
      <c r="D361" t="s">
        <v>2157</v>
      </c>
      <c r="E361" t="s">
        <v>2158</v>
      </c>
      <c r="F361" t="s">
        <v>2161</v>
      </c>
      <c r="G361" t="s">
        <v>2378</v>
      </c>
      <c r="H361" t="s">
        <v>2880</v>
      </c>
      <c r="I361">
        <v>12900</v>
      </c>
      <c r="J361">
        <v>0</v>
      </c>
      <c r="K361">
        <v>100</v>
      </c>
      <c r="L361">
        <v>50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 t="s">
        <v>3245</v>
      </c>
      <c r="AC361" t="s">
        <v>3214</v>
      </c>
      <c r="AD361" t="s">
        <v>3239</v>
      </c>
      <c r="AE361" t="s">
        <v>4</v>
      </c>
      <c r="AF361" t="s">
        <v>1</v>
      </c>
      <c r="AG361" t="s">
        <v>1</v>
      </c>
      <c r="AH361" t="s">
        <v>2378</v>
      </c>
      <c r="AI361" t="s">
        <v>2378</v>
      </c>
      <c r="AJ361" t="s">
        <v>1</v>
      </c>
      <c r="AK361">
        <v>9171294743</v>
      </c>
      <c r="AL361" t="s">
        <v>1</v>
      </c>
      <c r="AM361" t="s">
        <v>1</v>
      </c>
      <c r="AN361" t="s">
        <v>1</v>
      </c>
      <c r="AO361" t="s">
        <v>2378</v>
      </c>
      <c r="AP361" t="s">
        <v>1</v>
      </c>
      <c r="AQ361" t="s">
        <v>2</v>
      </c>
      <c r="AR361" t="s">
        <v>1</v>
      </c>
      <c r="AS361" t="s">
        <v>1</v>
      </c>
      <c r="AT361" t="s">
        <v>1</v>
      </c>
      <c r="AU361" t="s">
        <v>1</v>
      </c>
      <c r="AV361" t="s">
        <v>1</v>
      </c>
      <c r="AW361" t="s">
        <v>9</v>
      </c>
      <c r="AX361">
        <f>Tabla1[[#This Row],[precio del paquete]]-Tabla1[[#This Row],[Saldo_Deudor]]</f>
        <v>7800</v>
      </c>
      <c r="AY361">
        <v>5100</v>
      </c>
      <c r="AZ361">
        <v>0</v>
      </c>
      <c r="BA361">
        <v>0</v>
      </c>
      <c r="BB361">
        <v>0</v>
      </c>
      <c r="BC361" t="s">
        <v>2925</v>
      </c>
      <c r="BD361" t="s">
        <v>3078</v>
      </c>
      <c r="BE361" t="s">
        <v>3</v>
      </c>
      <c r="BF361" t="s">
        <v>3</v>
      </c>
      <c r="BG361" t="s">
        <v>3</v>
      </c>
      <c r="BH361" t="s">
        <v>3</v>
      </c>
      <c r="BI361" t="s">
        <v>3</v>
      </c>
      <c r="BJ361" t="s">
        <v>4997</v>
      </c>
      <c r="BK361" t="s">
        <v>3</v>
      </c>
      <c r="BL361" t="s">
        <v>96</v>
      </c>
      <c r="BM361" t="s">
        <v>1</v>
      </c>
      <c r="BN361">
        <v>12900</v>
      </c>
      <c r="BO361" t="s">
        <v>1</v>
      </c>
      <c r="BP361" t="s">
        <v>1</v>
      </c>
      <c r="BQ361" t="s">
        <v>1</v>
      </c>
      <c r="BR361" t="s">
        <v>1</v>
      </c>
      <c r="BS361" t="s">
        <v>1</v>
      </c>
      <c r="BT361" t="s">
        <v>1</v>
      </c>
      <c r="BU361" t="s">
        <v>1</v>
      </c>
      <c r="BV361" t="s">
        <v>1</v>
      </c>
      <c r="BW361" t="s">
        <v>0</v>
      </c>
      <c r="BX361" t="s">
        <v>1</v>
      </c>
      <c r="BY361" t="s">
        <v>1</v>
      </c>
      <c r="BZ361" t="s">
        <v>1</v>
      </c>
      <c r="CA361" t="s">
        <v>1</v>
      </c>
      <c r="CB361" t="s">
        <v>1</v>
      </c>
      <c r="CD361" t="e" cm="1">
        <f t="array" aca="1" ref="CD361" ca="1">eConcatenar(A361:CB361,"|")</f>
        <v>#NAME?</v>
      </c>
    </row>
    <row r="362" spans="1:82" x14ac:dyDescent="0.25">
      <c r="A362" t="s">
        <v>457</v>
      </c>
      <c r="B362" t="s">
        <v>1470</v>
      </c>
      <c r="C362">
        <v>3</v>
      </c>
      <c r="D362" t="s">
        <v>2153</v>
      </c>
      <c r="E362" t="s">
        <v>10</v>
      </c>
      <c r="F362" t="s">
        <v>0</v>
      </c>
      <c r="G362" t="s">
        <v>2378</v>
      </c>
      <c r="H362" t="s">
        <v>2797</v>
      </c>
      <c r="I362">
        <v>14800</v>
      </c>
      <c r="J362">
        <v>0</v>
      </c>
      <c r="K362">
        <v>400</v>
      </c>
      <c r="L362">
        <v>50</v>
      </c>
      <c r="M362">
        <v>2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 t="s">
        <v>3115</v>
      </c>
      <c r="AC362" t="s">
        <v>3241</v>
      </c>
      <c r="AD362" t="s">
        <v>3602</v>
      </c>
      <c r="AE362" t="s">
        <v>4</v>
      </c>
      <c r="AF362" t="s">
        <v>1</v>
      </c>
      <c r="AG362" t="s">
        <v>1</v>
      </c>
      <c r="AH362" t="s">
        <v>4363</v>
      </c>
      <c r="AI362" t="s">
        <v>2378</v>
      </c>
      <c r="AJ362" t="s">
        <v>1</v>
      </c>
      <c r="AK362">
        <v>9371179342</v>
      </c>
      <c r="AL362" t="s">
        <v>1</v>
      </c>
      <c r="AM362" t="s">
        <v>1</v>
      </c>
      <c r="AN362" t="s">
        <v>1</v>
      </c>
      <c r="AO362" t="s">
        <v>4363</v>
      </c>
      <c r="AP362" t="s">
        <v>1</v>
      </c>
      <c r="AQ362" t="s">
        <v>2</v>
      </c>
      <c r="AR362" t="s">
        <v>1</v>
      </c>
      <c r="AS362" t="s">
        <v>1</v>
      </c>
      <c r="AT362" t="s">
        <v>1</v>
      </c>
      <c r="AU362" t="s">
        <v>1</v>
      </c>
      <c r="AV362" t="s">
        <v>1</v>
      </c>
      <c r="AW362" t="s">
        <v>9</v>
      </c>
      <c r="AX362">
        <f>Tabla1[[#This Row],[precio del paquete]]-Tabla1[[#This Row],[Saldo_Deudor]]</f>
        <v>1300</v>
      </c>
      <c r="AY362">
        <v>13500</v>
      </c>
      <c r="AZ362">
        <v>0</v>
      </c>
      <c r="BA362">
        <v>0</v>
      </c>
      <c r="BB362">
        <v>0</v>
      </c>
      <c r="BC362" t="s">
        <v>2874</v>
      </c>
      <c r="BD362" t="s">
        <v>4932</v>
      </c>
      <c r="BE362" t="s">
        <v>3</v>
      </c>
      <c r="BF362" t="s">
        <v>3</v>
      </c>
      <c r="BG362" t="s">
        <v>3</v>
      </c>
      <c r="BH362" t="s">
        <v>3</v>
      </c>
      <c r="BI362" t="s">
        <v>3</v>
      </c>
      <c r="BJ362" t="s">
        <v>4992</v>
      </c>
      <c r="BK362" t="s">
        <v>3</v>
      </c>
      <c r="BL362" t="s">
        <v>96</v>
      </c>
      <c r="BM362" t="s">
        <v>1</v>
      </c>
      <c r="BN362">
        <v>14800</v>
      </c>
      <c r="BO362" t="s">
        <v>1</v>
      </c>
      <c r="BP362" t="s">
        <v>1</v>
      </c>
      <c r="BQ362" t="s">
        <v>1</v>
      </c>
      <c r="BR362" t="s">
        <v>1</v>
      </c>
      <c r="BS362" t="s">
        <v>1</v>
      </c>
      <c r="BT362" t="s">
        <v>1</v>
      </c>
      <c r="BU362" t="s">
        <v>1</v>
      </c>
      <c r="BV362" t="s">
        <v>1</v>
      </c>
      <c r="BW362" t="s">
        <v>0</v>
      </c>
      <c r="BX362" t="s">
        <v>1</v>
      </c>
      <c r="BY362" t="s">
        <v>1</v>
      </c>
      <c r="BZ362" t="s">
        <v>1</v>
      </c>
      <c r="CA362" t="s">
        <v>1</v>
      </c>
      <c r="CB362" t="s">
        <v>1</v>
      </c>
      <c r="CD362" t="e" cm="1">
        <f t="array" aca="1" ref="CD362" ca="1">eConcatenar(A362:CB362,"|")</f>
        <v>#NAME?</v>
      </c>
    </row>
    <row r="363" spans="1:82" x14ac:dyDescent="0.25">
      <c r="A363" t="s">
        <v>458</v>
      </c>
      <c r="B363" t="s">
        <v>1471</v>
      </c>
      <c r="C363">
        <v>3</v>
      </c>
      <c r="D363" t="s">
        <v>2155</v>
      </c>
      <c r="E363" t="s">
        <v>10</v>
      </c>
      <c r="F363" t="s">
        <v>0</v>
      </c>
      <c r="G363" t="s">
        <v>2378</v>
      </c>
      <c r="H363" t="s">
        <v>2881</v>
      </c>
      <c r="I363">
        <v>12900</v>
      </c>
      <c r="J363">
        <v>0</v>
      </c>
      <c r="K363">
        <v>200</v>
      </c>
      <c r="L363">
        <v>50</v>
      </c>
      <c r="M363">
        <v>2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 t="s">
        <v>3148</v>
      </c>
      <c r="AC363" t="s">
        <v>3295</v>
      </c>
      <c r="AD363" t="s">
        <v>3603</v>
      </c>
      <c r="AE363" t="s">
        <v>4</v>
      </c>
      <c r="AF363" t="s">
        <v>1</v>
      </c>
      <c r="AG363" t="s">
        <v>1</v>
      </c>
      <c r="AH363" t="s">
        <v>2167</v>
      </c>
      <c r="AI363" t="s">
        <v>2378</v>
      </c>
      <c r="AJ363" t="s">
        <v>1</v>
      </c>
      <c r="AK363">
        <v>9372309942</v>
      </c>
      <c r="AL363" t="s">
        <v>1</v>
      </c>
      <c r="AM363" t="s">
        <v>1</v>
      </c>
      <c r="AN363" t="s">
        <v>1</v>
      </c>
      <c r="AO363" t="s">
        <v>2167</v>
      </c>
      <c r="AP363" t="s">
        <v>1</v>
      </c>
      <c r="AQ363" t="s">
        <v>2</v>
      </c>
      <c r="AR363" t="s">
        <v>1</v>
      </c>
      <c r="AS363" t="s">
        <v>1</v>
      </c>
      <c r="AT363" t="s">
        <v>1</v>
      </c>
      <c r="AU363" t="s">
        <v>1</v>
      </c>
      <c r="AV363" t="s">
        <v>1</v>
      </c>
      <c r="AW363" t="s">
        <v>9</v>
      </c>
      <c r="AX363">
        <f>Tabla1[[#This Row],[precio del paquete]]-Tabla1[[#This Row],[Saldo_Deudor]]</f>
        <v>5600</v>
      </c>
      <c r="AY363">
        <v>7300</v>
      </c>
      <c r="AZ363">
        <v>0</v>
      </c>
      <c r="BA363">
        <v>0</v>
      </c>
      <c r="BB363">
        <v>0</v>
      </c>
      <c r="BC363" t="s">
        <v>2874</v>
      </c>
      <c r="BD363" t="s">
        <v>4932</v>
      </c>
      <c r="BE363" t="s">
        <v>3</v>
      </c>
      <c r="BF363" t="s">
        <v>3</v>
      </c>
      <c r="BG363" t="s">
        <v>3</v>
      </c>
      <c r="BH363" t="s">
        <v>3</v>
      </c>
      <c r="BI363" t="s">
        <v>3</v>
      </c>
      <c r="BJ363" t="s">
        <v>4983</v>
      </c>
      <c r="BK363" t="s">
        <v>3</v>
      </c>
      <c r="BL363" t="s">
        <v>96</v>
      </c>
      <c r="BM363" t="s">
        <v>1</v>
      </c>
      <c r="BN363">
        <v>12900</v>
      </c>
      <c r="BO363" t="s">
        <v>1</v>
      </c>
      <c r="BP363" t="s">
        <v>1</v>
      </c>
      <c r="BQ363" t="s">
        <v>1</v>
      </c>
      <c r="BR363" t="s">
        <v>1</v>
      </c>
      <c r="BS363" t="s">
        <v>1</v>
      </c>
      <c r="BT363" t="s">
        <v>1</v>
      </c>
      <c r="BU363" t="s">
        <v>1</v>
      </c>
      <c r="BV363" t="s">
        <v>1</v>
      </c>
      <c r="BW363" t="s">
        <v>0</v>
      </c>
      <c r="BX363" t="s">
        <v>1</v>
      </c>
      <c r="BY363" t="s">
        <v>1</v>
      </c>
      <c r="BZ363" t="s">
        <v>1</v>
      </c>
      <c r="CA363" t="s">
        <v>1</v>
      </c>
      <c r="CB363" t="s">
        <v>1</v>
      </c>
      <c r="CD363" t="e" cm="1">
        <f t="array" aca="1" ref="CD363" ca="1">eConcatenar(A363:CB363,"|")</f>
        <v>#NAME?</v>
      </c>
    </row>
    <row r="364" spans="1:82" x14ac:dyDescent="0.25">
      <c r="A364" t="s">
        <v>459</v>
      </c>
      <c r="B364" t="s">
        <v>1472</v>
      </c>
      <c r="C364">
        <v>3</v>
      </c>
      <c r="D364" t="s">
        <v>3111</v>
      </c>
      <c r="E364" t="s">
        <v>2158</v>
      </c>
      <c r="F364" t="s">
        <v>0</v>
      </c>
      <c r="G364" t="s">
        <v>2379</v>
      </c>
      <c r="H364" t="s">
        <v>2797</v>
      </c>
      <c r="I364">
        <v>24500</v>
      </c>
      <c r="J364">
        <v>0</v>
      </c>
      <c r="K364">
        <v>100</v>
      </c>
      <c r="L364">
        <v>50</v>
      </c>
      <c r="M364">
        <v>1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 t="s">
        <v>5</v>
      </c>
      <c r="AC364" t="s">
        <v>3523</v>
      </c>
      <c r="AD364" t="s">
        <v>3604</v>
      </c>
      <c r="AE364" t="s">
        <v>4</v>
      </c>
      <c r="AF364" t="s">
        <v>1</v>
      </c>
      <c r="AG364" t="s">
        <v>1</v>
      </c>
      <c r="AH364" t="s">
        <v>4364</v>
      </c>
      <c r="AI364" t="s">
        <v>2379</v>
      </c>
      <c r="AJ364" t="s">
        <v>1</v>
      </c>
      <c r="AK364">
        <v>9371161853</v>
      </c>
      <c r="AL364" t="s">
        <v>1</v>
      </c>
      <c r="AM364" t="s">
        <v>1</v>
      </c>
      <c r="AN364" t="s">
        <v>1</v>
      </c>
      <c r="AO364" t="s">
        <v>4364</v>
      </c>
      <c r="AP364" t="s">
        <v>1</v>
      </c>
      <c r="AQ364" t="s">
        <v>2</v>
      </c>
      <c r="AR364" t="s">
        <v>1</v>
      </c>
      <c r="AS364" t="s">
        <v>1</v>
      </c>
      <c r="AT364" t="s">
        <v>1</v>
      </c>
      <c r="AU364" t="s">
        <v>1</v>
      </c>
      <c r="AV364" t="s">
        <v>1</v>
      </c>
      <c r="AW364" t="s">
        <v>9</v>
      </c>
      <c r="AX364">
        <f>Tabla1[[#This Row],[precio del paquete]]-Tabla1[[#This Row],[Saldo_Deudor]]</f>
        <v>700</v>
      </c>
      <c r="AY364">
        <v>23800</v>
      </c>
      <c r="AZ364">
        <v>0</v>
      </c>
      <c r="BA364">
        <v>0</v>
      </c>
      <c r="BB364">
        <v>0</v>
      </c>
      <c r="BC364" t="s">
        <v>2778</v>
      </c>
      <c r="BD364" t="s">
        <v>2849</v>
      </c>
      <c r="BE364" t="s">
        <v>3</v>
      </c>
      <c r="BF364" t="s">
        <v>3</v>
      </c>
      <c r="BG364" t="s">
        <v>3</v>
      </c>
      <c r="BH364" t="s">
        <v>3</v>
      </c>
      <c r="BI364" t="s">
        <v>3</v>
      </c>
      <c r="BJ364" t="s">
        <v>4983</v>
      </c>
      <c r="BK364" t="s">
        <v>3</v>
      </c>
      <c r="BL364" t="s">
        <v>96</v>
      </c>
      <c r="BM364" t="s">
        <v>1</v>
      </c>
      <c r="BN364">
        <v>24500</v>
      </c>
      <c r="BO364" t="s">
        <v>1</v>
      </c>
      <c r="BP364" t="s">
        <v>1</v>
      </c>
      <c r="BQ364" t="s">
        <v>1</v>
      </c>
      <c r="BR364" t="s">
        <v>1</v>
      </c>
      <c r="BS364" t="s">
        <v>1</v>
      </c>
      <c r="BT364" t="s">
        <v>1</v>
      </c>
      <c r="BU364" t="s">
        <v>1</v>
      </c>
      <c r="BV364" t="s">
        <v>1</v>
      </c>
      <c r="BW364" t="s">
        <v>0</v>
      </c>
      <c r="BX364" t="s">
        <v>1</v>
      </c>
      <c r="BY364" t="s">
        <v>1</v>
      </c>
      <c r="BZ364" t="s">
        <v>1</v>
      </c>
      <c r="CA364" t="s">
        <v>1</v>
      </c>
      <c r="CB364" t="s">
        <v>1</v>
      </c>
      <c r="CD364" t="e" cm="1">
        <f t="array" aca="1" ref="CD364" ca="1">eConcatenar(A364:CB364,"|")</f>
        <v>#NAME?</v>
      </c>
    </row>
    <row r="365" spans="1:82" x14ac:dyDescent="0.25">
      <c r="A365" t="s">
        <v>460</v>
      </c>
      <c r="B365" t="s">
        <v>1473</v>
      </c>
      <c r="C365">
        <v>3</v>
      </c>
      <c r="D365" t="s">
        <v>2153</v>
      </c>
      <c r="E365" t="s">
        <v>2158</v>
      </c>
      <c r="F365" t="s">
        <v>2162</v>
      </c>
      <c r="G365" t="s">
        <v>2380</v>
      </c>
      <c r="H365" t="s">
        <v>2882</v>
      </c>
      <c r="I365">
        <v>14800</v>
      </c>
      <c r="J365">
        <v>0</v>
      </c>
      <c r="K365">
        <v>200</v>
      </c>
      <c r="L365">
        <v>50</v>
      </c>
      <c r="M365">
        <v>1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 t="s">
        <v>3180</v>
      </c>
      <c r="AC365" t="s">
        <v>3157</v>
      </c>
      <c r="AD365" t="s">
        <v>3605</v>
      </c>
      <c r="AE365" t="s">
        <v>4</v>
      </c>
      <c r="AF365" t="s">
        <v>1</v>
      </c>
      <c r="AG365" t="s">
        <v>1</v>
      </c>
      <c r="AH365" t="s">
        <v>4365</v>
      </c>
      <c r="AI365" t="s">
        <v>2380</v>
      </c>
      <c r="AJ365" t="s">
        <v>1</v>
      </c>
      <c r="AK365" t="s">
        <v>1</v>
      </c>
      <c r="AL365" t="s">
        <v>1</v>
      </c>
      <c r="AM365" t="s">
        <v>1</v>
      </c>
      <c r="AN365" t="s">
        <v>1</v>
      </c>
      <c r="AO365" t="s">
        <v>4365</v>
      </c>
      <c r="AP365" t="s">
        <v>1</v>
      </c>
      <c r="AQ365" t="s">
        <v>2</v>
      </c>
      <c r="AR365" t="s">
        <v>1</v>
      </c>
      <c r="AS365" t="s">
        <v>1</v>
      </c>
      <c r="AT365" t="s">
        <v>1</v>
      </c>
      <c r="AU365" t="s">
        <v>1</v>
      </c>
      <c r="AV365" t="s">
        <v>1</v>
      </c>
      <c r="AW365" t="s">
        <v>9</v>
      </c>
      <c r="AX365">
        <f>Tabla1[[#This Row],[precio del paquete]]-Tabla1[[#This Row],[Saldo_Deudor]]</f>
        <v>10500</v>
      </c>
      <c r="AY365">
        <v>4300</v>
      </c>
      <c r="AZ365">
        <v>0</v>
      </c>
      <c r="BA365">
        <v>0</v>
      </c>
      <c r="BB365">
        <v>0</v>
      </c>
      <c r="BC365" t="s">
        <v>3098</v>
      </c>
      <c r="BD365" t="s">
        <v>4829</v>
      </c>
      <c r="BE365" t="s">
        <v>3</v>
      </c>
      <c r="BF365" t="s">
        <v>3</v>
      </c>
      <c r="BG365" t="s">
        <v>3</v>
      </c>
      <c r="BH365" t="s">
        <v>3</v>
      </c>
      <c r="BI365" t="s">
        <v>3</v>
      </c>
      <c r="BJ365" t="s">
        <v>4983</v>
      </c>
      <c r="BK365" t="s">
        <v>3</v>
      </c>
      <c r="BL365" t="s">
        <v>96</v>
      </c>
      <c r="BM365" t="s">
        <v>1</v>
      </c>
      <c r="BN365">
        <v>14800</v>
      </c>
      <c r="BO365" t="s">
        <v>1</v>
      </c>
      <c r="BP365" t="s">
        <v>1</v>
      </c>
      <c r="BQ365" t="s">
        <v>1</v>
      </c>
      <c r="BR365" t="s">
        <v>1</v>
      </c>
      <c r="BS365" t="s">
        <v>1</v>
      </c>
      <c r="BT365" t="s">
        <v>1</v>
      </c>
      <c r="BU365" t="s">
        <v>1</v>
      </c>
      <c r="BV365" t="s">
        <v>1</v>
      </c>
      <c r="BW365" t="s">
        <v>0</v>
      </c>
      <c r="BX365" t="s">
        <v>1</v>
      </c>
      <c r="BY365" t="s">
        <v>1</v>
      </c>
      <c r="BZ365" t="s">
        <v>1</v>
      </c>
      <c r="CA365" t="s">
        <v>1</v>
      </c>
      <c r="CB365" t="s">
        <v>1</v>
      </c>
      <c r="CD365" t="e" cm="1">
        <f t="array" aca="1" ref="CD365" ca="1">eConcatenar(A365:CB365,"|")</f>
        <v>#NAME?</v>
      </c>
    </row>
    <row r="366" spans="1:82" x14ac:dyDescent="0.25">
      <c r="A366" t="s">
        <v>461</v>
      </c>
      <c r="B366" t="s">
        <v>1474</v>
      </c>
      <c r="C366">
        <v>3</v>
      </c>
      <c r="D366" t="s">
        <v>2153</v>
      </c>
      <c r="E366" t="s">
        <v>10</v>
      </c>
      <c r="F366" t="s">
        <v>0</v>
      </c>
      <c r="G366" t="s">
        <v>2381</v>
      </c>
      <c r="H366" t="s">
        <v>2825</v>
      </c>
      <c r="I366">
        <v>14800</v>
      </c>
      <c r="J366">
        <v>0</v>
      </c>
      <c r="K366">
        <v>150</v>
      </c>
      <c r="L366">
        <v>50</v>
      </c>
      <c r="M366">
        <v>2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 t="s">
        <v>3606</v>
      </c>
      <c r="AC366" t="s">
        <v>3260</v>
      </c>
      <c r="AD366" t="s">
        <v>3607</v>
      </c>
      <c r="AE366" t="s">
        <v>4</v>
      </c>
      <c r="AF366" t="s">
        <v>1</v>
      </c>
      <c r="AG366" t="s">
        <v>1</v>
      </c>
      <c r="AH366" t="s">
        <v>4366</v>
      </c>
      <c r="AI366" t="s">
        <v>2381</v>
      </c>
      <c r="AJ366" t="s">
        <v>1</v>
      </c>
      <c r="AK366">
        <v>9371015011</v>
      </c>
      <c r="AL366" t="s">
        <v>1</v>
      </c>
      <c r="AM366" t="s">
        <v>1</v>
      </c>
      <c r="AN366" t="s">
        <v>1</v>
      </c>
      <c r="AO366" t="s">
        <v>4366</v>
      </c>
      <c r="AP366" t="s">
        <v>1</v>
      </c>
      <c r="AQ366" t="s">
        <v>2</v>
      </c>
      <c r="AR366" t="s">
        <v>1</v>
      </c>
      <c r="AS366" t="s">
        <v>1</v>
      </c>
      <c r="AT366" t="s">
        <v>1</v>
      </c>
      <c r="AU366" t="s">
        <v>1</v>
      </c>
      <c r="AV366" t="s">
        <v>1</v>
      </c>
      <c r="AW366" t="s">
        <v>9</v>
      </c>
      <c r="AX366">
        <f>Tabla1[[#This Row],[precio del paquete]]-Tabla1[[#This Row],[Saldo_Deudor]]</f>
        <v>150</v>
      </c>
      <c r="AY366">
        <v>14650</v>
      </c>
      <c r="AZ366">
        <v>0</v>
      </c>
      <c r="BA366">
        <v>0</v>
      </c>
      <c r="BB366">
        <v>0</v>
      </c>
      <c r="BC366" t="s">
        <v>2825</v>
      </c>
      <c r="BD366" t="s">
        <v>2801</v>
      </c>
      <c r="BE366" t="s">
        <v>3</v>
      </c>
      <c r="BF366" t="s">
        <v>3</v>
      </c>
      <c r="BG366" t="s">
        <v>3</v>
      </c>
      <c r="BH366" t="s">
        <v>3</v>
      </c>
      <c r="BI366" t="s">
        <v>3</v>
      </c>
      <c r="BJ366" t="s">
        <v>5006</v>
      </c>
      <c r="BK366" t="s">
        <v>3</v>
      </c>
      <c r="BL366" t="s">
        <v>96</v>
      </c>
      <c r="BM366" t="s">
        <v>1</v>
      </c>
      <c r="BN366">
        <v>14800</v>
      </c>
      <c r="BO366" t="s">
        <v>1</v>
      </c>
      <c r="BP366" t="s">
        <v>1</v>
      </c>
      <c r="BQ366" t="s">
        <v>1</v>
      </c>
      <c r="BR366" t="s">
        <v>1</v>
      </c>
      <c r="BS366" t="s">
        <v>1</v>
      </c>
      <c r="BT366" t="s">
        <v>1</v>
      </c>
      <c r="BU366" t="s">
        <v>1</v>
      </c>
      <c r="BV366" t="s">
        <v>1</v>
      </c>
      <c r="BW366" t="s">
        <v>0</v>
      </c>
      <c r="BX366" t="s">
        <v>1</v>
      </c>
      <c r="BY366" t="s">
        <v>1</v>
      </c>
      <c r="BZ366" t="s">
        <v>1</v>
      </c>
      <c r="CA366" t="s">
        <v>1</v>
      </c>
      <c r="CB366" t="s">
        <v>1</v>
      </c>
      <c r="CD366" t="e" cm="1">
        <f t="array" aca="1" ref="CD366" ca="1">eConcatenar(A366:CB366,"|")</f>
        <v>#NAME?</v>
      </c>
    </row>
    <row r="367" spans="1:82" x14ac:dyDescent="0.25">
      <c r="A367" t="s">
        <v>462</v>
      </c>
      <c r="B367" t="s">
        <v>1475</v>
      </c>
      <c r="C367">
        <v>3</v>
      </c>
      <c r="D367" t="s">
        <v>2153</v>
      </c>
      <c r="E367" t="s">
        <v>2158</v>
      </c>
      <c r="F367" t="s">
        <v>0</v>
      </c>
      <c r="G367" t="s">
        <v>2382</v>
      </c>
      <c r="H367" t="s">
        <v>2883</v>
      </c>
      <c r="I367">
        <v>12900</v>
      </c>
      <c r="J367">
        <v>0</v>
      </c>
      <c r="K367">
        <v>500</v>
      </c>
      <c r="L367">
        <v>50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 t="s">
        <v>3133</v>
      </c>
      <c r="AC367" t="s">
        <v>3132</v>
      </c>
      <c r="AD367" t="s">
        <v>3574</v>
      </c>
      <c r="AE367" t="s">
        <v>4</v>
      </c>
      <c r="AF367" t="s">
        <v>1</v>
      </c>
      <c r="AG367" t="s">
        <v>1</v>
      </c>
      <c r="AH367" t="s">
        <v>2443</v>
      </c>
      <c r="AI367" t="s">
        <v>2382</v>
      </c>
      <c r="AJ367" t="s">
        <v>1</v>
      </c>
      <c r="AK367">
        <v>9371391158</v>
      </c>
      <c r="AL367" t="s">
        <v>1</v>
      </c>
      <c r="AM367" t="s">
        <v>1</v>
      </c>
      <c r="AN367" t="s">
        <v>1</v>
      </c>
      <c r="AO367" t="s">
        <v>2443</v>
      </c>
      <c r="AP367" t="s">
        <v>1</v>
      </c>
      <c r="AQ367" t="s">
        <v>2</v>
      </c>
      <c r="AR367" t="s">
        <v>1</v>
      </c>
      <c r="AS367" t="s">
        <v>1</v>
      </c>
      <c r="AT367" t="s">
        <v>1</v>
      </c>
      <c r="AU367" t="s">
        <v>1</v>
      </c>
      <c r="AV367" t="s">
        <v>1</v>
      </c>
      <c r="AW367" t="s">
        <v>9</v>
      </c>
      <c r="AX367">
        <f>Tabla1[[#This Row],[precio del paquete]]-Tabla1[[#This Row],[Saldo_Deudor]]</f>
        <v>1200</v>
      </c>
      <c r="AY367">
        <v>11700</v>
      </c>
      <c r="AZ367">
        <v>0</v>
      </c>
      <c r="BA367">
        <v>0</v>
      </c>
      <c r="BB367">
        <v>0</v>
      </c>
      <c r="BC367" t="s">
        <v>2825</v>
      </c>
      <c r="BD367" t="s">
        <v>2801</v>
      </c>
      <c r="BE367" t="s">
        <v>3</v>
      </c>
      <c r="BF367" t="s">
        <v>3</v>
      </c>
      <c r="BG367" t="s">
        <v>3</v>
      </c>
      <c r="BH367" t="s">
        <v>3</v>
      </c>
      <c r="BI367" t="s">
        <v>3</v>
      </c>
      <c r="BJ367" t="s">
        <v>4983</v>
      </c>
      <c r="BK367" t="s">
        <v>3</v>
      </c>
      <c r="BL367" t="s">
        <v>96</v>
      </c>
      <c r="BM367" t="s">
        <v>1</v>
      </c>
      <c r="BN367">
        <v>12900</v>
      </c>
      <c r="BO367" t="s">
        <v>1</v>
      </c>
      <c r="BP367" t="s">
        <v>1</v>
      </c>
      <c r="BQ367" t="s">
        <v>1</v>
      </c>
      <c r="BR367" t="s">
        <v>1</v>
      </c>
      <c r="BS367" t="s">
        <v>1</v>
      </c>
      <c r="BT367" t="s">
        <v>1</v>
      </c>
      <c r="BU367" t="s">
        <v>1</v>
      </c>
      <c r="BV367" t="s">
        <v>1</v>
      </c>
      <c r="BW367" t="s">
        <v>0</v>
      </c>
      <c r="BX367" t="s">
        <v>1</v>
      </c>
      <c r="BY367" t="s">
        <v>1</v>
      </c>
      <c r="BZ367" t="s">
        <v>1</v>
      </c>
      <c r="CA367" t="s">
        <v>1</v>
      </c>
      <c r="CB367" t="s">
        <v>1</v>
      </c>
      <c r="CD367" t="e" cm="1">
        <f t="array" aca="1" ref="CD367" ca="1">eConcatenar(A367:CB367,"|")</f>
        <v>#NAME?</v>
      </c>
    </row>
    <row r="368" spans="1:82" x14ac:dyDescent="0.25">
      <c r="A368" t="s">
        <v>463</v>
      </c>
      <c r="B368" t="s">
        <v>1476</v>
      </c>
      <c r="C368">
        <v>3</v>
      </c>
      <c r="D368" t="s">
        <v>2156</v>
      </c>
      <c r="E368" t="s">
        <v>2158</v>
      </c>
      <c r="F368" t="s">
        <v>2162</v>
      </c>
      <c r="G368" t="s">
        <v>2383</v>
      </c>
      <c r="H368" t="s">
        <v>2884</v>
      </c>
      <c r="I368">
        <v>19800</v>
      </c>
      <c r="J368">
        <v>0</v>
      </c>
      <c r="K368">
        <v>400</v>
      </c>
      <c r="L368">
        <v>50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 t="s">
        <v>3117</v>
      </c>
      <c r="AC368" t="s">
        <v>3148</v>
      </c>
      <c r="AD368" t="s">
        <v>3608</v>
      </c>
      <c r="AE368" t="s">
        <v>4</v>
      </c>
      <c r="AF368" t="s">
        <v>1</v>
      </c>
      <c r="AG368" t="s">
        <v>1</v>
      </c>
      <c r="AH368" t="s">
        <v>4367</v>
      </c>
      <c r="AI368" t="s">
        <v>2383</v>
      </c>
      <c r="AJ368" t="s">
        <v>1</v>
      </c>
      <c r="AK368">
        <v>9331235396</v>
      </c>
      <c r="AL368" t="s">
        <v>1</v>
      </c>
      <c r="AM368" t="s">
        <v>1</v>
      </c>
      <c r="AN368" t="s">
        <v>1</v>
      </c>
      <c r="AO368" t="s">
        <v>4367</v>
      </c>
      <c r="AP368" t="s">
        <v>1</v>
      </c>
      <c r="AQ368" t="s">
        <v>2</v>
      </c>
      <c r="AR368" t="s">
        <v>1</v>
      </c>
      <c r="AS368" t="s">
        <v>1</v>
      </c>
      <c r="AT368" t="s">
        <v>1</v>
      </c>
      <c r="AU368" t="s">
        <v>1</v>
      </c>
      <c r="AV368" t="s">
        <v>1</v>
      </c>
      <c r="AW368" t="s">
        <v>9</v>
      </c>
      <c r="AX368">
        <f>Tabla1[[#This Row],[precio del paquete]]-Tabla1[[#This Row],[Saldo_Deudor]]</f>
        <v>5900</v>
      </c>
      <c r="AY368">
        <v>13900</v>
      </c>
      <c r="AZ368">
        <v>0</v>
      </c>
      <c r="BA368">
        <v>0</v>
      </c>
      <c r="BB368">
        <v>0</v>
      </c>
      <c r="BC368" t="s">
        <v>2825</v>
      </c>
      <c r="BD368" t="s">
        <v>2801</v>
      </c>
      <c r="BE368" t="s">
        <v>3</v>
      </c>
      <c r="BF368" t="s">
        <v>3</v>
      </c>
      <c r="BG368" t="s">
        <v>3</v>
      </c>
      <c r="BH368" t="s">
        <v>3</v>
      </c>
      <c r="BI368" t="s">
        <v>3</v>
      </c>
      <c r="BJ368" t="s">
        <v>4999</v>
      </c>
      <c r="BK368" t="s">
        <v>3</v>
      </c>
      <c r="BL368" t="s">
        <v>96</v>
      </c>
      <c r="BM368" t="s">
        <v>1</v>
      </c>
      <c r="BN368">
        <v>19800</v>
      </c>
      <c r="BO368" t="s">
        <v>1</v>
      </c>
      <c r="BP368" t="s">
        <v>1</v>
      </c>
      <c r="BQ368" t="s">
        <v>1</v>
      </c>
      <c r="BR368" t="s">
        <v>1</v>
      </c>
      <c r="BS368" t="s">
        <v>1</v>
      </c>
      <c r="BT368" t="s">
        <v>1</v>
      </c>
      <c r="BU368" t="s">
        <v>1</v>
      </c>
      <c r="BV368" t="s">
        <v>1</v>
      </c>
      <c r="BW368" t="s">
        <v>0</v>
      </c>
      <c r="BX368" t="s">
        <v>1</v>
      </c>
      <c r="BY368" t="s">
        <v>1</v>
      </c>
      <c r="BZ368" t="s">
        <v>1</v>
      </c>
      <c r="CA368" t="s">
        <v>1</v>
      </c>
      <c r="CB368" t="s">
        <v>1</v>
      </c>
      <c r="CD368" t="e" cm="1">
        <f t="array" aca="1" ref="CD368" ca="1">eConcatenar(A368:CB368,"|")</f>
        <v>#NAME?</v>
      </c>
    </row>
    <row r="369" spans="1:82" x14ac:dyDescent="0.25">
      <c r="A369" t="s">
        <v>464</v>
      </c>
      <c r="B369" t="s">
        <v>1477</v>
      </c>
      <c r="C369">
        <v>3</v>
      </c>
      <c r="D369" t="s">
        <v>2153</v>
      </c>
      <c r="E369" t="s">
        <v>2158</v>
      </c>
      <c r="F369" t="s">
        <v>2162</v>
      </c>
      <c r="G369" t="s">
        <v>2384</v>
      </c>
      <c r="H369" t="s">
        <v>2885</v>
      </c>
      <c r="I369">
        <v>14800</v>
      </c>
      <c r="J369">
        <v>0</v>
      </c>
      <c r="K369">
        <v>400</v>
      </c>
      <c r="L369">
        <v>50</v>
      </c>
      <c r="M369">
        <v>2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 t="s">
        <v>3119</v>
      </c>
      <c r="AC369" t="s">
        <v>3236</v>
      </c>
      <c r="AD369" t="s">
        <v>3380</v>
      </c>
      <c r="AE369" t="s">
        <v>4</v>
      </c>
      <c r="AF369" t="s">
        <v>1</v>
      </c>
      <c r="AG369" t="s">
        <v>1</v>
      </c>
      <c r="AH369" t="s">
        <v>4368</v>
      </c>
      <c r="AI369" t="s">
        <v>2384</v>
      </c>
      <c r="AJ369" t="s">
        <v>1</v>
      </c>
      <c r="AK369">
        <v>9331544790</v>
      </c>
      <c r="AL369" t="s">
        <v>1</v>
      </c>
      <c r="AM369" t="s">
        <v>1</v>
      </c>
      <c r="AN369" t="s">
        <v>1</v>
      </c>
      <c r="AO369" t="s">
        <v>4368</v>
      </c>
      <c r="AP369" t="s">
        <v>1</v>
      </c>
      <c r="AQ369" t="s">
        <v>2</v>
      </c>
      <c r="AR369" t="s">
        <v>1</v>
      </c>
      <c r="AS369" t="s">
        <v>1</v>
      </c>
      <c r="AT369" t="s">
        <v>1</v>
      </c>
      <c r="AU369" t="s">
        <v>1</v>
      </c>
      <c r="AV369" t="s">
        <v>1</v>
      </c>
      <c r="AW369" t="s">
        <v>9</v>
      </c>
      <c r="AX369">
        <f>Tabla1[[#This Row],[precio del paquete]]-Tabla1[[#This Row],[Saldo_Deudor]]</f>
        <v>3250</v>
      </c>
      <c r="AY369">
        <v>11550</v>
      </c>
      <c r="AZ369">
        <v>0</v>
      </c>
      <c r="BA369">
        <v>0</v>
      </c>
      <c r="BB369">
        <v>0</v>
      </c>
      <c r="BC369" t="s">
        <v>2825</v>
      </c>
      <c r="BD369" t="s">
        <v>2801</v>
      </c>
      <c r="BE369" t="s">
        <v>3</v>
      </c>
      <c r="BF369" t="s">
        <v>3</v>
      </c>
      <c r="BG369" t="s">
        <v>3</v>
      </c>
      <c r="BH369" t="s">
        <v>3</v>
      </c>
      <c r="BI369" t="s">
        <v>3</v>
      </c>
      <c r="BJ369" t="s">
        <v>4990</v>
      </c>
      <c r="BK369" t="s">
        <v>3</v>
      </c>
      <c r="BL369" t="s">
        <v>96</v>
      </c>
      <c r="BM369" t="s">
        <v>1</v>
      </c>
      <c r="BN369">
        <v>14800</v>
      </c>
      <c r="BO369" t="s">
        <v>1</v>
      </c>
      <c r="BP369" t="s">
        <v>1</v>
      </c>
      <c r="BQ369" t="s">
        <v>1</v>
      </c>
      <c r="BR369" t="s">
        <v>1</v>
      </c>
      <c r="BS369" t="s">
        <v>1</v>
      </c>
      <c r="BT369" t="s">
        <v>1</v>
      </c>
      <c r="BU369" t="s">
        <v>1</v>
      </c>
      <c r="BV369" t="s">
        <v>1</v>
      </c>
      <c r="BW369" t="s">
        <v>0</v>
      </c>
      <c r="BX369" t="s">
        <v>1</v>
      </c>
      <c r="BY369" t="s">
        <v>1</v>
      </c>
      <c r="BZ369" t="s">
        <v>1</v>
      </c>
      <c r="CA369" t="s">
        <v>1</v>
      </c>
      <c r="CB369" t="s">
        <v>1</v>
      </c>
      <c r="CD369" t="e" cm="1">
        <f t="array" aca="1" ref="CD369" ca="1">eConcatenar(A369:CB369,"|")</f>
        <v>#NAME?</v>
      </c>
    </row>
    <row r="370" spans="1:82" x14ac:dyDescent="0.25">
      <c r="A370" t="s">
        <v>465</v>
      </c>
      <c r="B370" t="s">
        <v>1478</v>
      </c>
      <c r="C370">
        <v>3</v>
      </c>
      <c r="D370" t="s">
        <v>2155</v>
      </c>
      <c r="E370" t="s">
        <v>2158</v>
      </c>
      <c r="F370" t="s">
        <v>2162</v>
      </c>
      <c r="G370" t="s">
        <v>2384</v>
      </c>
      <c r="H370" t="s">
        <v>2885</v>
      </c>
      <c r="I370">
        <v>12900</v>
      </c>
      <c r="J370">
        <v>0</v>
      </c>
      <c r="K370">
        <v>100</v>
      </c>
      <c r="L370">
        <v>50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 t="s">
        <v>3155</v>
      </c>
      <c r="AC370" t="s">
        <v>3148</v>
      </c>
      <c r="AD370" t="s">
        <v>3609</v>
      </c>
      <c r="AE370" t="s">
        <v>4</v>
      </c>
      <c r="AF370" t="s">
        <v>1</v>
      </c>
      <c r="AG370" t="s">
        <v>1</v>
      </c>
      <c r="AH370" t="s">
        <v>4369</v>
      </c>
      <c r="AI370" t="s">
        <v>2384</v>
      </c>
      <c r="AJ370" t="s">
        <v>1</v>
      </c>
      <c r="AK370">
        <v>9331334238</v>
      </c>
      <c r="AL370" t="s">
        <v>1</v>
      </c>
      <c r="AM370" t="s">
        <v>1</v>
      </c>
      <c r="AN370" t="s">
        <v>1</v>
      </c>
      <c r="AO370" t="s">
        <v>4369</v>
      </c>
      <c r="AP370" t="s">
        <v>1</v>
      </c>
      <c r="AQ370" t="s">
        <v>2</v>
      </c>
      <c r="AR370" t="s">
        <v>1</v>
      </c>
      <c r="AS370" t="s">
        <v>1</v>
      </c>
      <c r="AT370" t="s">
        <v>1</v>
      </c>
      <c r="AU370" t="s">
        <v>1</v>
      </c>
      <c r="AV370" t="s">
        <v>1</v>
      </c>
      <c r="AW370" t="s">
        <v>9</v>
      </c>
      <c r="AX370">
        <f>Tabla1[[#This Row],[precio del paquete]]-Tabla1[[#This Row],[Saldo_Deudor]]</f>
        <v>3100</v>
      </c>
      <c r="AY370">
        <v>9800</v>
      </c>
      <c r="AZ370">
        <v>0</v>
      </c>
      <c r="BA370">
        <v>0</v>
      </c>
      <c r="BB370">
        <v>0</v>
      </c>
      <c r="BC370" t="s">
        <v>3013</v>
      </c>
      <c r="BD370" t="s">
        <v>2871</v>
      </c>
      <c r="BE370" t="s">
        <v>3</v>
      </c>
      <c r="BF370" t="s">
        <v>3</v>
      </c>
      <c r="BG370" t="s">
        <v>3</v>
      </c>
      <c r="BH370" t="s">
        <v>3</v>
      </c>
      <c r="BI370" t="s">
        <v>3</v>
      </c>
      <c r="BJ370" t="s">
        <v>4990</v>
      </c>
      <c r="BK370" t="s">
        <v>3</v>
      </c>
      <c r="BL370" t="s">
        <v>96</v>
      </c>
      <c r="BM370" t="s">
        <v>1</v>
      </c>
      <c r="BN370">
        <v>12900</v>
      </c>
      <c r="BO370" t="s">
        <v>1</v>
      </c>
      <c r="BP370" t="s">
        <v>1</v>
      </c>
      <c r="BQ370" t="s">
        <v>1</v>
      </c>
      <c r="BR370" t="s">
        <v>1</v>
      </c>
      <c r="BS370" t="s">
        <v>1</v>
      </c>
      <c r="BT370" t="s">
        <v>1</v>
      </c>
      <c r="BU370" t="s">
        <v>1</v>
      </c>
      <c r="BV370" t="s">
        <v>1</v>
      </c>
      <c r="BW370" t="s">
        <v>0</v>
      </c>
      <c r="BX370" t="s">
        <v>1</v>
      </c>
      <c r="BY370" t="s">
        <v>1</v>
      </c>
      <c r="BZ370" t="s">
        <v>1</v>
      </c>
      <c r="CA370" t="s">
        <v>1</v>
      </c>
      <c r="CB370" t="s">
        <v>1</v>
      </c>
      <c r="CD370" t="e" cm="1">
        <f t="array" aca="1" ref="CD370" ca="1">eConcatenar(A370:CB370,"|")</f>
        <v>#NAME?</v>
      </c>
    </row>
    <row r="371" spans="1:82" x14ac:dyDescent="0.25">
      <c r="A371" t="s">
        <v>466</v>
      </c>
      <c r="B371" t="s">
        <v>1479</v>
      </c>
      <c r="C371">
        <v>3</v>
      </c>
      <c r="D371" t="s">
        <v>2153</v>
      </c>
      <c r="E371" t="s">
        <v>2158</v>
      </c>
      <c r="F371" t="s">
        <v>2162</v>
      </c>
      <c r="G371" t="s">
        <v>2385</v>
      </c>
      <c r="H371" t="s">
        <v>2737</v>
      </c>
      <c r="I371">
        <v>14800</v>
      </c>
      <c r="J371">
        <v>0</v>
      </c>
      <c r="K371">
        <v>300</v>
      </c>
      <c r="L371">
        <v>50</v>
      </c>
      <c r="M371">
        <v>1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 t="s">
        <v>3367</v>
      </c>
      <c r="AC371" t="s">
        <v>3117</v>
      </c>
      <c r="AD371" t="s">
        <v>3475</v>
      </c>
      <c r="AE371" t="s">
        <v>4</v>
      </c>
      <c r="AF371" t="s">
        <v>1</v>
      </c>
      <c r="AG371" t="s">
        <v>1</v>
      </c>
      <c r="AH371" t="s">
        <v>4370</v>
      </c>
      <c r="AI371" t="s">
        <v>2385</v>
      </c>
      <c r="AJ371" t="s">
        <v>1</v>
      </c>
      <c r="AK371">
        <v>9331345869</v>
      </c>
      <c r="AL371" t="s">
        <v>1</v>
      </c>
      <c r="AM371" t="s">
        <v>1</v>
      </c>
      <c r="AN371" t="s">
        <v>1</v>
      </c>
      <c r="AO371" t="s">
        <v>4370</v>
      </c>
      <c r="AP371" t="s">
        <v>1</v>
      </c>
      <c r="AQ371" t="s">
        <v>2</v>
      </c>
      <c r="AR371" t="s">
        <v>1</v>
      </c>
      <c r="AS371" t="s">
        <v>1</v>
      </c>
      <c r="AT371" t="s">
        <v>1</v>
      </c>
      <c r="AU371" t="s">
        <v>1</v>
      </c>
      <c r="AV371" t="s">
        <v>1</v>
      </c>
      <c r="AW371" t="s">
        <v>9</v>
      </c>
      <c r="AX371">
        <f>Tabla1[[#This Row],[precio del paquete]]-Tabla1[[#This Row],[Saldo_Deudor]]</f>
        <v>1700</v>
      </c>
      <c r="AY371">
        <v>13100</v>
      </c>
      <c r="AZ371">
        <v>0</v>
      </c>
      <c r="BA371">
        <v>0</v>
      </c>
      <c r="BB371">
        <v>0</v>
      </c>
      <c r="BC371" t="s">
        <v>3061</v>
      </c>
      <c r="BD371" t="s">
        <v>3040</v>
      </c>
      <c r="BE371" t="s">
        <v>3</v>
      </c>
      <c r="BF371" t="s">
        <v>3</v>
      </c>
      <c r="BG371" t="s">
        <v>3</v>
      </c>
      <c r="BH371" t="s">
        <v>3</v>
      </c>
      <c r="BI371" t="s">
        <v>3</v>
      </c>
      <c r="BJ371" t="s">
        <v>4990</v>
      </c>
      <c r="BK371" t="s">
        <v>3</v>
      </c>
      <c r="BL371" t="s">
        <v>96</v>
      </c>
      <c r="BM371" t="s">
        <v>1</v>
      </c>
      <c r="BN371">
        <v>14800</v>
      </c>
      <c r="BO371" t="s">
        <v>1</v>
      </c>
      <c r="BP371" t="s">
        <v>1</v>
      </c>
      <c r="BQ371" t="s">
        <v>1</v>
      </c>
      <c r="BR371" t="s">
        <v>1</v>
      </c>
      <c r="BS371" t="s">
        <v>1</v>
      </c>
      <c r="BT371" t="s">
        <v>1</v>
      </c>
      <c r="BU371" t="s">
        <v>1</v>
      </c>
      <c r="BV371" t="s">
        <v>1</v>
      </c>
      <c r="BW371" t="s">
        <v>0</v>
      </c>
      <c r="BX371" t="s">
        <v>1</v>
      </c>
      <c r="BY371" t="s">
        <v>1</v>
      </c>
      <c r="BZ371" t="s">
        <v>1</v>
      </c>
      <c r="CA371" t="s">
        <v>1</v>
      </c>
      <c r="CB371" t="s">
        <v>1</v>
      </c>
      <c r="CD371" t="e" cm="1">
        <f t="array" aca="1" ref="CD371" ca="1">eConcatenar(A371:CB371,"|")</f>
        <v>#NAME?</v>
      </c>
    </row>
    <row r="372" spans="1:82" x14ac:dyDescent="0.25">
      <c r="A372" t="s">
        <v>467</v>
      </c>
      <c r="B372" t="s">
        <v>1480</v>
      </c>
      <c r="C372">
        <v>3</v>
      </c>
      <c r="D372" t="s">
        <v>2153</v>
      </c>
      <c r="E372" t="s">
        <v>2158</v>
      </c>
      <c r="F372" t="s">
        <v>2162</v>
      </c>
      <c r="G372" t="s">
        <v>2386</v>
      </c>
      <c r="H372" t="s">
        <v>2778</v>
      </c>
      <c r="I372">
        <v>14800</v>
      </c>
      <c r="J372">
        <v>0</v>
      </c>
      <c r="K372">
        <v>200</v>
      </c>
      <c r="L372">
        <v>50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 t="s">
        <v>3119</v>
      </c>
      <c r="AC372" t="s">
        <v>3115</v>
      </c>
      <c r="AD372" t="s">
        <v>3565</v>
      </c>
      <c r="AE372" t="s">
        <v>4</v>
      </c>
      <c r="AF372" t="s">
        <v>1</v>
      </c>
      <c r="AG372" t="s">
        <v>1</v>
      </c>
      <c r="AH372" t="s">
        <v>4371</v>
      </c>
      <c r="AI372" t="s">
        <v>2386</v>
      </c>
      <c r="AJ372" t="s">
        <v>1</v>
      </c>
      <c r="AK372">
        <v>9331335651</v>
      </c>
      <c r="AL372" t="s">
        <v>1</v>
      </c>
      <c r="AM372" t="s">
        <v>1</v>
      </c>
      <c r="AN372" t="s">
        <v>1</v>
      </c>
      <c r="AO372" t="s">
        <v>4371</v>
      </c>
      <c r="AP372" t="s">
        <v>1</v>
      </c>
      <c r="AQ372" t="s">
        <v>2</v>
      </c>
      <c r="AR372" t="s">
        <v>1</v>
      </c>
      <c r="AS372" t="s">
        <v>1</v>
      </c>
      <c r="AT372" t="s">
        <v>1</v>
      </c>
      <c r="AU372" t="s">
        <v>1</v>
      </c>
      <c r="AV372" t="s">
        <v>1</v>
      </c>
      <c r="AW372" t="s">
        <v>9</v>
      </c>
      <c r="AX372">
        <f>Tabla1[[#This Row],[precio del paquete]]-Tabla1[[#This Row],[Saldo_Deudor]]</f>
        <v>1600</v>
      </c>
      <c r="AY372">
        <v>13200</v>
      </c>
      <c r="AZ372">
        <v>0</v>
      </c>
      <c r="BA372">
        <v>0</v>
      </c>
      <c r="BB372">
        <v>0</v>
      </c>
      <c r="BC372" t="s">
        <v>3061</v>
      </c>
      <c r="BD372" t="s">
        <v>3040</v>
      </c>
      <c r="BE372" t="s">
        <v>3</v>
      </c>
      <c r="BF372" t="s">
        <v>3</v>
      </c>
      <c r="BG372" t="s">
        <v>3</v>
      </c>
      <c r="BH372" t="s">
        <v>3</v>
      </c>
      <c r="BI372" t="s">
        <v>3</v>
      </c>
      <c r="BJ372" t="s">
        <v>5001</v>
      </c>
      <c r="BK372" t="s">
        <v>3</v>
      </c>
      <c r="BL372" t="s">
        <v>96</v>
      </c>
      <c r="BM372" t="s">
        <v>1</v>
      </c>
      <c r="BN372">
        <v>14800</v>
      </c>
      <c r="BO372" t="s">
        <v>1</v>
      </c>
      <c r="BP372" t="s">
        <v>1</v>
      </c>
      <c r="BQ372" t="s">
        <v>1</v>
      </c>
      <c r="BR372" t="s">
        <v>1</v>
      </c>
      <c r="BS372" t="s">
        <v>1</v>
      </c>
      <c r="BT372" t="s">
        <v>1</v>
      </c>
      <c r="BU372" t="s">
        <v>1</v>
      </c>
      <c r="BV372" t="s">
        <v>1</v>
      </c>
      <c r="BW372" t="s">
        <v>0</v>
      </c>
      <c r="BX372" t="s">
        <v>1</v>
      </c>
      <c r="BY372" t="s">
        <v>1</v>
      </c>
      <c r="BZ372" t="s">
        <v>1</v>
      </c>
      <c r="CA372" t="s">
        <v>1</v>
      </c>
      <c r="CB372" t="s">
        <v>1</v>
      </c>
      <c r="CD372" t="e" cm="1">
        <f t="array" aca="1" ref="CD372" ca="1">eConcatenar(A372:CB372,"|")</f>
        <v>#NAME?</v>
      </c>
    </row>
    <row r="373" spans="1:82" x14ac:dyDescent="0.25">
      <c r="A373" t="s">
        <v>468</v>
      </c>
      <c r="B373" t="s">
        <v>1481</v>
      </c>
      <c r="C373">
        <v>3</v>
      </c>
      <c r="D373" t="s">
        <v>2153</v>
      </c>
      <c r="E373" t="s">
        <v>2158</v>
      </c>
      <c r="F373" t="s">
        <v>2162</v>
      </c>
      <c r="G373" t="s">
        <v>2387</v>
      </c>
      <c r="H373" t="s">
        <v>2797</v>
      </c>
      <c r="I373">
        <v>14800</v>
      </c>
      <c r="J373">
        <v>0</v>
      </c>
      <c r="K373">
        <v>100</v>
      </c>
      <c r="L373">
        <v>50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 t="s">
        <v>3423</v>
      </c>
      <c r="AC373" t="s">
        <v>3115</v>
      </c>
      <c r="AD373" t="s">
        <v>3610</v>
      </c>
      <c r="AE373" t="s">
        <v>4</v>
      </c>
      <c r="AF373" t="s">
        <v>1</v>
      </c>
      <c r="AG373" t="s">
        <v>1</v>
      </c>
      <c r="AH373" t="s">
        <v>2387</v>
      </c>
      <c r="AI373" t="s">
        <v>2387</v>
      </c>
      <c r="AJ373" t="s">
        <v>1</v>
      </c>
      <c r="AK373">
        <v>9331534201</v>
      </c>
      <c r="AL373" t="s">
        <v>1</v>
      </c>
      <c r="AM373" t="s">
        <v>1</v>
      </c>
      <c r="AN373" t="s">
        <v>1</v>
      </c>
      <c r="AO373" t="s">
        <v>2387</v>
      </c>
      <c r="AP373" t="s">
        <v>1</v>
      </c>
      <c r="AQ373" t="s">
        <v>2</v>
      </c>
      <c r="AR373" t="s">
        <v>1</v>
      </c>
      <c r="AS373" t="s">
        <v>1</v>
      </c>
      <c r="AT373" t="s">
        <v>1</v>
      </c>
      <c r="AU373" t="s">
        <v>1</v>
      </c>
      <c r="AV373" t="s">
        <v>1</v>
      </c>
      <c r="AW373" t="s">
        <v>9</v>
      </c>
      <c r="AX373">
        <f>Tabla1[[#This Row],[precio del paquete]]-Tabla1[[#This Row],[Saldo_Deudor]]</f>
        <v>1600</v>
      </c>
      <c r="AY373">
        <v>13200</v>
      </c>
      <c r="AZ373">
        <v>0</v>
      </c>
      <c r="BA373">
        <v>0</v>
      </c>
      <c r="BB373">
        <v>0</v>
      </c>
      <c r="BC373" t="s">
        <v>3061</v>
      </c>
      <c r="BD373" t="s">
        <v>3040</v>
      </c>
      <c r="BE373" t="s">
        <v>3</v>
      </c>
      <c r="BF373" t="s">
        <v>3</v>
      </c>
      <c r="BG373" t="s">
        <v>3</v>
      </c>
      <c r="BH373" t="s">
        <v>3</v>
      </c>
      <c r="BI373" t="s">
        <v>3</v>
      </c>
      <c r="BJ373" t="s">
        <v>5001</v>
      </c>
      <c r="BK373" t="s">
        <v>3</v>
      </c>
      <c r="BL373" t="s">
        <v>96</v>
      </c>
      <c r="BM373" t="s">
        <v>1</v>
      </c>
      <c r="BN373">
        <v>14800</v>
      </c>
      <c r="BO373" t="s">
        <v>1</v>
      </c>
      <c r="BP373" t="s">
        <v>1</v>
      </c>
      <c r="BQ373" t="s">
        <v>1</v>
      </c>
      <c r="BR373" t="s">
        <v>1</v>
      </c>
      <c r="BS373" t="s">
        <v>1</v>
      </c>
      <c r="BT373" t="s">
        <v>1</v>
      </c>
      <c r="BU373" t="s">
        <v>1</v>
      </c>
      <c r="BV373" t="s">
        <v>1</v>
      </c>
      <c r="BW373" t="s">
        <v>0</v>
      </c>
      <c r="BX373" t="s">
        <v>1</v>
      </c>
      <c r="BY373" t="s">
        <v>1</v>
      </c>
      <c r="BZ373" t="s">
        <v>1</v>
      </c>
      <c r="CA373" t="s">
        <v>1</v>
      </c>
      <c r="CB373" t="s">
        <v>1</v>
      </c>
      <c r="CD373" t="e" cm="1">
        <f t="array" aca="1" ref="CD373" ca="1">eConcatenar(A373:CB373,"|")</f>
        <v>#NAME?</v>
      </c>
    </row>
    <row r="374" spans="1:82" x14ac:dyDescent="0.25">
      <c r="A374" t="s">
        <v>469</v>
      </c>
      <c r="B374" t="s">
        <v>1482</v>
      </c>
      <c r="C374">
        <v>3</v>
      </c>
      <c r="D374" t="s">
        <v>2153</v>
      </c>
      <c r="E374" t="s">
        <v>2158</v>
      </c>
      <c r="F374" t="s">
        <v>2159</v>
      </c>
      <c r="G374" t="s">
        <v>2388</v>
      </c>
      <c r="H374" t="s">
        <v>2704</v>
      </c>
      <c r="I374">
        <v>14800</v>
      </c>
      <c r="J374">
        <v>0</v>
      </c>
      <c r="K374">
        <v>50</v>
      </c>
      <c r="L374">
        <v>50</v>
      </c>
      <c r="M374">
        <v>1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 t="s">
        <v>5</v>
      </c>
      <c r="AC374" t="s">
        <v>3117</v>
      </c>
      <c r="AD374" t="s">
        <v>3611</v>
      </c>
      <c r="AE374" t="s">
        <v>4</v>
      </c>
      <c r="AF374" t="s">
        <v>1</v>
      </c>
      <c r="AG374" t="s">
        <v>1</v>
      </c>
      <c r="AH374" t="s">
        <v>4372</v>
      </c>
      <c r="AI374" t="s">
        <v>2388</v>
      </c>
      <c r="AJ374" t="s">
        <v>1</v>
      </c>
      <c r="AK374">
        <v>9331056116</v>
      </c>
      <c r="AL374" t="s">
        <v>1</v>
      </c>
      <c r="AM374" t="s">
        <v>1</v>
      </c>
      <c r="AN374" t="s">
        <v>1</v>
      </c>
      <c r="AO374" t="s">
        <v>4372</v>
      </c>
      <c r="AP374" t="s">
        <v>1</v>
      </c>
      <c r="AQ374" t="s">
        <v>2</v>
      </c>
      <c r="AR374" t="s">
        <v>1</v>
      </c>
      <c r="AS374" t="s">
        <v>1</v>
      </c>
      <c r="AT374" t="s">
        <v>1</v>
      </c>
      <c r="AU374" t="s">
        <v>1</v>
      </c>
      <c r="AV374" t="s">
        <v>1</v>
      </c>
      <c r="AW374" t="s">
        <v>9</v>
      </c>
      <c r="AX374">
        <f>Tabla1[[#This Row],[precio del paquete]]-Tabla1[[#This Row],[Saldo_Deudor]]</f>
        <v>650</v>
      </c>
      <c r="AY374">
        <v>14150</v>
      </c>
      <c r="AZ374">
        <v>0</v>
      </c>
      <c r="BA374">
        <v>0</v>
      </c>
      <c r="BB374">
        <v>0</v>
      </c>
      <c r="BC374" t="s">
        <v>4856</v>
      </c>
      <c r="BD374" t="s">
        <v>4943</v>
      </c>
      <c r="BE374" t="s">
        <v>3</v>
      </c>
      <c r="BF374" t="s">
        <v>3</v>
      </c>
      <c r="BG374" t="s">
        <v>3</v>
      </c>
      <c r="BH374" t="s">
        <v>3</v>
      </c>
      <c r="BI374" t="s">
        <v>3</v>
      </c>
      <c r="BJ374" t="s">
        <v>5001</v>
      </c>
      <c r="BK374" t="s">
        <v>3</v>
      </c>
      <c r="BL374" t="s">
        <v>96</v>
      </c>
      <c r="BM374" t="s">
        <v>1</v>
      </c>
      <c r="BN374">
        <v>14800</v>
      </c>
      <c r="BO374" t="s">
        <v>1</v>
      </c>
      <c r="BP374" t="s">
        <v>1</v>
      </c>
      <c r="BQ374" t="s">
        <v>1</v>
      </c>
      <c r="BR374" t="s">
        <v>1</v>
      </c>
      <c r="BS374" t="s">
        <v>1</v>
      </c>
      <c r="BT374" t="s">
        <v>1</v>
      </c>
      <c r="BU374" t="s">
        <v>1</v>
      </c>
      <c r="BV374" t="s">
        <v>1</v>
      </c>
      <c r="BW374" t="s">
        <v>0</v>
      </c>
      <c r="BX374" t="s">
        <v>1</v>
      </c>
      <c r="BY374" t="s">
        <v>1</v>
      </c>
      <c r="BZ374" t="s">
        <v>1</v>
      </c>
      <c r="CA374" t="s">
        <v>1</v>
      </c>
      <c r="CB374" t="s">
        <v>1</v>
      </c>
      <c r="CD374" t="e" cm="1">
        <f t="array" aca="1" ref="CD374" ca="1">eConcatenar(A374:CB374,"|")</f>
        <v>#NAME?</v>
      </c>
    </row>
    <row r="375" spans="1:82" x14ac:dyDescent="0.25">
      <c r="A375" t="s">
        <v>470</v>
      </c>
      <c r="B375" t="s">
        <v>1483</v>
      </c>
      <c r="C375">
        <v>3</v>
      </c>
      <c r="D375" t="s">
        <v>2153</v>
      </c>
      <c r="E375" t="s">
        <v>2158</v>
      </c>
      <c r="F375" t="s">
        <v>2159</v>
      </c>
      <c r="G375" t="s">
        <v>2389</v>
      </c>
      <c r="H375" t="s">
        <v>2886</v>
      </c>
      <c r="I375">
        <v>14800</v>
      </c>
      <c r="J375">
        <v>0</v>
      </c>
      <c r="K375">
        <v>100</v>
      </c>
      <c r="L375">
        <v>50</v>
      </c>
      <c r="M375">
        <v>1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 t="s">
        <v>3132</v>
      </c>
      <c r="AC375" t="s">
        <v>3135</v>
      </c>
      <c r="AD375" t="s">
        <v>3277</v>
      </c>
      <c r="AE375" t="s">
        <v>4</v>
      </c>
      <c r="AF375" t="s">
        <v>1</v>
      </c>
      <c r="AG375" t="s">
        <v>1</v>
      </c>
      <c r="AH375" t="s">
        <v>4127</v>
      </c>
      <c r="AI375" t="s">
        <v>2389</v>
      </c>
      <c r="AJ375" t="s">
        <v>1</v>
      </c>
      <c r="AK375">
        <v>9333257260</v>
      </c>
      <c r="AL375" t="s">
        <v>1</v>
      </c>
      <c r="AM375" t="s">
        <v>1</v>
      </c>
      <c r="AN375" t="s">
        <v>1</v>
      </c>
      <c r="AO375" t="s">
        <v>4127</v>
      </c>
      <c r="AP375" t="s">
        <v>1</v>
      </c>
      <c r="AQ375" t="s">
        <v>2</v>
      </c>
      <c r="AR375" t="s">
        <v>1</v>
      </c>
      <c r="AS375" t="s">
        <v>1</v>
      </c>
      <c r="AT375" t="s">
        <v>1</v>
      </c>
      <c r="AU375" t="s">
        <v>1</v>
      </c>
      <c r="AV375" t="s">
        <v>1</v>
      </c>
      <c r="AW375" t="s">
        <v>9</v>
      </c>
      <c r="AX375">
        <f>Tabla1[[#This Row],[precio del paquete]]-Tabla1[[#This Row],[Saldo_Deudor]]</f>
        <v>6550</v>
      </c>
      <c r="AY375">
        <v>8250</v>
      </c>
      <c r="AZ375">
        <v>0</v>
      </c>
      <c r="BA375">
        <v>0</v>
      </c>
      <c r="BB375">
        <v>0</v>
      </c>
      <c r="BC375" t="s">
        <v>4830</v>
      </c>
      <c r="BD375" t="s">
        <v>4906</v>
      </c>
      <c r="BE375" t="s">
        <v>3</v>
      </c>
      <c r="BF375" t="s">
        <v>3</v>
      </c>
      <c r="BG375" t="s">
        <v>3</v>
      </c>
      <c r="BH375" t="s">
        <v>3</v>
      </c>
      <c r="BI375" t="s">
        <v>3</v>
      </c>
      <c r="BJ375" t="s">
        <v>4991</v>
      </c>
      <c r="BK375" t="s">
        <v>3</v>
      </c>
      <c r="BL375" t="s">
        <v>96</v>
      </c>
      <c r="BM375" t="s">
        <v>1</v>
      </c>
      <c r="BN375">
        <v>14800</v>
      </c>
      <c r="BO375" t="s">
        <v>1</v>
      </c>
      <c r="BP375" t="s">
        <v>1</v>
      </c>
      <c r="BQ375" t="s">
        <v>1</v>
      </c>
      <c r="BR375" t="s">
        <v>1</v>
      </c>
      <c r="BS375" t="s">
        <v>1</v>
      </c>
      <c r="BT375" t="s">
        <v>1</v>
      </c>
      <c r="BU375" t="s">
        <v>1</v>
      </c>
      <c r="BV375" t="s">
        <v>1</v>
      </c>
      <c r="BW375" t="s">
        <v>0</v>
      </c>
      <c r="BX375" t="s">
        <v>1</v>
      </c>
      <c r="BY375" t="s">
        <v>1</v>
      </c>
      <c r="BZ375" t="s">
        <v>1</v>
      </c>
      <c r="CA375" t="s">
        <v>1</v>
      </c>
      <c r="CB375" t="s">
        <v>1</v>
      </c>
      <c r="CD375" t="e" cm="1">
        <f t="array" aca="1" ref="CD375" ca="1">eConcatenar(A375:CB375,"|")</f>
        <v>#NAME?</v>
      </c>
    </row>
    <row r="376" spans="1:82" x14ac:dyDescent="0.25">
      <c r="A376" t="s">
        <v>471</v>
      </c>
      <c r="B376" t="s">
        <v>1484</v>
      </c>
      <c r="C376">
        <v>3</v>
      </c>
      <c r="D376" t="s">
        <v>2157</v>
      </c>
      <c r="E376" t="s">
        <v>2158</v>
      </c>
      <c r="F376" t="s">
        <v>2159</v>
      </c>
      <c r="G376" t="s">
        <v>2389</v>
      </c>
      <c r="H376" t="s">
        <v>2887</v>
      </c>
      <c r="I376">
        <v>12900</v>
      </c>
      <c r="J376">
        <v>0</v>
      </c>
      <c r="K376">
        <v>100</v>
      </c>
      <c r="L376">
        <v>50</v>
      </c>
      <c r="M376">
        <v>1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 t="s">
        <v>3115</v>
      </c>
      <c r="AC376" t="s">
        <v>3193</v>
      </c>
      <c r="AD376" t="s">
        <v>3612</v>
      </c>
      <c r="AE376" t="s">
        <v>4</v>
      </c>
      <c r="AF376" t="s">
        <v>1</v>
      </c>
      <c r="AG376" t="s">
        <v>1</v>
      </c>
      <c r="AH376" t="s">
        <v>4127</v>
      </c>
      <c r="AI376" t="s">
        <v>2389</v>
      </c>
      <c r="AJ376" t="s">
        <v>1</v>
      </c>
      <c r="AK376" t="s">
        <v>1</v>
      </c>
      <c r="AL376" t="s">
        <v>1</v>
      </c>
      <c r="AM376" t="s">
        <v>1</v>
      </c>
      <c r="AN376" t="s">
        <v>1</v>
      </c>
      <c r="AO376" t="s">
        <v>4127</v>
      </c>
      <c r="AP376" t="s">
        <v>1</v>
      </c>
      <c r="AQ376" t="s">
        <v>2</v>
      </c>
      <c r="AR376" t="s">
        <v>1</v>
      </c>
      <c r="AS376" t="s">
        <v>1</v>
      </c>
      <c r="AT376" t="s">
        <v>1</v>
      </c>
      <c r="AU376" t="s">
        <v>1</v>
      </c>
      <c r="AV376" t="s">
        <v>1</v>
      </c>
      <c r="AW376" t="s">
        <v>9</v>
      </c>
      <c r="AX376">
        <f>Tabla1[[#This Row],[precio del paquete]]-Tabla1[[#This Row],[Saldo_Deudor]]</f>
        <v>12900</v>
      </c>
      <c r="AY376">
        <v>0</v>
      </c>
      <c r="AZ376">
        <v>0</v>
      </c>
      <c r="BA376">
        <v>0</v>
      </c>
      <c r="BB376">
        <v>0</v>
      </c>
      <c r="BC376" t="s">
        <v>4830</v>
      </c>
      <c r="BD376" t="s">
        <v>4906</v>
      </c>
      <c r="BE376" t="s">
        <v>3</v>
      </c>
      <c r="BF376" t="s">
        <v>3</v>
      </c>
      <c r="BG376" t="s">
        <v>3</v>
      </c>
      <c r="BH376" t="s">
        <v>3</v>
      </c>
      <c r="BI376" t="s">
        <v>3</v>
      </c>
      <c r="BJ376" t="s">
        <v>4993</v>
      </c>
      <c r="BK376" t="s">
        <v>3</v>
      </c>
      <c r="BL376" t="s">
        <v>96</v>
      </c>
      <c r="BM376" t="s">
        <v>1</v>
      </c>
      <c r="BN376">
        <v>12900</v>
      </c>
      <c r="BO376" t="s">
        <v>1</v>
      </c>
      <c r="BP376" t="s">
        <v>1</v>
      </c>
      <c r="BQ376" t="s">
        <v>1</v>
      </c>
      <c r="BR376" t="s">
        <v>1</v>
      </c>
      <c r="BS376" t="s">
        <v>1</v>
      </c>
      <c r="BT376" t="s">
        <v>1</v>
      </c>
      <c r="BU376" t="s">
        <v>1</v>
      </c>
      <c r="BV376" t="s">
        <v>1</v>
      </c>
      <c r="BW376" t="s">
        <v>0</v>
      </c>
      <c r="BX376" t="s">
        <v>1</v>
      </c>
      <c r="BY376" t="s">
        <v>1</v>
      </c>
      <c r="BZ376" t="s">
        <v>1</v>
      </c>
      <c r="CA376" t="s">
        <v>1</v>
      </c>
      <c r="CB376" t="s">
        <v>1</v>
      </c>
      <c r="CD376" t="e" cm="1">
        <f t="array" aca="1" ref="CD376" ca="1">eConcatenar(A376:CB376,"|")</f>
        <v>#NAME?</v>
      </c>
    </row>
    <row r="377" spans="1:82" x14ac:dyDescent="0.25">
      <c r="A377" t="s">
        <v>472</v>
      </c>
      <c r="B377" t="s">
        <v>1485</v>
      </c>
      <c r="C377">
        <v>3</v>
      </c>
      <c r="D377" t="s">
        <v>2157</v>
      </c>
      <c r="E377" t="s">
        <v>2158</v>
      </c>
      <c r="F377" t="s">
        <v>2159</v>
      </c>
      <c r="G377" t="s">
        <v>2389</v>
      </c>
      <c r="H377" t="s">
        <v>2888</v>
      </c>
      <c r="I377">
        <v>12900</v>
      </c>
      <c r="J377">
        <v>0</v>
      </c>
      <c r="K377">
        <v>100</v>
      </c>
      <c r="L377">
        <v>50</v>
      </c>
      <c r="M377">
        <v>1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 t="s">
        <v>3186</v>
      </c>
      <c r="AC377" t="s">
        <v>3115</v>
      </c>
      <c r="AD377" t="s">
        <v>3613</v>
      </c>
      <c r="AE377" t="s">
        <v>4</v>
      </c>
      <c r="AF377" t="s">
        <v>1</v>
      </c>
      <c r="AG377" t="s">
        <v>1</v>
      </c>
      <c r="AH377" t="s">
        <v>4127</v>
      </c>
      <c r="AI377" t="s">
        <v>2389</v>
      </c>
      <c r="AJ377" t="s">
        <v>1</v>
      </c>
      <c r="AK377" t="s">
        <v>1</v>
      </c>
      <c r="AL377" t="s">
        <v>1</v>
      </c>
      <c r="AM377" t="s">
        <v>1</v>
      </c>
      <c r="AN377" t="s">
        <v>1</v>
      </c>
      <c r="AO377" t="s">
        <v>4127</v>
      </c>
      <c r="AP377" t="s">
        <v>1</v>
      </c>
      <c r="AQ377" t="s">
        <v>2</v>
      </c>
      <c r="AR377" t="s">
        <v>1</v>
      </c>
      <c r="AS377" t="s">
        <v>1</v>
      </c>
      <c r="AT377" t="s">
        <v>1</v>
      </c>
      <c r="AU377" t="s">
        <v>1</v>
      </c>
      <c r="AV377" t="s">
        <v>1</v>
      </c>
      <c r="AW377" t="s">
        <v>9</v>
      </c>
      <c r="AX377">
        <f>Tabla1[[#This Row],[precio del paquete]]-Tabla1[[#This Row],[Saldo_Deudor]]</f>
        <v>12000</v>
      </c>
      <c r="AY377">
        <v>900</v>
      </c>
      <c r="AZ377">
        <v>0</v>
      </c>
      <c r="BA377">
        <v>0</v>
      </c>
      <c r="BB377">
        <v>0</v>
      </c>
      <c r="BC377" t="s">
        <v>2732</v>
      </c>
      <c r="BD377" t="s">
        <v>4904</v>
      </c>
      <c r="BE377" t="s">
        <v>3</v>
      </c>
      <c r="BF377" t="s">
        <v>3</v>
      </c>
      <c r="BG377" t="s">
        <v>3</v>
      </c>
      <c r="BH377" t="s">
        <v>3</v>
      </c>
      <c r="BI377" t="s">
        <v>3</v>
      </c>
      <c r="BJ377" t="s">
        <v>4993</v>
      </c>
      <c r="BK377" t="s">
        <v>3</v>
      </c>
      <c r="BL377" t="s">
        <v>96</v>
      </c>
      <c r="BM377" t="s">
        <v>1</v>
      </c>
      <c r="BN377">
        <v>12900</v>
      </c>
      <c r="BO377" t="s">
        <v>1</v>
      </c>
      <c r="BP377" t="s">
        <v>1</v>
      </c>
      <c r="BQ377" t="s">
        <v>1</v>
      </c>
      <c r="BR377" t="s">
        <v>1</v>
      </c>
      <c r="BS377" t="s">
        <v>1</v>
      </c>
      <c r="BT377" t="s">
        <v>1</v>
      </c>
      <c r="BU377" t="s">
        <v>1</v>
      </c>
      <c r="BV377" t="s">
        <v>1</v>
      </c>
      <c r="BW377" t="s">
        <v>0</v>
      </c>
      <c r="BX377" t="s">
        <v>1</v>
      </c>
      <c r="BY377" t="s">
        <v>1</v>
      </c>
      <c r="BZ377" t="s">
        <v>1</v>
      </c>
      <c r="CA377" t="s">
        <v>1</v>
      </c>
      <c r="CB377" t="s">
        <v>1</v>
      </c>
      <c r="CD377" t="e" cm="1">
        <f t="array" aca="1" ref="CD377" ca="1">eConcatenar(A377:CB377,"|")</f>
        <v>#NAME?</v>
      </c>
    </row>
    <row r="378" spans="1:82" x14ac:dyDescent="0.25">
      <c r="A378" t="s">
        <v>473</v>
      </c>
      <c r="B378" t="s">
        <v>1486</v>
      </c>
      <c r="C378">
        <v>3</v>
      </c>
      <c r="D378" t="s">
        <v>2153</v>
      </c>
      <c r="E378" t="s">
        <v>2158</v>
      </c>
      <c r="F378" t="s">
        <v>2162</v>
      </c>
      <c r="G378" t="s">
        <v>2390</v>
      </c>
      <c r="H378" t="s">
        <v>2889</v>
      </c>
      <c r="I378">
        <v>14800</v>
      </c>
      <c r="J378">
        <v>0</v>
      </c>
      <c r="K378">
        <v>100</v>
      </c>
      <c r="L378">
        <v>50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 t="s">
        <v>3225</v>
      </c>
      <c r="AC378" t="s">
        <v>3135</v>
      </c>
      <c r="AD378" t="s">
        <v>3614</v>
      </c>
      <c r="AE378" t="s">
        <v>4</v>
      </c>
      <c r="AF378" t="s">
        <v>1</v>
      </c>
      <c r="AG378" t="s">
        <v>1</v>
      </c>
      <c r="AH378" t="s">
        <v>4373</v>
      </c>
      <c r="AI378" t="s">
        <v>2390</v>
      </c>
      <c r="AJ378" t="s">
        <v>1</v>
      </c>
      <c r="AK378">
        <v>9331295576</v>
      </c>
      <c r="AL378" t="s">
        <v>1</v>
      </c>
      <c r="AM378" t="s">
        <v>1</v>
      </c>
      <c r="AN378" t="s">
        <v>1</v>
      </c>
      <c r="AO378" t="s">
        <v>4373</v>
      </c>
      <c r="AP378" t="s">
        <v>1</v>
      </c>
      <c r="AQ378" t="s">
        <v>2</v>
      </c>
      <c r="AR378" t="s">
        <v>1</v>
      </c>
      <c r="AS378" t="s">
        <v>1</v>
      </c>
      <c r="AT378" t="s">
        <v>1</v>
      </c>
      <c r="AU378" t="s">
        <v>1</v>
      </c>
      <c r="AV378" t="s">
        <v>1</v>
      </c>
      <c r="AW378" t="s">
        <v>9</v>
      </c>
      <c r="AX378">
        <f>Tabla1[[#This Row],[precio del paquete]]-Tabla1[[#This Row],[Saldo_Deudor]]</f>
        <v>800</v>
      </c>
      <c r="AY378">
        <v>14000</v>
      </c>
      <c r="AZ378">
        <v>0</v>
      </c>
      <c r="BA378">
        <v>0</v>
      </c>
      <c r="BB378">
        <v>0</v>
      </c>
      <c r="BC378" t="s">
        <v>4826</v>
      </c>
      <c r="BD378" t="s">
        <v>2706</v>
      </c>
      <c r="BE378" t="s">
        <v>3</v>
      </c>
      <c r="BF378" t="s">
        <v>3</v>
      </c>
      <c r="BG378" t="s">
        <v>3</v>
      </c>
      <c r="BH378" t="s">
        <v>3</v>
      </c>
      <c r="BI378" t="s">
        <v>3</v>
      </c>
      <c r="BJ378" t="s">
        <v>4993</v>
      </c>
      <c r="BK378" t="s">
        <v>3</v>
      </c>
      <c r="BL378" t="s">
        <v>96</v>
      </c>
      <c r="BM378" t="s">
        <v>1</v>
      </c>
      <c r="BN378">
        <v>14800</v>
      </c>
      <c r="BO378" t="s">
        <v>1</v>
      </c>
      <c r="BP378" t="s">
        <v>1</v>
      </c>
      <c r="BQ378" t="s">
        <v>1</v>
      </c>
      <c r="BR378" t="s">
        <v>1</v>
      </c>
      <c r="BS378" t="s">
        <v>1</v>
      </c>
      <c r="BT378" t="s">
        <v>1</v>
      </c>
      <c r="BU378" t="s">
        <v>1</v>
      </c>
      <c r="BV378" t="s">
        <v>1</v>
      </c>
      <c r="BW378" t="s">
        <v>0</v>
      </c>
      <c r="BX378" t="s">
        <v>1</v>
      </c>
      <c r="BY378" t="s">
        <v>1</v>
      </c>
      <c r="BZ378" t="s">
        <v>1</v>
      </c>
      <c r="CA378" t="s">
        <v>1</v>
      </c>
      <c r="CB378" t="s">
        <v>1</v>
      </c>
      <c r="CD378" t="e" cm="1">
        <f t="array" aca="1" ref="CD378" ca="1">eConcatenar(A378:CB378,"|")</f>
        <v>#NAME?</v>
      </c>
    </row>
    <row r="379" spans="1:82" x14ac:dyDescent="0.25">
      <c r="A379" t="s">
        <v>474</v>
      </c>
      <c r="B379" t="s">
        <v>1487</v>
      </c>
      <c r="C379">
        <v>3</v>
      </c>
      <c r="D379" t="s">
        <v>2157</v>
      </c>
      <c r="E379" t="s">
        <v>2158</v>
      </c>
      <c r="F379" t="s">
        <v>2161</v>
      </c>
      <c r="G379" t="s">
        <v>2391</v>
      </c>
      <c r="H379" t="s">
        <v>2890</v>
      </c>
      <c r="I379">
        <v>12900</v>
      </c>
      <c r="J379">
        <v>0</v>
      </c>
      <c r="K379">
        <v>100</v>
      </c>
      <c r="L379">
        <v>50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 t="s">
        <v>3132</v>
      </c>
      <c r="AC379" t="s">
        <v>3115</v>
      </c>
      <c r="AD379" t="s">
        <v>3615</v>
      </c>
      <c r="AE379" t="s">
        <v>4</v>
      </c>
      <c r="AF379" t="s">
        <v>1</v>
      </c>
      <c r="AG379" t="s">
        <v>1</v>
      </c>
      <c r="AH379" t="s">
        <v>4374</v>
      </c>
      <c r="AI379" t="s">
        <v>2391</v>
      </c>
      <c r="AJ379" t="s">
        <v>1</v>
      </c>
      <c r="AK379">
        <v>9171355226</v>
      </c>
      <c r="AL379" t="s">
        <v>1</v>
      </c>
      <c r="AM379" t="s">
        <v>1</v>
      </c>
      <c r="AN379" t="s">
        <v>1</v>
      </c>
      <c r="AO379" t="s">
        <v>4374</v>
      </c>
      <c r="AP379" t="s">
        <v>1</v>
      </c>
      <c r="AQ379" t="s">
        <v>2</v>
      </c>
      <c r="AR379" t="s">
        <v>1</v>
      </c>
      <c r="AS379" t="s">
        <v>1</v>
      </c>
      <c r="AT379" t="s">
        <v>1</v>
      </c>
      <c r="AU379" t="s">
        <v>1</v>
      </c>
      <c r="AV379" t="s">
        <v>1</v>
      </c>
      <c r="AW379" t="s">
        <v>9</v>
      </c>
      <c r="AX379">
        <f>Tabla1[[#This Row],[precio del paquete]]-Tabla1[[#This Row],[Saldo_Deudor]]</f>
        <v>7700</v>
      </c>
      <c r="AY379">
        <v>5200</v>
      </c>
      <c r="AZ379">
        <v>0</v>
      </c>
      <c r="BA379">
        <v>0</v>
      </c>
      <c r="BB379">
        <v>0</v>
      </c>
      <c r="BC379" t="s">
        <v>4826</v>
      </c>
      <c r="BD379" t="s">
        <v>2706</v>
      </c>
      <c r="BE379" t="s">
        <v>3</v>
      </c>
      <c r="BF379" t="s">
        <v>3</v>
      </c>
      <c r="BG379" t="s">
        <v>3</v>
      </c>
      <c r="BH379" t="s">
        <v>3</v>
      </c>
      <c r="BI379" t="s">
        <v>3</v>
      </c>
      <c r="BJ379" t="s">
        <v>4989</v>
      </c>
      <c r="BK379" t="s">
        <v>3</v>
      </c>
      <c r="BL379" t="s">
        <v>96</v>
      </c>
      <c r="BM379" t="s">
        <v>1</v>
      </c>
      <c r="BN379">
        <v>12900</v>
      </c>
      <c r="BO379" t="s">
        <v>1</v>
      </c>
      <c r="BP379" t="s">
        <v>1</v>
      </c>
      <c r="BQ379" t="s">
        <v>1</v>
      </c>
      <c r="BR379" t="s">
        <v>1</v>
      </c>
      <c r="BS379" t="s">
        <v>1</v>
      </c>
      <c r="BT379" t="s">
        <v>1</v>
      </c>
      <c r="BU379" t="s">
        <v>1</v>
      </c>
      <c r="BV379" t="s">
        <v>1</v>
      </c>
      <c r="BW379" t="s">
        <v>0</v>
      </c>
      <c r="BX379" t="s">
        <v>1</v>
      </c>
      <c r="BY379" t="s">
        <v>1</v>
      </c>
      <c r="BZ379" t="s">
        <v>1</v>
      </c>
      <c r="CA379" t="s">
        <v>1</v>
      </c>
      <c r="CB379" t="s">
        <v>1</v>
      </c>
      <c r="CD379" t="e" cm="1">
        <f t="array" aca="1" ref="CD379" ca="1">eConcatenar(A379:CB379,"|")</f>
        <v>#NAME?</v>
      </c>
    </row>
    <row r="380" spans="1:82" x14ac:dyDescent="0.25">
      <c r="A380" t="s">
        <v>475</v>
      </c>
      <c r="B380" t="s">
        <v>1488</v>
      </c>
      <c r="C380">
        <v>3</v>
      </c>
      <c r="D380" t="s">
        <v>2157</v>
      </c>
      <c r="E380" t="s">
        <v>2158</v>
      </c>
      <c r="F380" t="s">
        <v>2161</v>
      </c>
      <c r="G380" t="s">
        <v>2391</v>
      </c>
      <c r="H380" t="s">
        <v>2891</v>
      </c>
      <c r="I380">
        <v>12900</v>
      </c>
      <c r="J380">
        <v>0</v>
      </c>
      <c r="K380">
        <v>100</v>
      </c>
      <c r="L380">
        <v>50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 t="s">
        <v>3134</v>
      </c>
      <c r="AC380" t="s">
        <v>6</v>
      </c>
      <c r="AD380" t="s">
        <v>3616</v>
      </c>
      <c r="AE380" t="s">
        <v>4</v>
      </c>
      <c r="AF380" t="s">
        <v>1</v>
      </c>
      <c r="AG380" t="s">
        <v>1</v>
      </c>
      <c r="AH380" t="s">
        <v>2391</v>
      </c>
      <c r="AI380" t="s">
        <v>2391</v>
      </c>
      <c r="AJ380" t="s">
        <v>1</v>
      </c>
      <c r="AK380" t="s">
        <v>1</v>
      </c>
      <c r="AL380" t="s">
        <v>1</v>
      </c>
      <c r="AM380" t="s">
        <v>1</v>
      </c>
      <c r="AN380" t="s">
        <v>1</v>
      </c>
      <c r="AO380" t="s">
        <v>2391</v>
      </c>
      <c r="AP380" t="s">
        <v>1</v>
      </c>
      <c r="AQ380" t="s">
        <v>2</v>
      </c>
      <c r="AR380" t="s">
        <v>1</v>
      </c>
      <c r="AS380" t="s">
        <v>1</v>
      </c>
      <c r="AT380" t="s">
        <v>1</v>
      </c>
      <c r="AU380" t="s">
        <v>1</v>
      </c>
      <c r="AV380" t="s">
        <v>1</v>
      </c>
      <c r="AW380" t="s">
        <v>9</v>
      </c>
      <c r="AX380">
        <f>Tabla1[[#This Row],[precio del paquete]]-Tabla1[[#This Row],[Saldo_Deudor]]</f>
        <v>5450</v>
      </c>
      <c r="AY380">
        <v>7450</v>
      </c>
      <c r="AZ380">
        <v>0</v>
      </c>
      <c r="BA380">
        <v>0</v>
      </c>
      <c r="BB380">
        <v>0</v>
      </c>
      <c r="BC380" t="s">
        <v>2755</v>
      </c>
      <c r="BD380" t="s">
        <v>4905</v>
      </c>
      <c r="BE380" t="s">
        <v>3</v>
      </c>
      <c r="BF380" t="s">
        <v>3</v>
      </c>
      <c r="BG380" t="s">
        <v>3</v>
      </c>
      <c r="BH380" t="s">
        <v>3</v>
      </c>
      <c r="BI380" t="s">
        <v>3</v>
      </c>
      <c r="BJ380" t="s">
        <v>4989</v>
      </c>
      <c r="BK380" t="s">
        <v>3</v>
      </c>
      <c r="BL380" t="s">
        <v>96</v>
      </c>
      <c r="BM380" t="s">
        <v>1</v>
      </c>
      <c r="BN380">
        <v>12900</v>
      </c>
      <c r="BO380" t="s">
        <v>1</v>
      </c>
      <c r="BP380" t="s">
        <v>1</v>
      </c>
      <c r="BQ380" t="s">
        <v>1</v>
      </c>
      <c r="BR380" t="s">
        <v>1</v>
      </c>
      <c r="BS380" t="s">
        <v>1</v>
      </c>
      <c r="BT380" t="s">
        <v>1</v>
      </c>
      <c r="BU380" t="s">
        <v>1</v>
      </c>
      <c r="BV380" t="s">
        <v>1</v>
      </c>
      <c r="BW380" t="s">
        <v>0</v>
      </c>
      <c r="BX380" t="s">
        <v>1</v>
      </c>
      <c r="BY380" t="s">
        <v>1</v>
      </c>
      <c r="BZ380" t="s">
        <v>1</v>
      </c>
      <c r="CA380" t="s">
        <v>1</v>
      </c>
      <c r="CB380" t="s">
        <v>1</v>
      </c>
      <c r="CD380" t="e" cm="1">
        <f t="array" aca="1" ref="CD380" ca="1">eConcatenar(A380:CB380,"|")</f>
        <v>#NAME?</v>
      </c>
    </row>
    <row r="381" spans="1:82" x14ac:dyDescent="0.25">
      <c r="A381" t="s">
        <v>476</v>
      </c>
      <c r="B381" t="s">
        <v>1489</v>
      </c>
      <c r="C381">
        <v>3</v>
      </c>
      <c r="D381" t="s">
        <v>2153</v>
      </c>
      <c r="E381" t="s">
        <v>10</v>
      </c>
      <c r="F381" t="s">
        <v>95</v>
      </c>
      <c r="G381" t="s">
        <v>2392</v>
      </c>
      <c r="H381" t="s">
        <v>2708</v>
      </c>
      <c r="I381">
        <v>14800</v>
      </c>
      <c r="J381">
        <v>0</v>
      </c>
      <c r="K381">
        <v>500</v>
      </c>
      <c r="L381">
        <v>50</v>
      </c>
      <c r="M381">
        <v>2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 t="s">
        <v>3115</v>
      </c>
      <c r="AC381" t="s">
        <v>3178</v>
      </c>
      <c r="AD381" t="s">
        <v>3617</v>
      </c>
      <c r="AE381" t="s">
        <v>4</v>
      </c>
      <c r="AF381" t="s">
        <v>1</v>
      </c>
      <c r="AG381" t="s">
        <v>1</v>
      </c>
      <c r="AH381" t="s">
        <v>4375</v>
      </c>
      <c r="AI381" t="s">
        <v>2392</v>
      </c>
      <c r="AJ381" t="s">
        <v>1</v>
      </c>
      <c r="AK381">
        <v>914056675</v>
      </c>
      <c r="AL381" t="s">
        <v>1</v>
      </c>
      <c r="AM381" t="s">
        <v>1</v>
      </c>
      <c r="AN381" t="s">
        <v>1</v>
      </c>
      <c r="AO381" t="s">
        <v>4375</v>
      </c>
      <c r="AP381" t="s">
        <v>1</v>
      </c>
      <c r="AQ381" t="s">
        <v>2</v>
      </c>
      <c r="AR381" t="s">
        <v>1</v>
      </c>
      <c r="AS381" t="s">
        <v>1</v>
      </c>
      <c r="AT381" t="s">
        <v>1</v>
      </c>
      <c r="AU381" t="s">
        <v>1</v>
      </c>
      <c r="AV381" t="s">
        <v>1</v>
      </c>
      <c r="AW381" t="s">
        <v>9</v>
      </c>
      <c r="AX381">
        <f>Tabla1[[#This Row],[precio del paquete]]-Tabla1[[#This Row],[Saldo_Deudor]]</f>
        <v>1000</v>
      </c>
      <c r="AY381">
        <v>13800</v>
      </c>
      <c r="AZ381">
        <v>0</v>
      </c>
      <c r="BA381">
        <v>0</v>
      </c>
      <c r="BB381">
        <v>0</v>
      </c>
      <c r="BC381" t="s">
        <v>2874</v>
      </c>
      <c r="BD381" t="s">
        <v>4932</v>
      </c>
      <c r="BE381" t="s">
        <v>3</v>
      </c>
      <c r="BF381" t="s">
        <v>3</v>
      </c>
      <c r="BG381" t="s">
        <v>3</v>
      </c>
      <c r="BH381" t="s">
        <v>3</v>
      </c>
      <c r="BI381" t="s">
        <v>3</v>
      </c>
      <c r="BJ381" t="s">
        <v>4992</v>
      </c>
      <c r="BK381" t="s">
        <v>3</v>
      </c>
      <c r="BL381" t="s">
        <v>96</v>
      </c>
      <c r="BM381" t="s">
        <v>1</v>
      </c>
      <c r="BN381">
        <v>14800</v>
      </c>
      <c r="BO381" t="s">
        <v>1</v>
      </c>
      <c r="BP381" t="s">
        <v>1</v>
      </c>
      <c r="BQ381" t="s">
        <v>1</v>
      </c>
      <c r="BR381" t="s">
        <v>1</v>
      </c>
      <c r="BS381" t="s">
        <v>1</v>
      </c>
      <c r="BT381" t="s">
        <v>1</v>
      </c>
      <c r="BU381" t="s">
        <v>1</v>
      </c>
      <c r="BV381" t="s">
        <v>1</v>
      </c>
      <c r="BW381" t="s">
        <v>0</v>
      </c>
      <c r="BX381" t="s">
        <v>1</v>
      </c>
      <c r="BY381" t="s">
        <v>1</v>
      </c>
      <c r="BZ381" t="s">
        <v>1</v>
      </c>
      <c r="CA381" t="s">
        <v>1</v>
      </c>
      <c r="CB381" t="s">
        <v>1</v>
      </c>
      <c r="CD381" t="e" cm="1">
        <f t="array" aca="1" ref="CD381" ca="1">eConcatenar(A381:CB381,"|")</f>
        <v>#NAME?</v>
      </c>
    </row>
    <row r="382" spans="1:82" x14ac:dyDescent="0.25">
      <c r="A382" t="s">
        <v>477</v>
      </c>
      <c r="B382" t="s">
        <v>1490</v>
      </c>
      <c r="C382">
        <v>3</v>
      </c>
      <c r="D382" t="s">
        <v>2155</v>
      </c>
      <c r="E382" t="s">
        <v>2158</v>
      </c>
      <c r="F382" t="s">
        <v>8</v>
      </c>
      <c r="G382" t="s">
        <v>2393</v>
      </c>
      <c r="H382" t="s">
        <v>2856</v>
      </c>
      <c r="I382">
        <v>12900</v>
      </c>
      <c r="J382">
        <v>0</v>
      </c>
      <c r="K382">
        <v>100</v>
      </c>
      <c r="L382">
        <v>50</v>
      </c>
      <c r="M382">
        <v>1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 t="s">
        <v>3390</v>
      </c>
      <c r="AC382" t="s">
        <v>3143</v>
      </c>
      <c r="AD382" t="s">
        <v>3618</v>
      </c>
      <c r="AE382" t="s">
        <v>4</v>
      </c>
      <c r="AF382" t="s">
        <v>1</v>
      </c>
      <c r="AG382" t="s">
        <v>1</v>
      </c>
      <c r="AH382" t="s">
        <v>4376</v>
      </c>
      <c r="AI382" t="s">
        <v>2393</v>
      </c>
      <c r="AJ382" t="s">
        <v>1</v>
      </c>
      <c r="AK382">
        <v>9141391078</v>
      </c>
      <c r="AL382" t="s">
        <v>1</v>
      </c>
      <c r="AM382" t="s">
        <v>1</v>
      </c>
      <c r="AN382" t="s">
        <v>1</v>
      </c>
      <c r="AO382" t="s">
        <v>4376</v>
      </c>
      <c r="AP382" t="s">
        <v>1</v>
      </c>
      <c r="AQ382" t="s">
        <v>2</v>
      </c>
      <c r="AR382" t="s">
        <v>1</v>
      </c>
      <c r="AS382" t="s">
        <v>1</v>
      </c>
      <c r="AT382" t="s">
        <v>1</v>
      </c>
      <c r="AU382" t="s">
        <v>1</v>
      </c>
      <c r="AV382" t="s">
        <v>1</v>
      </c>
      <c r="AW382" t="s">
        <v>9</v>
      </c>
      <c r="AX382">
        <f>Tabla1[[#This Row],[precio del paquete]]-Tabla1[[#This Row],[Saldo_Deudor]]</f>
        <v>650</v>
      </c>
      <c r="AY382">
        <v>12250</v>
      </c>
      <c r="AZ382">
        <v>0</v>
      </c>
      <c r="BA382">
        <v>0</v>
      </c>
      <c r="BB382">
        <v>0</v>
      </c>
      <c r="BC382" t="s">
        <v>3023</v>
      </c>
      <c r="BD382" t="s">
        <v>3075</v>
      </c>
      <c r="BE382" t="s">
        <v>3</v>
      </c>
      <c r="BF382" t="s">
        <v>3</v>
      </c>
      <c r="BG382" t="s">
        <v>3</v>
      </c>
      <c r="BH382" t="s">
        <v>3</v>
      </c>
      <c r="BI382" t="s">
        <v>3</v>
      </c>
      <c r="BJ382" t="s">
        <v>4983</v>
      </c>
      <c r="BK382" t="s">
        <v>3</v>
      </c>
      <c r="BL382" t="s">
        <v>96</v>
      </c>
      <c r="BM382" t="s">
        <v>1</v>
      </c>
      <c r="BN382">
        <v>12900</v>
      </c>
      <c r="BO382" t="s">
        <v>1</v>
      </c>
      <c r="BP382" t="s">
        <v>1</v>
      </c>
      <c r="BQ382" t="s">
        <v>1</v>
      </c>
      <c r="BR382" t="s">
        <v>1</v>
      </c>
      <c r="BS382" t="s">
        <v>1</v>
      </c>
      <c r="BT382" t="s">
        <v>1</v>
      </c>
      <c r="BU382" t="s">
        <v>1</v>
      </c>
      <c r="BV382" t="s">
        <v>1</v>
      </c>
      <c r="BW382" t="s">
        <v>0</v>
      </c>
      <c r="BX382" t="s">
        <v>1</v>
      </c>
      <c r="BY382" t="s">
        <v>1</v>
      </c>
      <c r="BZ382" t="s">
        <v>1</v>
      </c>
      <c r="CA382" t="s">
        <v>1</v>
      </c>
      <c r="CB382" t="s">
        <v>1</v>
      </c>
      <c r="CD382" t="e" cm="1">
        <f t="array" aca="1" ref="CD382" ca="1">eConcatenar(A382:CB382,"|")</f>
        <v>#NAME?</v>
      </c>
    </row>
    <row r="383" spans="1:82" x14ac:dyDescent="0.25">
      <c r="A383" t="s">
        <v>478</v>
      </c>
      <c r="B383" t="s">
        <v>1491</v>
      </c>
      <c r="C383">
        <v>3</v>
      </c>
      <c r="D383" t="s">
        <v>2157</v>
      </c>
      <c r="E383" t="s">
        <v>2158</v>
      </c>
      <c r="F383" t="s">
        <v>2159</v>
      </c>
      <c r="G383" t="s">
        <v>2394</v>
      </c>
      <c r="H383" t="s">
        <v>2892</v>
      </c>
      <c r="I383">
        <v>12900</v>
      </c>
      <c r="J383">
        <v>0</v>
      </c>
      <c r="K383">
        <v>100</v>
      </c>
      <c r="L383">
        <v>50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 t="s">
        <v>3177</v>
      </c>
      <c r="AC383" t="s">
        <v>3409</v>
      </c>
      <c r="AD383" t="s">
        <v>3602</v>
      </c>
      <c r="AE383" t="s">
        <v>4</v>
      </c>
      <c r="AF383" t="s">
        <v>1</v>
      </c>
      <c r="AG383" t="s">
        <v>1</v>
      </c>
      <c r="AH383" t="s">
        <v>2485</v>
      </c>
      <c r="AI383" t="s">
        <v>2394</v>
      </c>
      <c r="AJ383" t="s">
        <v>1</v>
      </c>
      <c r="AK383">
        <v>9331247322</v>
      </c>
      <c r="AL383" t="s">
        <v>1</v>
      </c>
      <c r="AM383" t="s">
        <v>1</v>
      </c>
      <c r="AN383" t="s">
        <v>1</v>
      </c>
      <c r="AO383" t="s">
        <v>2485</v>
      </c>
      <c r="AP383" t="s">
        <v>1</v>
      </c>
      <c r="AQ383" t="s">
        <v>2</v>
      </c>
      <c r="AR383" t="s">
        <v>1</v>
      </c>
      <c r="AS383" t="s">
        <v>1</v>
      </c>
      <c r="AT383" t="s">
        <v>1</v>
      </c>
      <c r="AU383" t="s">
        <v>1</v>
      </c>
      <c r="AV383" t="s">
        <v>1</v>
      </c>
      <c r="AW383" t="s">
        <v>9</v>
      </c>
      <c r="AX383">
        <f>Tabla1[[#This Row],[precio del paquete]]-Tabla1[[#This Row],[Saldo_Deudor]]</f>
        <v>12700</v>
      </c>
      <c r="AY383">
        <v>200</v>
      </c>
      <c r="AZ383">
        <v>0</v>
      </c>
      <c r="BA383">
        <v>0</v>
      </c>
      <c r="BB383">
        <v>0</v>
      </c>
      <c r="BC383" t="s">
        <v>2905</v>
      </c>
      <c r="BD383" t="s">
        <v>3024</v>
      </c>
      <c r="BE383" t="s">
        <v>3</v>
      </c>
      <c r="BF383" t="s">
        <v>3</v>
      </c>
      <c r="BG383" t="s">
        <v>3</v>
      </c>
      <c r="BH383" t="s">
        <v>3</v>
      </c>
      <c r="BI383" t="s">
        <v>3</v>
      </c>
      <c r="BJ383" t="s">
        <v>4983</v>
      </c>
      <c r="BK383" t="s">
        <v>3</v>
      </c>
      <c r="BL383" t="s">
        <v>96</v>
      </c>
      <c r="BM383" t="s">
        <v>1</v>
      </c>
      <c r="BN383">
        <v>12900</v>
      </c>
      <c r="BO383" t="s">
        <v>1</v>
      </c>
      <c r="BP383" t="s">
        <v>1</v>
      </c>
      <c r="BQ383" t="s">
        <v>1</v>
      </c>
      <c r="BR383" t="s">
        <v>1</v>
      </c>
      <c r="BS383" t="s">
        <v>1</v>
      </c>
      <c r="BT383" t="s">
        <v>1</v>
      </c>
      <c r="BU383" t="s">
        <v>1</v>
      </c>
      <c r="BV383" t="s">
        <v>1</v>
      </c>
      <c r="BW383" t="s">
        <v>0</v>
      </c>
      <c r="BX383" t="s">
        <v>1</v>
      </c>
      <c r="BY383" t="s">
        <v>1</v>
      </c>
      <c r="BZ383" t="s">
        <v>1</v>
      </c>
      <c r="CA383" t="s">
        <v>1</v>
      </c>
      <c r="CB383" t="s">
        <v>1</v>
      </c>
      <c r="CD383" t="e" cm="1">
        <f t="array" aca="1" ref="CD383" ca="1">eConcatenar(A383:CB383,"|")</f>
        <v>#NAME?</v>
      </c>
    </row>
    <row r="384" spans="1:82" s="2" customFormat="1" x14ac:dyDescent="0.25">
      <c r="A384" t="s">
        <v>479</v>
      </c>
      <c r="B384" t="s">
        <v>1492</v>
      </c>
      <c r="C384">
        <v>3</v>
      </c>
      <c r="D384" t="s">
        <v>2153</v>
      </c>
      <c r="E384" t="s">
        <v>2158</v>
      </c>
      <c r="F384" t="s">
        <v>2161</v>
      </c>
      <c r="G384" t="s">
        <v>2395</v>
      </c>
      <c r="H384" t="s">
        <v>2735</v>
      </c>
      <c r="I384">
        <v>14800</v>
      </c>
      <c r="J384">
        <v>0</v>
      </c>
      <c r="K384">
        <v>100</v>
      </c>
      <c r="L384">
        <v>50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 t="s">
        <v>3162</v>
      </c>
      <c r="AC384" t="s">
        <v>3143</v>
      </c>
      <c r="AD384" t="s">
        <v>3619</v>
      </c>
      <c r="AE384" t="s">
        <v>4</v>
      </c>
      <c r="AF384" t="s">
        <v>1</v>
      </c>
      <c r="AG384" t="s">
        <v>1</v>
      </c>
      <c r="AH384" t="s">
        <v>4377</v>
      </c>
      <c r="AI384" t="s">
        <v>2395</v>
      </c>
      <c r="AJ384" t="s">
        <v>1</v>
      </c>
      <c r="AK384">
        <v>9331026788</v>
      </c>
      <c r="AL384" t="s">
        <v>1</v>
      </c>
      <c r="AM384" t="s">
        <v>1</v>
      </c>
      <c r="AN384" t="s">
        <v>1</v>
      </c>
      <c r="AO384" t="s">
        <v>4377</v>
      </c>
      <c r="AP384" t="s">
        <v>1</v>
      </c>
      <c r="AQ384" t="s">
        <v>2</v>
      </c>
      <c r="AR384" t="s">
        <v>1</v>
      </c>
      <c r="AS384" t="s">
        <v>1</v>
      </c>
      <c r="AT384" t="s">
        <v>1</v>
      </c>
      <c r="AU384" t="s">
        <v>1</v>
      </c>
      <c r="AV384" t="s">
        <v>1</v>
      </c>
      <c r="AW384" t="s">
        <v>9</v>
      </c>
      <c r="AX384">
        <f>Tabla1[[#This Row],[precio del paquete]]-Tabla1[[#This Row],[Saldo_Deudor]]</f>
        <v>1600</v>
      </c>
      <c r="AY384">
        <v>13200</v>
      </c>
      <c r="AZ384">
        <v>0</v>
      </c>
      <c r="BA384">
        <v>0</v>
      </c>
      <c r="BB384">
        <v>0</v>
      </c>
      <c r="BC384" t="s">
        <v>3098</v>
      </c>
      <c r="BD384" t="s">
        <v>4829</v>
      </c>
      <c r="BE384" t="s">
        <v>3</v>
      </c>
      <c r="BF384" t="s">
        <v>3</v>
      </c>
      <c r="BG384" t="s">
        <v>3</v>
      </c>
      <c r="BH384" t="s">
        <v>3</v>
      </c>
      <c r="BI384" t="s">
        <v>3</v>
      </c>
      <c r="BJ384" t="s">
        <v>5011</v>
      </c>
      <c r="BK384" t="s">
        <v>3</v>
      </c>
      <c r="BL384" t="s">
        <v>96</v>
      </c>
      <c r="BM384" t="s">
        <v>1</v>
      </c>
      <c r="BN384">
        <v>14800</v>
      </c>
      <c r="BO384" t="s">
        <v>1</v>
      </c>
      <c r="BP384" t="s">
        <v>1</v>
      </c>
      <c r="BQ384" t="s">
        <v>1</v>
      </c>
      <c r="BR384" t="s">
        <v>1</v>
      </c>
      <c r="BS384" t="s">
        <v>1</v>
      </c>
      <c r="BT384" t="s">
        <v>1</v>
      </c>
      <c r="BU384" t="s">
        <v>1</v>
      </c>
      <c r="BV384" t="s">
        <v>1</v>
      </c>
      <c r="BW384" t="s">
        <v>0</v>
      </c>
      <c r="BX384" t="s">
        <v>1</v>
      </c>
      <c r="BY384" t="s">
        <v>1</v>
      </c>
      <c r="BZ384" t="s">
        <v>1</v>
      </c>
      <c r="CA384" t="s">
        <v>1</v>
      </c>
      <c r="CB384" t="s">
        <v>1</v>
      </c>
      <c r="CD384" s="2" t="e" cm="1">
        <f t="array" aca="1" ref="CD384" ca="1">eConcatenar(A384:CB384,"|")</f>
        <v>#NAME?</v>
      </c>
    </row>
    <row r="385" spans="1:82" x14ac:dyDescent="0.25">
      <c r="A385" t="s">
        <v>480</v>
      </c>
      <c r="B385" t="s">
        <v>1493</v>
      </c>
      <c r="C385">
        <v>3</v>
      </c>
      <c r="D385" t="s">
        <v>2153</v>
      </c>
      <c r="E385" t="s">
        <v>2158</v>
      </c>
      <c r="F385" t="s">
        <v>2161</v>
      </c>
      <c r="G385" t="s">
        <v>2395</v>
      </c>
      <c r="H385" t="s">
        <v>2893</v>
      </c>
      <c r="I385">
        <v>14800</v>
      </c>
      <c r="J385">
        <v>0</v>
      </c>
      <c r="K385">
        <v>100</v>
      </c>
      <c r="L385">
        <v>50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 t="s">
        <v>3241</v>
      </c>
      <c r="AC385" t="s">
        <v>3453</v>
      </c>
      <c r="AD385" t="s">
        <v>3620</v>
      </c>
      <c r="AE385" t="s">
        <v>4</v>
      </c>
      <c r="AF385" t="s">
        <v>1</v>
      </c>
      <c r="AG385" t="s">
        <v>1</v>
      </c>
      <c r="AH385" t="s">
        <v>4378</v>
      </c>
      <c r="AI385" t="s">
        <v>2395</v>
      </c>
      <c r="AJ385" t="s">
        <v>1</v>
      </c>
      <c r="AK385">
        <v>9171144003</v>
      </c>
      <c r="AL385" t="s">
        <v>1</v>
      </c>
      <c r="AM385" t="s">
        <v>1</v>
      </c>
      <c r="AN385" t="s">
        <v>1</v>
      </c>
      <c r="AO385" t="s">
        <v>4378</v>
      </c>
      <c r="AP385" t="s">
        <v>1</v>
      </c>
      <c r="AQ385" t="s">
        <v>2</v>
      </c>
      <c r="AR385" t="s">
        <v>1</v>
      </c>
      <c r="AS385" t="s">
        <v>1</v>
      </c>
      <c r="AT385" t="s">
        <v>1</v>
      </c>
      <c r="AU385" t="s">
        <v>1</v>
      </c>
      <c r="AV385" t="s">
        <v>1</v>
      </c>
      <c r="AW385" t="s">
        <v>9</v>
      </c>
      <c r="AX385">
        <f>Tabla1[[#This Row],[precio del paquete]]-Tabla1[[#This Row],[Saldo_Deudor]]</f>
        <v>7000</v>
      </c>
      <c r="AY385">
        <v>7800</v>
      </c>
      <c r="AZ385">
        <v>0</v>
      </c>
      <c r="BA385">
        <v>0</v>
      </c>
      <c r="BB385">
        <v>0</v>
      </c>
      <c r="BC385" t="s">
        <v>4826</v>
      </c>
      <c r="BD385" t="s">
        <v>2706</v>
      </c>
      <c r="BE385" t="s">
        <v>3</v>
      </c>
      <c r="BF385" t="s">
        <v>3</v>
      </c>
      <c r="BG385" t="s">
        <v>3</v>
      </c>
      <c r="BH385" t="s">
        <v>3</v>
      </c>
      <c r="BI385" t="s">
        <v>3</v>
      </c>
      <c r="BJ385" t="s">
        <v>4983</v>
      </c>
      <c r="BK385" t="s">
        <v>3</v>
      </c>
      <c r="BL385" t="s">
        <v>96</v>
      </c>
      <c r="BM385" t="s">
        <v>1</v>
      </c>
      <c r="BN385">
        <v>14800</v>
      </c>
      <c r="BO385" t="s">
        <v>1</v>
      </c>
      <c r="BP385" t="s">
        <v>1</v>
      </c>
      <c r="BQ385" t="s">
        <v>1</v>
      </c>
      <c r="BR385" t="s">
        <v>1</v>
      </c>
      <c r="BS385" t="s">
        <v>1</v>
      </c>
      <c r="BT385" t="s">
        <v>1</v>
      </c>
      <c r="BU385" t="s">
        <v>1</v>
      </c>
      <c r="BV385" t="s">
        <v>1</v>
      </c>
      <c r="BW385" t="s">
        <v>0</v>
      </c>
      <c r="BX385" t="s">
        <v>1</v>
      </c>
      <c r="BY385" t="s">
        <v>1</v>
      </c>
      <c r="BZ385" t="s">
        <v>1</v>
      </c>
      <c r="CA385" t="s">
        <v>1</v>
      </c>
      <c r="CB385" t="s">
        <v>1</v>
      </c>
      <c r="CD385" t="e" cm="1">
        <f t="array" aca="1" ref="CD385" ca="1">eConcatenar(A385:CB385,"|")</f>
        <v>#NAME?</v>
      </c>
    </row>
    <row r="386" spans="1:82" x14ac:dyDescent="0.25">
      <c r="A386" t="s">
        <v>481</v>
      </c>
      <c r="B386" t="s">
        <v>1494</v>
      </c>
      <c r="C386">
        <v>3</v>
      </c>
      <c r="D386" t="s">
        <v>2153</v>
      </c>
      <c r="E386" t="s">
        <v>2158</v>
      </c>
      <c r="F386" t="s">
        <v>2159</v>
      </c>
      <c r="G386" t="s">
        <v>2396</v>
      </c>
      <c r="H386" t="s">
        <v>2785</v>
      </c>
      <c r="I386">
        <v>14800</v>
      </c>
      <c r="J386">
        <v>0</v>
      </c>
      <c r="K386">
        <v>100</v>
      </c>
      <c r="L386">
        <v>50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 t="s">
        <v>3168</v>
      </c>
      <c r="AC386" t="s">
        <v>3132</v>
      </c>
      <c r="AD386" t="s">
        <v>3272</v>
      </c>
      <c r="AE386" t="s">
        <v>4</v>
      </c>
      <c r="AF386" t="s">
        <v>1</v>
      </c>
      <c r="AG386" t="s">
        <v>1</v>
      </c>
      <c r="AH386" t="s">
        <v>2411</v>
      </c>
      <c r="AI386" t="s">
        <v>2396</v>
      </c>
      <c r="AJ386" t="s">
        <v>1</v>
      </c>
      <c r="AK386">
        <v>9331176410</v>
      </c>
      <c r="AL386" t="s">
        <v>1</v>
      </c>
      <c r="AM386" t="s">
        <v>1</v>
      </c>
      <c r="AN386" t="s">
        <v>1</v>
      </c>
      <c r="AO386" t="s">
        <v>2411</v>
      </c>
      <c r="AP386" t="s">
        <v>1</v>
      </c>
      <c r="AQ386" t="s">
        <v>2</v>
      </c>
      <c r="AR386" t="s">
        <v>1</v>
      </c>
      <c r="AS386" t="s">
        <v>1</v>
      </c>
      <c r="AT386" t="s">
        <v>1</v>
      </c>
      <c r="AU386" t="s">
        <v>1</v>
      </c>
      <c r="AV386" t="s">
        <v>1</v>
      </c>
      <c r="AW386" t="s">
        <v>9</v>
      </c>
      <c r="AX386">
        <f>Tabla1[[#This Row],[precio del paquete]]-Tabla1[[#This Row],[Saldo_Deudor]]</f>
        <v>1400</v>
      </c>
      <c r="AY386">
        <v>13400</v>
      </c>
      <c r="AZ386">
        <v>0</v>
      </c>
      <c r="BA386">
        <v>0</v>
      </c>
      <c r="BB386">
        <v>0</v>
      </c>
      <c r="BC386" t="s">
        <v>2925</v>
      </c>
      <c r="BD386" t="s">
        <v>3078</v>
      </c>
      <c r="BE386" t="s">
        <v>3</v>
      </c>
      <c r="BF386" t="s">
        <v>3</v>
      </c>
      <c r="BG386" t="s">
        <v>3</v>
      </c>
      <c r="BH386" t="s">
        <v>3</v>
      </c>
      <c r="BI386" t="s">
        <v>3</v>
      </c>
      <c r="BJ386" t="s">
        <v>4989</v>
      </c>
      <c r="BK386" t="s">
        <v>3</v>
      </c>
      <c r="BL386" t="s">
        <v>96</v>
      </c>
      <c r="BM386" t="s">
        <v>1</v>
      </c>
      <c r="BN386">
        <v>14800</v>
      </c>
      <c r="BO386" t="s">
        <v>1</v>
      </c>
      <c r="BP386" t="s">
        <v>1</v>
      </c>
      <c r="BQ386" t="s">
        <v>1</v>
      </c>
      <c r="BR386" t="s">
        <v>1</v>
      </c>
      <c r="BS386" t="s">
        <v>1</v>
      </c>
      <c r="BT386" t="s">
        <v>1</v>
      </c>
      <c r="BU386" t="s">
        <v>1</v>
      </c>
      <c r="BV386" t="s">
        <v>1</v>
      </c>
      <c r="BW386" t="s">
        <v>0</v>
      </c>
      <c r="BX386" t="s">
        <v>1</v>
      </c>
      <c r="BY386" t="s">
        <v>1</v>
      </c>
      <c r="BZ386" t="s">
        <v>1</v>
      </c>
      <c r="CA386" t="s">
        <v>1</v>
      </c>
      <c r="CB386" t="s">
        <v>1</v>
      </c>
      <c r="CD386" t="e" cm="1">
        <f t="array" aca="1" ref="CD386" ca="1">eConcatenar(A386:CB386,"|")</f>
        <v>#NAME?</v>
      </c>
    </row>
    <row r="387" spans="1:82" x14ac:dyDescent="0.25">
      <c r="A387" t="s">
        <v>482</v>
      </c>
      <c r="B387" t="s">
        <v>1495</v>
      </c>
      <c r="C387">
        <v>3</v>
      </c>
      <c r="D387" t="s">
        <v>2153</v>
      </c>
      <c r="E387" t="s">
        <v>2158</v>
      </c>
      <c r="F387" t="s">
        <v>2161</v>
      </c>
      <c r="G387" t="s">
        <v>2397</v>
      </c>
      <c r="H387" t="s">
        <v>2703</v>
      </c>
      <c r="I387">
        <v>14800</v>
      </c>
      <c r="J387">
        <v>0</v>
      </c>
      <c r="K387">
        <v>200</v>
      </c>
      <c r="L387">
        <v>50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 t="s">
        <v>3554</v>
      </c>
      <c r="AC387" t="s">
        <v>3119</v>
      </c>
      <c r="AD387" t="s">
        <v>3621</v>
      </c>
      <c r="AE387" t="s">
        <v>4</v>
      </c>
      <c r="AF387" t="s">
        <v>1</v>
      </c>
      <c r="AG387" t="s">
        <v>1</v>
      </c>
      <c r="AH387" t="s">
        <v>2397</v>
      </c>
      <c r="AI387" t="s">
        <v>2397</v>
      </c>
      <c r="AJ387" t="s">
        <v>1</v>
      </c>
      <c r="AK387">
        <v>9332101382</v>
      </c>
      <c r="AL387" t="s">
        <v>1</v>
      </c>
      <c r="AM387" t="s">
        <v>1</v>
      </c>
      <c r="AN387" t="s">
        <v>1</v>
      </c>
      <c r="AO387" t="s">
        <v>2397</v>
      </c>
      <c r="AP387" t="s">
        <v>1</v>
      </c>
      <c r="AQ387" t="s">
        <v>2</v>
      </c>
      <c r="AR387" t="s">
        <v>1</v>
      </c>
      <c r="AS387" t="s">
        <v>1</v>
      </c>
      <c r="AT387" t="s">
        <v>1</v>
      </c>
      <c r="AU387" t="s">
        <v>1</v>
      </c>
      <c r="AV387" t="s">
        <v>1</v>
      </c>
      <c r="AW387" t="s">
        <v>9</v>
      </c>
      <c r="AX387">
        <f>Tabla1[[#This Row],[precio del paquete]]-Tabla1[[#This Row],[Saldo_Deudor]]</f>
        <v>1000</v>
      </c>
      <c r="AY387">
        <v>13800</v>
      </c>
      <c r="AZ387">
        <v>0</v>
      </c>
      <c r="BA387">
        <v>0</v>
      </c>
      <c r="BB387">
        <v>0</v>
      </c>
      <c r="BC387" t="s">
        <v>2923</v>
      </c>
      <c r="BD387" t="s">
        <v>4910</v>
      </c>
      <c r="BE387" t="s">
        <v>3</v>
      </c>
      <c r="BF387" t="s">
        <v>3</v>
      </c>
      <c r="BG387" t="s">
        <v>3</v>
      </c>
      <c r="BH387" t="s">
        <v>3</v>
      </c>
      <c r="BI387" t="s">
        <v>3</v>
      </c>
      <c r="BJ387" t="s">
        <v>5002</v>
      </c>
      <c r="BK387" t="s">
        <v>3</v>
      </c>
      <c r="BL387" t="s">
        <v>96</v>
      </c>
      <c r="BM387" t="s">
        <v>1</v>
      </c>
      <c r="BN387">
        <v>14800</v>
      </c>
      <c r="BO387" t="s">
        <v>1</v>
      </c>
      <c r="BP387" t="s">
        <v>1</v>
      </c>
      <c r="BQ387" t="s">
        <v>1</v>
      </c>
      <c r="BR387" t="s">
        <v>1</v>
      </c>
      <c r="BS387" t="s">
        <v>1</v>
      </c>
      <c r="BT387" t="s">
        <v>1</v>
      </c>
      <c r="BU387" t="s">
        <v>1</v>
      </c>
      <c r="BV387" t="s">
        <v>1</v>
      </c>
      <c r="BW387" t="s">
        <v>0</v>
      </c>
      <c r="BX387" t="s">
        <v>1</v>
      </c>
      <c r="BY387" t="s">
        <v>1</v>
      </c>
      <c r="BZ387" t="s">
        <v>1</v>
      </c>
      <c r="CA387" t="s">
        <v>1</v>
      </c>
      <c r="CB387" t="s">
        <v>1</v>
      </c>
      <c r="CD387" t="e" cm="1">
        <f t="array" aca="1" ref="CD387" ca="1">eConcatenar(A387:CB387,"|")</f>
        <v>#NAME?</v>
      </c>
    </row>
    <row r="388" spans="1:82" x14ac:dyDescent="0.25">
      <c r="A388" t="s">
        <v>483</v>
      </c>
      <c r="B388" t="s">
        <v>1496</v>
      </c>
      <c r="C388">
        <v>3</v>
      </c>
      <c r="D388" t="s">
        <v>2153</v>
      </c>
      <c r="E388" t="s">
        <v>10</v>
      </c>
      <c r="F388" t="s">
        <v>0</v>
      </c>
      <c r="G388" t="s">
        <v>2398</v>
      </c>
      <c r="H388" t="s">
        <v>2825</v>
      </c>
      <c r="I388">
        <v>14800</v>
      </c>
      <c r="J388">
        <v>0</v>
      </c>
      <c r="K388">
        <v>50</v>
      </c>
      <c r="L388">
        <v>50</v>
      </c>
      <c r="M388">
        <v>2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 t="s">
        <v>3137</v>
      </c>
      <c r="AC388" t="s">
        <v>3117</v>
      </c>
      <c r="AD388" t="s">
        <v>3622</v>
      </c>
      <c r="AE388" t="s">
        <v>4</v>
      </c>
      <c r="AF388" t="s">
        <v>1</v>
      </c>
      <c r="AG388" t="s">
        <v>1</v>
      </c>
      <c r="AH388" t="s">
        <v>4379</v>
      </c>
      <c r="AI388" t="s">
        <v>2398</v>
      </c>
      <c r="AJ388" t="s">
        <v>1</v>
      </c>
      <c r="AK388">
        <v>9371014189</v>
      </c>
      <c r="AL388" t="s">
        <v>1</v>
      </c>
      <c r="AM388" t="s">
        <v>1</v>
      </c>
      <c r="AN388" t="s">
        <v>1</v>
      </c>
      <c r="AO388" t="s">
        <v>4379</v>
      </c>
      <c r="AP388" t="s">
        <v>1</v>
      </c>
      <c r="AQ388" t="s">
        <v>2</v>
      </c>
      <c r="AR388" t="s">
        <v>1</v>
      </c>
      <c r="AS388" t="s">
        <v>1</v>
      </c>
      <c r="AT388" t="s">
        <v>1</v>
      </c>
      <c r="AU388" t="s">
        <v>1</v>
      </c>
      <c r="AV388" t="s">
        <v>1</v>
      </c>
      <c r="AW388" t="s">
        <v>9</v>
      </c>
      <c r="AX388">
        <f>Tabla1[[#This Row],[precio del paquete]]-Tabla1[[#This Row],[Saldo_Deudor]]</f>
        <v>50</v>
      </c>
      <c r="AY388">
        <v>14750</v>
      </c>
      <c r="AZ388">
        <v>0</v>
      </c>
      <c r="BA388">
        <v>0</v>
      </c>
      <c r="BB388">
        <v>0</v>
      </c>
      <c r="BC388" t="s">
        <v>2825</v>
      </c>
      <c r="BD388" t="s">
        <v>2801</v>
      </c>
      <c r="BE388" t="s">
        <v>3</v>
      </c>
      <c r="BF388" t="s">
        <v>3</v>
      </c>
      <c r="BG388" t="s">
        <v>3</v>
      </c>
      <c r="BH388" t="s">
        <v>3</v>
      </c>
      <c r="BI388" t="s">
        <v>3</v>
      </c>
      <c r="BJ388" t="s">
        <v>5007</v>
      </c>
      <c r="BK388" t="s">
        <v>3</v>
      </c>
      <c r="BL388" t="s">
        <v>96</v>
      </c>
      <c r="BM388" t="s">
        <v>1</v>
      </c>
      <c r="BN388">
        <v>14800</v>
      </c>
      <c r="BO388" t="s">
        <v>1</v>
      </c>
      <c r="BP388" t="s">
        <v>1</v>
      </c>
      <c r="BQ388" t="s">
        <v>1</v>
      </c>
      <c r="BR388" t="s">
        <v>1</v>
      </c>
      <c r="BS388" t="s">
        <v>1</v>
      </c>
      <c r="BT388" t="s">
        <v>1</v>
      </c>
      <c r="BU388" t="s">
        <v>1</v>
      </c>
      <c r="BV388" t="s">
        <v>1</v>
      </c>
      <c r="BW388" t="s">
        <v>0</v>
      </c>
      <c r="BX388" t="s">
        <v>1</v>
      </c>
      <c r="BY388" t="s">
        <v>1</v>
      </c>
      <c r="BZ388" t="s">
        <v>1</v>
      </c>
      <c r="CA388" t="s">
        <v>1</v>
      </c>
      <c r="CB388" t="s">
        <v>1</v>
      </c>
      <c r="CD388" t="e" cm="1">
        <f t="array" aca="1" ref="CD388" ca="1">eConcatenar(A388:CB388,"|")</f>
        <v>#NAME?</v>
      </c>
    </row>
    <row r="389" spans="1:82" x14ac:dyDescent="0.25">
      <c r="A389" t="s">
        <v>484</v>
      </c>
      <c r="B389" t="s">
        <v>1497</v>
      </c>
      <c r="C389">
        <v>3</v>
      </c>
      <c r="D389" t="s">
        <v>2153</v>
      </c>
      <c r="E389" t="s">
        <v>2158</v>
      </c>
      <c r="F389" t="s">
        <v>2160</v>
      </c>
      <c r="G389" t="s">
        <v>2399</v>
      </c>
      <c r="H389" t="s">
        <v>2842</v>
      </c>
      <c r="I389">
        <v>14800</v>
      </c>
      <c r="J389">
        <v>0</v>
      </c>
      <c r="K389">
        <v>100</v>
      </c>
      <c r="L389">
        <v>50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 t="s">
        <v>3236</v>
      </c>
      <c r="AC389" t="s">
        <v>3623</v>
      </c>
      <c r="AD389" t="s">
        <v>3624</v>
      </c>
      <c r="AE389" t="s">
        <v>4</v>
      </c>
      <c r="AF389" t="s">
        <v>1</v>
      </c>
      <c r="AG389" t="s">
        <v>1</v>
      </c>
      <c r="AH389" t="s">
        <v>4380</v>
      </c>
      <c r="AI389" t="s">
        <v>2399</v>
      </c>
      <c r="AJ389" t="s">
        <v>1</v>
      </c>
      <c r="AK389">
        <v>9371246024</v>
      </c>
      <c r="AL389" t="s">
        <v>1</v>
      </c>
      <c r="AM389" t="s">
        <v>1</v>
      </c>
      <c r="AN389" t="s">
        <v>1</v>
      </c>
      <c r="AO389" t="s">
        <v>4380</v>
      </c>
      <c r="AP389" t="s">
        <v>1</v>
      </c>
      <c r="AQ389" t="s">
        <v>2</v>
      </c>
      <c r="AR389" t="s">
        <v>1</v>
      </c>
      <c r="AS389" t="s">
        <v>1</v>
      </c>
      <c r="AT389" t="s">
        <v>1</v>
      </c>
      <c r="AU389" t="s">
        <v>1</v>
      </c>
      <c r="AV389" t="s">
        <v>1</v>
      </c>
      <c r="AW389" t="s">
        <v>9</v>
      </c>
      <c r="AX389">
        <f>Tabla1[[#This Row],[precio del paquete]]-Tabla1[[#This Row],[Saldo_Deudor]]</f>
        <v>1200</v>
      </c>
      <c r="AY389">
        <v>13600</v>
      </c>
      <c r="AZ389">
        <v>0</v>
      </c>
      <c r="BA389">
        <v>0</v>
      </c>
      <c r="BB389">
        <v>0</v>
      </c>
      <c r="BC389" t="s">
        <v>4827</v>
      </c>
      <c r="BD389" t="s">
        <v>4895</v>
      </c>
      <c r="BE389" t="s">
        <v>3</v>
      </c>
      <c r="BF389" t="s">
        <v>3</v>
      </c>
      <c r="BG389" t="s">
        <v>3</v>
      </c>
      <c r="BH389" t="s">
        <v>3</v>
      </c>
      <c r="BI389" t="s">
        <v>3</v>
      </c>
      <c r="BJ389" t="s">
        <v>4983</v>
      </c>
      <c r="BK389" t="s">
        <v>3</v>
      </c>
      <c r="BL389" t="s">
        <v>96</v>
      </c>
      <c r="BM389" t="s">
        <v>1</v>
      </c>
      <c r="BN389">
        <v>14800</v>
      </c>
      <c r="BO389" t="s">
        <v>1</v>
      </c>
      <c r="BP389" t="s">
        <v>1</v>
      </c>
      <c r="BQ389" t="s">
        <v>1</v>
      </c>
      <c r="BR389" t="s">
        <v>1</v>
      </c>
      <c r="BS389" t="s">
        <v>1</v>
      </c>
      <c r="BT389" t="s">
        <v>1</v>
      </c>
      <c r="BU389" t="s">
        <v>1</v>
      </c>
      <c r="BV389" t="s">
        <v>1</v>
      </c>
      <c r="BW389" t="s">
        <v>0</v>
      </c>
      <c r="BX389" t="s">
        <v>1</v>
      </c>
      <c r="BY389" t="s">
        <v>1</v>
      </c>
      <c r="BZ389" t="s">
        <v>1</v>
      </c>
      <c r="CA389" t="s">
        <v>1</v>
      </c>
      <c r="CB389" t="s">
        <v>1</v>
      </c>
      <c r="CD389" t="e" cm="1">
        <f t="array" aca="1" ref="CD389" ca="1">eConcatenar(A389:CB389,"|")</f>
        <v>#NAME?</v>
      </c>
    </row>
    <row r="390" spans="1:82" x14ac:dyDescent="0.25">
      <c r="A390" t="s">
        <v>485</v>
      </c>
      <c r="B390" t="s">
        <v>1498</v>
      </c>
      <c r="C390">
        <v>3</v>
      </c>
      <c r="D390" t="s">
        <v>2155</v>
      </c>
      <c r="E390" t="s">
        <v>10</v>
      </c>
      <c r="F390" t="s">
        <v>94</v>
      </c>
      <c r="G390" t="s">
        <v>2400</v>
      </c>
      <c r="H390" t="s">
        <v>2813</v>
      </c>
      <c r="I390">
        <v>12900</v>
      </c>
      <c r="J390">
        <v>0</v>
      </c>
      <c r="K390">
        <v>400</v>
      </c>
      <c r="L390">
        <v>50</v>
      </c>
      <c r="M390">
        <v>2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 t="s">
        <v>3148</v>
      </c>
      <c r="AC390" t="s">
        <v>3423</v>
      </c>
      <c r="AD390" t="s">
        <v>3567</v>
      </c>
      <c r="AE390" t="s">
        <v>4</v>
      </c>
      <c r="AF390" t="s">
        <v>1</v>
      </c>
      <c r="AG390" t="s">
        <v>1</v>
      </c>
      <c r="AH390" t="s">
        <v>4381</v>
      </c>
      <c r="AI390" t="s">
        <v>2400</v>
      </c>
      <c r="AJ390" t="s">
        <v>1</v>
      </c>
      <c r="AK390">
        <v>9331637646</v>
      </c>
      <c r="AL390" t="s">
        <v>1</v>
      </c>
      <c r="AM390" t="s">
        <v>1</v>
      </c>
      <c r="AN390" t="s">
        <v>1</v>
      </c>
      <c r="AO390" t="s">
        <v>4381</v>
      </c>
      <c r="AP390" t="s">
        <v>1</v>
      </c>
      <c r="AQ390" t="s">
        <v>2</v>
      </c>
      <c r="AR390" t="s">
        <v>1</v>
      </c>
      <c r="AS390" t="s">
        <v>1</v>
      </c>
      <c r="AT390" t="s">
        <v>1</v>
      </c>
      <c r="AU390" t="s">
        <v>1</v>
      </c>
      <c r="AV390" t="s">
        <v>1</v>
      </c>
      <c r="AW390" t="s">
        <v>9</v>
      </c>
      <c r="AX390">
        <f>Tabla1[[#This Row],[precio del paquete]]-Tabla1[[#This Row],[Saldo_Deudor]]</f>
        <v>3600</v>
      </c>
      <c r="AY390">
        <v>9300</v>
      </c>
      <c r="AZ390">
        <v>0</v>
      </c>
      <c r="BA390">
        <v>0</v>
      </c>
      <c r="BB390">
        <v>0</v>
      </c>
      <c r="BC390" t="s">
        <v>2904</v>
      </c>
      <c r="BD390" t="s">
        <v>4927</v>
      </c>
      <c r="BE390" t="s">
        <v>3</v>
      </c>
      <c r="BF390" t="s">
        <v>3</v>
      </c>
      <c r="BG390" t="s">
        <v>3</v>
      </c>
      <c r="BH390" t="s">
        <v>3</v>
      </c>
      <c r="BI390" t="s">
        <v>3</v>
      </c>
      <c r="BJ390" t="s">
        <v>4985</v>
      </c>
      <c r="BK390" t="s">
        <v>3</v>
      </c>
      <c r="BL390" t="s">
        <v>96</v>
      </c>
      <c r="BM390" t="s">
        <v>1</v>
      </c>
      <c r="BN390">
        <v>12900</v>
      </c>
      <c r="BO390" t="s">
        <v>1</v>
      </c>
      <c r="BP390" t="s">
        <v>1</v>
      </c>
      <c r="BQ390" t="s">
        <v>1</v>
      </c>
      <c r="BR390" t="s">
        <v>1</v>
      </c>
      <c r="BS390" t="s">
        <v>1</v>
      </c>
      <c r="BT390" t="s">
        <v>1</v>
      </c>
      <c r="BU390" t="s">
        <v>1</v>
      </c>
      <c r="BV390" t="s">
        <v>1</v>
      </c>
      <c r="BW390" t="s">
        <v>0</v>
      </c>
      <c r="BX390" t="s">
        <v>1</v>
      </c>
      <c r="BY390" t="s">
        <v>1</v>
      </c>
      <c r="BZ390" t="s">
        <v>1</v>
      </c>
      <c r="CA390" t="s">
        <v>1</v>
      </c>
      <c r="CB390" t="s">
        <v>1</v>
      </c>
      <c r="CD390" t="e" cm="1">
        <f t="array" aca="1" ref="CD390" ca="1">eConcatenar(A390:CB390,"|")</f>
        <v>#NAME?</v>
      </c>
    </row>
    <row r="391" spans="1:82" x14ac:dyDescent="0.25">
      <c r="A391" t="s">
        <v>486</v>
      </c>
      <c r="B391" t="s">
        <v>1499</v>
      </c>
      <c r="C391">
        <v>3</v>
      </c>
      <c r="D391" t="s">
        <v>2153</v>
      </c>
      <c r="E391" t="s">
        <v>2158</v>
      </c>
      <c r="F391" t="s">
        <v>2159</v>
      </c>
      <c r="G391" t="s">
        <v>2401</v>
      </c>
      <c r="H391" t="s">
        <v>2698</v>
      </c>
      <c r="I391">
        <v>14800</v>
      </c>
      <c r="J391">
        <v>0</v>
      </c>
      <c r="K391">
        <v>200</v>
      </c>
      <c r="L391">
        <v>50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 t="s">
        <v>3243</v>
      </c>
      <c r="AC391" t="s">
        <v>3122</v>
      </c>
      <c r="AD391" t="s">
        <v>3625</v>
      </c>
      <c r="AE391" t="s">
        <v>4</v>
      </c>
      <c r="AF391" t="s">
        <v>1</v>
      </c>
      <c r="AG391" t="s">
        <v>1</v>
      </c>
      <c r="AH391" t="s">
        <v>4382</v>
      </c>
      <c r="AI391" t="s">
        <v>2401</v>
      </c>
      <c r="AJ391" t="s">
        <v>1</v>
      </c>
      <c r="AK391">
        <v>9331687828</v>
      </c>
      <c r="AL391" t="s">
        <v>1</v>
      </c>
      <c r="AM391" t="s">
        <v>1</v>
      </c>
      <c r="AN391" t="s">
        <v>1</v>
      </c>
      <c r="AO391" t="s">
        <v>4382</v>
      </c>
      <c r="AP391" t="s">
        <v>1</v>
      </c>
      <c r="AQ391" t="s">
        <v>2</v>
      </c>
      <c r="AR391" t="s">
        <v>1</v>
      </c>
      <c r="AS391" t="s">
        <v>1</v>
      </c>
      <c r="AT391" t="s">
        <v>1</v>
      </c>
      <c r="AU391" t="s">
        <v>1</v>
      </c>
      <c r="AV391" t="s">
        <v>1</v>
      </c>
      <c r="AW391" t="s">
        <v>9</v>
      </c>
      <c r="AX391">
        <f>Tabla1[[#This Row],[precio del paquete]]-Tabla1[[#This Row],[Saldo_Deudor]]</f>
        <v>1300</v>
      </c>
      <c r="AY391">
        <v>13500</v>
      </c>
      <c r="AZ391">
        <v>0</v>
      </c>
      <c r="BA391">
        <v>0</v>
      </c>
      <c r="BB391">
        <v>0</v>
      </c>
      <c r="BC391" t="s">
        <v>4847</v>
      </c>
      <c r="BD391" t="s">
        <v>4826</v>
      </c>
      <c r="BE391" t="s">
        <v>3</v>
      </c>
      <c r="BF391" t="s">
        <v>3</v>
      </c>
      <c r="BG391" t="s">
        <v>3</v>
      </c>
      <c r="BH391" t="s">
        <v>3</v>
      </c>
      <c r="BI391" t="s">
        <v>3</v>
      </c>
      <c r="BJ391" t="s">
        <v>5006</v>
      </c>
      <c r="BK391" t="s">
        <v>3</v>
      </c>
      <c r="BL391" t="s">
        <v>96</v>
      </c>
      <c r="BM391" t="s">
        <v>1</v>
      </c>
      <c r="BN391">
        <v>14800</v>
      </c>
      <c r="BO391" t="s">
        <v>1</v>
      </c>
      <c r="BP391" t="s">
        <v>1</v>
      </c>
      <c r="BQ391" t="s">
        <v>1</v>
      </c>
      <c r="BR391" t="s">
        <v>1</v>
      </c>
      <c r="BS391" t="s">
        <v>1</v>
      </c>
      <c r="BT391" t="s">
        <v>1</v>
      </c>
      <c r="BU391" t="s">
        <v>1</v>
      </c>
      <c r="BV391" t="s">
        <v>1</v>
      </c>
      <c r="BW391" t="s">
        <v>0</v>
      </c>
      <c r="BX391" t="s">
        <v>1</v>
      </c>
      <c r="BY391" t="s">
        <v>1</v>
      </c>
      <c r="BZ391" t="s">
        <v>1</v>
      </c>
      <c r="CA391" t="s">
        <v>1</v>
      </c>
      <c r="CB391" t="s">
        <v>1</v>
      </c>
      <c r="CD391" t="e" cm="1">
        <f t="array" aca="1" ref="CD391" ca="1">eConcatenar(A391:CB391,"|")</f>
        <v>#NAME?</v>
      </c>
    </row>
    <row r="392" spans="1:82" x14ac:dyDescent="0.25">
      <c r="A392" t="s">
        <v>487</v>
      </c>
      <c r="B392" t="s">
        <v>1500</v>
      </c>
      <c r="C392">
        <v>3</v>
      </c>
      <c r="D392" t="s">
        <v>2153</v>
      </c>
      <c r="E392" t="s">
        <v>2158</v>
      </c>
      <c r="F392" t="s">
        <v>0</v>
      </c>
      <c r="G392" t="s">
        <v>2402</v>
      </c>
      <c r="H392" t="s">
        <v>2894</v>
      </c>
      <c r="I392">
        <v>14800</v>
      </c>
      <c r="J392">
        <v>0</v>
      </c>
      <c r="K392">
        <v>400</v>
      </c>
      <c r="L392">
        <v>50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 t="s">
        <v>3114</v>
      </c>
      <c r="AC392" t="s">
        <v>3114</v>
      </c>
      <c r="AD392" t="s">
        <v>3626</v>
      </c>
      <c r="AE392" t="s">
        <v>4</v>
      </c>
      <c r="AF392" t="s">
        <v>1</v>
      </c>
      <c r="AG392" t="s">
        <v>1</v>
      </c>
      <c r="AH392" t="s">
        <v>4383</v>
      </c>
      <c r="AI392" t="s">
        <v>2402</v>
      </c>
      <c r="AJ392" t="s">
        <v>1</v>
      </c>
      <c r="AK392">
        <v>9371343824</v>
      </c>
      <c r="AL392" t="s">
        <v>1</v>
      </c>
      <c r="AM392" t="s">
        <v>1</v>
      </c>
      <c r="AN392" t="s">
        <v>1</v>
      </c>
      <c r="AO392" t="s">
        <v>4383</v>
      </c>
      <c r="AP392" t="s">
        <v>1</v>
      </c>
      <c r="AQ392" t="s">
        <v>2</v>
      </c>
      <c r="AR392" t="s">
        <v>1</v>
      </c>
      <c r="AS392" t="s">
        <v>1</v>
      </c>
      <c r="AT392" t="s">
        <v>1</v>
      </c>
      <c r="AU392" t="s">
        <v>1</v>
      </c>
      <c r="AV392" t="s">
        <v>1</v>
      </c>
      <c r="AW392" t="s">
        <v>9</v>
      </c>
      <c r="AX392">
        <f>Tabla1[[#This Row],[precio del paquete]]-Tabla1[[#This Row],[Saldo_Deudor]]</f>
        <v>450</v>
      </c>
      <c r="AY392">
        <v>14350</v>
      </c>
      <c r="AZ392">
        <v>0</v>
      </c>
      <c r="BA392">
        <v>0</v>
      </c>
      <c r="BB392">
        <v>0</v>
      </c>
      <c r="BC392" t="s">
        <v>3073</v>
      </c>
      <c r="BD392" t="s">
        <v>4944</v>
      </c>
      <c r="BE392" t="s">
        <v>3</v>
      </c>
      <c r="BF392" t="s">
        <v>3</v>
      </c>
      <c r="BG392" t="s">
        <v>3</v>
      </c>
      <c r="BH392" t="s">
        <v>3</v>
      </c>
      <c r="BI392" t="s">
        <v>3</v>
      </c>
      <c r="BJ392" t="s">
        <v>4993</v>
      </c>
      <c r="BK392" t="s">
        <v>3</v>
      </c>
      <c r="BL392" t="s">
        <v>96</v>
      </c>
      <c r="BM392" t="s">
        <v>1</v>
      </c>
      <c r="BN392">
        <v>14800</v>
      </c>
      <c r="BO392" t="s">
        <v>1</v>
      </c>
      <c r="BP392" t="s">
        <v>1</v>
      </c>
      <c r="BQ392" t="s">
        <v>1</v>
      </c>
      <c r="BR392" t="s">
        <v>1</v>
      </c>
      <c r="BS392" t="s">
        <v>1</v>
      </c>
      <c r="BT392" t="s">
        <v>1</v>
      </c>
      <c r="BU392" t="s">
        <v>1</v>
      </c>
      <c r="BV392" t="s">
        <v>1</v>
      </c>
      <c r="BW392" t="s">
        <v>0</v>
      </c>
      <c r="BX392" t="s">
        <v>1</v>
      </c>
      <c r="BY392" t="s">
        <v>1</v>
      </c>
      <c r="BZ392" t="s">
        <v>1</v>
      </c>
      <c r="CA392" t="s">
        <v>1</v>
      </c>
      <c r="CB392" t="s">
        <v>1</v>
      </c>
      <c r="CD392" t="e" cm="1">
        <f t="array" aca="1" ref="CD392" ca="1">eConcatenar(A392:CB392,"|")</f>
        <v>#NAME?</v>
      </c>
    </row>
    <row r="393" spans="1:82" x14ac:dyDescent="0.25">
      <c r="A393" t="s">
        <v>488</v>
      </c>
      <c r="B393" t="s">
        <v>1501</v>
      </c>
      <c r="C393">
        <v>3</v>
      </c>
      <c r="D393" t="s">
        <v>2153</v>
      </c>
      <c r="E393" t="s">
        <v>2158</v>
      </c>
      <c r="F393" t="s">
        <v>0</v>
      </c>
      <c r="G393" t="s">
        <v>2402</v>
      </c>
      <c r="H393" t="s">
        <v>2721</v>
      </c>
      <c r="I393">
        <v>14800</v>
      </c>
      <c r="J393">
        <v>0</v>
      </c>
      <c r="K393">
        <v>250</v>
      </c>
      <c r="L393">
        <v>50</v>
      </c>
      <c r="M393">
        <v>1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 t="s">
        <v>3119</v>
      </c>
      <c r="AC393" t="s">
        <v>3627</v>
      </c>
      <c r="AD393" t="s">
        <v>3212</v>
      </c>
      <c r="AE393" t="s">
        <v>4</v>
      </c>
      <c r="AF393" t="s">
        <v>1</v>
      </c>
      <c r="AG393" t="s">
        <v>1</v>
      </c>
      <c r="AH393" t="s">
        <v>4383</v>
      </c>
      <c r="AI393" t="s">
        <v>2402</v>
      </c>
      <c r="AJ393" t="s">
        <v>1</v>
      </c>
      <c r="AK393">
        <v>9371660889</v>
      </c>
      <c r="AL393" t="s">
        <v>1</v>
      </c>
      <c r="AM393" t="s">
        <v>1</v>
      </c>
      <c r="AN393" t="s">
        <v>1</v>
      </c>
      <c r="AO393" t="s">
        <v>4383</v>
      </c>
      <c r="AP393" t="s">
        <v>1</v>
      </c>
      <c r="AQ393" t="s">
        <v>2</v>
      </c>
      <c r="AR393" t="s">
        <v>1</v>
      </c>
      <c r="AS393" t="s">
        <v>1</v>
      </c>
      <c r="AT393" t="s">
        <v>1</v>
      </c>
      <c r="AU393" t="s">
        <v>1</v>
      </c>
      <c r="AV393" t="s">
        <v>1</v>
      </c>
      <c r="AW393" t="s">
        <v>9</v>
      </c>
      <c r="AX393">
        <f>Tabla1[[#This Row],[precio del paquete]]-Tabla1[[#This Row],[Saldo_Deudor]]</f>
        <v>2100</v>
      </c>
      <c r="AY393">
        <v>12700</v>
      </c>
      <c r="AZ393">
        <v>0</v>
      </c>
      <c r="BA393">
        <v>0</v>
      </c>
      <c r="BB393">
        <v>0</v>
      </c>
      <c r="BC393" t="s">
        <v>4857</v>
      </c>
      <c r="BD393" t="s">
        <v>4883</v>
      </c>
      <c r="BE393" t="s">
        <v>3</v>
      </c>
      <c r="BF393" t="s">
        <v>3</v>
      </c>
      <c r="BG393" t="s">
        <v>3</v>
      </c>
      <c r="BH393" t="s">
        <v>3</v>
      </c>
      <c r="BI393" t="s">
        <v>3</v>
      </c>
      <c r="BJ393" t="s">
        <v>4995</v>
      </c>
      <c r="BK393" t="s">
        <v>3</v>
      </c>
      <c r="BL393" t="s">
        <v>96</v>
      </c>
      <c r="BM393" t="s">
        <v>1</v>
      </c>
      <c r="BN393">
        <v>14800</v>
      </c>
      <c r="BO393" t="s">
        <v>1</v>
      </c>
      <c r="BP393" t="s">
        <v>1</v>
      </c>
      <c r="BQ393" t="s">
        <v>1</v>
      </c>
      <c r="BR393" t="s">
        <v>1</v>
      </c>
      <c r="BS393" t="s">
        <v>1</v>
      </c>
      <c r="BT393" t="s">
        <v>1</v>
      </c>
      <c r="BU393" t="s">
        <v>1</v>
      </c>
      <c r="BV393" t="s">
        <v>1</v>
      </c>
      <c r="BW393" t="s">
        <v>0</v>
      </c>
      <c r="BX393" t="s">
        <v>1</v>
      </c>
      <c r="BY393" t="s">
        <v>1</v>
      </c>
      <c r="BZ393" t="s">
        <v>1</v>
      </c>
      <c r="CA393" t="s">
        <v>1</v>
      </c>
      <c r="CB393" t="s">
        <v>1</v>
      </c>
      <c r="CD393" t="e" cm="1">
        <f t="array" aca="1" ref="CD393" ca="1">eConcatenar(A393:CB393,"|")</f>
        <v>#NAME?</v>
      </c>
    </row>
    <row r="394" spans="1:82" x14ac:dyDescent="0.25">
      <c r="A394" t="s">
        <v>489</v>
      </c>
      <c r="B394" t="s">
        <v>1502</v>
      </c>
      <c r="C394">
        <v>3</v>
      </c>
      <c r="D394" t="s">
        <v>2153</v>
      </c>
      <c r="E394" t="s">
        <v>2158</v>
      </c>
      <c r="F394" t="s">
        <v>0</v>
      </c>
      <c r="G394" t="s">
        <v>2402</v>
      </c>
      <c r="H394" t="s">
        <v>2737</v>
      </c>
      <c r="I394">
        <v>14800</v>
      </c>
      <c r="J394">
        <v>0</v>
      </c>
      <c r="K394">
        <v>200</v>
      </c>
      <c r="L394">
        <v>50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 t="s">
        <v>3137</v>
      </c>
      <c r="AC394" t="s">
        <v>3628</v>
      </c>
      <c r="AD394" t="s">
        <v>3552</v>
      </c>
      <c r="AE394" t="s">
        <v>4</v>
      </c>
      <c r="AF394" t="s">
        <v>1</v>
      </c>
      <c r="AG394" t="s">
        <v>1</v>
      </c>
      <c r="AH394" t="s">
        <v>2402</v>
      </c>
      <c r="AI394" t="s">
        <v>2402</v>
      </c>
      <c r="AJ394" t="s">
        <v>1</v>
      </c>
      <c r="AK394">
        <v>9371421233</v>
      </c>
      <c r="AL394" t="s">
        <v>1</v>
      </c>
      <c r="AM394" t="s">
        <v>1</v>
      </c>
      <c r="AN394" t="s">
        <v>1</v>
      </c>
      <c r="AO394" t="s">
        <v>2402</v>
      </c>
      <c r="AP394" t="s">
        <v>1</v>
      </c>
      <c r="AQ394" t="s">
        <v>2</v>
      </c>
      <c r="AR394" t="s">
        <v>1</v>
      </c>
      <c r="AS394" t="s">
        <v>1</v>
      </c>
      <c r="AT394" t="s">
        <v>1</v>
      </c>
      <c r="AU394" t="s">
        <v>1</v>
      </c>
      <c r="AV394" t="s">
        <v>1</v>
      </c>
      <c r="AW394" t="s">
        <v>9</v>
      </c>
      <c r="AX394">
        <f>Tabla1[[#This Row],[precio del paquete]]-Tabla1[[#This Row],[Saldo_Deudor]]</f>
        <v>1300</v>
      </c>
      <c r="AY394">
        <v>13500</v>
      </c>
      <c r="AZ394">
        <v>0</v>
      </c>
      <c r="BA394">
        <v>0</v>
      </c>
      <c r="BB394">
        <v>0</v>
      </c>
      <c r="BC394" t="s">
        <v>2711</v>
      </c>
      <c r="BD394" t="s">
        <v>2712</v>
      </c>
      <c r="BE394" t="s">
        <v>3</v>
      </c>
      <c r="BF394" t="s">
        <v>3</v>
      </c>
      <c r="BG394" t="s">
        <v>3</v>
      </c>
      <c r="BH394" t="s">
        <v>3</v>
      </c>
      <c r="BI394" t="s">
        <v>3</v>
      </c>
      <c r="BJ394" t="s">
        <v>4982</v>
      </c>
      <c r="BK394" t="s">
        <v>3</v>
      </c>
      <c r="BL394" t="s">
        <v>96</v>
      </c>
      <c r="BM394" t="s">
        <v>1</v>
      </c>
      <c r="BN394">
        <v>14800</v>
      </c>
      <c r="BO394" t="s">
        <v>1</v>
      </c>
      <c r="BP394" t="s">
        <v>1</v>
      </c>
      <c r="BQ394" t="s">
        <v>1</v>
      </c>
      <c r="BR394" t="s">
        <v>1</v>
      </c>
      <c r="BS394" t="s">
        <v>1</v>
      </c>
      <c r="BT394" t="s">
        <v>1</v>
      </c>
      <c r="BU394" t="s">
        <v>1</v>
      </c>
      <c r="BV394" t="s">
        <v>1</v>
      </c>
      <c r="BW394" t="s">
        <v>0</v>
      </c>
      <c r="BX394" t="s">
        <v>1</v>
      </c>
      <c r="BY394" t="s">
        <v>1</v>
      </c>
      <c r="BZ394" t="s">
        <v>1</v>
      </c>
      <c r="CA394" t="s">
        <v>1</v>
      </c>
      <c r="CB394" t="s">
        <v>1</v>
      </c>
      <c r="CD394" t="e" cm="1">
        <f t="array" aca="1" ref="CD394" ca="1">eConcatenar(A394:CB394,"|")</f>
        <v>#NAME?</v>
      </c>
    </row>
    <row r="395" spans="1:82" x14ac:dyDescent="0.25">
      <c r="A395" t="s">
        <v>490</v>
      </c>
      <c r="B395" t="s">
        <v>1503</v>
      </c>
      <c r="C395">
        <v>3</v>
      </c>
      <c r="D395" t="s">
        <v>2153</v>
      </c>
      <c r="E395" t="s">
        <v>2158</v>
      </c>
      <c r="F395" t="s">
        <v>8</v>
      </c>
      <c r="G395" t="s">
        <v>2403</v>
      </c>
      <c r="H395" t="s">
        <v>2796</v>
      </c>
      <c r="I395">
        <v>14800</v>
      </c>
      <c r="J395">
        <v>0</v>
      </c>
      <c r="K395">
        <v>100</v>
      </c>
      <c r="L395">
        <v>50</v>
      </c>
      <c r="M395">
        <v>1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 t="s">
        <v>3168</v>
      </c>
      <c r="AC395" t="s">
        <v>3629</v>
      </c>
      <c r="AD395" t="s">
        <v>3267</v>
      </c>
      <c r="AE395" t="s">
        <v>4</v>
      </c>
      <c r="AF395" t="s">
        <v>1</v>
      </c>
      <c r="AG395" t="s">
        <v>1</v>
      </c>
      <c r="AH395" t="s">
        <v>4384</v>
      </c>
      <c r="AI395" t="s">
        <v>2403</v>
      </c>
      <c r="AJ395" t="s">
        <v>1</v>
      </c>
      <c r="AK395">
        <v>9371402466</v>
      </c>
      <c r="AL395" t="s">
        <v>1</v>
      </c>
      <c r="AM395" t="s">
        <v>1</v>
      </c>
      <c r="AN395" t="s">
        <v>1</v>
      </c>
      <c r="AO395" t="s">
        <v>4384</v>
      </c>
      <c r="AP395" t="s">
        <v>1</v>
      </c>
      <c r="AQ395" t="s">
        <v>2</v>
      </c>
      <c r="AR395" t="s">
        <v>1</v>
      </c>
      <c r="AS395" t="s">
        <v>1</v>
      </c>
      <c r="AT395" t="s">
        <v>1</v>
      </c>
      <c r="AU395" t="s">
        <v>1</v>
      </c>
      <c r="AV395" t="s">
        <v>1</v>
      </c>
      <c r="AW395" t="s">
        <v>9</v>
      </c>
      <c r="AX395">
        <f>Tabla1[[#This Row],[precio del paquete]]-Tabla1[[#This Row],[Saldo_Deudor]]</f>
        <v>100</v>
      </c>
      <c r="AY395">
        <v>14700</v>
      </c>
      <c r="AZ395">
        <v>0</v>
      </c>
      <c r="BA395">
        <v>0</v>
      </c>
      <c r="BB395">
        <v>0</v>
      </c>
      <c r="BC395" t="s">
        <v>2796</v>
      </c>
      <c r="BD395" t="s">
        <v>4941</v>
      </c>
      <c r="BE395" t="s">
        <v>3</v>
      </c>
      <c r="BF395" t="s">
        <v>3</v>
      </c>
      <c r="BG395" t="s">
        <v>3</v>
      </c>
      <c r="BH395" t="s">
        <v>3</v>
      </c>
      <c r="BI395" t="s">
        <v>3</v>
      </c>
      <c r="BJ395" t="s">
        <v>4994</v>
      </c>
      <c r="BK395" t="s">
        <v>3</v>
      </c>
      <c r="BL395" t="s">
        <v>96</v>
      </c>
      <c r="BM395" t="s">
        <v>1</v>
      </c>
      <c r="BN395">
        <v>14800</v>
      </c>
      <c r="BO395" t="s">
        <v>1</v>
      </c>
      <c r="BP395" t="s">
        <v>1</v>
      </c>
      <c r="BQ395" t="s">
        <v>1</v>
      </c>
      <c r="BR395" t="s">
        <v>1</v>
      </c>
      <c r="BS395" t="s">
        <v>1</v>
      </c>
      <c r="BT395" t="s">
        <v>1</v>
      </c>
      <c r="BU395" t="s">
        <v>1</v>
      </c>
      <c r="BV395" t="s">
        <v>1</v>
      </c>
      <c r="BW395" t="s">
        <v>0</v>
      </c>
      <c r="BX395" t="s">
        <v>1</v>
      </c>
      <c r="BY395" t="s">
        <v>1</v>
      </c>
      <c r="BZ395" t="s">
        <v>1</v>
      </c>
      <c r="CA395" t="s">
        <v>1</v>
      </c>
      <c r="CB395" t="s">
        <v>1</v>
      </c>
      <c r="CD395" t="e" cm="1">
        <f t="array" aca="1" ref="CD395" ca="1">eConcatenar(A395:CB395,"|")</f>
        <v>#NAME?</v>
      </c>
    </row>
    <row r="396" spans="1:82" x14ac:dyDescent="0.25">
      <c r="A396" t="s">
        <v>491</v>
      </c>
      <c r="B396" t="s">
        <v>1504</v>
      </c>
      <c r="C396">
        <v>3</v>
      </c>
      <c r="D396" t="s">
        <v>2153</v>
      </c>
      <c r="E396" t="s">
        <v>2158</v>
      </c>
      <c r="F396" t="s">
        <v>2162</v>
      </c>
      <c r="G396" t="s">
        <v>2404</v>
      </c>
      <c r="H396" t="s">
        <v>2796</v>
      </c>
      <c r="I396">
        <v>14800</v>
      </c>
      <c r="J396">
        <v>0</v>
      </c>
      <c r="K396">
        <v>100</v>
      </c>
      <c r="L396">
        <v>50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 t="s">
        <v>3202</v>
      </c>
      <c r="AC396" t="s">
        <v>3630</v>
      </c>
      <c r="AD396" t="s">
        <v>3565</v>
      </c>
      <c r="AE396" t="s">
        <v>4</v>
      </c>
      <c r="AF396" t="s">
        <v>1</v>
      </c>
      <c r="AG396" t="s">
        <v>1</v>
      </c>
      <c r="AH396" t="s">
        <v>2404</v>
      </c>
      <c r="AI396" t="s">
        <v>2404</v>
      </c>
      <c r="AJ396" t="s">
        <v>1</v>
      </c>
      <c r="AK396">
        <v>9141317185</v>
      </c>
      <c r="AL396" t="s">
        <v>1</v>
      </c>
      <c r="AM396" t="s">
        <v>1</v>
      </c>
      <c r="AN396" t="s">
        <v>1</v>
      </c>
      <c r="AO396" t="s">
        <v>2404</v>
      </c>
      <c r="AP396" t="s">
        <v>1</v>
      </c>
      <c r="AQ396" t="s">
        <v>2</v>
      </c>
      <c r="AR396" t="s">
        <v>1</v>
      </c>
      <c r="AS396" t="s">
        <v>1</v>
      </c>
      <c r="AT396" t="s">
        <v>1</v>
      </c>
      <c r="AU396" t="s">
        <v>1</v>
      </c>
      <c r="AV396" t="s">
        <v>1</v>
      </c>
      <c r="AW396" t="s">
        <v>9</v>
      </c>
      <c r="AX396">
        <f>Tabla1[[#This Row],[precio del paquete]]-Tabla1[[#This Row],[Saldo_Deudor]]</f>
        <v>100</v>
      </c>
      <c r="AY396">
        <v>14700</v>
      </c>
      <c r="AZ396">
        <v>0</v>
      </c>
      <c r="BA396">
        <v>0</v>
      </c>
      <c r="BB396">
        <v>0</v>
      </c>
      <c r="BC396" t="s">
        <v>2796</v>
      </c>
      <c r="BD396" t="s">
        <v>4941</v>
      </c>
      <c r="BE396" t="s">
        <v>3</v>
      </c>
      <c r="BF396" t="s">
        <v>3</v>
      </c>
      <c r="BG396" t="s">
        <v>3</v>
      </c>
      <c r="BH396" t="s">
        <v>3</v>
      </c>
      <c r="BI396" t="s">
        <v>3</v>
      </c>
      <c r="BJ396" t="s">
        <v>4983</v>
      </c>
      <c r="BK396" t="s">
        <v>3</v>
      </c>
      <c r="BL396" t="s">
        <v>96</v>
      </c>
      <c r="BM396" t="s">
        <v>1</v>
      </c>
      <c r="BN396">
        <v>14800</v>
      </c>
      <c r="BO396" t="s">
        <v>1</v>
      </c>
      <c r="BP396" t="s">
        <v>1</v>
      </c>
      <c r="BQ396" t="s">
        <v>1</v>
      </c>
      <c r="BR396" t="s">
        <v>1</v>
      </c>
      <c r="BS396" t="s">
        <v>1</v>
      </c>
      <c r="BT396" t="s">
        <v>1</v>
      </c>
      <c r="BU396" t="s">
        <v>1</v>
      </c>
      <c r="BV396" t="s">
        <v>1</v>
      </c>
      <c r="BW396" t="s">
        <v>0</v>
      </c>
      <c r="BX396" t="s">
        <v>1</v>
      </c>
      <c r="BY396" t="s">
        <v>1</v>
      </c>
      <c r="BZ396" t="s">
        <v>1</v>
      </c>
      <c r="CA396" t="s">
        <v>1</v>
      </c>
      <c r="CB396" t="s">
        <v>1</v>
      </c>
      <c r="CD396" t="e" cm="1">
        <f t="array" aca="1" ref="CD396" ca="1">eConcatenar(A396:CB396,"|")</f>
        <v>#NAME?</v>
      </c>
    </row>
    <row r="397" spans="1:82" x14ac:dyDescent="0.25">
      <c r="A397" t="s">
        <v>492</v>
      </c>
      <c r="B397" t="s">
        <v>1505</v>
      </c>
      <c r="C397">
        <v>3</v>
      </c>
      <c r="D397" t="s">
        <v>2153</v>
      </c>
      <c r="E397" t="s">
        <v>2158</v>
      </c>
      <c r="F397" t="s">
        <v>2162</v>
      </c>
      <c r="G397" t="s">
        <v>2404</v>
      </c>
      <c r="H397" t="s">
        <v>2831</v>
      </c>
      <c r="I397">
        <v>14800</v>
      </c>
      <c r="J397">
        <v>0</v>
      </c>
      <c r="K397">
        <v>200</v>
      </c>
      <c r="L397">
        <v>50</v>
      </c>
      <c r="M397">
        <v>1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 t="s">
        <v>3631</v>
      </c>
      <c r="AC397" t="s">
        <v>3240</v>
      </c>
      <c r="AD397" t="s">
        <v>3237</v>
      </c>
      <c r="AE397" t="s">
        <v>4</v>
      </c>
      <c r="AF397" t="s">
        <v>1</v>
      </c>
      <c r="AG397" t="s">
        <v>1</v>
      </c>
      <c r="AH397" t="s">
        <v>2404</v>
      </c>
      <c r="AI397" t="s">
        <v>2404</v>
      </c>
      <c r="AJ397" t="s">
        <v>1</v>
      </c>
      <c r="AK397">
        <v>9932228101</v>
      </c>
      <c r="AL397" t="s">
        <v>1</v>
      </c>
      <c r="AM397" t="s">
        <v>1</v>
      </c>
      <c r="AN397" t="s">
        <v>1</v>
      </c>
      <c r="AO397" t="s">
        <v>2404</v>
      </c>
      <c r="AP397" t="s">
        <v>1</v>
      </c>
      <c r="AQ397" t="s">
        <v>2</v>
      </c>
      <c r="AR397" t="s">
        <v>1</v>
      </c>
      <c r="AS397" t="s">
        <v>1</v>
      </c>
      <c r="AT397" t="s">
        <v>1</v>
      </c>
      <c r="AU397" t="s">
        <v>1</v>
      </c>
      <c r="AV397" t="s">
        <v>1</v>
      </c>
      <c r="AW397" t="s">
        <v>9</v>
      </c>
      <c r="AX397">
        <f>Tabla1[[#This Row],[precio del paquete]]-Tabla1[[#This Row],[Saldo_Deudor]]</f>
        <v>200</v>
      </c>
      <c r="AY397">
        <v>14600</v>
      </c>
      <c r="AZ397">
        <v>0</v>
      </c>
      <c r="BA397">
        <v>0</v>
      </c>
      <c r="BB397">
        <v>0</v>
      </c>
      <c r="BC397" t="s">
        <v>4858</v>
      </c>
      <c r="BD397" t="s">
        <v>4835</v>
      </c>
      <c r="BE397" t="s">
        <v>3</v>
      </c>
      <c r="BF397" t="s">
        <v>3</v>
      </c>
      <c r="BG397" t="s">
        <v>3</v>
      </c>
      <c r="BH397" t="s">
        <v>3</v>
      </c>
      <c r="BI397" t="s">
        <v>3</v>
      </c>
      <c r="BJ397" t="s">
        <v>4997</v>
      </c>
      <c r="BK397" t="s">
        <v>3</v>
      </c>
      <c r="BL397" t="s">
        <v>96</v>
      </c>
      <c r="BM397" t="s">
        <v>1</v>
      </c>
      <c r="BN397">
        <v>14800</v>
      </c>
      <c r="BO397" t="s">
        <v>1</v>
      </c>
      <c r="BP397" t="s">
        <v>1</v>
      </c>
      <c r="BQ397" t="s">
        <v>1</v>
      </c>
      <c r="BR397" t="s">
        <v>1</v>
      </c>
      <c r="BS397" t="s">
        <v>1</v>
      </c>
      <c r="BT397" t="s">
        <v>1</v>
      </c>
      <c r="BU397" t="s">
        <v>1</v>
      </c>
      <c r="BV397" t="s">
        <v>1</v>
      </c>
      <c r="BW397" t="s">
        <v>0</v>
      </c>
      <c r="BX397" t="s">
        <v>1</v>
      </c>
      <c r="BY397" t="s">
        <v>1</v>
      </c>
      <c r="BZ397" t="s">
        <v>1</v>
      </c>
      <c r="CA397" t="s">
        <v>1</v>
      </c>
      <c r="CB397" t="s">
        <v>1</v>
      </c>
      <c r="CD397" t="e" cm="1">
        <f t="array" aca="1" ref="CD397" ca="1">eConcatenar(A397:CB397,"|")</f>
        <v>#NAME?</v>
      </c>
    </row>
    <row r="398" spans="1:82" x14ac:dyDescent="0.25">
      <c r="A398" t="s">
        <v>493</v>
      </c>
      <c r="B398" t="s">
        <v>1506</v>
      </c>
      <c r="C398">
        <v>3</v>
      </c>
      <c r="D398" t="s">
        <v>3110</v>
      </c>
      <c r="E398" t="s">
        <v>2158</v>
      </c>
      <c r="F398" t="s">
        <v>2162</v>
      </c>
      <c r="G398" t="s">
        <v>2404</v>
      </c>
      <c r="H398" t="s">
        <v>2831</v>
      </c>
      <c r="I398">
        <v>14800</v>
      </c>
      <c r="J398">
        <v>0</v>
      </c>
      <c r="K398">
        <v>100</v>
      </c>
      <c r="L398">
        <v>50</v>
      </c>
      <c r="M398">
        <v>1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 t="s">
        <v>3632</v>
      </c>
      <c r="AC398" t="s">
        <v>3633</v>
      </c>
      <c r="AD398" t="s">
        <v>3634</v>
      </c>
      <c r="AE398" t="s">
        <v>4</v>
      </c>
      <c r="AF398" t="s">
        <v>1</v>
      </c>
      <c r="AG398" t="s">
        <v>1</v>
      </c>
      <c r="AH398" t="s">
        <v>2404</v>
      </c>
      <c r="AI398" t="s">
        <v>2404</v>
      </c>
      <c r="AJ398" t="s">
        <v>1</v>
      </c>
      <c r="AK398">
        <v>9371293391</v>
      </c>
      <c r="AL398" t="s">
        <v>1</v>
      </c>
      <c r="AM398" t="s">
        <v>1</v>
      </c>
      <c r="AN398" t="s">
        <v>1</v>
      </c>
      <c r="AO398" t="s">
        <v>2404</v>
      </c>
      <c r="AP398" t="s">
        <v>1</v>
      </c>
      <c r="AQ398" t="s">
        <v>2</v>
      </c>
      <c r="AR398" t="s">
        <v>1</v>
      </c>
      <c r="AS398" t="s">
        <v>1</v>
      </c>
      <c r="AT398" t="s">
        <v>1</v>
      </c>
      <c r="AU398" t="s">
        <v>1</v>
      </c>
      <c r="AV398" t="s">
        <v>1</v>
      </c>
      <c r="AW398" t="s">
        <v>9</v>
      </c>
      <c r="AX398">
        <f>Tabla1[[#This Row],[precio del paquete]]-Tabla1[[#This Row],[Saldo_Deudor]]</f>
        <v>1100</v>
      </c>
      <c r="AY398">
        <v>13700</v>
      </c>
      <c r="AZ398">
        <v>0</v>
      </c>
      <c r="BA398">
        <v>0</v>
      </c>
      <c r="BB398">
        <v>0</v>
      </c>
      <c r="BC398" t="s">
        <v>2796</v>
      </c>
      <c r="BD398" t="s">
        <v>4941</v>
      </c>
      <c r="BE398" t="s">
        <v>3</v>
      </c>
      <c r="BF398" t="s">
        <v>3</v>
      </c>
      <c r="BG398" t="s">
        <v>3</v>
      </c>
      <c r="BH398" t="s">
        <v>3</v>
      </c>
      <c r="BI398" t="s">
        <v>3</v>
      </c>
      <c r="BJ398" t="s">
        <v>4997</v>
      </c>
      <c r="BK398" t="s">
        <v>3</v>
      </c>
      <c r="BL398" t="s">
        <v>96</v>
      </c>
      <c r="BM398" t="s">
        <v>1</v>
      </c>
      <c r="BN398">
        <v>14800</v>
      </c>
      <c r="BO398" t="s">
        <v>1</v>
      </c>
      <c r="BP398" t="s">
        <v>1</v>
      </c>
      <c r="BQ398" t="s">
        <v>1</v>
      </c>
      <c r="BR398" t="s">
        <v>1</v>
      </c>
      <c r="BS398" t="s">
        <v>1</v>
      </c>
      <c r="BT398" t="s">
        <v>1</v>
      </c>
      <c r="BU398" t="s">
        <v>1</v>
      </c>
      <c r="BV398" t="s">
        <v>1</v>
      </c>
      <c r="BW398" t="s">
        <v>0</v>
      </c>
      <c r="BX398" t="s">
        <v>1</v>
      </c>
      <c r="BY398" t="s">
        <v>1</v>
      </c>
      <c r="BZ398" t="s">
        <v>1</v>
      </c>
      <c r="CA398" t="s">
        <v>1</v>
      </c>
      <c r="CB398" t="s">
        <v>1</v>
      </c>
      <c r="CD398" t="e" cm="1">
        <f t="array" aca="1" ref="CD398" ca="1">eConcatenar(A398:CB398,"|")</f>
        <v>#NAME?</v>
      </c>
    </row>
    <row r="399" spans="1:82" x14ac:dyDescent="0.25">
      <c r="A399" t="s">
        <v>494</v>
      </c>
      <c r="B399" t="s">
        <v>1507</v>
      </c>
      <c r="C399">
        <v>3</v>
      </c>
      <c r="D399" t="s">
        <v>3110</v>
      </c>
      <c r="E399" t="s">
        <v>2158</v>
      </c>
      <c r="F399" t="s">
        <v>2162</v>
      </c>
      <c r="G399" t="s">
        <v>2404</v>
      </c>
      <c r="H399" t="s">
        <v>2831</v>
      </c>
      <c r="I399">
        <v>14800</v>
      </c>
      <c r="J399">
        <v>0</v>
      </c>
      <c r="K399">
        <v>50</v>
      </c>
      <c r="L399">
        <v>50</v>
      </c>
      <c r="M399">
        <v>1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 t="s">
        <v>3193</v>
      </c>
      <c r="AC399" t="s">
        <v>3177</v>
      </c>
      <c r="AD399" t="s">
        <v>3479</v>
      </c>
      <c r="AE399" t="s">
        <v>4</v>
      </c>
      <c r="AF399" t="s">
        <v>1</v>
      </c>
      <c r="AG399" t="s">
        <v>1</v>
      </c>
      <c r="AH399" t="s">
        <v>2404</v>
      </c>
      <c r="AI399" t="s">
        <v>2404</v>
      </c>
      <c r="AJ399" t="s">
        <v>1</v>
      </c>
      <c r="AK399">
        <v>9371655669</v>
      </c>
      <c r="AL399" t="s">
        <v>1</v>
      </c>
      <c r="AM399" t="s">
        <v>1</v>
      </c>
      <c r="AN399" t="s">
        <v>1</v>
      </c>
      <c r="AO399" t="s">
        <v>2404</v>
      </c>
      <c r="AP399" t="s">
        <v>1</v>
      </c>
      <c r="AQ399" t="s">
        <v>2</v>
      </c>
      <c r="AR399" t="s">
        <v>1</v>
      </c>
      <c r="AS399" t="s">
        <v>1</v>
      </c>
      <c r="AT399" t="s">
        <v>1</v>
      </c>
      <c r="AU399" t="s">
        <v>1</v>
      </c>
      <c r="AV399" t="s">
        <v>1</v>
      </c>
      <c r="AW399" t="s">
        <v>9</v>
      </c>
      <c r="AX399">
        <f>Tabla1[[#This Row],[precio del paquete]]-Tabla1[[#This Row],[Saldo_Deudor]]</f>
        <v>750</v>
      </c>
      <c r="AY399">
        <v>14050</v>
      </c>
      <c r="AZ399">
        <v>0</v>
      </c>
      <c r="BA399">
        <v>0</v>
      </c>
      <c r="BB399">
        <v>0</v>
      </c>
      <c r="BC399" t="s">
        <v>4855</v>
      </c>
      <c r="BD399" t="s">
        <v>2928</v>
      </c>
      <c r="BE399" t="s">
        <v>3</v>
      </c>
      <c r="BF399" t="s">
        <v>3</v>
      </c>
      <c r="BG399" t="s">
        <v>3</v>
      </c>
      <c r="BH399" t="s">
        <v>3</v>
      </c>
      <c r="BI399" t="s">
        <v>3</v>
      </c>
      <c r="BJ399" t="s">
        <v>4997</v>
      </c>
      <c r="BK399" t="s">
        <v>3</v>
      </c>
      <c r="BL399" t="s">
        <v>96</v>
      </c>
      <c r="BM399" t="s">
        <v>1</v>
      </c>
      <c r="BN399">
        <v>14800</v>
      </c>
      <c r="BO399" t="s">
        <v>1</v>
      </c>
      <c r="BP399" t="s">
        <v>1</v>
      </c>
      <c r="BQ399" t="s">
        <v>1</v>
      </c>
      <c r="BR399" t="s">
        <v>1</v>
      </c>
      <c r="BS399" t="s">
        <v>1</v>
      </c>
      <c r="BT399" t="s">
        <v>1</v>
      </c>
      <c r="BU399" t="s">
        <v>1</v>
      </c>
      <c r="BV399" t="s">
        <v>1</v>
      </c>
      <c r="BW399" t="s">
        <v>0</v>
      </c>
      <c r="BX399" t="s">
        <v>1</v>
      </c>
      <c r="BY399" t="s">
        <v>1</v>
      </c>
      <c r="BZ399" t="s">
        <v>1</v>
      </c>
      <c r="CA399" t="s">
        <v>1</v>
      </c>
      <c r="CB399" t="s">
        <v>1</v>
      </c>
      <c r="CD399" t="e" cm="1">
        <f t="array" aca="1" ref="CD399" ca="1">eConcatenar(A399:CB399,"|")</f>
        <v>#NAME?</v>
      </c>
    </row>
    <row r="400" spans="1:82" x14ac:dyDescent="0.25">
      <c r="A400" t="s">
        <v>495</v>
      </c>
      <c r="B400" t="s">
        <v>1509</v>
      </c>
      <c r="C400">
        <v>3</v>
      </c>
      <c r="D400" t="s">
        <v>2153</v>
      </c>
      <c r="E400" t="s">
        <v>2158</v>
      </c>
      <c r="F400" t="s">
        <v>2159</v>
      </c>
      <c r="G400" t="s">
        <v>2405</v>
      </c>
      <c r="H400" t="s">
        <v>2706</v>
      </c>
      <c r="I400">
        <v>14800</v>
      </c>
      <c r="J400">
        <v>0</v>
      </c>
      <c r="K400">
        <v>100</v>
      </c>
      <c r="L400">
        <v>50</v>
      </c>
      <c r="M400">
        <v>1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 t="s">
        <v>3161</v>
      </c>
      <c r="AC400" t="s">
        <v>3119</v>
      </c>
      <c r="AD400" t="s">
        <v>3608</v>
      </c>
      <c r="AE400" t="s">
        <v>4</v>
      </c>
      <c r="AF400" t="s">
        <v>1</v>
      </c>
      <c r="AG400" t="s">
        <v>1</v>
      </c>
      <c r="AH400" t="s">
        <v>4152</v>
      </c>
      <c r="AI400" t="s">
        <v>2405</v>
      </c>
      <c r="AJ400" t="s">
        <v>1</v>
      </c>
      <c r="AK400" t="s">
        <v>1</v>
      </c>
      <c r="AL400" t="s">
        <v>1</v>
      </c>
      <c r="AM400" t="s">
        <v>1</v>
      </c>
      <c r="AN400" t="s">
        <v>1</v>
      </c>
      <c r="AO400" t="s">
        <v>4152</v>
      </c>
      <c r="AP400" t="s">
        <v>1</v>
      </c>
      <c r="AQ400" t="s">
        <v>2</v>
      </c>
      <c r="AR400" t="s">
        <v>1</v>
      </c>
      <c r="AS400" t="s">
        <v>1</v>
      </c>
      <c r="AT400" t="s">
        <v>1</v>
      </c>
      <c r="AU400" t="s">
        <v>1</v>
      </c>
      <c r="AV400" t="s">
        <v>1</v>
      </c>
      <c r="AW400" t="s">
        <v>9</v>
      </c>
      <c r="AX400">
        <f>Tabla1[[#This Row],[precio del paquete]]-Tabla1[[#This Row],[Saldo_Deudor]]</f>
        <v>11200</v>
      </c>
      <c r="AY400">
        <v>3600</v>
      </c>
      <c r="AZ400">
        <v>0</v>
      </c>
      <c r="BA400">
        <v>0</v>
      </c>
      <c r="BB400">
        <v>0</v>
      </c>
      <c r="BC400" t="s">
        <v>3061</v>
      </c>
      <c r="BD400" t="s">
        <v>3040</v>
      </c>
      <c r="BE400" t="s">
        <v>3</v>
      </c>
      <c r="BF400" t="s">
        <v>3</v>
      </c>
      <c r="BG400" t="s">
        <v>3</v>
      </c>
      <c r="BH400" t="s">
        <v>3</v>
      </c>
      <c r="BI400" t="s">
        <v>3</v>
      </c>
      <c r="BJ400" t="s">
        <v>5003</v>
      </c>
      <c r="BK400" t="s">
        <v>3</v>
      </c>
      <c r="BL400" t="s">
        <v>96</v>
      </c>
      <c r="BM400" t="s">
        <v>1</v>
      </c>
      <c r="BN400">
        <v>14800</v>
      </c>
      <c r="BO400" t="s">
        <v>1</v>
      </c>
      <c r="BP400" t="s">
        <v>1</v>
      </c>
      <c r="BQ400" t="s">
        <v>1</v>
      </c>
      <c r="BR400" t="s">
        <v>1</v>
      </c>
      <c r="BS400" t="s">
        <v>1</v>
      </c>
      <c r="BT400" t="s">
        <v>1</v>
      </c>
      <c r="BU400" t="s">
        <v>1</v>
      </c>
      <c r="BV400" t="s">
        <v>1</v>
      </c>
      <c r="BW400" t="s">
        <v>0</v>
      </c>
      <c r="BX400" t="s">
        <v>1</v>
      </c>
      <c r="BY400" t="s">
        <v>1</v>
      </c>
      <c r="BZ400" t="s">
        <v>1</v>
      </c>
      <c r="CA400" t="s">
        <v>1</v>
      </c>
      <c r="CB400" t="s">
        <v>1</v>
      </c>
      <c r="CD400" t="e" cm="1">
        <f t="array" aca="1" ref="CD400" ca="1">eConcatenar(A400:CB400,"|")</f>
        <v>#NAME?</v>
      </c>
    </row>
    <row r="401" spans="1:82" x14ac:dyDescent="0.25">
      <c r="A401" t="s">
        <v>496</v>
      </c>
      <c r="B401" t="s">
        <v>1510</v>
      </c>
      <c r="C401">
        <v>3</v>
      </c>
      <c r="D401" t="s">
        <v>3111</v>
      </c>
      <c r="E401" t="s">
        <v>2158</v>
      </c>
      <c r="F401" t="s">
        <v>0</v>
      </c>
      <c r="G401" t="s">
        <v>2406</v>
      </c>
      <c r="H401" t="s">
        <v>2776</v>
      </c>
      <c r="I401">
        <v>24500</v>
      </c>
      <c r="J401">
        <v>0</v>
      </c>
      <c r="K401">
        <v>500</v>
      </c>
      <c r="L401">
        <v>50</v>
      </c>
      <c r="M401">
        <v>1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 t="s">
        <v>3354</v>
      </c>
      <c r="AC401" t="s">
        <v>3362</v>
      </c>
      <c r="AD401" t="s">
        <v>3444</v>
      </c>
      <c r="AE401" t="s">
        <v>4</v>
      </c>
      <c r="AF401" t="s">
        <v>1</v>
      </c>
      <c r="AG401" t="s">
        <v>1</v>
      </c>
      <c r="AH401" t="s">
        <v>4385</v>
      </c>
      <c r="AI401" t="s">
        <v>2406</v>
      </c>
      <c r="AJ401" t="s">
        <v>1</v>
      </c>
      <c r="AK401">
        <v>9981667238</v>
      </c>
      <c r="AL401" t="s">
        <v>1</v>
      </c>
      <c r="AM401" t="s">
        <v>1</v>
      </c>
      <c r="AN401" t="s">
        <v>1</v>
      </c>
      <c r="AO401" t="s">
        <v>4385</v>
      </c>
      <c r="AP401" t="s">
        <v>1</v>
      </c>
      <c r="AQ401" t="s">
        <v>2</v>
      </c>
      <c r="AR401" t="s">
        <v>1</v>
      </c>
      <c r="AS401" t="s">
        <v>1</v>
      </c>
      <c r="AT401" t="s">
        <v>1</v>
      </c>
      <c r="AU401" t="s">
        <v>1</v>
      </c>
      <c r="AV401" t="s">
        <v>1</v>
      </c>
      <c r="AW401" t="s">
        <v>9</v>
      </c>
      <c r="AX401">
        <f>Tabla1[[#This Row],[precio del paquete]]-Tabla1[[#This Row],[Saldo_Deudor]]</f>
        <v>1000</v>
      </c>
      <c r="AY401">
        <v>23500</v>
      </c>
      <c r="AZ401">
        <v>0</v>
      </c>
      <c r="BA401">
        <v>0</v>
      </c>
      <c r="BB401">
        <v>0</v>
      </c>
      <c r="BC401" t="s">
        <v>2778</v>
      </c>
      <c r="BD401" t="s">
        <v>2849</v>
      </c>
      <c r="BE401" t="s">
        <v>3</v>
      </c>
      <c r="BF401" t="s">
        <v>3</v>
      </c>
      <c r="BG401" t="s">
        <v>3</v>
      </c>
      <c r="BH401" t="s">
        <v>3</v>
      </c>
      <c r="BI401" t="s">
        <v>3</v>
      </c>
      <c r="BJ401" t="s">
        <v>4984</v>
      </c>
      <c r="BK401" t="s">
        <v>3</v>
      </c>
      <c r="BL401" t="s">
        <v>96</v>
      </c>
      <c r="BM401" t="s">
        <v>1</v>
      </c>
      <c r="BN401">
        <v>24500</v>
      </c>
      <c r="BO401" t="s">
        <v>1</v>
      </c>
      <c r="BP401" t="s">
        <v>1</v>
      </c>
      <c r="BQ401" t="s">
        <v>1</v>
      </c>
      <c r="BR401" t="s">
        <v>1</v>
      </c>
      <c r="BS401" t="s">
        <v>1</v>
      </c>
      <c r="BT401" t="s">
        <v>1</v>
      </c>
      <c r="BU401" t="s">
        <v>1</v>
      </c>
      <c r="BV401" t="s">
        <v>1</v>
      </c>
      <c r="BW401" t="s">
        <v>0</v>
      </c>
      <c r="BX401" t="s">
        <v>1</v>
      </c>
      <c r="BY401" t="s">
        <v>1</v>
      </c>
      <c r="BZ401" t="s">
        <v>1</v>
      </c>
      <c r="CA401" t="s">
        <v>1</v>
      </c>
      <c r="CB401" t="s">
        <v>1</v>
      </c>
      <c r="CD401" t="e" cm="1">
        <f t="array" aca="1" ref="CD401" ca="1">eConcatenar(A401:CB401,"|")</f>
        <v>#NAME?</v>
      </c>
    </row>
    <row r="402" spans="1:82" x14ac:dyDescent="0.25">
      <c r="A402" t="s">
        <v>497</v>
      </c>
      <c r="B402" t="s">
        <v>1511</v>
      </c>
      <c r="C402">
        <v>3</v>
      </c>
      <c r="D402" t="s">
        <v>2153</v>
      </c>
      <c r="E402" t="s">
        <v>2158</v>
      </c>
      <c r="F402" t="s">
        <v>2159</v>
      </c>
      <c r="G402" t="s">
        <v>2407</v>
      </c>
      <c r="H402" t="s">
        <v>2809</v>
      </c>
      <c r="I402">
        <v>14800</v>
      </c>
      <c r="J402">
        <v>0</v>
      </c>
      <c r="K402">
        <v>50</v>
      </c>
      <c r="L402">
        <v>50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 t="s">
        <v>3132</v>
      </c>
      <c r="AC402" t="s">
        <v>3132</v>
      </c>
      <c r="AD402" t="s">
        <v>3635</v>
      </c>
      <c r="AE402" t="s">
        <v>4</v>
      </c>
      <c r="AF402" t="s">
        <v>1</v>
      </c>
      <c r="AG402" t="s">
        <v>1</v>
      </c>
      <c r="AH402" t="s">
        <v>2414</v>
      </c>
      <c r="AI402" t="s">
        <v>2407</v>
      </c>
      <c r="AJ402" t="s">
        <v>1</v>
      </c>
      <c r="AK402">
        <v>9331369182</v>
      </c>
      <c r="AL402" t="s">
        <v>1</v>
      </c>
      <c r="AM402" t="s">
        <v>1</v>
      </c>
      <c r="AN402" t="s">
        <v>1</v>
      </c>
      <c r="AO402" t="s">
        <v>2414</v>
      </c>
      <c r="AP402" t="s">
        <v>1</v>
      </c>
      <c r="AQ402" t="s">
        <v>2</v>
      </c>
      <c r="AR402" t="s">
        <v>1</v>
      </c>
      <c r="AS402" t="s">
        <v>1</v>
      </c>
      <c r="AT402" t="s">
        <v>1</v>
      </c>
      <c r="AU402" t="s">
        <v>1</v>
      </c>
      <c r="AV402" t="s">
        <v>1</v>
      </c>
      <c r="AW402" t="s">
        <v>9</v>
      </c>
      <c r="AX402">
        <f>Tabla1[[#This Row],[precio del paquete]]-Tabla1[[#This Row],[Saldo_Deudor]]</f>
        <v>650</v>
      </c>
      <c r="AY402">
        <v>14150</v>
      </c>
      <c r="AZ402">
        <v>0</v>
      </c>
      <c r="BA402">
        <v>0</v>
      </c>
      <c r="BB402">
        <v>0</v>
      </c>
      <c r="BC402" t="s">
        <v>2925</v>
      </c>
      <c r="BD402" t="s">
        <v>3078</v>
      </c>
      <c r="BE402" t="s">
        <v>3</v>
      </c>
      <c r="BF402" t="s">
        <v>3</v>
      </c>
      <c r="BG402" t="s">
        <v>3</v>
      </c>
      <c r="BH402" t="s">
        <v>3</v>
      </c>
      <c r="BI402" t="s">
        <v>3</v>
      </c>
      <c r="BJ402" t="s">
        <v>4983</v>
      </c>
      <c r="BK402" t="s">
        <v>3</v>
      </c>
      <c r="BL402" t="s">
        <v>96</v>
      </c>
      <c r="BM402" t="s">
        <v>1</v>
      </c>
      <c r="BN402">
        <v>14800</v>
      </c>
      <c r="BO402" t="s">
        <v>1</v>
      </c>
      <c r="BP402" t="s">
        <v>1</v>
      </c>
      <c r="BQ402" t="s">
        <v>1</v>
      </c>
      <c r="BR402" t="s">
        <v>1</v>
      </c>
      <c r="BS402" t="s">
        <v>1</v>
      </c>
      <c r="BT402" t="s">
        <v>1</v>
      </c>
      <c r="BU402" t="s">
        <v>1</v>
      </c>
      <c r="BV402" t="s">
        <v>1</v>
      </c>
      <c r="BW402" t="s">
        <v>0</v>
      </c>
      <c r="BX402" t="s">
        <v>1</v>
      </c>
      <c r="BY402" t="s">
        <v>1</v>
      </c>
      <c r="BZ402" t="s">
        <v>1</v>
      </c>
      <c r="CA402" t="s">
        <v>1</v>
      </c>
      <c r="CB402" t="s">
        <v>1</v>
      </c>
      <c r="CD402" t="e" cm="1">
        <f t="array" aca="1" ref="CD402" ca="1">eConcatenar(A402:CB402,"|")</f>
        <v>#NAME?</v>
      </c>
    </row>
    <row r="403" spans="1:82" x14ac:dyDescent="0.25">
      <c r="A403" t="s">
        <v>498</v>
      </c>
      <c r="B403" t="s">
        <v>1512</v>
      </c>
      <c r="C403">
        <v>3</v>
      </c>
      <c r="D403" t="s">
        <v>2153</v>
      </c>
      <c r="E403" t="s">
        <v>2158</v>
      </c>
      <c r="F403" t="s">
        <v>2159</v>
      </c>
      <c r="G403" t="s">
        <v>2407</v>
      </c>
      <c r="H403" t="s">
        <v>2697</v>
      </c>
      <c r="I403">
        <v>14800</v>
      </c>
      <c r="J403">
        <v>0</v>
      </c>
      <c r="K403">
        <v>200</v>
      </c>
      <c r="L403">
        <v>50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 t="s">
        <v>3249</v>
      </c>
      <c r="AC403" t="s">
        <v>3168</v>
      </c>
      <c r="AD403" t="s">
        <v>3636</v>
      </c>
      <c r="AE403" t="s">
        <v>4</v>
      </c>
      <c r="AF403" t="s">
        <v>1</v>
      </c>
      <c r="AG403" t="s">
        <v>1</v>
      </c>
      <c r="AH403" t="s">
        <v>2411</v>
      </c>
      <c r="AI403" t="s">
        <v>2407</v>
      </c>
      <c r="AJ403" t="s">
        <v>1</v>
      </c>
      <c r="AK403">
        <v>9333246270</v>
      </c>
      <c r="AL403" t="s">
        <v>1</v>
      </c>
      <c r="AM403" t="s">
        <v>1</v>
      </c>
      <c r="AN403" t="s">
        <v>1</v>
      </c>
      <c r="AO403" t="s">
        <v>2411</v>
      </c>
      <c r="AP403" t="s">
        <v>1</v>
      </c>
      <c r="AQ403" t="s">
        <v>2</v>
      </c>
      <c r="AR403" t="s">
        <v>1</v>
      </c>
      <c r="AS403" t="s">
        <v>1</v>
      </c>
      <c r="AT403" t="s">
        <v>1</v>
      </c>
      <c r="AU403" t="s">
        <v>1</v>
      </c>
      <c r="AV403" t="s">
        <v>1</v>
      </c>
      <c r="AW403" t="s">
        <v>9</v>
      </c>
      <c r="AX403">
        <f>Tabla1[[#This Row],[precio del paquete]]-Tabla1[[#This Row],[Saldo_Deudor]]</f>
        <v>1500</v>
      </c>
      <c r="AY403">
        <v>13300</v>
      </c>
      <c r="AZ403">
        <v>0</v>
      </c>
      <c r="BA403">
        <v>0</v>
      </c>
      <c r="BB403">
        <v>0</v>
      </c>
      <c r="BC403" t="s">
        <v>2925</v>
      </c>
      <c r="BD403" t="s">
        <v>3078</v>
      </c>
      <c r="BE403" t="s">
        <v>3</v>
      </c>
      <c r="BF403" t="s">
        <v>3</v>
      </c>
      <c r="BG403" t="s">
        <v>3</v>
      </c>
      <c r="BH403" t="s">
        <v>3</v>
      </c>
      <c r="BI403" t="s">
        <v>3</v>
      </c>
      <c r="BJ403" t="s">
        <v>5002</v>
      </c>
      <c r="BK403" t="s">
        <v>3</v>
      </c>
      <c r="BL403" t="s">
        <v>96</v>
      </c>
      <c r="BM403" t="s">
        <v>1</v>
      </c>
      <c r="BN403">
        <v>14800</v>
      </c>
      <c r="BO403" t="s">
        <v>1</v>
      </c>
      <c r="BP403" t="s">
        <v>1</v>
      </c>
      <c r="BQ403" t="s">
        <v>1</v>
      </c>
      <c r="BR403" t="s">
        <v>1</v>
      </c>
      <c r="BS403" t="s">
        <v>1</v>
      </c>
      <c r="BT403" t="s">
        <v>1</v>
      </c>
      <c r="BU403" t="s">
        <v>1</v>
      </c>
      <c r="BV403" t="s">
        <v>1</v>
      </c>
      <c r="BW403" t="s">
        <v>0</v>
      </c>
      <c r="BX403" t="s">
        <v>1</v>
      </c>
      <c r="BY403" t="s">
        <v>1</v>
      </c>
      <c r="BZ403" t="s">
        <v>1</v>
      </c>
      <c r="CA403" t="s">
        <v>1</v>
      </c>
      <c r="CB403" t="s">
        <v>1</v>
      </c>
      <c r="CD403" t="e" cm="1">
        <f t="array" aca="1" ref="CD403" ca="1">eConcatenar(A403:CB403,"|")</f>
        <v>#NAME?</v>
      </c>
    </row>
    <row r="404" spans="1:82" x14ac:dyDescent="0.25">
      <c r="A404" t="s">
        <v>499</v>
      </c>
      <c r="B404" t="s">
        <v>1513</v>
      </c>
      <c r="C404">
        <v>3</v>
      </c>
      <c r="D404" t="s">
        <v>2153</v>
      </c>
      <c r="E404" t="s">
        <v>2158</v>
      </c>
      <c r="F404" t="s">
        <v>2159</v>
      </c>
      <c r="G404" t="s">
        <v>2408</v>
      </c>
      <c r="H404" t="s">
        <v>2773</v>
      </c>
      <c r="I404">
        <v>14800</v>
      </c>
      <c r="J404">
        <v>0</v>
      </c>
      <c r="K404">
        <v>50</v>
      </c>
      <c r="L404">
        <v>50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 t="s">
        <v>3115</v>
      </c>
      <c r="AC404" t="s">
        <v>3155</v>
      </c>
      <c r="AD404" t="s">
        <v>3528</v>
      </c>
      <c r="AE404" t="s">
        <v>4</v>
      </c>
      <c r="AF404" t="s">
        <v>1</v>
      </c>
      <c r="AG404" t="s">
        <v>1</v>
      </c>
      <c r="AH404" t="s">
        <v>2411</v>
      </c>
      <c r="AI404" t="s">
        <v>2408</v>
      </c>
      <c r="AJ404" t="s">
        <v>1</v>
      </c>
      <c r="AK404">
        <v>9331356772</v>
      </c>
      <c r="AL404" t="s">
        <v>1</v>
      </c>
      <c r="AM404" t="s">
        <v>1</v>
      </c>
      <c r="AN404" t="s">
        <v>1</v>
      </c>
      <c r="AO404" t="s">
        <v>2411</v>
      </c>
      <c r="AP404" t="s">
        <v>1</v>
      </c>
      <c r="AQ404" t="s">
        <v>2</v>
      </c>
      <c r="AR404" t="s">
        <v>1</v>
      </c>
      <c r="AS404" t="s">
        <v>1</v>
      </c>
      <c r="AT404" t="s">
        <v>1</v>
      </c>
      <c r="AU404" t="s">
        <v>1</v>
      </c>
      <c r="AV404" t="s">
        <v>1</v>
      </c>
      <c r="AW404" t="s">
        <v>9</v>
      </c>
      <c r="AX404">
        <f>Tabla1[[#This Row],[precio del paquete]]-Tabla1[[#This Row],[Saldo_Deudor]]</f>
        <v>1350</v>
      </c>
      <c r="AY404">
        <v>13450</v>
      </c>
      <c r="AZ404">
        <v>0</v>
      </c>
      <c r="BA404">
        <v>0</v>
      </c>
      <c r="BB404">
        <v>0</v>
      </c>
      <c r="BC404" t="s">
        <v>4847</v>
      </c>
      <c r="BD404" t="s">
        <v>4826</v>
      </c>
      <c r="BE404" t="s">
        <v>3</v>
      </c>
      <c r="BF404" t="s">
        <v>3</v>
      </c>
      <c r="BG404" t="s">
        <v>3</v>
      </c>
      <c r="BH404" t="s">
        <v>3</v>
      </c>
      <c r="BI404" t="s">
        <v>3</v>
      </c>
      <c r="BJ404" t="s">
        <v>5002</v>
      </c>
      <c r="BK404" t="s">
        <v>3</v>
      </c>
      <c r="BL404" t="s">
        <v>96</v>
      </c>
      <c r="BM404" t="s">
        <v>1</v>
      </c>
      <c r="BN404">
        <v>14800</v>
      </c>
      <c r="BO404" t="s">
        <v>1</v>
      </c>
      <c r="BP404" t="s">
        <v>1</v>
      </c>
      <c r="BQ404" t="s">
        <v>1</v>
      </c>
      <c r="BR404" t="s">
        <v>1</v>
      </c>
      <c r="BS404" t="s">
        <v>1</v>
      </c>
      <c r="BT404" t="s">
        <v>1</v>
      </c>
      <c r="BU404" t="s">
        <v>1</v>
      </c>
      <c r="BV404" t="s">
        <v>1</v>
      </c>
      <c r="BW404" t="s">
        <v>0</v>
      </c>
      <c r="BX404" t="s">
        <v>1</v>
      </c>
      <c r="BY404" t="s">
        <v>1</v>
      </c>
      <c r="BZ404" t="s">
        <v>1</v>
      </c>
      <c r="CA404" t="s">
        <v>1</v>
      </c>
      <c r="CB404" t="s">
        <v>1</v>
      </c>
      <c r="CD404" t="e" cm="1">
        <f t="array" aca="1" ref="CD404" ca="1">eConcatenar(A404:CB404,"|")</f>
        <v>#NAME?</v>
      </c>
    </row>
    <row r="405" spans="1:82" x14ac:dyDescent="0.25">
      <c r="A405" t="s">
        <v>500</v>
      </c>
      <c r="B405" t="s">
        <v>1514</v>
      </c>
      <c r="C405">
        <v>3</v>
      </c>
      <c r="D405" t="s">
        <v>2153</v>
      </c>
      <c r="E405" t="s">
        <v>2158</v>
      </c>
      <c r="F405" t="s">
        <v>0</v>
      </c>
      <c r="G405" t="s">
        <v>2409</v>
      </c>
      <c r="H405" t="s">
        <v>2744</v>
      </c>
      <c r="I405">
        <v>14800</v>
      </c>
      <c r="J405">
        <v>0</v>
      </c>
      <c r="K405">
        <v>200</v>
      </c>
      <c r="L405">
        <v>50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 t="s">
        <v>3637</v>
      </c>
      <c r="AC405" t="s">
        <v>3148</v>
      </c>
      <c r="AD405" t="s">
        <v>3638</v>
      </c>
      <c r="AE405" t="s">
        <v>4</v>
      </c>
      <c r="AF405" t="s">
        <v>1</v>
      </c>
      <c r="AG405" t="s">
        <v>1</v>
      </c>
      <c r="AH405" t="s">
        <v>4386</v>
      </c>
      <c r="AI405" t="s">
        <v>2409</v>
      </c>
      <c r="AJ405" t="s">
        <v>1</v>
      </c>
      <c r="AK405">
        <v>9331198375</v>
      </c>
      <c r="AL405" t="s">
        <v>1</v>
      </c>
      <c r="AM405" t="s">
        <v>1</v>
      </c>
      <c r="AN405" t="s">
        <v>1</v>
      </c>
      <c r="AO405" t="s">
        <v>4386</v>
      </c>
      <c r="AP405" t="s">
        <v>1</v>
      </c>
      <c r="AQ405" t="s">
        <v>2</v>
      </c>
      <c r="AR405" t="s">
        <v>1</v>
      </c>
      <c r="AS405" t="s">
        <v>1</v>
      </c>
      <c r="AT405" t="s">
        <v>1</v>
      </c>
      <c r="AU405" t="s">
        <v>1</v>
      </c>
      <c r="AV405" t="s">
        <v>1</v>
      </c>
      <c r="AW405" t="s">
        <v>9</v>
      </c>
      <c r="AX405">
        <f>Tabla1[[#This Row],[precio del paquete]]-Tabla1[[#This Row],[Saldo_Deudor]]</f>
        <v>3200</v>
      </c>
      <c r="AY405">
        <v>11600</v>
      </c>
      <c r="AZ405">
        <v>0</v>
      </c>
      <c r="BA405">
        <v>0</v>
      </c>
      <c r="BB405">
        <v>0</v>
      </c>
      <c r="BC405" t="s">
        <v>2865</v>
      </c>
      <c r="BD405" t="s">
        <v>4903</v>
      </c>
      <c r="BE405" t="s">
        <v>3</v>
      </c>
      <c r="BF405" t="s">
        <v>3</v>
      </c>
      <c r="BG405" t="s">
        <v>3</v>
      </c>
      <c r="BH405" t="s">
        <v>3</v>
      </c>
      <c r="BI405" t="s">
        <v>3</v>
      </c>
      <c r="BJ405" t="s">
        <v>5002</v>
      </c>
      <c r="BK405" t="s">
        <v>3</v>
      </c>
      <c r="BL405" t="s">
        <v>96</v>
      </c>
      <c r="BM405" t="s">
        <v>1</v>
      </c>
      <c r="BN405">
        <v>14800</v>
      </c>
      <c r="BO405" t="s">
        <v>1</v>
      </c>
      <c r="BP405" t="s">
        <v>1</v>
      </c>
      <c r="BQ405" t="s">
        <v>1</v>
      </c>
      <c r="BR405" t="s">
        <v>1</v>
      </c>
      <c r="BS405" t="s">
        <v>1</v>
      </c>
      <c r="BT405" t="s">
        <v>1</v>
      </c>
      <c r="BU405" t="s">
        <v>1</v>
      </c>
      <c r="BV405" t="s">
        <v>1</v>
      </c>
      <c r="BW405" t="s">
        <v>0</v>
      </c>
      <c r="BX405" t="s">
        <v>1</v>
      </c>
      <c r="BY405" t="s">
        <v>1</v>
      </c>
      <c r="BZ405" t="s">
        <v>1</v>
      </c>
      <c r="CA405" t="s">
        <v>1</v>
      </c>
      <c r="CB405" t="s">
        <v>1</v>
      </c>
      <c r="CD405" t="e" cm="1">
        <f t="array" aca="1" ref="CD405" ca="1">eConcatenar(A405:CB405,"|")</f>
        <v>#NAME?</v>
      </c>
    </row>
    <row r="406" spans="1:82" x14ac:dyDescent="0.25">
      <c r="A406" t="s">
        <v>501</v>
      </c>
      <c r="B406" t="s">
        <v>1515</v>
      </c>
      <c r="C406">
        <v>3</v>
      </c>
      <c r="D406" t="s">
        <v>2153</v>
      </c>
      <c r="E406" t="s">
        <v>2158</v>
      </c>
      <c r="F406" t="s">
        <v>2162</v>
      </c>
      <c r="G406" t="s">
        <v>2410</v>
      </c>
      <c r="H406" t="s">
        <v>2895</v>
      </c>
      <c r="I406">
        <v>14800</v>
      </c>
      <c r="J406">
        <v>0</v>
      </c>
      <c r="K406">
        <v>50</v>
      </c>
      <c r="L406">
        <v>50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 t="s">
        <v>3290</v>
      </c>
      <c r="AC406" t="s">
        <v>3202</v>
      </c>
      <c r="AD406" t="s">
        <v>3639</v>
      </c>
      <c r="AE406" t="s">
        <v>4</v>
      </c>
      <c r="AF406" t="s">
        <v>1</v>
      </c>
      <c r="AG406" t="s">
        <v>1</v>
      </c>
      <c r="AH406" t="s">
        <v>4387</v>
      </c>
      <c r="AI406" t="s">
        <v>2410</v>
      </c>
      <c r="AJ406" t="s">
        <v>1</v>
      </c>
      <c r="AK406">
        <v>9934592230</v>
      </c>
      <c r="AL406" t="s">
        <v>1</v>
      </c>
      <c r="AM406" t="s">
        <v>1</v>
      </c>
      <c r="AN406" t="s">
        <v>1</v>
      </c>
      <c r="AO406" t="s">
        <v>4387</v>
      </c>
      <c r="AP406" t="s">
        <v>1</v>
      </c>
      <c r="AQ406" t="s">
        <v>2</v>
      </c>
      <c r="AR406" t="s">
        <v>1</v>
      </c>
      <c r="AS406" t="s">
        <v>1</v>
      </c>
      <c r="AT406" t="s">
        <v>1</v>
      </c>
      <c r="AU406" t="s">
        <v>1</v>
      </c>
      <c r="AV406" t="s">
        <v>1</v>
      </c>
      <c r="AW406" t="s">
        <v>9</v>
      </c>
      <c r="AX406">
        <f>Tabla1[[#This Row],[precio del paquete]]-Tabla1[[#This Row],[Saldo_Deudor]]</f>
        <v>250</v>
      </c>
      <c r="AY406">
        <v>14550</v>
      </c>
      <c r="AZ406">
        <v>0</v>
      </c>
      <c r="BA406">
        <v>0</v>
      </c>
      <c r="BB406">
        <v>0</v>
      </c>
      <c r="BC406" t="s">
        <v>4859</v>
      </c>
      <c r="BD406" t="s">
        <v>2863</v>
      </c>
      <c r="BE406" t="s">
        <v>3</v>
      </c>
      <c r="BF406" t="s">
        <v>3</v>
      </c>
      <c r="BG406" t="s">
        <v>3</v>
      </c>
      <c r="BH406" t="s">
        <v>3</v>
      </c>
      <c r="BI406" t="s">
        <v>3</v>
      </c>
      <c r="BJ406" t="s">
        <v>5001</v>
      </c>
      <c r="BK406" t="s">
        <v>3</v>
      </c>
      <c r="BL406" t="s">
        <v>96</v>
      </c>
      <c r="BM406" t="s">
        <v>1</v>
      </c>
      <c r="BN406">
        <v>14800</v>
      </c>
      <c r="BO406" t="s">
        <v>1</v>
      </c>
      <c r="BP406" t="s">
        <v>1</v>
      </c>
      <c r="BQ406" t="s">
        <v>1</v>
      </c>
      <c r="BR406" t="s">
        <v>1</v>
      </c>
      <c r="BS406" t="s">
        <v>1</v>
      </c>
      <c r="BT406" t="s">
        <v>1</v>
      </c>
      <c r="BU406" t="s">
        <v>1</v>
      </c>
      <c r="BV406" t="s">
        <v>1</v>
      </c>
      <c r="BW406" t="s">
        <v>0</v>
      </c>
      <c r="BX406" t="s">
        <v>1</v>
      </c>
      <c r="BY406" t="s">
        <v>1</v>
      </c>
      <c r="BZ406" t="s">
        <v>1</v>
      </c>
      <c r="CA406" t="s">
        <v>1</v>
      </c>
      <c r="CB406" t="s">
        <v>1</v>
      </c>
      <c r="CD406" t="e" cm="1">
        <f t="array" aca="1" ref="CD406" ca="1">eConcatenar(A406:CB406,"|")</f>
        <v>#NAME?</v>
      </c>
    </row>
    <row r="407" spans="1:82" x14ac:dyDescent="0.25">
      <c r="A407" t="s">
        <v>502</v>
      </c>
      <c r="B407" t="s">
        <v>1516</v>
      </c>
      <c r="C407">
        <v>3</v>
      </c>
      <c r="D407" t="s">
        <v>2153</v>
      </c>
      <c r="E407" t="s">
        <v>10</v>
      </c>
      <c r="F407" t="s">
        <v>2162</v>
      </c>
      <c r="G407" t="s">
        <v>2411</v>
      </c>
      <c r="H407" t="s">
        <v>2697</v>
      </c>
      <c r="I407">
        <v>14800</v>
      </c>
      <c r="J407">
        <v>0</v>
      </c>
      <c r="K407">
        <v>400</v>
      </c>
      <c r="L407">
        <v>50</v>
      </c>
      <c r="M407">
        <v>2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 t="s">
        <v>5</v>
      </c>
      <c r="AC407" t="s">
        <v>3148</v>
      </c>
      <c r="AD407" t="s">
        <v>3640</v>
      </c>
      <c r="AE407" t="s">
        <v>4</v>
      </c>
      <c r="AF407" t="s">
        <v>1</v>
      </c>
      <c r="AG407" t="s">
        <v>1</v>
      </c>
      <c r="AH407" t="s">
        <v>4388</v>
      </c>
      <c r="AI407" t="s">
        <v>2411</v>
      </c>
      <c r="AJ407" t="s">
        <v>1</v>
      </c>
      <c r="AK407">
        <v>9331180606</v>
      </c>
      <c r="AL407" t="s">
        <v>1</v>
      </c>
      <c r="AM407" t="s">
        <v>1</v>
      </c>
      <c r="AN407" t="s">
        <v>1</v>
      </c>
      <c r="AO407" t="s">
        <v>4388</v>
      </c>
      <c r="AP407" t="s">
        <v>1</v>
      </c>
      <c r="AQ407" t="s">
        <v>2</v>
      </c>
      <c r="AR407" t="s">
        <v>1</v>
      </c>
      <c r="AS407" t="s">
        <v>1</v>
      </c>
      <c r="AT407" t="s">
        <v>1</v>
      </c>
      <c r="AU407" t="s">
        <v>1</v>
      </c>
      <c r="AV407" t="s">
        <v>1</v>
      </c>
      <c r="AW407" t="s">
        <v>9</v>
      </c>
      <c r="AX407">
        <f>Tabla1[[#This Row],[precio del paquete]]-Tabla1[[#This Row],[Saldo_Deudor]]</f>
        <v>1300</v>
      </c>
      <c r="AY407">
        <v>13500</v>
      </c>
      <c r="AZ407">
        <v>0</v>
      </c>
      <c r="BA407">
        <v>0</v>
      </c>
      <c r="BB407">
        <v>0</v>
      </c>
      <c r="BC407" t="s">
        <v>2714</v>
      </c>
      <c r="BD407" t="s">
        <v>2958</v>
      </c>
      <c r="BE407" t="s">
        <v>3</v>
      </c>
      <c r="BF407" t="s">
        <v>3</v>
      </c>
      <c r="BG407" t="s">
        <v>3</v>
      </c>
      <c r="BH407" t="s">
        <v>3</v>
      </c>
      <c r="BI407" t="s">
        <v>3</v>
      </c>
      <c r="BJ407" t="s">
        <v>4990</v>
      </c>
      <c r="BK407" t="s">
        <v>3</v>
      </c>
      <c r="BL407" t="s">
        <v>96</v>
      </c>
      <c r="BM407" t="s">
        <v>1</v>
      </c>
      <c r="BN407">
        <v>14800</v>
      </c>
      <c r="BO407" t="s">
        <v>1</v>
      </c>
      <c r="BP407" t="s">
        <v>1</v>
      </c>
      <c r="BQ407" t="s">
        <v>1</v>
      </c>
      <c r="BR407" t="s">
        <v>1</v>
      </c>
      <c r="BS407" t="s">
        <v>1</v>
      </c>
      <c r="BT407" t="s">
        <v>1</v>
      </c>
      <c r="BU407" t="s">
        <v>1</v>
      </c>
      <c r="BV407" t="s">
        <v>1</v>
      </c>
      <c r="BW407" t="s">
        <v>0</v>
      </c>
      <c r="BX407" t="s">
        <v>1</v>
      </c>
      <c r="BY407" t="s">
        <v>1</v>
      </c>
      <c r="BZ407" t="s">
        <v>1</v>
      </c>
      <c r="CA407" t="s">
        <v>1</v>
      </c>
      <c r="CB407" t="s">
        <v>1</v>
      </c>
      <c r="CD407" t="e" cm="1">
        <f t="array" aca="1" ref="CD407" ca="1">eConcatenar(A407:CB407,"|")</f>
        <v>#NAME?</v>
      </c>
    </row>
    <row r="408" spans="1:82" x14ac:dyDescent="0.25">
      <c r="A408" t="s">
        <v>503</v>
      </c>
      <c r="B408" t="s">
        <v>1517</v>
      </c>
      <c r="C408">
        <v>3</v>
      </c>
      <c r="D408" t="s">
        <v>2153</v>
      </c>
      <c r="E408" t="s">
        <v>2158</v>
      </c>
      <c r="F408" t="s">
        <v>2162</v>
      </c>
      <c r="G408" t="s">
        <v>2412</v>
      </c>
      <c r="H408" t="s">
        <v>2896</v>
      </c>
      <c r="I408">
        <v>14800</v>
      </c>
      <c r="J408">
        <v>0</v>
      </c>
      <c r="K408">
        <v>100</v>
      </c>
      <c r="L408">
        <v>50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 t="s">
        <v>3550</v>
      </c>
      <c r="AC408" t="s">
        <v>3641</v>
      </c>
      <c r="AD408" t="s">
        <v>3130</v>
      </c>
      <c r="AE408" t="s">
        <v>4</v>
      </c>
      <c r="AF408" t="s">
        <v>1</v>
      </c>
      <c r="AG408" t="s">
        <v>1</v>
      </c>
      <c r="AH408" t="s">
        <v>4389</v>
      </c>
      <c r="AI408" t="s">
        <v>2412</v>
      </c>
      <c r="AJ408" t="s">
        <v>1</v>
      </c>
      <c r="AK408">
        <v>9331323280</v>
      </c>
      <c r="AL408" t="s">
        <v>1</v>
      </c>
      <c r="AM408" t="s">
        <v>1</v>
      </c>
      <c r="AN408" t="s">
        <v>1</v>
      </c>
      <c r="AO408" t="s">
        <v>4389</v>
      </c>
      <c r="AP408" t="s">
        <v>1</v>
      </c>
      <c r="AQ408" t="s">
        <v>2</v>
      </c>
      <c r="AR408" t="s">
        <v>1</v>
      </c>
      <c r="AS408" t="s">
        <v>1</v>
      </c>
      <c r="AT408" t="s">
        <v>1</v>
      </c>
      <c r="AU408" t="s">
        <v>1</v>
      </c>
      <c r="AV408" t="s">
        <v>1</v>
      </c>
      <c r="AW408" t="s">
        <v>9</v>
      </c>
      <c r="AX408">
        <f>Tabla1[[#This Row],[precio del paquete]]-Tabla1[[#This Row],[Saldo_Deudor]]</f>
        <v>950</v>
      </c>
      <c r="AY408">
        <v>13850</v>
      </c>
      <c r="AZ408">
        <v>0</v>
      </c>
      <c r="BA408">
        <v>0</v>
      </c>
      <c r="BB408">
        <v>0</v>
      </c>
      <c r="BC408" t="s">
        <v>3096</v>
      </c>
      <c r="BD408" t="s">
        <v>3079</v>
      </c>
      <c r="BE408" t="s">
        <v>3</v>
      </c>
      <c r="BF408" t="s">
        <v>3</v>
      </c>
      <c r="BG408" t="s">
        <v>3</v>
      </c>
      <c r="BH408" t="s">
        <v>3</v>
      </c>
      <c r="BI408" t="s">
        <v>3</v>
      </c>
      <c r="BJ408" t="s">
        <v>5002</v>
      </c>
      <c r="BK408" t="s">
        <v>3</v>
      </c>
      <c r="BL408" t="s">
        <v>96</v>
      </c>
      <c r="BM408" t="s">
        <v>1</v>
      </c>
      <c r="BN408">
        <v>14800</v>
      </c>
      <c r="BO408" t="s">
        <v>1</v>
      </c>
      <c r="BP408" t="s">
        <v>1</v>
      </c>
      <c r="BQ408" t="s">
        <v>1</v>
      </c>
      <c r="BR408" t="s">
        <v>1</v>
      </c>
      <c r="BS408" t="s">
        <v>1</v>
      </c>
      <c r="BT408" t="s">
        <v>1</v>
      </c>
      <c r="BU408" t="s">
        <v>1</v>
      </c>
      <c r="BV408" t="s">
        <v>1</v>
      </c>
      <c r="BW408" t="s">
        <v>0</v>
      </c>
      <c r="BX408" t="s">
        <v>1</v>
      </c>
      <c r="BY408" t="s">
        <v>1</v>
      </c>
      <c r="BZ408" t="s">
        <v>1</v>
      </c>
      <c r="CA408" t="s">
        <v>1</v>
      </c>
      <c r="CB408" t="s">
        <v>1</v>
      </c>
      <c r="CD408" t="e" cm="1">
        <f t="array" aca="1" ref="CD408" ca="1">eConcatenar(A408:CB408,"|")</f>
        <v>#NAME?</v>
      </c>
    </row>
    <row r="409" spans="1:82" x14ac:dyDescent="0.25">
      <c r="A409" t="s">
        <v>504</v>
      </c>
      <c r="B409" t="s">
        <v>1518</v>
      </c>
      <c r="C409">
        <v>3</v>
      </c>
      <c r="D409" t="s">
        <v>2157</v>
      </c>
      <c r="E409" t="s">
        <v>2158</v>
      </c>
      <c r="F409" t="s">
        <v>2162</v>
      </c>
      <c r="G409" t="s">
        <v>2412</v>
      </c>
      <c r="H409" t="s">
        <v>2757</v>
      </c>
      <c r="I409">
        <v>12900</v>
      </c>
      <c r="J409">
        <v>0</v>
      </c>
      <c r="K409">
        <v>300</v>
      </c>
      <c r="L409">
        <v>50</v>
      </c>
      <c r="M409">
        <v>1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 t="s">
        <v>3117</v>
      </c>
      <c r="AC409" t="s">
        <v>3184</v>
      </c>
      <c r="AD409" t="s">
        <v>3642</v>
      </c>
      <c r="AE409" t="s">
        <v>4</v>
      </c>
      <c r="AF409" t="s">
        <v>1</v>
      </c>
      <c r="AG409" t="s">
        <v>1</v>
      </c>
      <c r="AH409" t="s">
        <v>4390</v>
      </c>
      <c r="AI409" t="s">
        <v>2412</v>
      </c>
      <c r="AJ409" t="s">
        <v>1</v>
      </c>
      <c r="AK409">
        <v>9331178784</v>
      </c>
      <c r="AL409" t="s">
        <v>1</v>
      </c>
      <c r="AM409" t="s">
        <v>1</v>
      </c>
      <c r="AN409" t="s">
        <v>1</v>
      </c>
      <c r="AO409" t="s">
        <v>4390</v>
      </c>
      <c r="AP409" t="s">
        <v>1</v>
      </c>
      <c r="AQ409" t="s">
        <v>2</v>
      </c>
      <c r="AR409" t="s">
        <v>1</v>
      </c>
      <c r="AS409" t="s">
        <v>1</v>
      </c>
      <c r="AT409" t="s">
        <v>1</v>
      </c>
      <c r="AU409" t="s">
        <v>1</v>
      </c>
      <c r="AV409" t="s">
        <v>1</v>
      </c>
      <c r="AW409" t="s">
        <v>9</v>
      </c>
      <c r="AX409">
        <f>Tabla1[[#This Row],[precio del paquete]]-Tabla1[[#This Row],[Saldo_Deudor]]</f>
        <v>1500</v>
      </c>
      <c r="AY409">
        <v>11400</v>
      </c>
      <c r="AZ409">
        <v>0</v>
      </c>
      <c r="BA409">
        <v>0</v>
      </c>
      <c r="BB409">
        <v>0</v>
      </c>
      <c r="BC409" t="s">
        <v>3061</v>
      </c>
      <c r="BD409" t="s">
        <v>3040</v>
      </c>
      <c r="BE409" t="s">
        <v>3</v>
      </c>
      <c r="BF409" t="s">
        <v>3</v>
      </c>
      <c r="BG409" t="s">
        <v>3</v>
      </c>
      <c r="BH409" t="s">
        <v>3</v>
      </c>
      <c r="BI409" t="s">
        <v>3</v>
      </c>
      <c r="BJ409" t="s">
        <v>4990</v>
      </c>
      <c r="BK409" t="s">
        <v>3</v>
      </c>
      <c r="BL409" t="s">
        <v>96</v>
      </c>
      <c r="BM409" t="s">
        <v>1</v>
      </c>
      <c r="BN409">
        <v>12900</v>
      </c>
      <c r="BO409" t="s">
        <v>1</v>
      </c>
      <c r="BP409" t="s">
        <v>1</v>
      </c>
      <c r="BQ409" t="s">
        <v>1</v>
      </c>
      <c r="BR409" t="s">
        <v>1</v>
      </c>
      <c r="BS409" t="s">
        <v>1</v>
      </c>
      <c r="BT409" t="s">
        <v>1</v>
      </c>
      <c r="BU409" t="s">
        <v>1</v>
      </c>
      <c r="BV409" t="s">
        <v>1</v>
      </c>
      <c r="BW409" t="s">
        <v>0</v>
      </c>
      <c r="BX409" t="s">
        <v>1</v>
      </c>
      <c r="BY409" t="s">
        <v>1</v>
      </c>
      <c r="BZ409" t="s">
        <v>1</v>
      </c>
      <c r="CA409" t="s">
        <v>1</v>
      </c>
      <c r="CB409" t="s">
        <v>1</v>
      </c>
      <c r="CD409" t="e" cm="1">
        <f t="array" aca="1" ref="CD409" ca="1">eConcatenar(A409:CB409,"|")</f>
        <v>#NAME?</v>
      </c>
    </row>
    <row r="410" spans="1:82" x14ac:dyDescent="0.25">
      <c r="A410" t="s">
        <v>505</v>
      </c>
      <c r="B410" t="s">
        <v>1519</v>
      </c>
      <c r="C410">
        <v>3</v>
      </c>
      <c r="D410" t="s">
        <v>2154</v>
      </c>
      <c r="E410" t="s">
        <v>10</v>
      </c>
      <c r="F410" t="s">
        <v>2162</v>
      </c>
      <c r="G410" t="s">
        <v>2413</v>
      </c>
      <c r="H410" t="s">
        <v>2773</v>
      </c>
      <c r="I410">
        <v>24500</v>
      </c>
      <c r="J410">
        <v>0</v>
      </c>
      <c r="K410">
        <v>50</v>
      </c>
      <c r="L410">
        <v>50</v>
      </c>
      <c r="M410">
        <v>2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 t="s">
        <v>3472</v>
      </c>
      <c r="AC410" t="s">
        <v>3157</v>
      </c>
      <c r="AD410" t="s">
        <v>3643</v>
      </c>
      <c r="AE410" t="s">
        <v>4</v>
      </c>
      <c r="AF410" t="s">
        <v>1</v>
      </c>
      <c r="AG410" t="s">
        <v>1</v>
      </c>
      <c r="AH410" t="s">
        <v>4391</v>
      </c>
      <c r="AI410" t="s">
        <v>2413</v>
      </c>
      <c r="AJ410" t="s">
        <v>1</v>
      </c>
      <c r="AK410">
        <v>9333295645</v>
      </c>
      <c r="AL410" t="s">
        <v>1</v>
      </c>
      <c r="AM410" t="s">
        <v>1</v>
      </c>
      <c r="AN410" t="s">
        <v>1</v>
      </c>
      <c r="AO410" t="s">
        <v>4391</v>
      </c>
      <c r="AP410" t="s">
        <v>1</v>
      </c>
      <c r="AQ410" t="s">
        <v>2</v>
      </c>
      <c r="AR410" t="s">
        <v>1</v>
      </c>
      <c r="AS410" t="s">
        <v>1</v>
      </c>
      <c r="AT410" t="s">
        <v>1</v>
      </c>
      <c r="AU410" t="s">
        <v>1</v>
      </c>
      <c r="AV410" t="s">
        <v>1</v>
      </c>
      <c r="AW410" t="s">
        <v>9</v>
      </c>
      <c r="AX410">
        <f>Tabla1[[#This Row],[precio del paquete]]-Tabla1[[#This Row],[Saldo_Deudor]]</f>
        <v>550</v>
      </c>
      <c r="AY410">
        <v>23950</v>
      </c>
      <c r="AZ410">
        <v>0</v>
      </c>
      <c r="BA410">
        <v>0</v>
      </c>
      <c r="BB410">
        <v>0</v>
      </c>
      <c r="BC410" t="s">
        <v>2803</v>
      </c>
      <c r="BD410" t="s">
        <v>4922</v>
      </c>
      <c r="BE410" t="s">
        <v>3</v>
      </c>
      <c r="BF410" t="s">
        <v>3</v>
      </c>
      <c r="BG410" t="s">
        <v>3</v>
      </c>
      <c r="BH410" t="s">
        <v>3</v>
      </c>
      <c r="BI410" t="s">
        <v>3</v>
      </c>
      <c r="BJ410" t="s">
        <v>5001</v>
      </c>
      <c r="BK410" t="s">
        <v>3</v>
      </c>
      <c r="BL410" t="s">
        <v>96</v>
      </c>
      <c r="BM410" t="s">
        <v>1</v>
      </c>
      <c r="BN410">
        <v>24500</v>
      </c>
      <c r="BO410" t="s">
        <v>1</v>
      </c>
      <c r="BP410" t="s">
        <v>1</v>
      </c>
      <c r="BQ410" t="s">
        <v>1</v>
      </c>
      <c r="BR410" t="s">
        <v>1</v>
      </c>
      <c r="BS410" t="s">
        <v>1</v>
      </c>
      <c r="BT410" t="s">
        <v>1</v>
      </c>
      <c r="BU410" t="s">
        <v>1</v>
      </c>
      <c r="BV410" t="s">
        <v>1</v>
      </c>
      <c r="BW410" t="s">
        <v>0</v>
      </c>
      <c r="BX410" t="s">
        <v>1</v>
      </c>
      <c r="BY410" t="s">
        <v>1</v>
      </c>
      <c r="BZ410" t="s">
        <v>1</v>
      </c>
      <c r="CA410" t="s">
        <v>1</v>
      </c>
      <c r="CB410" t="s">
        <v>1</v>
      </c>
      <c r="CD410" t="e" cm="1">
        <f t="array" aca="1" ref="CD410" ca="1">eConcatenar(A410:CB410,"|")</f>
        <v>#NAME?</v>
      </c>
    </row>
    <row r="411" spans="1:82" x14ac:dyDescent="0.25">
      <c r="A411" t="s">
        <v>506</v>
      </c>
      <c r="B411" t="s">
        <v>1520</v>
      </c>
      <c r="C411">
        <v>3</v>
      </c>
      <c r="D411" t="s">
        <v>2153</v>
      </c>
      <c r="E411" t="s">
        <v>2158</v>
      </c>
      <c r="F411" t="s">
        <v>2162</v>
      </c>
      <c r="G411" t="s">
        <v>2414</v>
      </c>
      <c r="H411" t="s">
        <v>2809</v>
      </c>
      <c r="I411">
        <v>14800</v>
      </c>
      <c r="J411">
        <v>0</v>
      </c>
      <c r="K411">
        <v>100</v>
      </c>
      <c r="L411">
        <v>50</v>
      </c>
      <c r="M411">
        <v>1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 t="s">
        <v>3632</v>
      </c>
      <c r="AC411" t="s">
        <v>3155</v>
      </c>
      <c r="AD411" t="s">
        <v>3644</v>
      </c>
      <c r="AE411" t="s">
        <v>4</v>
      </c>
      <c r="AF411" t="s">
        <v>1</v>
      </c>
      <c r="AG411" t="s">
        <v>1</v>
      </c>
      <c r="AH411" t="s">
        <v>4392</v>
      </c>
      <c r="AI411" t="s">
        <v>2414</v>
      </c>
      <c r="AJ411" t="s">
        <v>1</v>
      </c>
      <c r="AK411">
        <v>9331361520</v>
      </c>
      <c r="AL411" t="s">
        <v>1</v>
      </c>
      <c r="AM411" t="s">
        <v>1</v>
      </c>
      <c r="AN411" t="s">
        <v>1</v>
      </c>
      <c r="AO411" t="s">
        <v>4392</v>
      </c>
      <c r="AP411" t="s">
        <v>1</v>
      </c>
      <c r="AQ411" t="s">
        <v>2</v>
      </c>
      <c r="AR411" t="s">
        <v>1</v>
      </c>
      <c r="AS411" t="s">
        <v>1</v>
      </c>
      <c r="AT411" t="s">
        <v>1</v>
      </c>
      <c r="AU411" t="s">
        <v>1</v>
      </c>
      <c r="AV411" t="s">
        <v>1</v>
      </c>
      <c r="AW411" t="s">
        <v>9</v>
      </c>
      <c r="AX411">
        <f>Tabla1[[#This Row],[precio del paquete]]-Tabla1[[#This Row],[Saldo_Deudor]]</f>
        <v>900</v>
      </c>
      <c r="AY411">
        <v>13900</v>
      </c>
      <c r="AZ411">
        <v>0</v>
      </c>
      <c r="BA411">
        <v>0</v>
      </c>
      <c r="BB411">
        <v>0</v>
      </c>
      <c r="BC411" t="s">
        <v>2925</v>
      </c>
      <c r="BD411" t="s">
        <v>3078</v>
      </c>
      <c r="BE411" t="s">
        <v>3</v>
      </c>
      <c r="BF411" t="s">
        <v>3</v>
      </c>
      <c r="BG411" t="s">
        <v>3</v>
      </c>
      <c r="BH411" t="s">
        <v>3</v>
      </c>
      <c r="BI411" t="s">
        <v>3</v>
      </c>
      <c r="BJ411" t="s">
        <v>5002</v>
      </c>
      <c r="BK411" t="s">
        <v>3</v>
      </c>
      <c r="BL411" t="s">
        <v>96</v>
      </c>
      <c r="BM411" t="s">
        <v>1</v>
      </c>
      <c r="BN411">
        <v>14800</v>
      </c>
      <c r="BO411" t="s">
        <v>1</v>
      </c>
      <c r="BP411" t="s">
        <v>1</v>
      </c>
      <c r="BQ411" t="s">
        <v>1</v>
      </c>
      <c r="BR411" t="s">
        <v>1</v>
      </c>
      <c r="BS411" t="s">
        <v>1</v>
      </c>
      <c r="BT411" t="s">
        <v>1</v>
      </c>
      <c r="BU411" t="s">
        <v>1</v>
      </c>
      <c r="BV411" t="s">
        <v>1</v>
      </c>
      <c r="BW411" t="s">
        <v>0</v>
      </c>
      <c r="BX411" t="s">
        <v>1</v>
      </c>
      <c r="BY411" t="s">
        <v>1</v>
      </c>
      <c r="BZ411" t="s">
        <v>1</v>
      </c>
      <c r="CA411" t="s">
        <v>1</v>
      </c>
      <c r="CB411" t="s">
        <v>1</v>
      </c>
      <c r="CD411" t="e" cm="1">
        <f t="array" aca="1" ref="CD411" ca="1">eConcatenar(A411:CB411,"|")</f>
        <v>#NAME?</v>
      </c>
    </row>
    <row r="412" spans="1:82" x14ac:dyDescent="0.25">
      <c r="A412" t="s">
        <v>507</v>
      </c>
      <c r="B412" t="s">
        <v>1521</v>
      </c>
      <c r="C412">
        <v>3</v>
      </c>
      <c r="D412" t="s">
        <v>2153</v>
      </c>
      <c r="E412" t="s">
        <v>2158</v>
      </c>
      <c r="F412" t="s">
        <v>2161</v>
      </c>
      <c r="G412" t="s">
        <v>2415</v>
      </c>
      <c r="H412" t="s">
        <v>2724</v>
      </c>
      <c r="I412">
        <v>14800</v>
      </c>
      <c r="J412">
        <v>0</v>
      </c>
      <c r="K412">
        <v>50</v>
      </c>
      <c r="L412">
        <v>50</v>
      </c>
      <c r="M412">
        <v>1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 t="s">
        <v>3339</v>
      </c>
      <c r="AC412" t="s">
        <v>3132</v>
      </c>
      <c r="AD412" t="s">
        <v>3645</v>
      </c>
      <c r="AE412" t="s">
        <v>4</v>
      </c>
      <c r="AF412" t="s">
        <v>1</v>
      </c>
      <c r="AG412" t="s">
        <v>1</v>
      </c>
      <c r="AH412" t="s">
        <v>4393</v>
      </c>
      <c r="AI412" t="s">
        <v>2415</v>
      </c>
      <c r="AJ412" t="s">
        <v>1</v>
      </c>
      <c r="AK412">
        <v>9333278563</v>
      </c>
      <c r="AL412" t="s">
        <v>1</v>
      </c>
      <c r="AM412" t="s">
        <v>1</v>
      </c>
      <c r="AN412" t="s">
        <v>1</v>
      </c>
      <c r="AO412" t="s">
        <v>4393</v>
      </c>
      <c r="AP412" t="s">
        <v>1</v>
      </c>
      <c r="AQ412" t="s">
        <v>2</v>
      </c>
      <c r="AR412" t="s">
        <v>1</v>
      </c>
      <c r="AS412" t="s">
        <v>1</v>
      </c>
      <c r="AT412" t="s">
        <v>1</v>
      </c>
      <c r="AU412" t="s">
        <v>1</v>
      </c>
      <c r="AV412" t="s">
        <v>1</v>
      </c>
      <c r="AW412" t="s">
        <v>9</v>
      </c>
      <c r="AX412">
        <f>Tabla1[[#This Row],[precio del paquete]]-Tabla1[[#This Row],[Saldo_Deudor]]</f>
        <v>250</v>
      </c>
      <c r="AY412">
        <v>14550</v>
      </c>
      <c r="AZ412">
        <v>0</v>
      </c>
      <c r="BA412">
        <v>0</v>
      </c>
      <c r="BB412">
        <v>0</v>
      </c>
      <c r="BC412" t="s">
        <v>4860</v>
      </c>
      <c r="BD412" t="s">
        <v>4945</v>
      </c>
      <c r="BE412" t="s">
        <v>3</v>
      </c>
      <c r="BF412" t="s">
        <v>3</v>
      </c>
      <c r="BG412" t="s">
        <v>3</v>
      </c>
      <c r="BH412" t="s">
        <v>3</v>
      </c>
      <c r="BI412" t="s">
        <v>3</v>
      </c>
      <c r="BJ412" t="s">
        <v>5002</v>
      </c>
      <c r="BK412" t="s">
        <v>3</v>
      </c>
      <c r="BL412" t="s">
        <v>96</v>
      </c>
      <c r="BM412" t="s">
        <v>1</v>
      </c>
      <c r="BN412">
        <v>14800</v>
      </c>
      <c r="BO412" t="s">
        <v>1</v>
      </c>
      <c r="BP412" t="s">
        <v>1</v>
      </c>
      <c r="BQ412" t="s">
        <v>1</v>
      </c>
      <c r="BR412" t="s">
        <v>1</v>
      </c>
      <c r="BS412" t="s">
        <v>1</v>
      </c>
      <c r="BT412" t="s">
        <v>1</v>
      </c>
      <c r="BU412" t="s">
        <v>1</v>
      </c>
      <c r="BV412" t="s">
        <v>1</v>
      </c>
      <c r="BW412" t="s">
        <v>0</v>
      </c>
      <c r="BX412" t="s">
        <v>1</v>
      </c>
      <c r="BY412" t="s">
        <v>1</v>
      </c>
      <c r="BZ412" t="s">
        <v>1</v>
      </c>
      <c r="CA412" t="s">
        <v>1</v>
      </c>
      <c r="CB412" t="s">
        <v>1</v>
      </c>
      <c r="CD412" t="e" cm="1">
        <f t="array" aca="1" ref="CD412" ca="1">eConcatenar(A412:CB412,"|")</f>
        <v>#NAME?</v>
      </c>
    </row>
    <row r="413" spans="1:82" x14ac:dyDescent="0.25">
      <c r="A413" t="s">
        <v>508</v>
      </c>
      <c r="B413" t="s">
        <v>1522</v>
      </c>
      <c r="C413">
        <v>3</v>
      </c>
      <c r="D413" t="s">
        <v>2153</v>
      </c>
      <c r="E413" t="s">
        <v>10</v>
      </c>
      <c r="F413" t="s">
        <v>0</v>
      </c>
      <c r="G413" t="s">
        <v>2416</v>
      </c>
      <c r="H413" t="s">
        <v>2724</v>
      </c>
      <c r="I413">
        <v>14800</v>
      </c>
      <c r="J413">
        <v>0</v>
      </c>
      <c r="K413">
        <v>100</v>
      </c>
      <c r="L413">
        <v>50</v>
      </c>
      <c r="M413">
        <v>2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 t="s">
        <v>3339</v>
      </c>
      <c r="AC413" t="s">
        <v>3132</v>
      </c>
      <c r="AD413" t="s">
        <v>3645</v>
      </c>
      <c r="AE413" t="s">
        <v>4</v>
      </c>
      <c r="AF413" t="s">
        <v>1</v>
      </c>
      <c r="AG413" t="s">
        <v>1</v>
      </c>
      <c r="AH413" t="s">
        <v>4394</v>
      </c>
      <c r="AI413" t="s">
        <v>2416</v>
      </c>
      <c r="AJ413" t="s">
        <v>1</v>
      </c>
      <c r="AK413">
        <v>9333278563</v>
      </c>
      <c r="AL413" t="s">
        <v>1</v>
      </c>
      <c r="AM413" t="s">
        <v>1</v>
      </c>
      <c r="AN413" t="s">
        <v>1</v>
      </c>
      <c r="AO413" t="s">
        <v>4394</v>
      </c>
      <c r="AP413" t="s">
        <v>1</v>
      </c>
      <c r="AQ413" t="s">
        <v>2</v>
      </c>
      <c r="AR413" t="s">
        <v>1</v>
      </c>
      <c r="AS413" t="s">
        <v>1</v>
      </c>
      <c r="AT413" t="s">
        <v>1</v>
      </c>
      <c r="AU413" t="s">
        <v>1</v>
      </c>
      <c r="AV413" t="s">
        <v>1</v>
      </c>
      <c r="AW413" t="s">
        <v>9</v>
      </c>
      <c r="AX413">
        <f>Tabla1[[#This Row],[precio del paquete]]-Tabla1[[#This Row],[Saldo_Deudor]]</f>
        <v>250</v>
      </c>
      <c r="AY413">
        <v>14550</v>
      </c>
      <c r="AZ413">
        <v>0</v>
      </c>
      <c r="BA413">
        <v>0</v>
      </c>
      <c r="BB413">
        <v>0</v>
      </c>
      <c r="BC413" t="s">
        <v>2778</v>
      </c>
      <c r="BD413" t="s">
        <v>2849</v>
      </c>
      <c r="BE413" t="s">
        <v>3</v>
      </c>
      <c r="BF413" t="s">
        <v>3</v>
      </c>
      <c r="BG413" t="s">
        <v>3</v>
      </c>
      <c r="BH413" t="s">
        <v>3</v>
      </c>
      <c r="BI413" t="s">
        <v>3</v>
      </c>
      <c r="BJ413" t="s">
        <v>4986</v>
      </c>
      <c r="BK413" t="s">
        <v>3</v>
      </c>
      <c r="BL413" t="s">
        <v>96</v>
      </c>
      <c r="BM413" t="s">
        <v>1</v>
      </c>
      <c r="BN413">
        <v>14800</v>
      </c>
      <c r="BO413" t="s">
        <v>1</v>
      </c>
      <c r="BP413" t="s">
        <v>1</v>
      </c>
      <c r="BQ413" t="s">
        <v>1</v>
      </c>
      <c r="BR413" t="s">
        <v>1</v>
      </c>
      <c r="BS413" t="s">
        <v>1</v>
      </c>
      <c r="BT413" t="s">
        <v>1</v>
      </c>
      <c r="BU413" t="s">
        <v>1</v>
      </c>
      <c r="BV413" t="s">
        <v>1</v>
      </c>
      <c r="BW413" t="s">
        <v>0</v>
      </c>
      <c r="BX413" t="s">
        <v>1</v>
      </c>
      <c r="BY413" t="s">
        <v>1</v>
      </c>
      <c r="BZ413" t="s">
        <v>1</v>
      </c>
      <c r="CA413" t="s">
        <v>1</v>
      </c>
      <c r="CB413" t="s">
        <v>1</v>
      </c>
      <c r="CD413" t="e" cm="1">
        <f t="array" aca="1" ref="CD413" ca="1">eConcatenar(A413:CB413,"|")</f>
        <v>#NAME?</v>
      </c>
    </row>
    <row r="414" spans="1:82" x14ac:dyDescent="0.25">
      <c r="A414" t="s">
        <v>509</v>
      </c>
      <c r="B414" t="s">
        <v>1523</v>
      </c>
      <c r="C414">
        <v>3</v>
      </c>
      <c r="D414" t="s">
        <v>2153</v>
      </c>
      <c r="E414" t="s">
        <v>2158</v>
      </c>
      <c r="F414" t="s">
        <v>2161</v>
      </c>
      <c r="G414" t="s">
        <v>2417</v>
      </c>
      <c r="H414" t="s">
        <v>2708</v>
      </c>
      <c r="I414">
        <v>14800</v>
      </c>
      <c r="J414">
        <v>0</v>
      </c>
      <c r="K414">
        <v>300</v>
      </c>
      <c r="L414">
        <v>50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 t="s">
        <v>3646</v>
      </c>
      <c r="AC414" t="s">
        <v>3168</v>
      </c>
      <c r="AD414" t="s">
        <v>3647</v>
      </c>
      <c r="AE414" t="s">
        <v>4</v>
      </c>
      <c r="AF414" t="s">
        <v>1</v>
      </c>
      <c r="AG414" t="s">
        <v>1</v>
      </c>
      <c r="AH414" t="s">
        <v>4395</v>
      </c>
      <c r="AI414" t="s">
        <v>2417</v>
      </c>
      <c r="AJ414" t="s">
        <v>1</v>
      </c>
      <c r="AK414">
        <v>9331573864</v>
      </c>
      <c r="AL414" t="s">
        <v>1</v>
      </c>
      <c r="AM414" t="s">
        <v>1</v>
      </c>
      <c r="AN414" t="s">
        <v>1</v>
      </c>
      <c r="AO414" t="s">
        <v>4395</v>
      </c>
      <c r="AP414" t="s">
        <v>1</v>
      </c>
      <c r="AQ414" t="s">
        <v>2</v>
      </c>
      <c r="AR414" t="s">
        <v>1</v>
      </c>
      <c r="AS414" t="s">
        <v>1</v>
      </c>
      <c r="AT414" t="s">
        <v>1</v>
      </c>
      <c r="AU414" t="s">
        <v>1</v>
      </c>
      <c r="AV414" t="s">
        <v>1</v>
      </c>
      <c r="AW414" t="s">
        <v>9</v>
      </c>
      <c r="AX414">
        <f>Tabla1[[#This Row],[precio del paquete]]-Tabla1[[#This Row],[Saldo_Deudor]]</f>
        <v>300</v>
      </c>
      <c r="AY414">
        <v>14500</v>
      </c>
      <c r="AZ414">
        <v>0</v>
      </c>
      <c r="BA414">
        <v>0</v>
      </c>
      <c r="BB414">
        <v>0</v>
      </c>
      <c r="BC414" t="s">
        <v>2768</v>
      </c>
      <c r="BD414" t="s">
        <v>3013</v>
      </c>
      <c r="BE414" t="s">
        <v>3</v>
      </c>
      <c r="BF414" t="s">
        <v>3</v>
      </c>
      <c r="BG414" t="s">
        <v>3</v>
      </c>
      <c r="BH414" t="s">
        <v>3</v>
      </c>
      <c r="BI414" t="s">
        <v>3</v>
      </c>
      <c r="BJ414" t="s">
        <v>4992</v>
      </c>
      <c r="BK414" t="s">
        <v>3</v>
      </c>
      <c r="BL414" t="s">
        <v>96</v>
      </c>
      <c r="BM414" t="s">
        <v>1</v>
      </c>
      <c r="BN414">
        <v>14800</v>
      </c>
      <c r="BO414" t="s">
        <v>1</v>
      </c>
      <c r="BP414" t="s">
        <v>1</v>
      </c>
      <c r="BQ414" t="s">
        <v>1</v>
      </c>
      <c r="BR414" t="s">
        <v>1</v>
      </c>
      <c r="BS414" t="s">
        <v>1</v>
      </c>
      <c r="BT414" t="s">
        <v>1</v>
      </c>
      <c r="BU414" t="s">
        <v>1</v>
      </c>
      <c r="BV414" t="s">
        <v>1</v>
      </c>
      <c r="BW414" t="s">
        <v>0</v>
      </c>
      <c r="BX414" t="s">
        <v>1</v>
      </c>
      <c r="BY414" t="s">
        <v>1</v>
      </c>
      <c r="BZ414" t="s">
        <v>1</v>
      </c>
      <c r="CA414" t="s">
        <v>1</v>
      </c>
      <c r="CB414" t="s">
        <v>1</v>
      </c>
      <c r="CD414" t="e" cm="1">
        <f t="array" aca="1" ref="CD414" ca="1">eConcatenar(A414:CB414,"|")</f>
        <v>#NAME?</v>
      </c>
    </row>
    <row r="415" spans="1:82" x14ac:dyDescent="0.25">
      <c r="A415" t="s">
        <v>510</v>
      </c>
      <c r="B415" t="s">
        <v>1524</v>
      </c>
      <c r="C415">
        <v>3</v>
      </c>
      <c r="D415" t="s">
        <v>2155</v>
      </c>
      <c r="E415" t="s">
        <v>2158</v>
      </c>
      <c r="F415" t="s">
        <v>2162</v>
      </c>
      <c r="G415" t="s">
        <v>2418</v>
      </c>
      <c r="H415" t="s">
        <v>2813</v>
      </c>
      <c r="I415">
        <v>12900</v>
      </c>
      <c r="J415">
        <v>0</v>
      </c>
      <c r="K415">
        <v>200</v>
      </c>
      <c r="L415">
        <v>50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 t="s">
        <v>3420</v>
      </c>
      <c r="AC415" t="s">
        <v>3132</v>
      </c>
      <c r="AD415" t="s">
        <v>3648</v>
      </c>
      <c r="AE415" t="s">
        <v>4</v>
      </c>
      <c r="AF415" t="s">
        <v>1</v>
      </c>
      <c r="AG415" t="s">
        <v>1</v>
      </c>
      <c r="AH415" t="s">
        <v>4396</v>
      </c>
      <c r="AI415" t="s">
        <v>2418</v>
      </c>
      <c r="AJ415" t="s">
        <v>1</v>
      </c>
      <c r="AK415">
        <v>9931950245</v>
      </c>
      <c r="AL415" t="s">
        <v>1</v>
      </c>
      <c r="AM415" t="s">
        <v>1</v>
      </c>
      <c r="AN415" t="s">
        <v>1</v>
      </c>
      <c r="AO415" t="s">
        <v>4396</v>
      </c>
      <c r="AP415" t="s">
        <v>1</v>
      </c>
      <c r="AQ415" t="s">
        <v>2</v>
      </c>
      <c r="AR415" t="s">
        <v>1</v>
      </c>
      <c r="AS415" t="s">
        <v>1</v>
      </c>
      <c r="AT415" t="s">
        <v>1</v>
      </c>
      <c r="AU415" t="s">
        <v>1</v>
      </c>
      <c r="AV415" t="s">
        <v>1</v>
      </c>
      <c r="AW415" t="s">
        <v>9</v>
      </c>
      <c r="AX415">
        <f>Tabla1[[#This Row],[precio del paquete]]-Tabla1[[#This Row],[Saldo_Deudor]]</f>
        <v>2500</v>
      </c>
      <c r="AY415">
        <v>10400</v>
      </c>
      <c r="AZ415">
        <v>0</v>
      </c>
      <c r="BA415">
        <v>0</v>
      </c>
      <c r="BB415">
        <v>0</v>
      </c>
      <c r="BC415" t="s">
        <v>2700</v>
      </c>
      <c r="BD415" t="s">
        <v>2702</v>
      </c>
      <c r="BE415" t="s">
        <v>3</v>
      </c>
      <c r="BF415" t="s">
        <v>3</v>
      </c>
      <c r="BG415" t="s">
        <v>3</v>
      </c>
      <c r="BH415" t="s">
        <v>3</v>
      </c>
      <c r="BI415" t="s">
        <v>3</v>
      </c>
      <c r="BJ415" t="s">
        <v>5007</v>
      </c>
      <c r="BK415" t="s">
        <v>3</v>
      </c>
      <c r="BL415" t="s">
        <v>96</v>
      </c>
      <c r="BM415" t="s">
        <v>1</v>
      </c>
      <c r="BN415">
        <v>12900</v>
      </c>
      <c r="BO415" t="s">
        <v>1</v>
      </c>
      <c r="BP415" t="s">
        <v>1</v>
      </c>
      <c r="BQ415" t="s">
        <v>1</v>
      </c>
      <c r="BR415" t="s">
        <v>1</v>
      </c>
      <c r="BS415" t="s">
        <v>1</v>
      </c>
      <c r="BT415" t="s">
        <v>1</v>
      </c>
      <c r="BU415" t="s">
        <v>1</v>
      </c>
      <c r="BV415" t="s">
        <v>1</v>
      </c>
      <c r="BW415" t="s">
        <v>0</v>
      </c>
      <c r="BX415" t="s">
        <v>1</v>
      </c>
      <c r="BY415" t="s">
        <v>1</v>
      </c>
      <c r="BZ415" t="s">
        <v>1</v>
      </c>
      <c r="CA415" t="s">
        <v>1</v>
      </c>
      <c r="CB415" t="s">
        <v>1</v>
      </c>
      <c r="CD415" t="e" cm="1">
        <f t="array" aca="1" ref="CD415" ca="1">eConcatenar(A415:CB415,"|")</f>
        <v>#NAME?</v>
      </c>
    </row>
    <row r="416" spans="1:82" x14ac:dyDescent="0.25">
      <c r="A416" t="s">
        <v>511</v>
      </c>
      <c r="B416" t="s">
        <v>1525</v>
      </c>
      <c r="C416">
        <v>3</v>
      </c>
      <c r="D416" t="s">
        <v>3112</v>
      </c>
      <c r="E416" t="s">
        <v>10</v>
      </c>
      <c r="F416" t="s">
        <v>94</v>
      </c>
      <c r="G416" t="s">
        <v>2419</v>
      </c>
      <c r="H416" t="s">
        <v>2897</v>
      </c>
      <c r="I416">
        <v>41500</v>
      </c>
      <c r="J416">
        <v>0</v>
      </c>
      <c r="K416">
        <v>500</v>
      </c>
      <c r="L416">
        <v>50</v>
      </c>
      <c r="M416">
        <v>2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 t="s">
        <v>3649</v>
      </c>
      <c r="AC416" t="s">
        <v>3295</v>
      </c>
      <c r="AD416" t="s">
        <v>3650</v>
      </c>
      <c r="AE416" t="s">
        <v>4</v>
      </c>
      <c r="AF416" t="s">
        <v>1</v>
      </c>
      <c r="AG416" t="s">
        <v>1</v>
      </c>
      <c r="AH416" t="s">
        <v>4397</v>
      </c>
      <c r="AI416" t="s">
        <v>2419</v>
      </c>
      <c r="AJ416" t="s">
        <v>1</v>
      </c>
      <c r="AK416">
        <v>9331027421</v>
      </c>
      <c r="AL416" t="s">
        <v>1</v>
      </c>
      <c r="AM416" t="s">
        <v>1</v>
      </c>
      <c r="AN416" t="s">
        <v>1</v>
      </c>
      <c r="AO416" t="s">
        <v>4397</v>
      </c>
      <c r="AP416" t="s">
        <v>1</v>
      </c>
      <c r="AQ416" t="s">
        <v>2</v>
      </c>
      <c r="AR416" t="s">
        <v>1</v>
      </c>
      <c r="AS416" t="s">
        <v>1</v>
      </c>
      <c r="AT416" t="s">
        <v>1</v>
      </c>
      <c r="AU416" t="s">
        <v>1</v>
      </c>
      <c r="AV416" t="s">
        <v>1</v>
      </c>
      <c r="AW416" t="s">
        <v>9</v>
      </c>
      <c r="AX416">
        <f>Tabla1[[#This Row],[precio del paquete]]-Tabla1[[#This Row],[Saldo_Deudor]]</f>
        <v>6700</v>
      </c>
      <c r="AY416">
        <v>34800</v>
      </c>
      <c r="AZ416">
        <v>0</v>
      </c>
      <c r="BA416">
        <v>0</v>
      </c>
      <c r="BB416">
        <v>0</v>
      </c>
      <c r="BC416" t="s">
        <v>2904</v>
      </c>
      <c r="BD416" t="s">
        <v>4927</v>
      </c>
      <c r="BE416" t="s">
        <v>3</v>
      </c>
      <c r="BF416" t="s">
        <v>3</v>
      </c>
      <c r="BG416" t="s">
        <v>3</v>
      </c>
      <c r="BH416" t="s">
        <v>3</v>
      </c>
      <c r="BI416" t="s">
        <v>3</v>
      </c>
      <c r="BJ416" t="s">
        <v>5006</v>
      </c>
      <c r="BK416" t="s">
        <v>3</v>
      </c>
      <c r="BL416" t="s">
        <v>96</v>
      </c>
      <c r="BM416" t="s">
        <v>1</v>
      </c>
      <c r="BN416">
        <v>41500</v>
      </c>
      <c r="BO416" t="s">
        <v>1</v>
      </c>
      <c r="BP416" t="s">
        <v>1</v>
      </c>
      <c r="BQ416" t="s">
        <v>1</v>
      </c>
      <c r="BR416" t="s">
        <v>1</v>
      </c>
      <c r="BS416" t="s">
        <v>1</v>
      </c>
      <c r="BT416" t="s">
        <v>1</v>
      </c>
      <c r="BU416" t="s">
        <v>1</v>
      </c>
      <c r="BV416" t="s">
        <v>1</v>
      </c>
      <c r="BW416" t="s">
        <v>0</v>
      </c>
      <c r="BX416" t="s">
        <v>1</v>
      </c>
      <c r="BY416" t="s">
        <v>1</v>
      </c>
      <c r="BZ416" t="s">
        <v>1</v>
      </c>
      <c r="CA416" t="s">
        <v>1</v>
      </c>
      <c r="CB416" t="s">
        <v>1</v>
      </c>
      <c r="CD416" t="e" cm="1">
        <f t="array" aca="1" ref="CD416" ca="1">eConcatenar(A416:CB416,"|")</f>
        <v>#NAME?</v>
      </c>
    </row>
    <row r="417" spans="1:82" x14ac:dyDescent="0.25">
      <c r="A417" t="s">
        <v>512</v>
      </c>
      <c r="B417" t="s">
        <v>1526</v>
      </c>
      <c r="C417">
        <v>3</v>
      </c>
      <c r="D417" t="s">
        <v>2153</v>
      </c>
      <c r="E417" t="s">
        <v>2158</v>
      </c>
      <c r="F417" t="s">
        <v>2162</v>
      </c>
      <c r="G417" t="s">
        <v>2420</v>
      </c>
      <c r="H417" t="s">
        <v>2898</v>
      </c>
      <c r="I417">
        <v>14800</v>
      </c>
      <c r="J417">
        <v>0</v>
      </c>
      <c r="K417">
        <v>100</v>
      </c>
      <c r="L417">
        <v>50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 t="s">
        <v>3115</v>
      </c>
      <c r="AC417" t="s">
        <v>3367</v>
      </c>
      <c r="AD417" t="s">
        <v>3651</v>
      </c>
      <c r="AE417" t="s">
        <v>4</v>
      </c>
      <c r="AF417" t="s">
        <v>1</v>
      </c>
      <c r="AG417" t="s">
        <v>1</v>
      </c>
      <c r="AH417" t="s">
        <v>2420</v>
      </c>
      <c r="AI417" t="s">
        <v>2420</v>
      </c>
      <c r="AJ417" t="s">
        <v>1</v>
      </c>
      <c r="AK417" t="s">
        <v>1</v>
      </c>
      <c r="AL417" t="s">
        <v>1</v>
      </c>
      <c r="AM417" t="s">
        <v>1</v>
      </c>
      <c r="AN417" t="s">
        <v>1</v>
      </c>
      <c r="AO417" t="s">
        <v>2420</v>
      </c>
      <c r="AP417" t="s">
        <v>1</v>
      </c>
      <c r="AQ417" t="s">
        <v>2</v>
      </c>
      <c r="AR417" t="s">
        <v>1</v>
      </c>
      <c r="AS417" t="s">
        <v>1</v>
      </c>
      <c r="AT417" t="s">
        <v>1</v>
      </c>
      <c r="AU417" t="s">
        <v>1</v>
      </c>
      <c r="AV417" t="s">
        <v>1</v>
      </c>
      <c r="AW417" t="s">
        <v>9</v>
      </c>
      <c r="AX417">
        <f>Tabla1[[#This Row],[precio del paquete]]-Tabla1[[#This Row],[Saldo_Deudor]]</f>
        <v>7000</v>
      </c>
      <c r="AY417">
        <v>7800</v>
      </c>
      <c r="AZ417">
        <v>0</v>
      </c>
      <c r="BA417">
        <v>0</v>
      </c>
      <c r="BB417">
        <v>0</v>
      </c>
      <c r="BC417" t="s">
        <v>3098</v>
      </c>
      <c r="BD417" t="s">
        <v>4829</v>
      </c>
      <c r="BE417" t="s">
        <v>3</v>
      </c>
      <c r="BF417" t="s">
        <v>3</v>
      </c>
      <c r="BG417" t="s">
        <v>3</v>
      </c>
      <c r="BH417" t="s">
        <v>3</v>
      </c>
      <c r="BI417" t="s">
        <v>3</v>
      </c>
      <c r="BJ417" t="s">
        <v>5006</v>
      </c>
      <c r="BK417" t="s">
        <v>3</v>
      </c>
      <c r="BL417" t="s">
        <v>96</v>
      </c>
      <c r="BM417" t="s">
        <v>1</v>
      </c>
      <c r="BN417">
        <v>14800</v>
      </c>
      <c r="BO417" t="s">
        <v>1</v>
      </c>
      <c r="BP417" t="s">
        <v>1</v>
      </c>
      <c r="BQ417" t="s">
        <v>1</v>
      </c>
      <c r="BR417" t="s">
        <v>1</v>
      </c>
      <c r="BS417" t="s">
        <v>1</v>
      </c>
      <c r="BT417" t="s">
        <v>1</v>
      </c>
      <c r="BU417" t="s">
        <v>1</v>
      </c>
      <c r="BV417" t="s">
        <v>1</v>
      </c>
      <c r="BW417" t="s">
        <v>0</v>
      </c>
      <c r="BX417" t="s">
        <v>1</v>
      </c>
      <c r="BY417" t="s">
        <v>1</v>
      </c>
      <c r="BZ417" t="s">
        <v>1</v>
      </c>
      <c r="CA417" t="s">
        <v>1</v>
      </c>
      <c r="CB417" t="s">
        <v>1</v>
      </c>
      <c r="CD417" t="e" cm="1">
        <f t="array" aca="1" ref="CD417" ca="1">eConcatenar(A417:CB417,"|")</f>
        <v>#NAME?</v>
      </c>
    </row>
    <row r="418" spans="1:82" x14ac:dyDescent="0.25">
      <c r="A418" t="s">
        <v>513</v>
      </c>
      <c r="B418" t="s">
        <v>1527</v>
      </c>
      <c r="C418">
        <v>3</v>
      </c>
      <c r="D418" t="s">
        <v>2153</v>
      </c>
      <c r="E418" t="s">
        <v>2158</v>
      </c>
      <c r="F418" t="s">
        <v>2159</v>
      </c>
      <c r="G418" t="s">
        <v>2421</v>
      </c>
      <c r="H418" t="s">
        <v>2730</v>
      </c>
      <c r="I418">
        <v>14800</v>
      </c>
      <c r="J418">
        <v>0</v>
      </c>
      <c r="K418">
        <v>50</v>
      </c>
      <c r="L418">
        <v>50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 t="s">
        <v>3652</v>
      </c>
      <c r="AC418" t="s">
        <v>3653</v>
      </c>
      <c r="AD418" t="s">
        <v>3654</v>
      </c>
      <c r="AE418" t="s">
        <v>4</v>
      </c>
      <c r="AF418" t="s">
        <v>1</v>
      </c>
      <c r="AG418" t="s">
        <v>1</v>
      </c>
      <c r="AH418" t="s">
        <v>2574</v>
      </c>
      <c r="AI418" t="s">
        <v>2421</v>
      </c>
      <c r="AJ418" t="s">
        <v>1</v>
      </c>
      <c r="AK418">
        <v>9871162747</v>
      </c>
      <c r="AL418" t="s">
        <v>1</v>
      </c>
      <c r="AM418" t="s">
        <v>1</v>
      </c>
      <c r="AN418" t="s">
        <v>1</v>
      </c>
      <c r="AO418" t="s">
        <v>2574</v>
      </c>
      <c r="AP418" t="s">
        <v>1</v>
      </c>
      <c r="AQ418" t="s">
        <v>2</v>
      </c>
      <c r="AR418" t="s">
        <v>1</v>
      </c>
      <c r="AS418" t="s">
        <v>1</v>
      </c>
      <c r="AT418" t="s">
        <v>1</v>
      </c>
      <c r="AU418" t="s">
        <v>1</v>
      </c>
      <c r="AV418" t="s">
        <v>1</v>
      </c>
      <c r="AW418" t="s">
        <v>9</v>
      </c>
      <c r="AX418">
        <f>Tabla1[[#This Row],[precio del paquete]]-Tabla1[[#This Row],[Saldo_Deudor]]</f>
        <v>550</v>
      </c>
      <c r="AY418">
        <v>14250</v>
      </c>
      <c r="AZ418">
        <v>0</v>
      </c>
      <c r="BA418">
        <v>0</v>
      </c>
      <c r="BB418">
        <v>0</v>
      </c>
      <c r="BC418" t="s">
        <v>2709</v>
      </c>
      <c r="BD418" t="s">
        <v>2737</v>
      </c>
      <c r="BE418" t="s">
        <v>3</v>
      </c>
      <c r="BF418" t="s">
        <v>3</v>
      </c>
      <c r="BG418" t="s">
        <v>3</v>
      </c>
      <c r="BH418" t="s">
        <v>3</v>
      </c>
      <c r="BI418" t="s">
        <v>3</v>
      </c>
      <c r="BJ418" t="s">
        <v>5006</v>
      </c>
      <c r="BK418" t="s">
        <v>3</v>
      </c>
      <c r="BL418" t="s">
        <v>96</v>
      </c>
      <c r="BM418" t="s">
        <v>1</v>
      </c>
      <c r="BN418">
        <v>14800</v>
      </c>
      <c r="BO418" t="s">
        <v>1</v>
      </c>
      <c r="BP418" t="s">
        <v>1</v>
      </c>
      <c r="BQ418" t="s">
        <v>1</v>
      </c>
      <c r="BR418" t="s">
        <v>1</v>
      </c>
      <c r="BS418" t="s">
        <v>1</v>
      </c>
      <c r="BT418" t="s">
        <v>1</v>
      </c>
      <c r="BU418" t="s">
        <v>1</v>
      </c>
      <c r="BV418" t="s">
        <v>1</v>
      </c>
      <c r="BW418" t="s">
        <v>0</v>
      </c>
      <c r="BX418" t="s">
        <v>1</v>
      </c>
      <c r="BY418" t="s">
        <v>1</v>
      </c>
      <c r="BZ418" t="s">
        <v>1</v>
      </c>
      <c r="CA418" t="s">
        <v>1</v>
      </c>
      <c r="CB418" t="s">
        <v>1</v>
      </c>
      <c r="CD418" t="e" cm="1">
        <f t="array" aca="1" ref="CD418" ca="1">eConcatenar(A418:CB418,"|")</f>
        <v>#NAME?</v>
      </c>
    </row>
    <row r="419" spans="1:82" x14ac:dyDescent="0.25">
      <c r="A419" t="s">
        <v>514</v>
      </c>
      <c r="B419" t="s">
        <v>1528</v>
      </c>
      <c r="C419">
        <v>3</v>
      </c>
      <c r="D419" t="s">
        <v>2153</v>
      </c>
      <c r="E419" t="s">
        <v>10</v>
      </c>
      <c r="F419" t="s">
        <v>0</v>
      </c>
      <c r="G419" t="s">
        <v>2422</v>
      </c>
      <c r="H419" t="s">
        <v>2708</v>
      </c>
      <c r="I419">
        <v>14800</v>
      </c>
      <c r="J419">
        <v>0</v>
      </c>
      <c r="K419">
        <v>200</v>
      </c>
      <c r="L419">
        <v>50</v>
      </c>
      <c r="M419">
        <v>2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 t="s">
        <v>3203</v>
      </c>
      <c r="AC419" t="s">
        <v>3143</v>
      </c>
      <c r="AD419" t="s">
        <v>7</v>
      </c>
      <c r="AE419" t="s">
        <v>4</v>
      </c>
      <c r="AF419" t="s">
        <v>1</v>
      </c>
      <c r="AG419" t="s">
        <v>1</v>
      </c>
      <c r="AH419" t="s">
        <v>4398</v>
      </c>
      <c r="AI419" t="s">
        <v>2422</v>
      </c>
      <c r="AJ419" t="s">
        <v>1</v>
      </c>
      <c r="AK419">
        <v>9371639600</v>
      </c>
      <c r="AL419" t="s">
        <v>1</v>
      </c>
      <c r="AM419" t="s">
        <v>1</v>
      </c>
      <c r="AN419" t="s">
        <v>1</v>
      </c>
      <c r="AO419" t="s">
        <v>4398</v>
      </c>
      <c r="AP419" t="s">
        <v>1</v>
      </c>
      <c r="AQ419" t="s">
        <v>2</v>
      </c>
      <c r="AR419" t="s">
        <v>1</v>
      </c>
      <c r="AS419" t="s">
        <v>1</v>
      </c>
      <c r="AT419" t="s">
        <v>1</v>
      </c>
      <c r="AU419" t="s">
        <v>1</v>
      </c>
      <c r="AV419" t="s">
        <v>1</v>
      </c>
      <c r="AW419" t="s">
        <v>9</v>
      </c>
      <c r="AX419">
        <f>Tabla1[[#This Row],[precio del paquete]]-Tabla1[[#This Row],[Saldo_Deudor]]</f>
        <v>400</v>
      </c>
      <c r="AY419">
        <v>14400</v>
      </c>
      <c r="AZ419">
        <v>0</v>
      </c>
      <c r="BA419">
        <v>0</v>
      </c>
      <c r="BB419">
        <v>0</v>
      </c>
      <c r="BC419" t="s">
        <v>2874</v>
      </c>
      <c r="BD419" t="s">
        <v>4932</v>
      </c>
      <c r="BE419" t="s">
        <v>3</v>
      </c>
      <c r="BF419" t="s">
        <v>3</v>
      </c>
      <c r="BG419" t="s">
        <v>3</v>
      </c>
      <c r="BH419" t="s">
        <v>3</v>
      </c>
      <c r="BI419" t="s">
        <v>3</v>
      </c>
      <c r="BJ419" t="s">
        <v>4984</v>
      </c>
      <c r="BK419" t="s">
        <v>3</v>
      </c>
      <c r="BL419" t="s">
        <v>96</v>
      </c>
      <c r="BM419" t="s">
        <v>1</v>
      </c>
      <c r="BN419">
        <v>14800</v>
      </c>
      <c r="BO419" t="s">
        <v>1</v>
      </c>
      <c r="BP419" t="s">
        <v>1</v>
      </c>
      <c r="BQ419" t="s">
        <v>1</v>
      </c>
      <c r="BR419" t="s">
        <v>1</v>
      </c>
      <c r="BS419" t="s">
        <v>1</v>
      </c>
      <c r="BT419" t="s">
        <v>1</v>
      </c>
      <c r="BU419" t="s">
        <v>1</v>
      </c>
      <c r="BV419" t="s">
        <v>1</v>
      </c>
      <c r="BW419" t="s">
        <v>0</v>
      </c>
      <c r="BX419" t="s">
        <v>1</v>
      </c>
      <c r="BY419" t="s">
        <v>1</v>
      </c>
      <c r="BZ419" t="s">
        <v>1</v>
      </c>
      <c r="CA419" t="s">
        <v>1</v>
      </c>
      <c r="CB419" t="s">
        <v>1</v>
      </c>
      <c r="CD419" t="e" cm="1">
        <f t="array" aca="1" ref="CD419" ca="1">eConcatenar(A419:CB419,"|")</f>
        <v>#NAME?</v>
      </c>
    </row>
    <row r="420" spans="1:82" x14ac:dyDescent="0.25">
      <c r="A420" t="s">
        <v>515</v>
      </c>
      <c r="B420" t="s">
        <v>1529</v>
      </c>
      <c r="C420">
        <v>3</v>
      </c>
      <c r="D420" t="s">
        <v>2153</v>
      </c>
      <c r="E420" t="s">
        <v>10</v>
      </c>
      <c r="F420" t="s">
        <v>0</v>
      </c>
      <c r="G420" t="s">
        <v>2422</v>
      </c>
      <c r="H420" t="s">
        <v>2705</v>
      </c>
      <c r="I420">
        <v>14800</v>
      </c>
      <c r="J420">
        <v>0</v>
      </c>
      <c r="K420">
        <v>100</v>
      </c>
      <c r="L420">
        <v>50</v>
      </c>
      <c r="M420">
        <v>2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 t="s">
        <v>3155</v>
      </c>
      <c r="AC420" t="s">
        <v>3221</v>
      </c>
      <c r="AD420" t="s">
        <v>3655</v>
      </c>
      <c r="AE420" t="s">
        <v>4</v>
      </c>
      <c r="AF420" t="s">
        <v>1</v>
      </c>
      <c r="AG420" t="s">
        <v>1</v>
      </c>
      <c r="AH420" t="s">
        <v>4399</v>
      </c>
      <c r="AI420" t="s">
        <v>2422</v>
      </c>
      <c r="AJ420" t="s">
        <v>1</v>
      </c>
      <c r="AK420">
        <v>9332708355</v>
      </c>
      <c r="AL420" t="s">
        <v>1</v>
      </c>
      <c r="AM420" t="s">
        <v>1</v>
      </c>
      <c r="AN420" t="s">
        <v>1</v>
      </c>
      <c r="AO420" t="s">
        <v>4399</v>
      </c>
      <c r="AP420" t="s">
        <v>1</v>
      </c>
      <c r="AQ420" t="s">
        <v>2</v>
      </c>
      <c r="AR420" t="s">
        <v>1</v>
      </c>
      <c r="AS420" t="s">
        <v>1</v>
      </c>
      <c r="AT420" t="s">
        <v>1</v>
      </c>
      <c r="AU420" t="s">
        <v>1</v>
      </c>
      <c r="AV420" t="s">
        <v>1</v>
      </c>
      <c r="AW420" t="s">
        <v>9</v>
      </c>
      <c r="AX420">
        <f>Tabla1[[#This Row],[precio del paquete]]-Tabla1[[#This Row],[Saldo_Deudor]]</f>
        <v>100</v>
      </c>
      <c r="AY420">
        <v>14700</v>
      </c>
      <c r="AZ420">
        <v>0</v>
      </c>
      <c r="BA420">
        <v>0</v>
      </c>
      <c r="BB420">
        <v>0</v>
      </c>
      <c r="BC420" t="s">
        <v>2705</v>
      </c>
      <c r="BD420" t="s">
        <v>2831</v>
      </c>
      <c r="BE420" t="s">
        <v>3</v>
      </c>
      <c r="BF420" t="s">
        <v>3</v>
      </c>
      <c r="BG420" t="s">
        <v>3</v>
      </c>
      <c r="BH420" t="s">
        <v>3</v>
      </c>
      <c r="BI420" t="s">
        <v>3</v>
      </c>
      <c r="BJ420" t="s">
        <v>4983</v>
      </c>
      <c r="BK420" t="s">
        <v>3</v>
      </c>
      <c r="BL420" t="s">
        <v>96</v>
      </c>
      <c r="BM420" t="s">
        <v>1</v>
      </c>
      <c r="BN420">
        <v>14800</v>
      </c>
      <c r="BO420" t="s">
        <v>1</v>
      </c>
      <c r="BP420" t="s">
        <v>1</v>
      </c>
      <c r="BQ420" t="s">
        <v>1</v>
      </c>
      <c r="BR420" t="s">
        <v>1</v>
      </c>
      <c r="BS420" t="s">
        <v>1</v>
      </c>
      <c r="BT420" t="s">
        <v>1</v>
      </c>
      <c r="BU420" t="s">
        <v>1</v>
      </c>
      <c r="BV420" t="s">
        <v>1</v>
      </c>
      <c r="BW420" t="s">
        <v>0</v>
      </c>
      <c r="BX420" t="s">
        <v>1</v>
      </c>
      <c r="BY420" t="s">
        <v>1</v>
      </c>
      <c r="BZ420" t="s">
        <v>1</v>
      </c>
      <c r="CA420" t="s">
        <v>1</v>
      </c>
      <c r="CB420" t="s">
        <v>1</v>
      </c>
      <c r="CD420" t="e" cm="1">
        <f t="array" aca="1" ref="CD420" ca="1">eConcatenar(A420:CB420,"|")</f>
        <v>#NAME?</v>
      </c>
    </row>
    <row r="421" spans="1:82" x14ac:dyDescent="0.25">
      <c r="A421" t="s">
        <v>516</v>
      </c>
      <c r="B421" t="s">
        <v>1530</v>
      </c>
      <c r="C421">
        <v>3</v>
      </c>
      <c r="D421" t="s">
        <v>12</v>
      </c>
      <c r="E421" t="s">
        <v>10</v>
      </c>
      <c r="F421" t="s">
        <v>0</v>
      </c>
      <c r="G421" t="s">
        <v>2423</v>
      </c>
      <c r="H421" t="s">
        <v>2899</v>
      </c>
      <c r="I421">
        <v>12900</v>
      </c>
      <c r="J421">
        <v>0</v>
      </c>
      <c r="K421">
        <v>200</v>
      </c>
      <c r="L421">
        <v>50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 t="s">
        <v>3656</v>
      </c>
      <c r="AC421" t="s">
        <v>3117</v>
      </c>
      <c r="AD421" t="s">
        <v>3657</v>
      </c>
      <c r="AE421" t="s">
        <v>4</v>
      </c>
      <c r="AF421" t="s">
        <v>1</v>
      </c>
      <c r="AG421" t="s">
        <v>1</v>
      </c>
      <c r="AH421" t="s">
        <v>4400</v>
      </c>
      <c r="AI421" t="s">
        <v>2423</v>
      </c>
      <c r="AJ421" t="s">
        <v>1</v>
      </c>
      <c r="AK421">
        <v>9371185082</v>
      </c>
      <c r="AL421" t="s">
        <v>1</v>
      </c>
      <c r="AM421" t="s">
        <v>1</v>
      </c>
      <c r="AN421" t="s">
        <v>1</v>
      </c>
      <c r="AO421" t="s">
        <v>4400</v>
      </c>
      <c r="AP421" t="s">
        <v>1</v>
      </c>
      <c r="AQ421" t="s">
        <v>2</v>
      </c>
      <c r="AR421" t="s">
        <v>1</v>
      </c>
      <c r="AS421" t="s">
        <v>1</v>
      </c>
      <c r="AT421" t="s">
        <v>1</v>
      </c>
      <c r="AU421" t="s">
        <v>1</v>
      </c>
      <c r="AV421" t="s">
        <v>1</v>
      </c>
      <c r="AW421" t="s">
        <v>9</v>
      </c>
      <c r="AX421">
        <f>Tabla1[[#This Row],[precio del paquete]]-Tabla1[[#This Row],[Saldo_Deudor]]</f>
        <v>2200</v>
      </c>
      <c r="AY421">
        <v>10700</v>
      </c>
      <c r="AZ421">
        <v>0</v>
      </c>
      <c r="BA421">
        <v>0</v>
      </c>
      <c r="BB421">
        <v>0</v>
      </c>
      <c r="BC421" t="s">
        <v>2816</v>
      </c>
      <c r="BD421" t="s">
        <v>3090</v>
      </c>
      <c r="BE421" t="s">
        <v>3</v>
      </c>
      <c r="BF421" t="s">
        <v>3</v>
      </c>
      <c r="BG421" t="s">
        <v>3</v>
      </c>
      <c r="BH421" t="s">
        <v>3</v>
      </c>
      <c r="BI421" t="s">
        <v>3</v>
      </c>
      <c r="BJ421" t="s">
        <v>4983</v>
      </c>
      <c r="BK421" t="s">
        <v>3</v>
      </c>
      <c r="BL421" t="s">
        <v>96</v>
      </c>
      <c r="BM421" t="s">
        <v>1</v>
      </c>
      <c r="BN421">
        <v>12900</v>
      </c>
      <c r="BO421" t="s">
        <v>1</v>
      </c>
      <c r="BP421" t="s">
        <v>1</v>
      </c>
      <c r="BQ421" t="s">
        <v>1</v>
      </c>
      <c r="BR421" t="s">
        <v>1</v>
      </c>
      <c r="BS421" t="s">
        <v>1</v>
      </c>
      <c r="BT421" t="s">
        <v>1</v>
      </c>
      <c r="BU421" t="s">
        <v>1</v>
      </c>
      <c r="BV421" t="s">
        <v>1</v>
      </c>
      <c r="BW421" t="s">
        <v>0</v>
      </c>
      <c r="BX421" t="s">
        <v>1</v>
      </c>
      <c r="BY421" t="s">
        <v>1</v>
      </c>
      <c r="BZ421" t="s">
        <v>1</v>
      </c>
      <c r="CA421" t="s">
        <v>1</v>
      </c>
      <c r="CB421" t="s">
        <v>1</v>
      </c>
      <c r="CD421" t="e" cm="1">
        <f t="array" aca="1" ref="CD421" ca="1">eConcatenar(A421:CB421,"|")</f>
        <v>#NAME?</v>
      </c>
    </row>
    <row r="422" spans="1:82" x14ac:dyDescent="0.25">
      <c r="A422" t="s">
        <v>517</v>
      </c>
      <c r="B422" t="s">
        <v>1531</v>
      </c>
      <c r="C422">
        <v>3</v>
      </c>
      <c r="D422" t="s">
        <v>2153</v>
      </c>
      <c r="E422" t="s">
        <v>2158</v>
      </c>
      <c r="F422" t="s">
        <v>0</v>
      </c>
      <c r="G422" t="s">
        <v>2424</v>
      </c>
      <c r="H422" t="s">
        <v>2900</v>
      </c>
      <c r="I422">
        <v>14800</v>
      </c>
      <c r="J422">
        <v>0</v>
      </c>
      <c r="K422">
        <v>150</v>
      </c>
      <c r="L422">
        <v>50</v>
      </c>
      <c r="M422">
        <v>2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 t="s">
        <v>5</v>
      </c>
      <c r="AC422" t="s">
        <v>3658</v>
      </c>
      <c r="AD422" t="s">
        <v>3659</v>
      </c>
      <c r="AE422" t="s">
        <v>4</v>
      </c>
      <c r="AF422" t="s">
        <v>1</v>
      </c>
      <c r="AG422" t="s">
        <v>1</v>
      </c>
      <c r="AH422" t="s">
        <v>4401</v>
      </c>
      <c r="AI422" t="s">
        <v>2424</v>
      </c>
      <c r="AJ422" t="s">
        <v>1</v>
      </c>
      <c r="AK422">
        <v>9372718921</v>
      </c>
      <c r="AL422" t="s">
        <v>1</v>
      </c>
      <c r="AM422" t="s">
        <v>1</v>
      </c>
      <c r="AN422" t="s">
        <v>1</v>
      </c>
      <c r="AO422" t="s">
        <v>4401</v>
      </c>
      <c r="AP422" t="s">
        <v>1</v>
      </c>
      <c r="AQ422" t="s">
        <v>2</v>
      </c>
      <c r="AR422" t="s">
        <v>1</v>
      </c>
      <c r="AS422" t="s">
        <v>1</v>
      </c>
      <c r="AT422" t="s">
        <v>1</v>
      </c>
      <c r="AU422" t="s">
        <v>1</v>
      </c>
      <c r="AV422" t="s">
        <v>1</v>
      </c>
      <c r="AW422" t="s">
        <v>9</v>
      </c>
      <c r="AX422">
        <f>Tabla1[[#This Row],[precio del paquete]]-Tabla1[[#This Row],[Saldo_Deudor]]</f>
        <v>6150</v>
      </c>
      <c r="AY422">
        <v>8650</v>
      </c>
      <c r="AZ422">
        <v>0</v>
      </c>
      <c r="BA422">
        <v>0</v>
      </c>
      <c r="BB422">
        <v>0</v>
      </c>
      <c r="BC422" t="s">
        <v>2837</v>
      </c>
      <c r="BD422" t="s">
        <v>2779</v>
      </c>
      <c r="BE422" t="s">
        <v>3</v>
      </c>
      <c r="BF422" t="s">
        <v>3</v>
      </c>
      <c r="BG422" t="s">
        <v>3</v>
      </c>
      <c r="BH422" t="s">
        <v>3</v>
      </c>
      <c r="BI422" t="s">
        <v>3</v>
      </c>
      <c r="BJ422" t="s">
        <v>4985</v>
      </c>
      <c r="BK422" t="s">
        <v>3</v>
      </c>
      <c r="BL422" t="s">
        <v>96</v>
      </c>
      <c r="BM422" t="s">
        <v>1</v>
      </c>
      <c r="BN422">
        <v>14800</v>
      </c>
      <c r="BO422" t="s">
        <v>1</v>
      </c>
      <c r="BP422" t="s">
        <v>1</v>
      </c>
      <c r="BQ422" t="s">
        <v>1</v>
      </c>
      <c r="BR422" t="s">
        <v>1</v>
      </c>
      <c r="BS422" t="s">
        <v>1</v>
      </c>
      <c r="BT422" t="s">
        <v>1</v>
      </c>
      <c r="BU422" t="s">
        <v>1</v>
      </c>
      <c r="BV422" t="s">
        <v>1</v>
      </c>
      <c r="BW422" t="s">
        <v>0</v>
      </c>
      <c r="BX422" t="s">
        <v>1</v>
      </c>
      <c r="BY422" t="s">
        <v>1</v>
      </c>
      <c r="BZ422" t="s">
        <v>1</v>
      </c>
      <c r="CA422" t="s">
        <v>1</v>
      </c>
      <c r="CB422" t="s">
        <v>1</v>
      </c>
      <c r="CD422" t="e" cm="1">
        <f t="array" aca="1" ref="CD422" ca="1">eConcatenar(A422:CB422,"|")</f>
        <v>#NAME?</v>
      </c>
    </row>
    <row r="423" spans="1:82" x14ac:dyDescent="0.25">
      <c r="A423" t="s">
        <v>518</v>
      </c>
      <c r="B423" t="s">
        <v>1532</v>
      </c>
      <c r="C423">
        <v>3</v>
      </c>
      <c r="D423" t="s">
        <v>2154</v>
      </c>
      <c r="E423" t="s">
        <v>2158</v>
      </c>
      <c r="F423" t="s">
        <v>0</v>
      </c>
      <c r="G423" t="s">
        <v>2424</v>
      </c>
      <c r="H423" t="s">
        <v>2901</v>
      </c>
      <c r="I423">
        <v>24500</v>
      </c>
      <c r="J423">
        <v>0</v>
      </c>
      <c r="K423">
        <v>200</v>
      </c>
      <c r="L423">
        <v>50</v>
      </c>
      <c r="M423">
        <v>2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 t="s">
        <v>3367</v>
      </c>
      <c r="AC423" t="s">
        <v>3117</v>
      </c>
      <c r="AD423" t="s">
        <v>3660</v>
      </c>
      <c r="AE423" t="s">
        <v>4</v>
      </c>
      <c r="AF423" t="s">
        <v>1</v>
      </c>
      <c r="AG423" t="s">
        <v>1</v>
      </c>
      <c r="AH423" t="s">
        <v>4402</v>
      </c>
      <c r="AI423" t="s">
        <v>2424</v>
      </c>
      <c r="AJ423" t="s">
        <v>1</v>
      </c>
      <c r="AK423">
        <v>9371655859</v>
      </c>
      <c r="AL423" t="s">
        <v>1</v>
      </c>
      <c r="AM423" t="s">
        <v>1</v>
      </c>
      <c r="AN423" t="s">
        <v>1</v>
      </c>
      <c r="AO423" t="s">
        <v>4402</v>
      </c>
      <c r="AP423" t="s">
        <v>1</v>
      </c>
      <c r="AQ423" t="s">
        <v>2</v>
      </c>
      <c r="AR423" t="s">
        <v>1</v>
      </c>
      <c r="AS423" t="s">
        <v>1</v>
      </c>
      <c r="AT423" t="s">
        <v>1</v>
      </c>
      <c r="AU423" t="s">
        <v>1</v>
      </c>
      <c r="AV423" t="s">
        <v>1</v>
      </c>
      <c r="AW423" t="s">
        <v>9</v>
      </c>
      <c r="AX423">
        <f>Tabla1[[#This Row],[precio del paquete]]-Tabla1[[#This Row],[Saldo_Deudor]]</f>
        <v>200</v>
      </c>
      <c r="AY423">
        <v>24300</v>
      </c>
      <c r="AZ423">
        <v>0</v>
      </c>
      <c r="BA423">
        <v>0</v>
      </c>
      <c r="BB423">
        <v>0</v>
      </c>
      <c r="BC423" t="s">
        <v>2901</v>
      </c>
      <c r="BD423" t="s">
        <v>2897</v>
      </c>
      <c r="BE423" t="s">
        <v>3</v>
      </c>
      <c r="BF423" t="s">
        <v>3</v>
      </c>
      <c r="BG423" t="s">
        <v>3</v>
      </c>
      <c r="BH423" t="s">
        <v>3</v>
      </c>
      <c r="BI423" t="s">
        <v>3</v>
      </c>
      <c r="BJ423" t="s">
        <v>4995</v>
      </c>
      <c r="BK423" t="s">
        <v>3</v>
      </c>
      <c r="BL423" t="s">
        <v>96</v>
      </c>
      <c r="BM423" t="s">
        <v>1</v>
      </c>
      <c r="BN423">
        <v>24500</v>
      </c>
      <c r="BO423" t="s">
        <v>1</v>
      </c>
      <c r="BP423" t="s">
        <v>1</v>
      </c>
      <c r="BQ423" t="s">
        <v>1</v>
      </c>
      <c r="BR423" t="s">
        <v>1</v>
      </c>
      <c r="BS423" t="s">
        <v>1</v>
      </c>
      <c r="BT423" t="s">
        <v>1</v>
      </c>
      <c r="BU423" t="s">
        <v>1</v>
      </c>
      <c r="BV423" t="s">
        <v>1</v>
      </c>
      <c r="BW423" t="s">
        <v>0</v>
      </c>
      <c r="BX423" t="s">
        <v>1</v>
      </c>
      <c r="BY423" t="s">
        <v>1</v>
      </c>
      <c r="BZ423" t="s">
        <v>1</v>
      </c>
      <c r="CA423" t="s">
        <v>1</v>
      </c>
      <c r="CB423" t="s">
        <v>1</v>
      </c>
      <c r="CD423" t="e" cm="1">
        <f t="array" aca="1" ref="CD423" ca="1">eConcatenar(A423:CB423,"|")</f>
        <v>#NAME?</v>
      </c>
    </row>
    <row r="424" spans="1:82" x14ac:dyDescent="0.25">
      <c r="A424" t="s">
        <v>519</v>
      </c>
      <c r="B424" t="s">
        <v>1533</v>
      </c>
      <c r="C424">
        <v>3</v>
      </c>
      <c r="D424" t="s">
        <v>2153</v>
      </c>
      <c r="E424" t="s">
        <v>2158</v>
      </c>
      <c r="F424" t="s">
        <v>0</v>
      </c>
      <c r="G424" t="s">
        <v>2424</v>
      </c>
      <c r="H424" t="s">
        <v>2710</v>
      </c>
      <c r="I424">
        <v>14800</v>
      </c>
      <c r="J424">
        <v>0</v>
      </c>
      <c r="K424">
        <v>50</v>
      </c>
      <c r="L424">
        <v>50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 t="s">
        <v>3331</v>
      </c>
      <c r="AC424" t="s">
        <v>6</v>
      </c>
      <c r="AD424" t="s">
        <v>3661</v>
      </c>
      <c r="AE424" t="s">
        <v>4</v>
      </c>
      <c r="AF424" t="s">
        <v>1</v>
      </c>
      <c r="AG424" t="s">
        <v>1</v>
      </c>
      <c r="AH424" t="s">
        <v>4403</v>
      </c>
      <c r="AI424" t="s">
        <v>2424</v>
      </c>
      <c r="AJ424" t="s">
        <v>1</v>
      </c>
      <c r="AK424">
        <v>9371113951</v>
      </c>
      <c r="AL424" t="s">
        <v>1</v>
      </c>
      <c r="AM424" t="s">
        <v>1</v>
      </c>
      <c r="AN424" t="s">
        <v>1</v>
      </c>
      <c r="AO424" t="s">
        <v>4403</v>
      </c>
      <c r="AP424" t="s">
        <v>1</v>
      </c>
      <c r="AQ424" t="s">
        <v>2</v>
      </c>
      <c r="AR424" t="s">
        <v>1</v>
      </c>
      <c r="AS424" t="s">
        <v>1</v>
      </c>
      <c r="AT424" t="s">
        <v>1</v>
      </c>
      <c r="AU424" t="s">
        <v>1</v>
      </c>
      <c r="AV424" t="s">
        <v>1</v>
      </c>
      <c r="AW424" t="s">
        <v>9</v>
      </c>
      <c r="AX424">
        <f>Tabla1[[#This Row],[precio del paquete]]-Tabla1[[#This Row],[Saldo_Deudor]]</f>
        <v>1150</v>
      </c>
      <c r="AY424">
        <v>13650</v>
      </c>
      <c r="AZ424">
        <v>0</v>
      </c>
      <c r="BA424">
        <v>0</v>
      </c>
      <c r="BB424">
        <v>0</v>
      </c>
      <c r="BC424" t="s">
        <v>2711</v>
      </c>
      <c r="BD424" t="s">
        <v>2712</v>
      </c>
      <c r="BE424" t="s">
        <v>3</v>
      </c>
      <c r="BF424" t="s">
        <v>3</v>
      </c>
      <c r="BG424" t="s">
        <v>3</v>
      </c>
      <c r="BH424" t="s">
        <v>3</v>
      </c>
      <c r="BI424" t="s">
        <v>3</v>
      </c>
      <c r="BJ424" t="s">
        <v>4995</v>
      </c>
      <c r="BK424" t="s">
        <v>3</v>
      </c>
      <c r="BL424" t="s">
        <v>96</v>
      </c>
      <c r="BM424" t="s">
        <v>1</v>
      </c>
      <c r="BN424">
        <v>14800</v>
      </c>
      <c r="BO424" t="s">
        <v>1</v>
      </c>
      <c r="BP424" t="s">
        <v>1</v>
      </c>
      <c r="BQ424" t="s">
        <v>1</v>
      </c>
      <c r="BR424" t="s">
        <v>1</v>
      </c>
      <c r="BS424" t="s">
        <v>1</v>
      </c>
      <c r="BT424" t="s">
        <v>1</v>
      </c>
      <c r="BU424" t="s">
        <v>1</v>
      </c>
      <c r="BV424" t="s">
        <v>1</v>
      </c>
      <c r="BW424" t="s">
        <v>0</v>
      </c>
      <c r="BX424" t="s">
        <v>1</v>
      </c>
      <c r="BY424" t="s">
        <v>1</v>
      </c>
      <c r="BZ424" t="s">
        <v>1</v>
      </c>
      <c r="CA424" t="s">
        <v>1</v>
      </c>
      <c r="CB424" t="s">
        <v>1</v>
      </c>
      <c r="CD424" t="e" cm="1">
        <f t="array" aca="1" ref="CD424" ca="1">eConcatenar(A424:CB424,"|")</f>
        <v>#NAME?</v>
      </c>
    </row>
    <row r="425" spans="1:82" x14ac:dyDescent="0.25">
      <c r="A425" t="s">
        <v>520</v>
      </c>
      <c r="B425" t="s">
        <v>1534</v>
      </c>
      <c r="C425">
        <v>3</v>
      </c>
      <c r="D425" t="s">
        <v>2153</v>
      </c>
      <c r="E425" t="s">
        <v>2158</v>
      </c>
      <c r="F425" t="s">
        <v>0</v>
      </c>
      <c r="G425" t="s">
        <v>2424</v>
      </c>
      <c r="H425" t="s">
        <v>2710</v>
      </c>
      <c r="I425">
        <v>14800</v>
      </c>
      <c r="J425">
        <v>0</v>
      </c>
      <c r="K425">
        <v>50</v>
      </c>
      <c r="L425">
        <v>50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 t="s">
        <v>3157</v>
      </c>
      <c r="AC425" t="s">
        <v>3245</v>
      </c>
      <c r="AD425" t="s">
        <v>3168</v>
      </c>
      <c r="AE425" t="s">
        <v>4</v>
      </c>
      <c r="AF425" t="s">
        <v>1</v>
      </c>
      <c r="AG425" t="s">
        <v>1</v>
      </c>
      <c r="AH425" t="s">
        <v>4403</v>
      </c>
      <c r="AI425" t="s">
        <v>2424</v>
      </c>
      <c r="AJ425" t="s">
        <v>1</v>
      </c>
      <c r="AK425">
        <v>9371113951</v>
      </c>
      <c r="AL425" t="s">
        <v>1</v>
      </c>
      <c r="AM425" t="s">
        <v>1</v>
      </c>
      <c r="AN425" t="s">
        <v>1</v>
      </c>
      <c r="AO425" t="s">
        <v>4403</v>
      </c>
      <c r="AP425" t="s">
        <v>1</v>
      </c>
      <c r="AQ425" t="s">
        <v>2</v>
      </c>
      <c r="AR425" t="s">
        <v>1</v>
      </c>
      <c r="AS425" t="s">
        <v>1</v>
      </c>
      <c r="AT425" t="s">
        <v>1</v>
      </c>
      <c r="AU425" t="s">
        <v>1</v>
      </c>
      <c r="AV425" t="s">
        <v>1</v>
      </c>
      <c r="AW425" t="s">
        <v>9</v>
      </c>
      <c r="AX425">
        <f>Tabla1[[#This Row],[precio del paquete]]-Tabla1[[#This Row],[Saldo_Deudor]]</f>
        <v>1150</v>
      </c>
      <c r="AY425">
        <v>13650</v>
      </c>
      <c r="AZ425">
        <v>0</v>
      </c>
      <c r="BA425">
        <v>0</v>
      </c>
      <c r="BB425">
        <v>0</v>
      </c>
      <c r="BC425" t="s">
        <v>2711</v>
      </c>
      <c r="BD425" t="s">
        <v>2712</v>
      </c>
      <c r="BE425" t="s">
        <v>3</v>
      </c>
      <c r="BF425" t="s">
        <v>3</v>
      </c>
      <c r="BG425" t="s">
        <v>3</v>
      </c>
      <c r="BH425" t="s">
        <v>3</v>
      </c>
      <c r="BI425" t="s">
        <v>3</v>
      </c>
      <c r="BJ425" t="s">
        <v>4994</v>
      </c>
      <c r="BK425" t="s">
        <v>3</v>
      </c>
      <c r="BL425" t="s">
        <v>96</v>
      </c>
      <c r="BM425" t="s">
        <v>1</v>
      </c>
      <c r="BN425">
        <v>14800</v>
      </c>
      <c r="BO425" t="s">
        <v>1</v>
      </c>
      <c r="BP425" t="s">
        <v>1</v>
      </c>
      <c r="BQ425" t="s">
        <v>1</v>
      </c>
      <c r="BR425" t="s">
        <v>1</v>
      </c>
      <c r="BS425" t="s">
        <v>1</v>
      </c>
      <c r="BT425" t="s">
        <v>1</v>
      </c>
      <c r="BU425" t="s">
        <v>1</v>
      </c>
      <c r="BV425" t="s">
        <v>1</v>
      </c>
      <c r="BW425" t="s">
        <v>0</v>
      </c>
      <c r="BX425" t="s">
        <v>1</v>
      </c>
      <c r="BY425" t="s">
        <v>1</v>
      </c>
      <c r="BZ425" t="s">
        <v>1</v>
      </c>
      <c r="CA425" t="s">
        <v>1</v>
      </c>
      <c r="CB425" t="s">
        <v>1</v>
      </c>
      <c r="CD425" t="e" cm="1">
        <f t="array" aca="1" ref="CD425" ca="1">eConcatenar(A425:CB425,"|")</f>
        <v>#NAME?</v>
      </c>
    </row>
    <row r="426" spans="1:82" x14ac:dyDescent="0.25">
      <c r="A426" t="s">
        <v>521</v>
      </c>
      <c r="B426" t="s">
        <v>1535</v>
      </c>
      <c r="C426">
        <v>3</v>
      </c>
      <c r="D426" t="s">
        <v>2153</v>
      </c>
      <c r="E426" t="s">
        <v>2158</v>
      </c>
      <c r="F426" t="s">
        <v>0</v>
      </c>
      <c r="G426" t="s">
        <v>2424</v>
      </c>
      <c r="H426" t="s">
        <v>2776</v>
      </c>
      <c r="I426">
        <v>14800</v>
      </c>
      <c r="J426">
        <v>0</v>
      </c>
      <c r="K426">
        <v>200</v>
      </c>
      <c r="L426">
        <v>50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 t="s">
        <v>3662</v>
      </c>
      <c r="AC426" t="s">
        <v>3117</v>
      </c>
      <c r="AD426" t="s">
        <v>3301</v>
      </c>
      <c r="AE426" t="s">
        <v>4</v>
      </c>
      <c r="AF426" t="s">
        <v>1</v>
      </c>
      <c r="AG426" t="s">
        <v>1</v>
      </c>
      <c r="AH426" t="s">
        <v>4404</v>
      </c>
      <c r="AI426" t="s">
        <v>2424</v>
      </c>
      <c r="AJ426" t="s">
        <v>1</v>
      </c>
      <c r="AK426">
        <v>8117164264</v>
      </c>
      <c r="AL426" t="s">
        <v>1</v>
      </c>
      <c r="AM426" t="s">
        <v>1</v>
      </c>
      <c r="AN426" t="s">
        <v>1</v>
      </c>
      <c r="AO426" t="s">
        <v>4404</v>
      </c>
      <c r="AP426" t="s">
        <v>1</v>
      </c>
      <c r="AQ426" t="s">
        <v>2</v>
      </c>
      <c r="AR426" t="s">
        <v>1</v>
      </c>
      <c r="AS426" t="s">
        <v>1</v>
      </c>
      <c r="AT426" t="s">
        <v>1</v>
      </c>
      <c r="AU426" t="s">
        <v>1</v>
      </c>
      <c r="AV426" t="s">
        <v>1</v>
      </c>
      <c r="AW426" t="s">
        <v>9</v>
      </c>
      <c r="AX426">
        <f>Tabla1[[#This Row],[precio del paquete]]-Tabla1[[#This Row],[Saldo_Deudor]]</f>
        <v>1200</v>
      </c>
      <c r="AY426">
        <v>13600</v>
      </c>
      <c r="AZ426">
        <v>0</v>
      </c>
      <c r="BA426">
        <v>0</v>
      </c>
      <c r="BB426">
        <v>0</v>
      </c>
      <c r="BC426" t="s">
        <v>2711</v>
      </c>
      <c r="BD426" t="s">
        <v>2712</v>
      </c>
      <c r="BE426" t="s">
        <v>3</v>
      </c>
      <c r="BF426" t="s">
        <v>3</v>
      </c>
      <c r="BG426" t="s">
        <v>3</v>
      </c>
      <c r="BH426" t="s">
        <v>3</v>
      </c>
      <c r="BI426" t="s">
        <v>3</v>
      </c>
      <c r="BJ426" t="s">
        <v>4994</v>
      </c>
      <c r="BK426" t="s">
        <v>3</v>
      </c>
      <c r="BL426" t="s">
        <v>96</v>
      </c>
      <c r="BM426" t="s">
        <v>1</v>
      </c>
      <c r="BN426">
        <v>14800</v>
      </c>
      <c r="BO426" t="s">
        <v>1</v>
      </c>
      <c r="BP426" t="s">
        <v>1</v>
      </c>
      <c r="BQ426" t="s">
        <v>1</v>
      </c>
      <c r="BR426" t="s">
        <v>1</v>
      </c>
      <c r="BS426" t="s">
        <v>1</v>
      </c>
      <c r="BT426" t="s">
        <v>1</v>
      </c>
      <c r="BU426" t="s">
        <v>1</v>
      </c>
      <c r="BV426" t="s">
        <v>1</v>
      </c>
      <c r="BW426" t="s">
        <v>0</v>
      </c>
      <c r="BX426" t="s">
        <v>1</v>
      </c>
      <c r="BY426" t="s">
        <v>1</v>
      </c>
      <c r="BZ426" t="s">
        <v>1</v>
      </c>
      <c r="CA426" t="s">
        <v>1</v>
      </c>
      <c r="CB426" t="s">
        <v>1</v>
      </c>
      <c r="CD426" t="e" cm="1">
        <f t="array" aca="1" ref="CD426" ca="1">eConcatenar(A426:CB426,"|")</f>
        <v>#NAME?</v>
      </c>
    </row>
    <row r="427" spans="1:82" x14ac:dyDescent="0.25">
      <c r="A427" t="s">
        <v>522</v>
      </c>
      <c r="B427" t="s">
        <v>1536</v>
      </c>
      <c r="C427">
        <v>3</v>
      </c>
      <c r="D427" t="s">
        <v>2154</v>
      </c>
      <c r="E427" t="s">
        <v>2158</v>
      </c>
      <c r="F427" t="s">
        <v>0</v>
      </c>
      <c r="G427" t="s">
        <v>2424</v>
      </c>
      <c r="H427" t="s">
        <v>2757</v>
      </c>
      <c r="I427">
        <v>24500</v>
      </c>
      <c r="J427">
        <v>0</v>
      </c>
      <c r="K427">
        <v>100</v>
      </c>
      <c r="L427">
        <v>50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 t="s">
        <v>3134</v>
      </c>
      <c r="AC427" t="s">
        <v>3232</v>
      </c>
      <c r="AD427" t="s">
        <v>3663</v>
      </c>
      <c r="AE427" t="s">
        <v>4</v>
      </c>
      <c r="AF427" t="s">
        <v>1</v>
      </c>
      <c r="AG427" t="s">
        <v>1</v>
      </c>
      <c r="AH427" t="s">
        <v>4405</v>
      </c>
      <c r="AI427" t="s">
        <v>2424</v>
      </c>
      <c r="AJ427" t="s">
        <v>1</v>
      </c>
      <c r="AK427">
        <v>9371390777</v>
      </c>
      <c r="AL427" t="s">
        <v>1</v>
      </c>
      <c r="AM427" t="s">
        <v>1</v>
      </c>
      <c r="AN427" t="s">
        <v>1</v>
      </c>
      <c r="AO427" t="s">
        <v>4405</v>
      </c>
      <c r="AP427" t="s">
        <v>1</v>
      </c>
      <c r="AQ427" t="s">
        <v>2</v>
      </c>
      <c r="AR427" t="s">
        <v>1</v>
      </c>
      <c r="AS427" t="s">
        <v>1</v>
      </c>
      <c r="AT427" t="s">
        <v>1</v>
      </c>
      <c r="AU427" t="s">
        <v>1</v>
      </c>
      <c r="AV427" t="s">
        <v>1</v>
      </c>
      <c r="AW427" t="s">
        <v>9</v>
      </c>
      <c r="AX427">
        <f>Tabla1[[#This Row],[precio del paquete]]-Tabla1[[#This Row],[Saldo_Deudor]]</f>
        <v>1217</v>
      </c>
      <c r="AY427">
        <v>23283</v>
      </c>
      <c r="AZ427">
        <v>0</v>
      </c>
      <c r="BA427">
        <v>0</v>
      </c>
      <c r="BB427">
        <v>0</v>
      </c>
      <c r="BC427" t="s">
        <v>2928</v>
      </c>
      <c r="BD427" t="s">
        <v>2711</v>
      </c>
      <c r="BE427" t="s">
        <v>3</v>
      </c>
      <c r="BF427" t="s">
        <v>3</v>
      </c>
      <c r="BG427" t="s">
        <v>3</v>
      </c>
      <c r="BH427" t="s">
        <v>3</v>
      </c>
      <c r="BI427" t="s">
        <v>3</v>
      </c>
      <c r="BJ427" t="s">
        <v>4994</v>
      </c>
      <c r="BK427" t="s">
        <v>3</v>
      </c>
      <c r="BL427" t="s">
        <v>96</v>
      </c>
      <c r="BM427" t="s">
        <v>1</v>
      </c>
      <c r="BN427">
        <v>24500</v>
      </c>
      <c r="BO427" t="s">
        <v>1</v>
      </c>
      <c r="BP427" t="s">
        <v>1</v>
      </c>
      <c r="BQ427" t="s">
        <v>1</v>
      </c>
      <c r="BR427" t="s">
        <v>1</v>
      </c>
      <c r="BS427" t="s">
        <v>1</v>
      </c>
      <c r="BT427" t="s">
        <v>1</v>
      </c>
      <c r="BU427" t="s">
        <v>1</v>
      </c>
      <c r="BV427" t="s">
        <v>1</v>
      </c>
      <c r="BW427" t="s">
        <v>0</v>
      </c>
      <c r="BX427" t="s">
        <v>1</v>
      </c>
      <c r="BY427" t="s">
        <v>1</v>
      </c>
      <c r="BZ427" t="s">
        <v>1</v>
      </c>
      <c r="CA427" t="s">
        <v>1</v>
      </c>
      <c r="CB427" t="s">
        <v>1</v>
      </c>
      <c r="CD427" t="e" cm="1">
        <f t="array" aca="1" ref="CD427" ca="1">eConcatenar(A427:CB427,"|")</f>
        <v>#NAME?</v>
      </c>
    </row>
    <row r="428" spans="1:82" x14ac:dyDescent="0.25">
      <c r="A428" t="s">
        <v>523</v>
      </c>
      <c r="B428" t="s">
        <v>1537</v>
      </c>
      <c r="C428">
        <v>3</v>
      </c>
      <c r="D428" t="s">
        <v>2153</v>
      </c>
      <c r="E428" t="s">
        <v>2158</v>
      </c>
      <c r="F428" t="s">
        <v>0</v>
      </c>
      <c r="G428" t="s">
        <v>2424</v>
      </c>
      <c r="H428" t="s">
        <v>2776</v>
      </c>
      <c r="I428">
        <v>14800</v>
      </c>
      <c r="J428">
        <v>0</v>
      </c>
      <c r="K428">
        <v>50</v>
      </c>
      <c r="L428">
        <v>50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 t="s">
        <v>3137</v>
      </c>
      <c r="AC428" t="s">
        <v>3600</v>
      </c>
      <c r="AD428" t="s">
        <v>3664</v>
      </c>
      <c r="AE428" t="s">
        <v>4</v>
      </c>
      <c r="AF428" t="s">
        <v>1</v>
      </c>
      <c r="AG428" t="s">
        <v>1</v>
      </c>
      <c r="AH428" t="s">
        <v>4406</v>
      </c>
      <c r="AI428" t="s">
        <v>2424</v>
      </c>
      <c r="AJ428" t="s">
        <v>1</v>
      </c>
      <c r="AK428">
        <v>9371200545</v>
      </c>
      <c r="AL428" t="s">
        <v>1</v>
      </c>
      <c r="AM428" t="s">
        <v>1</v>
      </c>
      <c r="AN428" t="s">
        <v>1</v>
      </c>
      <c r="AO428" t="s">
        <v>4406</v>
      </c>
      <c r="AP428" t="s">
        <v>1</v>
      </c>
      <c r="AQ428" t="s">
        <v>2</v>
      </c>
      <c r="AR428" t="s">
        <v>1</v>
      </c>
      <c r="AS428" t="s">
        <v>1</v>
      </c>
      <c r="AT428" t="s">
        <v>1</v>
      </c>
      <c r="AU428" t="s">
        <v>1</v>
      </c>
      <c r="AV428" t="s">
        <v>1</v>
      </c>
      <c r="AW428" t="s">
        <v>9</v>
      </c>
      <c r="AX428">
        <f>Tabla1[[#This Row],[precio del paquete]]-Tabla1[[#This Row],[Saldo_Deudor]]</f>
        <v>3200</v>
      </c>
      <c r="AY428">
        <v>11600</v>
      </c>
      <c r="AZ428">
        <v>0</v>
      </c>
      <c r="BA428">
        <v>0</v>
      </c>
      <c r="BB428">
        <v>0</v>
      </c>
      <c r="BC428" t="s">
        <v>2865</v>
      </c>
      <c r="BD428" t="s">
        <v>4903</v>
      </c>
      <c r="BE428" t="s">
        <v>3</v>
      </c>
      <c r="BF428" t="s">
        <v>3</v>
      </c>
      <c r="BG428" t="s">
        <v>3</v>
      </c>
      <c r="BH428" t="s">
        <v>3</v>
      </c>
      <c r="BI428" t="s">
        <v>3</v>
      </c>
      <c r="BJ428" t="s">
        <v>4994</v>
      </c>
      <c r="BK428" t="s">
        <v>3</v>
      </c>
      <c r="BL428" t="s">
        <v>96</v>
      </c>
      <c r="BM428" t="s">
        <v>1</v>
      </c>
      <c r="BN428">
        <v>14800</v>
      </c>
      <c r="BO428" t="s">
        <v>1</v>
      </c>
      <c r="BP428" t="s">
        <v>1</v>
      </c>
      <c r="BQ428" t="s">
        <v>1</v>
      </c>
      <c r="BR428" t="s">
        <v>1</v>
      </c>
      <c r="BS428" t="s">
        <v>1</v>
      </c>
      <c r="BT428" t="s">
        <v>1</v>
      </c>
      <c r="BU428" t="s">
        <v>1</v>
      </c>
      <c r="BV428" t="s">
        <v>1</v>
      </c>
      <c r="BW428" t="s">
        <v>0</v>
      </c>
      <c r="BX428" t="s">
        <v>1</v>
      </c>
      <c r="BY428" t="s">
        <v>1</v>
      </c>
      <c r="BZ428" t="s">
        <v>1</v>
      </c>
      <c r="CA428" t="s">
        <v>1</v>
      </c>
      <c r="CB428" t="s">
        <v>1</v>
      </c>
      <c r="CD428" t="e" cm="1">
        <f t="array" aca="1" ref="CD428" ca="1">eConcatenar(A428:CB428,"|")</f>
        <v>#NAME?</v>
      </c>
    </row>
    <row r="429" spans="1:82" x14ac:dyDescent="0.25">
      <c r="A429" t="s">
        <v>524</v>
      </c>
      <c r="B429" t="s">
        <v>1538</v>
      </c>
      <c r="C429">
        <v>3</v>
      </c>
      <c r="D429" t="s">
        <v>2157</v>
      </c>
      <c r="E429" t="s">
        <v>2158</v>
      </c>
      <c r="F429" t="s">
        <v>2162</v>
      </c>
      <c r="G429" t="s">
        <v>2425</v>
      </c>
      <c r="H429" t="s">
        <v>2706</v>
      </c>
      <c r="I429">
        <v>12900</v>
      </c>
      <c r="J429">
        <v>0</v>
      </c>
      <c r="K429">
        <v>100</v>
      </c>
      <c r="L429">
        <v>50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 t="s">
        <v>3193</v>
      </c>
      <c r="AC429" t="s">
        <v>3132</v>
      </c>
      <c r="AD429" t="s">
        <v>3665</v>
      </c>
      <c r="AE429" t="s">
        <v>4</v>
      </c>
      <c r="AF429" t="s">
        <v>1</v>
      </c>
      <c r="AG429" t="s">
        <v>1</v>
      </c>
      <c r="AH429" t="s">
        <v>1</v>
      </c>
      <c r="AI429" t="s">
        <v>2425</v>
      </c>
      <c r="AJ429" t="s">
        <v>1</v>
      </c>
      <c r="AK429" t="s">
        <v>1</v>
      </c>
      <c r="AL429" t="s">
        <v>1</v>
      </c>
      <c r="AM429" t="s">
        <v>1</v>
      </c>
      <c r="AN429" t="s">
        <v>1</v>
      </c>
      <c r="AO429" t="s">
        <v>1</v>
      </c>
      <c r="AP429" t="s">
        <v>1</v>
      </c>
      <c r="AQ429" t="s">
        <v>2</v>
      </c>
      <c r="AR429" t="s">
        <v>1</v>
      </c>
      <c r="AS429" t="s">
        <v>1</v>
      </c>
      <c r="AT429" t="s">
        <v>1</v>
      </c>
      <c r="AU429" t="s">
        <v>1</v>
      </c>
      <c r="AV429" t="s">
        <v>1</v>
      </c>
      <c r="AW429" t="s">
        <v>9</v>
      </c>
      <c r="AX429">
        <f>Tabla1[[#This Row],[precio del paquete]]-Tabla1[[#This Row],[Saldo_Deudor]]</f>
        <v>8100</v>
      </c>
      <c r="AY429">
        <v>4800</v>
      </c>
      <c r="AZ429">
        <v>0</v>
      </c>
      <c r="BA429">
        <v>0</v>
      </c>
      <c r="BB429">
        <v>0</v>
      </c>
      <c r="BC429" t="s">
        <v>3061</v>
      </c>
      <c r="BD429" t="s">
        <v>3040</v>
      </c>
      <c r="BE429" t="s">
        <v>3</v>
      </c>
      <c r="BF429" t="s">
        <v>3</v>
      </c>
      <c r="BG429" t="s">
        <v>3</v>
      </c>
      <c r="BH429" t="s">
        <v>3</v>
      </c>
      <c r="BI429" t="s">
        <v>3</v>
      </c>
      <c r="BJ429" t="s">
        <v>4994</v>
      </c>
      <c r="BK429" t="s">
        <v>3</v>
      </c>
      <c r="BL429" t="s">
        <v>96</v>
      </c>
      <c r="BM429" t="s">
        <v>1</v>
      </c>
      <c r="BN429">
        <v>12900</v>
      </c>
      <c r="BO429" t="s">
        <v>1</v>
      </c>
      <c r="BP429" t="s">
        <v>1</v>
      </c>
      <c r="BQ429" t="s">
        <v>1</v>
      </c>
      <c r="BR429" t="s">
        <v>1</v>
      </c>
      <c r="BS429" t="s">
        <v>1</v>
      </c>
      <c r="BT429" t="s">
        <v>1</v>
      </c>
      <c r="BU429" t="s">
        <v>1</v>
      </c>
      <c r="BV429" t="s">
        <v>1</v>
      </c>
      <c r="BW429" t="s">
        <v>0</v>
      </c>
      <c r="BX429" t="s">
        <v>1</v>
      </c>
      <c r="BY429" t="s">
        <v>1</v>
      </c>
      <c r="BZ429" t="s">
        <v>1</v>
      </c>
      <c r="CA429" t="s">
        <v>1</v>
      </c>
      <c r="CB429" t="s">
        <v>1</v>
      </c>
      <c r="CD429" t="e" cm="1">
        <f t="array" aca="1" ref="CD429" ca="1">eConcatenar(A429:CB429,"|")</f>
        <v>#NAME?</v>
      </c>
    </row>
    <row r="430" spans="1:82" x14ac:dyDescent="0.25">
      <c r="A430" t="s">
        <v>525</v>
      </c>
      <c r="B430" t="s">
        <v>1539</v>
      </c>
      <c r="C430">
        <v>3</v>
      </c>
      <c r="D430" t="s">
        <v>2153</v>
      </c>
      <c r="E430" t="s">
        <v>2158</v>
      </c>
      <c r="F430" t="s">
        <v>2162</v>
      </c>
      <c r="G430" t="s">
        <v>2425</v>
      </c>
      <c r="H430" t="s">
        <v>2767</v>
      </c>
      <c r="I430">
        <v>14800</v>
      </c>
      <c r="J430">
        <v>0</v>
      </c>
      <c r="K430">
        <v>50</v>
      </c>
      <c r="L430">
        <v>50</v>
      </c>
      <c r="M430">
        <v>1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 t="s">
        <v>5</v>
      </c>
      <c r="AC430" t="s">
        <v>3600</v>
      </c>
      <c r="AD430" t="s">
        <v>3666</v>
      </c>
      <c r="AE430" t="s">
        <v>4</v>
      </c>
      <c r="AF430" t="s">
        <v>1</v>
      </c>
      <c r="AG430" t="s">
        <v>1</v>
      </c>
      <c r="AH430" t="s">
        <v>4407</v>
      </c>
      <c r="AI430" t="s">
        <v>2425</v>
      </c>
      <c r="AJ430" t="s">
        <v>1</v>
      </c>
      <c r="AK430" t="s">
        <v>1</v>
      </c>
      <c r="AL430" t="s">
        <v>1</v>
      </c>
      <c r="AM430" t="s">
        <v>1</v>
      </c>
      <c r="AN430" t="s">
        <v>1</v>
      </c>
      <c r="AO430" t="s">
        <v>4407</v>
      </c>
      <c r="AP430" t="s">
        <v>1</v>
      </c>
      <c r="AQ430" t="s">
        <v>2</v>
      </c>
      <c r="AR430" t="s">
        <v>1</v>
      </c>
      <c r="AS430" t="s">
        <v>1</v>
      </c>
      <c r="AT430" t="s">
        <v>1</v>
      </c>
      <c r="AU430" t="s">
        <v>1</v>
      </c>
      <c r="AV430" t="s">
        <v>1</v>
      </c>
      <c r="AW430" t="s">
        <v>9</v>
      </c>
      <c r="AX430">
        <f>Tabla1[[#This Row],[precio del paquete]]-Tabla1[[#This Row],[Saldo_Deudor]]</f>
        <v>450</v>
      </c>
      <c r="AY430">
        <v>14350</v>
      </c>
      <c r="AZ430">
        <v>0</v>
      </c>
      <c r="BA430">
        <v>0</v>
      </c>
      <c r="BB430">
        <v>0</v>
      </c>
      <c r="BC430" t="s">
        <v>3061</v>
      </c>
      <c r="BD430" t="s">
        <v>3040</v>
      </c>
      <c r="BE430" t="s">
        <v>3</v>
      </c>
      <c r="BF430" t="s">
        <v>3</v>
      </c>
      <c r="BG430" t="s">
        <v>3</v>
      </c>
      <c r="BH430" t="s">
        <v>3</v>
      </c>
      <c r="BI430" t="s">
        <v>3</v>
      </c>
      <c r="BJ430" t="s">
        <v>4998</v>
      </c>
      <c r="BK430" t="s">
        <v>3</v>
      </c>
      <c r="BL430" t="s">
        <v>96</v>
      </c>
      <c r="BM430" t="s">
        <v>1</v>
      </c>
      <c r="BN430">
        <v>14800</v>
      </c>
      <c r="BO430" t="s">
        <v>1</v>
      </c>
      <c r="BP430" t="s">
        <v>1</v>
      </c>
      <c r="BQ430" t="s">
        <v>1</v>
      </c>
      <c r="BR430" t="s">
        <v>1</v>
      </c>
      <c r="BS430" t="s">
        <v>1</v>
      </c>
      <c r="BT430" t="s">
        <v>1</v>
      </c>
      <c r="BU430" t="s">
        <v>1</v>
      </c>
      <c r="BV430" t="s">
        <v>1</v>
      </c>
      <c r="BW430" t="s">
        <v>0</v>
      </c>
      <c r="BX430" t="s">
        <v>1</v>
      </c>
      <c r="BY430" t="s">
        <v>1</v>
      </c>
      <c r="BZ430" t="s">
        <v>1</v>
      </c>
      <c r="CA430" t="s">
        <v>1</v>
      </c>
      <c r="CB430" t="s">
        <v>1</v>
      </c>
      <c r="CD430" t="e" cm="1">
        <f t="array" aca="1" ref="CD430" ca="1">eConcatenar(A430:CB430,"|")</f>
        <v>#NAME?</v>
      </c>
    </row>
    <row r="431" spans="1:82" x14ac:dyDescent="0.25">
      <c r="A431" t="s">
        <v>526</v>
      </c>
      <c r="B431" t="s">
        <v>1540</v>
      </c>
      <c r="C431">
        <v>3</v>
      </c>
      <c r="D431" t="s">
        <v>2157</v>
      </c>
      <c r="E431" t="s">
        <v>2158</v>
      </c>
      <c r="F431" t="s">
        <v>2162</v>
      </c>
      <c r="G431" t="s">
        <v>2425</v>
      </c>
      <c r="H431" t="s">
        <v>2706</v>
      </c>
      <c r="I431">
        <v>12900</v>
      </c>
      <c r="J431">
        <v>0</v>
      </c>
      <c r="K431">
        <v>100</v>
      </c>
      <c r="L431">
        <v>50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 t="s">
        <v>3157</v>
      </c>
      <c r="AC431" t="s">
        <v>3245</v>
      </c>
      <c r="AD431" t="s">
        <v>3667</v>
      </c>
      <c r="AE431" t="s">
        <v>4</v>
      </c>
      <c r="AF431" t="s">
        <v>1</v>
      </c>
      <c r="AG431" t="s">
        <v>1</v>
      </c>
      <c r="AH431" t="s">
        <v>4408</v>
      </c>
      <c r="AI431" t="s">
        <v>2425</v>
      </c>
      <c r="AJ431" t="s">
        <v>1</v>
      </c>
      <c r="AK431">
        <v>9331606173</v>
      </c>
      <c r="AL431" t="s">
        <v>1</v>
      </c>
      <c r="AM431" t="s">
        <v>1</v>
      </c>
      <c r="AN431" t="s">
        <v>1</v>
      </c>
      <c r="AO431" t="s">
        <v>4408</v>
      </c>
      <c r="AP431" t="s">
        <v>1</v>
      </c>
      <c r="AQ431" t="s">
        <v>2</v>
      </c>
      <c r="AR431" t="s">
        <v>1</v>
      </c>
      <c r="AS431" t="s">
        <v>1</v>
      </c>
      <c r="AT431" t="s">
        <v>1</v>
      </c>
      <c r="AU431" t="s">
        <v>1</v>
      </c>
      <c r="AV431" t="s">
        <v>1</v>
      </c>
      <c r="AW431" t="s">
        <v>9</v>
      </c>
      <c r="AX431">
        <f>Tabla1[[#This Row],[precio del paquete]]-Tabla1[[#This Row],[Saldo_Deudor]]</f>
        <v>6050</v>
      </c>
      <c r="AY431">
        <v>6850</v>
      </c>
      <c r="AZ431">
        <v>0</v>
      </c>
      <c r="BA431">
        <v>0</v>
      </c>
      <c r="BB431">
        <v>0</v>
      </c>
      <c r="BC431" t="s">
        <v>3061</v>
      </c>
      <c r="BD431" t="s">
        <v>3040</v>
      </c>
      <c r="BE431" t="s">
        <v>3</v>
      </c>
      <c r="BF431" t="s">
        <v>3</v>
      </c>
      <c r="BG431" t="s">
        <v>3</v>
      </c>
      <c r="BH431" t="s">
        <v>3</v>
      </c>
      <c r="BI431" t="s">
        <v>3</v>
      </c>
      <c r="BJ431" t="s">
        <v>4998</v>
      </c>
      <c r="BK431" t="s">
        <v>3</v>
      </c>
      <c r="BL431" t="s">
        <v>96</v>
      </c>
      <c r="BM431" t="s">
        <v>1</v>
      </c>
      <c r="BN431">
        <v>12900</v>
      </c>
      <c r="BO431" t="s">
        <v>1</v>
      </c>
      <c r="BP431" t="s">
        <v>1</v>
      </c>
      <c r="BQ431" t="s">
        <v>1</v>
      </c>
      <c r="BR431" t="s">
        <v>1</v>
      </c>
      <c r="BS431" t="s">
        <v>1</v>
      </c>
      <c r="BT431" t="s">
        <v>1</v>
      </c>
      <c r="BU431" t="s">
        <v>1</v>
      </c>
      <c r="BV431" t="s">
        <v>1</v>
      </c>
      <c r="BW431" t="s">
        <v>0</v>
      </c>
      <c r="BX431" t="s">
        <v>1</v>
      </c>
      <c r="BY431" t="s">
        <v>1</v>
      </c>
      <c r="BZ431" t="s">
        <v>1</v>
      </c>
      <c r="CA431" t="s">
        <v>1</v>
      </c>
      <c r="CB431" t="s">
        <v>1</v>
      </c>
      <c r="CD431" t="e" cm="1">
        <f t="array" aca="1" ref="CD431" ca="1">eConcatenar(A431:CB431,"|")</f>
        <v>#NAME?</v>
      </c>
    </row>
    <row r="432" spans="1:82" x14ac:dyDescent="0.25">
      <c r="A432" t="s">
        <v>527</v>
      </c>
      <c r="B432" t="s">
        <v>1541</v>
      </c>
      <c r="C432">
        <v>3</v>
      </c>
      <c r="D432" t="s">
        <v>2153</v>
      </c>
      <c r="E432" t="s">
        <v>2158</v>
      </c>
      <c r="F432" t="s">
        <v>2165</v>
      </c>
      <c r="G432" t="s">
        <v>2425</v>
      </c>
      <c r="H432" t="s">
        <v>2767</v>
      </c>
      <c r="I432">
        <v>14800</v>
      </c>
      <c r="J432">
        <v>0</v>
      </c>
      <c r="K432">
        <v>200</v>
      </c>
      <c r="L432">
        <v>50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 t="s">
        <v>3668</v>
      </c>
      <c r="AC432" t="s">
        <v>3152</v>
      </c>
      <c r="AD432" t="s">
        <v>3669</v>
      </c>
      <c r="AE432" t="s">
        <v>4</v>
      </c>
      <c r="AF432" t="s">
        <v>1</v>
      </c>
      <c r="AG432" t="s">
        <v>1</v>
      </c>
      <c r="AH432" t="s">
        <v>4409</v>
      </c>
      <c r="AI432" t="s">
        <v>2425</v>
      </c>
      <c r="AJ432" t="s">
        <v>1</v>
      </c>
      <c r="AK432">
        <v>9331558787</v>
      </c>
      <c r="AL432" t="s">
        <v>1</v>
      </c>
      <c r="AM432" t="s">
        <v>1</v>
      </c>
      <c r="AN432" t="s">
        <v>1</v>
      </c>
      <c r="AO432" t="s">
        <v>4409</v>
      </c>
      <c r="AP432" t="s">
        <v>1</v>
      </c>
      <c r="AQ432" t="s">
        <v>2</v>
      </c>
      <c r="AR432" t="s">
        <v>1</v>
      </c>
      <c r="AS432" t="s">
        <v>1</v>
      </c>
      <c r="AT432" t="s">
        <v>1</v>
      </c>
      <c r="AU432" t="s">
        <v>1</v>
      </c>
      <c r="AV432" t="s">
        <v>1</v>
      </c>
      <c r="AW432" t="s">
        <v>9</v>
      </c>
      <c r="AX432">
        <f>Tabla1[[#This Row],[precio del paquete]]-Tabla1[[#This Row],[Saldo_Deudor]]</f>
        <v>3200</v>
      </c>
      <c r="AY432">
        <v>11600</v>
      </c>
      <c r="AZ432">
        <v>0</v>
      </c>
      <c r="BA432">
        <v>0</v>
      </c>
      <c r="BB432">
        <v>0</v>
      </c>
      <c r="BC432" t="s">
        <v>3061</v>
      </c>
      <c r="BD432" t="s">
        <v>3040</v>
      </c>
      <c r="BE432" t="s">
        <v>3</v>
      </c>
      <c r="BF432" t="s">
        <v>3</v>
      </c>
      <c r="BG432" t="s">
        <v>3</v>
      </c>
      <c r="BH432" t="s">
        <v>3</v>
      </c>
      <c r="BI432" t="s">
        <v>3</v>
      </c>
      <c r="BJ432" t="s">
        <v>4998</v>
      </c>
      <c r="BK432" t="s">
        <v>3</v>
      </c>
      <c r="BL432" t="s">
        <v>96</v>
      </c>
      <c r="BM432" t="s">
        <v>1</v>
      </c>
      <c r="BN432">
        <v>14800</v>
      </c>
      <c r="BO432" t="s">
        <v>1</v>
      </c>
      <c r="BP432" t="s">
        <v>1</v>
      </c>
      <c r="BQ432" t="s">
        <v>1</v>
      </c>
      <c r="BR432" t="s">
        <v>1</v>
      </c>
      <c r="BS432" t="s">
        <v>1</v>
      </c>
      <c r="BT432" t="s">
        <v>1</v>
      </c>
      <c r="BU432" t="s">
        <v>1</v>
      </c>
      <c r="BV432" t="s">
        <v>1</v>
      </c>
      <c r="BW432" t="s">
        <v>0</v>
      </c>
      <c r="BX432" t="s">
        <v>1</v>
      </c>
      <c r="BY432" t="s">
        <v>1</v>
      </c>
      <c r="BZ432" t="s">
        <v>1</v>
      </c>
      <c r="CA432" t="s">
        <v>1</v>
      </c>
      <c r="CB432" t="s">
        <v>1</v>
      </c>
      <c r="CD432" t="e" cm="1">
        <f t="array" aca="1" ref="CD432" ca="1">eConcatenar(A432:CB432,"|")</f>
        <v>#NAME?</v>
      </c>
    </row>
    <row r="433" spans="1:82" x14ac:dyDescent="0.25">
      <c r="A433" t="s">
        <v>528</v>
      </c>
      <c r="B433" t="s">
        <v>1542</v>
      </c>
      <c r="C433">
        <v>3</v>
      </c>
      <c r="D433" t="s">
        <v>2153</v>
      </c>
      <c r="E433" t="s">
        <v>2158</v>
      </c>
      <c r="F433" t="s">
        <v>2162</v>
      </c>
      <c r="G433" t="s">
        <v>2425</v>
      </c>
      <c r="H433" t="s">
        <v>2902</v>
      </c>
      <c r="I433">
        <v>14800</v>
      </c>
      <c r="J433">
        <v>0</v>
      </c>
      <c r="K433">
        <v>100</v>
      </c>
      <c r="L433">
        <v>50</v>
      </c>
      <c r="M433">
        <v>1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 t="s">
        <v>3670</v>
      </c>
      <c r="AC433" t="s">
        <v>3114</v>
      </c>
      <c r="AD433" t="s">
        <v>3165</v>
      </c>
      <c r="AE433" t="s">
        <v>4</v>
      </c>
      <c r="AF433" t="s">
        <v>1</v>
      </c>
      <c r="AG433" t="s">
        <v>1</v>
      </c>
      <c r="AH433" t="s">
        <v>2207</v>
      </c>
      <c r="AI433" t="s">
        <v>2425</v>
      </c>
      <c r="AJ433" t="s">
        <v>1</v>
      </c>
      <c r="AK433">
        <v>9331060490</v>
      </c>
      <c r="AL433" t="s">
        <v>1</v>
      </c>
      <c r="AM433" t="s">
        <v>1</v>
      </c>
      <c r="AN433" t="s">
        <v>1</v>
      </c>
      <c r="AO433" t="s">
        <v>2207</v>
      </c>
      <c r="AP433" t="s">
        <v>1</v>
      </c>
      <c r="AQ433" t="s">
        <v>2</v>
      </c>
      <c r="AR433" t="s">
        <v>1</v>
      </c>
      <c r="AS433" t="s">
        <v>1</v>
      </c>
      <c r="AT433" t="s">
        <v>1</v>
      </c>
      <c r="AU433" t="s">
        <v>1</v>
      </c>
      <c r="AV433" t="s">
        <v>1</v>
      </c>
      <c r="AW433" t="s">
        <v>9</v>
      </c>
      <c r="AX433">
        <f>Tabla1[[#This Row],[precio del paquete]]-Tabla1[[#This Row],[Saldo_Deudor]]</f>
        <v>100</v>
      </c>
      <c r="AY433">
        <v>14700</v>
      </c>
      <c r="AZ433">
        <v>0</v>
      </c>
      <c r="BA433">
        <v>0</v>
      </c>
      <c r="BB433">
        <v>0</v>
      </c>
      <c r="BC433" t="s">
        <v>2902</v>
      </c>
      <c r="BD433" t="s">
        <v>3089</v>
      </c>
      <c r="BE433" t="s">
        <v>3</v>
      </c>
      <c r="BF433" t="s">
        <v>3</v>
      </c>
      <c r="BG433" t="s">
        <v>3</v>
      </c>
      <c r="BH433" t="s">
        <v>3</v>
      </c>
      <c r="BI433" t="s">
        <v>3</v>
      </c>
      <c r="BJ433" t="s">
        <v>4998</v>
      </c>
      <c r="BK433" t="s">
        <v>3</v>
      </c>
      <c r="BL433" t="s">
        <v>96</v>
      </c>
      <c r="BM433" t="s">
        <v>1</v>
      </c>
      <c r="BN433">
        <v>14800</v>
      </c>
      <c r="BO433" t="s">
        <v>1</v>
      </c>
      <c r="BP433" t="s">
        <v>1</v>
      </c>
      <c r="BQ433" t="s">
        <v>1</v>
      </c>
      <c r="BR433" t="s">
        <v>1</v>
      </c>
      <c r="BS433" t="s">
        <v>1</v>
      </c>
      <c r="BT433" t="s">
        <v>1</v>
      </c>
      <c r="BU433" t="s">
        <v>1</v>
      </c>
      <c r="BV433" t="s">
        <v>1</v>
      </c>
      <c r="BW433" t="s">
        <v>0</v>
      </c>
      <c r="BX433" t="s">
        <v>1</v>
      </c>
      <c r="BY433" t="s">
        <v>1</v>
      </c>
      <c r="BZ433" t="s">
        <v>1</v>
      </c>
      <c r="CA433" t="s">
        <v>1</v>
      </c>
      <c r="CB433" t="s">
        <v>1</v>
      </c>
      <c r="CD433" t="e" cm="1">
        <f t="array" aca="1" ref="CD433" ca="1">eConcatenar(A433:CB433,"|")</f>
        <v>#NAME?</v>
      </c>
    </row>
    <row r="434" spans="1:82" x14ac:dyDescent="0.25">
      <c r="A434" t="s">
        <v>529</v>
      </c>
      <c r="B434" t="s">
        <v>1543</v>
      </c>
      <c r="C434">
        <v>3</v>
      </c>
      <c r="D434" t="s">
        <v>2155</v>
      </c>
      <c r="E434" t="s">
        <v>2158</v>
      </c>
      <c r="F434" t="s">
        <v>2162</v>
      </c>
      <c r="G434" t="s">
        <v>2425</v>
      </c>
      <c r="H434" t="s">
        <v>2706</v>
      </c>
      <c r="I434">
        <v>12900</v>
      </c>
      <c r="J434">
        <v>0</v>
      </c>
      <c r="K434">
        <v>100</v>
      </c>
      <c r="L434">
        <v>50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 t="s">
        <v>3671</v>
      </c>
      <c r="AC434" t="s">
        <v>3131</v>
      </c>
      <c r="AD434" t="s">
        <v>3672</v>
      </c>
      <c r="AE434" t="s">
        <v>4</v>
      </c>
      <c r="AF434" t="s">
        <v>1</v>
      </c>
      <c r="AG434" t="s">
        <v>1</v>
      </c>
      <c r="AH434" t="s">
        <v>2425</v>
      </c>
      <c r="AI434" t="s">
        <v>2425</v>
      </c>
      <c r="AJ434" t="s">
        <v>1</v>
      </c>
      <c r="AK434">
        <v>9331345490</v>
      </c>
      <c r="AL434" t="s">
        <v>1</v>
      </c>
      <c r="AM434" t="s">
        <v>1</v>
      </c>
      <c r="AN434" t="s">
        <v>1</v>
      </c>
      <c r="AO434" t="s">
        <v>2425</v>
      </c>
      <c r="AP434" t="s">
        <v>1</v>
      </c>
      <c r="AQ434" t="s">
        <v>2</v>
      </c>
      <c r="AR434" t="s">
        <v>1</v>
      </c>
      <c r="AS434" t="s">
        <v>1</v>
      </c>
      <c r="AT434" t="s">
        <v>1</v>
      </c>
      <c r="AU434" t="s">
        <v>1</v>
      </c>
      <c r="AV434" t="s">
        <v>1</v>
      </c>
      <c r="AW434" t="s">
        <v>9</v>
      </c>
      <c r="AX434">
        <f>Tabla1[[#This Row],[precio del paquete]]-Tabla1[[#This Row],[Saldo_Deudor]]</f>
        <v>2400</v>
      </c>
      <c r="AY434">
        <v>10500</v>
      </c>
      <c r="AZ434">
        <v>0</v>
      </c>
      <c r="BA434">
        <v>0</v>
      </c>
      <c r="BB434">
        <v>0</v>
      </c>
      <c r="BC434" t="s">
        <v>3092</v>
      </c>
      <c r="BD434" t="s">
        <v>4946</v>
      </c>
      <c r="BE434" t="s">
        <v>3</v>
      </c>
      <c r="BF434" t="s">
        <v>3</v>
      </c>
      <c r="BG434" t="s">
        <v>3</v>
      </c>
      <c r="BH434" t="s">
        <v>3</v>
      </c>
      <c r="BI434" t="s">
        <v>3</v>
      </c>
      <c r="BJ434" t="s">
        <v>4998</v>
      </c>
      <c r="BK434" t="s">
        <v>3</v>
      </c>
      <c r="BL434" t="s">
        <v>96</v>
      </c>
      <c r="BM434" t="s">
        <v>1</v>
      </c>
      <c r="BN434">
        <v>12900</v>
      </c>
      <c r="BO434" t="s">
        <v>1</v>
      </c>
      <c r="BP434" t="s">
        <v>1</v>
      </c>
      <c r="BQ434" t="s">
        <v>1</v>
      </c>
      <c r="BR434" t="s">
        <v>1</v>
      </c>
      <c r="BS434" t="s">
        <v>1</v>
      </c>
      <c r="BT434" t="s">
        <v>1</v>
      </c>
      <c r="BU434" t="s">
        <v>1</v>
      </c>
      <c r="BV434" t="s">
        <v>1</v>
      </c>
      <c r="BW434" t="s">
        <v>0</v>
      </c>
      <c r="BX434" t="s">
        <v>1</v>
      </c>
      <c r="BY434" t="s">
        <v>1</v>
      </c>
      <c r="BZ434" t="s">
        <v>1</v>
      </c>
      <c r="CA434" t="s">
        <v>1</v>
      </c>
      <c r="CB434" t="s">
        <v>1</v>
      </c>
      <c r="CD434" t="e" cm="1">
        <f t="array" aca="1" ref="CD434" ca="1">eConcatenar(A434:CB434,"|")</f>
        <v>#NAME?</v>
      </c>
    </row>
    <row r="435" spans="1:82" x14ac:dyDescent="0.25">
      <c r="A435" t="s">
        <v>530</v>
      </c>
      <c r="B435" t="s">
        <v>1544</v>
      </c>
      <c r="C435">
        <v>3</v>
      </c>
      <c r="D435" t="s">
        <v>2153</v>
      </c>
      <c r="E435" t="s">
        <v>2158</v>
      </c>
      <c r="F435" t="s">
        <v>0</v>
      </c>
      <c r="G435" t="s">
        <v>2426</v>
      </c>
      <c r="H435" t="s">
        <v>2903</v>
      </c>
      <c r="I435">
        <v>14800</v>
      </c>
      <c r="J435">
        <v>0</v>
      </c>
      <c r="K435">
        <v>100</v>
      </c>
      <c r="L435">
        <v>50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 t="s">
        <v>3137</v>
      </c>
      <c r="AC435" t="s">
        <v>3154</v>
      </c>
      <c r="AD435" t="s">
        <v>3673</v>
      </c>
      <c r="AE435" t="s">
        <v>4</v>
      </c>
      <c r="AF435" t="s">
        <v>1</v>
      </c>
      <c r="AG435" t="s">
        <v>1</v>
      </c>
      <c r="AH435" t="s">
        <v>4410</v>
      </c>
      <c r="AI435" t="s">
        <v>2426</v>
      </c>
      <c r="AJ435" t="s">
        <v>1</v>
      </c>
      <c r="AK435">
        <v>9371679287</v>
      </c>
      <c r="AL435" t="s">
        <v>1</v>
      </c>
      <c r="AM435" t="s">
        <v>1</v>
      </c>
      <c r="AN435" t="s">
        <v>1</v>
      </c>
      <c r="AO435" t="s">
        <v>4410</v>
      </c>
      <c r="AP435" t="s">
        <v>1</v>
      </c>
      <c r="AQ435" t="s">
        <v>2</v>
      </c>
      <c r="AR435" t="s">
        <v>1</v>
      </c>
      <c r="AS435" t="s">
        <v>1</v>
      </c>
      <c r="AT435" t="s">
        <v>1</v>
      </c>
      <c r="AU435" t="s">
        <v>1</v>
      </c>
      <c r="AV435" t="s">
        <v>1</v>
      </c>
      <c r="AW435" t="s">
        <v>9</v>
      </c>
      <c r="AX435">
        <f>Tabla1[[#This Row],[precio del paquete]]-Tabla1[[#This Row],[Saldo_Deudor]]</f>
        <v>2700</v>
      </c>
      <c r="AY435">
        <v>12100</v>
      </c>
      <c r="AZ435">
        <v>0</v>
      </c>
      <c r="BA435">
        <v>0</v>
      </c>
      <c r="BB435">
        <v>0</v>
      </c>
      <c r="BC435" t="s">
        <v>2770</v>
      </c>
      <c r="BD435" t="s">
        <v>3061</v>
      </c>
      <c r="BE435" t="s">
        <v>3</v>
      </c>
      <c r="BF435" t="s">
        <v>3</v>
      </c>
      <c r="BG435" t="s">
        <v>3</v>
      </c>
      <c r="BH435" t="s">
        <v>3</v>
      </c>
      <c r="BI435" t="s">
        <v>3</v>
      </c>
      <c r="BJ435" t="s">
        <v>4990</v>
      </c>
      <c r="BK435" t="s">
        <v>3</v>
      </c>
      <c r="BL435" t="s">
        <v>96</v>
      </c>
      <c r="BM435" t="s">
        <v>1</v>
      </c>
      <c r="BN435">
        <v>14800</v>
      </c>
      <c r="BO435" t="s">
        <v>1</v>
      </c>
      <c r="BP435" t="s">
        <v>1</v>
      </c>
      <c r="BQ435" t="s">
        <v>1</v>
      </c>
      <c r="BR435" t="s">
        <v>1</v>
      </c>
      <c r="BS435" t="s">
        <v>1</v>
      </c>
      <c r="BT435" t="s">
        <v>1</v>
      </c>
      <c r="BU435" t="s">
        <v>1</v>
      </c>
      <c r="BV435" t="s">
        <v>1</v>
      </c>
      <c r="BW435" t="s">
        <v>0</v>
      </c>
      <c r="BX435" t="s">
        <v>1</v>
      </c>
      <c r="BY435" t="s">
        <v>1</v>
      </c>
      <c r="BZ435" t="s">
        <v>1</v>
      </c>
      <c r="CA435" t="s">
        <v>1</v>
      </c>
      <c r="CB435" t="s">
        <v>1</v>
      </c>
      <c r="CD435" t="e" cm="1">
        <f t="array" aca="1" ref="CD435" ca="1">eConcatenar(A435:CB435,"|")</f>
        <v>#NAME?</v>
      </c>
    </row>
    <row r="436" spans="1:82" x14ac:dyDescent="0.25">
      <c r="A436" t="s">
        <v>531</v>
      </c>
      <c r="B436" t="s">
        <v>1545</v>
      </c>
      <c r="C436">
        <v>3</v>
      </c>
      <c r="D436" t="s">
        <v>3113</v>
      </c>
      <c r="E436" t="s">
        <v>2158</v>
      </c>
      <c r="F436" t="s">
        <v>8</v>
      </c>
      <c r="G436" t="s">
        <v>2427</v>
      </c>
      <c r="H436" t="s">
        <v>2739</v>
      </c>
      <c r="I436">
        <v>46000</v>
      </c>
      <c r="J436">
        <v>0</v>
      </c>
      <c r="K436">
        <v>200</v>
      </c>
      <c r="L436">
        <v>50</v>
      </c>
      <c r="M436">
        <v>1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 t="s">
        <v>3674</v>
      </c>
      <c r="AC436" t="s">
        <v>3115</v>
      </c>
      <c r="AD436" t="s">
        <v>3427</v>
      </c>
      <c r="AE436" t="s">
        <v>4</v>
      </c>
      <c r="AF436" t="s">
        <v>1</v>
      </c>
      <c r="AG436" t="s">
        <v>1</v>
      </c>
      <c r="AH436" t="s">
        <v>4411</v>
      </c>
      <c r="AI436" t="s">
        <v>2427</v>
      </c>
      <c r="AJ436" t="s">
        <v>1</v>
      </c>
      <c r="AK436">
        <v>9379997324</v>
      </c>
      <c r="AL436" t="s">
        <v>1</v>
      </c>
      <c r="AM436" t="s">
        <v>1</v>
      </c>
      <c r="AN436" t="s">
        <v>1</v>
      </c>
      <c r="AO436" t="s">
        <v>4411</v>
      </c>
      <c r="AP436" t="s">
        <v>1</v>
      </c>
      <c r="AQ436" t="s">
        <v>2</v>
      </c>
      <c r="AR436" t="s">
        <v>1</v>
      </c>
      <c r="AS436" t="s">
        <v>1</v>
      </c>
      <c r="AT436" t="s">
        <v>1</v>
      </c>
      <c r="AU436" t="s">
        <v>1</v>
      </c>
      <c r="AV436" t="s">
        <v>1</v>
      </c>
      <c r="AW436" t="s">
        <v>9</v>
      </c>
      <c r="AX436">
        <f>Tabla1[[#This Row],[precio del paquete]]-Tabla1[[#This Row],[Saldo_Deudor]]</f>
        <v>200</v>
      </c>
      <c r="AY436">
        <v>45800</v>
      </c>
      <c r="AZ436">
        <v>0</v>
      </c>
      <c r="BA436">
        <v>0</v>
      </c>
      <c r="BB436">
        <v>0</v>
      </c>
      <c r="BC436" t="s">
        <v>2739</v>
      </c>
      <c r="BD436" t="s">
        <v>4902</v>
      </c>
      <c r="BE436" t="s">
        <v>3</v>
      </c>
      <c r="BF436" t="s">
        <v>3</v>
      </c>
      <c r="BG436" t="s">
        <v>3</v>
      </c>
      <c r="BH436" t="s">
        <v>3</v>
      </c>
      <c r="BI436" t="s">
        <v>3</v>
      </c>
      <c r="BJ436" t="s">
        <v>4987</v>
      </c>
      <c r="BK436" t="s">
        <v>3</v>
      </c>
      <c r="BL436" t="s">
        <v>96</v>
      </c>
      <c r="BM436" t="s">
        <v>1</v>
      </c>
      <c r="BN436">
        <v>46000</v>
      </c>
      <c r="BO436" t="s">
        <v>1</v>
      </c>
      <c r="BP436" t="s">
        <v>1</v>
      </c>
      <c r="BQ436" t="s">
        <v>1</v>
      </c>
      <c r="BR436" t="s">
        <v>1</v>
      </c>
      <c r="BS436" t="s">
        <v>1</v>
      </c>
      <c r="BT436" t="s">
        <v>1</v>
      </c>
      <c r="BU436" t="s">
        <v>1</v>
      </c>
      <c r="BV436" t="s">
        <v>1</v>
      </c>
      <c r="BW436" t="s">
        <v>0</v>
      </c>
      <c r="BX436" t="s">
        <v>1</v>
      </c>
      <c r="BY436" t="s">
        <v>1</v>
      </c>
      <c r="BZ436" t="s">
        <v>1</v>
      </c>
      <c r="CA436" t="s">
        <v>1</v>
      </c>
      <c r="CB436" t="s">
        <v>1</v>
      </c>
      <c r="CD436" t="e" cm="1">
        <f t="array" aca="1" ref="CD436" ca="1">eConcatenar(A436:CB436,"|")</f>
        <v>#NAME?</v>
      </c>
    </row>
    <row r="437" spans="1:82" x14ac:dyDescent="0.25">
      <c r="A437" t="s">
        <v>532</v>
      </c>
      <c r="B437" t="s">
        <v>1546</v>
      </c>
      <c r="C437">
        <v>3</v>
      </c>
      <c r="D437" t="s">
        <v>2153</v>
      </c>
      <c r="E437" t="s">
        <v>2158</v>
      </c>
      <c r="F437" t="s">
        <v>2159</v>
      </c>
      <c r="G437" t="s">
        <v>2428</v>
      </c>
      <c r="H437" t="s">
        <v>2868</v>
      </c>
      <c r="I437">
        <v>14800</v>
      </c>
      <c r="J437">
        <v>0</v>
      </c>
      <c r="K437">
        <v>100</v>
      </c>
      <c r="L437">
        <v>50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 t="s">
        <v>3196</v>
      </c>
      <c r="AC437" t="s">
        <v>3148</v>
      </c>
      <c r="AD437" t="s">
        <v>3675</v>
      </c>
      <c r="AE437" t="s">
        <v>4</v>
      </c>
      <c r="AF437" t="s">
        <v>1</v>
      </c>
      <c r="AG437" t="s">
        <v>1</v>
      </c>
      <c r="AH437" t="s">
        <v>4412</v>
      </c>
      <c r="AI437" t="s">
        <v>2428</v>
      </c>
      <c r="AJ437" t="s">
        <v>1</v>
      </c>
      <c r="AK437">
        <v>9332086144</v>
      </c>
      <c r="AL437" t="s">
        <v>1</v>
      </c>
      <c r="AM437" t="s">
        <v>1</v>
      </c>
      <c r="AN437" t="s">
        <v>1</v>
      </c>
      <c r="AO437" t="s">
        <v>4412</v>
      </c>
      <c r="AP437" t="s">
        <v>1</v>
      </c>
      <c r="AQ437" t="s">
        <v>2</v>
      </c>
      <c r="AR437" t="s">
        <v>1</v>
      </c>
      <c r="AS437" t="s">
        <v>1</v>
      </c>
      <c r="AT437" t="s">
        <v>1</v>
      </c>
      <c r="AU437" t="s">
        <v>1</v>
      </c>
      <c r="AV437" t="s">
        <v>1</v>
      </c>
      <c r="AW437" t="s">
        <v>9</v>
      </c>
      <c r="AX437">
        <f>Tabla1[[#This Row],[precio del paquete]]-Tabla1[[#This Row],[Saldo_Deudor]]</f>
        <v>1750</v>
      </c>
      <c r="AY437">
        <v>13050</v>
      </c>
      <c r="AZ437">
        <v>0</v>
      </c>
      <c r="BA437">
        <v>0</v>
      </c>
      <c r="BB437">
        <v>0</v>
      </c>
      <c r="BC437" t="s">
        <v>4861</v>
      </c>
      <c r="BD437" t="s">
        <v>4947</v>
      </c>
      <c r="BE437" t="s">
        <v>3</v>
      </c>
      <c r="BF437" t="s">
        <v>3</v>
      </c>
      <c r="BG437" t="s">
        <v>3</v>
      </c>
      <c r="BH437" t="s">
        <v>3</v>
      </c>
      <c r="BI437" t="s">
        <v>3</v>
      </c>
      <c r="BJ437" t="s">
        <v>4983</v>
      </c>
      <c r="BK437" t="s">
        <v>3</v>
      </c>
      <c r="BL437" t="s">
        <v>96</v>
      </c>
      <c r="BM437" t="s">
        <v>1</v>
      </c>
      <c r="BN437">
        <v>14800</v>
      </c>
      <c r="BO437" t="s">
        <v>1</v>
      </c>
      <c r="BP437" t="s">
        <v>1</v>
      </c>
      <c r="BQ437" t="s">
        <v>1</v>
      </c>
      <c r="BR437" t="s">
        <v>1</v>
      </c>
      <c r="BS437" t="s">
        <v>1</v>
      </c>
      <c r="BT437" t="s">
        <v>1</v>
      </c>
      <c r="BU437" t="s">
        <v>1</v>
      </c>
      <c r="BV437" t="s">
        <v>1</v>
      </c>
      <c r="BW437" t="s">
        <v>0</v>
      </c>
      <c r="BX437" t="s">
        <v>1</v>
      </c>
      <c r="BY437" t="s">
        <v>1</v>
      </c>
      <c r="BZ437" t="s">
        <v>1</v>
      </c>
      <c r="CA437" t="s">
        <v>1</v>
      </c>
      <c r="CB437" t="s">
        <v>1</v>
      </c>
      <c r="CD437" t="e" cm="1">
        <f t="array" aca="1" ref="CD437" ca="1">eConcatenar(A437:CB437,"|")</f>
        <v>#NAME?</v>
      </c>
    </row>
    <row r="438" spans="1:82" x14ac:dyDescent="0.25">
      <c r="A438" t="s">
        <v>533</v>
      </c>
      <c r="B438" t="s">
        <v>1547</v>
      </c>
      <c r="C438">
        <v>3</v>
      </c>
      <c r="D438" t="s">
        <v>2153</v>
      </c>
      <c r="E438" t="s">
        <v>10</v>
      </c>
      <c r="F438" t="s">
        <v>2162</v>
      </c>
      <c r="G438" t="s">
        <v>2429</v>
      </c>
      <c r="H438" t="s">
        <v>2875</v>
      </c>
      <c r="I438">
        <v>14800</v>
      </c>
      <c r="J438">
        <v>0</v>
      </c>
      <c r="K438">
        <v>500</v>
      </c>
      <c r="L438">
        <v>50</v>
      </c>
      <c r="M438">
        <v>2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 t="s">
        <v>3157</v>
      </c>
      <c r="AC438" t="s">
        <v>3470</v>
      </c>
      <c r="AD438" t="s">
        <v>3676</v>
      </c>
      <c r="AE438" t="s">
        <v>4</v>
      </c>
      <c r="AF438" t="s">
        <v>1</v>
      </c>
      <c r="AG438" t="s">
        <v>1</v>
      </c>
      <c r="AH438" t="s">
        <v>4413</v>
      </c>
      <c r="AI438" t="s">
        <v>2429</v>
      </c>
      <c r="AJ438" t="s">
        <v>1</v>
      </c>
      <c r="AK438">
        <v>9934009736</v>
      </c>
      <c r="AL438" t="s">
        <v>1</v>
      </c>
      <c r="AM438" t="s">
        <v>1</v>
      </c>
      <c r="AN438" t="s">
        <v>1</v>
      </c>
      <c r="AO438" t="s">
        <v>4413</v>
      </c>
      <c r="AP438" t="s">
        <v>1</v>
      </c>
      <c r="AQ438" t="s">
        <v>2</v>
      </c>
      <c r="AR438" t="s">
        <v>1</v>
      </c>
      <c r="AS438" t="s">
        <v>1</v>
      </c>
      <c r="AT438" t="s">
        <v>1</v>
      </c>
      <c r="AU438" t="s">
        <v>1</v>
      </c>
      <c r="AV438" t="s">
        <v>1</v>
      </c>
      <c r="AW438" t="s">
        <v>9</v>
      </c>
      <c r="AX438">
        <f>Tabla1[[#This Row],[precio del paquete]]-Tabla1[[#This Row],[Saldo_Deudor]]</f>
        <v>3000</v>
      </c>
      <c r="AY438">
        <v>11800</v>
      </c>
      <c r="AZ438">
        <v>0</v>
      </c>
      <c r="BA438">
        <v>0</v>
      </c>
      <c r="BB438">
        <v>0</v>
      </c>
      <c r="BC438" t="s">
        <v>2714</v>
      </c>
      <c r="BD438" t="s">
        <v>2958</v>
      </c>
      <c r="BE438" t="s">
        <v>3</v>
      </c>
      <c r="BF438" t="s">
        <v>3</v>
      </c>
      <c r="BG438" t="s">
        <v>3</v>
      </c>
      <c r="BH438" t="s">
        <v>3</v>
      </c>
      <c r="BI438" t="s">
        <v>3</v>
      </c>
      <c r="BJ438" t="s">
        <v>5002</v>
      </c>
      <c r="BK438" t="s">
        <v>3</v>
      </c>
      <c r="BL438" t="s">
        <v>96</v>
      </c>
      <c r="BM438" t="s">
        <v>1</v>
      </c>
      <c r="BN438">
        <v>14800</v>
      </c>
      <c r="BO438" t="s">
        <v>1</v>
      </c>
      <c r="BP438" t="s">
        <v>1</v>
      </c>
      <c r="BQ438" t="s">
        <v>1</v>
      </c>
      <c r="BR438" t="s">
        <v>1</v>
      </c>
      <c r="BS438" t="s">
        <v>1</v>
      </c>
      <c r="BT438" t="s">
        <v>1</v>
      </c>
      <c r="BU438" t="s">
        <v>1</v>
      </c>
      <c r="BV438" t="s">
        <v>1</v>
      </c>
      <c r="BW438" t="s">
        <v>0</v>
      </c>
      <c r="BX438" t="s">
        <v>1</v>
      </c>
      <c r="BY438" t="s">
        <v>1</v>
      </c>
      <c r="BZ438" t="s">
        <v>1</v>
      </c>
      <c r="CA438" t="s">
        <v>1</v>
      </c>
      <c r="CB438" t="s">
        <v>1</v>
      </c>
      <c r="CD438" t="e" cm="1">
        <f t="array" aca="1" ref="CD438" ca="1">eConcatenar(A438:CB438,"|")</f>
        <v>#NAME?</v>
      </c>
    </row>
    <row r="439" spans="1:82" x14ac:dyDescent="0.25">
      <c r="A439" t="s">
        <v>534</v>
      </c>
      <c r="B439" t="s">
        <v>1548</v>
      </c>
      <c r="C439">
        <v>3</v>
      </c>
      <c r="D439" t="s">
        <v>2153</v>
      </c>
      <c r="E439" t="s">
        <v>10</v>
      </c>
      <c r="F439" t="s">
        <v>2162</v>
      </c>
      <c r="G439" t="s">
        <v>2429</v>
      </c>
      <c r="H439" t="s">
        <v>2875</v>
      </c>
      <c r="I439">
        <v>14800</v>
      </c>
      <c r="J439">
        <v>0</v>
      </c>
      <c r="K439">
        <v>100</v>
      </c>
      <c r="L439">
        <v>50</v>
      </c>
      <c r="M439">
        <v>2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 t="s">
        <v>3423</v>
      </c>
      <c r="AC439" t="s">
        <v>3119</v>
      </c>
      <c r="AD439" t="s">
        <v>3677</v>
      </c>
      <c r="AE439" t="s">
        <v>4</v>
      </c>
      <c r="AF439" t="s">
        <v>1</v>
      </c>
      <c r="AG439" t="s">
        <v>1</v>
      </c>
      <c r="AH439" t="s">
        <v>4413</v>
      </c>
      <c r="AI439" t="s">
        <v>2429</v>
      </c>
      <c r="AJ439" t="s">
        <v>1</v>
      </c>
      <c r="AK439">
        <v>9331513327</v>
      </c>
      <c r="AL439" t="s">
        <v>1</v>
      </c>
      <c r="AM439" t="s">
        <v>1</v>
      </c>
      <c r="AN439" t="s">
        <v>1</v>
      </c>
      <c r="AO439" t="s">
        <v>4413</v>
      </c>
      <c r="AP439" t="s">
        <v>1</v>
      </c>
      <c r="AQ439" t="s">
        <v>2</v>
      </c>
      <c r="AR439" t="s">
        <v>1</v>
      </c>
      <c r="AS439" t="s">
        <v>1</v>
      </c>
      <c r="AT439" t="s">
        <v>1</v>
      </c>
      <c r="AU439" t="s">
        <v>1</v>
      </c>
      <c r="AV439" t="s">
        <v>1</v>
      </c>
      <c r="AW439" t="s">
        <v>9</v>
      </c>
      <c r="AX439">
        <f>Tabla1[[#This Row],[precio del paquete]]-Tabla1[[#This Row],[Saldo_Deudor]]</f>
        <v>1300</v>
      </c>
      <c r="AY439">
        <v>13500</v>
      </c>
      <c r="AZ439">
        <v>0</v>
      </c>
      <c r="BA439">
        <v>0</v>
      </c>
      <c r="BB439">
        <v>0</v>
      </c>
      <c r="BC439" t="s">
        <v>2714</v>
      </c>
      <c r="BD439" t="s">
        <v>2958</v>
      </c>
      <c r="BE439" t="s">
        <v>3</v>
      </c>
      <c r="BF439" t="s">
        <v>3</v>
      </c>
      <c r="BG439" t="s">
        <v>3</v>
      </c>
      <c r="BH439" t="s">
        <v>3</v>
      </c>
      <c r="BI439" t="s">
        <v>3</v>
      </c>
      <c r="BJ439" t="s">
        <v>5002</v>
      </c>
      <c r="BK439" t="s">
        <v>3</v>
      </c>
      <c r="BL439" t="s">
        <v>96</v>
      </c>
      <c r="BM439" t="s">
        <v>1</v>
      </c>
      <c r="BN439">
        <v>14800</v>
      </c>
      <c r="BO439" t="s">
        <v>1</v>
      </c>
      <c r="BP439" t="s">
        <v>1</v>
      </c>
      <c r="BQ439" t="s">
        <v>1</v>
      </c>
      <c r="BR439" t="s">
        <v>1</v>
      </c>
      <c r="BS439" t="s">
        <v>1</v>
      </c>
      <c r="BT439" t="s">
        <v>1</v>
      </c>
      <c r="BU439" t="s">
        <v>1</v>
      </c>
      <c r="BV439" t="s">
        <v>1</v>
      </c>
      <c r="BW439" t="s">
        <v>0</v>
      </c>
      <c r="BX439" t="s">
        <v>1</v>
      </c>
      <c r="BY439" t="s">
        <v>1</v>
      </c>
      <c r="BZ439" t="s">
        <v>1</v>
      </c>
      <c r="CA439" t="s">
        <v>1</v>
      </c>
      <c r="CB439" t="s">
        <v>1</v>
      </c>
      <c r="CD439" t="e" cm="1">
        <f t="array" aca="1" ref="CD439" ca="1">eConcatenar(A439:CB439,"|")</f>
        <v>#NAME?</v>
      </c>
    </row>
    <row r="440" spans="1:82" x14ac:dyDescent="0.25">
      <c r="A440" t="s">
        <v>535</v>
      </c>
      <c r="B440" t="s">
        <v>1549</v>
      </c>
      <c r="C440">
        <v>3</v>
      </c>
      <c r="D440" t="s">
        <v>2154</v>
      </c>
      <c r="E440" t="s">
        <v>2158</v>
      </c>
      <c r="F440" t="s">
        <v>2161</v>
      </c>
      <c r="G440" t="s">
        <v>2430</v>
      </c>
      <c r="H440" t="s">
        <v>2904</v>
      </c>
      <c r="I440">
        <v>24500</v>
      </c>
      <c r="J440">
        <v>0</v>
      </c>
      <c r="K440">
        <v>100</v>
      </c>
      <c r="L440">
        <v>50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 t="s">
        <v>3193</v>
      </c>
      <c r="AC440" t="s">
        <v>3678</v>
      </c>
      <c r="AD440" t="s">
        <v>3679</v>
      </c>
      <c r="AE440" t="s">
        <v>4</v>
      </c>
      <c r="AF440" t="s">
        <v>1</v>
      </c>
      <c r="AG440" t="s">
        <v>1</v>
      </c>
      <c r="AH440" t="s">
        <v>4414</v>
      </c>
      <c r="AI440" t="s">
        <v>2430</v>
      </c>
      <c r="AJ440" t="s">
        <v>1</v>
      </c>
      <c r="AK440" t="s">
        <v>1</v>
      </c>
      <c r="AL440" t="s">
        <v>1</v>
      </c>
      <c r="AM440" t="s">
        <v>1</v>
      </c>
      <c r="AN440" t="s">
        <v>1</v>
      </c>
      <c r="AO440" t="s">
        <v>4414</v>
      </c>
      <c r="AP440" t="s">
        <v>1</v>
      </c>
      <c r="AQ440" t="s">
        <v>2</v>
      </c>
      <c r="AR440" t="s">
        <v>1</v>
      </c>
      <c r="AS440" t="s">
        <v>1</v>
      </c>
      <c r="AT440" t="s">
        <v>1</v>
      </c>
      <c r="AU440" t="s">
        <v>1</v>
      </c>
      <c r="AV440" t="s">
        <v>1</v>
      </c>
      <c r="AW440" t="s">
        <v>9</v>
      </c>
      <c r="AX440">
        <f>Tabla1[[#This Row],[precio del paquete]]-Tabla1[[#This Row],[Saldo_Deudor]]</f>
        <v>1900</v>
      </c>
      <c r="AY440">
        <v>22600</v>
      </c>
      <c r="AZ440">
        <v>0</v>
      </c>
      <c r="BA440">
        <v>0</v>
      </c>
      <c r="BB440">
        <v>0</v>
      </c>
      <c r="BC440" t="s">
        <v>3078</v>
      </c>
      <c r="BD440" t="s">
        <v>4827</v>
      </c>
      <c r="BE440" t="s">
        <v>3</v>
      </c>
      <c r="BF440" t="s">
        <v>3</v>
      </c>
      <c r="BG440" t="s">
        <v>3</v>
      </c>
      <c r="BH440" t="s">
        <v>3</v>
      </c>
      <c r="BI440" t="s">
        <v>3</v>
      </c>
      <c r="BJ440" t="s">
        <v>5002</v>
      </c>
      <c r="BK440" t="s">
        <v>3</v>
      </c>
      <c r="BL440" t="s">
        <v>96</v>
      </c>
      <c r="BM440" t="s">
        <v>1</v>
      </c>
      <c r="BN440">
        <v>24500</v>
      </c>
      <c r="BO440" t="s">
        <v>1</v>
      </c>
      <c r="BP440" t="s">
        <v>1</v>
      </c>
      <c r="BQ440" t="s">
        <v>1</v>
      </c>
      <c r="BR440" t="s">
        <v>1</v>
      </c>
      <c r="BS440" t="s">
        <v>1</v>
      </c>
      <c r="BT440" t="s">
        <v>1</v>
      </c>
      <c r="BU440" t="s">
        <v>1</v>
      </c>
      <c r="BV440" t="s">
        <v>1</v>
      </c>
      <c r="BW440" t="s">
        <v>0</v>
      </c>
      <c r="BX440" t="s">
        <v>1</v>
      </c>
      <c r="BY440" t="s">
        <v>1</v>
      </c>
      <c r="BZ440" t="s">
        <v>1</v>
      </c>
      <c r="CA440" t="s">
        <v>1</v>
      </c>
      <c r="CB440" t="s">
        <v>1</v>
      </c>
      <c r="CD440" t="e" cm="1">
        <f t="array" aca="1" ref="CD440" ca="1">eConcatenar(A440:CB440,"|")</f>
        <v>#NAME?</v>
      </c>
    </row>
    <row r="441" spans="1:82" x14ac:dyDescent="0.25">
      <c r="A441" t="s">
        <v>536</v>
      </c>
      <c r="B441" t="s">
        <v>1550</v>
      </c>
      <c r="C441">
        <v>3</v>
      </c>
      <c r="D441" t="s">
        <v>2153</v>
      </c>
      <c r="E441" t="s">
        <v>2158</v>
      </c>
      <c r="F441" t="s">
        <v>0</v>
      </c>
      <c r="G441" t="s">
        <v>2431</v>
      </c>
      <c r="H441" t="s">
        <v>2708</v>
      </c>
      <c r="I441">
        <v>14800</v>
      </c>
      <c r="J441">
        <v>0</v>
      </c>
      <c r="K441">
        <v>100</v>
      </c>
      <c r="L441">
        <v>50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 t="s">
        <v>3620</v>
      </c>
      <c r="AC441" t="s">
        <v>3412</v>
      </c>
      <c r="AD441" t="s">
        <v>3190</v>
      </c>
      <c r="AE441" t="s">
        <v>4</v>
      </c>
      <c r="AF441" t="s">
        <v>1</v>
      </c>
      <c r="AG441" t="s">
        <v>1</v>
      </c>
      <c r="AH441" t="s">
        <v>2431</v>
      </c>
      <c r="AI441" t="s">
        <v>2431</v>
      </c>
      <c r="AJ441" t="s">
        <v>1</v>
      </c>
      <c r="AK441">
        <v>9371537955</v>
      </c>
      <c r="AL441" t="s">
        <v>1</v>
      </c>
      <c r="AM441" t="s">
        <v>1</v>
      </c>
      <c r="AN441" t="s">
        <v>1</v>
      </c>
      <c r="AO441" t="s">
        <v>2431</v>
      </c>
      <c r="AP441" t="s">
        <v>1</v>
      </c>
      <c r="AQ441" t="s">
        <v>2</v>
      </c>
      <c r="AR441" t="s">
        <v>1</v>
      </c>
      <c r="AS441" t="s">
        <v>1</v>
      </c>
      <c r="AT441" t="s">
        <v>1</v>
      </c>
      <c r="AU441" t="s">
        <v>1</v>
      </c>
      <c r="AV441" t="s">
        <v>1</v>
      </c>
      <c r="AW441" t="s">
        <v>9</v>
      </c>
      <c r="AX441">
        <f>Tabla1[[#This Row],[precio del paquete]]-Tabla1[[#This Row],[Saldo_Deudor]]</f>
        <v>1300</v>
      </c>
      <c r="AY441">
        <v>13500</v>
      </c>
      <c r="AZ441">
        <v>0</v>
      </c>
      <c r="BA441">
        <v>0</v>
      </c>
      <c r="BB441">
        <v>0</v>
      </c>
      <c r="BC441" t="s">
        <v>2755</v>
      </c>
      <c r="BD441" t="s">
        <v>4905</v>
      </c>
      <c r="BE441" t="s">
        <v>3</v>
      </c>
      <c r="BF441" t="s">
        <v>3</v>
      </c>
      <c r="BG441" t="s">
        <v>3</v>
      </c>
      <c r="BH441" t="s">
        <v>3</v>
      </c>
      <c r="BI441" t="s">
        <v>3</v>
      </c>
      <c r="BJ441" t="s">
        <v>5010</v>
      </c>
      <c r="BK441" t="s">
        <v>3</v>
      </c>
      <c r="BL441" t="s">
        <v>96</v>
      </c>
      <c r="BM441" t="s">
        <v>1</v>
      </c>
      <c r="BN441">
        <v>14800</v>
      </c>
      <c r="BO441" t="s">
        <v>1</v>
      </c>
      <c r="BP441" t="s">
        <v>1</v>
      </c>
      <c r="BQ441" t="s">
        <v>1</v>
      </c>
      <c r="BR441" t="s">
        <v>1</v>
      </c>
      <c r="BS441" t="s">
        <v>1</v>
      </c>
      <c r="BT441" t="s">
        <v>1</v>
      </c>
      <c r="BU441" t="s">
        <v>1</v>
      </c>
      <c r="BV441" t="s">
        <v>1</v>
      </c>
      <c r="BW441" t="s">
        <v>0</v>
      </c>
      <c r="BX441" t="s">
        <v>1</v>
      </c>
      <c r="BY441" t="s">
        <v>1</v>
      </c>
      <c r="BZ441" t="s">
        <v>1</v>
      </c>
      <c r="CA441" t="s">
        <v>1</v>
      </c>
      <c r="CB441" t="s">
        <v>1</v>
      </c>
      <c r="CD441" t="e" cm="1">
        <f t="array" aca="1" ref="CD441" ca="1">eConcatenar(A441:CB441,"|")</f>
        <v>#NAME?</v>
      </c>
    </row>
    <row r="442" spans="1:82" x14ac:dyDescent="0.25">
      <c r="A442" t="s">
        <v>537</v>
      </c>
      <c r="B442" t="s">
        <v>1551</v>
      </c>
      <c r="C442">
        <v>3</v>
      </c>
      <c r="D442" t="s">
        <v>2154</v>
      </c>
      <c r="E442" t="s">
        <v>2158</v>
      </c>
      <c r="F442" t="s">
        <v>2159</v>
      </c>
      <c r="G442" t="s">
        <v>2432</v>
      </c>
      <c r="H442" t="s">
        <v>2905</v>
      </c>
      <c r="I442">
        <v>29000</v>
      </c>
      <c r="J442">
        <v>0</v>
      </c>
      <c r="K442">
        <v>500</v>
      </c>
      <c r="L442">
        <v>50</v>
      </c>
      <c r="M442">
        <v>2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 t="s">
        <v>3304</v>
      </c>
      <c r="AC442" t="s">
        <v>3304</v>
      </c>
      <c r="AD442" t="s">
        <v>3680</v>
      </c>
      <c r="AE442" t="s">
        <v>4</v>
      </c>
      <c r="AF442" t="s">
        <v>1</v>
      </c>
      <c r="AG442" t="s">
        <v>1</v>
      </c>
      <c r="AH442" t="s">
        <v>2206</v>
      </c>
      <c r="AI442" t="s">
        <v>2432</v>
      </c>
      <c r="AJ442" t="s">
        <v>1</v>
      </c>
      <c r="AK442">
        <v>9331255651</v>
      </c>
      <c r="AL442" t="s">
        <v>1</v>
      </c>
      <c r="AM442" t="s">
        <v>1</v>
      </c>
      <c r="AN442" t="s">
        <v>1</v>
      </c>
      <c r="AO442" t="s">
        <v>2206</v>
      </c>
      <c r="AP442" t="s">
        <v>1</v>
      </c>
      <c r="AQ442" t="s">
        <v>2</v>
      </c>
      <c r="AR442" t="s">
        <v>1</v>
      </c>
      <c r="AS442" t="s">
        <v>1</v>
      </c>
      <c r="AT442" t="s">
        <v>1</v>
      </c>
      <c r="AU442" t="s">
        <v>1</v>
      </c>
      <c r="AV442" t="s">
        <v>1</v>
      </c>
      <c r="AW442" t="s">
        <v>9</v>
      </c>
      <c r="AX442">
        <f>Tabla1[[#This Row],[precio del paquete]]-Tabla1[[#This Row],[Saldo_Deudor]]</f>
        <v>5000</v>
      </c>
      <c r="AY442">
        <v>24000</v>
      </c>
      <c r="AZ442">
        <v>0</v>
      </c>
      <c r="BA442">
        <v>0</v>
      </c>
      <c r="BB442">
        <v>0</v>
      </c>
      <c r="BC442" t="s">
        <v>4847</v>
      </c>
      <c r="BD442" t="s">
        <v>4826</v>
      </c>
      <c r="BE442" t="s">
        <v>3</v>
      </c>
      <c r="BF442" t="s">
        <v>3</v>
      </c>
      <c r="BG442" t="s">
        <v>3</v>
      </c>
      <c r="BH442" t="s">
        <v>3</v>
      </c>
      <c r="BI442" t="s">
        <v>3</v>
      </c>
      <c r="BJ442" t="s">
        <v>4982</v>
      </c>
      <c r="BK442" t="s">
        <v>3</v>
      </c>
      <c r="BL442" t="s">
        <v>96</v>
      </c>
      <c r="BM442" t="s">
        <v>1</v>
      </c>
      <c r="BN442">
        <v>29000</v>
      </c>
      <c r="BO442" t="s">
        <v>1</v>
      </c>
      <c r="BP442" t="s">
        <v>1</v>
      </c>
      <c r="BQ442" t="s">
        <v>1</v>
      </c>
      <c r="BR442" t="s">
        <v>1</v>
      </c>
      <c r="BS442" t="s">
        <v>1</v>
      </c>
      <c r="BT442" t="s">
        <v>1</v>
      </c>
      <c r="BU442" t="s">
        <v>1</v>
      </c>
      <c r="BV442" t="s">
        <v>1</v>
      </c>
      <c r="BW442" t="s">
        <v>0</v>
      </c>
      <c r="BX442" t="s">
        <v>1</v>
      </c>
      <c r="BY442" t="s">
        <v>1</v>
      </c>
      <c r="BZ442" t="s">
        <v>1</v>
      </c>
      <c r="CA442" t="s">
        <v>1</v>
      </c>
      <c r="CB442" t="s">
        <v>1</v>
      </c>
      <c r="CD442" t="e" cm="1">
        <f t="array" aca="1" ref="CD442" ca="1">eConcatenar(A442:CB442,"|")</f>
        <v>#NAME?</v>
      </c>
    </row>
    <row r="443" spans="1:82" x14ac:dyDescent="0.25">
      <c r="A443" t="s">
        <v>538</v>
      </c>
      <c r="B443" t="s">
        <v>1552</v>
      </c>
      <c r="C443">
        <v>3</v>
      </c>
      <c r="D443" t="s">
        <v>2153</v>
      </c>
      <c r="E443" t="s">
        <v>2158</v>
      </c>
      <c r="F443" t="s">
        <v>2159</v>
      </c>
      <c r="G443" t="s">
        <v>2433</v>
      </c>
      <c r="H443" t="s">
        <v>2906</v>
      </c>
      <c r="I443">
        <v>14800</v>
      </c>
      <c r="J443">
        <v>0</v>
      </c>
      <c r="K443">
        <v>100</v>
      </c>
      <c r="L443">
        <v>50</v>
      </c>
      <c r="M443">
        <v>1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 t="s">
        <v>3148</v>
      </c>
      <c r="AC443" t="s">
        <v>3214</v>
      </c>
      <c r="AD443" t="s">
        <v>3681</v>
      </c>
      <c r="AE443" t="s">
        <v>4</v>
      </c>
      <c r="AF443" t="s">
        <v>1</v>
      </c>
      <c r="AG443" t="s">
        <v>1</v>
      </c>
      <c r="AH443" t="s">
        <v>4415</v>
      </c>
      <c r="AI443" t="s">
        <v>2433</v>
      </c>
      <c r="AJ443" t="s">
        <v>1</v>
      </c>
      <c r="AK443">
        <v>9331072099</v>
      </c>
      <c r="AL443" t="s">
        <v>1</v>
      </c>
      <c r="AM443" t="s">
        <v>1</v>
      </c>
      <c r="AN443" t="s">
        <v>1</v>
      </c>
      <c r="AO443" t="s">
        <v>4415</v>
      </c>
      <c r="AP443" t="s">
        <v>1</v>
      </c>
      <c r="AQ443" t="s">
        <v>2</v>
      </c>
      <c r="AR443" t="s">
        <v>1</v>
      </c>
      <c r="AS443" t="s">
        <v>1</v>
      </c>
      <c r="AT443" t="s">
        <v>1</v>
      </c>
      <c r="AU443" t="s">
        <v>1</v>
      </c>
      <c r="AV443" t="s">
        <v>1</v>
      </c>
      <c r="AW443" t="s">
        <v>9</v>
      </c>
      <c r="AX443">
        <f>Tabla1[[#This Row],[precio del paquete]]-Tabla1[[#This Row],[Saldo_Deudor]]</f>
        <v>300</v>
      </c>
      <c r="AY443">
        <v>14500</v>
      </c>
      <c r="AZ443">
        <v>0</v>
      </c>
      <c r="BA443">
        <v>0</v>
      </c>
      <c r="BB443">
        <v>0</v>
      </c>
      <c r="BC443" t="s">
        <v>2905</v>
      </c>
      <c r="BD443" t="s">
        <v>3024</v>
      </c>
      <c r="BE443" t="s">
        <v>3</v>
      </c>
      <c r="BF443" t="s">
        <v>3</v>
      </c>
      <c r="BG443" t="s">
        <v>3</v>
      </c>
      <c r="BH443" t="s">
        <v>3</v>
      </c>
      <c r="BI443" t="s">
        <v>3</v>
      </c>
      <c r="BJ443" t="s">
        <v>5000</v>
      </c>
      <c r="BK443" t="s">
        <v>3</v>
      </c>
      <c r="BL443" t="s">
        <v>96</v>
      </c>
      <c r="BM443" t="s">
        <v>1</v>
      </c>
      <c r="BN443">
        <v>14800</v>
      </c>
      <c r="BO443" t="s">
        <v>1</v>
      </c>
      <c r="BP443" t="s">
        <v>1</v>
      </c>
      <c r="BQ443" t="s">
        <v>1</v>
      </c>
      <c r="BR443" t="s">
        <v>1</v>
      </c>
      <c r="BS443" t="s">
        <v>1</v>
      </c>
      <c r="BT443" t="s">
        <v>1</v>
      </c>
      <c r="BU443" t="s">
        <v>1</v>
      </c>
      <c r="BV443" t="s">
        <v>1</v>
      </c>
      <c r="BW443" t="s">
        <v>0</v>
      </c>
      <c r="BX443" t="s">
        <v>1</v>
      </c>
      <c r="BY443" t="s">
        <v>1</v>
      </c>
      <c r="BZ443" t="s">
        <v>1</v>
      </c>
      <c r="CA443" t="s">
        <v>1</v>
      </c>
      <c r="CB443" t="s">
        <v>1</v>
      </c>
      <c r="CD443" t="e" cm="1">
        <f t="array" aca="1" ref="CD443" ca="1">eConcatenar(A443:CB443,"|")</f>
        <v>#NAME?</v>
      </c>
    </row>
    <row r="444" spans="1:82" x14ac:dyDescent="0.25">
      <c r="A444" t="s">
        <v>539</v>
      </c>
      <c r="B444" t="s">
        <v>1553</v>
      </c>
      <c r="C444">
        <v>3</v>
      </c>
      <c r="D444" t="s">
        <v>3107</v>
      </c>
      <c r="E444" t="s">
        <v>10</v>
      </c>
      <c r="F444" t="s">
        <v>94</v>
      </c>
      <c r="G444" t="s">
        <v>93</v>
      </c>
      <c r="H444" t="s">
        <v>2907</v>
      </c>
      <c r="I444">
        <v>35000</v>
      </c>
      <c r="J444">
        <v>0</v>
      </c>
      <c r="K444">
        <v>1000</v>
      </c>
      <c r="L444">
        <v>50</v>
      </c>
      <c r="M444">
        <v>2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 t="s">
        <v>3132</v>
      </c>
      <c r="AC444" t="s">
        <v>3249</v>
      </c>
      <c r="AD444" t="s">
        <v>3682</v>
      </c>
      <c r="AE444" t="s">
        <v>4</v>
      </c>
      <c r="AF444" t="s">
        <v>1</v>
      </c>
      <c r="AG444" t="s">
        <v>1</v>
      </c>
      <c r="AH444" t="s">
        <v>4416</v>
      </c>
      <c r="AI444" t="s">
        <v>93</v>
      </c>
      <c r="AJ444" t="s">
        <v>1</v>
      </c>
      <c r="AK444">
        <v>9333295217</v>
      </c>
      <c r="AL444" t="s">
        <v>1</v>
      </c>
      <c r="AM444" t="s">
        <v>1</v>
      </c>
      <c r="AN444" t="s">
        <v>1</v>
      </c>
      <c r="AO444" t="s">
        <v>4416</v>
      </c>
      <c r="AP444" t="s">
        <v>1</v>
      </c>
      <c r="AQ444" t="s">
        <v>2</v>
      </c>
      <c r="AR444" t="s">
        <v>1</v>
      </c>
      <c r="AS444" t="s">
        <v>1</v>
      </c>
      <c r="AT444" t="s">
        <v>1</v>
      </c>
      <c r="AU444" t="s">
        <v>1</v>
      </c>
      <c r="AV444" t="s">
        <v>1</v>
      </c>
      <c r="AW444" t="s">
        <v>9</v>
      </c>
      <c r="AX444">
        <f>Tabla1[[#This Row],[precio del paquete]]-Tabla1[[#This Row],[Saldo_Deudor]]</f>
        <v>3000</v>
      </c>
      <c r="AY444">
        <v>32000</v>
      </c>
      <c r="AZ444">
        <v>0</v>
      </c>
      <c r="BA444">
        <v>0</v>
      </c>
      <c r="BB444">
        <v>0</v>
      </c>
      <c r="BC444" t="s">
        <v>3074</v>
      </c>
      <c r="BD444" t="s">
        <v>2867</v>
      </c>
      <c r="BE444" t="s">
        <v>3</v>
      </c>
      <c r="BF444" t="s">
        <v>3</v>
      </c>
      <c r="BG444" t="s">
        <v>3</v>
      </c>
      <c r="BH444" t="s">
        <v>3</v>
      </c>
      <c r="BI444" t="s">
        <v>3</v>
      </c>
      <c r="BJ444" t="s">
        <v>5009</v>
      </c>
      <c r="BK444" t="s">
        <v>3</v>
      </c>
      <c r="BL444" t="s">
        <v>96</v>
      </c>
      <c r="BM444" t="s">
        <v>1</v>
      </c>
      <c r="BN444">
        <v>35000</v>
      </c>
      <c r="BO444" t="s">
        <v>1</v>
      </c>
      <c r="BP444" t="s">
        <v>1</v>
      </c>
      <c r="BQ444" t="s">
        <v>1</v>
      </c>
      <c r="BR444" t="s">
        <v>1</v>
      </c>
      <c r="BS444" t="s">
        <v>1</v>
      </c>
      <c r="BT444" t="s">
        <v>1</v>
      </c>
      <c r="BU444" t="s">
        <v>1</v>
      </c>
      <c r="BV444" t="s">
        <v>1</v>
      </c>
      <c r="BW444" t="s">
        <v>0</v>
      </c>
      <c r="BX444" t="s">
        <v>1</v>
      </c>
      <c r="BY444" t="s">
        <v>1</v>
      </c>
      <c r="BZ444" t="s">
        <v>1</v>
      </c>
      <c r="CA444" t="s">
        <v>1</v>
      </c>
      <c r="CB444" t="s">
        <v>1</v>
      </c>
      <c r="CD444" t="e" cm="1">
        <f t="array" aca="1" ref="CD444" ca="1">eConcatenar(A444:CB444,"|")</f>
        <v>#NAME?</v>
      </c>
    </row>
    <row r="445" spans="1:82" x14ac:dyDescent="0.25">
      <c r="A445" t="s">
        <v>540</v>
      </c>
      <c r="B445" t="s">
        <v>1554</v>
      </c>
      <c r="C445">
        <v>3</v>
      </c>
      <c r="D445" t="s">
        <v>2156</v>
      </c>
      <c r="E445" t="s">
        <v>10</v>
      </c>
      <c r="F445" t="s">
        <v>2162</v>
      </c>
      <c r="G445" t="s">
        <v>93</v>
      </c>
      <c r="H445" t="s">
        <v>2908</v>
      </c>
      <c r="I445">
        <v>19800</v>
      </c>
      <c r="J445">
        <v>0</v>
      </c>
      <c r="K445">
        <v>400</v>
      </c>
      <c r="L445">
        <v>50</v>
      </c>
      <c r="M445">
        <v>2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 t="s">
        <v>3157</v>
      </c>
      <c r="AC445" t="s">
        <v>3496</v>
      </c>
      <c r="AD445" t="s">
        <v>3683</v>
      </c>
      <c r="AE445" t="s">
        <v>4</v>
      </c>
      <c r="AF445" t="s">
        <v>1</v>
      </c>
      <c r="AG445" t="s">
        <v>1</v>
      </c>
      <c r="AH445" t="s">
        <v>2206</v>
      </c>
      <c r="AI445" t="s">
        <v>93</v>
      </c>
      <c r="AJ445" t="s">
        <v>1</v>
      </c>
      <c r="AK445">
        <v>9331226618</v>
      </c>
      <c r="AL445" t="s">
        <v>1</v>
      </c>
      <c r="AM445" t="s">
        <v>1</v>
      </c>
      <c r="AN445" t="s">
        <v>1</v>
      </c>
      <c r="AO445" t="s">
        <v>2206</v>
      </c>
      <c r="AP445" t="s">
        <v>1</v>
      </c>
      <c r="AQ445" t="s">
        <v>2</v>
      </c>
      <c r="AR445" t="s">
        <v>1</v>
      </c>
      <c r="AS445" t="s">
        <v>1</v>
      </c>
      <c r="AT445" t="s">
        <v>1</v>
      </c>
      <c r="AU445" t="s">
        <v>1</v>
      </c>
      <c r="AV445" t="s">
        <v>1</v>
      </c>
      <c r="AW445" t="s">
        <v>9</v>
      </c>
      <c r="AX445">
        <f>Tabla1[[#This Row],[precio del paquete]]-Tabla1[[#This Row],[Saldo_Deudor]]</f>
        <v>3600</v>
      </c>
      <c r="AY445">
        <v>16200</v>
      </c>
      <c r="AZ445">
        <v>0</v>
      </c>
      <c r="BA445">
        <v>0</v>
      </c>
      <c r="BB445">
        <v>0</v>
      </c>
      <c r="BC445" t="s">
        <v>4862</v>
      </c>
      <c r="BD445" t="s">
        <v>4948</v>
      </c>
      <c r="BE445" t="s">
        <v>3</v>
      </c>
      <c r="BF445" t="s">
        <v>3</v>
      </c>
      <c r="BG445" t="s">
        <v>3</v>
      </c>
      <c r="BH445" t="s">
        <v>3</v>
      </c>
      <c r="BI445" t="s">
        <v>3</v>
      </c>
      <c r="BJ445" t="s">
        <v>5006</v>
      </c>
      <c r="BK445" t="s">
        <v>3</v>
      </c>
      <c r="BL445" t="s">
        <v>96</v>
      </c>
      <c r="BM445" t="s">
        <v>1</v>
      </c>
      <c r="BN445">
        <v>19800</v>
      </c>
      <c r="BO445" t="s">
        <v>1</v>
      </c>
      <c r="BP445" t="s">
        <v>1</v>
      </c>
      <c r="BQ445" t="s">
        <v>1</v>
      </c>
      <c r="BR445" t="s">
        <v>1</v>
      </c>
      <c r="BS445" t="s">
        <v>1</v>
      </c>
      <c r="BT445" t="s">
        <v>1</v>
      </c>
      <c r="BU445" t="s">
        <v>1</v>
      </c>
      <c r="BV445" t="s">
        <v>1</v>
      </c>
      <c r="BW445" t="s">
        <v>0</v>
      </c>
      <c r="BX445" t="s">
        <v>1</v>
      </c>
      <c r="BY445" t="s">
        <v>1</v>
      </c>
      <c r="BZ445" t="s">
        <v>1</v>
      </c>
      <c r="CA445" t="s">
        <v>1</v>
      </c>
      <c r="CB445" t="s">
        <v>1</v>
      </c>
      <c r="CD445" t="e" cm="1">
        <f t="array" aca="1" ref="CD445" ca="1">eConcatenar(A445:CB445,"|")</f>
        <v>#NAME?</v>
      </c>
    </row>
    <row r="446" spans="1:82" x14ac:dyDescent="0.25">
      <c r="A446" t="s">
        <v>541</v>
      </c>
      <c r="B446" t="s">
        <v>1555</v>
      </c>
      <c r="C446">
        <v>3</v>
      </c>
      <c r="D446" t="s">
        <v>2153</v>
      </c>
      <c r="E446" t="s">
        <v>10</v>
      </c>
      <c r="F446" t="s">
        <v>2162</v>
      </c>
      <c r="G446" t="s">
        <v>93</v>
      </c>
      <c r="H446" t="s">
        <v>2909</v>
      </c>
      <c r="I446">
        <v>14800</v>
      </c>
      <c r="J446">
        <v>0</v>
      </c>
      <c r="K446">
        <v>200</v>
      </c>
      <c r="L446">
        <v>50</v>
      </c>
      <c r="M446">
        <v>2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 t="s">
        <v>3496</v>
      </c>
      <c r="AC446" t="s">
        <v>3225</v>
      </c>
      <c r="AD446" t="s">
        <v>3371</v>
      </c>
      <c r="AE446" t="s">
        <v>4</v>
      </c>
      <c r="AF446" t="s">
        <v>1</v>
      </c>
      <c r="AG446" t="s">
        <v>1</v>
      </c>
      <c r="AH446" t="s">
        <v>4417</v>
      </c>
      <c r="AI446" t="s">
        <v>93</v>
      </c>
      <c r="AJ446" t="s">
        <v>1</v>
      </c>
      <c r="AK446">
        <v>9331067398</v>
      </c>
      <c r="AL446" t="s">
        <v>1</v>
      </c>
      <c r="AM446" t="s">
        <v>1</v>
      </c>
      <c r="AN446" t="s">
        <v>1</v>
      </c>
      <c r="AO446" t="s">
        <v>4417</v>
      </c>
      <c r="AP446" t="s">
        <v>1</v>
      </c>
      <c r="AQ446" t="s">
        <v>2</v>
      </c>
      <c r="AR446" t="s">
        <v>1</v>
      </c>
      <c r="AS446" t="s">
        <v>1</v>
      </c>
      <c r="AT446" t="s">
        <v>1</v>
      </c>
      <c r="AU446" t="s">
        <v>1</v>
      </c>
      <c r="AV446" t="s">
        <v>1</v>
      </c>
      <c r="AW446" t="s">
        <v>9</v>
      </c>
      <c r="AX446">
        <f>Tabla1[[#This Row],[precio del paquete]]-Tabla1[[#This Row],[Saldo_Deudor]]</f>
        <v>2200</v>
      </c>
      <c r="AY446">
        <v>12600</v>
      </c>
      <c r="AZ446">
        <v>0</v>
      </c>
      <c r="BA446">
        <v>0</v>
      </c>
      <c r="BB446">
        <v>0</v>
      </c>
      <c r="BC446" t="s">
        <v>2703</v>
      </c>
      <c r="BD446" t="s">
        <v>2789</v>
      </c>
      <c r="BE446" t="s">
        <v>3</v>
      </c>
      <c r="BF446" t="s">
        <v>3</v>
      </c>
      <c r="BG446" t="s">
        <v>3</v>
      </c>
      <c r="BH446" t="s">
        <v>3</v>
      </c>
      <c r="BI446" t="s">
        <v>3</v>
      </c>
      <c r="BJ446" t="s">
        <v>5006</v>
      </c>
      <c r="BK446" t="s">
        <v>3</v>
      </c>
      <c r="BL446" t="s">
        <v>96</v>
      </c>
      <c r="BM446" t="s">
        <v>1</v>
      </c>
      <c r="BN446">
        <v>14800</v>
      </c>
      <c r="BO446" t="s">
        <v>1</v>
      </c>
      <c r="BP446" t="s">
        <v>1</v>
      </c>
      <c r="BQ446" t="s">
        <v>1</v>
      </c>
      <c r="BR446" t="s">
        <v>1</v>
      </c>
      <c r="BS446" t="s">
        <v>1</v>
      </c>
      <c r="BT446" t="s">
        <v>1</v>
      </c>
      <c r="BU446" t="s">
        <v>1</v>
      </c>
      <c r="BV446" t="s">
        <v>1</v>
      </c>
      <c r="BW446" t="s">
        <v>0</v>
      </c>
      <c r="BX446" t="s">
        <v>1</v>
      </c>
      <c r="BY446" t="s">
        <v>1</v>
      </c>
      <c r="BZ446" t="s">
        <v>1</v>
      </c>
      <c r="CA446" t="s">
        <v>1</v>
      </c>
      <c r="CB446" t="s">
        <v>1</v>
      </c>
      <c r="CD446" t="e" cm="1">
        <f t="array" aca="1" ref="CD446" ca="1">eConcatenar(A446:CB446,"|")</f>
        <v>#NAME?</v>
      </c>
    </row>
    <row r="447" spans="1:82" x14ac:dyDescent="0.25">
      <c r="A447" t="s">
        <v>542</v>
      </c>
      <c r="B447" t="s">
        <v>1556</v>
      </c>
      <c r="C447">
        <v>3</v>
      </c>
      <c r="D447" t="s">
        <v>2153</v>
      </c>
      <c r="E447" t="s">
        <v>10</v>
      </c>
      <c r="F447" t="s">
        <v>2162</v>
      </c>
      <c r="G447" t="s">
        <v>2434</v>
      </c>
      <c r="H447" t="s">
        <v>2910</v>
      </c>
      <c r="I447">
        <v>14800</v>
      </c>
      <c r="J447">
        <v>0</v>
      </c>
      <c r="K447">
        <v>400</v>
      </c>
      <c r="L447">
        <v>50</v>
      </c>
      <c r="M447">
        <v>2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 t="s">
        <v>3114</v>
      </c>
      <c r="AC447" t="s">
        <v>3114</v>
      </c>
      <c r="AD447" t="s">
        <v>3684</v>
      </c>
      <c r="AE447" t="s">
        <v>4</v>
      </c>
      <c r="AF447" t="s">
        <v>1</v>
      </c>
      <c r="AG447" t="s">
        <v>1</v>
      </c>
      <c r="AH447" t="s">
        <v>4418</v>
      </c>
      <c r="AI447" t="s">
        <v>2434</v>
      </c>
      <c r="AJ447" t="s">
        <v>1</v>
      </c>
      <c r="AK447">
        <v>9331314251</v>
      </c>
      <c r="AL447" t="s">
        <v>1</v>
      </c>
      <c r="AM447" t="s">
        <v>1</v>
      </c>
      <c r="AN447" t="s">
        <v>1</v>
      </c>
      <c r="AO447" t="s">
        <v>4418</v>
      </c>
      <c r="AP447" t="s">
        <v>1</v>
      </c>
      <c r="AQ447" t="s">
        <v>2</v>
      </c>
      <c r="AR447" t="s">
        <v>1</v>
      </c>
      <c r="AS447" t="s">
        <v>1</v>
      </c>
      <c r="AT447" t="s">
        <v>1</v>
      </c>
      <c r="AU447" t="s">
        <v>1</v>
      </c>
      <c r="AV447" t="s">
        <v>1</v>
      </c>
      <c r="AW447" t="s">
        <v>9</v>
      </c>
      <c r="AX447">
        <f>Tabla1[[#This Row],[precio del paquete]]-Tabla1[[#This Row],[Saldo_Deudor]]</f>
        <v>2480</v>
      </c>
      <c r="AY447">
        <v>12320</v>
      </c>
      <c r="AZ447">
        <v>0</v>
      </c>
      <c r="BA447">
        <v>0</v>
      </c>
      <c r="BB447">
        <v>0</v>
      </c>
      <c r="BC447" t="s">
        <v>2904</v>
      </c>
      <c r="BD447" t="s">
        <v>4927</v>
      </c>
      <c r="BE447" t="s">
        <v>3</v>
      </c>
      <c r="BF447" t="s">
        <v>3</v>
      </c>
      <c r="BG447" t="s">
        <v>3</v>
      </c>
      <c r="BH447" t="s">
        <v>3</v>
      </c>
      <c r="BI447" t="s">
        <v>3</v>
      </c>
      <c r="BJ447" t="s">
        <v>5006</v>
      </c>
      <c r="BK447" t="s">
        <v>3</v>
      </c>
      <c r="BL447" t="s">
        <v>96</v>
      </c>
      <c r="BM447" t="s">
        <v>1</v>
      </c>
      <c r="BN447">
        <v>14800</v>
      </c>
      <c r="BO447" t="s">
        <v>1</v>
      </c>
      <c r="BP447" t="s">
        <v>1</v>
      </c>
      <c r="BQ447" t="s">
        <v>1</v>
      </c>
      <c r="BR447" t="s">
        <v>1</v>
      </c>
      <c r="BS447" t="s">
        <v>1</v>
      </c>
      <c r="BT447" t="s">
        <v>1</v>
      </c>
      <c r="BU447" t="s">
        <v>1</v>
      </c>
      <c r="BV447" t="s">
        <v>1</v>
      </c>
      <c r="BW447" t="s">
        <v>0</v>
      </c>
      <c r="BX447" t="s">
        <v>1</v>
      </c>
      <c r="BY447" t="s">
        <v>1</v>
      </c>
      <c r="BZ447" t="s">
        <v>1</v>
      </c>
      <c r="CA447" t="s">
        <v>1</v>
      </c>
      <c r="CB447" t="s">
        <v>1</v>
      </c>
      <c r="CD447" t="e" cm="1">
        <f t="array" aca="1" ref="CD447" ca="1">eConcatenar(A447:CB447,"|")</f>
        <v>#NAME?</v>
      </c>
    </row>
    <row r="448" spans="1:82" x14ac:dyDescent="0.25">
      <c r="A448" t="s">
        <v>543</v>
      </c>
      <c r="B448" t="s">
        <v>1557</v>
      </c>
      <c r="C448">
        <v>3</v>
      </c>
      <c r="D448" t="s">
        <v>2154</v>
      </c>
      <c r="E448" t="s">
        <v>2158</v>
      </c>
      <c r="F448" t="s">
        <v>2159</v>
      </c>
      <c r="G448" t="s">
        <v>2435</v>
      </c>
      <c r="H448" t="s">
        <v>2833</v>
      </c>
      <c r="I448">
        <v>24500</v>
      </c>
      <c r="J448">
        <v>0</v>
      </c>
      <c r="K448">
        <v>200</v>
      </c>
      <c r="L448">
        <v>50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 t="s">
        <v>3148</v>
      </c>
      <c r="AC448" t="s">
        <v>3114</v>
      </c>
      <c r="AD448" t="s">
        <v>3685</v>
      </c>
      <c r="AE448" t="s">
        <v>4</v>
      </c>
      <c r="AF448" t="s">
        <v>1</v>
      </c>
      <c r="AG448" t="s">
        <v>1</v>
      </c>
      <c r="AH448" t="s">
        <v>2586</v>
      </c>
      <c r="AI448" t="s">
        <v>2435</v>
      </c>
      <c r="AJ448" t="s">
        <v>1</v>
      </c>
      <c r="AK448">
        <v>9331510696</v>
      </c>
      <c r="AL448" t="s">
        <v>1</v>
      </c>
      <c r="AM448" t="s">
        <v>1</v>
      </c>
      <c r="AN448" t="s">
        <v>1</v>
      </c>
      <c r="AO448" t="s">
        <v>2586</v>
      </c>
      <c r="AP448" t="s">
        <v>1</v>
      </c>
      <c r="AQ448" t="s">
        <v>2</v>
      </c>
      <c r="AR448" t="s">
        <v>1</v>
      </c>
      <c r="AS448" t="s">
        <v>1</v>
      </c>
      <c r="AT448" t="s">
        <v>1</v>
      </c>
      <c r="AU448" t="s">
        <v>1</v>
      </c>
      <c r="AV448" t="s">
        <v>1</v>
      </c>
      <c r="AW448" t="s">
        <v>9</v>
      </c>
      <c r="AX448">
        <f>Tabla1[[#This Row],[precio del paquete]]-Tabla1[[#This Row],[Saldo_Deudor]]</f>
        <v>1500</v>
      </c>
      <c r="AY448">
        <v>23000</v>
      </c>
      <c r="AZ448">
        <v>0</v>
      </c>
      <c r="BA448">
        <v>0</v>
      </c>
      <c r="BB448">
        <v>0</v>
      </c>
      <c r="BC448" t="s">
        <v>2923</v>
      </c>
      <c r="BD448" t="s">
        <v>4910</v>
      </c>
      <c r="BE448" t="s">
        <v>3</v>
      </c>
      <c r="BF448" t="s">
        <v>3</v>
      </c>
      <c r="BG448" t="s">
        <v>3</v>
      </c>
      <c r="BH448" t="s">
        <v>3</v>
      </c>
      <c r="BI448" t="s">
        <v>3</v>
      </c>
      <c r="BJ448" t="s">
        <v>5006</v>
      </c>
      <c r="BK448" t="s">
        <v>3</v>
      </c>
      <c r="BL448" t="s">
        <v>96</v>
      </c>
      <c r="BM448" t="s">
        <v>1</v>
      </c>
      <c r="BN448">
        <v>24500</v>
      </c>
      <c r="BO448" t="s">
        <v>1</v>
      </c>
      <c r="BP448" t="s">
        <v>1</v>
      </c>
      <c r="BQ448" t="s">
        <v>1</v>
      </c>
      <c r="BR448" t="s">
        <v>1</v>
      </c>
      <c r="BS448" t="s">
        <v>1</v>
      </c>
      <c r="BT448" t="s">
        <v>1</v>
      </c>
      <c r="BU448" t="s">
        <v>1</v>
      </c>
      <c r="BV448" t="s">
        <v>1</v>
      </c>
      <c r="BW448" t="s">
        <v>0</v>
      </c>
      <c r="BX448" t="s">
        <v>1</v>
      </c>
      <c r="BY448" t="s">
        <v>1</v>
      </c>
      <c r="BZ448" t="s">
        <v>1</v>
      </c>
      <c r="CA448" t="s">
        <v>1</v>
      </c>
      <c r="CB448" t="s">
        <v>1</v>
      </c>
      <c r="CD448" t="e" cm="1">
        <f t="array" aca="1" ref="CD448" ca="1">eConcatenar(A448:CB448,"|")</f>
        <v>#NAME?</v>
      </c>
    </row>
    <row r="449" spans="1:82" x14ac:dyDescent="0.25">
      <c r="A449" t="s">
        <v>544</v>
      </c>
      <c r="B449" t="s">
        <v>1558</v>
      </c>
      <c r="C449">
        <v>3</v>
      </c>
      <c r="D449" t="s">
        <v>2153</v>
      </c>
      <c r="E449" t="s">
        <v>10</v>
      </c>
      <c r="F449" t="s">
        <v>2162</v>
      </c>
      <c r="G449" t="s">
        <v>2436</v>
      </c>
      <c r="H449" t="s">
        <v>2911</v>
      </c>
      <c r="I449">
        <v>14800</v>
      </c>
      <c r="J449">
        <v>0</v>
      </c>
      <c r="K449">
        <v>100</v>
      </c>
      <c r="L449">
        <v>50</v>
      </c>
      <c r="M449">
        <v>2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 t="s">
        <v>3686</v>
      </c>
      <c r="AC449" t="s">
        <v>3132</v>
      </c>
      <c r="AD449" t="s">
        <v>3687</v>
      </c>
      <c r="AE449" t="s">
        <v>4</v>
      </c>
      <c r="AF449" t="s">
        <v>1</v>
      </c>
      <c r="AG449" t="s">
        <v>1</v>
      </c>
      <c r="AH449" t="s">
        <v>4419</v>
      </c>
      <c r="AI449" t="s">
        <v>2436</v>
      </c>
      <c r="AJ449" t="s">
        <v>1</v>
      </c>
      <c r="AK449">
        <v>9331080545</v>
      </c>
      <c r="AL449" t="s">
        <v>1</v>
      </c>
      <c r="AM449" t="s">
        <v>1</v>
      </c>
      <c r="AN449" t="s">
        <v>1</v>
      </c>
      <c r="AO449" t="s">
        <v>4419</v>
      </c>
      <c r="AP449" t="s">
        <v>1</v>
      </c>
      <c r="AQ449" t="s">
        <v>2</v>
      </c>
      <c r="AR449" t="s">
        <v>1</v>
      </c>
      <c r="AS449" t="s">
        <v>1</v>
      </c>
      <c r="AT449" t="s">
        <v>1</v>
      </c>
      <c r="AU449" t="s">
        <v>1</v>
      </c>
      <c r="AV449" t="s">
        <v>1</v>
      </c>
      <c r="AW449" t="s">
        <v>9</v>
      </c>
      <c r="AX449">
        <f>Tabla1[[#This Row],[precio del paquete]]-Tabla1[[#This Row],[Saldo_Deudor]]</f>
        <v>1700</v>
      </c>
      <c r="AY449">
        <v>13100</v>
      </c>
      <c r="AZ449">
        <v>0</v>
      </c>
      <c r="BA449">
        <v>0</v>
      </c>
      <c r="BB449">
        <v>0</v>
      </c>
      <c r="BC449" t="s">
        <v>2803</v>
      </c>
      <c r="BD449" t="s">
        <v>4922</v>
      </c>
      <c r="BE449" t="s">
        <v>3</v>
      </c>
      <c r="BF449" t="s">
        <v>3</v>
      </c>
      <c r="BG449" t="s">
        <v>3</v>
      </c>
      <c r="BH449" t="s">
        <v>3</v>
      </c>
      <c r="BI449" t="s">
        <v>3</v>
      </c>
      <c r="BJ449" t="s">
        <v>5012</v>
      </c>
      <c r="BK449" t="s">
        <v>3</v>
      </c>
      <c r="BL449" t="s">
        <v>96</v>
      </c>
      <c r="BM449" t="s">
        <v>1</v>
      </c>
      <c r="BN449">
        <v>14800</v>
      </c>
      <c r="BO449" t="s">
        <v>1</v>
      </c>
      <c r="BP449" t="s">
        <v>1</v>
      </c>
      <c r="BQ449" t="s">
        <v>1</v>
      </c>
      <c r="BR449" t="s">
        <v>1</v>
      </c>
      <c r="BS449" t="s">
        <v>1</v>
      </c>
      <c r="BT449" t="s">
        <v>1</v>
      </c>
      <c r="BU449" t="s">
        <v>1</v>
      </c>
      <c r="BV449" t="s">
        <v>1</v>
      </c>
      <c r="BW449" t="s">
        <v>0</v>
      </c>
      <c r="BX449" t="s">
        <v>1</v>
      </c>
      <c r="BY449" t="s">
        <v>1</v>
      </c>
      <c r="BZ449" t="s">
        <v>1</v>
      </c>
      <c r="CA449" t="s">
        <v>1</v>
      </c>
      <c r="CB449" t="s">
        <v>1</v>
      </c>
      <c r="CD449" t="e" cm="1">
        <f t="array" aca="1" ref="CD449" ca="1">eConcatenar(A449:CB449,"|")</f>
        <v>#NAME?</v>
      </c>
    </row>
    <row r="450" spans="1:82" x14ac:dyDescent="0.25">
      <c r="A450" t="s">
        <v>545</v>
      </c>
      <c r="B450" t="s">
        <v>1559</v>
      </c>
      <c r="C450">
        <v>3</v>
      </c>
      <c r="D450" t="s">
        <v>2153</v>
      </c>
      <c r="E450" t="s">
        <v>2158</v>
      </c>
      <c r="F450" t="s">
        <v>0</v>
      </c>
      <c r="G450" t="s">
        <v>2437</v>
      </c>
      <c r="H450" t="s">
        <v>2912</v>
      </c>
      <c r="I450">
        <v>14800</v>
      </c>
      <c r="J450">
        <v>0</v>
      </c>
      <c r="K450">
        <v>50</v>
      </c>
      <c r="L450">
        <v>50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 t="s">
        <v>3530</v>
      </c>
      <c r="AC450" t="s">
        <v>3243</v>
      </c>
      <c r="AD450" t="s">
        <v>3466</v>
      </c>
      <c r="AE450" t="s">
        <v>4</v>
      </c>
      <c r="AF450" t="s">
        <v>1</v>
      </c>
      <c r="AG450" t="s">
        <v>1</v>
      </c>
      <c r="AH450" t="s">
        <v>2598</v>
      </c>
      <c r="AI450" t="s">
        <v>2437</v>
      </c>
      <c r="AJ450" t="s">
        <v>1</v>
      </c>
      <c r="AK450">
        <v>9171125443</v>
      </c>
      <c r="AL450" t="s">
        <v>1</v>
      </c>
      <c r="AM450" t="s">
        <v>1</v>
      </c>
      <c r="AN450" t="s">
        <v>1</v>
      </c>
      <c r="AO450" t="s">
        <v>2598</v>
      </c>
      <c r="AP450" t="s">
        <v>1</v>
      </c>
      <c r="AQ450" t="s">
        <v>2</v>
      </c>
      <c r="AR450" t="s">
        <v>1</v>
      </c>
      <c r="AS450" t="s">
        <v>1</v>
      </c>
      <c r="AT450" t="s">
        <v>1</v>
      </c>
      <c r="AU450" t="s">
        <v>1</v>
      </c>
      <c r="AV450" t="s">
        <v>1</v>
      </c>
      <c r="AW450" t="s">
        <v>9</v>
      </c>
      <c r="AX450">
        <f>Tabla1[[#This Row],[precio del paquete]]-Tabla1[[#This Row],[Saldo_Deudor]]</f>
        <v>50</v>
      </c>
      <c r="AY450">
        <v>14750</v>
      </c>
      <c r="AZ450">
        <v>0</v>
      </c>
      <c r="BA450">
        <v>0</v>
      </c>
      <c r="BB450">
        <v>0</v>
      </c>
      <c r="BC450" t="s">
        <v>2912</v>
      </c>
      <c r="BD450" t="s">
        <v>2934</v>
      </c>
      <c r="BE450" t="s">
        <v>3</v>
      </c>
      <c r="BF450" t="s">
        <v>3</v>
      </c>
      <c r="BG450" t="s">
        <v>3</v>
      </c>
      <c r="BH450" t="s">
        <v>3</v>
      </c>
      <c r="BI450" t="s">
        <v>3</v>
      </c>
      <c r="BJ450" t="s">
        <v>5006</v>
      </c>
      <c r="BK450" t="s">
        <v>3</v>
      </c>
      <c r="BL450" t="s">
        <v>96</v>
      </c>
      <c r="BM450" t="s">
        <v>1</v>
      </c>
      <c r="BN450">
        <v>14800</v>
      </c>
      <c r="BO450" t="s">
        <v>1</v>
      </c>
      <c r="BP450" t="s">
        <v>1</v>
      </c>
      <c r="BQ450" t="s">
        <v>1</v>
      </c>
      <c r="BR450" t="s">
        <v>1</v>
      </c>
      <c r="BS450" t="s">
        <v>1</v>
      </c>
      <c r="BT450" t="s">
        <v>1</v>
      </c>
      <c r="BU450" t="s">
        <v>1</v>
      </c>
      <c r="BV450" t="s">
        <v>1</v>
      </c>
      <c r="BW450" t="s">
        <v>0</v>
      </c>
      <c r="BX450" t="s">
        <v>1</v>
      </c>
      <c r="BY450" t="s">
        <v>1</v>
      </c>
      <c r="BZ450" t="s">
        <v>1</v>
      </c>
      <c r="CA450" t="s">
        <v>1</v>
      </c>
      <c r="CB450" t="s">
        <v>1</v>
      </c>
      <c r="CD450" t="e" cm="1">
        <f t="array" aca="1" ref="CD450" ca="1">eConcatenar(A450:CB450,"|")</f>
        <v>#NAME?</v>
      </c>
    </row>
    <row r="451" spans="1:82" x14ac:dyDescent="0.25">
      <c r="A451" t="s">
        <v>546</v>
      </c>
      <c r="B451" t="s">
        <v>1560</v>
      </c>
      <c r="C451">
        <v>3</v>
      </c>
      <c r="D451" t="s">
        <v>2154</v>
      </c>
      <c r="E451" t="s">
        <v>10</v>
      </c>
      <c r="F451" t="s">
        <v>0</v>
      </c>
      <c r="G451" t="s">
        <v>2438</v>
      </c>
      <c r="H451" t="s">
        <v>2831</v>
      </c>
      <c r="I451">
        <v>24500</v>
      </c>
      <c r="J451">
        <v>0</v>
      </c>
      <c r="K451">
        <v>100</v>
      </c>
      <c r="L451">
        <v>50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 t="s">
        <v>3193</v>
      </c>
      <c r="AC451" t="s">
        <v>3132</v>
      </c>
      <c r="AD451" t="s">
        <v>3688</v>
      </c>
      <c r="AE451" t="s">
        <v>4</v>
      </c>
      <c r="AF451" t="s">
        <v>1</v>
      </c>
      <c r="AG451" t="s">
        <v>1</v>
      </c>
      <c r="AH451" t="s">
        <v>4420</v>
      </c>
      <c r="AI451" t="s">
        <v>2438</v>
      </c>
      <c r="AJ451" t="s">
        <v>1</v>
      </c>
      <c r="AK451">
        <v>9371689057</v>
      </c>
      <c r="AL451" t="s">
        <v>1</v>
      </c>
      <c r="AM451" t="s">
        <v>1</v>
      </c>
      <c r="AN451" t="s">
        <v>1</v>
      </c>
      <c r="AO451" t="s">
        <v>4420</v>
      </c>
      <c r="AP451" t="s">
        <v>1</v>
      </c>
      <c r="AQ451" t="s">
        <v>2</v>
      </c>
      <c r="AR451" t="s">
        <v>1</v>
      </c>
      <c r="AS451" t="s">
        <v>1</v>
      </c>
      <c r="AT451" t="s">
        <v>1</v>
      </c>
      <c r="AU451" t="s">
        <v>1</v>
      </c>
      <c r="AV451" t="s">
        <v>1</v>
      </c>
      <c r="AW451" t="s">
        <v>9</v>
      </c>
      <c r="AX451">
        <f>Tabla1[[#This Row],[precio del paquete]]-Tabla1[[#This Row],[Saldo_Deudor]]</f>
        <v>8000</v>
      </c>
      <c r="AY451">
        <v>16500</v>
      </c>
      <c r="AZ451">
        <v>0</v>
      </c>
      <c r="BA451">
        <v>0</v>
      </c>
      <c r="BB451">
        <v>0</v>
      </c>
      <c r="BC451" t="s">
        <v>2732</v>
      </c>
      <c r="BD451" t="s">
        <v>4904</v>
      </c>
      <c r="BE451" t="s">
        <v>3</v>
      </c>
      <c r="BF451" t="s">
        <v>3</v>
      </c>
      <c r="BG451" t="s">
        <v>3</v>
      </c>
      <c r="BH451" t="s">
        <v>3</v>
      </c>
      <c r="BI451" t="s">
        <v>3</v>
      </c>
      <c r="BJ451" t="s">
        <v>4982</v>
      </c>
      <c r="BK451" t="s">
        <v>3</v>
      </c>
      <c r="BL451" t="s">
        <v>96</v>
      </c>
      <c r="BM451" t="s">
        <v>1</v>
      </c>
      <c r="BN451">
        <v>24500</v>
      </c>
      <c r="BO451" t="s">
        <v>1</v>
      </c>
      <c r="BP451" t="s">
        <v>1</v>
      </c>
      <c r="BQ451" t="s">
        <v>1</v>
      </c>
      <c r="BR451" t="s">
        <v>1</v>
      </c>
      <c r="BS451" t="s">
        <v>1</v>
      </c>
      <c r="BT451" t="s">
        <v>1</v>
      </c>
      <c r="BU451" t="s">
        <v>1</v>
      </c>
      <c r="BV451" t="s">
        <v>1</v>
      </c>
      <c r="BW451" t="s">
        <v>0</v>
      </c>
      <c r="BX451" t="s">
        <v>1</v>
      </c>
      <c r="BY451" t="s">
        <v>1</v>
      </c>
      <c r="BZ451" t="s">
        <v>1</v>
      </c>
      <c r="CA451" t="s">
        <v>1</v>
      </c>
      <c r="CB451" t="s">
        <v>1</v>
      </c>
      <c r="CD451" t="e" cm="1">
        <f t="array" aca="1" ref="CD451" ca="1">eConcatenar(A451:CB451,"|")</f>
        <v>#NAME?</v>
      </c>
    </row>
    <row r="452" spans="1:82" x14ac:dyDescent="0.25">
      <c r="A452" t="s">
        <v>547</v>
      </c>
      <c r="B452" t="s">
        <v>1561</v>
      </c>
      <c r="C452">
        <v>3</v>
      </c>
      <c r="D452" t="s">
        <v>2155</v>
      </c>
      <c r="E452" t="s">
        <v>2158</v>
      </c>
      <c r="F452" t="s">
        <v>2159</v>
      </c>
      <c r="G452" t="s">
        <v>2439</v>
      </c>
      <c r="H452" t="s">
        <v>2757</v>
      </c>
      <c r="I452">
        <v>12900</v>
      </c>
      <c r="J452">
        <v>0</v>
      </c>
      <c r="K452">
        <v>300</v>
      </c>
      <c r="L452">
        <v>50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 t="s">
        <v>3148</v>
      </c>
      <c r="AC452" t="s">
        <v>3114</v>
      </c>
      <c r="AD452" t="s">
        <v>3355</v>
      </c>
      <c r="AE452" t="s">
        <v>4</v>
      </c>
      <c r="AF452" t="s">
        <v>1</v>
      </c>
      <c r="AG452" t="s">
        <v>1</v>
      </c>
      <c r="AH452" t="s">
        <v>4421</v>
      </c>
      <c r="AI452" t="s">
        <v>2439</v>
      </c>
      <c r="AJ452" t="s">
        <v>1</v>
      </c>
      <c r="AK452">
        <v>9331518143</v>
      </c>
      <c r="AL452" t="s">
        <v>1</v>
      </c>
      <c r="AM452" t="s">
        <v>1</v>
      </c>
      <c r="AN452" t="s">
        <v>1</v>
      </c>
      <c r="AO452" t="s">
        <v>4421</v>
      </c>
      <c r="AP452" t="s">
        <v>1</v>
      </c>
      <c r="AQ452" t="s">
        <v>2</v>
      </c>
      <c r="AR452" t="s">
        <v>1</v>
      </c>
      <c r="AS452" t="s">
        <v>1</v>
      </c>
      <c r="AT452" t="s">
        <v>1</v>
      </c>
      <c r="AU452" t="s">
        <v>1</v>
      </c>
      <c r="AV452" t="s">
        <v>1</v>
      </c>
      <c r="AW452" t="s">
        <v>9</v>
      </c>
      <c r="AX452">
        <f>Tabla1[[#This Row],[precio del paquete]]-Tabla1[[#This Row],[Saldo_Deudor]]</f>
        <v>1000</v>
      </c>
      <c r="AY452">
        <v>11900</v>
      </c>
      <c r="AZ452">
        <v>0</v>
      </c>
      <c r="BA452">
        <v>0</v>
      </c>
      <c r="BB452">
        <v>0</v>
      </c>
      <c r="BC452" t="s">
        <v>2836</v>
      </c>
      <c r="BD452" t="s">
        <v>3017</v>
      </c>
      <c r="BE452" t="s">
        <v>3</v>
      </c>
      <c r="BF452" t="s">
        <v>3</v>
      </c>
      <c r="BG452" t="s">
        <v>3</v>
      </c>
      <c r="BH452" t="s">
        <v>3</v>
      </c>
      <c r="BI452" t="s">
        <v>3</v>
      </c>
      <c r="BJ452" t="s">
        <v>4985</v>
      </c>
      <c r="BK452" t="s">
        <v>3</v>
      </c>
      <c r="BL452" t="s">
        <v>96</v>
      </c>
      <c r="BM452" t="s">
        <v>1</v>
      </c>
      <c r="BN452">
        <v>12900</v>
      </c>
      <c r="BO452" t="s">
        <v>1</v>
      </c>
      <c r="BP452" t="s">
        <v>1</v>
      </c>
      <c r="BQ452" t="s">
        <v>1</v>
      </c>
      <c r="BR452" t="s">
        <v>1</v>
      </c>
      <c r="BS452" t="s">
        <v>1</v>
      </c>
      <c r="BT452" t="s">
        <v>1</v>
      </c>
      <c r="BU452" t="s">
        <v>1</v>
      </c>
      <c r="BV452" t="s">
        <v>1</v>
      </c>
      <c r="BW452" t="s">
        <v>0</v>
      </c>
      <c r="BX452" t="s">
        <v>1</v>
      </c>
      <c r="BY452" t="s">
        <v>1</v>
      </c>
      <c r="BZ452" t="s">
        <v>1</v>
      </c>
      <c r="CA452" t="s">
        <v>1</v>
      </c>
      <c r="CB452" t="s">
        <v>1</v>
      </c>
      <c r="CD452" t="e" cm="1">
        <f t="array" aca="1" ref="CD452" ca="1">eConcatenar(A452:CB452,"|")</f>
        <v>#NAME?</v>
      </c>
    </row>
    <row r="453" spans="1:82" x14ac:dyDescent="0.25">
      <c r="A453" t="s">
        <v>548</v>
      </c>
      <c r="B453" t="s">
        <v>1562</v>
      </c>
      <c r="C453">
        <v>3</v>
      </c>
      <c r="D453" t="s">
        <v>2153</v>
      </c>
      <c r="E453" t="s">
        <v>2158</v>
      </c>
      <c r="F453" t="s">
        <v>2159</v>
      </c>
      <c r="G453" t="s">
        <v>2440</v>
      </c>
      <c r="H453" t="s">
        <v>2804</v>
      </c>
      <c r="I453">
        <v>14800</v>
      </c>
      <c r="J453">
        <v>0</v>
      </c>
      <c r="K453">
        <v>500</v>
      </c>
      <c r="L453">
        <v>50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 t="s">
        <v>3157</v>
      </c>
      <c r="AC453" t="s">
        <v>3315</v>
      </c>
      <c r="AD453" t="s">
        <v>3689</v>
      </c>
      <c r="AE453" t="s">
        <v>4</v>
      </c>
      <c r="AF453" t="s">
        <v>1</v>
      </c>
      <c r="AG453" t="s">
        <v>1</v>
      </c>
      <c r="AH453" t="s">
        <v>4422</v>
      </c>
      <c r="AI453" t="s">
        <v>2440</v>
      </c>
      <c r="AJ453" t="s">
        <v>1</v>
      </c>
      <c r="AK453">
        <v>9331546810</v>
      </c>
      <c r="AL453" t="s">
        <v>1</v>
      </c>
      <c r="AM453" t="s">
        <v>1</v>
      </c>
      <c r="AN453" t="s">
        <v>1</v>
      </c>
      <c r="AO453" t="s">
        <v>4422</v>
      </c>
      <c r="AP453" t="s">
        <v>1</v>
      </c>
      <c r="AQ453" t="s">
        <v>2</v>
      </c>
      <c r="AR453" t="s">
        <v>1</v>
      </c>
      <c r="AS453" t="s">
        <v>1</v>
      </c>
      <c r="AT453" t="s">
        <v>1</v>
      </c>
      <c r="AU453" t="s">
        <v>1</v>
      </c>
      <c r="AV453" t="s">
        <v>1</v>
      </c>
      <c r="AW453" t="s">
        <v>9</v>
      </c>
      <c r="AX453">
        <f>Tabla1[[#This Row],[precio del paquete]]-Tabla1[[#This Row],[Saldo_Deudor]]</f>
        <v>1700</v>
      </c>
      <c r="AY453">
        <v>13100</v>
      </c>
      <c r="AZ453">
        <v>0</v>
      </c>
      <c r="BA453">
        <v>0</v>
      </c>
      <c r="BB453">
        <v>0</v>
      </c>
      <c r="BC453" t="s">
        <v>4830</v>
      </c>
      <c r="BD453" t="s">
        <v>4906</v>
      </c>
      <c r="BE453" t="s">
        <v>3</v>
      </c>
      <c r="BF453" t="s">
        <v>3</v>
      </c>
      <c r="BG453" t="s">
        <v>3</v>
      </c>
      <c r="BH453" t="s">
        <v>3</v>
      </c>
      <c r="BI453" t="s">
        <v>3</v>
      </c>
      <c r="BJ453" t="s">
        <v>4993</v>
      </c>
      <c r="BK453" t="s">
        <v>3</v>
      </c>
      <c r="BL453" t="s">
        <v>96</v>
      </c>
      <c r="BM453" t="s">
        <v>1</v>
      </c>
      <c r="BN453">
        <v>14800</v>
      </c>
      <c r="BO453" t="s">
        <v>1</v>
      </c>
      <c r="BP453" t="s">
        <v>1</v>
      </c>
      <c r="BQ453" t="s">
        <v>1</v>
      </c>
      <c r="BR453" t="s">
        <v>1</v>
      </c>
      <c r="BS453" t="s">
        <v>1</v>
      </c>
      <c r="BT453" t="s">
        <v>1</v>
      </c>
      <c r="BU453" t="s">
        <v>1</v>
      </c>
      <c r="BV453" t="s">
        <v>1</v>
      </c>
      <c r="BW453" t="s">
        <v>0</v>
      </c>
      <c r="BX453" t="s">
        <v>1</v>
      </c>
      <c r="BY453" t="s">
        <v>1</v>
      </c>
      <c r="BZ453" t="s">
        <v>1</v>
      </c>
      <c r="CA453" t="s">
        <v>1</v>
      </c>
      <c r="CB453" t="s">
        <v>1</v>
      </c>
      <c r="CD453" t="e" cm="1">
        <f t="array" aca="1" ref="CD453" ca="1">eConcatenar(A453:CB453,"|")</f>
        <v>#NAME?</v>
      </c>
    </row>
    <row r="454" spans="1:82" x14ac:dyDescent="0.25">
      <c r="A454" t="s">
        <v>549</v>
      </c>
      <c r="B454" t="s">
        <v>1563</v>
      </c>
      <c r="C454">
        <v>3</v>
      </c>
      <c r="D454" t="s">
        <v>2153</v>
      </c>
      <c r="E454" t="s">
        <v>2158</v>
      </c>
      <c r="F454" t="s">
        <v>2159</v>
      </c>
      <c r="G454" t="s">
        <v>2441</v>
      </c>
      <c r="H454" t="s">
        <v>2913</v>
      </c>
      <c r="I454">
        <v>14750</v>
      </c>
      <c r="J454">
        <v>0</v>
      </c>
      <c r="K454">
        <v>50</v>
      </c>
      <c r="L454">
        <v>50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 t="s">
        <v>3148</v>
      </c>
      <c r="AC454" t="s">
        <v>3132</v>
      </c>
      <c r="AD454" t="s">
        <v>3690</v>
      </c>
      <c r="AE454" t="s">
        <v>4</v>
      </c>
      <c r="AF454" t="s">
        <v>1</v>
      </c>
      <c r="AG454" t="s">
        <v>1</v>
      </c>
      <c r="AH454" t="s">
        <v>4423</v>
      </c>
      <c r="AI454" t="s">
        <v>2441</v>
      </c>
      <c r="AJ454" t="s">
        <v>1</v>
      </c>
      <c r="AK454">
        <v>9331246400</v>
      </c>
      <c r="AL454" t="s">
        <v>1</v>
      </c>
      <c r="AM454" t="s">
        <v>1</v>
      </c>
      <c r="AN454" t="s">
        <v>1</v>
      </c>
      <c r="AO454" t="s">
        <v>4423</v>
      </c>
      <c r="AP454" t="s">
        <v>1</v>
      </c>
      <c r="AQ454" t="s">
        <v>2</v>
      </c>
      <c r="AR454" t="s">
        <v>1</v>
      </c>
      <c r="AS454" t="s">
        <v>1</v>
      </c>
      <c r="AT454" t="s">
        <v>1</v>
      </c>
      <c r="AU454" t="s">
        <v>1</v>
      </c>
      <c r="AV454" t="s">
        <v>1</v>
      </c>
      <c r="AW454" t="s">
        <v>9</v>
      </c>
      <c r="AX454">
        <f>Tabla1[[#This Row],[precio del paquete]]-Tabla1[[#This Row],[Saldo_Deudor]]</f>
        <v>1700</v>
      </c>
      <c r="AY454">
        <v>13050</v>
      </c>
      <c r="AZ454">
        <v>0</v>
      </c>
      <c r="BA454">
        <v>0</v>
      </c>
      <c r="BB454">
        <v>0</v>
      </c>
      <c r="BC454" t="s">
        <v>2836</v>
      </c>
      <c r="BD454" t="s">
        <v>3017</v>
      </c>
      <c r="BE454" t="s">
        <v>3</v>
      </c>
      <c r="BF454" t="s">
        <v>3</v>
      </c>
      <c r="BG454" t="s">
        <v>3</v>
      </c>
      <c r="BH454" t="s">
        <v>3</v>
      </c>
      <c r="BI454" t="s">
        <v>3</v>
      </c>
      <c r="BJ454" t="s">
        <v>4993</v>
      </c>
      <c r="BK454" t="s">
        <v>3</v>
      </c>
      <c r="BL454" t="s">
        <v>96</v>
      </c>
      <c r="BM454" t="s">
        <v>1</v>
      </c>
      <c r="BN454">
        <v>14750</v>
      </c>
      <c r="BO454" t="s">
        <v>1</v>
      </c>
      <c r="BP454" t="s">
        <v>1</v>
      </c>
      <c r="BQ454" t="s">
        <v>1</v>
      </c>
      <c r="BR454" t="s">
        <v>1</v>
      </c>
      <c r="BS454" t="s">
        <v>1</v>
      </c>
      <c r="BT454" t="s">
        <v>1</v>
      </c>
      <c r="BU454" t="s">
        <v>1</v>
      </c>
      <c r="BV454" t="s">
        <v>1</v>
      </c>
      <c r="BW454" t="s">
        <v>0</v>
      </c>
      <c r="BX454" t="s">
        <v>1</v>
      </c>
      <c r="BY454" t="s">
        <v>1</v>
      </c>
      <c r="BZ454" t="s">
        <v>1</v>
      </c>
      <c r="CA454" t="s">
        <v>1</v>
      </c>
      <c r="CB454" t="s">
        <v>1</v>
      </c>
      <c r="CD454" t="e" cm="1">
        <f t="array" aca="1" ref="CD454" ca="1">eConcatenar(A454:CB454,"|")</f>
        <v>#NAME?</v>
      </c>
    </row>
    <row r="455" spans="1:82" x14ac:dyDescent="0.25">
      <c r="A455" t="s">
        <v>550</v>
      </c>
      <c r="B455" t="s">
        <v>1564</v>
      </c>
      <c r="C455">
        <v>3</v>
      </c>
      <c r="D455" t="s">
        <v>2157</v>
      </c>
      <c r="E455" t="s">
        <v>2158</v>
      </c>
      <c r="F455" t="s">
        <v>2162</v>
      </c>
      <c r="G455" t="s">
        <v>2442</v>
      </c>
      <c r="H455" t="s">
        <v>2815</v>
      </c>
      <c r="I455">
        <v>12900</v>
      </c>
      <c r="J455">
        <v>0</v>
      </c>
      <c r="K455">
        <v>400</v>
      </c>
      <c r="L455">
        <v>50</v>
      </c>
      <c r="M455">
        <v>2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 t="s">
        <v>3162</v>
      </c>
      <c r="AC455" t="s">
        <v>3315</v>
      </c>
      <c r="AD455" t="s">
        <v>3691</v>
      </c>
      <c r="AE455" t="s">
        <v>4</v>
      </c>
      <c r="AF455" t="s">
        <v>1</v>
      </c>
      <c r="AG455" t="s">
        <v>1</v>
      </c>
      <c r="AH455" t="s">
        <v>4424</v>
      </c>
      <c r="AI455" t="s">
        <v>2442</v>
      </c>
      <c r="AJ455" t="s">
        <v>1</v>
      </c>
      <c r="AK455">
        <v>9331107908</v>
      </c>
      <c r="AL455" t="s">
        <v>1</v>
      </c>
      <c r="AM455" t="s">
        <v>1</v>
      </c>
      <c r="AN455" t="s">
        <v>1</v>
      </c>
      <c r="AO455" t="s">
        <v>4424</v>
      </c>
      <c r="AP455" t="s">
        <v>1</v>
      </c>
      <c r="AQ455" t="s">
        <v>2</v>
      </c>
      <c r="AR455" t="s">
        <v>1</v>
      </c>
      <c r="AS455" t="s">
        <v>1</v>
      </c>
      <c r="AT455" t="s">
        <v>1</v>
      </c>
      <c r="AU455" t="s">
        <v>1</v>
      </c>
      <c r="AV455" t="s">
        <v>1</v>
      </c>
      <c r="AW455" t="s">
        <v>9</v>
      </c>
      <c r="AX455">
        <f>Tabla1[[#This Row],[precio del paquete]]-Tabla1[[#This Row],[Saldo_Deudor]]</f>
        <v>10400</v>
      </c>
      <c r="AY455">
        <v>2500</v>
      </c>
      <c r="AZ455">
        <v>0</v>
      </c>
      <c r="BA455">
        <v>0</v>
      </c>
      <c r="BB455">
        <v>0</v>
      </c>
      <c r="BC455" t="s">
        <v>2923</v>
      </c>
      <c r="BD455" t="s">
        <v>4910</v>
      </c>
      <c r="BE455" t="s">
        <v>3</v>
      </c>
      <c r="BF455" t="s">
        <v>3</v>
      </c>
      <c r="BG455" t="s">
        <v>3</v>
      </c>
      <c r="BH455" t="s">
        <v>3</v>
      </c>
      <c r="BI455" t="s">
        <v>3</v>
      </c>
      <c r="BJ455" t="s">
        <v>4993</v>
      </c>
      <c r="BK455" t="s">
        <v>3</v>
      </c>
      <c r="BL455" t="s">
        <v>96</v>
      </c>
      <c r="BM455" t="s">
        <v>1</v>
      </c>
      <c r="BN455">
        <v>12900</v>
      </c>
      <c r="BO455" t="s">
        <v>1</v>
      </c>
      <c r="BP455" t="s">
        <v>1</v>
      </c>
      <c r="BQ455" t="s">
        <v>1</v>
      </c>
      <c r="BR455" t="s">
        <v>1</v>
      </c>
      <c r="BS455" t="s">
        <v>1</v>
      </c>
      <c r="BT455" t="s">
        <v>1</v>
      </c>
      <c r="BU455" t="s">
        <v>1</v>
      </c>
      <c r="BV455" t="s">
        <v>1</v>
      </c>
      <c r="BW455" t="s">
        <v>0</v>
      </c>
      <c r="BX455" t="s">
        <v>1</v>
      </c>
      <c r="BY455" t="s">
        <v>1</v>
      </c>
      <c r="BZ455" t="s">
        <v>1</v>
      </c>
      <c r="CA455" t="s">
        <v>1</v>
      </c>
      <c r="CB455" t="s">
        <v>1</v>
      </c>
      <c r="CD455" t="e" cm="1">
        <f t="array" aca="1" ref="CD455" ca="1">eConcatenar(A455:CB455,"|")</f>
        <v>#NAME?</v>
      </c>
    </row>
    <row r="456" spans="1:82" x14ac:dyDescent="0.25">
      <c r="A456" t="s">
        <v>551</v>
      </c>
      <c r="B456" t="s">
        <v>1565</v>
      </c>
      <c r="C456">
        <v>3</v>
      </c>
      <c r="D456" t="s">
        <v>2153</v>
      </c>
      <c r="E456" t="s">
        <v>2158</v>
      </c>
      <c r="F456" t="s">
        <v>2162</v>
      </c>
      <c r="G456" t="s">
        <v>2442</v>
      </c>
      <c r="H456" t="s">
        <v>2706</v>
      </c>
      <c r="I456">
        <v>14800</v>
      </c>
      <c r="J456">
        <v>0</v>
      </c>
      <c r="K456">
        <v>100</v>
      </c>
      <c r="L456">
        <v>50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 t="s">
        <v>3236</v>
      </c>
      <c r="AC456" t="s">
        <v>3196</v>
      </c>
      <c r="AD456" t="s">
        <v>3130</v>
      </c>
      <c r="AE456" t="s">
        <v>4</v>
      </c>
      <c r="AF456" t="s">
        <v>1</v>
      </c>
      <c r="AG456" t="s">
        <v>1</v>
      </c>
      <c r="AH456" t="s">
        <v>2442</v>
      </c>
      <c r="AI456" t="s">
        <v>2442</v>
      </c>
      <c r="AJ456" t="s">
        <v>1</v>
      </c>
      <c r="AK456" t="s">
        <v>1</v>
      </c>
      <c r="AL456" t="s">
        <v>1</v>
      </c>
      <c r="AM456" t="s">
        <v>1</v>
      </c>
      <c r="AN456" t="s">
        <v>1</v>
      </c>
      <c r="AO456" t="s">
        <v>2442</v>
      </c>
      <c r="AP456" t="s">
        <v>1</v>
      </c>
      <c r="AQ456" t="s">
        <v>2</v>
      </c>
      <c r="AR456" t="s">
        <v>1</v>
      </c>
      <c r="AS456" t="s">
        <v>1</v>
      </c>
      <c r="AT456" t="s">
        <v>1</v>
      </c>
      <c r="AU456" t="s">
        <v>1</v>
      </c>
      <c r="AV456" t="s">
        <v>1</v>
      </c>
      <c r="AW456" t="s">
        <v>9</v>
      </c>
      <c r="AX456">
        <f>Tabla1[[#This Row],[precio del paquete]]-Tabla1[[#This Row],[Saldo_Deudor]]</f>
        <v>1500</v>
      </c>
      <c r="AY456">
        <v>13300</v>
      </c>
      <c r="AZ456">
        <v>0</v>
      </c>
      <c r="BA456">
        <v>0</v>
      </c>
      <c r="BB456">
        <v>0</v>
      </c>
      <c r="BC456" t="s">
        <v>3078</v>
      </c>
      <c r="BD456" t="s">
        <v>4827</v>
      </c>
      <c r="BE456" t="s">
        <v>3</v>
      </c>
      <c r="BF456" t="s">
        <v>3</v>
      </c>
      <c r="BG456" t="s">
        <v>3</v>
      </c>
      <c r="BH456" t="s">
        <v>3</v>
      </c>
      <c r="BI456" t="s">
        <v>3</v>
      </c>
      <c r="BJ456" t="s">
        <v>4998</v>
      </c>
      <c r="BK456" t="s">
        <v>3</v>
      </c>
      <c r="BL456" t="s">
        <v>96</v>
      </c>
      <c r="BM456" t="s">
        <v>1</v>
      </c>
      <c r="BN456">
        <v>14800</v>
      </c>
      <c r="BO456" t="s">
        <v>1</v>
      </c>
      <c r="BP456" t="s">
        <v>1</v>
      </c>
      <c r="BQ456" t="s">
        <v>1</v>
      </c>
      <c r="BR456" t="s">
        <v>1</v>
      </c>
      <c r="BS456" t="s">
        <v>1</v>
      </c>
      <c r="BT456" t="s">
        <v>1</v>
      </c>
      <c r="BU456" t="s">
        <v>1</v>
      </c>
      <c r="BV456" t="s">
        <v>1</v>
      </c>
      <c r="BW456" t="s">
        <v>0</v>
      </c>
      <c r="BX456" t="s">
        <v>1</v>
      </c>
      <c r="BY456" t="s">
        <v>1</v>
      </c>
      <c r="BZ456" t="s">
        <v>1</v>
      </c>
      <c r="CA456" t="s">
        <v>1</v>
      </c>
      <c r="CB456" t="s">
        <v>1</v>
      </c>
      <c r="CD456" t="e" cm="1">
        <f t="array" aca="1" ref="CD456" ca="1">eConcatenar(A456:CB456,"|")</f>
        <v>#NAME?</v>
      </c>
    </row>
    <row r="457" spans="1:82" x14ac:dyDescent="0.25">
      <c r="A457" t="s">
        <v>552</v>
      </c>
      <c r="B457" t="s">
        <v>1566</v>
      </c>
      <c r="C457">
        <v>3</v>
      </c>
      <c r="D457" t="s">
        <v>2157</v>
      </c>
      <c r="E457" t="s">
        <v>2158</v>
      </c>
      <c r="F457" t="s">
        <v>2162</v>
      </c>
      <c r="G457" t="s">
        <v>2442</v>
      </c>
      <c r="H457" t="s">
        <v>2751</v>
      </c>
      <c r="I457">
        <v>12900</v>
      </c>
      <c r="J457">
        <v>0</v>
      </c>
      <c r="K457">
        <v>100</v>
      </c>
      <c r="L457">
        <v>50</v>
      </c>
      <c r="M457">
        <v>1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 t="s">
        <v>3137</v>
      </c>
      <c r="AC457" t="s">
        <v>3203</v>
      </c>
      <c r="AD457" t="s">
        <v>3692</v>
      </c>
      <c r="AE457" t="s">
        <v>4</v>
      </c>
      <c r="AF457" t="s">
        <v>1</v>
      </c>
      <c r="AG457" t="s">
        <v>1</v>
      </c>
      <c r="AH457" t="s">
        <v>2215</v>
      </c>
      <c r="AI457" t="s">
        <v>2442</v>
      </c>
      <c r="AJ457" t="s">
        <v>1</v>
      </c>
      <c r="AK457" t="s">
        <v>1</v>
      </c>
      <c r="AL457" t="s">
        <v>1</v>
      </c>
      <c r="AM457" t="s">
        <v>1</v>
      </c>
      <c r="AN457" t="s">
        <v>1</v>
      </c>
      <c r="AO457" t="s">
        <v>2215</v>
      </c>
      <c r="AP457" t="s">
        <v>1</v>
      </c>
      <c r="AQ457" t="s">
        <v>2</v>
      </c>
      <c r="AR457" t="s">
        <v>1</v>
      </c>
      <c r="AS457" t="s">
        <v>1</v>
      </c>
      <c r="AT457" t="s">
        <v>1</v>
      </c>
      <c r="AU457" t="s">
        <v>1</v>
      </c>
      <c r="AV457" t="s">
        <v>1</v>
      </c>
      <c r="AW457" t="s">
        <v>9</v>
      </c>
      <c r="AX457">
        <f>Tabla1[[#This Row],[precio del paquete]]-Tabla1[[#This Row],[Saldo_Deudor]]</f>
        <v>7200</v>
      </c>
      <c r="AY457">
        <v>5700</v>
      </c>
      <c r="AZ457">
        <v>0</v>
      </c>
      <c r="BA457">
        <v>0</v>
      </c>
      <c r="BB457">
        <v>0</v>
      </c>
      <c r="BC457" t="s">
        <v>2724</v>
      </c>
      <c r="BD457" t="s">
        <v>2837</v>
      </c>
      <c r="BE457" t="s">
        <v>3</v>
      </c>
      <c r="BF457" t="s">
        <v>3</v>
      </c>
      <c r="BG457" t="s">
        <v>3</v>
      </c>
      <c r="BH457" t="s">
        <v>3</v>
      </c>
      <c r="BI457" t="s">
        <v>3</v>
      </c>
      <c r="BJ457" t="s">
        <v>4989</v>
      </c>
      <c r="BK457" t="s">
        <v>3</v>
      </c>
      <c r="BL457" t="s">
        <v>96</v>
      </c>
      <c r="BM457" t="s">
        <v>1</v>
      </c>
      <c r="BN457">
        <v>12900</v>
      </c>
      <c r="BO457" t="s">
        <v>1</v>
      </c>
      <c r="BP457" t="s">
        <v>1</v>
      </c>
      <c r="BQ457" t="s">
        <v>1</v>
      </c>
      <c r="BR457" t="s">
        <v>1</v>
      </c>
      <c r="BS457" t="s">
        <v>1</v>
      </c>
      <c r="BT457" t="s">
        <v>1</v>
      </c>
      <c r="BU457" t="s">
        <v>1</v>
      </c>
      <c r="BV457" t="s">
        <v>1</v>
      </c>
      <c r="BW457" t="s">
        <v>0</v>
      </c>
      <c r="BX457" t="s">
        <v>1</v>
      </c>
      <c r="BY457" t="s">
        <v>1</v>
      </c>
      <c r="BZ457" t="s">
        <v>1</v>
      </c>
      <c r="CA457" t="s">
        <v>1</v>
      </c>
      <c r="CB457" t="s">
        <v>1</v>
      </c>
      <c r="CD457" t="e" cm="1">
        <f t="array" aca="1" ref="CD457" ca="1">eConcatenar(A457:CB457,"|")</f>
        <v>#NAME?</v>
      </c>
    </row>
    <row r="458" spans="1:82" x14ac:dyDescent="0.25">
      <c r="A458" t="s">
        <v>553</v>
      </c>
      <c r="B458" t="s">
        <v>1567</v>
      </c>
      <c r="C458">
        <v>3</v>
      </c>
      <c r="D458" t="s">
        <v>2155</v>
      </c>
      <c r="E458" t="s">
        <v>2158</v>
      </c>
      <c r="F458" t="s">
        <v>0</v>
      </c>
      <c r="G458" t="s">
        <v>2443</v>
      </c>
      <c r="H458" t="s">
        <v>2706</v>
      </c>
      <c r="I458">
        <v>12900</v>
      </c>
      <c r="J458">
        <v>0</v>
      </c>
      <c r="K458">
        <v>100</v>
      </c>
      <c r="L458">
        <v>50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 t="s">
        <v>3311</v>
      </c>
      <c r="AC458" t="s">
        <v>3152</v>
      </c>
      <c r="AD458" t="s">
        <v>3428</v>
      </c>
      <c r="AE458" t="s">
        <v>4</v>
      </c>
      <c r="AF458" t="s">
        <v>1</v>
      </c>
      <c r="AG458" t="s">
        <v>1</v>
      </c>
      <c r="AH458" t="s">
        <v>2443</v>
      </c>
      <c r="AI458" t="s">
        <v>2443</v>
      </c>
      <c r="AJ458" t="s">
        <v>1</v>
      </c>
      <c r="AK458">
        <v>9371662195</v>
      </c>
      <c r="AL458" t="s">
        <v>1</v>
      </c>
      <c r="AM458" t="s">
        <v>1</v>
      </c>
      <c r="AN458" t="s">
        <v>1</v>
      </c>
      <c r="AO458" t="s">
        <v>2443</v>
      </c>
      <c r="AP458" t="s">
        <v>1</v>
      </c>
      <c r="AQ458" t="s">
        <v>2</v>
      </c>
      <c r="AR458" t="s">
        <v>1</v>
      </c>
      <c r="AS458" t="s">
        <v>1</v>
      </c>
      <c r="AT458" t="s">
        <v>1</v>
      </c>
      <c r="AU458" t="s">
        <v>1</v>
      </c>
      <c r="AV458" t="s">
        <v>1</v>
      </c>
      <c r="AW458" t="s">
        <v>9</v>
      </c>
      <c r="AX458">
        <f>Tabla1[[#This Row],[precio del paquete]]-Tabla1[[#This Row],[Saldo_Deudor]]</f>
        <v>4000</v>
      </c>
      <c r="AY458">
        <v>8900</v>
      </c>
      <c r="AZ458">
        <v>0</v>
      </c>
      <c r="BA458">
        <v>0</v>
      </c>
      <c r="BB458">
        <v>0</v>
      </c>
      <c r="BC458" t="s">
        <v>4829</v>
      </c>
      <c r="BD458" t="s">
        <v>4900</v>
      </c>
      <c r="BE458" t="s">
        <v>3</v>
      </c>
      <c r="BF458" t="s">
        <v>3</v>
      </c>
      <c r="BG458" t="s">
        <v>3</v>
      </c>
      <c r="BH458" t="s">
        <v>3</v>
      </c>
      <c r="BI458" t="s">
        <v>3</v>
      </c>
      <c r="BJ458" t="s">
        <v>4998</v>
      </c>
      <c r="BK458" t="s">
        <v>3</v>
      </c>
      <c r="BL458" t="s">
        <v>96</v>
      </c>
      <c r="BM458" t="s">
        <v>1</v>
      </c>
      <c r="BN458">
        <v>12900</v>
      </c>
      <c r="BO458" t="s">
        <v>1</v>
      </c>
      <c r="BP458" t="s">
        <v>1</v>
      </c>
      <c r="BQ458" t="s">
        <v>1</v>
      </c>
      <c r="BR458" t="s">
        <v>1</v>
      </c>
      <c r="BS458" t="s">
        <v>1</v>
      </c>
      <c r="BT458" t="s">
        <v>1</v>
      </c>
      <c r="BU458" t="s">
        <v>1</v>
      </c>
      <c r="BV458" t="s">
        <v>1</v>
      </c>
      <c r="BW458" t="s">
        <v>0</v>
      </c>
      <c r="BX458" t="s">
        <v>1</v>
      </c>
      <c r="BY458" t="s">
        <v>1</v>
      </c>
      <c r="BZ458" t="s">
        <v>1</v>
      </c>
      <c r="CA458" t="s">
        <v>1</v>
      </c>
      <c r="CB458" t="s">
        <v>1</v>
      </c>
      <c r="CD458" t="e" cm="1">
        <f t="array" aca="1" ref="CD458" ca="1">eConcatenar(A458:CB458,"|")</f>
        <v>#NAME?</v>
      </c>
    </row>
    <row r="459" spans="1:82" x14ac:dyDescent="0.25">
      <c r="A459" t="s">
        <v>554</v>
      </c>
      <c r="B459" t="s">
        <v>1568</v>
      </c>
      <c r="C459">
        <v>3</v>
      </c>
      <c r="D459" t="s">
        <v>2155</v>
      </c>
      <c r="E459" t="s">
        <v>2158</v>
      </c>
      <c r="F459" t="s">
        <v>2159</v>
      </c>
      <c r="G459" t="s">
        <v>2444</v>
      </c>
      <c r="H459" t="s">
        <v>2914</v>
      </c>
      <c r="I459">
        <v>12900</v>
      </c>
      <c r="J459">
        <v>0</v>
      </c>
      <c r="K459">
        <v>100</v>
      </c>
      <c r="L459">
        <v>50</v>
      </c>
      <c r="M459">
        <v>1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 t="s">
        <v>3214</v>
      </c>
      <c r="AC459" t="s">
        <v>3507</v>
      </c>
      <c r="AD459" t="s">
        <v>3477</v>
      </c>
      <c r="AE459" t="s">
        <v>4</v>
      </c>
      <c r="AF459" t="s">
        <v>1</v>
      </c>
      <c r="AG459" t="s">
        <v>1</v>
      </c>
      <c r="AH459" t="s">
        <v>2444</v>
      </c>
      <c r="AI459" t="s">
        <v>2444</v>
      </c>
      <c r="AJ459" t="s">
        <v>1</v>
      </c>
      <c r="AK459">
        <v>9333259929</v>
      </c>
      <c r="AL459" t="s">
        <v>1</v>
      </c>
      <c r="AM459" t="s">
        <v>1</v>
      </c>
      <c r="AN459" t="s">
        <v>1</v>
      </c>
      <c r="AO459" t="s">
        <v>2444</v>
      </c>
      <c r="AP459" t="s">
        <v>1</v>
      </c>
      <c r="AQ459" t="s">
        <v>2</v>
      </c>
      <c r="AR459" t="s">
        <v>1</v>
      </c>
      <c r="AS459" t="s">
        <v>1</v>
      </c>
      <c r="AT459" t="s">
        <v>1</v>
      </c>
      <c r="AU459" t="s">
        <v>1</v>
      </c>
      <c r="AV459" t="s">
        <v>1</v>
      </c>
      <c r="AW459" t="s">
        <v>9</v>
      </c>
      <c r="AX459">
        <f>Tabla1[[#This Row],[precio del paquete]]-Tabla1[[#This Row],[Saldo_Deudor]]</f>
        <v>11500</v>
      </c>
      <c r="AY459">
        <v>1400</v>
      </c>
      <c r="AZ459">
        <v>0</v>
      </c>
      <c r="BA459">
        <v>0</v>
      </c>
      <c r="BB459">
        <v>0</v>
      </c>
      <c r="BC459" t="s">
        <v>4826</v>
      </c>
      <c r="BD459" t="s">
        <v>2706</v>
      </c>
      <c r="BE459" t="s">
        <v>3</v>
      </c>
      <c r="BF459" t="s">
        <v>3</v>
      </c>
      <c r="BG459" t="s">
        <v>3</v>
      </c>
      <c r="BH459" t="s">
        <v>3</v>
      </c>
      <c r="BI459" t="s">
        <v>3</v>
      </c>
      <c r="BJ459" t="s">
        <v>4983</v>
      </c>
      <c r="BK459" t="s">
        <v>3</v>
      </c>
      <c r="BL459" t="s">
        <v>96</v>
      </c>
      <c r="BM459" t="s">
        <v>1</v>
      </c>
      <c r="BN459">
        <v>12900</v>
      </c>
      <c r="BO459" t="s">
        <v>1</v>
      </c>
      <c r="BP459" t="s">
        <v>1</v>
      </c>
      <c r="BQ459" t="s">
        <v>1</v>
      </c>
      <c r="BR459" t="s">
        <v>1</v>
      </c>
      <c r="BS459" t="s">
        <v>1</v>
      </c>
      <c r="BT459" t="s">
        <v>1</v>
      </c>
      <c r="BU459" t="s">
        <v>1</v>
      </c>
      <c r="BV459" t="s">
        <v>1</v>
      </c>
      <c r="BW459" t="s">
        <v>0</v>
      </c>
      <c r="BX459" t="s">
        <v>1</v>
      </c>
      <c r="BY459" t="s">
        <v>1</v>
      </c>
      <c r="BZ459" t="s">
        <v>1</v>
      </c>
      <c r="CA459" t="s">
        <v>1</v>
      </c>
      <c r="CB459" t="s">
        <v>1</v>
      </c>
      <c r="CD459" t="e" cm="1">
        <f t="array" aca="1" ref="CD459" ca="1">eConcatenar(A459:CB459,"|")</f>
        <v>#NAME?</v>
      </c>
    </row>
    <row r="460" spans="1:82" x14ac:dyDescent="0.25">
      <c r="A460" t="s">
        <v>555</v>
      </c>
      <c r="B460" t="s">
        <v>1569</v>
      </c>
      <c r="C460">
        <v>3</v>
      </c>
      <c r="D460" t="s">
        <v>2153</v>
      </c>
      <c r="E460" t="s">
        <v>2158</v>
      </c>
      <c r="F460" t="s">
        <v>8</v>
      </c>
      <c r="G460" t="s">
        <v>2445</v>
      </c>
      <c r="H460" t="s">
        <v>2915</v>
      </c>
      <c r="I460">
        <v>14800</v>
      </c>
      <c r="J460">
        <v>0</v>
      </c>
      <c r="K460">
        <v>200</v>
      </c>
      <c r="L460">
        <v>50</v>
      </c>
      <c r="M460">
        <v>1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 t="s">
        <v>3178</v>
      </c>
      <c r="AC460" t="s">
        <v>3523</v>
      </c>
      <c r="AD460" t="s">
        <v>3426</v>
      </c>
      <c r="AE460" t="s">
        <v>4</v>
      </c>
      <c r="AF460" t="s">
        <v>1</v>
      </c>
      <c r="AG460" t="s">
        <v>1</v>
      </c>
      <c r="AH460" t="s">
        <v>4425</v>
      </c>
      <c r="AI460" t="s">
        <v>2445</v>
      </c>
      <c r="AJ460" t="s">
        <v>1</v>
      </c>
      <c r="AK460">
        <v>9371103854</v>
      </c>
      <c r="AL460" t="s">
        <v>1</v>
      </c>
      <c r="AM460" t="s">
        <v>1</v>
      </c>
      <c r="AN460" t="s">
        <v>1</v>
      </c>
      <c r="AO460" t="s">
        <v>4425</v>
      </c>
      <c r="AP460" t="s">
        <v>1</v>
      </c>
      <c r="AQ460" t="s">
        <v>2</v>
      </c>
      <c r="AR460" t="s">
        <v>1</v>
      </c>
      <c r="AS460" t="s">
        <v>1</v>
      </c>
      <c r="AT460" t="s">
        <v>1</v>
      </c>
      <c r="AU460" t="s">
        <v>1</v>
      </c>
      <c r="AV460" t="s">
        <v>1</v>
      </c>
      <c r="AW460" t="s">
        <v>9</v>
      </c>
      <c r="AX460">
        <f>Tabla1[[#This Row],[precio del paquete]]-Tabla1[[#This Row],[Saldo_Deudor]]</f>
        <v>800</v>
      </c>
      <c r="AY460">
        <v>14000</v>
      </c>
      <c r="AZ460">
        <v>0</v>
      </c>
      <c r="BA460">
        <v>0</v>
      </c>
      <c r="BB460">
        <v>0</v>
      </c>
      <c r="BC460" t="s">
        <v>3085</v>
      </c>
      <c r="BD460" t="s">
        <v>2796</v>
      </c>
      <c r="BE460" t="s">
        <v>3</v>
      </c>
      <c r="BF460" t="s">
        <v>3</v>
      </c>
      <c r="BG460" t="s">
        <v>3</v>
      </c>
      <c r="BH460" t="s">
        <v>3</v>
      </c>
      <c r="BI460" t="s">
        <v>3</v>
      </c>
      <c r="BJ460" t="s">
        <v>4993</v>
      </c>
      <c r="BK460" t="s">
        <v>3</v>
      </c>
      <c r="BL460" t="s">
        <v>96</v>
      </c>
      <c r="BM460" t="s">
        <v>1</v>
      </c>
      <c r="BN460">
        <v>14800</v>
      </c>
      <c r="BO460" t="s">
        <v>1</v>
      </c>
      <c r="BP460" t="s">
        <v>1</v>
      </c>
      <c r="BQ460" t="s">
        <v>1</v>
      </c>
      <c r="BR460" t="s">
        <v>1</v>
      </c>
      <c r="BS460" t="s">
        <v>1</v>
      </c>
      <c r="BT460" t="s">
        <v>1</v>
      </c>
      <c r="BU460" t="s">
        <v>1</v>
      </c>
      <c r="BV460" t="s">
        <v>1</v>
      </c>
      <c r="BW460" t="s">
        <v>0</v>
      </c>
      <c r="BX460" t="s">
        <v>1</v>
      </c>
      <c r="BY460" t="s">
        <v>1</v>
      </c>
      <c r="BZ460" t="s">
        <v>1</v>
      </c>
      <c r="CA460" t="s">
        <v>1</v>
      </c>
      <c r="CB460" t="s">
        <v>1</v>
      </c>
      <c r="CD460" t="e" cm="1">
        <f t="array" aca="1" ref="CD460" ca="1">eConcatenar(A460:CB460,"|")</f>
        <v>#NAME?</v>
      </c>
    </row>
    <row r="461" spans="1:82" x14ac:dyDescent="0.25">
      <c r="A461" t="s">
        <v>556</v>
      </c>
      <c r="B461" t="s">
        <v>1570</v>
      </c>
      <c r="C461">
        <v>3</v>
      </c>
      <c r="D461" t="s">
        <v>2153</v>
      </c>
      <c r="E461" t="s">
        <v>2158</v>
      </c>
      <c r="F461" t="s">
        <v>2161</v>
      </c>
      <c r="G461" t="s">
        <v>2446</v>
      </c>
      <c r="H461" t="s">
        <v>2722</v>
      </c>
      <c r="I461">
        <v>14800</v>
      </c>
      <c r="J461">
        <v>0</v>
      </c>
      <c r="K461">
        <v>200</v>
      </c>
      <c r="L461">
        <v>50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 t="s">
        <v>3162</v>
      </c>
      <c r="AC461" t="s">
        <v>3117</v>
      </c>
      <c r="AD461" t="s">
        <v>3477</v>
      </c>
      <c r="AE461" t="s">
        <v>4</v>
      </c>
      <c r="AF461" t="s">
        <v>1</v>
      </c>
      <c r="AG461" t="s">
        <v>1</v>
      </c>
      <c r="AH461" t="s">
        <v>4426</v>
      </c>
      <c r="AI461" t="s">
        <v>2446</v>
      </c>
      <c r="AJ461" t="s">
        <v>1</v>
      </c>
      <c r="AK461">
        <v>9141001169</v>
      </c>
      <c r="AL461" t="s">
        <v>1</v>
      </c>
      <c r="AM461" t="s">
        <v>1</v>
      </c>
      <c r="AN461" t="s">
        <v>1</v>
      </c>
      <c r="AO461" t="s">
        <v>4426</v>
      </c>
      <c r="AP461" t="s">
        <v>1</v>
      </c>
      <c r="AQ461" t="s">
        <v>2</v>
      </c>
      <c r="AR461" t="s">
        <v>1</v>
      </c>
      <c r="AS461" t="s">
        <v>1</v>
      </c>
      <c r="AT461" t="s">
        <v>1</v>
      </c>
      <c r="AU461" t="s">
        <v>1</v>
      </c>
      <c r="AV461" t="s">
        <v>1</v>
      </c>
      <c r="AW461" t="s">
        <v>9</v>
      </c>
      <c r="AX461">
        <f>Tabla1[[#This Row],[precio del paquete]]-Tabla1[[#This Row],[Saldo_Deudor]]</f>
        <v>1300</v>
      </c>
      <c r="AY461">
        <v>13500</v>
      </c>
      <c r="AZ461">
        <v>0</v>
      </c>
      <c r="BA461">
        <v>0</v>
      </c>
      <c r="BB461">
        <v>0</v>
      </c>
      <c r="BC461" t="s">
        <v>3098</v>
      </c>
      <c r="BD461" t="s">
        <v>4829</v>
      </c>
      <c r="BE461" t="s">
        <v>3</v>
      </c>
      <c r="BF461" t="s">
        <v>3</v>
      </c>
      <c r="BG461" t="s">
        <v>3</v>
      </c>
      <c r="BH461" t="s">
        <v>3</v>
      </c>
      <c r="BI461" t="s">
        <v>3</v>
      </c>
      <c r="BJ461" t="s">
        <v>4983</v>
      </c>
      <c r="BK461" t="s">
        <v>3</v>
      </c>
      <c r="BL461" t="s">
        <v>96</v>
      </c>
      <c r="BM461" t="s">
        <v>1</v>
      </c>
      <c r="BN461">
        <v>14800</v>
      </c>
      <c r="BO461" t="s">
        <v>1</v>
      </c>
      <c r="BP461" t="s">
        <v>1</v>
      </c>
      <c r="BQ461" t="s">
        <v>1</v>
      </c>
      <c r="BR461" t="s">
        <v>1</v>
      </c>
      <c r="BS461" t="s">
        <v>1</v>
      </c>
      <c r="BT461" t="s">
        <v>1</v>
      </c>
      <c r="BU461" t="s">
        <v>1</v>
      </c>
      <c r="BV461" t="s">
        <v>1</v>
      </c>
      <c r="BW461" t="s">
        <v>0</v>
      </c>
      <c r="BX461" t="s">
        <v>1</v>
      </c>
      <c r="BY461" t="s">
        <v>1</v>
      </c>
      <c r="BZ461" t="s">
        <v>1</v>
      </c>
      <c r="CA461" t="s">
        <v>1</v>
      </c>
      <c r="CB461" t="s">
        <v>1</v>
      </c>
      <c r="CD461" t="e" cm="1">
        <f t="array" aca="1" ref="CD461" ca="1">eConcatenar(A461:CB461,"|")</f>
        <v>#NAME?</v>
      </c>
    </row>
    <row r="462" spans="1:82" x14ac:dyDescent="0.25">
      <c r="A462" t="s">
        <v>557</v>
      </c>
      <c r="B462" t="s">
        <v>1571</v>
      </c>
      <c r="C462">
        <v>3</v>
      </c>
      <c r="D462" t="s">
        <v>2153</v>
      </c>
      <c r="E462" t="s">
        <v>2158</v>
      </c>
      <c r="F462" t="s">
        <v>2161</v>
      </c>
      <c r="G462" t="s">
        <v>2446</v>
      </c>
      <c r="H462" t="s">
        <v>2790</v>
      </c>
      <c r="I462">
        <v>14800</v>
      </c>
      <c r="J462">
        <v>0</v>
      </c>
      <c r="K462">
        <v>200</v>
      </c>
      <c r="L462">
        <v>50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 t="s">
        <v>3117</v>
      </c>
      <c r="AC462" t="s">
        <v>3693</v>
      </c>
      <c r="AD462" t="s">
        <v>3237</v>
      </c>
      <c r="AE462" t="s">
        <v>4</v>
      </c>
      <c r="AF462" t="s">
        <v>1</v>
      </c>
      <c r="AG462" t="s">
        <v>1</v>
      </c>
      <c r="AH462" t="s">
        <v>4426</v>
      </c>
      <c r="AI462" t="s">
        <v>2446</v>
      </c>
      <c r="AJ462" t="s">
        <v>1</v>
      </c>
      <c r="AK462">
        <v>9141185184</v>
      </c>
      <c r="AL462" t="s">
        <v>1</v>
      </c>
      <c r="AM462" t="s">
        <v>1</v>
      </c>
      <c r="AN462" t="s">
        <v>1</v>
      </c>
      <c r="AO462" t="s">
        <v>4426</v>
      </c>
      <c r="AP462" t="s">
        <v>1</v>
      </c>
      <c r="AQ462" t="s">
        <v>2</v>
      </c>
      <c r="AR462" t="s">
        <v>1</v>
      </c>
      <c r="AS462" t="s">
        <v>1</v>
      </c>
      <c r="AT462" t="s">
        <v>1</v>
      </c>
      <c r="AU462" t="s">
        <v>1</v>
      </c>
      <c r="AV462" t="s">
        <v>1</v>
      </c>
      <c r="AW462" t="s">
        <v>9</v>
      </c>
      <c r="AX462">
        <f>Tabla1[[#This Row],[precio del paquete]]-Tabla1[[#This Row],[Saldo_Deudor]]</f>
        <v>2600</v>
      </c>
      <c r="AY462">
        <v>12200</v>
      </c>
      <c r="AZ462">
        <v>0</v>
      </c>
      <c r="BA462">
        <v>0</v>
      </c>
      <c r="BB462">
        <v>0</v>
      </c>
      <c r="BC462" t="s">
        <v>3098</v>
      </c>
      <c r="BD462" t="s">
        <v>4829</v>
      </c>
      <c r="BE462" t="s">
        <v>3</v>
      </c>
      <c r="BF462" t="s">
        <v>3</v>
      </c>
      <c r="BG462" t="s">
        <v>3</v>
      </c>
      <c r="BH462" t="s">
        <v>3</v>
      </c>
      <c r="BI462" t="s">
        <v>3</v>
      </c>
      <c r="BJ462" t="s">
        <v>4983</v>
      </c>
      <c r="BK462" t="s">
        <v>3</v>
      </c>
      <c r="BL462" t="s">
        <v>96</v>
      </c>
      <c r="BM462" t="s">
        <v>1</v>
      </c>
      <c r="BN462">
        <v>14800</v>
      </c>
      <c r="BO462" t="s">
        <v>1</v>
      </c>
      <c r="BP462" t="s">
        <v>1</v>
      </c>
      <c r="BQ462" t="s">
        <v>1</v>
      </c>
      <c r="BR462" t="s">
        <v>1</v>
      </c>
      <c r="BS462" t="s">
        <v>1</v>
      </c>
      <c r="BT462" t="s">
        <v>1</v>
      </c>
      <c r="BU462" t="s">
        <v>1</v>
      </c>
      <c r="BV462" t="s">
        <v>1</v>
      </c>
      <c r="BW462" t="s">
        <v>0</v>
      </c>
      <c r="BX462" t="s">
        <v>1</v>
      </c>
      <c r="BY462" t="s">
        <v>1</v>
      </c>
      <c r="BZ462" t="s">
        <v>1</v>
      </c>
      <c r="CA462" t="s">
        <v>1</v>
      </c>
      <c r="CB462" t="s">
        <v>1</v>
      </c>
      <c r="CD462" t="e" cm="1">
        <f t="array" aca="1" ref="CD462" ca="1">eConcatenar(A462:CB462,"|")</f>
        <v>#NAME?</v>
      </c>
    </row>
    <row r="463" spans="1:82" x14ac:dyDescent="0.25">
      <c r="A463" t="s">
        <v>558</v>
      </c>
      <c r="B463" t="s">
        <v>1572</v>
      </c>
      <c r="C463">
        <v>3</v>
      </c>
      <c r="D463" t="s">
        <v>2153</v>
      </c>
      <c r="E463" t="s">
        <v>2158</v>
      </c>
      <c r="F463" t="s">
        <v>2161</v>
      </c>
      <c r="G463" t="s">
        <v>2447</v>
      </c>
      <c r="H463" t="s">
        <v>2702</v>
      </c>
      <c r="I463">
        <v>14800</v>
      </c>
      <c r="J463">
        <v>0</v>
      </c>
      <c r="K463">
        <v>100</v>
      </c>
      <c r="L463">
        <v>50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 t="s">
        <v>3132</v>
      </c>
      <c r="AC463" t="s">
        <v>3148</v>
      </c>
      <c r="AD463" t="s">
        <v>3694</v>
      </c>
      <c r="AE463" t="s">
        <v>4</v>
      </c>
      <c r="AF463" t="s">
        <v>1</v>
      </c>
      <c r="AG463" t="s">
        <v>1</v>
      </c>
      <c r="AH463" t="s">
        <v>4427</v>
      </c>
      <c r="AI463" t="s">
        <v>2447</v>
      </c>
      <c r="AJ463" t="s">
        <v>1</v>
      </c>
      <c r="AK463">
        <v>9141379037</v>
      </c>
      <c r="AL463" t="s">
        <v>1</v>
      </c>
      <c r="AM463" t="s">
        <v>1</v>
      </c>
      <c r="AN463" t="s">
        <v>1</v>
      </c>
      <c r="AO463" t="s">
        <v>4427</v>
      </c>
      <c r="AP463" t="s">
        <v>1</v>
      </c>
      <c r="AQ463" t="s">
        <v>2</v>
      </c>
      <c r="AR463" t="s">
        <v>1</v>
      </c>
      <c r="AS463" t="s">
        <v>1</v>
      </c>
      <c r="AT463" t="s">
        <v>1</v>
      </c>
      <c r="AU463" t="s">
        <v>1</v>
      </c>
      <c r="AV463" t="s">
        <v>1</v>
      </c>
      <c r="AW463" t="s">
        <v>9</v>
      </c>
      <c r="AX463">
        <f>Tabla1[[#This Row],[precio del paquete]]-Tabla1[[#This Row],[Saldo_Deudor]]</f>
        <v>500</v>
      </c>
      <c r="AY463">
        <v>14300</v>
      </c>
      <c r="AZ463">
        <v>0</v>
      </c>
      <c r="BA463">
        <v>0</v>
      </c>
      <c r="BB463">
        <v>0</v>
      </c>
      <c r="BC463" t="s">
        <v>3017</v>
      </c>
      <c r="BD463" t="s">
        <v>2838</v>
      </c>
      <c r="BE463" t="s">
        <v>3</v>
      </c>
      <c r="BF463" t="s">
        <v>3</v>
      </c>
      <c r="BG463" t="s">
        <v>3</v>
      </c>
      <c r="BH463" t="s">
        <v>3</v>
      </c>
      <c r="BI463" t="s">
        <v>3</v>
      </c>
      <c r="BJ463" t="s">
        <v>4983</v>
      </c>
      <c r="BK463" t="s">
        <v>3</v>
      </c>
      <c r="BL463" t="s">
        <v>96</v>
      </c>
      <c r="BM463" t="s">
        <v>1</v>
      </c>
      <c r="BN463">
        <v>14800</v>
      </c>
      <c r="BO463" t="s">
        <v>1</v>
      </c>
      <c r="BP463" t="s">
        <v>1</v>
      </c>
      <c r="BQ463" t="s">
        <v>1</v>
      </c>
      <c r="BR463" t="s">
        <v>1</v>
      </c>
      <c r="BS463" t="s">
        <v>1</v>
      </c>
      <c r="BT463" t="s">
        <v>1</v>
      </c>
      <c r="BU463" t="s">
        <v>1</v>
      </c>
      <c r="BV463" t="s">
        <v>1</v>
      </c>
      <c r="BW463" t="s">
        <v>0</v>
      </c>
      <c r="BX463" t="s">
        <v>1</v>
      </c>
      <c r="BY463" t="s">
        <v>1</v>
      </c>
      <c r="BZ463" t="s">
        <v>1</v>
      </c>
      <c r="CA463" t="s">
        <v>1</v>
      </c>
      <c r="CB463" t="s">
        <v>1</v>
      </c>
      <c r="CD463" t="e" cm="1">
        <f t="array" aca="1" ref="CD463" ca="1">eConcatenar(A463:CB463,"|")</f>
        <v>#NAME?</v>
      </c>
    </row>
    <row r="464" spans="1:82" x14ac:dyDescent="0.25">
      <c r="A464" t="s">
        <v>559</v>
      </c>
      <c r="B464" t="s">
        <v>1573</v>
      </c>
      <c r="C464">
        <v>3</v>
      </c>
      <c r="D464" t="s">
        <v>2153</v>
      </c>
      <c r="E464" t="s">
        <v>2158</v>
      </c>
      <c r="F464" t="s">
        <v>2161</v>
      </c>
      <c r="G464" t="s">
        <v>2447</v>
      </c>
      <c r="H464" t="s">
        <v>2807</v>
      </c>
      <c r="I464">
        <v>14800</v>
      </c>
      <c r="J464">
        <v>0</v>
      </c>
      <c r="K464">
        <v>100</v>
      </c>
      <c r="L464">
        <v>50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 t="s">
        <v>3135</v>
      </c>
      <c r="AC464" t="s">
        <v>3134</v>
      </c>
      <c r="AD464" t="s">
        <v>3250</v>
      </c>
      <c r="AE464" t="s">
        <v>4</v>
      </c>
      <c r="AF464" t="s">
        <v>1</v>
      </c>
      <c r="AG464" t="s">
        <v>1</v>
      </c>
      <c r="AH464" t="s">
        <v>4097</v>
      </c>
      <c r="AI464" t="s">
        <v>2447</v>
      </c>
      <c r="AJ464" t="s">
        <v>1</v>
      </c>
      <c r="AK464">
        <v>9141352886</v>
      </c>
      <c r="AL464" t="s">
        <v>1</v>
      </c>
      <c r="AM464" t="s">
        <v>1</v>
      </c>
      <c r="AN464" t="s">
        <v>1</v>
      </c>
      <c r="AO464" t="s">
        <v>4097</v>
      </c>
      <c r="AP464" t="s">
        <v>1</v>
      </c>
      <c r="AQ464" t="s">
        <v>2</v>
      </c>
      <c r="AR464" t="s">
        <v>1</v>
      </c>
      <c r="AS464" t="s">
        <v>1</v>
      </c>
      <c r="AT464" t="s">
        <v>1</v>
      </c>
      <c r="AU464" t="s">
        <v>1</v>
      </c>
      <c r="AV464" t="s">
        <v>1</v>
      </c>
      <c r="AW464" t="s">
        <v>9</v>
      </c>
      <c r="AX464">
        <f>Tabla1[[#This Row],[precio del paquete]]-Tabla1[[#This Row],[Saldo_Deudor]]</f>
        <v>0</v>
      </c>
      <c r="AY464">
        <v>14800</v>
      </c>
      <c r="AZ464">
        <v>0</v>
      </c>
      <c r="BA464">
        <v>0</v>
      </c>
      <c r="BB464">
        <v>0</v>
      </c>
      <c r="BC464" t="s">
        <v>2905</v>
      </c>
      <c r="BD464" t="s">
        <v>3024</v>
      </c>
      <c r="BE464" t="s">
        <v>3</v>
      </c>
      <c r="BF464" t="s">
        <v>3</v>
      </c>
      <c r="BG464" t="s">
        <v>3</v>
      </c>
      <c r="BH464" t="s">
        <v>3</v>
      </c>
      <c r="BI464" t="s">
        <v>3</v>
      </c>
      <c r="BJ464" t="s">
        <v>4986</v>
      </c>
      <c r="BK464" t="s">
        <v>3</v>
      </c>
      <c r="BL464" t="s">
        <v>96</v>
      </c>
      <c r="BM464" t="s">
        <v>1</v>
      </c>
      <c r="BN464">
        <v>14800</v>
      </c>
      <c r="BO464" t="s">
        <v>1</v>
      </c>
      <c r="BP464" t="s">
        <v>1</v>
      </c>
      <c r="BQ464" t="s">
        <v>1</v>
      </c>
      <c r="BR464" t="s">
        <v>1</v>
      </c>
      <c r="BS464" t="s">
        <v>1</v>
      </c>
      <c r="BT464" t="s">
        <v>1</v>
      </c>
      <c r="BU464" t="s">
        <v>1</v>
      </c>
      <c r="BV464" t="s">
        <v>1</v>
      </c>
      <c r="BW464" t="s">
        <v>0</v>
      </c>
      <c r="BX464" t="s">
        <v>1</v>
      </c>
      <c r="BY464" t="s">
        <v>1</v>
      </c>
      <c r="BZ464" t="s">
        <v>1</v>
      </c>
      <c r="CA464" t="s">
        <v>1</v>
      </c>
      <c r="CB464" t="s">
        <v>1</v>
      </c>
      <c r="CD464" t="e" cm="1">
        <f t="array" aca="1" ref="CD464" ca="1">eConcatenar(A464:CB464,"|")</f>
        <v>#NAME?</v>
      </c>
    </row>
    <row r="465" spans="1:82" x14ac:dyDescent="0.25">
      <c r="A465" t="s">
        <v>560</v>
      </c>
      <c r="B465" t="s">
        <v>1574</v>
      </c>
      <c r="C465">
        <v>3</v>
      </c>
      <c r="D465" t="s">
        <v>2153</v>
      </c>
      <c r="E465" t="s">
        <v>2158</v>
      </c>
      <c r="F465" t="s">
        <v>0</v>
      </c>
      <c r="G465" t="s">
        <v>2448</v>
      </c>
      <c r="H465" t="s">
        <v>2797</v>
      </c>
      <c r="I465">
        <v>14800</v>
      </c>
      <c r="J465">
        <v>0</v>
      </c>
      <c r="K465">
        <v>200</v>
      </c>
      <c r="L465">
        <v>50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 t="s">
        <v>3240</v>
      </c>
      <c r="AC465" t="s">
        <v>6</v>
      </c>
      <c r="AD465" t="s">
        <v>7</v>
      </c>
      <c r="AE465" t="s">
        <v>4</v>
      </c>
      <c r="AF465" t="s">
        <v>1</v>
      </c>
      <c r="AG465" t="s">
        <v>1</v>
      </c>
      <c r="AH465" t="s">
        <v>2448</v>
      </c>
      <c r="AI465" t="s">
        <v>2448</v>
      </c>
      <c r="AJ465" t="s">
        <v>1</v>
      </c>
      <c r="AK465">
        <v>9984902223</v>
      </c>
      <c r="AL465" t="s">
        <v>1</v>
      </c>
      <c r="AM465" t="s">
        <v>1</v>
      </c>
      <c r="AN465" t="s">
        <v>1</v>
      </c>
      <c r="AO465" t="s">
        <v>2448</v>
      </c>
      <c r="AP465" t="s">
        <v>1</v>
      </c>
      <c r="AQ465" t="s">
        <v>2</v>
      </c>
      <c r="AR465" t="s">
        <v>1</v>
      </c>
      <c r="AS465" t="s">
        <v>1</v>
      </c>
      <c r="AT465" t="s">
        <v>1</v>
      </c>
      <c r="AU465" t="s">
        <v>1</v>
      </c>
      <c r="AV465" t="s">
        <v>1</v>
      </c>
      <c r="AW465" t="s">
        <v>9</v>
      </c>
      <c r="AX465">
        <f>Tabla1[[#This Row],[precio del paquete]]-Tabla1[[#This Row],[Saldo_Deudor]]</f>
        <v>1600</v>
      </c>
      <c r="AY465">
        <v>13200</v>
      </c>
      <c r="AZ465">
        <v>0</v>
      </c>
      <c r="BA465">
        <v>0</v>
      </c>
      <c r="BB465">
        <v>0</v>
      </c>
      <c r="BC465" t="s">
        <v>3061</v>
      </c>
      <c r="BD465" t="s">
        <v>3040</v>
      </c>
      <c r="BE465" t="s">
        <v>3</v>
      </c>
      <c r="BF465" t="s">
        <v>3</v>
      </c>
      <c r="BG465" t="s">
        <v>3</v>
      </c>
      <c r="BH465" t="s">
        <v>3</v>
      </c>
      <c r="BI465" t="s">
        <v>3</v>
      </c>
      <c r="BJ465" t="s">
        <v>4986</v>
      </c>
      <c r="BK465" t="s">
        <v>3</v>
      </c>
      <c r="BL465" t="s">
        <v>96</v>
      </c>
      <c r="BM465" t="s">
        <v>1</v>
      </c>
      <c r="BN465">
        <v>14800</v>
      </c>
      <c r="BO465" t="s">
        <v>1</v>
      </c>
      <c r="BP465" t="s">
        <v>1</v>
      </c>
      <c r="BQ465" t="s">
        <v>1</v>
      </c>
      <c r="BR465" t="s">
        <v>1</v>
      </c>
      <c r="BS465" t="s">
        <v>1</v>
      </c>
      <c r="BT465" t="s">
        <v>1</v>
      </c>
      <c r="BU465" t="s">
        <v>1</v>
      </c>
      <c r="BV465" t="s">
        <v>1</v>
      </c>
      <c r="BW465" t="s">
        <v>0</v>
      </c>
      <c r="BX465" t="s">
        <v>1</v>
      </c>
      <c r="BY465" t="s">
        <v>1</v>
      </c>
      <c r="BZ465" t="s">
        <v>1</v>
      </c>
      <c r="CA465" t="s">
        <v>1</v>
      </c>
      <c r="CB465" t="s">
        <v>1</v>
      </c>
      <c r="CD465" t="e" cm="1">
        <f t="array" aca="1" ref="CD465" ca="1">eConcatenar(A465:CB465,"|")</f>
        <v>#NAME?</v>
      </c>
    </row>
    <row r="466" spans="1:82" x14ac:dyDescent="0.25">
      <c r="A466" t="s">
        <v>561</v>
      </c>
      <c r="B466" t="s">
        <v>1575</v>
      </c>
      <c r="C466">
        <v>3</v>
      </c>
      <c r="D466" t="s">
        <v>2153</v>
      </c>
      <c r="E466" t="s">
        <v>2158</v>
      </c>
      <c r="F466" t="s">
        <v>0</v>
      </c>
      <c r="G466" t="s">
        <v>2449</v>
      </c>
      <c r="H466" t="s">
        <v>2916</v>
      </c>
      <c r="I466">
        <v>14800</v>
      </c>
      <c r="J466">
        <v>0</v>
      </c>
      <c r="K466">
        <v>500</v>
      </c>
      <c r="L466">
        <v>50</v>
      </c>
      <c r="M466">
        <v>2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 t="s">
        <v>3148</v>
      </c>
      <c r="AC466" t="s">
        <v>3115</v>
      </c>
      <c r="AD466" t="s">
        <v>3695</v>
      </c>
      <c r="AE466" t="s">
        <v>4</v>
      </c>
      <c r="AF466" t="s">
        <v>1</v>
      </c>
      <c r="AG466" t="s">
        <v>1</v>
      </c>
      <c r="AH466" t="s">
        <v>4428</v>
      </c>
      <c r="AI466" t="s">
        <v>2449</v>
      </c>
      <c r="AJ466" t="s">
        <v>1</v>
      </c>
      <c r="AK466">
        <v>9371142535</v>
      </c>
      <c r="AL466" t="s">
        <v>1</v>
      </c>
      <c r="AM466" t="s">
        <v>1</v>
      </c>
      <c r="AN466" t="s">
        <v>1</v>
      </c>
      <c r="AO466" t="s">
        <v>4428</v>
      </c>
      <c r="AP466" t="s">
        <v>1</v>
      </c>
      <c r="AQ466" t="s">
        <v>2</v>
      </c>
      <c r="AR466" t="s">
        <v>1</v>
      </c>
      <c r="AS466" t="s">
        <v>1</v>
      </c>
      <c r="AT466" t="s">
        <v>1</v>
      </c>
      <c r="AU466" t="s">
        <v>1</v>
      </c>
      <c r="AV466" t="s">
        <v>1</v>
      </c>
      <c r="AW466" t="s">
        <v>9</v>
      </c>
      <c r="AX466">
        <f>Tabla1[[#This Row],[precio del paquete]]-Tabla1[[#This Row],[Saldo_Deudor]]</f>
        <v>500</v>
      </c>
      <c r="AY466">
        <v>14300</v>
      </c>
      <c r="AZ466">
        <v>0</v>
      </c>
      <c r="BA466">
        <v>0</v>
      </c>
      <c r="BB466">
        <v>0</v>
      </c>
      <c r="BC466" t="s">
        <v>2906</v>
      </c>
      <c r="BD466" t="s">
        <v>4898</v>
      </c>
      <c r="BE466" t="s">
        <v>3</v>
      </c>
      <c r="BF466" t="s">
        <v>3</v>
      </c>
      <c r="BG466" t="s">
        <v>3</v>
      </c>
      <c r="BH466" t="s">
        <v>3</v>
      </c>
      <c r="BI466" t="s">
        <v>3</v>
      </c>
      <c r="BJ466" t="s">
        <v>4987</v>
      </c>
      <c r="BK466" t="s">
        <v>3</v>
      </c>
      <c r="BL466" t="s">
        <v>96</v>
      </c>
      <c r="BM466" t="s">
        <v>1</v>
      </c>
      <c r="BN466">
        <v>14800</v>
      </c>
      <c r="BO466" t="s">
        <v>1</v>
      </c>
      <c r="BP466" t="s">
        <v>1</v>
      </c>
      <c r="BQ466" t="s">
        <v>1</v>
      </c>
      <c r="BR466" t="s">
        <v>1</v>
      </c>
      <c r="BS466" t="s">
        <v>1</v>
      </c>
      <c r="BT466" t="s">
        <v>1</v>
      </c>
      <c r="BU466" t="s">
        <v>1</v>
      </c>
      <c r="BV466" t="s">
        <v>1</v>
      </c>
      <c r="BW466" t="s">
        <v>0</v>
      </c>
      <c r="BX466" t="s">
        <v>1</v>
      </c>
      <c r="BY466" t="s">
        <v>1</v>
      </c>
      <c r="BZ466" t="s">
        <v>1</v>
      </c>
      <c r="CA466" t="s">
        <v>1</v>
      </c>
      <c r="CB466" t="s">
        <v>1</v>
      </c>
      <c r="CD466" t="e" cm="1">
        <f t="array" aca="1" ref="CD466" ca="1">eConcatenar(A466:CB466,"|")</f>
        <v>#NAME?</v>
      </c>
    </row>
    <row r="467" spans="1:82" x14ac:dyDescent="0.25">
      <c r="A467" t="s">
        <v>562</v>
      </c>
      <c r="B467" t="s">
        <v>1576</v>
      </c>
      <c r="C467">
        <v>3</v>
      </c>
      <c r="D467" t="s">
        <v>2153</v>
      </c>
      <c r="E467" t="s">
        <v>2158</v>
      </c>
      <c r="F467" t="s">
        <v>0</v>
      </c>
      <c r="G467" t="s">
        <v>2449</v>
      </c>
      <c r="H467" t="s">
        <v>2797</v>
      </c>
      <c r="I467">
        <v>14800</v>
      </c>
      <c r="J467">
        <v>0</v>
      </c>
      <c r="K467">
        <v>50</v>
      </c>
      <c r="L467">
        <v>50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 t="s">
        <v>3159</v>
      </c>
      <c r="AC467" t="s">
        <v>3236</v>
      </c>
      <c r="AD467" t="s">
        <v>3696</v>
      </c>
      <c r="AE467" t="s">
        <v>4</v>
      </c>
      <c r="AF467" t="s">
        <v>1</v>
      </c>
      <c r="AG467" t="s">
        <v>1</v>
      </c>
      <c r="AH467" t="s">
        <v>4429</v>
      </c>
      <c r="AI467" t="s">
        <v>2449</v>
      </c>
      <c r="AJ467" t="s">
        <v>1</v>
      </c>
      <c r="AK467">
        <v>9371702826</v>
      </c>
      <c r="AL467" t="s">
        <v>1</v>
      </c>
      <c r="AM467" t="s">
        <v>1</v>
      </c>
      <c r="AN467" t="s">
        <v>1</v>
      </c>
      <c r="AO467" t="s">
        <v>4429</v>
      </c>
      <c r="AP467" t="s">
        <v>1</v>
      </c>
      <c r="AQ467" t="s">
        <v>2</v>
      </c>
      <c r="AR467" t="s">
        <v>1</v>
      </c>
      <c r="AS467" t="s">
        <v>1</v>
      </c>
      <c r="AT467" t="s">
        <v>1</v>
      </c>
      <c r="AU467" t="s">
        <v>1</v>
      </c>
      <c r="AV467" t="s">
        <v>1</v>
      </c>
      <c r="AW467" t="s">
        <v>9</v>
      </c>
      <c r="AX467">
        <f>Tabla1[[#This Row],[precio del paquete]]-Tabla1[[#This Row],[Saldo_Deudor]]</f>
        <v>1800</v>
      </c>
      <c r="AY467">
        <v>13000</v>
      </c>
      <c r="AZ467">
        <v>0</v>
      </c>
      <c r="BA467">
        <v>0</v>
      </c>
      <c r="BB467">
        <v>0</v>
      </c>
      <c r="BC467" t="s">
        <v>3102</v>
      </c>
      <c r="BD467" t="s">
        <v>4897</v>
      </c>
      <c r="BE467" t="s">
        <v>3</v>
      </c>
      <c r="BF467" t="s">
        <v>3</v>
      </c>
      <c r="BG467" t="s">
        <v>3</v>
      </c>
      <c r="BH467" t="s">
        <v>3</v>
      </c>
      <c r="BI467" t="s">
        <v>3</v>
      </c>
      <c r="BJ467" t="s">
        <v>4987</v>
      </c>
      <c r="BK467" t="s">
        <v>3</v>
      </c>
      <c r="BL467" t="s">
        <v>96</v>
      </c>
      <c r="BM467" t="s">
        <v>1</v>
      </c>
      <c r="BN467">
        <v>14800</v>
      </c>
      <c r="BO467" t="s">
        <v>1</v>
      </c>
      <c r="BP467" t="s">
        <v>1</v>
      </c>
      <c r="BQ467" t="s">
        <v>1</v>
      </c>
      <c r="BR467" t="s">
        <v>1</v>
      </c>
      <c r="BS467" t="s">
        <v>1</v>
      </c>
      <c r="BT467" t="s">
        <v>1</v>
      </c>
      <c r="BU467" t="s">
        <v>1</v>
      </c>
      <c r="BV467" t="s">
        <v>1</v>
      </c>
      <c r="BW467" t="s">
        <v>0</v>
      </c>
      <c r="BX467" t="s">
        <v>1</v>
      </c>
      <c r="BY467" t="s">
        <v>1</v>
      </c>
      <c r="BZ467" t="s">
        <v>1</v>
      </c>
      <c r="CA467" t="s">
        <v>1</v>
      </c>
      <c r="CB467" t="s">
        <v>1</v>
      </c>
      <c r="CD467" t="e" cm="1">
        <f t="array" aca="1" ref="CD467" ca="1">eConcatenar(A467:CB467,"|")</f>
        <v>#NAME?</v>
      </c>
    </row>
    <row r="468" spans="1:82" x14ac:dyDescent="0.25">
      <c r="A468" t="s">
        <v>563</v>
      </c>
      <c r="B468" t="s">
        <v>1577</v>
      </c>
      <c r="C468">
        <v>3</v>
      </c>
      <c r="D468" t="s">
        <v>2156</v>
      </c>
      <c r="E468" t="s">
        <v>2158</v>
      </c>
      <c r="F468" t="s">
        <v>0</v>
      </c>
      <c r="G468" t="s">
        <v>2450</v>
      </c>
      <c r="H468" t="s">
        <v>2917</v>
      </c>
      <c r="I468">
        <v>19800</v>
      </c>
      <c r="J468">
        <v>0</v>
      </c>
      <c r="K468">
        <v>200</v>
      </c>
      <c r="L468">
        <v>50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 t="s">
        <v>3288</v>
      </c>
      <c r="AC468" t="s">
        <v>5</v>
      </c>
      <c r="AD468" t="s">
        <v>3697</v>
      </c>
      <c r="AE468" t="s">
        <v>4</v>
      </c>
      <c r="AF468" t="s">
        <v>1</v>
      </c>
      <c r="AG468" t="s">
        <v>1</v>
      </c>
      <c r="AH468" t="s">
        <v>4430</v>
      </c>
      <c r="AI468" t="s">
        <v>2450</v>
      </c>
      <c r="AJ468" t="s">
        <v>1</v>
      </c>
      <c r="AK468">
        <v>9372836122</v>
      </c>
      <c r="AL468" t="s">
        <v>1</v>
      </c>
      <c r="AM468" t="s">
        <v>1</v>
      </c>
      <c r="AN468" t="s">
        <v>1</v>
      </c>
      <c r="AO468" t="s">
        <v>4430</v>
      </c>
      <c r="AP468" t="s">
        <v>1</v>
      </c>
      <c r="AQ468" t="s">
        <v>2</v>
      </c>
      <c r="AR468" t="s">
        <v>1</v>
      </c>
      <c r="AS468" t="s">
        <v>1</v>
      </c>
      <c r="AT468" t="s">
        <v>1</v>
      </c>
      <c r="AU468" t="s">
        <v>1</v>
      </c>
      <c r="AV468" t="s">
        <v>1</v>
      </c>
      <c r="AW468" t="s">
        <v>9</v>
      </c>
      <c r="AX468">
        <f>Tabla1[[#This Row],[precio del paquete]]-Tabla1[[#This Row],[Saldo_Deudor]]</f>
        <v>7500</v>
      </c>
      <c r="AY468">
        <v>12300</v>
      </c>
      <c r="AZ468">
        <v>0</v>
      </c>
      <c r="BA468">
        <v>0</v>
      </c>
      <c r="BB468">
        <v>0</v>
      </c>
      <c r="BC468" t="s">
        <v>4834</v>
      </c>
      <c r="BD468" t="s">
        <v>4915</v>
      </c>
      <c r="BE468" t="s">
        <v>3</v>
      </c>
      <c r="BF468" t="s">
        <v>3</v>
      </c>
      <c r="BG468" t="s">
        <v>3</v>
      </c>
      <c r="BH468" t="s">
        <v>3</v>
      </c>
      <c r="BI468" t="s">
        <v>3</v>
      </c>
      <c r="BJ468" t="s">
        <v>4987</v>
      </c>
      <c r="BK468" t="s">
        <v>3</v>
      </c>
      <c r="BL468" t="s">
        <v>96</v>
      </c>
      <c r="BM468" t="s">
        <v>1</v>
      </c>
      <c r="BN468">
        <v>19800</v>
      </c>
      <c r="BO468" t="s">
        <v>1</v>
      </c>
      <c r="BP468" t="s">
        <v>1</v>
      </c>
      <c r="BQ468" t="s">
        <v>1</v>
      </c>
      <c r="BR468" t="s">
        <v>1</v>
      </c>
      <c r="BS468" t="s">
        <v>1</v>
      </c>
      <c r="BT468" t="s">
        <v>1</v>
      </c>
      <c r="BU468" t="s">
        <v>1</v>
      </c>
      <c r="BV468" t="s">
        <v>1</v>
      </c>
      <c r="BW468" t="s">
        <v>0</v>
      </c>
      <c r="BX468" t="s">
        <v>1</v>
      </c>
      <c r="BY468" t="s">
        <v>1</v>
      </c>
      <c r="BZ468" t="s">
        <v>1</v>
      </c>
      <c r="CA468" t="s">
        <v>1</v>
      </c>
      <c r="CB468" t="s">
        <v>1</v>
      </c>
      <c r="CD468" t="e" cm="1">
        <f t="array" aca="1" ref="CD468" ca="1">eConcatenar(A468:CB468,"|")</f>
        <v>#NAME?</v>
      </c>
    </row>
    <row r="469" spans="1:82" x14ac:dyDescent="0.25">
      <c r="A469" t="s">
        <v>564</v>
      </c>
      <c r="B469" t="s">
        <v>1578</v>
      </c>
      <c r="C469">
        <v>3</v>
      </c>
      <c r="D469" t="s">
        <v>2153</v>
      </c>
      <c r="E469" t="s">
        <v>2158</v>
      </c>
      <c r="F469" t="s">
        <v>0</v>
      </c>
      <c r="G469" t="s">
        <v>2450</v>
      </c>
      <c r="H469" t="s">
        <v>2813</v>
      </c>
      <c r="I469">
        <v>14800</v>
      </c>
      <c r="J469">
        <v>0</v>
      </c>
      <c r="K469">
        <v>100</v>
      </c>
      <c r="L469">
        <v>50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 t="s">
        <v>3132</v>
      </c>
      <c r="AC469" t="s">
        <v>3698</v>
      </c>
      <c r="AD469" t="s">
        <v>3699</v>
      </c>
      <c r="AE469" t="s">
        <v>4</v>
      </c>
      <c r="AF469" t="s">
        <v>1</v>
      </c>
      <c r="AG469" t="s">
        <v>1</v>
      </c>
      <c r="AH469" t="s">
        <v>4431</v>
      </c>
      <c r="AI469" t="s">
        <v>2450</v>
      </c>
      <c r="AJ469" t="s">
        <v>1</v>
      </c>
      <c r="AK469">
        <v>9371180063</v>
      </c>
      <c r="AL469" t="s">
        <v>1</v>
      </c>
      <c r="AM469" t="s">
        <v>1</v>
      </c>
      <c r="AN469" t="s">
        <v>1</v>
      </c>
      <c r="AO469" t="s">
        <v>4431</v>
      </c>
      <c r="AP469" t="s">
        <v>1</v>
      </c>
      <c r="AQ469" t="s">
        <v>2</v>
      </c>
      <c r="AR469" t="s">
        <v>1</v>
      </c>
      <c r="AS469" t="s">
        <v>1</v>
      </c>
      <c r="AT469" t="s">
        <v>1</v>
      </c>
      <c r="AU469" t="s">
        <v>1</v>
      </c>
      <c r="AV469" t="s">
        <v>1</v>
      </c>
      <c r="AW469" t="s">
        <v>9</v>
      </c>
      <c r="AX469">
        <f>Tabla1[[#This Row],[precio del paquete]]-Tabla1[[#This Row],[Saldo_Deudor]]</f>
        <v>4200</v>
      </c>
      <c r="AY469">
        <v>10600</v>
      </c>
      <c r="AZ469">
        <v>0</v>
      </c>
      <c r="BA469">
        <v>0</v>
      </c>
      <c r="BB469">
        <v>0</v>
      </c>
      <c r="BC469" t="s">
        <v>3102</v>
      </c>
      <c r="BD469" t="s">
        <v>4897</v>
      </c>
      <c r="BE469" t="s">
        <v>3</v>
      </c>
      <c r="BF469" t="s">
        <v>3</v>
      </c>
      <c r="BG469" t="s">
        <v>3</v>
      </c>
      <c r="BH469" t="s">
        <v>3</v>
      </c>
      <c r="BI469" t="s">
        <v>3</v>
      </c>
      <c r="BJ469" t="s">
        <v>4987</v>
      </c>
      <c r="BK469" t="s">
        <v>3</v>
      </c>
      <c r="BL469" t="s">
        <v>96</v>
      </c>
      <c r="BM469" t="s">
        <v>1</v>
      </c>
      <c r="BN469">
        <v>14800</v>
      </c>
      <c r="BO469" t="s">
        <v>1</v>
      </c>
      <c r="BP469" t="s">
        <v>1</v>
      </c>
      <c r="BQ469" t="s">
        <v>1</v>
      </c>
      <c r="BR469" t="s">
        <v>1</v>
      </c>
      <c r="BS469" t="s">
        <v>1</v>
      </c>
      <c r="BT469" t="s">
        <v>1</v>
      </c>
      <c r="BU469" t="s">
        <v>1</v>
      </c>
      <c r="BV469" t="s">
        <v>1</v>
      </c>
      <c r="BW469" t="s">
        <v>0</v>
      </c>
      <c r="BX469" t="s">
        <v>1</v>
      </c>
      <c r="BY469" t="s">
        <v>1</v>
      </c>
      <c r="BZ469" t="s">
        <v>1</v>
      </c>
      <c r="CA469" t="s">
        <v>1</v>
      </c>
      <c r="CB469" t="s">
        <v>1</v>
      </c>
      <c r="CD469" t="e" cm="1">
        <f t="array" aca="1" ref="CD469" ca="1">eConcatenar(A469:CB469,"|")</f>
        <v>#NAME?</v>
      </c>
    </row>
    <row r="470" spans="1:82" x14ac:dyDescent="0.25">
      <c r="A470" t="s">
        <v>565</v>
      </c>
      <c r="B470" t="s">
        <v>1579</v>
      </c>
      <c r="C470">
        <v>3</v>
      </c>
      <c r="D470" t="s">
        <v>2153</v>
      </c>
      <c r="E470" t="s">
        <v>2158</v>
      </c>
      <c r="F470" t="s">
        <v>0</v>
      </c>
      <c r="G470" t="s">
        <v>2450</v>
      </c>
      <c r="H470" t="s">
        <v>2918</v>
      </c>
      <c r="I470">
        <v>14800</v>
      </c>
      <c r="J470">
        <v>0</v>
      </c>
      <c r="K470">
        <v>100</v>
      </c>
      <c r="L470">
        <v>50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 t="s">
        <v>3117</v>
      </c>
      <c r="AC470" t="s">
        <v>3114</v>
      </c>
      <c r="AD470" t="s">
        <v>3700</v>
      </c>
      <c r="AE470" t="s">
        <v>4</v>
      </c>
      <c r="AF470" t="s">
        <v>1</v>
      </c>
      <c r="AG470" t="s">
        <v>1</v>
      </c>
      <c r="AH470" t="s">
        <v>4432</v>
      </c>
      <c r="AI470" t="s">
        <v>2450</v>
      </c>
      <c r="AJ470" t="s">
        <v>1</v>
      </c>
      <c r="AK470">
        <v>9371220148</v>
      </c>
      <c r="AL470" t="s">
        <v>1</v>
      </c>
      <c r="AM470" t="s">
        <v>1</v>
      </c>
      <c r="AN470" t="s">
        <v>1</v>
      </c>
      <c r="AO470" t="s">
        <v>4432</v>
      </c>
      <c r="AP470" t="s">
        <v>1</v>
      </c>
      <c r="AQ470" t="s">
        <v>2</v>
      </c>
      <c r="AR470" t="s">
        <v>1</v>
      </c>
      <c r="AS470" t="s">
        <v>1</v>
      </c>
      <c r="AT470" t="s">
        <v>1</v>
      </c>
      <c r="AU470" t="s">
        <v>1</v>
      </c>
      <c r="AV470" t="s">
        <v>1</v>
      </c>
      <c r="AW470" t="s">
        <v>9</v>
      </c>
      <c r="AX470">
        <f>Tabla1[[#This Row],[precio del paquete]]-Tabla1[[#This Row],[Saldo_Deudor]]</f>
        <v>3100</v>
      </c>
      <c r="AY470">
        <v>11700</v>
      </c>
      <c r="AZ470">
        <v>0</v>
      </c>
      <c r="BA470">
        <v>0</v>
      </c>
      <c r="BB470">
        <v>0</v>
      </c>
      <c r="BC470" t="s">
        <v>3102</v>
      </c>
      <c r="BD470" t="s">
        <v>4897</v>
      </c>
      <c r="BE470" t="s">
        <v>3</v>
      </c>
      <c r="BF470" t="s">
        <v>3</v>
      </c>
      <c r="BG470" t="s">
        <v>3</v>
      </c>
      <c r="BH470" t="s">
        <v>3</v>
      </c>
      <c r="BI470" t="s">
        <v>3</v>
      </c>
      <c r="BJ470" t="s">
        <v>4987</v>
      </c>
      <c r="BK470" t="s">
        <v>3</v>
      </c>
      <c r="BL470" t="s">
        <v>96</v>
      </c>
      <c r="BM470" t="s">
        <v>1</v>
      </c>
      <c r="BN470">
        <v>14800</v>
      </c>
      <c r="BO470" t="s">
        <v>1</v>
      </c>
      <c r="BP470" t="s">
        <v>1</v>
      </c>
      <c r="BQ470" t="s">
        <v>1</v>
      </c>
      <c r="BR470" t="s">
        <v>1</v>
      </c>
      <c r="BS470" t="s">
        <v>1</v>
      </c>
      <c r="BT470" t="s">
        <v>1</v>
      </c>
      <c r="BU470" t="s">
        <v>1</v>
      </c>
      <c r="BV470" t="s">
        <v>1</v>
      </c>
      <c r="BW470" t="s">
        <v>0</v>
      </c>
      <c r="BX470" t="s">
        <v>1</v>
      </c>
      <c r="BY470" t="s">
        <v>1</v>
      </c>
      <c r="BZ470" t="s">
        <v>1</v>
      </c>
      <c r="CA470" t="s">
        <v>1</v>
      </c>
      <c r="CB470" t="s">
        <v>1</v>
      </c>
      <c r="CD470" t="e" cm="1">
        <f t="array" aca="1" ref="CD470" ca="1">eConcatenar(A470:CB470,"|")</f>
        <v>#NAME?</v>
      </c>
    </row>
    <row r="471" spans="1:82" x14ac:dyDescent="0.25">
      <c r="A471" t="s">
        <v>566</v>
      </c>
      <c r="B471" t="s">
        <v>1580</v>
      </c>
      <c r="C471">
        <v>3</v>
      </c>
      <c r="D471" t="s">
        <v>2153</v>
      </c>
      <c r="E471" t="s">
        <v>2158</v>
      </c>
      <c r="F471" t="s">
        <v>0</v>
      </c>
      <c r="G471" t="s">
        <v>2450</v>
      </c>
      <c r="H471" t="s">
        <v>2918</v>
      </c>
      <c r="I471">
        <v>14800</v>
      </c>
      <c r="J471">
        <v>0</v>
      </c>
      <c r="K471">
        <v>100</v>
      </c>
      <c r="L471">
        <v>50</v>
      </c>
      <c r="M471">
        <v>1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 t="s">
        <v>3288</v>
      </c>
      <c r="AC471" t="s">
        <v>3701</v>
      </c>
      <c r="AD471" t="s">
        <v>3605</v>
      </c>
      <c r="AE471" t="s">
        <v>4</v>
      </c>
      <c r="AF471" t="s">
        <v>1</v>
      </c>
      <c r="AG471" t="s">
        <v>1</v>
      </c>
      <c r="AH471" t="s">
        <v>4433</v>
      </c>
      <c r="AI471" t="s">
        <v>2450</v>
      </c>
      <c r="AJ471" t="s">
        <v>1</v>
      </c>
      <c r="AK471">
        <v>9171166177</v>
      </c>
      <c r="AL471" t="s">
        <v>1</v>
      </c>
      <c r="AM471" t="s">
        <v>1</v>
      </c>
      <c r="AN471" t="s">
        <v>1</v>
      </c>
      <c r="AO471" t="s">
        <v>4433</v>
      </c>
      <c r="AP471" t="s">
        <v>1</v>
      </c>
      <c r="AQ471" t="s">
        <v>2</v>
      </c>
      <c r="AR471" t="s">
        <v>1</v>
      </c>
      <c r="AS471" t="s">
        <v>1</v>
      </c>
      <c r="AT471" t="s">
        <v>1</v>
      </c>
      <c r="AU471" t="s">
        <v>1</v>
      </c>
      <c r="AV471" t="s">
        <v>1</v>
      </c>
      <c r="AW471" t="s">
        <v>9</v>
      </c>
      <c r="AX471">
        <f>Tabla1[[#This Row],[precio del paquete]]-Tabla1[[#This Row],[Saldo_Deudor]]</f>
        <v>3700</v>
      </c>
      <c r="AY471">
        <v>11100</v>
      </c>
      <c r="AZ471">
        <v>0</v>
      </c>
      <c r="BA471">
        <v>0</v>
      </c>
      <c r="BB471">
        <v>0</v>
      </c>
      <c r="BC471" t="s">
        <v>2928</v>
      </c>
      <c r="BD471" t="s">
        <v>2711</v>
      </c>
      <c r="BE471" t="s">
        <v>3</v>
      </c>
      <c r="BF471" t="s">
        <v>3</v>
      </c>
      <c r="BG471" t="s">
        <v>3</v>
      </c>
      <c r="BH471" t="s">
        <v>3</v>
      </c>
      <c r="BI471" t="s">
        <v>3</v>
      </c>
      <c r="BJ471" t="s">
        <v>4987</v>
      </c>
      <c r="BK471" t="s">
        <v>3</v>
      </c>
      <c r="BL471" t="s">
        <v>96</v>
      </c>
      <c r="BM471" t="s">
        <v>1</v>
      </c>
      <c r="BN471">
        <v>14800</v>
      </c>
      <c r="BO471" t="s">
        <v>1</v>
      </c>
      <c r="BP471" t="s">
        <v>1</v>
      </c>
      <c r="BQ471" t="s">
        <v>1</v>
      </c>
      <c r="BR471" t="s">
        <v>1</v>
      </c>
      <c r="BS471" t="s">
        <v>1</v>
      </c>
      <c r="BT471" t="s">
        <v>1</v>
      </c>
      <c r="BU471" t="s">
        <v>1</v>
      </c>
      <c r="BV471" t="s">
        <v>1</v>
      </c>
      <c r="BW471" t="s">
        <v>0</v>
      </c>
      <c r="BX471" t="s">
        <v>1</v>
      </c>
      <c r="BY471" t="s">
        <v>1</v>
      </c>
      <c r="BZ471" t="s">
        <v>1</v>
      </c>
      <c r="CA471" t="s">
        <v>1</v>
      </c>
      <c r="CB471" t="s">
        <v>1</v>
      </c>
      <c r="CD471" t="e" cm="1">
        <f t="array" aca="1" ref="CD471" ca="1">eConcatenar(A471:CB471,"|")</f>
        <v>#NAME?</v>
      </c>
    </row>
    <row r="472" spans="1:82" x14ac:dyDescent="0.25">
      <c r="A472" t="s">
        <v>567</v>
      </c>
      <c r="B472" t="s">
        <v>1581</v>
      </c>
      <c r="C472">
        <v>3</v>
      </c>
      <c r="D472" t="s">
        <v>2153</v>
      </c>
      <c r="E472" t="s">
        <v>2158</v>
      </c>
      <c r="F472" t="s">
        <v>0</v>
      </c>
      <c r="G472" t="s">
        <v>2450</v>
      </c>
      <c r="H472" t="s">
        <v>2863</v>
      </c>
      <c r="I472">
        <v>14800</v>
      </c>
      <c r="J472">
        <v>0</v>
      </c>
      <c r="K472">
        <v>50</v>
      </c>
      <c r="L472">
        <v>50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 t="s">
        <v>6</v>
      </c>
      <c r="AC472" t="s">
        <v>3214</v>
      </c>
      <c r="AD472" t="s">
        <v>3702</v>
      </c>
      <c r="AE472" t="s">
        <v>4</v>
      </c>
      <c r="AF472" t="s">
        <v>1</v>
      </c>
      <c r="AG472" t="s">
        <v>1</v>
      </c>
      <c r="AH472" t="s">
        <v>4434</v>
      </c>
      <c r="AI472" t="s">
        <v>2450</v>
      </c>
      <c r="AJ472" t="s">
        <v>1</v>
      </c>
      <c r="AK472">
        <v>9371292420</v>
      </c>
      <c r="AL472" t="s">
        <v>1</v>
      </c>
      <c r="AM472" t="s">
        <v>1</v>
      </c>
      <c r="AN472" t="s">
        <v>1</v>
      </c>
      <c r="AO472" t="s">
        <v>4434</v>
      </c>
      <c r="AP472" t="s">
        <v>1</v>
      </c>
      <c r="AQ472" t="s">
        <v>2</v>
      </c>
      <c r="AR472" t="s">
        <v>1</v>
      </c>
      <c r="AS472" t="s">
        <v>1</v>
      </c>
      <c r="AT472" t="s">
        <v>1</v>
      </c>
      <c r="AU472" t="s">
        <v>1</v>
      </c>
      <c r="AV472" t="s">
        <v>1</v>
      </c>
      <c r="AW472" t="s">
        <v>9</v>
      </c>
      <c r="AX472">
        <f>Tabla1[[#This Row],[precio del paquete]]-Tabla1[[#This Row],[Saldo_Deudor]]</f>
        <v>3350</v>
      </c>
      <c r="AY472">
        <v>11450</v>
      </c>
      <c r="AZ472">
        <v>0</v>
      </c>
      <c r="BA472">
        <v>0</v>
      </c>
      <c r="BB472">
        <v>0</v>
      </c>
      <c r="BC472" t="s">
        <v>3102</v>
      </c>
      <c r="BD472" t="s">
        <v>4897</v>
      </c>
      <c r="BE472" t="s">
        <v>3</v>
      </c>
      <c r="BF472" t="s">
        <v>3</v>
      </c>
      <c r="BG472" t="s">
        <v>3</v>
      </c>
      <c r="BH472" t="s">
        <v>3</v>
      </c>
      <c r="BI472" t="s">
        <v>3</v>
      </c>
      <c r="BJ472" t="s">
        <v>4987</v>
      </c>
      <c r="BK472" t="s">
        <v>3</v>
      </c>
      <c r="BL472" t="s">
        <v>96</v>
      </c>
      <c r="BM472" t="s">
        <v>1</v>
      </c>
      <c r="BN472">
        <v>14800</v>
      </c>
      <c r="BO472" t="s">
        <v>1</v>
      </c>
      <c r="BP472" t="s">
        <v>1</v>
      </c>
      <c r="BQ472" t="s">
        <v>1</v>
      </c>
      <c r="BR472" t="s">
        <v>1</v>
      </c>
      <c r="BS472" t="s">
        <v>1</v>
      </c>
      <c r="BT472" t="s">
        <v>1</v>
      </c>
      <c r="BU472" t="s">
        <v>1</v>
      </c>
      <c r="BV472" t="s">
        <v>1</v>
      </c>
      <c r="BW472" t="s">
        <v>0</v>
      </c>
      <c r="BX472" t="s">
        <v>1</v>
      </c>
      <c r="BY472" t="s">
        <v>1</v>
      </c>
      <c r="BZ472" t="s">
        <v>1</v>
      </c>
      <c r="CA472" t="s">
        <v>1</v>
      </c>
      <c r="CB472" t="s">
        <v>1</v>
      </c>
      <c r="CD472" t="e" cm="1">
        <f t="array" aca="1" ref="CD472" ca="1">eConcatenar(A472:CB472,"|")</f>
        <v>#NAME?</v>
      </c>
    </row>
    <row r="473" spans="1:82" x14ac:dyDescent="0.25">
      <c r="A473" t="s">
        <v>568</v>
      </c>
      <c r="B473" t="s">
        <v>1582</v>
      </c>
      <c r="C473">
        <v>3</v>
      </c>
      <c r="D473" t="s">
        <v>2153</v>
      </c>
      <c r="E473" t="s">
        <v>2158</v>
      </c>
      <c r="F473" t="s">
        <v>0</v>
      </c>
      <c r="G473" t="s">
        <v>2451</v>
      </c>
      <c r="H473" t="s">
        <v>2919</v>
      </c>
      <c r="I473">
        <v>14800</v>
      </c>
      <c r="J473">
        <v>0</v>
      </c>
      <c r="K473">
        <v>500</v>
      </c>
      <c r="L473">
        <v>50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 t="s">
        <v>3177</v>
      </c>
      <c r="AC473" t="s">
        <v>3236</v>
      </c>
      <c r="AD473" t="s">
        <v>3170</v>
      </c>
      <c r="AE473" t="s">
        <v>4</v>
      </c>
      <c r="AF473" t="s">
        <v>1</v>
      </c>
      <c r="AG473" t="s">
        <v>1</v>
      </c>
      <c r="AH473" t="s">
        <v>4435</v>
      </c>
      <c r="AI473" t="s">
        <v>2451</v>
      </c>
      <c r="AJ473" t="s">
        <v>1</v>
      </c>
      <c r="AK473">
        <v>9934001924</v>
      </c>
      <c r="AL473" t="s">
        <v>1</v>
      </c>
      <c r="AM473" t="s">
        <v>1</v>
      </c>
      <c r="AN473" t="s">
        <v>1</v>
      </c>
      <c r="AO473" t="s">
        <v>4435</v>
      </c>
      <c r="AP473" t="s">
        <v>1</v>
      </c>
      <c r="AQ473" t="s">
        <v>2</v>
      </c>
      <c r="AR473" t="s">
        <v>1</v>
      </c>
      <c r="AS473" t="s">
        <v>1</v>
      </c>
      <c r="AT473" t="s">
        <v>1</v>
      </c>
      <c r="AU473" t="s">
        <v>1</v>
      </c>
      <c r="AV473" t="s">
        <v>1</v>
      </c>
      <c r="AW473" t="s">
        <v>9</v>
      </c>
      <c r="AX473">
        <f>Tabla1[[#This Row],[precio del paquete]]-Tabla1[[#This Row],[Saldo_Deudor]]</f>
        <v>3700</v>
      </c>
      <c r="AY473">
        <v>11100</v>
      </c>
      <c r="AZ473">
        <v>0</v>
      </c>
      <c r="BA473">
        <v>0</v>
      </c>
      <c r="BB473">
        <v>0</v>
      </c>
      <c r="BC473" t="s">
        <v>2905</v>
      </c>
      <c r="BD473" t="s">
        <v>3024</v>
      </c>
      <c r="BE473" t="s">
        <v>3</v>
      </c>
      <c r="BF473" t="s">
        <v>3</v>
      </c>
      <c r="BG473" t="s">
        <v>3</v>
      </c>
      <c r="BH473" t="s">
        <v>3</v>
      </c>
      <c r="BI473" t="s">
        <v>3</v>
      </c>
      <c r="BJ473" t="s">
        <v>4987</v>
      </c>
      <c r="BK473" t="s">
        <v>3</v>
      </c>
      <c r="BL473" t="s">
        <v>96</v>
      </c>
      <c r="BM473" t="s">
        <v>1</v>
      </c>
      <c r="BN473">
        <v>14800</v>
      </c>
      <c r="BO473" t="s">
        <v>1</v>
      </c>
      <c r="BP473" t="s">
        <v>1</v>
      </c>
      <c r="BQ473" t="s">
        <v>1</v>
      </c>
      <c r="BR473" t="s">
        <v>1</v>
      </c>
      <c r="BS473" t="s">
        <v>1</v>
      </c>
      <c r="BT473" t="s">
        <v>1</v>
      </c>
      <c r="BU473" t="s">
        <v>1</v>
      </c>
      <c r="BV473" t="s">
        <v>1</v>
      </c>
      <c r="BW473" t="s">
        <v>0</v>
      </c>
      <c r="BX473" t="s">
        <v>1</v>
      </c>
      <c r="BY473" t="s">
        <v>1</v>
      </c>
      <c r="BZ473" t="s">
        <v>1</v>
      </c>
      <c r="CA473" t="s">
        <v>1</v>
      </c>
      <c r="CB473" t="s">
        <v>1</v>
      </c>
      <c r="CD473" t="e" cm="1">
        <f t="array" aca="1" ref="CD473" ca="1">eConcatenar(A473:CB473,"|")</f>
        <v>#NAME?</v>
      </c>
    </row>
    <row r="474" spans="1:82" x14ac:dyDescent="0.25">
      <c r="A474" t="s">
        <v>569</v>
      </c>
      <c r="B474" t="s">
        <v>1583</v>
      </c>
      <c r="C474">
        <v>3</v>
      </c>
      <c r="D474" t="s">
        <v>2153</v>
      </c>
      <c r="E474" t="s">
        <v>2158</v>
      </c>
      <c r="F474" t="s">
        <v>0</v>
      </c>
      <c r="G474" t="s">
        <v>2452</v>
      </c>
      <c r="H474" t="s">
        <v>2920</v>
      </c>
      <c r="I474">
        <v>14800</v>
      </c>
      <c r="J474">
        <v>0</v>
      </c>
      <c r="K474">
        <v>200</v>
      </c>
      <c r="L474">
        <v>50</v>
      </c>
      <c r="M474">
        <v>1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 t="s">
        <v>3236</v>
      </c>
      <c r="AC474" t="s">
        <v>3184</v>
      </c>
      <c r="AD474" t="s">
        <v>3703</v>
      </c>
      <c r="AE474" t="s">
        <v>4</v>
      </c>
      <c r="AF474" t="s">
        <v>1</v>
      </c>
      <c r="AG474" t="s">
        <v>1</v>
      </c>
      <c r="AH474" t="s">
        <v>4436</v>
      </c>
      <c r="AI474" t="s">
        <v>2452</v>
      </c>
      <c r="AJ474" t="s">
        <v>1</v>
      </c>
      <c r="AK474">
        <v>9372270309</v>
      </c>
      <c r="AL474" t="s">
        <v>1</v>
      </c>
      <c r="AM474" t="s">
        <v>1</v>
      </c>
      <c r="AN474" t="s">
        <v>1</v>
      </c>
      <c r="AO474" t="s">
        <v>4436</v>
      </c>
      <c r="AP474" t="s">
        <v>1</v>
      </c>
      <c r="AQ474" t="s">
        <v>2</v>
      </c>
      <c r="AR474" t="s">
        <v>1</v>
      </c>
      <c r="AS474" t="s">
        <v>1</v>
      </c>
      <c r="AT474" t="s">
        <v>1</v>
      </c>
      <c r="AU474" t="s">
        <v>1</v>
      </c>
      <c r="AV474" t="s">
        <v>1</v>
      </c>
      <c r="AW474" t="s">
        <v>9</v>
      </c>
      <c r="AX474">
        <f>Tabla1[[#This Row],[precio del paquete]]-Tabla1[[#This Row],[Saldo_Deudor]]</f>
        <v>9300</v>
      </c>
      <c r="AY474">
        <v>5500</v>
      </c>
      <c r="AZ474">
        <v>0</v>
      </c>
      <c r="BA474">
        <v>0</v>
      </c>
      <c r="BB474">
        <v>0</v>
      </c>
      <c r="BC474" t="s">
        <v>3061</v>
      </c>
      <c r="BD474" t="s">
        <v>3040</v>
      </c>
      <c r="BE474" t="s">
        <v>3</v>
      </c>
      <c r="BF474" t="s">
        <v>3</v>
      </c>
      <c r="BG474" t="s">
        <v>3</v>
      </c>
      <c r="BH474" t="s">
        <v>3</v>
      </c>
      <c r="BI474" t="s">
        <v>3</v>
      </c>
      <c r="BJ474" t="s">
        <v>4987</v>
      </c>
      <c r="BK474" t="s">
        <v>3</v>
      </c>
      <c r="BL474" t="s">
        <v>96</v>
      </c>
      <c r="BM474" t="s">
        <v>1</v>
      </c>
      <c r="BN474">
        <v>14800</v>
      </c>
      <c r="BO474" t="s">
        <v>1</v>
      </c>
      <c r="BP474" t="s">
        <v>1</v>
      </c>
      <c r="BQ474" t="s">
        <v>1</v>
      </c>
      <c r="BR474" t="s">
        <v>1</v>
      </c>
      <c r="BS474" t="s">
        <v>1</v>
      </c>
      <c r="BT474" t="s">
        <v>1</v>
      </c>
      <c r="BU474" t="s">
        <v>1</v>
      </c>
      <c r="BV474" t="s">
        <v>1</v>
      </c>
      <c r="BW474" t="s">
        <v>0</v>
      </c>
      <c r="BX474" t="s">
        <v>1</v>
      </c>
      <c r="BY474" t="s">
        <v>1</v>
      </c>
      <c r="BZ474" t="s">
        <v>1</v>
      </c>
      <c r="CA474" t="s">
        <v>1</v>
      </c>
      <c r="CB474" t="s">
        <v>1</v>
      </c>
      <c r="CD474" t="e" cm="1">
        <f t="array" aca="1" ref="CD474" ca="1">eConcatenar(A474:CB474,"|")</f>
        <v>#NAME?</v>
      </c>
    </row>
    <row r="475" spans="1:82" x14ac:dyDescent="0.25">
      <c r="A475" t="s">
        <v>570</v>
      </c>
      <c r="B475" t="s">
        <v>1584</v>
      </c>
      <c r="C475">
        <v>3</v>
      </c>
      <c r="D475" t="s">
        <v>2157</v>
      </c>
      <c r="E475" t="s">
        <v>2158</v>
      </c>
      <c r="F475" t="s">
        <v>0</v>
      </c>
      <c r="G475" t="s">
        <v>2452</v>
      </c>
      <c r="H475" t="s">
        <v>2921</v>
      </c>
      <c r="I475">
        <v>12900</v>
      </c>
      <c r="J475">
        <v>0</v>
      </c>
      <c r="K475">
        <v>100</v>
      </c>
      <c r="L475">
        <v>50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 t="s">
        <v>5</v>
      </c>
      <c r="AC475" t="s">
        <v>3472</v>
      </c>
      <c r="AD475" t="s">
        <v>3704</v>
      </c>
      <c r="AE475" t="s">
        <v>4</v>
      </c>
      <c r="AF475" t="s">
        <v>1</v>
      </c>
      <c r="AG475" t="s">
        <v>1</v>
      </c>
      <c r="AH475" t="s">
        <v>4437</v>
      </c>
      <c r="AI475" t="s">
        <v>2452</v>
      </c>
      <c r="AJ475" t="s">
        <v>1</v>
      </c>
      <c r="AK475">
        <v>9373697771</v>
      </c>
      <c r="AL475" t="s">
        <v>1</v>
      </c>
      <c r="AM475" t="s">
        <v>1</v>
      </c>
      <c r="AN475" t="s">
        <v>1</v>
      </c>
      <c r="AO475" t="s">
        <v>4437</v>
      </c>
      <c r="AP475" t="s">
        <v>1</v>
      </c>
      <c r="AQ475" t="s">
        <v>2</v>
      </c>
      <c r="AR475" t="s">
        <v>1</v>
      </c>
      <c r="AS475" t="s">
        <v>1</v>
      </c>
      <c r="AT475" t="s">
        <v>1</v>
      </c>
      <c r="AU475" t="s">
        <v>1</v>
      </c>
      <c r="AV475" t="s">
        <v>1</v>
      </c>
      <c r="AW475" t="s">
        <v>9</v>
      </c>
      <c r="AX475">
        <f>Tabla1[[#This Row],[precio del paquete]]-Tabla1[[#This Row],[Saldo_Deudor]]</f>
        <v>8500</v>
      </c>
      <c r="AY475">
        <v>4400</v>
      </c>
      <c r="AZ475">
        <v>0</v>
      </c>
      <c r="BA475">
        <v>0</v>
      </c>
      <c r="BB475">
        <v>0</v>
      </c>
      <c r="BC475" t="s">
        <v>4863</v>
      </c>
      <c r="BD475" t="s">
        <v>4949</v>
      </c>
      <c r="BE475" t="s">
        <v>3</v>
      </c>
      <c r="BF475" t="s">
        <v>3</v>
      </c>
      <c r="BG475" t="s">
        <v>3</v>
      </c>
      <c r="BH475" t="s">
        <v>3</v>
      </c>
      <c r="BI475" t="s">
        <v>3</v>
      </c>
      <c r="BJ475" t="s">
        <v>5004</v>
      </c>
      <c r="BK475" t="s">
        <v>3</v>
      </c>
      <c r="BL475" t="s">
        <v>96</v>
      </c>
      <c r="BM475" t="s">
        <v>1</v>
      </c>
      <c r="BN475">
        <v>12900</v>
      </c>
      <c r="BO475" t="s">
        <v>1</v>
      </c>
      <c r="BP475" t="s">
        <v>1</v>
      </c>
      <c r="BQ475" t="s">
        <v>1</v>
      </c>
      <c r="BR475" t="s">
        <v>1</v>
      </c>
      <c r="BS475" t="s">
        <v>1</v>
      </c>
      <c r="BT475" t="s">
        <v>1</v>
      </c>
      <c r="BU475" t="s">
        <v>1</v>
      </c>
      <c r="BV475" t="s">
        <v>1</v>
      </c>
      <c r="BW475" t="s">
        <v>0</v>
      </c>
      <c r="BX475" t="s">
        <v>1</v>
      </c>
      <c r="BY475" t="s">
        <v>1</v>
      </c>
      <c r="BZ475" t="s">
        <v>1</v>
      </c>
      <c r="CA475" t="s">
        <v>1</v>
      </c>
      <c r="CB475" t="s">
        <v>1</v>
      </c>
      <c r="CD475" t="e" cm="1">
        <f t="array" aca="1" ref="CD475" ca="1">eConcatenar(A475:CB475,"|")</f>
        <v>#NAME?</v>
      </c>
    </row>
    <row r="476" spans="1:82" x14ac:dyDescent="0.25">
      <c r="A476" t="s">
        <v>571</v>
      </c>
      <c r="B476" t="s">
        <v>1585</v>
      </c>
      <c r="C476">
        <v>3</v>
      </c>
      <c r="D476" t="s">
        <v>2153</v>
      </c>
      <c r="E476" t="s">
        <v>2158</v>
      </c>
      <c r="F476" t="s">
        <v>0</v>
      </c>
      <c r="G476" t="s">
        <v>2453</v>
      </c>
      <c r="H476" t="s">
        <v>2843</v>
      </c>
      <c r="I476">
        <v>14800</v>
      </c>
      <c r="J476">
        <v>0</v>
      </c>
      <c r="K476">
        <v>500</v>
      </c>
      <c r="L476">
        <v>50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 t="s">
        <v>3629</v>
      </c>
      <c r="AC476" t="s">
        <v>3705</v>
      </c>
      <c r="AD476" t="s">
        <v>3285</v>
      </c>
      <c r="AE476" t="s">
        <v>4</v>
      </c>
      <c r="AF476" t="s">
        <v>1</v>
      </c>
      <c r="AG476" t="s">
        <v>1</v>
      </c>
      <c r="AH476" t="s">
        <v>4438</v>
      </c>
      <c r="AI476" t="s">
        <v>2453</v>
      </c>
      <c r="AJ476" t="s">
        <v>1</v>
      </c>
      <c r="AK476">
        <v>9371657165</v>
      </c>
      <c r="AL476" t="s">
        <v>1</v>
      </c>
      <c r="AM476" t="s">
        <v>1</v>
      </c>
      <c r="AN476" t="s">
        <v>1</v>
      </c>
      <c r="AO476" t="s">
        <v>4438</v>
      </c>
      <c r="AP476" t="s">
        <v>1</v>
      </c>
      <c r="AQ476" t="s">
        <v>2</v>
      </c>
      <c r="AR476" t="s">
        <v>1</v>
      </c>
      <c r="AS476" t="s">
        <v>1</v>
      </c>
      <c r="AT476" t="s">
        <v>1</v>
      </c>
      <c r="AU476" t="s">
        <v>1</v>
      </c>
      <c r="AV476" t="s">
        <v>1</v>
      </c>
      <c r="AW476" t="s">
        <v>9</v>
      </c>
      <c r="AX476">
        <f>Tabla1[[#This Row],[precio del paquete]]-Tabla1[[#This Row],[Saldo_Deudor]]</f>
        <v>1300</v>
      </c>
      <c r="AY476">
        <v>13500</v>
      </c>
      <c r="AZ476">
        <v>0</v>
      </c>
      <c r="BA476">
        <v>0</v>
      </c>
      <c r="BB476">
        <v>0</v>
      </c>
      <c r="BC476" t="s">
        <v>3061</v>
      </c>
      <c r="BD476" t="s">
        <v>3040</v>
      </c>
      <c r="BE476" t="s">
        <v>3</v>
      </c>
      <c r="BF476" t="s">
        <v>3</v>
      </c>
      <c r="BG476" t="s">
        <v>3</v>
      </c>
      <c r="BH476" t="s">
        <v>3</v>
      </c>
      <c r="BI476" t="s">
        <v>3</v>
      </c>
      <c r="BJ476" t="s">
        <v>5004</v>
      </c>
      <c r="BK476" t="s">
        <v>3</v>
      </c>
      <c r="BL476" t="s">
        <v>96</v>
      </c>
      <c r="BM476" t="s">
        <v>1</v>
      </c>
      <c r="BN476">
        <v>14800</v>
      </c>
      <c r="BO476" t="s">
        <v>1</v>
      </c>
      <c r="BP476" t="s">
        <v>1</v>
      </c>
      <c r="BQ476" t="s">
        <v>1</v>
      </c>
      <c r="BR476" t="s">
        <v>1</v>
      </c>
      <c r="BS476" t="s">
        <v>1</v>
      </c>
      <c r="BT476" t="s">
        <v>1</v>
      </c>
      <c r="BU476" t="s">
        <v>1</v>
      </c>
      <c r="BV476" t="s">
        <v>1</v>
      </c>
      <c r="BW476" t="s">
        <v>0</v>
      </c>
      <c r="BX476" t="s">
        <v>1</v>
      </c>
      <c r="BY476" t="s">
        <v>1</v>
      </c>
      <c r="BZ476" t="s">
        <v>1</v>
      </c>
      <c r="CA476" t="s">
        <v>1</v>
      </c>
      <c r="CB476" t="s">
        <v>1</v>
      </c>
      <c r="CD476" t="e" cm="1">
        <f t="array" aca="1" ref="CD476" ca="1">eConcatenar(A476:CB476,"|")</f>
        <v>#NAME?</v>
      </c>
    </row>
    <row r="477" spans="1:82" x14ac:dyDescent="0.25">
      <c r="A477" t="s">
        <v>572</v>
      </c>
      <c r="B477" t="s">
        <v>1586</v>
      </c>
      <c r="C477">
        <v>3</v>
      </c>
      <c r="D477" t="s">
        <v>2153</v>
      </c>
      <c r="E477" t="s">
        <v>2158</v>
      </c>
      <c r="F477" t="s">
        <v>0</v>
      </c>
      <c r="G477" t="s">
        <v>2453</v>
      </c>
      <c r="H477" t="s">
        <v>2843</v>
      </c>
      <c r="I477">
        <v>14800</v>
      </c>
      <c r="J477">
        <v>0</v>
      </c>
      <c r="K477">
        <v>500</v>
      </c>
      <c r="L477">
        <v>50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 t="s">
        <v>3236</v>
      </c>
      <c r="AC477" t="s">
        <v>3686</v>
      </c>
      <c r="AD477" t="s">
        <v>3173</v>
      </c>
      <c r="AE477" t="s">
        <v>4</v>
      </c>
      <c r="AF477" t="s">
        <v>1</v>
      </c>
      <c r="AG477" t="s">
        <v>1</v>
      </c>
      <c r="AH477" t="s">
        <v>4438</v>
      </c>
      <c r="AI477" t="s">
        <v>2453</v>
      </c>
      <c r="AJ477" t="s">
        <v>1</v>
      </c>
      <c r="AK477">
        <v>9372279974</v>
      </c>
      <c r="AL477" t="s">
        <v>1</v>
      </c>
      <c r="AM477" t="s">
        <v>1</v>
      </c>
      <c r="AN477" t="s">
        <v>1</v>
      </c>
      <c r="AO477" t="s">
        <v>4438</v>
      </c>
      <c r="AP477" t="s">
        <v>1</v>
      </c>
      <c r="AQ477" t="s">
        <v>2</v>
      </c>
      <c r="AR477" t="s">
        <v>1</v>
      </c>
      <c r="AS477" t="s">
        <v>1</v>
      </c>
      <c r="AT477" t="s">
        <v>1</v>
      </c>
      <c r="AU477" t="s">
        <v>1</v>
      </c>
      <c r="AV477" t="s">
        <v>1</v>
      </c>
      <c r="AW477" t="s">
        <v>9</v>
      </c>
      <c r="AX477">
        <f>Tabla1[[#This Row],[precio del paquete]]-Tabla1[[#This Row],[Saldo_Deudor]]</f>
        <v>1300</v>
      </c>
      <c r="AY477">
        <v>13500</v>
      </c>
      <c r="AZ477">
        <v>0</v>
      </c>
      <c r="BA477">
        <v>0</v>
      </c>
      <c r="BB477">
        <v>0</v>
      </c>
      <c r="BC477" t="s">
        <v>3061</v>
      </c>
      <c r="BD477" t="s">
        <v>3040</v>
      </c>
      <c r="BE477" t="s">
        <v>3</v>
      </c>
      <c r="BF477" t="s">
        <v>3</v>
      </c>
      <c r="BG477" t="s">
        <v>3</v>
      </c>
      <c r="BH477" t="s">
        <v>3</v>
      </c>
      <c r="BI477" t="s">
        <v>3</v>
      </c>
      <c r="BJ477" t="s">
        <v>5004</v>
      </c>
      <c r="BK477" t="s">
        <v>3</v>
      </c>
      <c r="BL477" t="s">
        <v>96</v>
      </c>
      <c r="BM477" t="s">
        <v>1</v>
      </c>
      <c r="BN477">
        <v>14800</v>
      </c>
      <c r="BO477" t="s">
        <v>1</v>
      </c>
      <c r="BP477" t="s">
        <v>1</v>
      </c>
      <c r="BQ477" t="s">
        <v>1</v>
      </c>
      <c r="BR477" t="s">
        <v>1</v>
      </c>
      <c r="BS477" t="s">
        <v>1</v>
      </c>
      <c r="BT477" t="s">
        <v>1</v>
      </c>
      <c r="BU477" t="s">
        <v>1</v>
      </c>
      <c r="BV477" t="s">
        <v>1</v>
      </c>
      <c r="BW477" t="s">
        <v>0</v>
      </c>
      <c r="BX477" t="s">
        <v>1</v>
      </c>
      <c r="BY477" t="s">
        <v>1</v>
      </c>
      <c r="BZ477" t="s">
        <v>1</v>
      </c>
      <c r="CA477" t="s">
        <v>1</v>
      </c>
      <c r="CB477" t="s">
        <v>1</v>
      </c>
      <c r="CD477" t="e" cm="1">
        <f t="array" aca="1" ref="CD477" ca="1">eConcatenar(A477:CB477,"|")</f>
        <v>#NAME?</v>
      </c>
    </row>
    <row r="478" spans="1:82" x14ac:dyDescent="0.25">
      <c r="A478" t="s">
        <v>573</v>
      </c>
      <c r="B478" t="s">
        <v>1587</v>
      </c>
      <c r="C478">
        <v>3</v>
      </c>
      <c r="D478" t="s">
        <v>2153</v>
      </c>
      <c r="E478" t="s">
        <v>2158</v>
      </c>
      <c r="F478" t="s">
        <v>0</v>
      </c>
      <c r="G478" t="s">
        <v>2453</v>
      </c>
      <c r="H478" t="s">
        <v>2703</v>
      </c>
      <c r="I478">
        <v>14800</v>
      </c>
      <c r="J478">
        <v>0</v>
      </c>
      <c r="K478">
        <v>50</v>
      </c>
      <c r="L478">
        <v>50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 t="s">
        <v>3114</v>
      </c>
      <c r="AC478" t="s">
        <v>3472</v>
      </c>
      <c r="AD478" t="s">
        <v>3706</v>
      </c>
      <c r="AE478" t="s">
        <v>4</v>
      </c>
      <c r="AF478" t="s">
        <v>1</v>
      </c>
      <c r="AG478" t="s">
        <v>1</v>
      </c>
      <c r="AH478" t="s">
        <v>4439</v>
      </c>
      <c r="AI478" t="s">
        <v>2453</v>
      </c>
      <c r="AJ478" t="s">
        <v>1</v>
      </c>
      <c r="AK478">
        <v>9371038224</v>
      </c>
      <c r="AL478" t="s">
        <v>1</v>
      </c>
      <c r="AM478" t="s">
        <v>1</v>
      </c>
      <c r="AN478" t="s">
        <v>1</v>
      </c>
      <c r="AO478" t="s">
        <v>4439</v>
      </c>
      <c r="AP478" t="s">
        <v>1</v>
      </c>
      <c r="AQ478" t="s">
        <v>2</v>
      </c>
      <c r="AR478" t="s">
        <v>1</v>
      </c>
      <c r="AS478" t="s">
        <v>1</v>
      </c>
      <c r="AT478" t="s">
        <v>1</v>
      </c>
      <c r="AU478" t="s">
        <v>1</v>
      </c>
      <c r="AV478" t="s">
        <v>1</v>
      </c>
      <c r="AW478" t="s">
        <v>9</v>
      </c>
      <c r="AX478">
        <f>Tabla1[[#This Row],[precio del paquete]]-Tabla1[[#This Row],[Saldo_Deudor]]</f>
        <v>250</v>
      </c>
      <c r="AY478">
        <v>14550</v>
      </c>
      <c r="AZ478">
        <v>0</v>
      </c>
      <c r="BA478">
        <v>0</v>
      </c>
      <c r="BB478">
        <v>0</v>
      </c>
      <c r="BC478" t="s">
        <v>3061</v>
      </c>
      <c r="BD478" t="s">
        <v>3040</v>
      </c>
      <c r="BE478" t="s">
        <v>3</v>
      </c>
      <c r="BF478" t="s">
        <v>3</v>
      </c>
      <c r="BG478" t="s">
        <v>3</v>
      </c>
      <c r="BH478" t="s">
        <v>3</v>
      </c>
      <c r="BI478" t="s">
        <v>3</v>
      </c>
      <c r="BJ478" t="s">
        <v>5004</v>
      </c>
      <c r="BK478" t="s">
        <v>3</v>
      </c>
      <c r="BL478" t="s">
        <v>96</v>
      </c>
      <c r="BM478" t="s">
        <v>1</v>
      </c>
      <c r="BN478">
        <v>14800</v>
      </c>
      <c r="BO478" t="s">
        <v>1</v>
      </c>
      <c r="BP478" t="s">
        <v>1</v>
      </c>
      <c r="BQ478" t="s">
        <v>1</v>
      </c>
      <c r="BR478" t="s">
        <v>1</v>
      </c>
      <c r="BS478" t="s">
        <v>1</v>
      </c>
      <c r="BT478" t="s">
        <v>1</v>
      </c>
      <c r="BU478" t="s">
        <v>1</v>
      </c>
      <c r="BV478" t="s">
        <v>1</v>
      </c>
      <c r="BW478" t="s">
        <v>0</v>
      </c>
      <c r="BX478" t="s">
        <v>1</v>
      </c>
      <c r="BY478" t="s">
        <v>1</v>
      </c>
      <c r="BZ478" t="s">
        <v>1</v>
      </c>
      <c r="CA478" t="s">
        <v>1</v>
      </c>
      <c r="CB478" t="s">
        <v>1</v>
      </c>
      <c r="CD478" t="e" cm="1">
        <f t="array" aca="1" ref="CD478" ca="1">eConcatenar(A478:CB478,"|")</f>
        <v>#NAME?</v>
      </c>
    </row>
    <row r="479" spans="1:82" x14ac:dyDescent="0.25">
      <c r="A479" t="s">
        <v>574</v>
      </c>
      <c r="B479" t="s">
        <v>1588</v>
      </c>
      <c r="C479">
        <v>3</v>
      </c>
      <c r="D479" t="s">
        <v>2153</v>
      </c>
      <c r="E479" t="s">
        <v>2158</v>
      </c>
      <c r="F479" t="s">
        <v>0</v>
      </c>
      <c r="G479" t="s">
        <v>2453</v>
      </c>
      <c r="H479" t="s">
        <v>2727</v>
      </c>
      <c r="I479">
        <v>14800</v>
      </c>
      <c r="J479">
        <v>0</v>
      </c>
      <c r="K479">
        <v>50</v>
      </c>
      <c r="L479">
        <v>50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 t="s">
        <v>3198</v>
      </c>
      <c r="AC479" t="s">
        <v>3472</v>
      </c>
      <c r="AD479" t="s">
        <v>3707</v>
      </c>
      <c r="AE479" t="s">
        <v>4</v>
      </c>
      <c r="AF479" t="s">
        <v>1</v>
      </c>
      <c r="AG479" t="s">
        <v>1</v>
      </c>
      <c r="AH479" t="s">
        <v>4218</v>
      </c>
      <c r="AI479" t="s">
        <v>2453</v>
      </c>
      <c r="AJ479" t="s">
        <v>1</v>
      </c>
      <c r="AK479">
        <v>9371271859</v>
      </c>
      <c r="AL479" t="s">
        <v>1</v>
      </c>
      <c r="AM479" t="s">
        <v>1</v>
      </c>
      <c r="AN479" t="s">
        <v>1</v>
      </c>
      <c r="AO479" t="s">
        <v>4218</v>
      </c>
      <c r="AP479" t="s">
        <v>1</v>
      </c>
      <c r="AQ479" t="s">
        <v>2</v>
      </c>
      <c r="AR479" t="s">
        <v>1</v>
      </c>
      <c r="AS479" t="s">
        <v>1</v>
      </c>
      <c r="AT479" t="s">
        <v>1</v>
      </c>
      <c r="AU479" t="s">
        <v>1</v>
      </c>
      <c r="AV479" t="s">
        <v>1</v>
      </c>
      <c r="AW479" t="s">
        <v>9</v>
      </c>
      <c r="AX479">
        <f>Tabla1[[#This Row],[precio del paquete]]-Tabla1[[#This Row],[Saldo_Deudor]]</f>
        <v>750</v>
      </c>
      <c r="AY479">
        <v>14050</v>
      </c>
      <c r="AZ479">
        <v>0</v>
      </c>
      <c r="BA479">
        <v>0</v>
      </c>
      <c r="BB479">
        <v>0</v>
      </c>
      <c r="BC479" t="s">
        <v>3061</v>
      </c>
      <c r="BD479" t="s">
        <v>3040</v>
      </c>
      <c r="BE479" t="s">
        <v>3</v>
      </c>
      <c r="BF479" t="s">
        <v>3</v>
      </c>
      <c r="BG479" t="s">
        <v>3</v>
      </c>
      <c r="BH479" t="s">
        <v>3</v>
      </c>
      <c r="BI479" t="s">
        <v>3</v>
      </c>
      <c r="BJ479" t="s">
        <v>5004</v>
      </c>
      <c r="BK479" t="s">
        <v>3</v>
      </c>
      <c r="BL479" t="s">
        <v>96</v>
      </c>
      <c r="BM479" t="s">
        <v>1</v>
      </c>
      <c r="BN479">
        <v>14800</v>
      </c>
      <c r="BO479" t="s">
        <v>1</v>
      </c>
      <c r="BP479" t="s">
        <v>1</v>
      </c>
      <c r="BQ479" t="s">
        <v>1</v>
      </c>
      <c r="BR479" t="s">
        <v>1</v>
      </c>
      <c r="BS479" t="s">
        <v>1</v>
      </c>
      <c r="BT479" t="s">
        <v>1</v>
      </c>
      <c r="BU479" t="s">
        <v>1</v>
      </c>
      <c r="BV479" t="s">
        <v>1</v>
      </c>
      <c r="BW479" t="s">
        <v>0</v>
      </c>
      <c r="BX479" t="s">
        <v>1</v>
      </c>
      <c r="BY479" t="s">
        <v>1</v>
      </c>
      <c r="BZ479" t="s">
        <v>1</v>
      </c>
      <c r="CA479" t="s">
        <v>1</v>
      </c>
      <c r="CB479" t="s">
        <v>1</v>
      </c>
      <c r="CD479" t="e" cm="1">
        <f t="array" aca="1" ref="CD479" ca="1">eConcatenar(A479:CB479,"|")</f>
        <v>#NAME?</v>
      </c>
    </row>
    <row r="480" spans="1:82" x14ac:dyDescent="0.25">
      <c r="A480" t="s">
        <v>575</v>
      </c>
      <c r="B480" t="s">
        <v>1589</v>
      </c>
      <c r="C480">
        <v>3</v>
      </c>
      <c r="D480" t="s">
        <v>2153</v>
      </c>
      <c r="E480" t="s">
        <v>2158</v>
      </c>
      <c r="F480" t="s">
        <v>0</v>
      </c>
      <c r="G480" t="s">
        <v>2453</v>
      </c>
      <c r="H480" t="s">
        <v>2833</v>
      </c>
      <c r="I480">
        <v>14800</v>
      </c>
      <c r="J480">
        <v>0</v>
      </c>
      <c r="K480">
        <v>100</v>
      </c>
      <c r="L480">
        <v>50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 t="s">
        <v>3629</v>
      </c>
      <c r="AC480" t="s">
        <v>3177</v>
      </c>
      <c r="AD480" t="s">
        <v>3708</v>
      </c>
      <c r="AE480" t="s">
        <v>4</v>
      </c>
      <c r="AF480" t="s">
        <v>1</v>
      </c>
      <c r="AG480" t="s">
        <v>1</v>
      </c>
      <c r="AH480" t="s">
        <v>4440</v>
      </c>
      <c r="AI480" t="s">
        <v>2453</v>
      </c>
      <c r="AJ480" t="s">
        <v>1</v>
      </c>
      <c r="AK480">
        <v>9371107060</v>
      </c>
      <c r="AL480" t="s">
        <v>1</v>
      </c>
      <c r="AM480" t="s">
        <v>1</v>
      </c>
      <c r="AN480" t="s">
        <v>1</v>
      </c>
      <c r="AO480" t="s">
        <v>4440</v>
      </c>
      <c r="AP480" t="s">
        <v>1</v>
      </c>
      <c r="AQ480" t="s">
        <v>2</v>
      </c>
      <c r="AR480" t="s">
        <v>1</v>
      </c>
      <c r="AS480" t="s">
        <v>1</v>
      </c>
      <c r="AT480" t="s">
        <v>1</v>
      </c>
      <c r="AU480" t="s">
        <v>1</v>
      </c>
      <c r="AV480" t="s">
        <v>1</v>
      </c>
      <c r="AW480" t="s">
        <v>9</v>
      </c>
      <c r="AX480">
        <f>Tabla1[[#This Row],[precio del paquete]]-Tabla1[[#This Row],[Saldo_Deudor]]</f>
        <v>1600</v>
      </c>
      <c r="AY480">
        <v>13200</v>
      </c>
      <c r="AZ480">
        <v>0</v>
      </c>
      <c r="BA480">
        <v>0</v>
      </c>
      <c r="BB480">
        <v>0</v>
      </c>
      <c r="BC480" t="s">
        <v>3061</v>
      </c>
      <c r="BD480" t="s">
        <v>3040</v>
      </c>
      <c r="BE480" t="s">
        <v>3</v>
      </c>
      <c r="BF480" t="s">
        <v>3</v>
      </c>
      <c r="BG480" t="s">
        <v>3</v>
      </c>
      <c r="BH480" t="s">
        <v>3</v>
      </c>
      <c r="BI480" t="s">
        <v>3</v>
      </c>
      <c r="BJ480" t="s">
        <v>5004</v>
      </c>
      <c r="BK480" t="s">
        <v>3</v>
      </c>
      <c r="BL480" t="s">
        <v>96</v>
      </c>
      <c r="BM480" t="s">
        <v>1</v>
      </c>
      <c r="BN480">
        <v>14800</v>
      </c>
      <c r="BO480" t="s">
        <v>1</v>
      </c>
      <c r="BP480" t="s">
        <v>1</v>
      </c>
      <c r="BQ480" t="s">
        <v>1</v>
      </c>
      <c r="BR480" t="s">
        <v>1</v>
      </c>
      <c r="BS480" t="s">
        <v>1</v>
      </c>
      <c r="BT480" t="s">
        <v>1</v>
      </c>
      <c r="BU480" t="s">
        <v>1</v>
      </c>
      <c r="BV480" t="s">
        <v>1</v>
      </c>
      <c r="BW480" t="s">
        <v>0</v>
      </c>
      <c r="BX480" t="s">
        <v>1</v>
      </c>
      <c r="BY480" t="s">
        <v>1</v>
      </c>
      <c r="BZ480" t="s">
        <v>1</v>
      </c>
      <c r="CA480" t="s">
        <v>1</v>
      </c>
      <c r="CB480" t="s">
        <v>1</v>
      </c>
      <c r="CD480" t="e" cm="1">
        <f t="array" aca="1" ref="CD480" ca="1">eConcatenar(A480:CB480,"|")</f>
        <v>#NAME?</v>
      </c>
    </row>
    <row r="481" spans="1:82" x14ac:dyDescent="0.25">
      <c r="A481" t="s">
        <v>576</v>
      </c>
      <c r="B481" t="s">
        <v>1590</v>
      </c>
      <c r="C481">
        <v>3</v>
      </c>
      <c r="D481" t="s">
        <v>2153</v>
      </c>
      <c r="E481" t="s">
        <v>2158</v>
      </c>
      <c r="F481" t="s">
        <v>0</v>
      </c>
      <c r="G481" t="s">
        <v>2453</v>
      </c>
      <c r="H481" t="s">
        <v>2706</v>
      </c>
      <c r="I481">
        <v>14800</v>
      </c>
      <c r="J481">
        <v>0</v>
      </c>
      <c r="K481">
        <v>50</v>
      </c>
      <c r="L481">
        <v>50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 t="s">
        <v>3390</v>
      </c>
      <c r="AC481" t="s">
        <v>3423</v>
      </c>
      <c r="AD481" t="s">
        <v>3269</v>
      </c>
      <c r="AE481" t="s">
        <v>4</v>
      </c>
      <c r="AF481" t="s">
        <v>1</v>
      </c>
      <c r="AG481" t="s">
        <v>1</v>
      </c>
      <c r="AH481" t="s">
        <v>4441</v>
      </c>
      <c r="AI481" t="s">
        <v>2453</v>
      </c>
      <c r="AJ481" t="s">
        <v>1</v>
      </c>
      <c r="AK481" t="s">
        <v>1</v>
      </c>
      <c r="AL481" t="s">
        <v>1</v>
      </c>
      <c r="AM481" t="s">
        <v>1</v>
      </c>
      <c r="AN481" t="s">
        <v>1</v>
      </c>
      <c r="AO481" t="s">
        <v>4441</v>
      </c>
      <c r="AP481" t="s">
        <v>1</v>
      </c>
      <c r="AQ481" t="s">
        <v>2</v>
      </c>
      <c r="AR481" t="s">
        <v>1</v>
      </c>
      <c r="AS481" t="s">
        <v>1</v>
      </c>
      <c r="AT481" t="s">
        <v>1</v>
      </c>
      <c r="AU481" t="s">
        <v>1</v>
      </c>
      <c r="AV481" t="s">
        <v>1</v>
      </c>
      <c r="AW481" t="s">
        <v>9</v>
      </c>
      <c r="AX481">
        <f>Tabla1[[#This Row],[precio del paquete]]-Tabla1[[#This Row],[Saldo_Deudor]]</f>
        <v>5700</v>
      </c>
      <c r="AY481">
        <v>9100</v>
      </c>
      <c r="AZ481">
        <v>0</v>
      </c>
      <c r="BA481">
        <v>0</v>
      </c>
      <c r="BB481">
        <v>0</v>
      </c>
      <c r="BC481" t="s">
        <v>3061</v>
      </c>
      <c r="BD481" t="s">
        <v>3040</v>
      </c>
      <c r="BE481" t="s">
        <v>3</v>
      </c>
      <c r="BF481" t="s">
        <v>3</v>
      </c>
      <c r="BG481" t="s">
        <v>3</v>
      </c>
      <c r="BH481" t="s">
        <v>3</v>
      </c>
      <c r="BI481" t="s">
        <v>3</v>
      </c>
      <c r="BJ481" t="s">
        <v>5004</v>
      </c>
      <c r="BK481" t="s">
        <v>3</v>
      </c>
      <c r="BL481" t="s">
        <v>96</v>
      </c>
      <c r="BM481" t="s">
        <v>1</v>
      </c>
      <c r="BN481">
        <v>14800</v>
      </c>
      <c r="BO481" t="s">
        <v>1</v>
      </c>
      <c r="BP481" t="s">
        <v>1</v>
      </c>
      <c r="BQ481" t="s">
        <v>1</v>
      </c>
      <c r="BR481" t="s">
        <v>1</v>
      </c>
      <c r="BS481" t="s">
        <v>1</v>
      </c>
      <c r="BT481" t="s">
        <v>1</v>
      </c>
      <c r="BU481" t="s">
        <v>1</v>
      </c>
      <c r="BV481" t="s">
        <v>1</v>
      </c>
      <c r="BW481" t="s">
        <v>0</v>
      </c>
      <c r="BX481" t="s">
        <v>1</v>
      </c>
      <c r="BY481" t="s">
        <v>1</v>
      </c>
      <c r="BZ481" t="s">
        <v>1</v>
      </c>
      <c r="CA481" t="s">
        <v>1</v>
      </c>
      <c r="CB481" t="s">
        <v>1</v>
      </c>
      <c r="CD481" t="e" cm="1">
        <f t="array" aca="1" ref="CD481" ca="1">eConcatenar(A481:CB481,"|")</f>
        <v>#NAME?</v>
      </c>
    </row>
    <row r="482" spans="1:82" x14ac:dyDescent="0.25">
      <c r="A482" t="s">
        <v>577</v>
      </c>
      <c r="B482" t="s">
        <v>1591</v>
      </c>
      <c r="C482">
        <v>3</v>
      </c>
      <c r="D482" t="s">
        <v>2153</v>
      </c>
      <c r="E482" t="s">
        <v>2158</v>
      </c>
      <c r="F482" t="s">
        <v>2159</v>
      </c>
      <c r="G482" t="s">
        <v>2454</v>
      </c>
      <c r="H482" t="s">
        <v>2871</v>
      </c>
      <c r="I482">
        <v>14800</v>
      </c>
      <c r="J482">
        <v>0</v>
      </c>
      <c r="K482">
        <v>200</v>
      </c>
      <c r="L482">
        <v>50</v>
      </c>
      <c r="M482">
        <v>2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 t="s">
        <v>3132</v>
      </c>
      <c r="AC482" t="s">
        <v>5</v>
      </c>
      <c r="AD482" t="s">
        <v>3709</v>
      </c>
      <c r="AE482" t="s">
        <v>4</v>
      </c>
      <c r="AF482" t="s">
        <v>1</v>
      </c>
      <c r="AG482" t="s">
        <v>1</v>
      </c>
      <c r="AH482" t="s">
        <v>4442</v>
      </c>
      <c r="AI482" t="s">
        <v>2454</v>
      </c>
      <c r="AJ482" t="s">
        <v>1</v>
      </c>
      <c r="AK482">
        <v>9331040708</v>
      </c>
      <c r="AL482" t="s">
        <v>1</v>
      </c>
      <c r="AM482" t="s">
        <v>1</v>
      </c>
      <c r="AN482" t="s">
        <v>1</v>
      </c>
      <c r="AO482" t="s">
        <v>4442</v>
      </c>
      <c r="AP482" t="s">
        <v>1</v>
      </c>
      <c r="AQ482" t="s">
        <v>2</v>
      </c>
      <c r="AR482" t="s">
        <v>1</v>
      </c>
      <c r="AS482" t="s">
        <v>1</v>
      </c>
      <c r="AT482" t="s">
        <v>1</v>
      </c>
      <c r="AU482" t="s">
        <v>1</v>
      </c>
      <c r="AV482" t="s">
        <v>1</v>
      </c>
      <c r="AW482" t="s">
        <v>9</v>
      </c>
      <c r="AX482">
        <f>Tabla1[[#This Row],[precio del paquete]]-Tabla1[[#This Row],[Saldo_Deudor]]</f>
        <v>200</v>
      </c>
      <c r="AY482">
        <v>14600</v>
      </c>
      <c r="AZ482">
        <v>0</v>
      </c>
      <c r="BA482">
        <v>0</v>
      </c>
      <c r="BB482">
        <v>0</v>
      </c>
      <c r="BC482" t="s">
        <v>3058</v>
      </c>
      <c r="BD482" t="s">
        <v>4936</v>
      </c>
      <c r="BE482" t="s">
        <v>3</v>
      </c>
      <c r="BF482" t="s">
        <v>3</v>
      </c>
      <c r="BG482" t="s">
        <v>3</v>
      </c>
      <c r="BH482" t="s">
        <v>3</v>
      </c>
      <c r="BI482" t="s">
        <v>3</v>
      </c>
      <c r="BJ482" t="s">
        <v>5004</v>
      </c>
      <c r="BK482" t="s">
        <v>3</v>
      </c>
      <c r="BL482" t="s">
        <v>96</v>
      </c>
      <c r="BM482" t="s">
        <v>1</v>
      </c>
      <c r="BN482">
        <v>14800</v>
      </c>
      <c r="BO482" t="s">
        <v>1</v>
      </c>
      <c r="BP482" t="s">
        <v>1</v>
      </c>
      <c r="BQ482" t="s">
        <v>1</v>
      </c>
      <c r="BR482" t="s">
        <v>1</v>
      </c>
      <c r="BS482" t="s">
        <v>1</v>
      </c>
      <c r="BT482" t="s">
        <v>1</v>
      </c>
      <c r="BU482" t="s">
        <v>1</v>
      </c>
      <c r="BV482" t="s">
        <v>1</v>
      </c>
      <c r="BW482" t="s">
        <v>0</v>
      </c>
      <c r="BX482" t="s">
        <v>1</v>
      </c>
      <c r="BY482" t="s">
        <v>1</v>
      </c>
      <c r="BZ482" t="s">
        <v>1</v>
      </c>
      <c r="CA482" t="s">
        <v>1</v>
      </c>
      <c r="CB482" t="s">
        <v>1</v>
      </c>
      <c r="CD482" t="e" cm="1">
        <f t="array" aca="1" ref="CD482" ca="1">eConcatenar(A482:CB482,"|")</f>
        <v>#NAME?</v>
      </c>
    </row>
    <row r="483" spans="1:82" x14ac:dyDescent="0.25">
      <c r="A483" t="s">
        <v>578</v>
      </c>
      <c r="B483" t="s">
        <v>1592</v>
      </c>
      <c r="C483">
        <v>3</v>
      </c>
      <c r="D483" t="s">
        <v>2154</v>
      </c>
      <c r="E483" t="s">
        <v>2158</v>
      </c>
      <c r="F483" t="s">
        <v>2162</v>
      </c>
      <c r="G483" t="s">
        <v>2455</v>
      </c>
      <c r="H483" t="s">
        <v>2922</v>
      </c>
      <c r="I483">
        <v>24500</v>
      </c>
      <c r="J483">
        <v>0</v>
      </c>
      <c r="K483">
        <v>1000</v>
      </c>
      <c r="L483">
        <v>50</v>
      </c>
      <c r="M483">
        <v>2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 t="s">
        <v>3249</v>
      </c>
      <c r="AC483" t="s">
        <v>3132</v>
      </c>
      <c r="AD483" t="s">
        <v>3710</v>
      </c>
      <c r="AE483" t="s">
        <v>4</v>
      </c>
      <c r="AF483" t="s">
        <v>1</v>
      </c>
      <c r="AG483" t="s">
        <v>1</v>
      </c>
      <c r="AH483" t="s">
        <v>4443</v>
      </c>
      <c r="AI483" t="s">
        <v>2455</v>
      </c>
      <c r="AJ483" t="s">
        <v>1</v>
      </c>
      <c r="AK483">
        <v>9131059331</v>
      </c>
      <c r="AL483" t="s">
        <v>1</v>
      </c>
      <c r="AM483" t="s">
        <v>1</v>
      </c>
      <c r="AN483" t="s">
        <v>1</v>
      </c>
      <c r="AO483" t="s">
        <v>4443</v>
      </c>
      <c r="AP483" t="s">
        <v>1</v>
      </c>
      <c r="AQ483" t="s">
        <v>2</v>
      </c>
      <c r="AR483" t="s">
        <v>1</v>
      </c>
      <c r="AS483" t="s">
        <v>1</v>
      </c>
      <c r="AT483" t="s">
        <v>1</v>
      </c>
      <c r="AU483" t="s">
        <v>1</v>
      </c>
      <c r="AV483" t="s">
        <v>1</v>
      </c>
      <c r="AW483" t="s">
        <v>9</v>
      </c>
      <c r="AX483">
        <f>Tabla1[[#This Row],[precio del paquete]]-Tabla1[[#This Row],[Saldo_Deudor]]</f>
        <v>6000</v>
      </c>
      <c r="AY483">
        <v>18500</v>
      </c>
      <c r="AZ483">
        <v>0</v>
      </c>
      <c r="BA483">
        <v>0</v>
      </c>
      <c r="BB483">
        <v>0</v>
      </c>
      <c r="BC483" t="s">
        <v>2923</v>
      </c>
      <c r="BD483" t="s">
        <v>4910</v>
      </c>
      <c r="BE483" t="s">
        <v>3</v>
      </c>
      <c r="BF483" t="s">
        <v>3</v>
      </c>
      <c r="BG483" t="s">
        <v>3</v>
      </c>
      <c r="BH483" t="s">
        <v>3</v>
      </c>
      <c r="BI483" t="s">
        <v>3</v>
      </c>
      <c r="BJ483" t="s">
        <v>5008</v>
      </c>
      <c r="BK483" t="s">
        <v>3</v>
      </c>
      <c r="BL483" t="s">
        <v>96</v>
      </c>
      <c r="BM483" t="s">
        <v>1</v>
      </c>
      <c r="BN483">
        <v>24500</v>
      </c>
      <c r="BO483" t="s">
        <v>1</v>
      </c>
      <c r="BP483" t="s">
        <v>1</v>
      </c>
      <c r="BQ483" t="s">
        <v>1</v>
      </c>
      <c r="BR483" t="s">
        <v>1</v>
      </c>
      <c r="BS483" t="s">
        <v>1</v>
      </c>
      <c r="BT483" t="s">
        <v>1</v>
      </c>
      <c r="BU483" t="s">
        <v>1</v>
      </c>
      <c r="BV483" t="s">
        <v>1</v>
      </c>
      <c r="BW483" t="s">
        <v>0</v>
      </c>
      <c r="BX483" t="s">
        <v>1</v>
      </c>
      <c r="BY483" t="s">
        <v>1</v>
      </c>
      <c r="BZ483" t="s">
        <v>1</v>
      </c>
      <c r="CA483" t="s">
        <v>1</v>
      </c>
      <c r="CB483" t="s">
        <v>1</v>
      </c>
      <c r="CD483" t="e" cm="1">
        <f t="array" aca="1" ref="CD483" ca="1">eConcatenar(A483:CB483,"|")</f>
        <v>#NAME?</v>
      </c>
    </row>
    <row r="484" spans="1:82" x14ac:dyDescent="0.25">
      <c r="A484" t="s">
        <v>579</v>
      </c>
      <c r="B484" t="s">
        <v>1593</v>
      </c>
      <c r="C484">
        <v>3</v>
      </c>
      <c r="D484" t="s">
        <v>2154</v>
      </c>
      <c r="E484" t="s">
        <v>2158</v>
      </c>
      <c r="F484" t="s">
        <v>2162</v>
      </c>
      <c r="G484" t="s">
        <v>2455</v>
      </c>
      <c r="H484" t="s">
        <v>2868</v>
      </c>
      <c r="I484">
        <v>24500</v>
      </c>
      <c r="J484">
        <v>0</v>
      </c>
      <c r="K484">
        <v>400</v>
      </c>
      <c r="L484">
        <v>50</v>
      </c>
      <c r="M484">
        <v>2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 t="s">
        <v>3115</v>
      </c>
      <c r="AC484" t="s">
        <v>3132</v>
      </c>
      <c r="AD484" t="s">
        <v>3457</v>
      </c>
      <c r="AE484" t="s">
        <v>4</v>
      </c>
      <c r="AF484" t="s">
        <v>1</v>
      </c>
      <c r="AG484" t="s">
        <v>1</v>
      </c>
      <c r="AH484" t="s">
        <v>4444</v>
      </c>
      <c r="AI484" t="s">
        <v>2455</v>
      </c>
      <c r="AJ484" t="s">
        <v>1</v>
      </c>
      <c r="AK484">
        <v>9131007982</v>
      </c>
      <c r="AL484" t="s">
        <v>1</v>
      </c>
      <c r="AM484" t="s">
        <v>1</v>
      </c>
      <c r="AN484" t="s">
        <v>1</v>
      </c>
      <c r="AO484" t="s">
        <v>4444</v>
      </c>
      <c r="AP484" t="s">
        <v>1</v>
      </c>
      <c r="AQ484" t="s">
        <v>2</v>
      </c>
      <c r="AR484" t="s">
        <v>1</v>
      </c>
      <c r="AS484" t="s">
        <v>1</v>
      </c>
      <c r="AT484" t="s">
        <v>1</v>
      </c>
      <c r="AU484" t="s">
        <v>1</v>
      </c>
      <c r="AV484" t="s">
        <v>1</v>
      </c>
      <c r="AW484" t="s">
        <v>9</v>
      </c>
      <c r="AX484">
        <f>Tabla1[[#This Row],[precio del paquete]]-Tabla1[[#This Row],[Saldo_Deudor]]</f>
        <v>2200</v>
      </c>
      <c r="AY484">
        <v>22300</v>
      </c>
      <c r="AZ484">
        <v>0</v>
      </c>
      <c r="BA484">
        <v>0</v>
      </c>
      <c r="BB484">
        <v>0</v>
      </c>
      <c r="BC484" t="s">
        <v>2904</v>
      </c>
      <c r="BD484" t="s">
        <v>4927</v>
      </c>
      <c r="BE484" t="s">
        <v>3</v>
      </c>
      <c r="BF484" t="s">
        <v>3</v>
      </c>
      <c r="BG484" t="s">
        <v>3</v>
      </c>
      <c r="BH484" t="s">
        <v>3</v>
      </c>
      <c r="BI484" t="s">
        <v>3</v>
      </c>
      <c r="BJ484" t="s">
        <v>4998</v>
      </c>
      <c r="BK484" t="s">
        <v>3</v>
      </c>
      <c r="BL484" t="s">
        <v>96</v>
      </c>
      <c r="BM484" t="s">
        <v>1</v>
      </c>
      <c r="BN484">
        <v>24500</v>
      </c>
      <c r="BO484" t="s">
        <v>1</v>
      </c>
      <c r="BP484" t="s">
        <v>1</v>
      </c>
      <c r="BQ484" t="s">
        <v>1</v>
      </c>
      <c r="BR484" t="s">
        <v>1</v>
      </c>
      <c r="BS484" t="s">
        <v>1</v>
      </c>
      <c r="BT484" t="s">
        <v>1</v>
      </c>
      <c r="BU484" t="s">
        <v>1</v>
      </c>
      <c r="BV484" t="s">
        <v>1</v>
      </c>
      <c r="BW484" t="s">
        <v>0</v>
      </c>
      <c r="BX484" t="s">
        <v>1</v>
      </c>
      <c r="BY484" t="s">
        <v>1</v>
      </c>
      <c r="BZ484" t="s">
        <v>1</v>
      </c>
      <c r="CA484" t="s">
        <v>1</v>
      </c>
      <c r="CB484" t="s">
        <v>1</v>
      </c>
      <c r="CD484" t="e" cm="1">
        <f t="array" aca="1" ref="CD484" ca="1">eConcatenar(A484:CB484,"|")</f>
        <v>#NAME?</v>
      </c>
    </row>
    <row r="485" spans="1:82" x14ac:dyDescent="0.25">
      <c r="A485" t="s">
        <v>580</v>
      </c>
      <c r="B485" t="s">
        <v>1594</v>
      </c>
      <c r="C485">
        <v>3</v>
      </c>
      <c r="D485" t="s">
        <v>2153</v>
      </c>
      <c r="E485" t="s">
        <v>2158</v>
      </c>
      <c r="F485" t="s">
        <v>2162</v>
      </c>
      <c r="G485" t="s">
        <v>2456</v>
      </c>
      <c r="H485" t="s">
        <v>2923</v>
      </c>
      <c r="I485">
        <v>14800</v>
      </c>
      <c r="J485">
        <v>0</v>
      </c>
      <c r="K485">
        <v>500</v>
      </c>
      <c r="L485">
        <v>50</v>
      </c>
      <c r="M485">
        <v>1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 t="s">
        <v>3246</v>
      </c>
      <c r="AC485" t="s">
        <v>3711</v>
      </c>
      <c r="AD485" t="s">
        <v>3211</v>
      </c>
      <c r="AE485" t="s">
        <v>4</v>
      </c>
      <c r="AF485" t="s">
        <v>1</v>
      </c>
      <c r="AG485" t="s">
        <v>1</v>
      </c>
      <c r="AH485" t="s">
        <v>4445</v>
      </c>
      <c r="AI485" t="s">
        <v>2456</v>
      </c>
      <c r="AJ485" t="s">
        <v>1</v>
      </c>
      <c r="AK485">
        <v>9331068407</v>
      </c>
      <c r="AL485" t="s">
        <v>1</v>
      </c>
      <c r="AM485" t="s">
        <v>1</v>
      </c>
      <c r="AN485" t="s">
        <v>1</v>
      </c>
      <c r="AO485" t="s">
        <v>4445</v>
      </c>
      <c r="AP485" t="s">
        <v>1</v>
      </c>
      <c r="AQ485" t="s">
        <v>2</v>
      </c>
      <c r="AR485" t="s">
        <v>1</v>
      </c>
      <c r="AS485" t="s">
        <v>1</v>
      </c>
      <c r="AT485" t="s">
        <v>1</v>
      </c>
      <c r="AU485" t="s">
        <v>1</v>
      </c>
      <c r="AV485" t="s">
        <v>1</v>
      </c>
      <c r="AW485" t="s">
        <v>9</v>
      </c>
      <c r="AX485">
        <f>Tabla1[[#This Row],[precio del paquete]]-Tabla1[[#This Row],[Saldo_Deudor]]</f>
        <v>1100</v>
      </c>
      <c r="AY485">
        <v>13700</v>
      </c>
      <c r="AZ485">
        <v>0</v>
      </c>
      <c r="BA485">
        <v>0</v>
      </c>
      <c r="BB485">
        <v>0</v>
      </c>
      <c r="BC485" t="s">
        <v>3102</v>
      </c>
      <c r="BD485" t="s">
        <v>4897</v>
      </c>
      <c r="BE485" t="s">
        <v>3</v>
      </c>
      <c r="BF485" t="s">
        <v>3</v>
      </c>
      <c r="BG485" t="s">
        <v>3</v>
      </c>
      <c r="BH485" t="s">
        <v>3</v>
      </c>
      <c r="BI485" t="s">
        <v>3</v>
      </c>
      <c r="BJ485" t="s">
        <v>4998</v>
      </c>
      <c r="BK485" t="s">
        <v>3</v>
      </c>
      <c r="BL485" t="s">
        <v>96</v>
      </c>
      <c r="BM485" t="s">
        <v>1</v>
      </c>
      <c r="BN485">
        <v>14800</v>
      </c>
      <c r="BO485" t="s">
        <v>1</v>
      </c>
      <c r="BP485" t="s">
        <v>1</v>
      </c>
      <c r="BQ485" t="s">
        <v>1</v>
      </c>
      <c r="BR485" t="s">
        <v>1</v>
      </c>
      <c r="BS485" t="s">
        <v>1</v>
      </c>
      <c r="BT485" t="s">
        <v>1</v>
      </c>
      <c r="BU485" t="s">
        <v>1</v>
      </c>
      <c r="BV485" t="s">
        <v>1</v>
      </c>
      <c r="BW485" t="s">
        <v>0</v>
      </c>
      <c r="BX485" t="s">
        <v>1</v>
      </c>
      <c r="BY485" t="s">
        <v>1</v>
      </c>
      <c r="BZ485" t="s">
        <v>1</v>
      </c>
      <c r="CA485" t="s">
        <v>1</v>
      </c>
      <c r="CB485" t="s">
        <v>1</v>
      </c>
      <c r="CD485" t="e" cm="1">
        <f t="array" aca="1" ref="CD485" ca="1">eConcatenar(A485:CB485,"|")</f>
        <v>#NAME?</v>
      </c>
    </row>
    <row r="486" spans="1:82" x14ac:dyDescent="0.25">
      <c r="A486" t="s">
        <v>581</v>
      </c>
      <c r="B486" t="s">
        <v>1595</v>
      </c>
      <c r="C486">
        <v>3</v>
      </c>
      <c r="D486" t="s">
        <v>2153</v>
      </c>
      <c r="E486" t="s">
        <v>2158</v>
      </c>
      <c r="F486" t="s">
        <v>2162</v>
      </c>
      <c r="G486" t="s">
        <v>2456</v>
      </c>
      <c r="H486" t="s">
        <v>2924</v>
      </c>
      <c r="I486">
        <v>14800</v>
      </c>
      <c r="J486">
        <v>0</v>
      </c>
      <c r="K486">
        <v>200</v>
      </c>
      <c r="L486">
        <v>50</v>
      </c>
      <c r="M486">
        <v>1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 t="s">
        <v>3131</v>
      </c>
      <c r="AC486" t="s">
        <v>3132</v>
      </c>
      <c r="AD486" t="s">
        <v>3624</v>
      </c>
      <c r="AE486" t="s">
        <v>4</v>
      </c>
      <c r="AF486" t="s">
        <v>1</v>
      </c>
      <c r="AG486" t="s">
        <v>1</v>
      </c>
      <c r="AH486" t="s">
        <v>4446</v>
      </c>
      <c r="AI486" t="s">
        <v>2456</v>
      </c>
      <c r="AJ486" t="s">
        <v>1</v>
      </c>
      <c r="AK486">
        <v>9331197478</v>
      </c>
      <c r="AL486" t="s">
        <v>1</v>
      </c>
      <c r="AM486" t="s">
        <v>1</v>
      </c>
      <c r="AN486" t="s">
        <v>1</v>
      </c>
      <c r="AO486" t="s">
        <v>4446</v>
      </c>
      <c r="AP486" t="s">
        <v>1</v>
      </c>
      <c r="AQ486" t="s">
        <v>2</v>
      </c>
      <c r="AR486" t="s">
        <v>1</v>
      </c>
      <c r="AS486" t="s">
        <v>1</v>
      </c>
      <c r="AT486" t="s">
        <v>1</v>
      </c>
      <c r="AU486" t="s">
        <v>1</v>
      </c>
      <c r="AV486" t="s">
        <v>1</v>
      </c>
      <c r="AW486" t="s">
        <v>9</v>
      </c>
      <c r="AX486">
        <f>Tabla1[[#This Row],[precio del paquete]]-Tabla1[[#This Row],[Saldo_Deudor]]</f>
        <v>600</v>
      </c>
      <c r="AY486">
        <v>14200</v>
      </c>
      <c r="AZ486">
        <v>0</v>
      </c>
      <c r="BA486">
        <v>0</v>
      </c>
      <c r="BB486">
        <v>0</v>
      </c>
      <c r="BC486" t="s">
        <v>3102</v>
      </c>
      <c r="BD486" t="s">
        <v>4897</v>
      </c>
      <c r="BE486" t="s">
        <v>3</v>
      </c>
      <c r="BF486" t="s">
        <v>3</v>
      </c>
      <c r="BG486" t="s">
        <v>3</v>
      </c>
      <c r="BH486" t="s">
        <v>3</v>
      </c>
      <c r="BI486" t="s">
        <v>3</v>
      </c>
      <c r="BJ486" t="s">
        <v>5007</v>
      </c>
      <c r="BK486" t="s">
        <v>3</v>
      </c>
      <c r="BL486" t="s">
        <v>96</v>
      </c>
      <c r="BM486" t="s">
        <v>1</v>
      </c>
      <c r="BN486">
        <v>14800</v>
      </c>
      <c r="BO486" t="s">
        <v>1</v>
      </c>
      <c r="BP486" t="s">
        <v>1</v>
      </c>
      <c r="BQ486" t="s">
        <v>1</v>
      </c>
      <c r="BR486" t="s">
        <v>1</v>
      </c>
      <c r="BS486" t="s">
        <v>1</v>
      </c>
      <c r="BT486" t="s">
        <v>1</v>
      </c>
      <c r="BU486" t="s">
        <v>1</v>
      </c>
      <c r="BV486" t="s">
        <v>1</v>
      </c>
      <c r="BW486" t="s">
        <v>0</v>
      </c>
      <c r="BX486" t="s">
        <v>1</v>
      </c>
      <c r="BY486" t="s">
        <v>1</v>
      </c>
      <c r="BZ486" t="s">
        <v>1</v>
      </c>
      <c r="CA486" t="s">
        <v>1</v>
      </c>
      <c r="CB486" t="s">
        <v>1</v>
      </c>
      <c r="CD486" t="e" cm="1">
        <f t="array" aca="1" ref="CD486" ca="1">eConcatenar(A486:CB486,"|")</f>
        <v>#NAME?</v>
      </c>
    </row>
    <row r="487" spans="1:82" x14ac:dyDescent="0.25">
      <c r="A487" t="s">
        <v>582</v>
      </c>
      <c r="B487" t="s">
        <v>1596</v>
      </c>
      <c r="C487">
        <v>3</v>
      </c>
      <c r="D487" t="s">
        <v>2154</v>
      </c>
      <c r="E487" t="s">
        <v>2158</v>
      </c>
      <c r="F487" t="s">
        <v>2162</v>
      </c>
      <c r="G487" t="s">
        <v>2456</v>
      </c>
      <c r="H487" t="s">
        <v>2924</v>
      </c>
      <c r="I487">
        <v>24500</v>
      </c>
      <c r="J487">
        <v>0</v>
      </c>
      <c r="K487">
        <v>1000</v>
      </c>
      <c r="L487">
        <v>50</v>
      </c>
      <c r="M487">
        <v>1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 t="s">
        <v>3245</v>
      </c>
      <c r="AC487" t="s">
        <v>3379</v>
      </c>
      <c r="AD487" t="s">
        <v>3712</v>
      </c>
      <c r="AE487" t="s">
        <v>4</v>
      </c>
      <c r="AF487" t="s">
        <v>1</v>
      </c>
      <c r="AG487" t="s">
        <v>1</v>
      </c>
      <c r="AH487" t="s">
        <v>4447</v>
      </c>
      <c r="AI487" t="s">
        <v>2456</v>
      </c>
      <c r="AJ487" t="s">
        <v>1</v>
      </c>
      <c r="AK487">
        <v>9331298800</v>
      </c>
      <c r="AL487" t="s">
        <v>1</v>
      </c>
      <c r="AM487" t="s">
        <v>1</v>
      </c>
      <c r="AN487" t="s">
        <v>1</v>
      </c>
      <c r="AO487" t="s">
        <v>4447</v>
      </c>
      <c r="AP487" t="s">
        <v>1</v>
      </c>
      <c r="AQ487" t="s">
        <v>2</v>
      </c>
      <c r="AR487" t="s">
        <v>1</v>
      </c>
      <c r="AS487" t="s">
        <v>1</v>
      </c>
      <c r="AT487" t="s">
        <v>1</v>
      </c>
      <c r="AU487" t="s">
        <v>1</v>
      </c>
      <c r="AV487" t="s">
        <v>1</v>
      </c>
      <c r="AW487" t="s">
        <v>9</v>
      </c>
      <c r="AX487">
        <f>Tabla1[[#This Row],[precio del paquete]]-Tabla1[[#This Row],[Saldo_Deudor]]</f>
        <v>3000</v>
      </c>
      <c r="AY487">
        <v>21500</v>
      </c>
      <c r="AZ487">
        <v>0</v>
      </c>
      <c r="BA487">
        <v>0</v>
      </c>
      <c r="BB487">
        <v>0</v>
      </c>
      <c r="BC487" t="s">
        <v>3102</v>
      </c>
      <c r="BD487" t="s">
        <v>4897</v>
      </c>
      <c r="BE487" t="s">
        <v>3</v>
      </c>
      <c r="BF487" t="s">
        <v>3</v>
      </c>
      <c r="BG487" t="s">
        <v>3</v>
      </c>
      <c r="BH487" t="s">
        <v>3</v>
      </c>
      <c r="BI487" t="s">
        <v>3</v>
      </c>
      <c r="BJ487" t="s">
        <v>5007</v>
      </c>
      <c r="BK487" t="s">
        <v>3</v>
      </c>
      <c r="BL487" t="s">
        <v>96</v>
      </c>
      <c r="BM487" t="s">
        <v>1</v>
      </c>
      <c r="BN487">
        <v>24500</v>
      </c>
      <c r="BO487" t="s">
        <v>1</v>
      </c>
      <c r="BP487" t="s">
        <v>1</v>
      </c>
      <c r="BQ487" t="s">
        <v>1</v>
      </c>
      <c r="BR487" t="s">
        <v>1</v>
      </c>
      <c r="BS487" t="s">
        <v>1</v>
      </c>
      <c r="BT487" t="s">
        <v>1</v>
      </c>
      <c r="BU487" t="s">
        <v>1</v>
      </c>
      <c r="BV487" t="s">
        <v>1</v>
      </c>
      <c r="BW487" t="s">
        <v>0</v>
      </c>
      <c r="BX487" t="s">
        <v>1</v>
      </c>
      <c r="BY487" t="s">
        <v>1</v>
      </c>
      <c r="BZ487" t="s">
        <v>1</v>
      </c>
      <c r="CA487" t="s">
        <v>1</v>
      </c>
      <c r="CB487" t="s">
        <v>1</v>
      </c>
      <c r="CD487" t="e" cm="1">
        <f t="array" aca="1" ref="CD487" ca="1">eConcatenar(A487:CB487,"|")</f>
        <v>#NAME?</v>
      </c>
    </row>
    <row r="488" spans="1:82" x14ac:dyDescent="0.25">
      <c r="A488" t="s">
        <v>583</v>
      </c>
      <c r="B488" t="s">
        <v>1597</v>
      </c>
      <c r="C488">
        <v>3</v>
      </c>
      <c r="D488" t="s">
        <v>2153</v>
      </c>
      <c r="E488" t="s">
        <v>2158</v>
      </c>
      <c r="F488" t="s">
        <v>2162</v>
      </c>
      <c r="G488" t="s">
        <v>2456</v>
      </c>
      <c r="H488" t="s">
        <v>2925</v>
      </c>
      <c r="I488">
        <v>14800</v>
      </c>
      <c r="J488">
        <v>0</v>
      </c>
      <c r="K488">
        <v>200</v>
      </c>
      <c r="L488">
        <v>50</v>
      </c>
      <c r="M488">
        <v>1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 t="s">
        <v>3155</v>
      </c>
      <c r="AC488" t="s">
        <v>3246</v>
      </c>
      <c r="AD488" t="s">
        <v>3713</v>
      </c>
      <c r="AE488" t="s">
        <v>4</v>
      </c>
      <c r="AF488" t="s">
        <v>1</v>
      </c>
      <c r="AG488" t="s">
        <v>1</v>
      </c>
      <c r="AH488" t="s">
        <v>4448</v>
      </c>
      <c r="AI488" t="s">
        <v>2456</v>
      </c>
      <c r="AJ488" t="s">
        <v>1</v>
      </c>
      <c r="AK488">
        <v>9332083337</v>
      </c>
      <c r="AL488" t="s">
        <v>1</v>
      </c>
      <c r="AM488" t="s">
        <v>1</v>
      </c>
      <c r="AN488" t="s">
        <v>1</v>
      </c>
      <c r="AO488" t="s">
        <v>4448</v>
      </c>
      <c r="AP488" t="s">
        <v>1</v>
      </c>
      <c r="AQ488" t="s">
        <v>2</v>
      </c>
      <c r="AR488" t="s">
        <v>1</v>
      </c>
      <c r="AS488" t="s">
        <v>1</v>
      </c>
      <c r="AT488" t="s">
        <v>1</v>
      </c>
      <c r="AU488" t="s">
        <v>1</v>
      </c>
      <c r="AV488" t="s">
        <v>1</v>
      </c>
      <c r="AW488" t="s">
        <v>9</v>
      </c>
      <c r="AX488">
        <f>Tabla1[[#This Row],[precio del paquete]]-Tabla1[[#This Row],[Saldo_Deudor]]</f>
        <v>400</v>
      </c>
      <c r="AY488">
        <v>14400</v>
      </c>
      <c r="AZ488">
        <v>0</v>
      </c>
      <c r="BA488">
        <v>0</v>
      </c>
      <c r="BB488">
        <v>0</v>
      </c>
      <c r="BC488" t="s">
        <v>3102</v>
      </c>
      <c r="BD488" t="s">
        <v>4897</v>
      </c>
      <c r="BE488" t="s">
        <v>3</v>
      </c>
      <c r="BF488" t="s">
        <v>3</v>
      </c>
      <c r="BG488" t="s">
        <v>3</v>
      </c>
      <c r="BH488" t="s">
        <v>3</v>
      </c>
      <c r="BI488" t="s">
        <v>3</v>
      </c>
      <c r="BJ488" t="s">
        <v>5007</v>
      </c>
      <c r="BK488" t="s">
        <v>3</v>
      </c>
      <c r="BL488" t="s">
        <v>96</v>
      </c>
      <c r="BM488" t="s">
        <v>1</v>
      </c>
      <c r="BN488">
        <v>14800</v>
      </c>
      <c r="BO488" t="s">
        <v>1</v>
      </c>
      <c r="BP488" t="s">
        <v>1</v>
      </c>
      <c r="BQ488" t="s">
        <v>1</v>
      </c>
      <c r="BR488" t="s">
        <v>1</v>
      </c>
      <c r="BS488" t="s">
        <v>1</v>
      </c>
      <c r="BT488" t="s">
        <v>1</v>
      </c>
      <c r="BU488" t="s">
        <v>1</v>
      </c>
      <c r="BV488" t="s">
        <v>1</v>
      </c>
      <c r="BW488" t="s">
        <v>0</v>
      </c>
      <c r="BX488" t="s">
        <v>1</v>
      </c>
      <c r="BY488" t="s">
        <v>1</v>
      </c>
      <c r="BZ488" t="s">
        <v>1</v>
      </c>
      <c r="CA488" t="s">
        <v>1</v>
      </c>
      <c r="CB488" t="s">
        <v>1</v>
      </c>
      <c r="CD488" t="e" cm="1">
        <f t="array" aca="1" ref="CD488" ca="1">eConcatenar(A488:CB488,"|")</f>
        <v>#NAME?</v>
      </c>
    </row>
    <row r="489" spans="1:82" x14ac:dyDescent="0.25">
      <c r="A489" t="s">
        <v>584</v>
      </c>
      <c r="B489" t="s">
        <v>1598</v>
      </c>
      <c r="C489">
        <v>3</v>
      </c>
      <c r="D489" t="s">
        <v>2153</v>
      </c>
      <c r="E489" t="s">
        <v>2158</v>
      </c>
      <c r="F489" t="s">
        <v>2159</v>
      </c>
      <c r="G489" t="s">
        <v>2456</v>
      </c>
      <c r="H489" t="s">
        <v>2839</v>
      </c>
      <c r="I489">
        <v>14800</v>
      </c>
      <c r="J489">
        <v>0</v>
      </c>
      <c r="K489">
        <v>200</v>
      </c>
      <c r="L489">
        <v>50</v>
      </c>
      <c r="M489">
        <v>1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 t="s">
        <v>3245</v>
      </c>
      <c r="AC489" t="s">
        <v>3132</v>
      </c>
      <c r="AD489" t="s">
        <v>3714</v>
      </c>
      <c r="AE489" t="s">
        <v>4</v>
      </c>
      <c r="AF489" t="s">
        <v>1</v>
      </c>
      <c r="AG489" t="s">
        <v>1</v>
      </c>
      <c r="AH489" t="s">
        <v>4449</v>
      </c>
      <c r="AI489" t="s">
        <v>2456</v>
      </c>
      <c r="AJ489" t="s">
        <v>1</v>
      </c>
      <c r="AK489" t="s">
        <v>1</v>
      </c>
      <c r="AL489" t="s">
        <v>1</v>
      </c>
      <c r="AM489" t="s">
        <v>1</v>
      </c>
      <c r="AN489" t="s">
        <v>1</v>
      </c>
      <c r="AO489" t="s">
        <v>4449</v>
      </c>
      <c r="AP489" t="s">
        <v>1</v>
      </c>
      <c r="AQ489" t="s">
        <v>2</v>
      </c>
      <c r="AR489" t="s">
        <v>1</v>
      </c>
      <c r="AS489" t="s">
        <v>1</v>
      </c>
      <c r="AT489" t="s">
        <v>1</v>
      </c>
      <c r="AU489" t="s">
        <v>1</v>
      </c>
      <c r="AV489" t="s">
        <v>1</v>
      </c>
      <c r="AW489" t="s">
        <v>9</v>
      </c>
      <c r="AX489">
        <f>Tabla1[[#This Row],[precio del paquete]]-Tabla1[[#This Row],[Saldo_Deudor]]</f>
        <v>1250</v>
      </c>
      <c r="AY489">
        <v>13550</v>
      </c>
      <c r="AZ489">
        <v>0</v>
      </c>
      <c r="BA489">
        <v>0</v>
      </c>
      <c r="BB489">
        <v>0</v>
      </c>
      <c r="BC489" t="s">
        <v>4829</v>
      </c>
      <c r="BD489" t="s">
        <v>4900</v>
      </c>
      <c r="BE489" t="s">
        <v>3</v>
      </c>
      <c r="BF489" t="s">
        <v>3</v>
      </c>
      <c r="BG489" t="s">
        <v>3</v>
      </c>
      <c r="BH489" t="s">
        <v>3</v>
      </c>
      <c r="BI489" t="s">
        <v>3</v>
      </c>
      <c r="BJ489" t="s">
        <v>5007</v>
      </c>
      <c r="BK489" t="s">
        <v>3</v>
      </c>
      <c r="BL489" t="s">
        <v>96</v>
      </c>
      <c r="BM489" t="s">
        <v>1</v>
      </c>
      <c r="BN489">
        <v>14800</v>
      </c>
      <c r="BO489" t="s">
        <v>1</v>
      </c>
      <c r="BP489" t="s">
        <v>1</v>
      </c>
      <c r="BQ489" t="s">
        <v>1</v>
      </c>
      <c r="BR489" t="s">
        <v>1</v>
      </c>
      <c r="BS489" t="s">
        <v>1</v>
      </c>
      <c r="BT489" t="s">
        <v>1</v>
      </c>
      <c r="BU489" t="s">
        <v>1</v>
      </c>
      <c r="BV489" t="s">
        <v>1</v>
      </c>
      <c r="BW489" t="s">
        <v>0</v>
      </c>
      <c r="BX489" t="s">
        <v>1</v>
      </c>
      <c r="BY489" t="s">
        <v>1</v>
      </c>
      <c r="BZ489" t="s">
        <v>1</v>
      </c>
      <c r="CA489" t="s">
        <v>1</v>
      </c>
      <c r="CB489" t="s">
        <v>1</v>
      </c>
      <c r="CD489" t="e" cm="1">
        <f t="array" aca="1" ref="CD489" ca="1">eConcatenar(A489:CB489,"|")</f>
        <v>#NAME?</v>
      </c>
    </row>
    <row r="490" spans="1:82" x14ac:dyDescent="0.25">
      <c r="A490" t="s">
        <v>585</v>
      </c>
      <c r="B490" t="s">
        <v>1599</v>
      </c>
      <c r="C490">
        <v>3</v>
      </c>
      <c r="D490" t="s">
        <v>2153</v>
      </c>
      <c r="E490" t="s">
        <v>2158</v>
      </c>
      <c r="F490" t="s">
        <v>2162</v>
      </c>
      <c r="G490" t="s">
        <v>2456</v>
      </c>
      <c r="H490" t="s">
        <v>2839</v>
      </c>
      <c r="I490">
        <v>14800</v>
      </c>
      <c r="J490">
        <v>0</v>
      </c>
      <c r="K490">
        <v>750</v>
      </c>
      <c r="L490">
        <v>50</v>
      </c>
      <c r="M490">
        <v>1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 t="s">
        <v>3246</v>
      </c>
      <c r="AC490" t="s">
        <v>3304</v>
      </c>
      <c r="AD490" t="s">
        <v>3589</v>
      </c>
      <c r="AE490" t="s">
        <v>4</v>
      </c>
      <c r="AF490" t="s">
        <v>1</v>
      </c>
      <c r="AG490" t="s">
        <v>1</v>
      </c>
      <c r="AH490" t="s">
        <v>4450</v>
      </c>
      <c r="AI490" t="s">
        <v>2456</v>
      </c>
      <c r="AJ490" t="s">
        <v>1</v>
      </c>
      <c r="AK490">
        <v>9331181598</v>
      </c>
      <c r="AL490" t="s">
        <v>1</v>
      </c>
      <c r="AM490" t="s">
        <v>1</v>
      </c>
      <c r="AN490" t="s">
        <v>1</v>
      </c>
      <c r="AO490" t="s">
        <v>4450</v>
      </c>
      <c r="AP490" t="s">
        <v>1</v>
      </c>
      <c r="AQ490" t="s">
        <v>2</v>
      </c>
      <c r="AR490" t="s">
        <v>1</v>
      </c>
      <c r="AS490" t="s">
        <v>1</v>
      </c>
      <c r="AT490" t="s">
        <v>1</v>
      </c>
      <c r="AU490" t="s">
        <v>1</v>
      </c>
      <c r="AV490" t="s">
        <v>1</v>
      </c>
      <c r="AW490" t="s">
        <v>9</v>
      </c>
      <c r="AX490">
        <f>Tabla1[[#This Row],[precio del paquete]]-Tabla1[[#This Row],[Saldo_Deudor]]</f>
        <v>1000</v>
      </c>
      <c r="AY490">
        <v>13800</v>
      </c>
      <c r="AZ490">
        <v>0</v>
      </c>
      <c r="BA490">
        <v>0</v>
      </c>
      <c r="BB490">
        <v>0</v>
      </c>
      <c r="BC490" t="s">
        <v>4828</v>
      </c>
      <c r="BD490" t="s">
        <v>3098</v>
      </c>
      <c r="BE490" t="s">
        <v>3</v>
      </c>
      <c r="BF490" t="s">
        <v>3</v>
      </c>
      <c r="BG490" t="s">
        <v>3</v>
      </c>
      <c r="BH490" t="s">
        <v>3</v>
      </c>
      <c r="BI490" t="s">
        <v>3</v>
      </c>
      <c r="BJ490" t="s">
        <v>5009</v>
      </c>
      <c r="BK490" t="s">
        <v>3</v>
      </c>
      <c r="BL490" t="s">
        <v>96</v>
      </c>
      <c r="BM490" t="s">
        <v>1</v>
      </c>
      <c r="BN490">
        <v>14800</v>
      </c>
      <c r="BO490" t="s">
        <v>1</v>
      </c>
      <c r="BP490" t="s">
        <v>1</v>
      </c>
      <c r="BQ490" t="s">
        <v>1</v>
      </c>
      <c r="BR490" t="s">
        <v>1</v>
      </c>
      <c r="BS490" t="s">
        <v>1</v>
      </c>
      <c r="BT490" t="s">
        <v>1</v>
      </c>
      <c r="BU490" t="s">
        <v>1</v>
      </c>
      <c r="BV490" t="s">
        <v>1</v>
      </c>
      <c r="BW490" t="s">
        <v>0</v>
      </c>
      <c r="BX490" t="s">
        <v>1</v>
      </c>
      <c r="BY490" t="s">
        <v>1</v>
      </c>
      <c r="BZ490" t="s">
        <v>1</v>
      </c>
      <c r="CA490" t="s">
        <v>1</v>
      </c>
      <c r="CB490" t="s">
        <v>1</v>
      </c>
      <c r="CD490" t="e" cm="1">
        <f t="array" aca="1" ref="CD490" ca="1">eConcatenar(A490:CB490,"|")</f>
        <v>#NAME?</v>
      </c>
    </row>
    <row r="491" spans="1:82" x14ac:dyDescent="0.25">
      <c r="A491" t="s">
        <v>586</v>
      </c>
      <c r="B491" t="s">
        <v>1600</v>
      </c>
      <c r="C491">
        <v>3</v>
      </c>
      <c r="D491" t="s">
        <v>2156</v>
      </c>
      <c r="E491" t="s">
        <v>2158</v>
      </c>
      <c r="F491" t="s">
        <v>2161</v>
      </c>
      <c r="G491" t="s">
        <v>2457</v>
      </c>
      <c r="H491" t="s">
        <v>2926</v>
      </c>
      <c r="I491">
        <v>19800</v>
      </c>
      <c r="J491">
        <v>0</v>
      </c>
      <c r="K491">
        <v>300</v>
      </c>
      <c r="L491">
        <v>50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 t="s">
        <v>3114</v>
      </c>
      <c r="AC491" t="s">
        <v>3132</v>
      </c>
      <c r="AD491" t="s">
        <v>3187</v>
      </c>
      <c r="AE491" t="s">
        <v>4</v>
      </c>
      <c r="AF491" t="s">
        <v>1</v>
      </c>
      <c r="AG491" t="s">
        <v>1</v>
      </c>
      <c r="AH491" t="s">
        <v>4451</v>
      </c>
      <c r="AI491" t="s">
        <v>2457</v>
      </c>
      <c r="AJ491" t="s">
        <v>1</v>
      </c>
      <c r="AK491">
        <v>9371251202</v>
      </c>
      <c r="AL491" t="s">
        <v>1</v>
      </c>
      <c r="AM491" t="s">
        <v>1</v>
      </c>
      <c r="AN491" t="s">
        <v>1</v>
      </c>
      <c r="AO491" t="s">
        <v>4451</v>
      </c>
      <c r="AP491" t="s">
        <v>1</v>
      </c>
      <c r="AQ491" t="s">
        <v>2</v>
      </c>
      <c r="AR491" t="s">
        <v>1</v>
      </c>
      <c r="AS491" t="s">
        <v>1</v>
      </c>
      <c r="AT491" t="s">
        <v>1</v>
      </c>
      <c r="AU491" t="s">
        <v>1</v>
      </c>
      <c r="AV491" t="s">
        <v>1</v>
      </c>
      <c r="AW491" t="s">
        <v>9</v>
      </c>
      <c r="AX491">
        <f>Tabla1[[#This Row],[precio del paquete]]-Tabla1[[#This Row],[Saldo_Deudor]]</f>
        <v>11250</v>
      </c>
      <c r="AY491">
        <v>8550</v>
      </c>
      <c r="AZ491">
        <v>0</v>
      </c>
      <c r="BA491">
        <v>0</v>
      </c>
      <c r="BB491">
        <v>0</v>
      </c>
      <c r="BC491" t="s">
        <v>3024</v>
      </c>
      <c r="BD491" t="s">
        <v>4830</v>
      </c>
      <c r="BE491" t="s">
        <v>3</v>
      </c>
      <c r="BF491" t="s">
        <v>3</v>
      </c>
      <c r="BG491" t="s">
        <v>3</v>
      </c>
      <c r="BH491" t="s">
        <v>3</v>
      </c>
      <c r="BI491" t="s">
        <v>3</v>
      </c>
      <c r="BJ491" t="s">
        <v>5009</v>
      </c>
      <c r="BK491" t="s">
        <v>3</v>
      </c>
      <c r="BL491" t="s">
        <v>96</v>
      </c>
      <c r="BM491" t="s">
        <v>1</v>
      </c>
      <c r="BN491">
        <v>19800</v>
      </c>
      <c r="BO491" t="s">
        <v>1</v>
      </c>
      <c r="BP491" t="s">
        <v>1</v>
      </c>
      <c r="BQ491" t="s">
        <v>1</v>
      </c>
      <c r="BR491" t="s">
        <v>1</v>
      </c>
      <c r="BS491" t="s">
        <v>1</v>
      </c>
      <c r="BT491" t="s">
        <v>1</v>
      </c>
      <c r="BU491" t="s">
        <v>1</v>
      </c>
      <c r="BV491" t="s">
        <v>1</v>
      </c>
      <c r="BW491" t="s">
        <v>0</v>
      </c>
      <c r="BX491" t="s">
        <v>1</v>
      </c>
      <c r="BY491" t="s">
        <v>1</v>
      </c>
      <c r="BZ491" t="s">
        <v>1</v>
      </c>
      <c r="CA491" t="s">
        <v>1</v>
      </c>
      <c r="CB491" t="s">
        <v>1</v>
      </c>
      <c r="CD491" t="e" cm="1">
        <f t="array" aca="1" ref="CD491" ca="1">eConcatenar(A491:CB491,"|")</f>
        <v>#NAME?</v>
      </c>
    </row>
    <row r="492" spans="1:82" x14ac:dyDescent="0.25">
      <c r="A492" t="s">
        <v>587</v>
      </c>
      <c r="B492" t="s">
        <v>1601</v>
      </c>
      <c r="C492">
        <v>3</v>
      </c>
      <c r="D492" t="s">
        <v>2153</v>
      </c>
      <c r="E492" t="s">
        <v>2158</v>
      </c>
      <c r="F492" t="s">
        <v>2162</v>
      </c>
      <c r="G492" t="s">
        <v>2458</v>
      </c>
      <c r="H492" t="s">
        <v>2701</v>
      </c>
      <c r="I492">
        <v>14800</v>
      </c>
      <c r="J492">
        <v>0</v>
      </c>
      <c r="K492">
        <v>100</v>
      </c>
      <c r="L492">
        <v>50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 t="s">
        <v>3119</v>
      </c>
      <c r="AC492" t="s">
        <v>3256</v>
      </c>
      <c r="AD492" t="s">
        <v>3715</v>
      </c>
      <c r="AE492" t="s">
        <v>4</v>
      </c>
      <c r="AF492" t="s">
        <v>1</v>
      </c>
      <c r="AG492" t="s">
        <v>1</v>
      </c>
      <c r="AH492" t="s">
        <v>4452</v>
      </c>
      <c r="AI492" t="s">
        <v>2458</v>
      </c>
      <c r="AJ492" t="s">
        <v>1</v>
      </c>
      <c r="AK492">
        <v>9331517794</v>
      </c>
      <c r="AL492" t="s">
        <v>1</v>
      </c>
      <c r="AM492" t="s">
        <v>1</v>
      </c>
      <c r="AN492" t="s">
        <v>1</v>
      </c>
      <c r="AO492" t="s">
        <v>4452</v>
      </c>
      <c r="AP492" t="s">
        <v>1</v>
      </c>
      <c r="AQ492" t="s">
        <v>2</v>
      </c>
      <c r="AR492" t="s">
        <v>1</v>
      </c>
      <c r="AS492" t="s">
        <v>1</v>
      </c>
      <c r="AT492" t="s">
        <v>1</v>
      </c>
      <c r="AU492" t="s">
        <v>1</v>
      </c>
      <c r="AV492" t="s">
        <v>1</v>
      </c>
      <c r="AW492" t="s">
        <v>9</v>
      </c>
      <c r="AX492">
        <f>Tabla1[[#This Row],[precio del paquete]]-Tabla1[[#This Row],[Saldo_Deudor]]</f>
        <v>1200</v>
      </c>
      <c r="AY492">
        <v>13600</v>
      </c>
      <c r="AZ492">
        <v>0</v>
      </c>
      <c r="BA492">
        <v>0</v>
      </c>
      <c r="BB492">
        <v>0</v>
      </c>
      <c r="BC492" t="s">
        <v>3061</v>
      </c>
      <c r="BD492" t="s">
        <v>3040</v>
      </c>
      <c r="BE492" t="s">
        <v>3</v>
      </c>
      <c r="BF492" t="s">
        <v>3</v>
      </c>
      <c r="BG492" t="s">
        <v>3</v>
      </c>
      <c r="BH492" t="s">
        <v>3</v>
      </c>
      <c r="BI492" t="s">
        <v>3</v>
      </c>
      <c r="BJ492" t="s">
        <v>4986</v>
      </c>
      <c r="BK492" t="s">
        <v>3</v>
      </c>
      <c r="BL492" t="s">
        <v>96</v>
      </c>
      <c r="BM492" t="s">
        <v>1</v>
      </c>
      <c r="BN492">
        <v>14800</v>
      </c>
      <c r="BO492" t="s">
        <v>1</v>
      </c>
      <c r="BP492" t="s">
        <v>1</v>
      </c>
      <c r="BQ492" t="s">
        <v>1</v>
      </c>
      <c r="BR492" t="s">
        <v>1</v>
      </c>
      <c r="BS492" t="s">
        <v>1</v>
      </c>
      <c r="BT492" t="s">
        <v>1</v>
      </c>
      <c r="BU492" t="s">
        <v>1</v>
      </c>
      <c r="BV492" t="s">
        <v>1</v>
      </c>
      <c r="BW492" t="s">
        <v>0</v>
      </c>
      <c r="BX492" t="s">
        <v>1</v>
      </c>
      <c r="BY492" t="s">
        <v>1</v>
      </c>
      <c r="BZ492" t="s">
        <v>1</v>
      </c>
      <c r="CA492" t="s">
        <v>1</v>
      </c>
      <c r="CB492" t="s">
        <v>1</v>
      </c>
      <c r="CD492" t="e" cm="1">
        <f t="array" aca="1" ref="CD492" ca="1">eConcatenar(A492:CB492,"|")</f>
        <v>#NAME?</v>
      </c>
    </row>
    <row r="493" spans="1:82" x14ac:dyDescent="0.25">
      <c r="A493" t="s">
        <v>588</v>
      </c>
      <c r="B493" t="s">
        <v>1602</v>
      </c>
      <c r="C493">
        <v>3</v>
      </c>
      <c r="D493" t="s">
        <v>2153</v>
      </c>
      <c r="E493" t="s">
        <v>10</v>
      </c>
      <c r="F493" t="s">
        <v>0</v>
      </c>
      <c r="G493" t="s">
        <v>2459</v>
      </c>
      <c r="H493" t="s">
        <v>2927</v>
      </c>
      <c r="I493">
        <v>14800</v>
      </c>
      <c r="J493">
        <v>0</v>
      </c>
      <c r="K493">
        <v>100</v>
      </c>
      <c r="L493">
        <v>50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 t="s">
        <v>3177</v>
      </c>
      <c r="AC493" t="s">
        <v>3310</v>
      </c>
      <c r="AD493" t="s">
        <v>3198</v>
      </c>
      <c r="AE493" t="s">
        <v>4</v>
      </c>
      <c r="AF493" t="s">
        <v>1</v>
      </c>
      <c r="AG493" t="s">
        <v>1</v>
      </c>
      <c r="AH493" t="s">
        <v>4453</v>
      </c>
      <c r="AI493" t="s">
        <v>2459</v>
      </c>
      <c r="AJ493" t="s">
        <v>1</v>
      </c>
      <c r="AK493">
        <v>9371371021</v>
      </c>
      <c r="AL493" t="s">
        <v>1</v>
      </c>
      <c r="AM493" t="s">
        <v>1</v>
      </c>
      <c r="AN493" t="s">
        <v>1</v>
      </c>
      <c r="AO493" t="s">
        <v>4453</v>
      </c>
      <c r="AP493" t="s">
        <v>1</v>
      </c>
      <c r="AQ493" t="s">
        <v>2</v>
      </c>
      <c r="AR493" t="s">
        <v>1</v>
      </c>
      <c r="AS493" t="s">
        <v>1</v>
      </c>
      <c r="AT493" t="s">
        <v>1</v>
      </c>
      <c r="AU493" t="s">
        <v>1</v>
      </c>
      <c r="AV493" t="s">
        <v>1</v>
      </c>
      <c r="AW493" t="s">
        <v>9</v>
      </c>
      <c r="AX493">
        <f>Tabla1[[#This Row],[precio del paquete]]-Tabla1[[#This Row],[Saldo_Deudor]]</f>
        <v>100</v>
      </c>
      <c r="AY493">
        <v>14700</v>
      </c>
      <c r="AZ493">
        <v>0</v>
      </c>
      <c r="BA493">
        <v>0</v>
      </c>
      <c r="BB493">
        <v>0</v>
      </c>
      <c r="BC493" t="s">
        <v>2927</v>
      </c>
      <c r="BD493" t="s">
        <v>2896</v>
      </c>
      <c r="BE493" t="s">
        <v>3</v>
      </c>
      <c r="BF493" t="s">
        <v>3</v>
      </c>
      <c r="BG493" t="s">
        <v>3</v>
      </c>
      <c r="BH493" t="s">
        <v>3</v>
      </c>
      <c r="BI493" t="s">
        <v>3</v>
      </c>
      <c r="BJ493" t="s">
        <v>4998</v>
      </c>
      <c r="BK493" t="s">
        <v>3</v>
      </c>
      <c r="BL493" t="s">
        <v>96</v>
      </c>
      <c r="BM493" t="s">
        <v>1</v>
      </c>
      <c r="BN493">
        <v>14800</v>
      </c>
      <c r="BO493" t="s">
        <v>1</v>
      </c>
      <c r="BP493" t="s">
        <v>1</v>
      </c>
      <c r="BQ493" t="s">
        <v>1</v>
      </c>
      <c r="BR493" t="s">
        <v>1</v>
      </c>
      <c r="BS493" t="s">
        <v>1</v>
      </c>
      <c r="BT493" t="s">
        <v>1</v>
      </c>
      <c r="BU493" t="s">
        <v>1</v>
      </c>
      <c r="BV493" t="s">
        <v>1</v>
      </c>
      <c r="BW493" t="s">
        <v>0</v>
      </c>
      <c r="BX493" t="s">
        <v>1</v>
      </c>
      <c r="BY493" t="s">
        <v>1</v>
      </c>
      <c r="BZ493" t="s">
        <v>1</v>
      </c>
      <c r="CA493" t="s">
        <v>1</v>
      </c>
      <c r="CB493" t="s">
        <v>1</v>
      </c>
      <c r="CD493" t="e" cm="1">
        <f t="array" aca="1" ref="CD493" ca="1">eConcatenar(A493:CB493,"|")</f>
        <v>#NAME?</v>
      </c>
    </row>
    <row r="494" spans="1:82" x14ac:dyDescent="0.25">
      <c r="A494" t="s">
        <v>589</v>
      </c>
      <c r="B494" t="s">
        <v>1603</v>
      </c>
      <c r="C494">
        <v>3</v>
      </c>
      <c r="D494" t="s">
        <v>2154</v>
      </c>
      <c r="E494" t="s">
        <v>10</v>
      </c>
      <c r="F494" t="s">
        <v>0</v>
      </c>
      <c r="G494" t="s">
        <v>2459</v>
      </c>
      <c r="H494" t="s">
        <v>2928</v>
      </c>
      <c r="I494">
        <v>24500</v>
      </c>
      <c r="J494">
        <v>0</v>
      </c>
      <c r="K494">
        <v>200</v>
      </c>
      <c r="L494">
        <v>50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 t="s">
        <v>3148</v>
      </c>
      <c r="AC494" t="s">
        <v>3117</v>
      </c>
      <c r="AD494" t="s">
        <v>3716</v>
      </c>
      <c r="AE494" t="s">
        <v>4</v>
      </c>
      <c r="AF494" t="s">
        <v>1</v>
      </c>
      <c r="AG494" t="s">
        <v>1</v>
      </c>
      <c r="AH494" t="s">
        <v>4454</v>
      </c>
      <c r="AI494" t="s">
        <v>2459</v>
      </c>
      <c r="AJ494" t="s">
        <v>1</v>
      </c>
      <c r="AK494">
        <v>9371035586</v>
      </c>
      <c r="AL494" t="s">
        <v>1</v>
      </c>
      <c r="AM494" t="s">
        <v>1</v>
      </c>
      <c r="AN494" t="s">
        <v>1</v>
      </c>
      <c r="AO494" t="s">
        <v>4454</v>
      </c>
      <c r="AP494" t="s">
        <v>1</v>
      </c>
      <c r="AQ494" t="s">
        <v>2</v>
      </c>
      <c r="AR494" t="s">
        <v>1</v>
      </c>
      <c r="AS494" t="s">
        <v>1</v>
      </c>
      <c r="AT494" t="s">
        <v>1</v>
      </c>
      <c r="AU494" t="s">
        <v>1</v>
      </c>
      <c r="AV494" t="s">
        <v>1</v>
      </c>
      <c r="AW494" t="s">
        <v>9</v>
      </c>
      <c r="AX494">
        <f>Tabla1[[#This Row],[precio del paquete]]-Tabla1[[#This Row],[Saldo_Deudor]]</f>
        <v>200</v>
      </c>
      <c r="AY494">
        <v>24300</v>
      </c>
      <c r="AZ494">
        <v>0</v>
      </c>
      <c r="BA494">
        <v>0</v>
      </c>
      <c r="BB494">
        <v>0</v>
      </c>
      <c r="BC494" t="s">
        <v>2928</v>
      </c>
      <c r="BD494" t="s">
        <v>2711</v>
      </c>
      <c r="BE494" t="s">
        <v>3</v>
      </c>
      <c r="BF494" t="s">
        <v>3</v>
      </c>
      <c r="BG494" t="s">
        <v>3</v>
      </c>
      <c r="BH494" t="s">
        <v>3</v>
      </c>
      <c r="BI494" t="s">
        <v>3</v>
      </c>
      <c r="BJ494" t="s">
        <v>4985</v>
      </c>
      <c r="BK494" t="s">
        <v>3</v>
      </c>
      <c r="BL494" t="s">
        <v>96</v>
      </c>
      <c r="BM494" t="s">
        <v>1</v>
      </c>
      <c r="BN494">
        <v>24500</v>
      </c>
      <c r="BO494" t="s">
        <v>1</v>
      </c>
      <c r="BP494" t="s">
        <v>1</v>
      </c>
      <c r="BQ494" t="s">
        <v>1</v>
      </c>
      <c r="BR494" t="s">
        <v>1</v>
      </c>
      <c r="BS494" t="s">
        <v>1</v>
      </c>
      <c r="BT494" t="s">
        <v>1</v>
      </c>
      <c r="BU494" t="s">
        <v>1</v>
      </c>
      <c r="BV494" t="s">
        <v>1</v>
      </c>
      <c r="BW494" t="s">
        <v>0</v>
      </c>
      <c r="BX494" t="s">
        <v>1</v>
      </c>
      <c r="BY494" t="s">
        <v>1</v>
      </c>
      <c r="BZ494" t="s">
        <v>1</v>
      </c>
      <c r="CA494" t="s">
        <v>1</v>
      </c>
      <c r="CB494" t="s">
        <v>1</v>
      </c>
      <c r="CD494" t="e" cm="1">
        <f t="array" aca="1" ref="CD494" ca="1">eConcatenar(A494:CB494,"|")</f>
        <v>#NAME?</v>
      </c>
    </row>
    <row r="495" spans="1:82" x14ac:dyDescent="0.25">
      <c r="A495" t="s">
        <v>590</v>
      </c>
      <c r="B495" t="s">
        <v>1604</v>
      </c>
      <c r="C495">
        <v>3</v>
      </c>
      <c r="D495" t="s">
        <v>2153</v>
      </c>
      <c r="E495" t="s">
        <v>2158</v>
      </c>
      <c r="F495" t="s">
        <v>2160</v>
      </c>
      <c r="G495" t="s">
        <v>2460</v>
      </c>
      <c r="H495" t="s">
        <v>2779</v>
      </c>
      <c r="I495">
        <v>14800</v>
      </c>
      <c r="J495">
        <v>0</v>
      </c>
      <c r="K495">
        <v>50</v>
      </c>
      <c r="L495">
        <v>50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 t="s">
        <v>3115</v>
      </c>
      <c r="AC495" t="s">
        <v>3132</v>
      </c>
      <c r="AD495" t="s">
        <v>3269</v>
      </c>
      <c r="AE495" t="s">
        <v>4</v>
      </c>
      <c r="AF495" t="s">
        <v>1</v>
      </c>
      <c r="AG495" t="s">
        <v>1</v>
      </c>
      <c r="AH495" t="s">
        <v>2460</v>
      </c>
      <c r="AI495" t="s">
        <v>2460</v>
      </c>
      <c r="AJ495" t="s">
        <v>1</v>
      </c>
      <c r="AK495">
        <v>9371269203</v>
      </c>
      <c r="AL495" t="s">
        <v>1</v>
      </c>
      <c r="AM495" t="s">
        <v>1</v>
      </c>
      <c r="AN495" t="s">
        <v>1</v>
      </c>
      <c r="AO495" t="s">
        <v>2460</v>
      </c>
      <c r="AP495" t="s">
        <v>1</v>
      </c>
      <c r="AQ495" t="s">
        <v>2</v>
      </c>
      <c r="AR495" t="s">
        <v>1</v>
      </c>
      <c r="AS495" t="s">
        <v>1</v>
      </c>
      <c r="AT495" t="s">
        <v>1</v>
      </c>
      <c r="AU495" t="s">
        <v>1</v>
      </c>
      <c r="AV495" t="s">
        <v>1</v>
      </c>
      <c r="AW495" t="s">
        <v>9</v>
      </c>
      <c r="AX495">
        <f>Tabla1[[#This Row],[precio del paquete]]-Tabla1[[#This Row],[Saldo_Deudor]]</f>
        <v>900</v>
      </c>
      <c r="AY495">
        <v>13900</v>
      </c>
      <c r="AZ495">
        <v>0</v>
      </c>
      <c r="BA495">
        <v>0</v>
      </c>
      <c r="BB495">
        <v>0</v>
      </c>
      <c r="BC495" t="s">
        <v>4827</v>
      </c>
      <c r="BD495" t="s">
        <v>4895</v>
      </c>
      <c r="BE495" t="s">
        <v>3</v>
      </c>
      <c r="BF495" t="s">
        <v>3</v>
      </c>
      <c r="BG495" t="s">
        <v>3</v>
      </c>
      <c r="BH495" t="s">
        <v>3</v>
      </c>
      <c r="BI495" t="s">
        <v>3</v>
      </c>
      <c r="BJ495" t="s">
        <v>4985</v>
      </c>
      <c r="BK495" t="s">
        <v>3</v>
      </c>
      <c r="BL495" t="s">
        <v>96</v>
      </c>
      <c r="BM495" t="s">
        <v>1</v>
      </c>
      <c r="BN495">
        <v>14800</v>
      </c>
      <c r="BO495" t="s">
        <v>1</v>
      </c>
      <c r="BP495" t="s">
        <v>1</v>
      </c>
      <c r="BQ495" t="s">
        <v>1</v>
      </c>
      <c r="BR495" t="s">
        <v>1</v>
      </c>
      <c r="BS495" t="s">
        <v>1</v>
      </c>
      <c r="BT495" t="s">
        <v>1</v>
      </c>
      <c r="BU495" t="s">
        <v>1</v>
      </c>
      <c r="BV495" t="s">
        <v>1</v>
      </c>
      <c r="BW495" t="s">
        <v>0</v>
      </c>
      <c r="BX495" t="s">
        <v>1</v>
      </c>
      <c r="BY495" t="s">
        <v>1</v>
      </c>
      <c r="BZ495" t="s">
        <v>1</v>
      </c>
      <c r="CA495" t="s">
        <v>1</v>
      </c>
      <c r="CB495" t="s">
        <v>1</v>
      </c>
      <c r="CD495" t="e" cm="1">
        <f t="array" aca="1" ref="CD495" ca="1">eConcatenar(A495:CB495,"|")</f>
        <v>#NAME?</v>
      </c>
    </row>
    <row r="496" spans="1:82" x14ac:dyDescent="0.25">
      <c r="A496" t="s">
        <v>591</v>
      </c>
      <c r="B496" t="s">
        <v>1605</v>
      </c>
      <c r="C496">
        <v>3</v>
      </c>
      <c r="D496" t="s">
        <v>2153</v>
      </c>
      <c r="E496" t="s">
        <v>2158</v>
      </c>
      <c r="F496" t="s">
        <v>8</v>
      </c>
      <c r="G496" t="s">
        <v>2461</v>
      </c>
      <c r="H496" t="s">
        <v>2841</v>
      </c>
      <c r="I496">
        <v>14800</v>
      </c>
      <c r="J496">
        <v>0</v>
      </c>
      <c r="K496">
        <v>100</v>
      </c>
      <c r="L496">
        <v>50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 t="s">
        <v>3168</v>
      </c>
      <c r="AC496" t="s">
        <v>3632</v>
      </c>
      <c r="AD496" t="s">
        <v>3490</v>
      </c>
      <c r="AE496" t="s">
        <v>4</v>
      </c>
      <c r="AF496" t="s">
        <v>1</v>
      </c>
      <c r="AG496" t="s">
        <v>1</v>
      </c>
      <c r="AH496" t="s">
        <v>2461</v>
      </c>
      <c r="AI496" t="s">
        <v>2461</v>
      </c>
      <c r="AJ496" t="s">
        <v>1</v>
      </c>
      <c r="AK496">
        <v>9371053634</v>
      </c>
      <c r="AL496" t="s">
        <v>1</v>
      </c>
      <c r="AM496" t="s">
        <v>1</v>
      </c>
      <c r="AN496" t="s">
        <v>1</v>
      </c>
      <c r="AO496" t="s">
        <v>2461</v>
      </c>
      <c r="AP496" t="s">
        <v>1</v>
      </c>
      <c r="AQ496" t="s">
        <v>2</v>
      </c>
      <c r="AR496" t="s">
        <v>1</v>
      </c>
      <c r="AS496" t="s">
        <v>1</v>
      </c>
      <c r="AT496" t="s">
        <v>1</v>
      </c>
      <c r="AU496" t="s">
        <v>1</v>
      </c>
      <c r="AV496" t="s">
        <v>1</v>
      </c>
      <c r="AW496" t="s">
        <v>9</v>
      </c>
      <c r="AX496">
        <f>Tabla1[[#This Row],[precio del paquete]]-Tabla1[[#This Row],[Saldo_Deudor]]</f>
        <v>1950</v>
      </c>
      <c r="AY496">
        <v>12850</v>
      </c>
      <c r="AZ496">
        <v>0</v>
      </c>
      <c r="BA496">
        <v>0</v>
      </c>
      <c r="BB496">
        <v>0</v>
      </c>
      <c r="BC496" t="s">
        <v>3061</v>
      </c>
      <c r="BD496" t="s">
        <v>3040</v>
      </c>
      <c r="BE496" t="s">
        <v>3</v>
      </c>
      <c r="BF496" t="s">
        <v>3</v>
      </c>
      <c r="BG496" t="s">
        <v>3</v>
      </c>
      <c r="BH496" t="s">
        <v>3</v>
      </c>
      <c r="BI496" t="s">
        <v>3</v>
      </c>
      <c r="BJ496" t="s">
        <v>4985</v>
      </c>
      <c r="BK496" t="s">
        <v>3</v>
      </c>
      <c r="BL496" t="s">
        <v>96</v>
      </c>
      <c r="BM496" t="s">
        <v>1</v>
      </c>
      <c r="BN496">
        <v>14800</v>
      </c>
      <c r="BO496" t="s">
        <v>1</v>
      </c>
      <c r="BP496" t="s">
        <v>1</v>
      </c>
      <c r="BQ496" t="s">
        <v>1</v>
      </c>
      <c r="BR496" t="s">
        <v>1</v>
      </c>
      <c r="BS496" t="s">
        <v>1</v>
      </c>
      <c r="BT496" t="s">
        <v>1</v>
      </c>
      <c r="BU496" t="s">
        <v>1</v>
      </c>
      <c r="BV496" t="s">
        <v>1</v>
      </c>
      <c r="BW496" t="s">
        <v>0</v>
      </c>
      <c r="BX496" t="s">
        <v>1</v>
      </c>
      <c r="BY496" t="s">
        <v>1</v>
      </c>
      <c r="BZ496" t="s">
        <v>1</v>
      </c>
      <c r="CA496" t="s">
        <v>1</v>
      </c>
      <c r="CB496" t="s">
        <v>1</v>
      </c>
      <c r="CD496" t="e" cm="1">
        <f t="array" aca="1" ref="CD496" ca="1">eConcatenar(A496:CB496,"|")</f>
        <v>#NAME?</v>
      </c>
    </row>
    <row r="497" spans="1:82" x14ac:dyDescent="0.25">
      <c r="A497" t="s">
        <v>592</v>
      </c>
      <c r="B497" t="s">
        <v>1606</v>
      </c>
      <c r="C497">
        <v>3</v>
      </c>
      <c r="D497" t="s">
        <v>2153</v>
      </c>
      <c r="E497" t="s">
        <v>2158</v>
      </c>
      <c r="F497" t="s">
        <v>8</v>
      </c>
      <c r="G497" t="s">
        <v>2461</v>
      </c>
      <c r="H497" t="s">
        <v>2702</v>
      </c>
      <c r="I497">
        <v>14800</v>
      </c>
      <c r="J497">
        <v>0</v>
      </c>
      <c r="K497">
        <v>100</v>
      </c>
      <c r="L497">
        <v>50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 t="s">
        <v>3178</v>
      </c>
      <c r="AC497" t="s">
        <v>3214</v>
      </c>
      <c r="AD497" t="s">
        <v>3717</v>
      </c>
      <c r="AE497" t="s">
        <v>4</v>
      </c>
      <c r="AF497" t="s">
        <v>1</v>
      </c>
      <c r="AG497" t="s">
        <v>1</v>
      </c>
      <c r="AH497" t="s">
        <v>2461</v>
      </c>
      <c r="AI497" t="s">
        <v>2461</v>
      </c>
      <c r="AJ497" t="s">
        <v>1</v>
      </c>
      <c r="AK497">
        <v>9371267048</v>
      </c>
      <c r="AL497" t="s">
        <v>1</v>
      </c>
      <c r="AM497" t="s">
        <v>1</v>
      </c>
      <c r="AN497" t="s">
        <v>1</v>
      </c>
      <c r="AO497" t="s">
        <v>2461</v>
      </c>
      <c r="AP497" t="s">
        <v>1</v>
      </c>
      <c r="AQ497" t="s">
        <v>2</v>
      </c>
      <c r="AR497" t="s">
        <v>1</v>
      </c>
      <c r="AS497" t="s">
        <v>1</v>
      </c>
      <c r="AT497" t="s">
        <v>1</v>
      </c>
      <c r="AU497" t="s">
        <v>1</v>
      </c>
      <c r="AV497" t="s">
        <v>1</v>
      </c>
      <c r="AW497" t="s">
        <v>9</v>
      </c>
      <c r="AX497">
        <f>Tabla1[[#This Row],[precio del paquete]]-Tabla1[[#This Row],[Saldo_Deudor]]</f>
        <v>2200</v>
      </c>
      <c r="AY497">
        <v>12600</v>
      </c>
      <c r="AZ497">
        <v>0</v>
      </c>
      <c r="BA497">
        <v>0</v>
      </c>
      <c r="BB497">
        <v>0</v>
      </c>
      <c r="BC497" t="s">
        <v>3061</v>
      </c>
      <c r="BD497" t="s">
        <v>3040</v>
      </c>
      <c r="BE497" t="s">
        <v>3</v>
      </c>
      <c r="BF497" t="s">
        <v>3</v>
      </c>
      <c r="BG497" t="s">
        <v>3</v>
      </c>
      <c r="BH497" t="s">
        <v>3</v>
      </c>
      <c r="BI497" t="s">
        <v>3</v>
      </c>
      <c r="BJ497" t="s">
        <v>4987</v>
      </c>
      <c r="BK497" t="s">
        <v>3</v>
      </c>
      <c r="BL497" t="s">
        <v>96</v>
      </c>
      <c r="BM497" t="s">
        <v>1</v>
      </c>
      <c r="BN497">
        <v>14800</v>
      </c>
      <c r="BO497" t="s">
        <v>1</v>
      </c>
      <c r="BP497" t="s">
        <v>1</v>
      </c>
      <c r="BQ497" t="s">
        <v>1</v>
      </c>
      <c r="BR497" t="s">
        <v>1</v>
      </c>
      <c r="BS497" t="s">
        <v>1</v>
      </c>
      <c r="BT497" t="s">
        <v>1</v>
      </c>
      <c r="BU497" t="s">
        <v>1</v>
      </c>
      <c r="BV497" t="s">
        <v>1</v>
      </c>
      <c r="BW497" t="s">
        <v>0</v>
      </c>
      <c r="BX497" t="s">
        <v>1</v>
      </c>
      <c r="BY497" t="s">
        <v>1</v>
      </c>
      <c r="BZ497" t="s">
        <v>1</v>
      </c>
      <c r="CA497" t="s">
        <v>1</v>
      </c>
      <c r="CB497" t="s">
        <v>1</v>
      </c>
      <c r="CD497" t="e" cm="1">
        <f t="array" aca="1" ref="CD497" ca="1">eConcatenar(A497:CB497,"|")</f>
        <v>#NAME?</v>
      </c>
    </row>
    <row r="498" spans="1:82" x14ac:dyDescent="0.25">
      <c r="A498" t="s">
        <v>593</v>
      </c>
      <c r="B498" t="s">
        <v>1607</v>
      </c>
      <c r="C498">
        <v>3</v>
      </c>
      <c r="D498" t="s">
        <v>2155</v>
      </c>
      <c r="E498" t="s">
        <v>2158</v>
      </c>
      <c r="F498" t="s">
        <v>2159</v>
      </c>
      <c r="G498" t="s">
        <v>2462</v>
      </c>
      <c r="H498" t="s">
        <v>2793</v>
      </c>
      <c r="I498">
        <v>12900</v>
      </c>
      <c r="J498">
        <v>0</v>
      </c>
      <c r="K498">
        <v>100</v>
      </c>
      <c r="L498">
        <v>50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 t="s">
        <v>3568</v>
      </c>
      <c r="AC498" t="s">
        <v>3686</v>
      </c>
      <c r="AD498" t="s">
        <v>3465</v>
      </c>
      <c r="AE498" t="s">
        <v>4</v>
      </c>
      <c r="AF498" t="s">
        <v>1</v>
      </c>
      <c r="AG498" t="s">
        <v>1</v>
      </c>
      <c r="AH498" t="s">
        <v>4097</v>
      </c>
      <c r="AI498" t="s">
        <v>2462</v>
      </c>
      <c r="AJ498" t="s">
        <v>1</v>
      </c>
      <c r="AK498">
        <v>9331736458</v>
      </c>
      <c r="AL498" t="s">
        <v>1</v>
      </c>
      <c r="AM498" t="s">
        <v>1</v>
      </c>
      <c r="AN498" t="s">
        <v>1</v>
      </c>
      <c r="AO498" t="s">
        <v>4097</v>
      </c>
      <c r="AP498" t="s">
        <v>1</v>
      </c>
      <c r="AQ498" t="s">
        <v>2</v>
      </c>
      <c r="AR498" t="s">
        <v>1</v>
      </c>
      <c r="AS498" t="s">
        <v>1</v>
      </c>
      <c r="AT498" t="s">
        <v>1</v>
      </c>
      <c r="AU498" t="s">
        <v>1</v>
      </c>
      <c r="AV498" t="s">
        <v>1</v>
      </c>
      <c r="AW498" t="s">
        <v>9</v>
      </c>
      <c r="AX498">
        <f>Tabla1[[#This Row],[precio del paquete]]-Tabla1[[#This Row],[Saldo_Deudor]]</f>
        <v>4800</v>
      </c>
      <c r="AY498">
        <v>8100</v>
      </c>
      <c r="AZ498">
        <v>0</v>
      </c>
      <c r="BA498">
        <v>0</v>
      </c>
      <c r="BB498">
        <v>0</v>
      </c>
      <c r="BC498" t="s">
        <v>2755</v>
      </c>
      <c r="BD498" t="s">
        <v>4905</v>
      </c>
      <c r="BE498" t="s">
        <v>3</v>
      </c>
      <c r="BF498" t="s">
        <v>3</v>
      </c>
      <c r="BG498" t="s">
        <v>3</v>
      </c>
      <c r="BH498" t="s">
        <v>3</v>
      </c>
      <c r="BI498" t="s">
        <v>3</v>
      </c>
      <c r="BJ498" t="s">
        <v>4987</v>
      </c>
      <c r="BK498" t="s">
        <v>3</v>
      </c>
      <c r="BL498" t="s">
        <v>96</v>
      </c>
      <c r="BM498" t="s">
        <v>1</v>
      </c>
      <c r="BN498">
        <v>12900</v>
      </c>
      <c r="BO498" t="s">
        <v>1</v>
      </c>
      <c r="BP498" t="s">
        <v>1</v>
      </c>
      <c r="BQ498" t="s">
        <v>1</v>
      </c>
      <c r="BR498" t="s">
        <v>1</v>
      </c>
      <c r="BS498" t="s">
        <v>1</v>
      </c>
      <c r="BT498" t="s">
        <v>1</v>
      </c>
      <c r="BU498" t="s">
        <v>1</v>
      </c>
      <c r="BV498" t="s">
        <v>1</v>
      </c>
      <c r="BW498" t="s">
        <v>0</v>
      </c>
      <c r="BX498" t="s">
        <v>1</v>
      </c>
      <c r="BY498" t="s">
        <v>1</v>
      </c>
      <c r="BZ498" t="s">
        <v>1</v>
      </c>
      <c r="CA498" t="s">
        <v>1</v>
      </c>
      <c r="CB498" t="s">
        <v>1</v>
      </c>
      <c r="CD498" t="e" cm="1">
        <f t="array" aca="1" ref="CD498" ca="1">eConcatenar(A498:CB498,"|")</f>
        <v>#NAME?</v>
      </c>
    </row>
    <row r="499" spans="1:82" x14ac:dyDescent="0.25">
      <c r="A499" t="s">
        <v>594</v>
      </c>
      <c r="B499" t="s">
        <v>1608</v>
      </c>
      <c r="C499">
        <v>3</v>
      </c>
      <c r="D499" t="s">
        <v>2153</v>
      </c>
      <c r="E499" t="s">
        <v>2158</v>
      </c>
      <c r="F499" t="s">
        <v>2162</v>
      </c>
      <c r="G499" t="s">
        <v>2463</v>
      </c>
      <c r="H499" t="s">
        <v>2929</v>
      </c>
      <c r="I499">
        <v>14800</v>
      </c>
      <c r="J499">
        <v>0</v>
      </c>
      <c r="K499">
        <v>200</v>
      </c>
      <c r="L499">
        <v>50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 t="s">
        <v>3114</v>
      </c>
      <c r="AC499" t="s">
        <v>3115</v>
      </c>
      <c r="AD499" t="s">
        <v>3718</v>
      </c>
      <c r="AE499" t="s">
        <v>4</v>
      </c>
      <c r="AF499" t="s">
        <v>1</v>
      </c>
      <c r="AG499" t="s">
        <v>1</v>
      </c>
      <c r="AH499" t="s">
        <v>4455</v>
      </c>
      <c r="AI499" t="s">
        <v>2463</v>
      </c>
      <c r="AJ499" t="s">
        <v>1</v>
      </c>
      <c r="AK499">
        <v>9331639176</v>
      </c>
      <c r="AL499" t="s">
        <v>1</v>
      </c>
      <c r="AM499" t="s">
        <v>1</v>
      </c>
      <c r="AN499" t="s">
        <v>1</v>
      </c>
      <c r="AO499" t="s">
        <v>4455</v>
      </c>
      <c r="AP499" t="s">
        <v>1</v>
      </c>
      <c r="AQ499" t="s">
        <v>2</v>
      </c>
      <c r="AR499" t="s">
        <v>1</v>
      </c>
      <c r="AS499" t="s">
        <v>1</v>
      </c>
      <c r="AT499" t="s">
        <v>1</v>
      </c>
      <c r="AU499" t="s">
        <v>1</v>
      </c>
      <c r="AV499" t="s">
        <v>1</v>
      </c>
      <c r="AW499" t="s">
        <v>9</v>
      </c>
      <c r="AX499">
        <f>Tabla1[[#This Row],[precio del paquete]]-Tabla1[[#This Row],[Saldo_Deudor]]</f>
        <v>1300</v>
      </c>
      <c r="AY499">
        <v>13500</v>
      </c>
      <c r="AZ499">
        <v>0</v>
      </c>
      <c r="BA499">
        <v>0</v>
      </c>
      <c r="BB499">
        <v>0</v>
      </c>
      <c r="BC499" t="s">
        <v>4829</v>
      </c>
      <c r="BD499" t="s">
        <v>4900</v>
      </c>
      <c r="BE499" t="s">
        <v>3</v>
      </c>
      <c r="BF499" t="s">
        <v>3</v>
      </c>
      <c r="BG499" t="s">
        <v>3</v>
      </c>
      <c r="BH499" t="s">
        <v>3</v>
      </c>
      <c r="BI499" t="s">
        <v>3</v>
      </c>
      <c r="BJ499" t="s">
        <v>5003</v>
      </c>
      <c r="BK499" t="s">
        <v>3</v>
      </c>
      <c r="BL499" t="s">
        <v>96</v>
      </c>
      <c r="BM499" t="s">
        <v>1</v>
      </c>
      <c r="BN499">
        <v>14800</v>
      </c>
      <c r="BO499" t="s">
        <v>1</v>
      </c>
      <c r="BP499" t="s">
        <v>1</v>
      </c>
      <c r="BQ499" t="s">
        <v>1</v>
      </c>
      <c r="BR499" t="s">
        <v>1</v>
      </c>
      <c r="BS499" t="s">
        <v>1</v>
      </c>
      <c r="BT499" t="s">
        <v>1</v>
      </c>
      <c r="BU499" t="s">
        <v>1</v>
      </c>
      <c r="BV499" t="s">
        <v>1</v>
      </c>
      <c r="BW499" t="s">
        <v>0</v>
      </c>
      <c r="BX499" t="s">
        <v>1</v>
      </c>
      <c r="BY499" t="s">
        <v>1</v>
      </c>
      <c r="BZ499" t="s">
        <v>1</v>
      </c>
      <c r="CA499" t="s">
        <v>1</v>
      </c>
      <c r="CB499" t="s">
        <v>1</v>
      </c>
      <c r="CD499" t="e" cm="1">
        <f t="array" aca="1" ref="CD499" ca="1">eConcatenar(A499:CB499,"|")</f>
        <v>#NAME?</v>
      </c>
    </row>
    <row r="500" spans="1:82" x14ac:dyDescent="0.25">
      <c r="A500" t="s">
        <v>595</v>
      </c>
      <c r="B500" t="s">
        <v>1609</v>
      </c>
      <c r="C500">
        <v>3</v>
      </c>
      <c r="D500" t="s">
        <v>2153</v>
      </c>
      <c r="E500" t="s">
        <v>2158</v>
      </c>
      <c r="F500" t="s">
        <v>2162</v>
      </c>
      <c r="G500" t="s">
        <v>2463</v>
      </c>
      <c r="H500" t="s">
        <v>2706</v>
      </c>
      <c r="I500">
        <v>14800</v>
      </c>
      <c r="J500">
        <v>0</v>
      </c>
      <c r="K500">
        <v>100</v>
      </c>
      <c r="L500">
        <v>50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 t="s">
        <v>3132</v>
      </c>
      <c r="AC500" t="s">
        <v>3162</v>
      </c>
      <c r="AD500" t="s">
        <v>3116</v>
      </c>
      <c r="AE500" t="s">
        <v>4</v>
      </c>
      <c r="AF500" t="s">
        <v>1</v>
      </c>
      <c r="AG500" t="s">
        <v>1</v>
      </c>
      <c r="AH500" t="s">
        <v>2463</v>
      </c>
      <c r="AI500" t="s">
        <v>2463</v>
      </c>
      <c r="AJ500" t="s">
        <v>1</v>
      </c>
      <c r="AK500">
        <v>9331684362</v>
      </c>
      <c r="AL500" t="s">
        <v>1</v>
      </c>
      <c r="AM500" t="s">
        <v>1</v>
      </c>
      <c r="AN500" t="s">
        <v>1</v>
      </c>
      <c r="AO500" t="s">
        <v>2463</v>
      </c>
      <c r="AP500" t="s">
        <v>1</v>
      </c>
      <c r="AQ500" t="s">
        <v>2</v>
      </c>
      <c r="AR500" t="s">
        <v>1</v>
      </c>
      <c r="AS500" t="s">
        <v>1</v>
      </c>
      <c r="AT500" t="s">
        <v>1</v>
      </c>
      <c r="AU500" t="s">
        <v>1</v>
      </c>
      <c r="AV500" t="s">
        <v>1</v>
      </c>
      <c r="AW500" t="s">
        <v>9</v>
      </c>
      <c r="AX500">
        <f>Tabla1[[#This Row],[precio del paquete]]-Tabla1[[#This Row],[Saldo_Deudor]]</f>
        <v>1200</v>
      </c>
      <c r="AY500">
        <v>13600</v>
      </c>
      <c r="AZ500">
        <v>0</v>
      </c>
      <c r="BA500">
        <v>0</v>
      </c>
      <c r="BB500">
        <v>0</v>
      </c>
      <c r="BC500" t="s">
        <v>3078</v>
      </c>
      <c r="BD500" t="s">
        <v>4827</v>
      </c>
      <c r="BE500" t="s">
        <v>3</v>
      </c>
      <c r="BF500" t="s">
        <v>3</v>
      </c>
      <c r="BG500" t="s">
        <v>3</v>
      </c>
      <c r="BH500" t="s">
        <v>3</v>
      </c>
      <c r="BI500" t="s">
        <v>3</v>
      </c>
      <c r="BJ500" t="s">
        <v>5000</v>
      </c>
      <c r="BK500" t="s">
        <v>3</v>
      </c>
      <c r="BL500" t="s">
        <v>96</v>
      </c>
      <c r="BM500" t="s">
        <v>1</v>
      </c>
      <c r="BN500">
        <v>14800</v>
      </c>
      <c r="BO500" t="s">
        <v>1</v>
      </c>
      <c r="BP500" t="s">
        <v>1</v>
      </c>
      <c r="BQ500" t="s">
        <v>1</v>
      </c>
      <c r="BR500" t="s">
        <v>1</v>
      </c>
      <c r="BS500" t="s">
        <v>1</v>
      </c>
      <c r="BT500" t="s">
        <v>1</v>
      </c>
      <c r="BU500" t="s">
        <v>1</v>
      </c>
      <c r="BV500" t="s">
        <v>1</v>
      </c>
      <c r="BW500" t="s">
        <v>0</v>
      </c>
      <c r="BX500" t="s">
        <v>1</v>
      </c>
      <c r="BY500" t="s">
        <v>1</v>
      </c>
      <c r="BZ500" t="s">
        <v>1</v>
      </c>
      <c r="CA500" t="s">
        <v>1</v>
      </c>
      <c r="CB500" t="s">
        <v>1</v>
      </c>
      <c r="CD500" t="e" cm="1">
        <f t="array" aca="1" ref="CD500" ca="1">eConcatenar(A500:CB500,"|")</f>
        <v>#NAME?</v>
      </c>
    </row>
    <row r="501" spans="1:82" x14ac:dyDescent="0.25">
      <c r="A501" t="s">
        <v>596</v>
      </c>
      <c r="B501" t="s">
        <v>1610</v>
      </c>
      <c r="C501">
        <v>3</v>
      </c>
      <c r="D501" t="s">
        <v>2155</v>
      </c>
      <c r="E501" t="s">
        <v>2158</v>
      </c>
      <c r="F501" t="s">
        <v>2162</v>
      </c>
      <c r="G501" t="s">
        <v>2463</v>
      </c>
      <c r="H501" t="s">
        <v>2791</v>
      </c>
      <c r="I501">
        <v>12900</v>
      </c>
      <c r="J501">
        <v>0</v>
      </c>
      <c r="K501">
        <v>100</v>
      </c>
      <c r="L501">
        <v>50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 t="s">
        <v>3132</v>
      </c>
      <c r="AC501" t="s">
        <v>3256</v>
      </c>
      <c r="AD501" t="s">
        <v>3719</v>
      </c>
      <c r="AE501" t="s">
        <v>4</v>
      </c>
      <c r="AF501" t="s">
        <v>1</v>
      </c>
      <c r="AG501" t="s">
        <v>1</v>
      </c>
      <c r="AH501" t="s">
        <v>4456</v>
      </c>
      <c r="AI501" t="s">
        <v>2463</v>
      </c>
      <c r="AJ501" t="s">
        <v>1</v>
      </c>
      <c r="AK501">
        <v>9331560276</v>
      </c>
      <c r="AL501" t="s">
        <v>1</v>
      </c>
      <c r="AM501" t="s">
        <v>1</v>
      </c>
      <c r="AN501" t="s">
        <v>1</v>
      </c>
      <c r="AO501" t="s">
        <v>4456</v>
      </c>
      <c r="AP501" t="s">
        <v>1</v>
      </c>
      <c r="AQ501" t="s">
        <v>2</v>
      </c>
      <c r="AR501" t="s">
        <v>1</v>
      </c>
      <c r="AS501" t="s">
        <v>1</v>
      </c>
      <c r="AT501" t="s">
        <v>1</v>
      </c>
      <c r="AU501" t="s">
        <v>1</v>
      </c>
      <c r="AV501" t="s">
        <v>1</v>
      </c>
      <c r="AW501" t="s">
        <v>9</v>
      </c>
      <c r="AX501">
        <f>Tabla1[[#This Row],[precio del paquete]]-Tabla1[[#This Row],[Saldo_Deudor]]</f>
        <v>1100</v>
      </c>
      <c r="AY501">
        <v>11800</v>
      </c>
      <c r="AZ501">
        <v>0</v>
      </c>
      <c r="BA501">
        <v>0</v>
      </c>
      <c r="BB501">
        <v>0</v>
      </c>
      <c r="BC501" t="s">
        <v>4864</v>
      </c>
      <c r="BD501" t="s">
        <v>4950</v>
      </c>
      <c r="BE501" t="s">
        <v>3</v>
      </c>
      <c r="BF501" t="s">
        <v>3</v>
      </c>
      <c r="BG501" t="s">
        <v>3</v>
      </c>
      <c r="BH501" t="s">
        <v>3</v>
      </c>
      <c r="BI501" t="s">
        <v>3</v>
      </c>
      <c r="BJ501" t="s">
        <v>4989</v>
      </c>
      <c r="BK501" t="s">
        <v>3</v>
      </c>
      <c r="BL501" t="s">
        <v>96</v>
      </c>
      <c r="BM501" t="s">
        <v>1</v>
      </c>
      <c r="BN501">
        <v>12900</v>
      </c>
      <c r="BO501" t="s">
        <v>1</v>
      </c>
      <c r="BP501" t="s">
        <v>1</v>
      </c>
      <c r="BQ501" t="s">
        <v>1</v>
      </c>
      <c r="BR501" t="s">
        <v>1</v>
      </c>
      <c r="BS501" t="s">
        <v>1</v>
      </c>
      <c r="BT501" t="s">
        <v>1</v>
      </c>
      <c r="BU501" t="s">
        <v>1</v>
      </c>
      <c r="BV501" t="s">
        <v>1</v>
      </c>
      <c r="BW501" t="s">
        <v>0</v>
      </c>
      <c r="BX501" t="s">
        <v>1</v>
      </c>
      <c r="BY501" t="s">
        <v>1</v>
      </c>
      <c r="BZ501" t="s">
        <v>1</v>
      </c>
      <c r="CA501" t="s">
        <v>1</v>
      </c>
      <c r="CB501" t="s">
        <v>1</v>
      </c>
      <c r="CD501" t="e" cm="1">
        <f t="array" aca="1" ref="CD501" ca="1">eConcatenar(A501:CB501,"|")</f>
        <v>#NAME?</v>
      </c>
    </row>
    <row r="502" spans="1:82" x14ac:dyDescent="0.25">
      <c r="A502" t="s">
        <v>597</v>
      </c>
      <c r="B502" t="s">
        <v>1611</v>
      </c>
      <c r="C502">
        <v>3</v>
      </c>
      <c r="D502" t="s">
        <v>2153</v>
      </c>
      <c r="E502" t="s">
        <v>2158</v>
      </c>
      <c r="F502" t="s">
        <v>2162</v>
      </c>
      <c r="G502" t="s">
        <v>2464</v>
      </c>
      <c r="H502" t="s">
        <v>2708</v>
      </c>
      <c r="I502">
        <v>14800</v>
      </c>
      <c r="J502">
        <v>0</v>
      </c>
      <c r="K502">
        <v>100</v>
      </c>
      <c r="L502">
        <v>50</v>
      </c>
      <c r="M502">
        <v>1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 t="s">
        <v>3720</v>
      </c>
      <c r="AC502" t="s">
        <v>3132</v>
      </c>
      <c r="AD502" t="s">
        <v>3361</v>
      </c>
      <c r="AE502" t="s">
        <v>4</v>
      </c>
      <c r="AF502" t="s">
        <v>1</v>
      </c>
      <c r="AG502" t="s">
        <v>1</v>
      </c>
      <c r="AH502" t="s">
        <v>4457</v>
      </c>
      <c r="AI502" t="s">
        <v>2464</v>
      </c>
      <c r="AJ502" t="s">
        <v>1</v>
      </c>
      <c r="AK502">
        <v>9333276426</v>
      </c>
      <c r="AL502" t="s">
        <v>1</v>
      </c>
      <c r="AM502" t="s">
        <v>1</v>
      </c>
      <c r="AN502" t="s">
        <v>1</v>
      </c>
      <c r="AO502" t="s">
        <v>4457</v>
      </c>
      <c r="AP502" t="s">
        <v>1</v>
      </c>
      <c r="AQ502" t="s">
        <v>2</v>
      </c>
      <c r="AR502" t="s">
        <v>1</v>
      </c>
      <c r="AS502" t="s">
        <v>1</v>
      </c>
      <c r="AT502" t="s">
        <v>1</v>
      </c>
      <c r="AU502" t="s">
        <v>1</v>
      </c>
      <c r="AV502" t="s">
        <v>1</v>
      </c>
      <c r="AW502" t="s">
        <v>9</v>
      </c>
      <c r="AX502">
        <f>Tabla1[[#This Row],[precio del paquete]]-Tabla1[[#This Row],[Saldo_Deudor]]</f>
        <v>500</v>
      </c>
      <c r="AY502">
        <v>14300</v>
      </c>
      <c r="AZ502">
        <v>0</v>
      </c>
      <c r="BA502">
        <v>0</v>
      </c>
      <c r="BB502">
        <v>0</v>
      </c>
      <c r="BC502" t="s">
        <v>2928</v>
      </c>
      <c r="BD502" t="s">
        <v>2711</v>
      </c>
      <c r="BE502" t="s">
        <v>3</v>
      </c>
      <c r="BF502" t="s">
        <v>3</v>
      </c>
      <c r="BG502" t="s">
        <v>3</v>
      </c>
      <c r="BH502" t="s">
        <v>3</v>
      </c>
      <c r="BI502" t="s">
        <v>3</v>
      </c>
      <c r="BJ502" t="s">
        <v>4990</v>
      </c>
      <c r="BK502" t="s">
        <v>3</v>
      </c>
      <c r="BL502" t="s">
        <v>96</v>
      </c>
      <c r="BM502" t="s">
        <v>1</v>
      </c>
      <c r="BN502">
        <v>14800</v>
      </c>
      <c r="BO502" t="s">
        <v>1</v>
      </c>
      <c r="BP502" t="s">
        <v>1</v>
      </c>
      <c r="BQ502" t="s">
        <v>1</v>
      </c>
      <c r="BR502" t="s">
        <v>1</v>
      </c>
      <c r="BS502" t="s">
        <v>1</v>
      </c>
      <c r="BT502" t="s">
        <v>1</v>
      </c>
      <c r="BU502" t="s">
        <v>1</v>
      </c>
      <c r="BV502" t="s">
        <v>1</v>
      </c>
      <c r="BW502" t="s">
        <v>0</v>
      </c>
      <c r="BX502" t="s">
        <v>1</v>
      </c>
      <c r="BY502" t="s">
        <v>1</v>
      </c>
      <c r="BZ502" t="s">
        <v>1</v>
      </c>
      <c r="CA502" t="s">
        <v>1</v>
      </c>
      <c r="CB502" t="s">
        <v>1</v>
      </c>
      <c r="CD502" t="e" cm="1">
        <f t="array" aca="1" ref="CD502" ca="1">eConcatenar(A502:CB502,"|")</f>
        <v>#NAME?</v>
      </c>
    </row>
    <row r="503" spans="1:82" x14ac:dyDescent="0.25">
      <c r="A503" t="s">
        <v>598</v>
      </c>
      <c r="B503" t="s">
        <v>1612</v>
      </c>
      <c r="C503">
        <v>3</v>
      </c>
      <c r="D503" t="s">
        <v>2153</v>
      </c>
      <c r="E503" t="s">
        <v>2158</v>
      </c>
      <c r="F503" t="s">
        <v>2162</v>
      </c>
      <c r="G503" t="s">
        <v>2464</v>
      </c>
      <c r="H503" t="s">
        <v>2702</v>
      </c>
      <c r="I503">
        <v>14800</v>
      </c>
      <c r="J503">
        <v>0</v>
      </c>
      <c r="K503">
        <v>400</v>
      </c>
      <c r="L503">
        <v>50</v>
      </c>
      <c r="M503">
        <v>2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 t="s">
        <v>3656</v>
      </c>
      <c r="AC503" t="s">
        <v>3115</v>
      </c>
      <c r="AD503" t="s">
        <v>3251</v>
      </c>
      <c r="AE503" t="s">
        <v>4</v>
      </c>
      <c r="AF503" t="s">
        <v>1</v>
      </c>
      <c r="AG503" t="s">
        <v>1</v>
      </c>
      <c r="AH503" t="s">
        <v>4258</v>
      </c>
      <c r="AI503" t="s">
        <v>2464</v>
      </c>
      <c r="AJ503" t="s">
        <v>1</v>
      </c>
      <c r="AK503">
        <v>9331343797</v>
      </c>
      <c r="AL503" t="s">
        <v>1</v>
      </c>
      <c r="AM503" t="s">
        <v>1</v>
      </c>
      <c r="AN503" t="s">
        <v>1</v>
      </c>
      <c r="AO503" t="s">
        <v>4258</v>
      </c>
      <c r="AP503" t="s">
        <v>1</v>
      </c>
      <c r="AQ503" t="s">
        <v>2</v>
      </c>
      <c r="AR503" t="s">
        <v>1</v>
      </c>
      <c r="AS503" t="s">
        <v>1</v>
      </c>
      <c r="AT503" t="s">
        <v>1</v>
      </c>
      <c r="AU503" t="s">
        <v>1</v>
      </c>
      <c r="AV503" t="s">
        <v>1</v>
      </c>
      <c r="AW503" t="s">
        <v>9</v>
      </c>
      <c r="AX503">
        <f>Tabla1[[#This Row],[precio del paquete]]-Tabla1[[#This Row],[Saldo_Deudor]]</f>
        <v>1000</v>
      </c>
      <c r="AY503">
        <v>13800</v>
      </c>
      <c r="AZ503">
        <v>0</v>
      </c>
      <c r="BA503">
        <v>0</v>
      </c>
      <c r="BB503">
        <v>0</v>
      </c>
      <c r="BC503" t="s">
        <v>2923</v>
      </c>
      <c r="BD503" t="s">
        <v>4910</v>
      </c>
      <c r="BE503" t="s">
        <v>3</v>
      </c>
      <c r="BF503" t="s">
        <v>3</v>
      </c>
      <c r="BG503" t="s">
        <v>3</v>
      </c>
      <c r="BH503" t="s">
        <v>3</v>
      </c>
      <c r="BI503" t="s">
        <v>3</v>
      </c>
      <c r="BJ503" t="s">
        <v>5000</v>
      </c>
      <c r="BK503" t="s">
        <v>3</v>
      </c>
      <c r="BL503" t="s">
        <v>96</v>
      </c>
      <c r="BM503" t="s">
        <v>1</v>
      </c>
      <c r="BN503">
        <v>14800</v>
      </c>
      <c r="BO503" t="s">
        <v>1</v>
      </c>
      <c r="BP503" t="s">
        <v>1</v>
      </c>
      <c r="BQ503" t="s">
        <v>1</v>
      </c>
      <c r="BR503" t="s">
        <v>1</v>
      </c>
      <c r="BS503" t="s">
        <v>1</v>
      </c>
      <c r="BT503" t="s">
        <v>1</v>
      </c>
      <c r="BU503" t="s">
        <v>1</v>
      </c>
      <c r="BV503" t="s">
        <v>1</v>
      </c>
      <c r="BW503" t="s">
        <v>0</v>
      </c>
      <c r="BX503" t="s">
        <v>1</v>
      </c>
      <c r="BY503" t="s">
        <v>1</v>
      </c>
      <c r="BZ503" t="s">
        <v>1</v>
      </c>
      <c r="CA503" t="s">
        <v>1</v>
      </c>
      <c r="CB503" t="s">
        <v>1</v>
      </c>
      <c r="CD503" t="e" cm="1">
        <f t="array" aca="1" ref="CD503" ca="1">eConcatenar(A503:CB503,"|")</f>
        <v>#NAME?</v>
      </c>
    </row>
    <row r="504" spans="1:82" x14ac:dyDescent="0.25">
      <c r="A504" t="s">
        <v>599</v>
      </c>
      <c r="B504" t="s">
        <v>1613</v>
      </c>
      <c r="C504">
        <v>3</v>
      </c>
      <c r="D504" t="s">
        <v>2157</v>
      </c>
      <c r="E504" t="s">
        <v>2158</v>
      </c>
      <c r="F504" t="s">
        <v>2162</v>
      </c>
      <c r="G504" t="s">
        <v>2464</v>
      </c>
      <c r="H504" t="s">
        <v>2930</v>
      </c>
      <c r="I504">
        <v>12900</v>
      </c>
      <c r="J504">
        <v>0</v>
      </c>
      <c r="K504">
        <v>200</v>
      </c>
      <c r="L504">
        <v>50</v>
      </c>
      <c r="M504">
        <v>1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 t="s">
        <v>3357</v>
      </c>
      <c r="AC504" t="s">
        <v>3132</v>
      </c>
      <c r="AD504" t="s">
        <v>3721</v>
      </c>
      <c r="AE504" t="s">
        <v>4</v>
      </c>
      <c r="AF504" t="s">
        <v>1</v>
      </c>
      <c r="AG504" t="s">
        <v>1</v>
      </c>
      <c r="AH504" t="s">
        <v>4458</v>
      </c>
      <c r="AI504" t="s">
        <v>2464</v>
      </c>
      <c r="AJ504" t="s">
        <v>1</v>
      </c>
      <c r="AK504">
        <v>9331135662</v>
      </c>
      <c r="AL504" t="s">
        <v>1</v>
      </c>
      <c r="AM504" t="s">
        <v>1</v>
      </c>
      <c r="AN504" t="s">
        <v>1</v>
      </c>
      <c r="AO504" t="s">
        <v>4458</v>
      </c>
      <c r="AP504" t="s">
        <v>1</v>
      </c>
      <c r="AQ504" t="s">
        <v>2</v>
      </c>
      <c r="AR504" t="s">
        <v>1</v>
      </c>
      <c r="AS504" t="s">
        <v>1</v>
      </c>
      <c r="AT504" t="s">
        <v>1</v>
      </c>
      <c r="AU504" t="s">
        <v>1</v>
      </c>
      <c r="AV504" t="s">
        <v>1</v>
      </c>
      <c r="AW504" t="s">
        <v>9</v>
      </c>
      <c r="AX504">
        <f>Tabla1[[#This Row],[precio del paquete]]-Tabla1[[#This Row],[Saldo_Deudor]]</f>
        <v>8350</v>
      </c>
      <c r="AY504">
        <v>4550</v>
      </c>
      <c r="AZ504">
        <v>0</v>
      </c>
      <c r="BA504">
        <v>0</v>
      </c>
      <c r="BB504">
        <v>0</v>
      </c>
      <c r="BC504" t="s">
        <v>2865</v>
      </c>
      <c r="BD504" t="s">
        <v>4903</v>
      </c>
      <c r="BE504" t="s">
        <v>3</v>
      </c>
      <c r="BF504" t="s">
        <v>3</v>
      </c>
      <c r="BG504" t="s">
        <v>3</v>
      </c>
      <c r="BH504" t="s">
        <v>3</v>
      </c>
      <c r="BI504" t="s">
        <v>3</v>
      </c>
      <c r="BJ504" t="s">
        <v>4998</v>
      </c>
      <c r="BK504" t="s">
        <v>3</v>
      </c>
      <c r="BL504" t="s">
        <v>96</v>
      </c>
      <c r="BM504" t="s">
        <v>1</v>
      </c>
      <c r="BN504">
        <v>12900</v>
      </c>
      <c r="BO504" t="s">
        <v>1</v>
      </c>
      <c r="BP504" t="s">
        <v>1</v>
      </c>
      <c r="BQ504" t="s">
        <v>1</v>
      </c>
      <c r="BR504" t="s">
        <v>1</v>
      </c>
      <c r="BS504" t="s">
        <v>1</v>
      </c>
      <c r="BT504" t="s">
        <v>1</v>
      </c>
      <c r="BU504" t="s">
        <v>1</v>
      </c>
      <c r="BV504" t="s">
        <v>1</v>
      </c>
      <c r="BW504" t="s">
        <v>0</v>
      </c>
      <c r="BX504" t="s">
        <v>1</v>
      </c>
      <c r="BY504" t="s">
        <v>1</v>
      </c>
      <c r="BZ504" t="s">
        <v>1</v>
      </c>
      <c r="CA504" t="s">
        <v>1</v>
      </c>
      <c r="CB504" t="s">
        <v>1</v>
      </c>
      <c r="CD504" t="e" cm="1">
        <f t="array" aca="1" ref="CD504" ca="1">eConcatenar(A504:CB504,"|")</f>
        <v>#NAME?</v>
      </c>
    </row>
    <row r="505" spans="1:82" x14ac:dyDescent="0.25">
      <c r="A505" t="s">
        <v>600</v>
      </c>
      <c r="B505" t="s">
        <v>1614</v>
      </c>
      <c r="C505">
        <v>3</v>
      </c>
      <c r="D505" t="s">
        <v>2154</v>
      </c>
      <c r="E505" t="s">
        <v>2158</v>
      </c>
      <c r="F505" t="s">
        <v>2162</v>
      </c>
      <c r="G505" t="s">
        <v>2464</v>
      </c>
      <c r="H505" t="s">
        <v>2931</v>
      </c>
      <c r="I505">
        <v>24500</v>
      </c>
      <c r="J505">
        <v>0</v>
      </c>
      <c r="K505">
        <v>200</v>
      </c>
      <c r="L505">
        <v>50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 t="s">
        <v>3214</v>
      </c>
      <c r="AC505" t="s">
        <v>3114</v>
      </c>
      <c r="AD505" t="s">
        <v>3370</v>
      </c>
      <c r="AE505" t="s">
        <v>4</v>
      </c>
      <c r="AF505" t="s">
        <v>1</v>
      </c>
      <c r="AG505" t="s">
        <v>1</v>
      </c>
      <c r="AH505" t="s">
        <v>4459</v>
      </c>
      <c r="AI505" t="s">
        <v>2464</v>
      </c>
      <c r="AJ505" t="s">
        <v>1</v>
      </c>
      <c r="AK505">
        <v>9331121323</v>
      </c>
      <c r="AL505" t="s">
        <v>1</v>
      </c>
      <c r="AM505" t="s">
        <v>1</v>
      </c>
      <c r="AN505" t="s">
        <v>1</v>
      </c>
      <c r="AO505" t="s">
        <v>4459</v>
      </c>
      <c r="AP505" t="s">
        <v>1</v>
      </c>
      <c r="AQ505" t="s">
        <v>2</v>
      </c>
      <c r="AR505" t="s">
        <v>1</v>
      </c>
      <c r="AS505" t="s">
        <v>1</v>
      </c>
      <c r="AT505" t="s">
        <v>1</v>
      </c>
      <c r="AU505" t="s">
        <v>1</v>
      </c>
      <c r="AV505" t="s">
        <v>1</v>
      </c>
      <c r="AW505" t="s">
        <v>9</v>
      </c>
      <c r="AX505">
        <f>Tabla1[[#This Row],[precio del paquete]]-Tabla1[[#This Row],[Saldo_Deudor]]</f>
        <v>6000</v>
      </c>
      <c r="AY505">
        <v>18500</v>
      </c>
      <c r="AZ505">
        <v>0</v>
      </c>
      <c r="BA505">
        <v>0</v>
      </c>
      <c r="BB505">
        <v>0</v>
      </c>
      <c r="BC505" t="s">
        <v>2711</v>
      </c>
      <c r="BD505" t="s">
        <v>2712</v>
      </c>
      <c r="BE505" t="s">
        <v>3</v>
      </c>
      <c r="BF505" t="s">
        <v>3</v>
      </c>
      <c r="BG505" t="s">
        <v>3</v>
      </c>
      <c r="BH505" t="s">
        <v>3</v>
      </c>
      <c r="BI505" t="s">
        <v>3</v>
      </c>
      <c r="BJ505" t="s">
        <v>4998</v>
      </c>
      <c r="BK505" t="s">
        <v>3</v>
      </c>
      <c r="BL505" t="s">
        <v>96</v>
      </c>
      <c r="BM505" t="s">
        <v>1</v>
      </c>
      <c r="BN505">
        <v>24500</v>
      </c>
      <c r="BO505" t="s">
        <v>1</v>
      </c>
      <c r="BP505" t="s">
        <v>1</v>
      </c>
      <c r="BQ505" t="s">
        <v>1</v>
      </c>
      <c r="BR505" t="s">
        <v>1</v>
      </c>
      <c r="BS505" t="s">
        <v>1</v>
      </c>
      <c r="BT505" t="s">
        <v>1</v>
      </c>
      <c r="BU505" t="s">
        <v>1</v>
      </c>
      <c r="BV505" t="s">
        <v>1</v>
      </c>
      <c r="BW505" t="s">
        <v>0</v>
      </c>
      <c r="BX505" t="s">
        <v>1</v>
      </c>
      <c r="BY505" t="s">
        <v>1</v>
      </c>
      <c r="BZ505" t="s">
        <v>1</v>
      </c>
      <c r="CA505" t="s">
        <v>1</v>
      </c>
      <c r="CB505" t="s">
        <v>1</v>
      </c>
      <c r="CD505" t="e" cm="1">
        <f t="array" aca="1" ref="CD505" ca="1">eConcatenar(A505:CB505,"|")</f>
        <v>#NAME?</v>
      </c>
    </row>
    <row r="506" spans="1:82" x14ac:dyDescent="0.25">
      <c r="A506" t="s">
        <v>601</v>
      </c>
      <c r="B506" t="s">
        <v>1615</v>
      </c>
      <c r="C506">
        <v>3</v>
      </c>
      <c r="D506" t="s">
        <v>2153</v>
      </c>
      <c r="E506" t="s">
        <v>2158</v>
      </c>
      <c r="F506" t="s">
        <v>2162</v>
      </c>
      <c r="G506" t="s">
        <v>2464</v>
      </c>
      <c r="H506" t="s">
        <v>2931</v>
      </c>
      <c r="I506">
        <v>14800</v>
      </c>
      <c r="J506">
        <v>0</v>
      </c>
      <c r="K506">
        <v>900</v>
      </c>
      <c r="L506">
        <v>50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 t="s">
        <v>3722</v>
      </c>
      <c r="AC506" t="s">
        <v>6</v>
      </c>
      <c r="AD506" t="s">
        <v>3723</v>
      </c>
      <c r="AE506" t="s">
        <v>4</v>
      </c>
      <c r="AF506" t="s">
        <v>1</v>
      </c>
      <c r="AG506" t="s">
        <v>1</v>
      </c>
      <c r="AH506" t="s">
        <v>4459</v>
      </c>
      <c r="AI506" t="s">
        <v>2464</v>
      </c>
      <c r="AJ506" t="s">
        <v>1</v>
      </c>
      <c r="AK506">
        <v>9331104393</v>
      </c>
      <c r="AL506" t="s">
        <v>1</v>
      </c>
      <c r="AM506" t="s">
        <v>1</v>
      </c>
      <c r="AN506" t="s">
        <v>1</v>
      </c>
      <c r="AO506" t="s">
        <v>4459</v>
      </c>
      <c r="AP506" t="s">
        <v>1</v>
      </c>
      <c r="AQ506" t="s">
        <v>2</v>
      </c>
      <c r="AR506" t="s">
        <v>1</v>
      </c>
      <c r="AS506" t="s">
        <v>1</v>
      </c>
      <c r="AT506" t="s">
        <v>1</v>
      </c>
      <c r="AU506" t="s">
        <v>1</v>
      </c>
      <c r="AV506" t="s">
        <v>1</v>
      </c>
      <c r="AW506" t="s">
        <v>9</v>
      </c>
      <c r="AX506">
        <f>Tabla1[[#This Row],[precio del paquete]]-Tabla1[[#This Row],[Saldo_Deudor]]</f>
        <v>6500</v>
      </c>
      <c r="AY506">
        <v>8300</v>
      </c>
      <c r="AZ506">
        <v>0</v>
      </c>
      <c r="BA506">
        <v>0</v>
      </c>
      <c r="BB506">
        <v>0</v>
      </c>
      <c r="BC506" t="s">
        <v>2711</v>
      </c>
      <c r="BD506" t="s">
        <v>2712</v>
      </c>
      <c r="BE506" t="s">
        <v>3</v>
      </c>
      <c r="BF506" t="s">
        <v>3</v>
      </c>
      <c r="BG506" t="s">
        <v>3</v>
      </c>
      <c r="BH506" t="s">
        <v>3</v>
      </c>
      <c r="BI506" t="s">
        <v>3</v>
      </c>
      <c r="BJ506" t="s">
        <v>4998</v>
      </c>
      <c r="BK506" t="s">
        <v>3</v>
      </c>
      <c r="BL506" t="s">
        <v>96</v>
      </c>
      <c r="BM506" t="s">
        <v>1</v>
      </c>
      <c r="BN506">
        <v>14800</v>
      </c>
      <c r="BO506" t="s">
        <v>1</v>
      </c>
      <c r="BP506" t="s">
        <v>1</v>
      </c>
      <c r="BQ506" t="s">
        <v>1</v>
      </c>
      <c r="BR506" t="s">
        <v>1</v>
      </c>
      <c r="BS506" t="s">
        <v>1</v>
      </c>
      <c r="BT506" t="s">
        <v>1</v>
      </c>
      <c r="BU506" t="s">
        <v>1</v>
      </c>
      <c r="BV506" t="s">
        <v>1</v>
      </c>
      <c r="BW506" t="s">
        <v>0</v>
      </c>
      <c r="BX506" t="s">
        <v>1</v>
      </c>
      <c r="BY506" t="s">
        <v>1</v>
      </c>
      <c r="BZ506" t="s">
        <v>1</v>
      </c>
      <c r="CA506" t="s">
        <v>1</v>
      </c>
      <c r="CB506" t="s">
        <v>1</v>
      </c>
      <c r="CD506" t="e" cm="1">
        <f t="array" aca="1" ref="CD506" ca="1">eConcatenar(A506:CB506,"|")</f>
        <v>#NAME?</v>
      </c>
    </row>
    <row r="507" spans="1:82" x14ac:dyDescent="0.25">
      <c r="A507" t="s">
        <v>602</v>
      </c>
      <c r="B507" t="s">
        <v>1616</v>
      </c>
      <c r="C507">
        <v>3</v>
      </c>
      <c r="D507" t="s">
        <v>2157</v>
      </c>
      <c r="E507" t="s">
        <v>2158</v>
      </c>
      <c r="F507" t="s">
        <v>2162</v>
      </c>
      <c r="G507" t="s">
        <v>2464</v>
      </c>
      <c r="H507" t="s">
        <v>2781</v>
      </c>
      <c r="I507">
        <v>12900</v>
      </c>
      <c r="J507">
        <v>0</v>
      </c>
      <c r="K507">
        <v>200</v>
      </c>
      <c r="L507">
        <v>50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 t="s">
        <v>3177</v>
      </c>
      <c r="AC507" t="s">
        <v>3317</v>
      </c>
      <c r="AD507" t="s">
        <v>3258</v>
      </c>
      <c r="AE507" t="s">
        <v>4</v>
      </c>
      <c r="AF507" t="s">
        <v>1</v>
      </c>
      <c r="AG507" t="s">
        <v>1</v>
      </c>
      <c r="AH507" t="s">
        <v>4460</v>
      </c>
      <c r="AI507" t="s">
        <v>2464</v>
      </c>
      <c r="AJ507" t="s">
        <v>1</v>
      </c>
      <c r="AK507">
        <v>9931986080</v>
      </c>
      <c r="AL507" t="s">
        <v>1</v>
      </c>
      <c r="AM507" t="s">
        <v>1</v>
      </c>
      <c r="AN507" t="s">
        <v>1</v>
      </c>
      <c r="AO507" t="s">
        <v>4460</v>
      </c>
      <c r="AP507" t="s">
        <v>1</v>
      </c>
      <c r="AQ507" t="s">
        <v>2</v>
      </c>
      <c r="AR507" t="s">
        <v>1</v>
      </c>
      <c r="AS507" t="s">
        <v>1</v>
      </c>
      <c r="AT507" t="s">
        <v>1</v>
      </c>
      <c r="AU507" t="s">
        <v>1</v>
      </c>
      <c r="AV507" t="s">
        <v>1</v>
      </c>
      <c r="AW507" t="s">
        <v>9</v>
      </c>
      <c r="AX507">
        <f>Tabla1[[#This Row],[precio del paquete]]-Tabla1[[#This Row],[Saldo_Deudor]]</f>
        <v>11400</v>
      </c>
      <c r="AY507">
        <v>1500</v>
      </c>
      <c r="AZ507">
        <v>0</v>
      </c>
      <c r="BA507">
        <v>0</v>
      </c>
      <c r="BB507">
        <v>0</v>
      </c>
      <c r="BC507" t="s">
        <v>2923</v>
      </c>
      <c r="BD507" t="s">
        <v>4910</v>
      </c>
      <c r="BE507" t="s">
        <v>3</v>
      </c>
      <c r="BF507" t="s">
        <v>3</v>
      </c>
      <c r="BG507" t="s">
        <v>3</v>
      </c>
      <c r="BH507" t="s">
        <v>3</v>
      </c>
      <c r="BI507" t="s">
        <v>3</v>
      </c>
      <c r="BJ507" t="s">
        <v>4998</v>
      </c>
      <c r="BK507" t="s">
        <v>3</v>
      </c>
      <c r="BL507" t="s">
        <v>96</v>
      </c>
      <c r="BM507" t="s">
        <v>1</v>
      </c>
      <c r="BN507">
        <v>12900</v>
      </c>
      <c r="BO507" t="s">
        <v>1</v>
      </c>
      <c r="BP507" t="s">
        <v>1</v>
      </c>
      <c r="BQ507" t="s">
        <v>1</v>
      </c>
      <c r="BR507" t="s">
        <v>1</v>
      </c>
      <c r="BS507" t="s">
        <v>1</v>
      </c>
      <c r="BT507" t="s">
        <v>1</v>
      </c>
      <c r="BU507" t="s">
        <v>1</v>
      </c>
      <c r="BV507" t="s">
        <v>1</v>
      </c>
      <c r="BW507" t="s">
        <v>0</v>
      </c>
      <c r="BX507" t="s">
        <v>1</v>
      </c>
      <c r="BY507" t="s">
        <v>1</v>
      </c>
      <c r="BZ507" t="s">
        <v>1</v>
      </c>
      <c r="CA507" t="s">
        <v>1</v>
      </c>
      <c r="CB507" t="s">
        <v>1</v>
      </c>
      <c r="CD507" t="e" cm="1">
        <f t="array" aca="1" ref="CD507" ca="1">eConcatenar(A507:CB507,"|")</f>
        <v>#NAME?</v>
      </c>
    </row>
    <row r="508" spans="1:82" x14ac:dyDescent="0.25">
      <c r="A508" t="s">
        <v>603</v>
      </c>
      <c r="B508" t="s">
        <v>1617</v>
      </c>
      <c r="C508">
        <v>3</v>
      </c>
      <c r="D508" t="s">
        <v>2157</v>
      </c>
      <c r="E508" t="s">
        <v>2158</v>
      </c>
      <c r="F508" t="s">
        <v>2162</v>
      </c>
      <c r="G508" t="s">
        <v>2464</v>
      </c>
      <c r="H508" t="s">
        <v>2932</v>
      </c>
      <c r="I508">
        <v>12900</v>
      </c>
      <c r="J508">
        <v>0</v>
      </c>
      <c r="K508">
        <v>200</v>
      </c>
      <c r="L508">
        <v>50</v>
      </c>
      <c r="M508">
        <v>1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 t="s">
        <v>5</v>
      </c>
      <c r="AC508" t="s">
        <v>5</v>
      </c>
      <c r="AD508" t="s">
        <v>3326</v>
      </c>
      <c r="AE508" t="s">
        <v>4</v>
      </c>
      <c r="AF508" t="s">
        <v>1</v>
      </c>
      <c r="AG508" t="s">
        <v>1</v>
      </c>
      <c r="AH508" t="s">
        <v>4461</v>
      </c>
      <c r="AI508" t="s">
        <v>2464</v>
      </c>
      <c r="AJ508" t="s">
        <v>1</v>
      </c>
      <c r="AK508">
        <v>9331277903</v>
      </c>
      <c r="AL508" t="s">
        <v>1</v>
      </c>
      <c r="AM508" t="s">
        <v>1</v>
      </c>
      <c r="AN508" t="s">
        <v>1</v>
      </c>
      <c r="AO508" t="s">
        <v>4461</v>
      </c>
      <c r="AP508" t="s">
        <v>1</v>
      </c>
      <c r="AQ508" t="s">
        <v>2</v>
      </c>
      <c r="AR508" t="s">
        <v>1</v>
      </c>
      <c r="AS508" t="s">
        <v>1</v>
      </c>
      <c r="AT508" t="s">
        <v>1</v>
      </c>
      <c r="AU508" t="s">
        <v>1</v>
      </c>
      <c r="AV508" t="s">
        <v>1</v>
      </c>
      <c r="AW508" t="s">
        <v>9</v>
      </c>
      <c r="AX508">
        <f>Tabla1[[#This Row],[precio del paquete]]-Tabla1[[#This Row],[Saldo_Deudor]]</f>
        <v>7300</v>
      </c>
      <c r="AY508">
        <v>5600</v>
      </c>
      <c r="AZ508">
        <v>0</v>
      </c>
      <c r="BA508">
        <v>0</v>
      </c>
      <c r="BB508">
        <v>0</v>
      </c>
      <c r="BC508" t="s">
        <v>2837</v>
      </c>
      <c r="BD508" t="s">
        <v>2779</v>
      </c>
      <c r="BE508" t="s">
        <v>3</v>
      </c>
      <c r="BF508" t="s">
        <v>3</v>
      </c>
      <c r="BG508" t="s">
        <v>3</v>
      </c>
      <c r="BH508" t="s">
        <v>3</v>
      </c>
      <c r="BI508" t="s">
        <v>3</v>
      </c>
      <c r="BJ508" t="s">
        <v>4998</v>
      </c>
      <c r="BK508" t="s">
        <v>3</v>
      </c>
      <c r="BL508" t="s">
        <v>96</v>
      </c>
      <c r="BM508" t="s">
        <v>1</v>
      </c>
      <c r="BN508">
        <v>12900</v>
      </c>
      <c r="BO508" t="s">
        <v>1</v>
      </c>
      <c r="BP508" t="s">
        <v>1</v>
      </c>
      <c r="BQ508" t="s">
        <v>1</v>
      </c>
      <c r="BR508" t="s">
        <v>1</v>
      </c>
      <c r="BS508" t="s">
        <v>1</v>
      </c>
      <c r="BT508" t="s">
        <v>1</v>
      </c>
      <c r="BU508" t="s">
        <v>1</v>
      </c>
      <c r="BV508" t="s">
        <v>1</v>
      </c>
      <c r="BW508" t="s">
        <v>0</v>
      </c>
      <c r="BX508" t="s">
        <v>1</v>
      </c>
      <c r="BY508" t="s">
        <v>1</v>
      </c>
      <c r="BZ508" t="s">
        <v>1</v>
      </c>
      <c r="CA508" t="s">
        <v>1</v>
      </c>
      <c r="CB508" t="s">
        <v>1</v>
      </c>
      <c r="CD508" t="e" cm="1">
        <f t="array" aca="1" ref="CD508" ca="1">eConcatenar(A508:CB508,"|")</f>
        <v>#NAME?</v>
      </c>
    </row>
    <row r="509" spans="1:82" x14ac:dyDescent="0.25">
      <c r="A509" t="s">
        <v>604</v>
      </c>
      <c r="B509" t="s">
        <v>1618</v>
      </c>
      <c r="C509">
        <v>3</v>
      </c>
      <c r="D509" t="s">
        <v>2153</v>
      </c>
      <c r="E509" t="s">
        <v>2158</v>
      </c>
      <c r="F509" t="s">
        <v>2162</v>
      </c>
      <c r="G509" t="s">
        <v>2464</v>
      </c>
      <c r="H509" t="s">
        <v>2852</v>
      </c>
      <c r="I509">
        <v>14800</v>
      </c>
      <c r="J509">
        <v>0</v>
      </c>
      <c r="K509">
        <v>200</v>
      </c>
      <c r="L509">
        <v>50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 t="s">
        <v>3114</v>
      </c>
      <c r="AC509" t="s">
        <v>3115</v>
      </c>
      <c r="AD509" t="s">
        <v>3388</v>
      </c>
      <c r="AE509" t="s">
        <v>4</v>
      </c>
      <c r="AF509" t="s">
        <v>1</v>
      </c>
      <c r="AG509" t="s">
        <v>1</v>
      </c>
      <c r="AH509" t="s">
        <v>4120</v>
      </c>
      <c r="AI509" t="s">
        <v>2464</v>
      </c>
      <c r="AJ509" t="s">
        <v>1</v>
      </c>
      <c r="AK509">
        <v>9333377497</v>
      </c>
      <c r="AL509" t="s">
        <v>1</v>
      </c>
      <c r="AM509" t="s">
        <v>1</v>
      </c>
      <c r="AN509" t="s">
        <v>1</v>
      </c>
      <c r="AO509" t="s">
        <v>4120</v>
      </c>
      <c r="AP509" t="s">
        <v>1</v>
      </c>
      <c r="AQ509" t="s">
        <v>2</v>
      </c>
      <c r="AR509" t="s">
        <v>1</v>
      </c>
      <c r="AS509" t="s">
        <v>1</v>
      </c>
      <c r="AT509" t="s">
        <v>1</v>
      </c>
      <c r="AU509" t="s">
        <v>1</v>
      </c>
      <c r="AV509" t="s">
        <v>1</v>
      </c>
      <c r="AW509" t="s">
        <v>9</v>
      </c>
      <c r="AX509">
        <f>Tabla1[[#This Row],[precio del paquete]]-Tabla1[[#This Row],[Saldo_Deudor]]</f>
        <v>7900</v>
      </c>
      <c r="AY509">
        <v>6900</v>
      </c>
      <c r="AZ509">
        <v>0</v>
      </c>
      <c r="BA509">
        <v>0</v>
      </c>
      <c r="BB509">
        <v>0</v>
      </c>
      <c r="BC509" t="s">
        <v>2852</v>
      </c>
      <c r="BD509" t="s">
        <v>4951</v>
      </c>
      <c r="BE509" t="s">
        <v>3</v>
      </c>
      <c r="BF509" t="s">
        <v>3</v>
      </c>
      <c r="BG509" t="s">
        <v>3</v>
      </c>
      <c r="BH509" t="s">
        <v>3</v>
      </c>
      <c r="BI509" t="s">
        <v>3</v>
      </c>
      <c r="BJ509" t="s">
        <v>4998</v>
      </c>
      <c r="BK509" t="s">
        <v>3</v>
      </c>
      <c r="BL509" t="s">
        <v>96</v>
      </c>
      <c r="BM509" t="s">
        <v>1</v>
      </c>
      <c r="BN509">
        <v>14800</v>
      </c>
      <c r="BO509" t="s">
        <v>1</v>
      </c>
      <c r="BP509" t="s">
        <v>1</v>
      </c>
      <c r="BQ509" t="s">
        <v>1</v>
      </c>
      <c r="BR509" t="s">
        <v>1</v>
      </c>
      <c r="BS509" t="s">
        <v>1</v>
      </c>
      <c r="BT509" t="s">
        <v>1</v>
      </c>
      <c r="BU509" t="s">
        <v>1</v>
      </c>
      <c r="BV509" t="s">
        <v>1</v>
      </c>
      <c r="BW509" t="s">
        <v>0</v>
      </c>
      <c r="BX509" t="s">
        <v>1</v>
      </c>
      <c r="BY509" t="s">
        <v>1</v>
      </c>
      <c r="BZ509" t="s">
        <v>1</v>
      </c>
      <c r="CA509" t="s">
        <v>1</v>
      </c>
      <c r="CB509" t="s">
        <v>1</v>
      </c>
      <c r="CD509" t="e" cm="1">
        <f t="array" aca="1" ref="CD509" ca="1">eConcatenar(A509:CB509,"|")</f>
        <v>#NAME?</v>
      </c>
    </row>
    <row r="510" spans="1:82" x14ac:dyDescent="0.25">
      <c r="A510" t="s">
        <v>605</v>
      </c>
      <c r="B510" t="s">
        <v>1619</v>
      </c>
      <c r="C510">
        <v>3</v>
      </c>
      <c r="D510" t="s">
        <v>2153</v>
      </c>
      <c r="E510" t="s">
        <v>2158</v>
      </c>
      <c r="F510" t="s">
        <v>2162</v>
      </c>
      <c r="G510" t="s">
        <v>2464</v>
      </c>
      <c r="H510" t="s">
        <v>2708</v>
      </c>
      <c r="I510">
        <v>14800</v>
      </c>
      <c r="J510">
        <v>0</v>
      </c>
      <c r="K510">
        <v>100</v>
      </c>
      <c r="L510">
        <v>50</v>
      </c>
      <c r="M510">
        <v>1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 t="s">
        <v>3276</v>
      </c>
      <c r="AC510" t="s">
        <v>3245</v>
      </c>
      <c r="AD510" t="s">
        <v>3724</v>
      </c>
      <c r="AE510" t="s">
        <v>4</v>
      </c>
      <c r="AF510" t="s">
        <v>1</v>
      </c>
      <c r="AG510" t="s">
        <v>1</v>
      </c>
      <c r="AH510" t="s">
        <v>4462</v>
      </c>
      <c r="AI510" t="s">
        <v>2464</v>
      </c>
      <c r="AJ510" t="s">
        <v>1</v>
      </c>
      <c r="AK510">
        <v>9331604844</v>
      </c>
      <c r="AL510" t="s">
        <v>1</v>
      </c>
      <c r="AM510" t="s">
        <v>1</v>
      </c>
      <c r="AN510" t="s">
        <v>1</v>
      </c>
      <c r="AO510" t="s">
        <v>4462</v>
      </c>
      <c r="AP510" t="s">
        <v>1</v>
      </c>
      <c r="AQ510" t="s">
        <v>2</v>
      </c>
      <c r="AR510" t="s">
        <v>1</v>
      </c>
      <c r="AS510" t="s">
        <v>1</v>
      </c>
      <c r="AT510" t="s">
        <v>1</v>
      </c>
      <c r="AU510" t="s">
        <v>1</v>
      </c>
      <c r="AV510" t="s">
        <v>1</v>
      </c>
      <c r="AW510" t="s">
        <v>9</v>
      </c>
      <c r="AX510">
        <f>Tabla1[[#This Row],[precio del paquete]]-Tabla1[[#This Row],[Saldo_Deudor]]</f>
        <v>500</v>
      </c>
      <c r="AY510">
        <v>14300</v>
      </c>
      <c r="AZ510">
        <v>0</v>
      </c>
      <c r="BA510">
        <v>0</v>
      </c>
      <c r="BB510">
        <v>0</v>
      </c>
      <c r="BC510" t="s">
        <v>2778</v>
      </c>
      <c r="BD510" t="s">
        <v>2849</v>
      </c>
      <c r="BE510" t="s">
        <v>3</v>
      </c>
      <c r="BF510" t="s">
        <v>3</v>
      </c>
      <c r="BG510" t="s">
        <v>3</v>
      </c>
      <c r="BH510" t="s">
        <v>3</v>
      </c>
      <c r="BI510" t="s">
        <v>3</v>
      </c>
      <c r="BJ510" t="s">
        <v>4998</v>
      </c>
      <c r="BK510" t="s">
        <v>3</v>
      </c>
      <c r="BL510" t="s">
        <v>96</v>
      </c>
      <c r="BM510" t="s">
        <v>1</v>
      </c>
      <c r="BN510">
        <v>14800</v>
      </c>
      <c r="BO510" t="s">
        <v>1</v>
      </c>
      <c r="BP510" t="s">
        <v>1</v>
      </c>
      <c r="BQ510" t="s">
        <v>1</v>
      </c>
      <c r="BR510" t="s">
        <v>1</v>
      </c>
      <c r="BS510" t="s">
        <v>1</v>
      </c>
      <c r="BT510" t="s">
        <v>1</v>
      </c>
      <c r="BU510" t="s">
        <v>1</v>
      </c>
      <c r="BV510" t="s">
        <v>1</v>
      </c>
      <c r="BW510" t="s">
        <v>0</v>
      </c>
      <c r="BX510" t="s">
        <v>1</v>
      </c>
      <c r="BY510" t="s">
        <v>1</v>
      </c>
      <c r="BZ510" t="s">
        <v>1</v>
      </c>
      <c r="CA510" t="s">
        <v>1</v>
      </c>
      <c r="CB510" t="s">
        <v>1</v>
      </c>
      <c r="CD510" t="e" cm="1">
        <f t="array" aca="1" ref="CD510" ca="1">eConcatenar(A510:CB510,"|")</f>
        <v>#NAME?</v>
      </c>
    </row>
    <row r="511" spans="1:82" x14ac:dyDescent="0.25">
      <c r="A511" t="s">
        <v>606</v>
      </c>
      <c r="B511" t="s">
        <v>1620</v>
      </c>
      <c r="C511">
        <v>3</v>
      </c>
      <c r="D511" t="s">
        <v>2153</v>
      </c>
      <c r="E511" t="s">
        <v>2158</v>
      </c>
      <c r="F511" t="s">
        <v>2162</v>
      </c>
      <c r="G511" t="s">
        <v>2464</v>
      </c>
      <c r="H511" t="s">
        <v>2852</v>
      </c>
      <c r="I511">
        <v>14800</v>
      </c>
      <c r="J511">
        <v>0</v>
      </c>
      <c r="K511">
        <v>100</v>
      </c>
      <c r="L511">
        <v>50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 t="s">
        <v>3155</v>
      </c>
      <c r="AC511" t="s">
        <v>3115</v>
      </c>
      <c r="AD511" t="s">
        <v>3725</v>
      </c>
      <c r="AE511" t="s">
        <v>4</v>
      </c>
      <c r="AF511" t="s">
        <v>1</v>
      </c>
      <c r="AG511" t="s">
        <v>1</v>
      </c>
      <c r="AH511" t="s">
        <v>4463</v>
      </c>
      <c r="AI511" t="s">
        <v>2464</v>
      </c>
      <c r="AJ511" t="s">
        <v>1</v>
      </c>
      <c r="AK511">
        <v>9331451208</v>
      </c>
      <c r="AL511" t="s">
        <v>1</v>
      </c>
      <c r="AM511" t="s">
        <v>1</v>
      </c>
      <c r="AN511" t="s">
        <v>1</v>
      </c>
      <c r="AO511" t="s">
        <v>4463</v>
      </c>
      <c r="AP511" t="s">
        <v>1</v>
      </c>
      <c r="AQ511" t="s">
        <v>2</v>
      </c>
      <c r="AR511" t="s">
        <v>1</v>
      </c>
      <c r="AS511" t="s">
        <v>1</v>
      </c>
      <c r="AT511" t="s">
        <v>1</v>
      </c>
      <c r="AU511" t="s">
        <v>1</v>
      </c>
      <c r="AV511" t="s">
        <v>1</v>
      </c>
      <c r="AW511" t="s">
        <v>9</v>
      </c>
      <c r="AX511">
        <f>Tabla1[[#This Row],[precio del paquete]]-Tabla1[[#This Row],[Saldo_Deudor]]</f>
        <v>4500</v>
      </c>
      <c r="AY511">
        <v>10300</v>
      </c>
      <c r="AZ511">
        <v>0</v>
      </c>
      <c r="BA511">
        <v>0</v>
      </c>
      <c r="BB511">
        <v>0</v>
      </c>
      <c r="BC511" t="s">
        <v>2928</v>
      </c>
      <c r="BD511" t="s">
        <v>2711</v>
      </c>
      <c r="BE511" t="s">
        <v>3</v>
      </c>
      <c r="BF511" t="s">
        <v>3</v>
      </c>
      <c r="BG511" t="s">
        <v>3</v>
      </c>
      <c r="BH511" t="s">
        <v>3</v>
      </c>
      <c r="BI511" t="s">
        <v>3</v>
      </c>
      <c r="BJ511" t="s">
        <v>4998</v>
      </c>
      <c r="BK511" t="s">
        <v>3</v>
      </c>
      <c r="BL511" t="s">
        <v>96</v>
      </c>
      <c r="BM511" t="s">
        <v>1</v>
      </c>
      <c r="BN511">
        <v>14800</v>
      </c>
      <c r="BO511" t="s">
        <v>1</v>
      </c>
      <c r="BP511" t="s">
        <v>1</v>
      </c>
      <c r="BQ511" t="s">
        <v>1</v>
      </c>
      <c r="BR511" t="s">
        <v>1</v>
      </c>
      <c r="BS511" t="s">
        <v>1</v>
      </c>
      <c r="BT511" t="s">
        <v>1</v>
      </c>
      <c r="BU511" t="s">
        <v>1</v>
      </c>
      <c r="BV511" t="s">
        <v>1</v>
      </c>
      <c r="BW511" t="s">
        <v>0</v>
      </c>
      <c r="BX511" t="s">
        <v>1</v>
      </c>
      <c r="BY511" t="s">
        <v>1</v>
      </c>
      <c r="BZ511" t="s">
        <v>1</v>
      </c>
      <c r="CA511" t="s">
        <v>1</v>
      </c>
      <c r="CB511" t="s">
        <v>1</v>
      </c>
      <c r="CD511" t="e" cm="1">
        <f t="array" aca="1" ref="CD511" ca="1">eConcatenar(A511:CB511,"|")</f>
        <v>#NAME?</v>
      </c>
    </row>
    <row r="512" spans="1:82" x14ac:dyDescent="0.25">
      <c r="A512" t="s">
        <v>607</v>
      </c>
      <c r="B512" t="s">
        <v>1621</v>
      </c>
      <c r="C512">
        <v>3</v>
      </c>
      <c r="D512" t="s">
        <v>2153</v>
      </c>
      <c r="E512" t="s">
        <v>2158</v>
      </c>
      <c r="F512" t="s">
        <v>2162</v>
      </c>
      <c r="G512" t="s">
        <v>2464</v>
      </c>
      <c r="H512" t="s">
        <v>2933</v>
      </c>
      <c r="I512">
        <v>14800</v>
      </c>
      <c r="J512">
        <v>0</v>
      </c>
      <c r="K512">
        <v>200</v>
      </c>
      <c r="L512">
        <v>50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 t="s">
        <v>3132</v>
      </c>
      <c r="AC512" t="s">
        <v>3632</v>
      </c>
      <c r="AD512" t="s">
        <v>3726</v>
      </c>
      <c r="AE512" t="s">
        <v>4</v>
      </c>
      <c r="AF512" t="s">
        <v>1</v>
      </c>
      <c r="AG512" t="s">
        <v>1</v>
      </c>
      <c r="AH512" t="s">
        <v>4464</v>
      </c>
      <c r="AI512" t="s">
        <v>2464</v>
      </c>
      <c r="AJ512" t="s">
        <v>1</v>
      </c>
      <c r="AK512">
        <v>9331571100</v>
      </c>
      <c r="AL512" t="s">
        <v>1</v>
      </c>
      <c r="AM512" t="s">
        <v>1</v>
      </c>
      <c r="AN512" t="s">
        <v>1</v>
      </c>
      <c r="AO512" t="s">
        <v>4464</v>
      </c>
      <c r="AP512" t="s">
        <v>1</v>
      </c>
      <c r="AQ512" t="s">
        <v>2</v>
      </c>
      <c r="AR512" t="s">
        <v>1</v>
      </c>
      <c r="AS512" t="s">
        <v>1</v>
      </c>
      <c r="AT512" t="s">
        <v>1</v>
      </c>
      <c r="AU512" t="s">
        <v>1</v>
      </c>
      <c r="AV512" t="s">
        <v>1</v>
      </c>
      <c r="AW512" t="s">
        <v>9</v>
      </c>
      <c r="AX512">
        <f>Tabla1[[#This Row],[precio del paquete]]-Tabla1[[#This Row],[Saldo_Deudor]]</f>
        <v>2200</v>
      </c>
      <c r="AY512">
        <v>12600</v>
      </c>
      <c r="AZ512">
        <v>0</v>
      </c>
      <c r="BA512">
        <v>0</v>
      </c>
      <c r="BB512">
        <v>0</v>
      </c>
      <c r="BC512" t="s">
        <v>2928</v>
      </c>
      <c r="BD512" t="s">
        <v>2711</v>
      </c>
      <c r="BE512" t="s">
        <v>3</v>
      </c>
      <c r="BF512" t="s">
        <v>3</v>
      </c>
      <c r="BG512" t="s">
        <v>3</v>
      </c>
      <c r="BH512" t="s">
        <v>3</v>
      </c>
      <c r="BI512" t="s">
        <v>3</v>
      </c>
      <c r="BJ512" t="s">
        <v>4998</v>
      </c>
      <c r="BK512" t="s">
        <v>3</v>
      </c>
      <c r="BL512" t="s">
        <v>96</v>
      </c>
      <c r="BM512" t="s">
        <v>1</v>
      </c>
      <c r="BN512">
        <v>14800</v>
      </c>
      <c r="BO512" t="s">
        <v>1</v>
      </c>
      <c r="BP512" t="s">
        <v>1</v>
      </c>
      <c r="BQ512" t="s">
        <v>1</v>
      </c>
      <c r="BR512" t="s">
        <v>1</v>
      </c>
      <c r="BS512" t="s">
        <v>1</v>
      </c>
      <c r="BT512" t="s">
        <v>1</v>
      </c>
      <c r="BU512" t="s">
        <v>1</v>
      </c>
      <c r="BV512" t="s">
        <v>1</v>
      </c>
      <c r="BW512" t="s">
        <v>0</v>
      </c>
      <c r="BX512" t="s">
        <v>1</v>
      </c>
      <c r="BY512" t="s">
        <v>1</v>
      </c>
      <c r="BZ512" t="s">
        <v>1</v>
      </c>
      <c r="CA512" t="s">
        <v>1</v>
      </c>
      <c r="CB512" t="s">
        <v>1</v>
      </c>
      <c r="CD512" t="e" cm="1">
        <f t="array" aca="1" ref="CD512" ca="1">eConcatenar(A512:CB512,"|")</f>
        <v>#NAME?</v>
      </c>
    </row>
    <row r="513" spans="1:82" x14ac:dyDescent="0.25">
      <c r="A513" t="s">
        <v>608</v>
      </c>
      <c r="B513" t="s">
        <v>1622</v>
      </c>
      <c r="C513">
        <v>3</v>
      </c>
      <c r="D513" t="s">
        <v>2153</v>
      </c>
      <c r="E513" t="s">
        <v>2158</v>
      </c>
      <c r="F513" t="s">
        <v>2162</v>
      </c>
      <c r="G513" t="s">
        <v>2465</v>
      </c>
      <c r="H513" t="s">
        <v>2934</v>
      </c>
      <c r="I513">
        <v>14800</v>
      </c>
      <c r="J513">
        <v>0</v>
      </c>
      <c r="K513">
        <v>100</v>
      </c>
      <c r="L513">
        <v>50</v>
      </c>
      <c r="M513">
        <v>2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 t="s">
        <v>3146</v>
      </c>
      <c r="AC513" t="s">
        <v>3420</v>
      </c>
      <c r="AD513" t="s">
        <v>3727</v>
      </c>
      <c r="AE513" t="s">
        <v>4</v>
      </c>
      <c r="AF513" t="s">
        <v>1</v>
      </c>
      <c r="AG513" t="s">
        <v>1</v>
      </c>
      <c r="AH513" t="s">
        <v>4465</v>
      </c>
      <c r="AI513" t="s">
        <v>2465</v>
      </c>
      <c r="AJ513" t="s">
        <v>1</v>
      </c>
      <c r="AK513">
        <v>9331325628</v>
      </c>
      <c r="AL513" t="s">
        <v>1</v>
      </c>
      <c r="AM513" t="s">
        <v>1</v>
      </c>
      <c r="AN513" t="s">
        <v>1</v>
      </c>
      <c r="AO513" t="s">
        <v>4465</v>
      </c>
      <c r="AP513" t="s">
        <v>1</v>
      </c>
      <c r="AQ513" t="s">
        <v>2</v>
      </c>
      <c r="AR513" t="s">
        <v>1</v>
      </c>
      <c r="AS513" t="s">
        <v>1</v>
      </c>
      <c r="AT513" t="s">
        <v>1</v>
      </c>
      <c r="AU513" t="s">
        <v>1</v>
      </c>
      <c r="AV513" t="s">
        <v>1</v>
      </c>
      <c r="AW513" t="s">
        <v>9</v>
      </c>
      <c r="AX513">
        <f>Tabla1[[#This Row],[precio del paquete]]-Tabla1[[#This Row],[Saldo_Deudor]]</f>
        <v>100</v>
      </c>
      <c r="AY513">
        <v>14700</v>
      </c>
      <c r="AZ513">
        <v>0</v>
      </c>
      <c r="BA513">
        <v>0</v>
      </c>
      <c r="BB513">
        <v>0</v>
      </c>
      <c r="BC513" t="s">
        <v>2937</v>
      </c>
      <c r="BD513" t="s">
        <v>4864</v>
      </c>
      <c r="BE513" t="s">
        <v>3</v>
      </c>
      <c r="BF513" t="s">
        <v>3</v>
      </c>
      <c r="BG513" t="s">
        <v>3</v>
      </c>
      <c r="BH513" t="s">
        <v>3</v>
      </c>
      <c r="BI513" t="s">
        <v>3</v>
      </c>
      <c r="BJ513" t="s">
        <v>4998</v>
      </c>
      <c r="BK513" t="s">
        <v>3</v>
      </c>
      <c r="BL513" t="s">
        <v>96</v>
      </c>
      <c r="BM513" t="s">
        <v>1</v>
      </c>
      <c r="BN513">
        <v>14800</v>
      </c>
      <c r="BO513" t="s">
        <v>1</v>
      </c>
      <c r="BP513" t="s">
        <v>1</v>
      </c>
      <c r="BQ513" t="s">
        <v>1</v>
      </c>
      <c r="BR513" t="s">
        <v>1</v>
      </c>
      <c r="BS513" t="s">
        <v>1</v>
      </c>
      <c r="BT513" t="s">
        <v>1</v>
      </c>
      <c r="BU513" t="s">
        <v>1</v>
      </c>
      <c r="BV513" t="s">
        <v>1</v>
      </c>
      <c r="BW513" t="s">
        <v>0</v>
      </c>
      <c r="BX513" t="s">
        <v>1</v>
      </c>
      <c r="BY513" t="s">
        <v>1</v>
      </c>
      <c r="BZ513" t="s">
        <v>1</v>
      </c>
      <c r="CA513" t="s">
        <v>1</v>
      </c>
      <c r="CB513" t="s">
        <v>1</v>
      </c>
      <c r="CD513" t="e" cm="1">
        <f t="array" aca="1" ref="CD513" ca="1">eConcatenar(A513:CB513,"|")</f>
        <v>#NAME?</v>
      </c>
    </row>
    <row r="514" spans="1:82" x14ac:dyDescent="0.25">
      <c r="A514" t="s">
        <v>609</v>
      </c>
      <c r="B514" t="s">
        <v>1623</v>
      </c>
      <c r="C514">
        <v>3</v>
      </c>
      <c r="D514" t="s">
        <v>2157</v>
      </c>
      <c r="E514" t="s">
        <v>2158</v>
      </c>
      <c r="F514" t="s">
        <v>2162</v>
      </c>
      <c r="G514" t="s">
        <v>2466</v>
      </c>
      <c r="H514" t="s">
        <v>2935</v>
      </c>
      <c r="I514">
        <v>11500</v>
      </c>
      <c r="J514">
        <v>0</v>
      </c>
      <c r="K514">
        <v>400</v>
      </c>
      <c r="L514">
        <v>50</v>
      </c>
      <c r="M514">
        <v>2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 t="s">
        <v>3189</v>
      </c>
      <c r="AC514" t="s">
        <v>3168</v>
      </c>
      <c r="AD514" t="s">
        <v>3190</v>
      </c>
      <c r="AE514" t="s">
        <v>4</v>
      </c>
      <c r="AF514" t="s">
        <v>1</v>
      </c>
      <c r="AG514" t="s">
        <v>1</v>
      </c>
      <c r="AH514" t="s">
        <v>4466</v>
      </c>
      <c r="AI514" t="s">
        <v>2466</v>
      </c>
      <c r="AJ514" t="s">
        <v>1</v>
      </c>
      <c r="AK514">
        <v>9333252890</v>
      </c>
      <c r="AL514" t="s">
        <v>1</v>
      </c>
      <c r="AM514" t="s">
        <v>1</v>
      </c>
      <c r="AN514" t="s">
        <v>1</v>
      </c>
      <c r="AO514" t="s">
        <v>4466</v>
      </c>
      <c r="AP514" t="s">
        <v>1</v>
      </c>
      <c r="AQ514" t="s">
        <v>2</v>
      </c>
      <c r="AR514" t="s">
        <v>1</v>
      </c>
      <c r="AS514" t="s">
        <v>1</v>
      </c>
      <c r="AT514" t="s">
        <v>1</v>
      </c>
      <c r="AU514" t="s">
        <v>1</v>
      </c>
      <c r="AV514" t="s">
        <v>1</v>
      </c>
      <c r="AW514" t="s">
        <v>9</v>
      </c>
      <c r="AX514">
        <f>Tabla1[[#This Row],[precio del paquete]]-Tabla1[[#This Row],[Saldo_Deudor]]</f>
        <v>10650</v>
      </c>
      <c r="AY514">
        <v>850</v>
      </c>
      <c r="AZ514">
        <v>0</v>
      </c>
      <c r="BA514">
        <v>0</v>
      </c>
      <c r="BB514">
        <v>0</v>
      </c>
      <c r="BC514" t="s">
        <v>2843</v>
      </c>
      <c r="BD514" t="s">
        <v>2883</v>
      </c>
      <c r="BE514" t="s">
        <v>3</v>
      </c>
      <c r="BF514" t="s">
        <v>3</v>
      </c>
      <c r="BG514" t="s">
        <v>3</v>
      </c>
      <c r="BH514" t="s">
        <v>3</v>
      </c>
      <c r="BI514" t="s">
        <v>3</v>
      </c>
      <c r="BJ514" t="s">
        <v>4990</v>
      </c>
      <c r="BK514" t="s">
        <v>3</v>
      </c>
      <c r="BL514" t="s">
        <v>96</v>
      </c>
      <c r="BM514" t="s">
        <v>1</v>
      </c>
      <c r="BN514">
        <v>11500</v>
      </c>
      <c r="BO514" t="s">
        <v>1</v>
      </c>
      <c r="BP514" t="s">
        <v>1</v>
      </c>
      <c r="BQ514" t="s">
        <v>1</v>
      </c>
      <c r="BR514" t="s">
        <v>1</v>
      </c>
      <c r="BS514" t="s">
        <v>1</v>
      </c>
      <c r="BT514" t="s">
        <v>1</v>
      </c>
      <c r="BU514" t="s">
        <v>1</v>
      </c>
      <c r="BV514" t="s">
        <v>1</v>
      </c>
      <c r="BW514" t="s">
        <v>0</v>
      </c>
      <c r="BX514" t="s">
        <v>1</v>
      </c>
      <c r="BY514" t="s">
        <v>1</v>
      </c>
      <c r="BZ514" t="s">
        <v>1</v>
      </c>
      <c r="CA514" t="s">
        <v>1</v>
      </c>
      <c r="CB514" t="s">
        <v>1</v>
      </c>
      <c r="CD514" t="e" cm="1">
        <f t="array" aca="1" ref="CD514" ca="1">eConcatenar(A514:CB514,"|")</f>
        <v>#NAME?</v>
      </c>
    </row>
    <row r="515" spans="1:82" x14ac:dyDescent="0.25">
      <c r="A515" t="s">
        <v>610</v>
      </c>
      <c r="B515" t="s">
        <v>1624</v>
      </c>
      <c r="C515">
        <v>3</v>
      </c>
      <c r="D515" t="s">
        <v>2153</v>
      </c>
      <c r="E515" t="s">
        <v>2158</v>
      </c>
      <c r="F515" t="s">
        <v>2162</v>
      </c>
      <c r="G515" t="s">
        <v>2466</v>
      </c>
      <c r="H515" t="s">
        <v>2743</v>
      </c>
      <c r="I515">
        <v>14800</v>
      </c>
      <c r="J515">
        <v>0</v>
      </c>
      <c r="K515">
        <v>200</v>
      </c>
      <c r="L515">
        <v>50</v>
      </c>
      <c r="M515">
        <v>2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 t="s">
        <v>3227</v>
      </c>
      <c r="AC515" t="s">
        <v>3256</v>
      </c>
      <c r="AD515" t="s">
        <v>3696</v>
      </c>
      <c r="AE515" t="s">
        <v>4</v>
      </c>
      <c r="AF515" t="s">
        <v>1</v>
      </c>
      <c r="AG515" t="s">
        <v>1</v>
      </c>
      <c r="AH515" t="s">
        <v>4467</v>
      </c>
      <c r="AI515" t="s">
        <v>2466</v>
      </c>
      <c r="AJ515" t="s">
        <v>1</v>
      </c>
      <c r="AK515">
        <v>9331187027</v>
      </c>
      <c r="AL515" t="s">
        <v>1</v>
      </c>
      <c r="AM515" t="s">
        <v>1</v>
      </c>
      <c r="AN515" t="s">
        <v>1</v>
      </c>
      <c r="AO515" t="s">
        <v>4467</v>
      </c>
      <c r="AP515" t="s">
        <v>1</v>
      </c>
      <c r="AQ515" t="s">
        <v>2</v>
      </c>
      <c r="AR515" t="s">
        <v>1</v>
      </c>
      <c r="AS515" t="s">
        <v>1</v>
      </c>
      <c r="AT515" t="s">
        <v>1</v>
      </c>
      <c r="AU515" t="s">
        <v>1</v>
      </c>
      <c r="AV515" t="s">
        <v>1</v>
      </c>
      <c r="AW515" t="s">
        <v>9</v>
      </c>
      <c r="AX515">
        <f>Tabla1[[#This Row],[precio del paquete]]-Tabla1[[#This Row],[Saldo_Deudor]]</f>
        <v>7700</v>
      </c>
      <c r="AY515">
        <v>7100</v>
      </c>
      <c r="AZ515">
        <v>0</v>
      </c>
      <c r="BA515">
        <v>0</v>
      </c>
      <c r="BB515">
        <v>0</v>
      </c>
      <c r="BC515" t="s">
        <v>2797</v>
      </c>
      <c r="BD515" t="s">
        <v>4952</v>
      </c>
      <c r="BE515" t="s">
        <v>3</v>
      </c>
      <c r="BF515" t="s">
        <v>3</v>
      </c>
      <c r="BG515" t="s">
        <v>3</v>
      </c>
      <c r="BH515" t="s">
        <v>3</v>
      </c>
      <c r="BI515" t="s">
        <v>3</v>
      </c>
      <c r="BJ515" t="s">
        <v>4998</v>
      </c>
      <c r="BK515" t="s">
        <v>3</v>
      </c>
      <c r="BL515" t="s">
        <v>96</v>
      </c>
      <c r="BM515" t="s">
        <v>1</v>
      </c>
      <c r="BN515">
        <v>14800</v>
      </c>
      <c r="BO515" t="s">
        <v>1</v>
      </c>
      <c r="BP515" t="s">
        <v>1</v>
      </c>
      <c r="BQ515" t="s">
        <v>1</v>
      </c>
      <c r="BR515" t="s">
        <v>1</v>
      </c>
      <c r="BS515" t="s">
        <v>1</v>
      </c>
      <c r="BT515" t="s">
        <v>1</v>
      </c>
      <c r="BU515" t="s">
        <v>1</v>
      </c>
      <c r="BV515" t="s">
        <v>1</v>
      </c>
      <c r="BW515" t="s">
        <v>0</v>
      </c>
      <c r="BX515" t="s">
        <v>1</v>
      </c>
      <c r="BY515" t="s">
        <v>1</v>
      </c>
      <c r="BZ515" t="s">
        <v>1</v>
      </c>
      <c r="CA515" t="s">
        <v>1</v>
      </c>
      <c r="CB515" t="s">
        <v>1</v>
      </c>
      <c r="CD515" t="e" cm="1">
        <f t="array" aca="1" ref="CD515" ca="1">eConcatenar(A515:CB515,"|")</f>
        <v>#NAME?</v>
      </c>
    </row>
    <row r="516" spans="1:82" x14ac:dyDescent="0.25">
      <c r="A516" t="s">
        <v>611</v>
      </c>
      <c r="B516" t="s">
        <v>1625</v>
      </c>
      <c r="C516">
        <v>3</v>
      </c>
      <c r="D516" t="s">
        <v>2157</v>
      </c>
      <c r="E516" t="s">
        <v>2158</v>
      </c>
      <c r="F516" t="s">
        <v>2162</v>
      </c>
      <c r="G516" t="s">
        <v>2467</v>
      </c>
      <c r="H516" t="s">
        <v>2706</v>
      </c>
      <c r="I516">
        <v>12900</v>
      </c>
      <c r="J516">
        <v>0</v>
      </c>
      <c r="K516">
        <v>200</v>
      </c>
      <c r="L516">
        <v>50</v>
      </c>
      <c r="M516">
        <v>1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 t="s">
        <v>5</v>
      </c>
      <c r="AC516" t="s">
        <v>3417</v>
      </c>
      <c r="AD516" t="s">
        <v>3728</v>
      </c>
      <c r="AE516" t="s">
        <v>4</v>
      </c>
      <c r="AF516" t="s">
        <v>1</v>
      </c>
      <c r="AG516" t="s">
        <v>1</v>
      </c>
      <c r="AH516" t="s">
        <v>4468</v>
      </c>
      <c r="AI516" t="s">
        <v>2467</v>
      </c>
      <c r="AJ516" t="s">
        <v>1</v>
      </c>
      <c r="AK516">
        <v>9932249224</v>
      </c>
      <c r="AL516" t="s">
        <v>1</v>
      </c>
      <c r="AM516" t="s">
        <v>1</v>
      </c>
      <c r="AN516" t="s">
        <v>1</v>
      </c>
      <c r="AO516" t="s">
        <v>4468</v>
      </c>
      <c r="AP516" t="s">
        <v>1</v>
      </c>
      <c r="AQ516" t="s">
        <v>2</v>
      </c>
      <c r="AR516" t="s">
        <v>1</v>
      </c>
      <c r="AS516" t="s">
        <v>1</v>
      </c>
      <c r="AT516" t="s">
        <v>1</v>
      </c>
      <c r="AU516" t="s">
        <v>1</v>
      </c>
      <c r="AV516" t="s">
        <v>1</v>
      </c>
      <c r="AW516" t="s">
        <v>9</v>
      </c>
      <c r="AX516">
        <f>Tabla1[[#This Row],[precio del paquete]]-Tabla1[[#This Row],[Saldo_Deudor]]</f>
        <v>8050</v>
      </c>
      <c r="AY516">
        <v>4850</v>
      </c>
      <c r="AZ516">
        <v>0</v>
      </c>
      <c r="BA516">
        <v>0</v>
      </c>
      <c r="BB516">
        <v>0</v>
      </c>
      <c r="BC516" t="s">
        <v>2711</v>
      </c>
      <c r="BD516" t="s">
        <v>2712</v>
      </c>
      <c r="BE516" t="s">
        <v>3</v>
      </c>
      <c r="BF516" t="s">
        <v>3</v>
      </c>
      <c r="BG516" t="s">
        <v>3</v>
      </c>
      <c r="BH516" t="s">
        <v>3</v>
      </c>
      <c r="BI516" t="s">
        <v>3</v>
      </c>
      <c r="BJ516" t="s">
        <v>4990</v>
      </c>
      <c r="BK516" t="s">
        <v>3</v>
      </c>
      <c r="BL516" t="s">
        <v>96</v>
      </c>
      <c r="BM516" t="s">
        <v>1</v>
      </c>
      <c r="BN516">
        <v>12900</v>
      </c>
      <c r="BO516" t="s">
        <v>1</v>
      </c>
      <c r="BP516" t="s">
        <v>1</v>
      </c>
      <c r="BQ516" t="s">
        <v>1</v>
      </c>
      <c r="BR516" t="s">
        <v>1</v>
      </c>
      <c r="BS516" t="s">
        <v>1</v>
      </c>
      <c r="BT516" t="s">
        <v>1</v>
      </c>
      <c r="BU516" t="s">
        <v>1</v>
      </c>
      <c r="BV516" t="s">
        <v>1</v>
      </c>
      <c r="BW516" t="s">
        <v>0</v>
      </c>
      <c r="BX516" t="s">
        <v>1</v>
      </c>
      <c r="BY516" t="s">
        <v>1</v>
      </c>
      <c r="BZ516" t="s">
        <v>1</v>
      </c>
      <c r="CA516" t="s">
        <v>1</v>
      </c>
      <c r="CB516" t="s">
        <v>1</v>
      </c>
      <c r="CD516" t="e" cm="1">
        <f t="array" aca="1" ref="CD516" ca="1">eConcatenar(A516:CB516,"|")</f>
        <v>#NAME?</v>
      </c>
    </row>
    <row r="517" spans="1:82" x14ac:dyDescent="0.25">
      <c r="A517" t="s">
        <v>612</v>
      </c>
      <c r="B517" t="s">
        <v>1626</v>
      </c>
      <c r="C517">
        <v>3</v>
      </c>
      <c r="D517" t="s">
        <v>2153</v>
      </c>
      <c r="E517" t="s">
        <v>10</v>
      </c>
      <c r="F517" t="s">
        <v>2162</v>
      </c>
      <c r="G517" t="s">
        <v>2468</v>
      </c>
      <c r="H517" t="s">
        <v>2931</v>
      </c>
      <c r="I517">
        <v>14800</v>
      </c>
      <c r="J517">
        <v>0</v>
      </c>
      <c r="K517">
        <v>500</v>
      </c>
      <c r="L517">
        <v>50</v>
      </c>
      <c r="M517">
        <v>2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 t="s">
        <v>5</v>
      </c>
      <c r="AC517" t="s">
        <v>3562</v>
      </c>
      <c r="AD517" t="s">
        <v>3527</v>
      </c>
      <c r="AE517" t="s">
        <v>4</v>
      </c>
      <c r="AF517" t="s">
        <v>1</v>
      </c>
      <c r="AG517" t="s">
        <v>1</v>
      </c>
      <c r="AH517" t="s">
        <v>4469</v>
      </c>
      <c r="AI517" t="s">
        <v>2468</v>
      </c>
      <c r="AJ517" t="s">
        <v>1</v>
      </c>
      <c r="AK517">
        <v>9331550667</v>
      </c>
      <c r="AL517" t="s">
        <v>1</v>
      </c>
      <c r="AM517" t="s">
        <v>1</v>
      </c>
      <c r="AN517" t="s">
        <v>1</v>
      </c>
      <c r="AO517" t="s">
        <v>4469</v>
      </c>
      <c r="AP517" t="s">
        <v>1</v>
      </c>
      <c r="AQ517" t="s">
        <v>2</v>
      </c>
      <c r="AR517" t="s">
        <v>1</v>
      </c>
      <c r="AS517" t="s">
        <v>1</v>
      </c>
      <c r="AT517" t="s">
        <v>1</v>
      </c>
      <c r="AU517" t="s">
        <v>1</v>
      </c>
      <c r="AV517" t="s">
        <v>1</v>
      </c>
      <c r="AW517" t="s">
        <v>9</v>
      </c>
      <c r="AX517">
        <f>Tabla1[[#This Row],[precio del paquete]]-Tabla1[[#This Row],[Saldo_Deudor]]</f>
        <v>1400</v>
      </c>
      <c r="AY517">
        <v>13400</v>
      </c>
      <c r="AZ517">
        <v>0</v>
      </c>
      <c r="BA517">
        <v>0</v>
      </c>
      <c r="BB517">
        <v>0</v>
      </c>
      <c r="BC517" t="s">
        <v>2773</v>
      </c>
      <c r="BD517" t="s">
        <v>2978</v>
      </c>
      <c r="BE517" t="s">
        <v>3</v>
      </c>
      <c r="BF517" t="s">
        <v>3</v>
      </c>
      <c r="BG517" t="s">
        <v>3</v>
      </c>
      <c r="BH517" t="s">
        <v>3</v>
      </c>
      <c r="BI517" t="s">
        <v>3</v>
      </c>
      <c r="BJ517" t="s">
        <v>4998</v>
      </c>
      <c r="BK517" t="s">
        <v>3</v>
      </c>
      <c r="BL517" t="s">
        <v>96</v>
      </c>
      <c r="BM517" t="s">
        <v>1</v>
      </c>
      <c r="BN517">
        <v>14800</v>
      </c>
      <c r="BO517" t="s">
        <v>1</v>
      </c>
      <c r="BP517" t="s">
        <v>1</v>
      </c>
      <c r="BQ517" t="s">
        <v>1</v>
      </c>
      <c r="BR517" t="s">
        <v>1</v>
      </c>
      <c r="BS517" t="s">
        <v>1</v>
      </c>
      <c r="BT517" t="s">
        <v>1</v>
      </c>
      <c r="BU517" t="s">
        <v>1</v>
      </c>
      <c r="BV517" t="s">
        <v>1</v>
      </c>
      <c r="BW517" t="s">
        <v>0</v>
      </c>
      <c r="BX517" t="s">
        <v>1</v>
      </c>
      <c r="BY517" t="s">
        <v>1</v>
      </c>
      <c r="BZ517" t="s">
        <v>1</v>
      </c>
      <c r="CA517" t="s">
        <v>1</v>
      </c>
      <c r="CB517" t="s">
        <v>1</v>
      </c>
      <c r="CD517" t="e" cm="1">
        <f t="array" aca="1" ref="CD517" ca="1">eConcatenar(A517:CB517,"|")</f>
        <v>#NAME?</v>
      </c>
    </row>
    <row r="518" spans="1:82" x14ac:dyDescent="0.25">
      <c r="A518" t="s">
        <v>613</v>
      </c>
      <c r="B518" t="s">
        <v>1627</v>
      </c>
      <c r="C518">
        <v>3</v>
      </c>
      <c r="D518" t="s">
        <v>2156</v>
      </c>
      <c r="E518" t="s">
        <v>10</v>
      </c>
      <c r="F518" t="s">
        <v>2162</v>
      </c>
      <c r="G518" t="s">
        <v>2468</v>
      </c>
      <c r="H518" t="s">
        <v>2936</v>
      </c>
      <c r="I518">
        <v>19800</v>
      </c>
      <c r="J518">
        <v>0</v>
      </c>
      <c r="K518">
        <v>400</v>
      </c>
      <c r="L518">
        <v>50</v>
      </c>
      <c r="M518">
        <v>2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 t="s">
        <v>3168</v>
      </c>
      <c r="AC518" t="s">
        <v>5</v>
      </c>
      <c r="AD518" t="s">
        <v>3391</v>
      </c>
      <c r="AE518" t="s">
        <v>4</v>
      </c>
      <c r="AF518" t="s">
        <v>1</v>
      </c>
      <c r="AG518" t="s">
        <v>1</v>
      </c>
      <c r="AH518" t="s">
        <v>2468</v>
      </c>
      <c r="AI518" t="s">
        <v>2468</v>
      </c>
      <c r="AJ518" t="s">
        <v>1</v>
      </c>
      <c r="AK518">
        <v>9331545057</v>
      </c>
      <c r="AL518" t="s">
        <v>1</v>
      </c>
      <c r="AM518" t="s">
        <v>1</v>
      </c>
      <c r="AN518" t="s">
        <v>1</v>
      </c>
      <c r="AO518" t="s">
        <v>2468</v>
      </c>
      <c r="AP518" t="s">
        <v>1</v>
      </c>
      <c r="AQ518" t="s">
        <v>2</v>
      </c>
      <c r="AR518" t="s">
        <v>1</v>
      </c>
      <c r="AS518" t="s">
        <v>1</v>
      </c>
      <c r="AT518" t="s">
        <v>1</v>
      </c>
      <c r="AU518" t="s">
        <v>1</v>
      </c>
      <c r="AV518" t="s">
        <v>1</v>
      </c>
      <c r="AW518" t="s">
        <v>9</v>
      </c>
      <c r="AX518">
        <f>Tabla1[[#This Row],[precio del paquete]]-Tabla1[[#This Row],[Saldo_Deudor]]</f>
        <v>5400</v>
      </c>
      <c r="AY518">
        <v>14400</v>
      </c>
      <c r="AZ518">
        <v>0</v>
      </c>
      <c r="BA518">
        <v>0</v>
      </c>
      <c r="BB518">
        <v>0</v>
      </c>
      <c r="BC518" t="s">
        <v>2904</v>
      </c>
      <c r="BD518" t="s">
        <v>4927</v>
      </c>
      <c r="BE518" t="s">
        <v>3</v>
      </c>
      <c r="BF518" t="s">
        <v>3</v>
      </c>
      <c r="BG518" t="s">
        <v>3</v>
      </c>
      <c r="BH518" t="s">
        <v>3</v>
      </c>
      <c r="BI518" t="s">
        <v>3</v>
      </c>
      <c r="BJ518" t="s">
        <v>5006</v>
      </c>
      <c r="BK518" t="s">
        <v>3</v>
      </c>
      <c r="BL518" t="s">
        <v>96</v>
      </c>
      <c r="BM518" t="s">
        <v>1</v>
      </c>
      <c r="BN518">
        <v>19800</v>
      </c>
      <c r="BO518" t="s">
        <v>1</v>
      </c>
      <c r="BP518" t="s">
        <v>1</v>
      </c>
      <c r="BQ518" t="s">
        <v>1</v>
      </c>
      <c r="BR518" t="s">
        <v>1</v>
      </c>
      <c r="BS518" t="s">
        <v>1</v>
      </c>
      <c r="BT518" t="s">
        <v>1</v>
      </c>
      <c r="BU518" t="s">
        <v>1</v>
      </c>
      <c r="BV518" t="s">
        <v>1</v>
      </c>
      <c r="BW518" t="s">
        <v>0</v>
      </c>
      <c r="BX518" t="s">
        <v>1</v>
      </c>
      <c r="BY518" t="s">
        <v>1</v>
      </c>
      <c r="BZ518" t="s">
        <v>1</v>
      </c>
      <c r="CA518" t="s">
        <v>1</v>
      </c>
      <c r="CB518" t="s">
        <v>1</v>
      </c>
      <c r="CD518" t="e" cm="1">
        <f t="array" aca="1" ref="CD518" ca="1">eConcatenar(A518:CB518,"|")</f>
        <v>#NAME?</v>
      </c>
    </row>
    <row r="519" spans="1:82" x14ac:dyDescent="0.25">
      <c r="A519" t="s">
        <v>614</v>
      </c>
      <c r="B519" t="s">
        <v>1628</v>
      </c>
      <c r="C519">
        <v>3</v>
      </c>
      <c r="D519" t="s">
        <v>2155</v>
      </c>
      <c r="E519" t="s">
        <v>10</v>
      </c>
      <c r="F519" t="s">
        <v>2162</v>
      </c>
      <c r="G519" t="s">
        <v>2468</v>
      </c>
      <c r="H519" t="s">
        <v>2713</v>
      </c>
      <c r="I519">
        <v>12900</v>
      </c>
      <c r="J519">
        <v>0</v>
      </c>
      <c r="K519">
        <v>400</v>
      </c>
      <c r="L519">
        <v>50</v>
      </c>
      <c r="M519">
        <v>2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 t="s">
        <v>3168</v>
      </c>
      <c r="AC519" t="s">
        <v>3729</v>
      </c>
      <c r="AD519" t="s">
        <v>3269</v>
      </c>
      <c r="AE519" t="s">
        <v>4</v>
      </c>
      <c r="AF519" t="s">
        <v>1</v>
      </c>
      <c r="AG519" t="s">
        <v>1</v>
      </c>
      <c r="AH519" t="s">
        <v>2468</v>
      </c>
      <c r="AI519" t="s">
        <v>2468</v>
      </c>
      <c r="AJ519" t="s">
        <v>1</v>
      </c>
      <c r="AK519">
        <v>9932757642</v>
      </c>
      <c r="AL519" t="s">
        <v>1</v>
      </c>
      <c r="AM519" t="s">
        <v>1</v>
      </c>
      <c r="AN519" t="s">
        <v>1</v>
      </c>
      <c r="AO519" t="s">
        <v>2468</v>
      </c>
      <c r="AP519" t="s">
        <v>1</v>
      </c>
      <c r="AQ519" t="s">
        <v>2</v>
      </c>
      <c r="AR519" t="s">
        <v>1</v>
      </c>
      <c r="AS519" t="s">
        <v>1</v>
      </c>
      <c r="AT519" t="s">
        <v>1</v>
      </c>
      <c r="AU519" t="s">
        <v>1</v>
      </c>
      <c r="AV519" t="s">
        <v>1</v>
      </c>
      <c r="AW519" t="s">
        <v>9</v>
      </c>
      <c r="AX519">
        <f>Tabla1[[#This Row],[precio del paquete]]-Tabla1[[#This Row],[Saldo_Deudor]]</f>
        <v>5700</v>
      </c>
      <c r="AY519">
        <v>7200</v>
      </c>
      <c r="AZ519">
        <v>0</v>
      </c>
      <c r="BA519">
        <v>0</v>
      </c>
      <c r="BB519">
        <v>0</v>
      </c>
      <c r="BC519" t="s">
        <v>2904</v>
      </c>
      <c r="BD519" t="s">
        <v>4927</v>
      </c>
      <c r="BE519" t="s">
        <v>3</v>
      </c>
      <c r="BF519" t="s">
        <v>3</v>
      </c>
      <c r="BG519" t="s">
        <v>3</v>
      </c>
      <c r="BH519" t="s">
        <v>3</v>
      </c>
      <c r="BI519" t="s">
        <v>3</v>
      </c>
      <c r="BJ519" t="s">
        <v>5006</v>
      </c>
      <c r="BK519" t="s">
        <v>3</v>
      </c>
      <c r="BL519" t="s">
        <v>96</v>
      </c>
      <c r="BM519" t="s">
        <v>1</v>
      </c>
      <c r="BN519">
        <v>12900</v>
      </c>
      <c r="BO519" t="s">
        <v>1</v>
      </c>
      <c r="BP519" t="s">
        <v>1</v>
      </c>
      <c r="BQ519" t="s">
        <v>1</v>
      </c>
      <c r="BR519" t="s">
        <v>1</v>
      </c>
      <c r="BS519" t="s">
        <v>1</v>
      </c>
      <c r="BT519" t="s">
        <v>1</v>
      </c>
      <c r="BU519" t="s">
        <v>1</v>
      </c>
      <c r="BV519" t="s">
        <v>1</v>
      </c>
      <c r="BW519" t="s">
        <v>0</v>
      </c>
      <c r="BX519" t="s">
        <v>1</v>
      </c>
      <c r="BY519" t="s">
        <v>1</v>
      </c>
      <c r="BZ519" t="s">
        <v>1</v>
      </c>
      <c r="CA519" t="s">
        <v>1</v>
      </c>
      <c r="CB519" t="s">
        <v>1</v>
      </c>
      <c r="CD519" t="e" cm="1">
        <f t="array" aca="1" ref="CD519" ca="1">eConcatenar(A519:CB519,"|")</f>
        <v>#NAME?</v>
      </c>
    </row>
    <row r="520" spans="1:82" x14ac:dyDescent="0.25">
      <c r="A520" t="s">
        <v>615</v>
      </c>
      <c r="B520" t="s">
        <v>1629</v>
      </c>
      <c r="C520">
        <v>3</v>
      </c>
      <c r="D520" t="s">
        <v>2153</v>
      </c>
      <c r="E520" t="s">
        <v>10</v>
      </c>
      <c r="F520" t="s">
        <v>2162</v>
      </c>
      <c r="G520" t="s">
        <v>2468</v>
      </c>
      <c r="H520" t="s">
        <v>2868</v>
      </c>
      <c r="I520">
        <v>14800</v>
      </c>
      <c r="J520">
        <v>0</v>
      </c>
      <c r="K520">
        <v>200</v>
      </c>
      <c r="L520">
        <v>50</v>
      </c>
      <c r="M520">
        <v>2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 t="s">
        <v>3137</v>
      </c>
      <c r="AC520" t="s">
        <v>3117</v>
      </c>
      <c r="AD520" t="s">
        <v>3448</v>
      </c>
      <c r="AE520" t="s">
        <v>4</v>
      </c>
      <c r="AF520" t="s">
        <v>1</v>
      </c>
      <c r="AG520" t="s">
        <v>1</v>
      </c>
      <c r="AH520" t="s">
        <v>4470</v>
      </c>
      <c r="AI520" t="s">
        <v>2468</v>
      </c>
      <c r="AJ520" t="s">
        <v>1</v>
      </c>
      <c r="AK520">
        <v>9334064405</v>
      </c>
      <c r="AL520" t="s">
        <v>1</v>
      </c>
      <c r="AM520" t="s">
        <v>1</v>
      </c>
      <c r="AN520" t="s">
        <v>1</v>
      </c>
      <c r="AO520" t="s">
        <v>4470</v>
      </c>
      <c r="AP520" t="s">
        <v>1</v>
      </c>
      <c r="AQ520" t="s">
        <v>2</v>
      </c>
      <c r="AR520" t="s">
        <v>1</v>
      </c>
      <c r="AS520" t="s">
        <v>1</v>
      </c>
      <c r="AT520" t="s">
        <v>1</v>
      </c>
      <c r="AU520" t="s">
        <v>1</v>
      </c>
      <c r="AV520" t="s">
        <v>1</v>
      </c>
      <c r="AW520" t="s">
        <v>9</v>
      </c>
      <c r="AX520">
        <f>Tabla1[[#This Row],[precio del paquete]]-Tabla1[[#This Row],[Saldo_Deudor]]</f>
        <v>2300</v>
      </c>
      <c r="AY520">
        <v>12500</v>
      </c>
      <c r="AZ520">
        <v>0</v>
      </c>
      <c r="BA520">
        <v>0</v>
      </c>
      <c r="BB520">
        <v>0</v>
      </c>
      <c r="BC520" t="s">
        <v>2904</v>
      </c>
      <c r="BD520" t="s">
        <v>4927</v>
      </c>
      <c r="BE520" t="s">
        <v>3</v>
      </c>
      <c r="BF520" t="s">
        <v>3</v>
      </c>
      <c r="BG520" t="s">
        <v>3</v>
      </c>
      <c r="BH520" t="s">
        <v>3</v>
      </c>
      <c r="BI520" t="s">
        <v>3</v>
      </c>
      <c r="BJ520" t="s">
        <v>5006</v>
      </c>
      <c r="BK520" t="s">
        <v>3</v>
      </c>
      <c r="BL520" t="s">
        <v>96</v>
      </c>
      <c r="BM520" t="s">
        <v>1</v>
      </c>
      <c r="BN520">
        <v>14800</v>
      </c>
      <c r="BO520" t="s">
        <v>1</v>
      </c>
      <c r="BP520" t="s">
        <v>1</v>
      </c>
      <c r="BQ520" t="s">
        <v>1</v>
      </c>
      <c r="BR520" t="s">
        <v>1</v>
      </c>
      <c r="BS520" t="s">
        <v>1</v>
      </c>
      <c r="BT520" t="s">
        <v>1</v>
      </c>
      <c r="BU520" t="s">
        <v>1</v>
      </c>
      <c r="BV520" t="s">
        <v>1</v>
      </c>
      <c r="BW520" t="s">
        <v>0</v>
      </c>
      <c r="BX520" t="s">
        <v>1</v>
      </c>
      <c r="BY520" t="s">
        <v>1</v>
      </c>
      <c r="BZ520" t="s">
        <v>1</v>
      </c>
      <c r="CA520" t="s">
        <v>1</v>
      </c>
      <c r="CB520" t="s">
        <v>1</v>
      </c>
      <c r="CD520" t="e" cm="1">
        <f t="array" aca="1" ref="CD520" ca="1">eConcatenar(A520:CB520,"|")</f>
        <v>#NAME?</v>
      </c>
    </row>
    <row r="521" spans="1:82" x14ac:dyDescent="0.25">
      <c r="A521" t="s">
        <v>616</v>
      </c>
      <c r="B521" t="s">
        <v>1630</v>
      </c>
      <c r="C521">
        <v>3</v>
      </c>
      <c r="D521" t="s">
        <v>2153</v>
      </c>
      <c r="E521" t="s">
        <v>10</v>
      </c>
      <c r="F521" t="s">
        <v>2162</v>
      </c>
      <c r="G521" t="s">
        <v>2468</v>
      </c>
      <c r="H521" t="s">
        <v>2937</v>
      </c>
      <c r="I521">
        <v>14800</v>
      </c>
      <c r="J521">
        <v>0</v>
      </c>
      <c r="K521">
        <v>200</v>
      </c>
      <c r="L521">
        <v>50</v>
      </c>
      <c r="M521">
        <v>2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 t="s">
        <v>3214</v>
      </c>
      <c r="AC521" t="s">
        <v>3284</v>
      </c>
      <c r="AD521" t="s">
        <v>3730</v>
      </c>
      <c r="AE521" t="s">
        <v>4</v>
      </c>
      <c r="AF521" t="s">
        <v>1</v>
      </c>
      <c r="AG521" t="s">
        <v>1</v>
      </c>
      <c r="AH521" t="s">
        <v>4471</v>
      </c>
      <c r="AI521" t="s">
        <v>2468</v>
      </c>
      <c r="AJ521" t="s">
        <v>1</v>
      </c>
      <c r="AK521">
        <v>9811317800</v>
      </c>
      <c r="AL521" t="s">
        <v>1</v>
      </c>
      <c r="AM521" t="s">
        <v>1</v>
      </c>
      <c r="AN521" t="s">
        <v>1</v>
      </c>
      <c r="AO521" t="s">
        <v>4471</v>
      </c>
      <c r="AP521" t="s">
        <v>1</v>
      </c>
      <c r="AQ521" t="s">
        <v>2</v>
      </c>
      <c r="AR521" t="s">
        <v>1</v>
      </c>
      <c r="AS521" t="s">
        <v>1</v>
      </c>
      <c r="AT521" t="s">
        <v>1</v>
      </c>
      <c r="AU521" t="s">
        <v>1</v>
      </c>
      <c r="AV521" t="s">
        <v>1</v>
      </c>
      <c r="AW521" t="s">
        <v>9</v>
      </c>
      <c r="AX521">
        <f>Tabla1[[#This Row],[precio del paquete]]-Tabla1[[#This Row],[Saldo_Deudor]]</f>
        <v>2900</v>
      </c>
      <c r="AY521">
        <v>11900</v>
      </c>
      <c r="AZ521">
        <v>0</v>
      </c>
      <c r="BA521">
        <v>0</v>
      </c>
      <c r="BB521">
        <v>0</v>
      </c>
      <c r="BC521" t="s">
        <v>2744</v>
      </c>
      <c r="BD521" t="s">
        <v>4953</v>
      </c>
      <c r="BE521" t="s">
        <v>3</v>
      </c>
      <c r="BF521" t="s">
        <v>3</v>
      </c>
      <c r="BG521" t="s">
        <v>3</v>
      </c>
      <c r="BH521" t="s">
        <v>3</v>
      </c>
      <c r="BI521" t="s">
        <v>3</v>
      </c>
      <c r="BJ521" t="s">
        <v>5006</v>
      </c>
      <c r="BK521" t="s">
        <v>3</v>
      </c>
      <c r="BL521" t="s">
        <v>96</v>
      </c>
      <c r="BM521" t="s">
        <v>1</v>
      </c>
      <c r="BN521">
        <v>14800</v>
      </c>
      <c r="BO521" t="s">
        <v>1</v>
      </c>
      <c r="BP521" t="s">
        <v>1</v>
      </c>
      <c r="BQ521" t="s">
        <v>1</v>
      </c>
      <c r="BR521" t="s">
        <v>1</v>
      </c>
      <c r="BS521" t="s">
        <v>1</v>
      </c>
      <c r="BT521" t="s">
        <v>1</v>
      </c>
      <c r="BU521" t="s">
        <v>1</v>
      </c>
      <c r="BV521" t="s">
        <v>1</v>
      </c>
      <c r="BW521" t="s">
        <v>0</v>
      </c>
      <c r="BX521" t="s">
        <v>1</v>
      </c>
      <c r="BY521" t="s">
        <v>1</v>
      </c>
      <c r="BZ521" t="s">
        <v>1</v>
      </c>
      <c r="CA521" t="s">
        <v>1</v>
      </c>
      <c r="CB521" t="s">
        <v>1</v>
      </c>
      <c r="CD521" t="e" cm="1">
        <f t="array" aca="1" ref="CD521" ca="1">eConcatenar(A521:CB521,"|")</f>
        <v>#NAME?</v>
      </c>
    </row>
    <row r="522" spans="1:82" x14ac:dyDescent="0.25">
      <c r="A522" t="s">
        <v>617</v>
      </c>
      <c r="B522" t="s">
        <v>1631</v>
      </c>
      <c r="C522">
        <v>3</v>
      </c>
      <c r="D522" t="s">
        <v>2155</v>
      </c>
      <c r="E522" t="s">
        <v>10</v>
      </c>
      <c r="F522" t="s">
        <v>2162</v>
      </c>
      <c r="G522" t="s">
        <v>2468</v>
      </c>
      <c r="H522" t="s">
        <v>2763</v>
      </c>
      <c r="I522">
        <v>12900</v>
      </c>
      <c r="J522">
        <v>0</v>
      </c>
      <c r="K522">
        <v>200</v>
      </c>
      <c r="L522">
        <v>50</v>
      </c>
      <c r="M522">
        <v>2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 t="s">
        <v>3177</v>
      </c>
      <c r="AC522" t="s">
        <v>3478</v>
      </c>
      <c r="AD522" t="s">
        <v>3731</v>
      </c>
      <c r="AE522" t="s">
        <v>4</v>
      </c>
      <c r="AF522" t="s">
        <v>1</v>
      </c>
      <c r="AG522" t="s">
        <v>1</v>
      </c>
      <c r="AH522" t="s">
        <v>4472</v>
      </c>
      <c r="AI522" t="s">
        <v>2468</v>
      </c>
      <c r="AJ522" t="s">
        <v>1</v>
      </c>
      <c r="AK522">
        <v>9933028028</v>
      </c>
      <c r="AL522" t="s">
        <v>1</v>
      </c>
      <c r="AM522" t="s">
        <v>1</v>
      </c>
      <c r="AN522" t="s">
        <v>1</v>
      </c>
      <c r="AO522" t="s">
        <v>4472</v>
      </c>
      <c r="AP522" t="s">
        <v>1</v>
      </c>
      <c r="AQ522" t="s">
        <v>2</v>
      </c>
      <c r="AR522" t="s">
        <v>1</v>
      </c>
      <c r="AS522" t="s">
        <v>1</v>
      </c>
      <c r="AT522" t="s">
        <v>1</v>
      </c>
      <c r="AU522" t="s">
        <v>1</v>
      </c>
      <c r="AV522" t="s">
        <v>1</v>
      </c>
      <c r="AW522" t="s">
        <v>9</v>
      </c>
      <c r="AX522">
        <f>Tabla1[[#This Row],[precio del paquete]]-Tabla1[[#This Row],[Saldo_Deudor]]</f>
        <v>3100</v>
      </c>
      <c r="AY522">
        <v>9800</v>
      </c>
      <c r="AZ522">
        <v>0</v>
      </c>
      <c r="BA522">
        <v>0</v>
      </c>
      <c r="BB522">
        <v>0</v>
      </c>
      <c r="BC522" t="s">
        <v>2727</v>
      </c>
      <c r="BD522" t="s">
        <v>4838</v>
      </c>
      <c r="BE522" t="s">
        <v>3</v>
      </c>
      <c r="BF522" t="s">
        <v>3</v>
      </c>
      <c r="BG522" t="s">
        <v>3</v>
      </c>
      <c r="BH522" t="s">
        <v>3</v>
      </c>
      <c r="BI522" t="s">
        <v>3</v>
      </c>
      <c r="BJ522" t="s">
        <v>5006</v>
      </c>
      <c r="BK522" t="s">
        <v>3</v>
      </c>
      <c r="BL522" t="s">
        <v>96</v>
      </c>
      <c r="BM522" t="s">
        <v>1</v>
      </c>
      <c r="BN522">
        <v>12900</v>
      </c>
      <c r="BO522" t="s">
        <v>1</v>
      </c>
      <c r="BP522" t="s">
        <v>1</v>
      </c>
      <c r="BQ522" t="s">
        <v>1</v>
      </c>
      <c r="BR522" t="s">
        <v>1</v>
      </c>
      <c r="BS522" t="s">
        <v>1</v>
      </c>
      <c r="BT522" t="s">
        <v>1</v>
      </c>
      <c r="BU522" t="s">
        <v>1</v>
      </c>
      <c r="BV522" t="s">
        <v>1</v>
      </c>
      <c r="BW522" t="s">
        <v>0</v>
      </c>
      <c r="BX522" t="s">
        <v>1</v>
      </c>
      <c r="BY522" t="s">
        <v>1</v>
      </c>
      <c r="BZ522" t="s">
        <v>1</v>
      </c>
      <c r="CA522" t="s">
        <v>1</v>
      </c>
      <c r="CB522" t="s">
        <v>1</v>
      </c>
      <c r="CD522" t="e" cm="1">
        <f t="array" aca="1" ref="CD522" ca="1">eConcatenar(A522:CB522,"|")</f>
        <v>#NAME?</v>
      </c>
    </row>
    <row r="523" spans="1:82" x14ac:dyDescent="0.25">
      <c r="A523" t="s">
        <v>618</v>
      </c>
      <c r="B523" t="s">
        <v>1632</v>
      </c>
      <c r="C523">
        <v>3</v>
      </c>
      <c r="D523" t="s">
        <v>2155</v>
      </c>
      <c r="E523" t="s">
        <v>10</v>
      </c>
      <c r="F523" t="s">
        <v>2162</v>
      </c>
      <c r="G523" t="s">
        <v>2468</v>
      </c>
      <c r="H523" t="s">
        <v>2938</v>
      </c>
      <c r="I523">
        <v>12900</v>
      </c>
      <c r="J523">
        <v>0</v>
      </c>
      <c r="K523">
        <v>400</v>
      </c>
      <c r="L523">
        <v>50</v>
      </c>
      <c r="M523">
        <v>2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 t="s">
        <v>6</v>
      </c>
      <c r="AC523" t="s">
        <v>3322</v>
      </c>
      <c r="AD523" t="s">
        <v>3438</v>
      </c>
      <c r="AE523" t="s">
        <v>4</v>
      </c>
      <c r="AF523" t="s">
        <v>1</v>
      </c>
      <c r="AG523" t="s">
        <v>1</v>
      </c>
      <c r="AH523" t="s">
        <v>4391</v>
      </c>
      <c r="AI523" t="s">
        <v>2468</v>
      </c>
      <c r="AJ523" t="s">
        <v>1</v>
      </c>
      <c r="AK523">
        <v>9334063146</v>
      </c>
      <c r="AL523" t="s">
        <v>1</v>
      </c>
      <c r="AM523" t="s">
        <v>1</v>
      </c>
      <c r="AN523" t="s">
        <v>1</v>
      </c>
      <c r="AO523" t="s">
        <v>4391</v>
      </c>
      <c r="AP523" t="s">
        <v>1</v>
      </c>
      <c r="AQ523" t="s">
        <v>2</v>
      </c>
      <c r="AR523" t="s">
        <v>1</v>
      </c>
      <c r="AS523" t="s">
        <v>1</v>
      </c>
      <c r="AT523" t="s">
        <v>1</v>
      </c>
      <c r="AU523" t="s">
        <v>1</v>
      </c>
      <c r="AV523" t="s">
        <v>1</v>
      </c>
      <c r="AW523" t="s">
        <v>9</v>
      </c>
      <c r="AX523">
        <f>Tabla1[[#This Row],[precio del paquete]]-Tabla1[[#This Row],[Saldo_Deudor]]</f>
        <v>4000</v>
      </c>
      <c r="AY523">
        <v>8900</v>
      </c>
      <c r="AZ523">
        <v>0</v>
      </c>
      <c r="BA523">
        <v>0</v>
      </c>
      <c r="BB523">
        <v>0</v>
      </c>
      <c r="BC523" t="s">
        <v>2703</v>
      </c>
      <c r="BD523" t="s">
        <v>2789</v>
      </c>
      <c r="BE523" t="s">
        <v>3</v>
      </c>
      <c r="BF523" t="s">
        <v>3</v>
      </c>
      <c r="BG523" t="s">
        <v>3</v>
      </c>
      <c r="BH523" t="s">
        <v>3</v>
      </c>
      <c r="BI523" t="s">
        <v>3</v>
      </c>
      <c r="BJ523" t="s">
        <v>5006</v>
      </c>
      <c r="BK523" t="s">
        <v>3</v>
      </c>
      <c r="BL523" t="s">
        <v>96</v>
      </c>
      <c r="BM523" t="s">
        <v>1</v>
      </c>
      <c r="BN523">
        <v>12900</v>
      </c>
      <c r="BO523" t="s">
        <v>1</v>
      </c>
      <c r="BP523" t="s">
        <v>1</v>
      </c>
      <c r="BQ523" t="s">
        <v>1</v>
      </c>
      <c r="BR523" t="s">
        <v>1</v>
      </c>
      <c r="BS523" t="s">
        <v>1</v>
      </c>
      <c r="BT523" t="s">
        <v>1</v>
      </c>
      <c r="BU523" t="s">
        <v>1</v>
      </c>
      <c r="BV523" t="s">
        <v>1</v>
      </c>
      <c r="BW523" t="s">
        <v>0</v>
      </c>
      <c r="BX523" t="s">
        <v>1</v>
      </c>
      <c r="BY523" t="s">
        <v>1</v>
      </c>
      <c r="BZ523" t="s">
        <v>1</v>
      </c>
      <c r="CA523" t="s">
        <v>1</v>
      </c>
      <c r="CB523" t="s">
        <v>1</v>
      </c>
      <c r="CD523" t="e" cm="1">
        <f t="array" aca="1" ref="CD523" ca="1">eConcatenar(A523:CB523,"|")</f>
        <v>#NAME?</v>
      </c>
    </row>
    <row r="524" spans="1:82" x14ac:dyDescent="0.25">
      <c r="A524" t="s">
        <v>619</v>
      </c>
      <c r="B524" t="s">
        <v>1633</v>
      </c>
      <c r="C524">
        <v>3</v>
      </c>
      <c r="D524" t="s">
        <v>3107</v>
      </c>
      <c r="E524" t="s">
        <v>2158</v>
      </c>
      <c r="F524" t="s">
        <v>2162</v>
      </c>
      <c r="G524" t="s">
        <v>2468</v>
      </c>
      <c r="H524" t="s">
        <v>2801</v>
      </c>
      <c r="I524">
        <v>35000</v>
      </c>
      <c r="J524">
        <v>0</v>
      </c>
      <c r="K524">
        <v>500</v>
      </c>
      <c r="L524">
        <v>50</v>
      </c>
      <c r="M524">
        <v>2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 t="s">
        <v>3155</v>
      </c>
      <c r="AC524" t="s">
        <v>3168</v>
      </c>
      <c r="AD524" t="s">
        <v>3732</v>
      </c>
      <c r="AE524" t="s">
        <v>4</v>
      </c>
      <c r="AF524" t="s">
        <v>1</v>
      </c>
      <c r="AG524" t="s">
        <v>1</v>
      </c>
      <c r="AH524" t="s">
        <v>4473</v>
      </c>
      <c r="AI524" t="s">
        <v>2468</v>
      </c>
      <c r="AJ524" t="s">
        <v>1</v>
      </c>
      <c r="AK524">
        <v>9331320329</v>
      </c>
      <c r="AL524" t="s">
        <v>1</v>
      </c>
      <c r="AM524" t="s">
        <v>1</v>
      </c>
      <c r="AN524" t="s">
        <v>1</v>
      </c>
      <c r="AO524" t="s">
        <v>4473</v>
      </c>
      <c r="AP524" t="s">
        <v>1</v>
      </c>
      <c r="AQ524" t="s">
        <v>2</v>
      </c>
      <c r="AR524" t="s">
        <v>1</v>
      </c>
      <c r="AS524" t="s">
        <v>1</v>
      </c>
      <c r="AT524" t="s">
        <v>1</v>
      </c>
      <c r="AU524" t="s">
        <v>1</v>
      </c>
      <c r="AV524" t="s">
        <v>1</v>
      </c>
      <c r="AW524" t="s">
        <v>9</v>
      </c>
      <c r="AX524">
        <f>Tabla1[[#This Row],[precio del paquete]]-Tabla1[[#This Row],[Saldo_Deudor]]</f>
        <v>2300</v>
      </c>
      <c r="AY524">
        <v>32700</v>
      </c>
      <c r="AZ524">
        <v>0</v>
      </c>
      <c r="BA524">
        <v>0</v>
      </c>
      <c r="BB524">
        <v>0</v>
      </c>
      <c r="BC524" t="s">
        <v>3061</v>
      </c>
      <c r="BD524" t="s">
        <v>3040</v>
      </c>
      <c r="BE524" t="s">
        <v>3</v>
      </c>
      <c r="BF524" t="s">
        <v>3</v>
      </c>
      <c r="BG524" t="s">
        <v>3</v>
      </c>
      <c r="BH524" t="s">
        <v>3</v>
      </c>
      <c r="BI524" t="s">
        <v>3</v>
      </c>
      <c r="BJ524" t="s">
        <v>5006</v>
      </c>
      <c r="BK524" t="s">
        <v>3</v>
      </c>
      <c r="BL524" t="s">
        <v>96</v>
      </c>
      <c r="BM524" t="s">
        <v>1</v>
      </c>
      <c r="BN524">
        <v>35000</v>
      </c>
      <c r="BO524" t="s">
        <v>1</v>
      </c>
      <c r="BP524" t="s">
        <v>1</v>
      </c>
      <c r="BQ524" t="s">
        <v>1</v>
      </c>
      <c r="BR524" t="s">
        <v>1</v>
      </c>
      <c r="BS524" t="s">
        <v>1</v>
      </c>
      <c r="BT524" t="s">
        <v>1</v>
      </c>
      <c r="BU524" t="s">
        <v>1</v>
      </c>
      <c r="BV524" t="s">
        <v>1</v>
      </c>
      <c r="BW524" t="s">
        <v>0</v>
      </c>
      <c r="BX524" t="s">
        <v>1</v>
      </c>
      <c r="BY524" t="s">
        <v>1</v>
      </c>
      <c r="BZ524" t="s">
        <v>1</v>
      </c>
      <c r="CA524" t="s">
        <v>1</v>
      </c>
      <c r="CB524" t="s">
        <v>1</v>
      </c>
      <c r="CD524" t="e" cm="1">
        <f t="array" aca="1" ref="CD524" ca="1">eConcatenar(A524:CB524,"|")</f>
        <v>#NAME?</v>
      </c>
    </row>
    <row r="525" spans="1:82" x14ac:dyDescent="0.25">
      <c r="A525" t="s">
        <v>620</v>
      </c>
      <c r="B525" t="s">
        <v>1634</v>
      </c>
      <c r="C525">
        <v>3</v>
      </c>
      <c r="D525" t="s">
        <v>2153</v>
      </c>
      <c r="E525" t="s">
        <v>2158</v>
      </c>
      <c r="F525" t="s">
        <v>2162</v>
      </c>
      <c r="G525" t="s">
        <v>2468</v>
      </c>
      <c r="H525" t="s">
        <v>2810</v>
      </c>
      <c r="I525">
        <v>14800</v>
      </c>
      <c r="J525">
        <v>0</v>
      </c>
      <c r="K525">
        <v>500</v>
      </c>
      <c r="L525">
        <v>50</v>
      </c>
      <c r="M525">
        <v>2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 t="s">
        <v>3168</v>
      </c>
      <c r="AC525" t="s">
        <v>3132</v>
      </c>
      <c r="AD525" t="s">
        <v>3727</v>
      </c>
      <c r="AE525" t="s">
        <v>4</v>
      </c>
      <c r="AF525" t="s">
        <v>1</v>
      </c>
      <c r="AG525" t="s">
        <v>1</v>
      </c>
      <c r="AH525" t="s">
        <v>4474</v>
      </c>
      <c r="AI525" t="s">
        <v>2468</v>
      </c>
      <c r="AJ525" t="s">
        <v>1</v>
      </c>
      <c r="AK525">
        <v>9932757642</v>
      </c>
      <c r="AL525" t="s">
        <v>1</v>
      </c>
      <c r="AM525" t="s">
        <v>1</v>
      </c>
      <c r="AN525" t="s">
        <v>1</v>
      </c>
      <c r="AO525" t="s">
        <v>4474</v>
      </c>
      <c r="AP525" t="s">
        <v>1</v>
      </c>
      <c r="AQ525" t="s">
        <v>2</v>
      </c>
      <c r="AR525" t="s">
        <v>1</v>
      </c>
      <c r="AS525" t="s">
        <v>1</v>
      </c>
      <c r="AT525" t="s">
        <v>1</v>
      </c>
      <c r="AU525" t="s">
        <v>1</v>
      </c>
      <c r="AV525" t="s">
        <v>1</v>
      </c>
      <c r="AW525" t="s">
        <v>9</v>
      </c>
      <c r="AX525">
        <f>Tabla1[[#This Row],[precio del paquete]]-Tabla1[[#This Row],[Saldo_Deudor]]</f>
        <v>1500</v>
      </c>
      <c r="AY525">
        <v>13300</v>
      </c>
      <c r="AZ525">
        <v>0</v>
      </c>
      <c r="BA525">
        <v>0</v>
      </c>
      <c r="BB525">
        <v>0</v>
      </c>
      <c r="BC525" t="s">
        <v>3061</v>
      </c>
      <c r="BD525" t="s">
        <v>3040</v>
      </c>
      <c r="BE525" t="s">
        <v>3</v>
      </c>
      <c r="BF525" t="s">
        <v>3</v>
      </c>
      <c r="BG525" t="s">
        <v>3</v>
      </c>
      <c r="BH525" t="s">
        <v>3</v>
      </c>
      <c r="BI525" t="s">
        <v>3</v>
      </c>
      <c r="BJ525" t="s">
        <v>5001</v>
      </c>
      <c r="BK525" t="s">
        <v>3</v>
      </c>
      <c r="BL525" t="s">
        <v>96</v>
      </c>
      <c r="BM525" t="s">
        <v>1</v>
      </c>
      <c r="BN525">
        <v>14800</v>
      </c>
      <c r="BO525" t="s">
        <v>1</v>
      </c>
      <c r="BP525" t="s">
        <v>1</v>
      </c>
      <c r="BQ525" t="s">
        <v>1</v>
      </c>
      <c r="BR525" t="s">
        <v>1</v>
      </c>
      <c r="BS525" t="s">
        <v>1</v>
      </c>
      <c r="BT525" t="s">
        <v>1</v>
      </c>
      <c r="BU525" t="s">
        <v>1</v>
      </c>
      <c r="BV525" t="s">
        <v>1</v>
      </c>
      <c r="BW525" t="s">
        <v>0</v>
      </c>
      <c r="BX525" t="s">
        <v>1</v>
      </c>
      <c r="BY525" t="s">
        <v>1</v>
      </c>
      <c r="BZ525" t="s">
        <v>1</v>
      </c>
      <c r="CA525" t="s">
        <v>1</v>
      </c>
      <c r="CB525" t="s">
        <v>1</v>
      </c>
      <c r="CD525" t="e" cm="1">
        <f t="array" aca="1" ref="CD525" ca="1">eConcatenar(A525:CB525,"|")</f>
        <v>#NAME?</v>
      </c>
    </row>
    <row r="526" spans="1:82" x14ac:dyDescent="0.25">
      <c r="A526" t="s">
        <v>621</v>
      </c>
      <c r="B526" t="s">
        <v>1635</v>
      </c>
      <c r="C526">
        <v>3</v>
      </c>
      <c r="D526" t="s">
        <v>2157</v>
      </c>
      <c r="E526" t="s">
        <v>2158</v>
      </c>
      <c r="F526" t="s">
        <v>2162</v>
      </c>
      <c r="G526" t="s">
        <v>2469</v>
      </c>
      <c r="H526" t="s">
        <v>2939</v>
      </c>
      <c r="I526">
        <v>12900</v>
      </c>
      <c r="J526">
        <v>0</v>
      </c>
      <c r="K526">
        <v>200</v>
      </c>
      <c r="L526">
        <v>50</v>
      </c>
      <c r="M526">
        <v>1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 t="s">
        <v>3148</v>
      </c>
      <c r="AC526" t="s">
        <v>3280</v>
      </c>
      <c r="AD526" t="s">
        <v>3733</v>
      </c>
      <c r="AE526" t="s">
        <v>4</v>
      </c>
      <c r="AF526" t="s">
        <v>1</v>
      </c>
      <c r="AG526" t="s">
        <v>1</v>
      </c>
      <c r="AH526" t="s">
        <v>4475</v>
      </c>
      <c r="AI526" t="s">
        <v>2469</v>
      </c>
      <c r="AJ526" t="s">
        <v>1</v>
      </c>
      <c r="AK526">
        <v>9331167092</v>
      </c>
      <c r="AL526" t="s">
        <v>1</v>
      </c>
      <c r="AM526" t="s">
        <v>1</v>
      </c>
      <c r="AN526" t="s">
        <v>1</v>
      </c>
      <c r="AO526" t="s">
        <v>4475</v>
      </c>
      <c r="AP526" t="s">
        <v>1</v>
      </c>
      <c r="AQ526" t="s">
        <v>2</v>
      </c>
      <c r="AR526" t="s">
        <v>1</v>
      </c>
      <c r="AS526" t="s">
        <v>1</v>
      </c>
      <c r="AT526" t="s">
        <v>1</v>
      </c>
      <c r="AU526" t="s">
        <v>1</v>
      </c>
      <c r="AV526" t="s">
        <v>1</v>
      </c>
      <c r="AW526" t="s">
        <v>9</v>
      </c>
      <c r="AX526">
        <f>Tabla1[[#This Row],[precio del paquete]]-Tabla1[[#This Row],[Saldo_Deudor]]</f>
        <v>8800</v>
      </c>
      <c r="AY526">
        <v>4100</v>
      </c>
      <c r="AZ526">
        <v>0</v>
      </c>
      <c r="BA526">
        <v>0</v>
      </c>
      <c r="BB526">
        <v>0</v>
      </c>
      <c r="BC526" t="s">
        <v>3061</v>
      </c>
      <c r="BD526" t="s">
        <v>3040</v>
      </c>
      <c r="BE526" t="s">
        <v>3</v>
      </c>
      <c r="BF526" t="s">
        <v>3</v>
      </c>
      <c r="BG526" t="s">
        <v>3</v>
      </c>
      <c r="BH526" t="s">
        <v>3</v>
      </c>
      <c r="BI526" t="s">
        <v>3</v>
      </c>
      <c r="BJ526" t="s">
        <v>5001</v>
      </c>
      <c r="BK526" t="s">
        <v>3</v>
      </c>
      <c r="BL526" t="s">
        <v>96</v>
      </c>
      <c r="BM526" t="s">
        <v>1</v>
      </c>
      <c r="BN526">
        <v>12900</v>
      </c>
      <c r="BO526" t="s">
        <v>1</v>
      </c>
      <c r="BP526" t="s">
        <v>1</v>
      </c>
      <c r="BQ526" t="s">
        <v>1</v>
      </c>
      <c r="BR526" t="s">
        <v>1</v>
      </c>
      <c r="BS526" t="s">
        <v>1</v>
      </c>
      <c r="BT526" t="s">
        <v>1</v>
      </c>
      <c r="BU526" t="s">
        <v>1</v>
      </c>
      <c r="BV526" t="s">
        <v>1</v>
      </c>
      <c r="BW526" t="s">
        <v>0</v>
      </c>
      <c r="BX526" t="s">
        <v>1</v>
      </c>
      <c r="BY526" t="s">
        <v>1</v>
      </c>
      <c r="BZ526" t="s">
        <v>1</v>
      </c>
      <c r="CA526" t="s">
        <v>1</v>
      </c>
      <c r="CB526" t="s">
        <v>1</v>
      </c>
      <c r="CD526" t="e" cm="1">
        <f t="array" aca="1" ref="CD526" ca="1">eConcatenar(A526:CB526,"|")</f>
        <v>#NAME?</v>
      </c>
    </row>
    <row r="527" spans="1:82" x14ac:dyDescent="0.25">
      <c r="A527" t="s">
        <v>622</v>
      </c>
      <c r="B527" t="s">
        <v>1636</v>
      </c>
      <c r="C527">
        <v>3</v>
      </c>
      <c r="D527" t="s">
        <v>2155</v>
      </c>
      <c r="E527" t="s">
        <v>2158</v>
      </c>
      <c r="F527" t="s">
        <v>2162</v>
      </c>
      <c r="G527" t="s">
        <v>2469</v>
      </c>
      <c r="H527" t="s">
        <v>2896</v>
      </c>
      <c r="I527">
        <v>12900</v>
      </c>
      <c r="J527">
        <v>0</v>
      </c>
      <c r="K527">
        <v>500</v>
      </c>
      <c r="L527">
        <v>50</v>
      </c>
      <c r="M527">
        <v>2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 t="s">
        <v>3491</v>
      </c>
      <c r="AC527" t="s">
        <v>3236</v>
      </c>
      <c r="AD527" t="s">
        <v>3481</v>
      </c>
      <c r="AE527" t="s">
        <v>4</v>
      </c>
      <c r="AF527" t="s">
        <v>1</v>
      </c>
      <c r="AG527" t="s">
        <v>1</v>
      </c>
      <c r="AH527" t="s">
        <v>4476</v>
      </c>
      <c r="AI527" t="s">
        <v>2469</v>
      </c>
      <c r="AJ527" t="s">
        <v>1</v>
      </c>
      <c r="AK527">
        <v>9331137468</v>
      </c>
      <c r="AL527" t="s">
        <v>1</v>
      </c>
      <c r="AM527" t="s">
        <v>1</v>
      </c>
      <c r="AN527" t="s">
        <v>1</v>
      </c>
      <c r="AO527" t="s">
        <v>4476</v>
      </c>
      <c r="AP527" t="s">
        <v>1</v>
      </c>
      <c r="AQ527" t="s">
        <v>2</v>
      </c>
      <c r="AR527" t="s">
        <v>1</v>
      </c>
      <c r="AS527" t="s">
        <v>1</v>
      </c>
      <c r="AT527" t="s">
        <v>1</v>
      </c>
      <c r="AU527" t="s">
        <v>1</v>
      </c>
      <c r="AV527" t="s">
        <v>1</v>
      </c>
      <c r="AW527" t="s">
        <v>9</v>
      </c>
      <c r="AX527">
        <f>Tabla1[[#This Row],[precio del paquete]]-Tabla1[[#This Row],[Saldo_Deudor]]</f>
        <v>5400</v>
      </c>
      <c r="AY527">
        <v>7500</v>
      </c>
      <c r="AZ527">
        <v>0</v>
      </c>
      <c r="BA527">
        <v>0</v>
      </c>
      <c r="BB527">
        <v>0</v>
      </c>
      <c r="BC527" t="s">
        <v>2923</v>
      </c>
      <c r="BD527" t="s">
        <v>4910</v>
      </c>
      <c r="BE527" t="s">
        <v>3</v>
      </c>
      <c r="BF527" t="s">
        <v>3</v>
      </c>
      <c r="BG527" t="s">
        <v>3</v>
      </c>
      <c r="BH527" t="s">
        <v>3</v>
      </c>
      <c r="BI527" t="s">
        <v>3</v>
      </c>
      <c r="BJ527" t="s">
        <v>4998</v>
      </c>
      <c r="BK527" t="s">
        <v>3</v>
      </c>
      <c r="BL527" t="s">
        <v>96</v>
      </c>
      <c r="BM527" t="s">
        <v>1</v>
      </c>
      <c r="BN527">
        <v>12900</v>
      </c>
      <c r="BO527" t="s">
        <v>1</v>
      </c>
      <c r="BP527" t="s">
        <v>1</v>
      </c>
      <c r="BQ527" t="s">
        <v>1</v>
      </c>
      <c r="BR527" t="s">
        <v>1</v>
      </c>
      <c r="BS527" t="s">
        <v>1</v>
      </c>
      <c r="BT527" t="s">
        <v>1</v>
      </c>
      <c r="BU527" t="s">
        <v>1</v>
      </c>
      <c r="BV527" t="s">
        <v>1</v>
      </c>
      <c r="BW527" t="s">
        <v>0</v>
      </c>
      <c r="BX527" t="s">
        <v>1</v>
      </c>
      <c r="BY527" t="s">
        <v>1</v>
      </c>
      <c r="BZ527" t="s">
        <v>1</v>
      </c>
      <c r="CA527" t="s">
        <v>1</v>
      </c>
      <c r="CB527" t="s">
        <v>1</v>
      </c>
      <c r="CD527" t="e" cm="1">
        <f t="array" aca="1" ref="CD527" ca="1">eConcatenar(A527:CB527,"|")</f>
        <v>#NAME?</v>
      </c>
    </row>
    <row r="528" spans="1:82" x14ac:dyDescent="0.25">
      <c r="A528" t="s">
        <v>623</v>
      </c>
      <c r="B528" t="s">
        <v>1637</v>
      </c>
      <c r="C528">
        <v>3</v>
      </c>
      <c r="D528" t="s">
        <v>2157</v>
      </c>
      <c r="E528" t="s">
        <v>2158</v>
      </c>
      <c r="F528" t="s">
        <v>2162</v>
      </c>
      <c r="G528" t="s">
        <v>2469</v>
      </c>
      <c r="H528" t="s">
        <v>2940</v>
      </c>
      <c r="I528">
        <v>12900</v>
      </c>
      <c r="J528">
        <v>0</v>
      </c>
      <c r="K528">
        <v>400</v>
      </c>
      <c r="L528">
        <v>50</v>
      </c>
      <c r="M528">
        <v>2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 t="s">
        <v>3491</v>
      </c>
      <c r="AC528" t="s">
        <v>3236</v>
      </c>
      <c r="AD528" t="s">
        <v>3481</v>
      </c>
      <c r="AE528" t="s">
        <v>4</v>
      </c>
      <c r="AF528" t="s">
        <v>1</v>
      </c>
      <c r="AG528" t="s">
        <v>1</v>
      </c>
      <c r="AH528" t="s">
        <v>4477</v>
      </c>
      <c r="AI528" t="s">
        <v>2469</v>
      </c>
      <c r="AJ528" t="s">
        <v>1</v>
      </c>
      <c r="AK528">
        <v>9331137468</v>
      </c>
      <c r="AL528" t="s">
        <v>1</v>
      </c>
      <c r="AM528" t="s">
        <v>1</v>
      </c>
      <c r="AN528" t="s">
        <v>1</v>
      </c>
      <c r="AO528" t="s">
        <v>4477</v>
      </c>
      <c r="AP528" t="s">
        <v>1</v>
      </c>
      <c r="AQ528" t="s">
        <v>2</v>
      </c>
      <c r="AR528" t="s">
        <v>1</v>
      </c>
      <c r="AS528" t="s">
        <v>1</v>
      </c>
      <c r="AT528" t="s">
        <v>1</v>
      </c>
      <c r="AU528" t="s">
        <v>1</v>
      </c>
      <c r="AV528" t="s">
        <v>1</v>
      </c>
      <c r="AW528" t="s">
        <v>9</v>
      </c>
      <c r="AX528">
        <f>Tabla1[[#This Row],[precio del paquete]]-Tabla1[[#This Row],[Saldo_Deudor]]</f>
        <v>12300</v>
      </c>
      <c r="AY528">
        <v>600</v>
      </c>
      <c r="AZ528">
        <v>0</v>
      </c>
      <c r="BA528">
        <v>0</v>
      </c>
      <c r="BB528">
        <v>0</v>
      </c>
      <c r="BC528" t="s">
        <v>2923</v>
      </c>
      <c r="BD528" t="s">
        <v>4910</v>
      </c>
      <c r="BE528" t="s">
        <v>3</v>
      </c>
      <c r="BF528" t="s">
        <v>3</v>
      </c>
      <c r="BG528" t="s">
        <v>3</v>
      </c>
      <c r="BH528" t="s">
        <v>3</v>
      </c>
      <c r="BI528" t="s">
        <v>3</v>
      </c>
      <c r="BJ528" t="s">
        <v>4998</v>
      </c>
      <c r="BK528" t="s">
        <v>3</v>
      </c>
      <c r="BL528" t="s">
        <v>96</v>
      </c>
      <c r="BM528" t="s">
        <v>1</v>
      </c>
      <c r="BN528">
        <v>12900</v>
      </c>
      <c r="BO528" t="s">
        <v>1</v>
      </c>
      <c r="BP528" t="s">
        <v>1</v>
      </c>
      <c r="BQ528" t="s">
        <v>1</v>
      </c>
      <c r="BR528" t="s">
        <v>1</v>
      </c>
      <c r="BS528" t="s">
        <v>1</v>
      </c>
      <c r="BT528" t="s">
        <v>1</v>
      </c>
      <c r="BU528" t="s">
        <v>1</v>
      </c>
      <c r="BV528" t="s">
        <v>1</v>
      </c>
      <c r="BW528" t="s">
        <v>0</v>
      </c>
      <c r="BX528" t="s">
        <v>1</v>
      </c>
      <c r="BY528" t="s">
        <v>1</v>
      </c>
      <c r="BZ528" t="s">
        <v>1</v>
      </c>
      <c r="CA528" t="s">
        <v>1</v>
      </c>
      <c r="CB528" t="s">
        <v>1</v>
      </c>
      <c r="CD528" t="e" cm="1">
        <f t="array" aca="1" ref="CD528" ca="1">eConcatenar(A528:CB528,"|")</f>
        <v>#NAME?</v>
      </c>
    </row>
    <row r="529" spans="1:82" x14ac:dyDescent="0.25">
      <c r="A529" t="s">
        <v>624</v>
      </c>
      <c r="B529" t="s">
        <v>1638</v>
      </c>
      <c r="C529">
        <v>3</v>
      </c>
      <c r="D529" t="s">
        <v>3107</v>
      </c>
      <c r="E529" t="s">
        <v>2158</v>
      </c>
      <c r="F529" t="s">
        <v>2162</v>
      </c>
      <c r="G529" t="s">
        <v>2469</v>
      </c>
      <c r="H529" t="s">
        <v>2941</v>
      </c>
      <c r="I529">
        <v>35000</v>
      </c>
      <c r="J529">
        <v>0</v>
      </c>
      <c r="K529">
        <v>500</v>
      </c>
      <c r="L529">
        <v>50</v>
      </c>
      <c r="M529">
        <v>2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 t="s">
        <v>3117</v>
      </c>
      <c r="AC529" t="s">
        <v>3143</v>
      </c>
      <c r="AD529" t="s">
        <v>3734</v>
      </c>
      <c r="AE529" t="s">
        <v>4</v>
      </c>
      <c r="AF529" t="s">
        <v>1</v>
      </c>
      <c r="AG529" t="s">
        <v>1</v>
      </c>
      <c r="AH529" t="s">
        <v>4478</v>
      </c>
      <c r="AI529" t="s">
        <v>2469</v>
      </c>
      <c r="AJ529" t="s">
        <v>1</v>
      </c>
      <c r="AK529">
        <v>9331189805</v>
      </c>
      <c r="AL529" t="s">
        <v>1</v>
      </c>
      <c r="AM529" t="s">
        <v>1</v>
      </c>
      <c r="AN529" t="s">
        <v>1</v>
      </c>
      <c r="AO529" t="s">
        <v>4478</v>
      </c>
      <c r="AP529" t="s">
        <v>1</v>
      </c>
      <c r="AQ529" t="s">
        <v>2</v>
      </c>
      <c r="AR529" t="s">
        <v>1</v>
      </c>
      <c r="AS529" t="s">
        <v>1</v>
      </c>
      <c r="AT529" t="s">
        <v>1</v>
      </c>
      <c r="AU529" t="s">
        <v>1</v>
      </c>
      <c r="AV529" t="s">
        <v>1</v>
      </c>
      <c r="AW529" t="s">
        <v>9</v>
      </c>
      <c r="AX529">
        <f>Tabla1[[#This Row],[precio del paquete]]-Tabla1[[#This Row],[Saldo_Deudor]]</f>
        <v>2500</v>
      </c>
      <c r="AY529">
        <v>32500</v>
      </c>
      <c r="AZ529">
        <v>0</v>
      </c>
      <c r="BA529">
        <v>0</v>
      </c>
      <c r="BB529">
        <v>0</v>
      </c>
      <c r="BC529" t="s">
        <v>4854</v>
      </c>
      <c r="BD529" t="s">
        <v>2839</v>
      </c>
      <c r="BE529" t="s">
        <v>3</v>
      </c>
      <c r="BF529" t="s">
        <v>3</v>
      </c>
      <c r="BG529" t="s">
        <v>3</v>
      </c>
      <c r="BH529" t="s">
        <v>3</v>
      </c>
      <c r="BI529" t="s">
        <v>3</v>
      </c>
      <c r="BJ529" t="s">
        <v>4998</v>
      </c>
      <c r="BK529" t="s">
        <v>3</v>
      </c>
      <c r="BL529" t="s">
        <v>96</v>
      </c>
      <c r="BM529" t="s">
        <v>1</v>
      </c>
      <c r="BN529">
        <v>35000</v>
      </c>
      <c r="BO529" t="s">
        <v>1</v>
      </c>
      <c r="BP529" t="s">
        <v>1</v>
      </c>
      <c r="BQ529" t="s">
        <v>1</v>
      </c>
      <c r="BR529" t="s">
        <v>1</v>
      </c>
      <c r="BS529" t="s">
        <v>1</v>
      </c>
      <c r="BT529" t="s">
        <v>1</v>
      </c>
      <c r="BU529" t="s">
        <v>1</v>
      </c>
      <c r="BV529" t="s">
        <v>1</v>
      </c>
      <c r="BW529" t="s">
        <v>0</v>
      </c>
      <c r="BX529" t="s">
        <v>1</v>
      </c>
      <c r="BY529" t="s">
        <v>1</v>
      </c>
      <c r="BZ529" t="s">
        <v>1</v>
      </c>
      <c r="CA529" t="s">
        <v>1</v>
      </c>
      <c r="CB529" t="s">
        <v>1</v>
      </c>
      <c r="CD529" t="e" cm="1">
        <f t="array" aca="1" ref="CD529" ca="1">eConcatenar(A529:CB529,"|")</f>
        <v>#NAME?</v>
      </c>
    </row>
    <row r="530" spans="1:82" x14ac:dyDescent="0.25">
      <c r="A530" t="s">
        <v>625</v>
      </c>
      <c r="B530" t="s">
        <v>1639</v>
      </c>
      <c r="C530">
        <v>3</v>
      </c>
      <c r="D530" t="s">
        <v>2157</v>
      </c>
      <c r="E530" t="s">
        <v>2158</v>
      </c>
      <c r="F530" t="s">
        <v>2162</v>
      </c>
      <c r="G530" t="s">
        <v>2469</v>
      </c>
      <c r="H530" t="s">
        <v>2942</v>
      </c>
      <c r="I530">
        <v>12900</v>
      </c>
      <c r="J530">
        <v>0</v>
      </c>
      <c r="K530">
        <v>400</v>
      </c>
      <c r="L530">
        <v>50</v>
      </c>
      <c r="M530">
        <v>2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 t="s">
        <v>3558</v>
      </c>
      <c r="AC530" t="s">
        <v>3259</v>
      </c>
      <c r="AD530" t="s">
        <v>3735</v>
      </c>
      <c r="AE530" t="s">
        <v>4</v>
      </c>
      <c r="AF530" t="s">
        <v>1</v>
      </c>
      <c r="AG530" t="s">
        <v>1</v>
      </c>
      <c r="AH530" t="s">
        <v>4479</v>
      </c>
      <c r="AI530" t="s">
        <v>2469</v>
      </c>
      <c r="AJ530" t="s">
        <v>1</v>
      </c>
      <c r="AK530">
        <v>9331130934</v>
      </c>
      <c r="AL530" t="s">
        <v>1</v>
      </c>
      <c r="AM530" t="s">
        <v>1</v>
      </c>
      <c r="AN530" t="s">
        <v>1</v>
      </c>
      <c r="AO530" t="s">
        <v>4479</v>
      </c>
      <c r="AP530" t="s">
        <v>1</v>
      </c>
      <c r="AQ530" t="s">
        <v>2</v>
      </c>
      <c r="AR530" t="s">
        <v>1</v>
      </c>
      <c r="AS530" t="s">
        <v>1</v>
      </c>
      <c r="AT530" t="s">
        <v>1</v>
      </c>
      <c r="AU530" t="s">
        <v>1</v>
      </c>
      <c r="AV530" t="s">
        <v>1</v>
      </c>
      <c r="AW530" t="s">
        <v>9</v>
      </c>
      <c r="AX530">
        <f>Tabla1[[#This Row],[precio del paquete]]-Tabla1[[#This Row],[Saldo_Deudor]]</f>
        <v>12400</v>
      </c>
      <c r="AY530">
        <v>500</v>
      </c>
      <c r="AZ530">
        <v>0</v>
      </c>
      <c r="BA530">
        <v>0</v>
      </c>
      <c r="BB530">
        <v>0</v>
      </c>
      <c r="BC530" t="s">
        <v>2904</v>
      </c>
      <c r="BD530" t="s">
        <v>4927</v>
      </c>
      <c r="BE530" t="s">
        <v>3</v>
      </c>
      <c r="BF530" t="s">
        <v>3</v>
      </c>
      <c r="BG530" t="s">
        <v>3</v>
      </c>
      <c r="BH530" t="s">
        <v>3</v>
      </c>
      <c r="BI530" t="s">
        <v>3</v>
      </c>
      <c r="BJ530" t="s">
        <v>4998</v>
      </c>
      <c r="BK530" t="s">
        <v>3</v>
      </c>
      <c r="BL530" t="s">
        <v>96</v>
      </c>
      <c r="BM530" t="s">
        <v>1</v>
      </c>
      <c r="BN530">
        <v>12900</v>
      </c>
      <c r="BO530" t="s">
        <v>1</v>
      </c>
      <c r="BP530" t="s">
        <v>1</v>
      </c>
      <c r="BQ530" t="s">
        <v>1</v>
      </c>
      <c r="BR530" t="s">
        <v>1</v>
      </c>
      <c r="BS530" t="s">
        <v>1</v>
      </c>
      <c r="BT530" t="s">
        <v>1</v>
      </c>
      <c r="BU530" t="s">
        <v>1</v>
      </c>
      <c r="BV530" t="s">
        <v>1</v>
      </c>
      <c r="BW530" t="s">
        <v>0</v>
      </c>
      <c r="BX530" t="s">
        <v>1</v>
      </c>
      <c r="BY530" t="s">
        <v>1</v>
      </c>
      <c r="BZ530" t="s">
        <v>1</v>
      </c>
      <c r="CA530" t="s">
        <v>1</v>
      </c>
      <c r="CB530" t="s">
        <v>1</v>
      </c>
      <c r="CD530" t="e" cm="1">
        <f t="array" aca="1" ref="CD530" ca="1">eConcatenar(A530:CB530,"|")</f>
        <v>#NAME?</v>
      </c>
    </row>
    <row r="531" spans="1:82" x14ac:dyDescent="0.25">
      <c r="A531" t="s">
        <v>626</v>
      </c>
      <c r="B531" t="s">
        <v>1640</v>
      </c>
      <c r="C531">
        <v>3</v>
      </c>
      <c r="D531" t="s">
        <v>2157</v>
      </c>
      <c r="E531" t="s">
        <v>2158</v>
      </c>
      <c r="F531" t="s">
        <v>2162</v>
      </c>
      <c r="G531" t="s">
        <v>2469</v>
      </c>
      <c r="H531" t="s">
        <v>2822</v>
      </c>
      <c r="I531">
        <v>12900</v>
      </c>
      <c r="J531">
        <v>0</v>
      </c>
      <c r="K531">
        <v>200</v>
      </c>
      <c r="L531">
        <v>50</v>
      </c>
      <c r="M531">
        <v>1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 t="s">
        <v>3249</v>
      </c>
      <c r="AC531" t="s">
        <v>3143</v>
      </c>
      <c r="AD531" t="s">
        <v>3736</v>
      </c>
      <c r="AE531" t="s">
        <v>4</v>
      </c>
      <c r="AF531" t="s">
        <v>1</v>
      </c>
      <c r="AG531" t="s">
        <v>1</v>
      </c>
      <c r="AH531" t="s">
        <v>4480</v>
      </c>
      <c r="AI531" t="s">
        <v>2469</v>
      </c>
      <c r="AJ531" t="s">
        <v>1</v>
      </c>
      <c r="AK531">
        <v>9331292590</v>
      </c>
      <c r="AL531" t="s">
        <v>1</v>
      </c>
      <c r="AM531" t="s">
        <v>1</v>
      </c>
      <c r="AN531" t="s">
        <v>1</v>
      </c>
      <c r="AO531" t="s">
        <v>4480</v>
      </c>
      <c r="AP531" t="s">
        <v>1</v>
      </c>
      <c r="AQ531" t="s">
        <v>2</v>
      </c>
      <c r="AR531" t="s">
        <v>1</v>
      </c>
      <c r="AS531" t="s">
        <v>1</v>
      </c>
      <c r="AT531" t="s">
        <v>1</v>
      </c>
      <c r="AU531" t="s">
        <v>1</v>
      </c>
      <c r="AV531" t="s">
        <v>1</v>
      </c>
      <c r="AW531" t="s">
        <v>9</v>
      </c>
      <c r="AX531">
        <f>Tabla1[[#This Row],[precio del paquete]]-Tabla1[[#This Row],[Saldo_Deudor]]</f>
        <v>12700</v>
      </c>
      <c r="AY531">
        <v>200</v>
      </c>
      <c r="AZ531">
        <v>0</v>
      </c>
      <c r="BA531">
        <v>0</v>
      </c>
      <c r="BB531">
        <v>0</v>
      </c>
      <c r="BC531" t="s">
        <v>4842</v>
      </c>
      <c r="BD531" t="s">
        <v>4878</v>
      </c>
      <c r="BE531" t="s">
        <v>3</v>
      </c>
      <c r="BF531" t="s">
        <v>3</v>
      </c>
      <c r="BG531" t="s">
        <v>3</v>
      </c>
      <c r="BH531" t="s">
        <v>3</v>
      </c>
      <c r="BI531" t="s">
        <v>3</v>
      </c>
      <c r="BJ531" t="s">
        <v>4998</v>
      </c>
      <c r="BK531" t="s">
        <v>3</v>
      </c>
      <c r="BL531" t="s">
        <v>96</v>
      </c>
      <c r="BM531" t="s">
        <v>1</v>
      </c>
      <c r="BN531">
        <v>12900</v>
      </c>
      <c r="BO531" t="s">
        <v>1</v>
      </c>
      <c r="BP531" t="s">
        <v>1</v>
      </c>
      <c r="BQ531" t="s">
        <v>1</v>
      </c>
      <c r="BR531" t="s">
        <v>1</v>
      </c>
      <c r="BS531" t="s">
        <v>1</v>
      </c>
      <c r="BT531" t="s">
        <v>1</v>
      </c>
      <c r="BU531" t="s">
        <v>1</v>
      </c>
      <c r="BV531" t="s">
        <v>1</v>
      </c>
      <c r="BW531" t="s">
        <v>0</v>
      </c>
      <c r="BX531" t="s">
        <v>1</v>
      </c>
      <c r="BY531" t="s">
        <v>1</v>
      </c>
      <c r="BZ531" t="s">
        <v>1</v>
      </c>
      <c r="CA531" t="s">
        <v>1</v>
      </c>
      <c r="CB531" t="s">
        <v>1</v>
      </c>
      <c r="CD531" t="e" cm="1">
        <f t="array" aca="1" ref="CD531" ca="1">eConcatenar(A531:CB531,"|")</f>
        <v>#NAME?</v>
      </c>
    </row>
    <row r="532" spans="1:82" x14ac:dyDescent="0.25">
      <c r="A532" t="s">
        <v>627</v>
      </c>
      <c r="B532" t="s">
        <v>1641</v>
      </c>
      <c r="C532">
        <v>3</v>
      </c>
      <c r="D532" t="s">
        <v>2153</v>
      </c>
      <c r="E532" t="s">
        <v>2158</v>
      </c>
      <c r="F532" t="s">
        <v>2159</v>
      </c>
      <c r="G532" t="s">
        <v>2470</v>
      </c>
      <c r="H532" t="s">
        <v>2938</v>
      </c>
      <c r="I532">
        <v>14800</v>
      </c>
      <c r="J532">
        <v>0</v>
      </c>
      <c r="K532">
        <v>200</v>
      </c>
      <c r="L532">
        <v>50</v>
      </c>
      <c r="M532">
        <v>1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 t="s">
        <v>3302</v>
      </c>
      <c r="AC532" t="s">
        <v>3214</v>
      </c>
      <c r="AD532" t="s">
        <v>3278</v>
      </c>
      <c r="AE532" t="s">
        <v>4</v>
      </c>
      <c r="AF532" t="s">
        <v>1</v>
      </c>
      <c r="AG532" t="s">
        <v>1</v>
      </c>
      <c r="AH532" t="s">
        <v>4481</v>
      </c>
      <c r="AI532" t="s">
        <v>2470</v>
      </c>
      <c r="AJ532" t="s">
        <v>1</v>
      </c>
      <c r="AK532">
        <v>9332074236</v>
      </c>
      <c r="AL532" t="s">
        <v>1</v>
      </c>
      <c r="AM532" t="s">
        <v>1</v>
      </c>
      <c r="AN532" t="s">
        <v>1</v>
      </c>
      <c r="AO532" t="s">
        <v>4481</v>
      </c>
      <c r="AP532" t="s">
        <v>1</v>
      </c>
      <c r="AQ532" t="s">
        <v>2</v>
      </c>
      <c r="AR532" t="s">
        <v>1</v>
      </c>
      <c r="AS532" t="s">
        <v>1</v>
      </c>
      <c r="AT532" t="s">
        <v>1</v>
      </c>
      <c r="AU532" t="s">
        <v>1</v>
      </c>
      <c r="AV532" t="s">
        <v>1</v>
      </c>
      <c r="AW532" t="s">
        <v>9</v>
      </c>
      <c r="AX532">
        <f>Tabla1[[#This Row],[precio del paquete]]-Tabla1[[#This Row],[Saldo_Deudor]]</f>
        <v>5700</v>
      </c>
      <c r="AY532">
        <v>9100</v>
      </c>
      <c r="AZ532">
        <v>0</v>
      </c>
      <c r="BA532">
        <v>0</v>
      </c>
      <c r="BB532">
        <v>0</v>
      </c>
      <c r="BC532" t="s">
        <v>4841</v>
      </c>
      <c r="BD532" t="s">
        <v>4926</v>
      </c>
      <c r="BE532" t="s">
        <v>3</v>
      </c>
      <c r="BF532" t="s">
        <v>3</v>
      </c>
      <c r="BG532" t="s">
        <v>3</v>
      </c>
      <c r="BH532" t="s">
        <v>3</v>
      </c>
      <c r="BI532" t="s">
        <v>3</v>
      </c>
      <c r="BJ532" t="s">
        <v>4998</v>
      </c>
      <c r="BK532" t="s">
        <v>3</v>
      </c>
      <c r="BL532" t="s">
        <v>96</v>
      </c>
      <c r="BM532" t="s">
        <v>1</v>
      </c>
      <c r="BN532">
        <v>14800</v>
      </c>
      <c r="BO532" t="s">
        <v>1</v>
      </c>
      <c r="BP532" t="s">
        <v>1</v>
      </c>
      <c r="BQ532" t="s">
        <v>1</v>
      </c>
      <c r="BR532" t="s">
        <v>1</v>
      </c>
      <c r="BS532" t="s">
        <v>1</v>
      </c>
      <c r="BT532" t="s">
        <v>1</v>
      </c>
      <c r="BU532" t="s">
        <v>1</v>
      </c>
      <c r="BV532" t="s">
        <v>1</v>
      </c>
      <c r="BW532" t="s">
        <v>0</v>
      </c>
      <c r="BX532" t="s">
        <v>1</v>
      </c>
      <c r="BY532" t="s">
        <v>1</v>
      </c>
      <c r="BZ532" t="s">
        <v>1</v>
      </c>
      <c r="CA532" t="s">
        <v>1</v>
      </c>
      <c r="CB532" t="s">
        <v>1</v>
      </c>
      <c r="CD532" t="e" cm="1">
        <f t="array" aca="1" ref="CD532" ca="1">eConcatenar(A532:CB532,"|")</f>
        <v>#NAME?</v>
      </c>
    </row>
    <row r="533" spans="1:82" x14ac:dyDescent="0.25">
      <c r="A533" t="s">
        <v>628</v>
      </c>
      <c r="B533" t="s">
        <v>1642</v>
      </c>
      <c r="C533">
        <v>3</v>
      </c>
      <c r="D533" t="s">
        <v>2153</v>
      </c>
      <c r="E533" t="s">
        <v>10</v>
      </c>
      <c r="F533" t="s">
        <v>2159</v>
      </c>
      <c r="G533" t="s">
        <v>2471</v>
      </c>
      <c r="H533" t="s">
        <v>2866</v>
      </c>
      <c r="I533">
        <v>14800</v>
      </c>
      <c r="J533">
        <v>0</v>
      </c>
      <c r="K533">
        <v>200</v>
      </c>
      <c r="L533">
        <v>50</v>
      </c>
      <c r="M533">
        <v>2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 t="s">
        <v>3193</v>
      </c>
      <c r="AC533" t="s">
        <v>3214</v>
      </c>
      <c r="AD533" t="s">
        <v>3666</v>
      </c>
      <c r="AE533" t="s">
        <v>4</v>
      </c>
      <c r="AF533" t="s">
        <v>1</v>
      </c>
      <c r="AG533" t="s">
        <v>1</v>
      </c>
      <c r="AH533" t="s">
        <v>4482</v>
      </c>
      <c r="AI533" t="s">
        <v>2471</v>
      </c>
      <c r="AJ533" t="s">
        <v>1</v>
      </c>
      <c r="AK533">
        <v>9331681189</v>
      </c>
      <c r="AL533" t="s">
        <v>1</v>
      </c>
      <c r="AM533" t="s">
        <v>1</v>
      </c>
      <c r="AN533" t="s">
        <v>1</v>
      </c>
      <c r="AO533" t="s">
        <v>4482</v>
      </c>
      <c r="AP533" t="s">
        <v>1</v>
      </c>
      <c r="AQ533" t="s">
        <v>2</v>
      </c>
      <c r="AR533" t="s">
        <v>1</v>
      </c>
      <c r="AS533" t="s">
        <v>1</v>
      </c>
      <c r="AT533" t="s">
        <v>1</v>
      </c>
      <c r="AU533" t="s">
        <v>1</v>
      </c>
      <c r="AV533" t="s">
        <v>1</v>
      </c>
      <c r="AW533" t="s">
        <v>9</v>
      </c>
      <c r="AX533">
        <f>Tabla1[[#This Row],[precio del paquete]]-Tabla1[[#This Row],[Saldo_Deudor]]</f>
        <v>3200</v>
      </c>
      <c r="AY533">
        <v>11600</v>
      </c>
      <c r="AZ533">
        <v>0</v>
      </c>
      <c r="BA533">
        <v>0</v>
      </c>
      <c r="BB533">
        <v>0</v>
      </c>
      <c r="BC533" t="s">
        <v>4828</v>
      </c>
      <c r="BD533" t="s">
        <v>3098</v>
      </c>
      <c r="BE533" t="s">
        <v>3</v>
      </c>
      <c r="BF533" t="s">
        <v>3</v>
      </c>
      <c r="BG533" t="s">
        <v>3</v>
      </c>
      <c r="BH533" t="s">
        <v>3</v>
      </c>
      <c r="BI533" t="s">
        <v>3</v>
      </c>
      <c r="BJ533" t="s">
        <v>4993</v>
      </c>
      <c r="BK533" t="s">
        <v>3</v>
      </c>
      <c r="BL533" t="s">
        <v>96</v>
      </c>
      <c r="BM533" t="s">
        <v>1</v>
      </c>
      <c r="BN533">
        <v>14800</v>
      </c>
      <c r="BO533" t="s">
        <v>1</v>
      </c>
      <c r="BP533" t="s">
        <v>1</v>
      </c>
      <c r="BQ533" t="s">
        <v>1</v>
      </c>
      <c r="BR533" t="s">
        <v>1</v>
      </c>
      <c r="BS533" t="s">
        <v>1</v>
      </c>
      <c r="BT533" t="s">
        <v>1</v>
      </c>
      <c r="BU533" t="s">
        <v>1</v>
      </c>
      <c r="BV533" t="s">
        <v>1</v>
      </c>
      <c r="BW533" t="s">
        <v>0</v>
      </c>
      <c r="BX533" t="s">
        <v>1</v>
      </c>
      <c r="BY533" t="s">
        <v>1</v>
      </c>
      <c r="BZ533" t="s">
        <v>1</v>
      </c>
      <c r="CA533" t="s">
        <v>1</v>
      </c>
      <c r="CB533" t="s">
        <v>1</v>
      </c>
      <c r="CD533" t="e" cm="1">
        <f t="array" aca="1" ref="CD533" ca="1">eConcatenar(A533:CB533,"|")</f>
        <v>#NAME?</v>
      </c>
    </row>
    <row r="534" spans="1:82" x14ac:dyDescent="0.25">
      <c r="A534" t="s">
        <v>629</v>
      </c>
      <c r="B534" t="s">
        <v>1643</v>
      </c>
      <c r="C534">
        <v>3</v>
      </c>
      <c r="D534" t="s">
        <v>2153</v>
      </c>
      <c r="E534" t="s">
        <v>2158</v>
      </c>
      <c r="F534" t="s">
        <v>2159</v>
      </c>
      <c r="G534" t="s">
        <v>2472</v>
      </c>
      <c r="H534" t="s">
        <v>2866</v>
      </c>
      <c r="I534">
        <v>14800</v>
      </c>
      <c r="J534">
        <v>0</v>
      </c>
      <c r="K534">
        <v>50</v>
      </c>
      <c r="L534">
        <v>50</v>
      </c>
      <c r="M534">
        <v>1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 t="s">
        <v>3214</v>
      </c>
      <c r="AC534" t="s">
        <v>3152</v>
      </c>
      <c r="AD534" t="s">
        <v>3737</v>
      </c>
      <c r="AE534" t="s">
        <v>4</v>
      </c>
      <c r="AF534" t="s">
        <v>1</v>
      </c>
      <c r="AG534" t="s">
        <v>1</v>
      </c>
      <c r="AH534" t="s">
        <v>4483</v>
      </c>
      <c r="AI534" t="s">
        <v>2472</v>
      </c>
      <c r="AJ534" t="s">
        <v>1</v>
      </c>
      <c r="AK534">
        <v>9331478823</v>
      </c>
      <c r="AL534" t="s">
        <v>1</v>
      </c>
      <c r="AM534" t="s">
        <v>1</v>
      </c>
      <c r="AN534" t="s">
        <v>1</v>
      </c>
      <c r="AO534" t="s">
        <v>4483</v>
      </c>
      <c r="AP534" t="s">
        <v>1</v>
      </c>
      <c r="AQ534" t="s">
        <v>2</v>
      </c>
      <c r="AR534" t="s">
        <v>1</v>
      </c>
      <c r="AS534" t="s">
        <v>1</v>
      </c>
      <c r="AT534" t="s">
        <v>1</v>
      </c>
      <c r="AU534" t="s">
        <v>1</v>
      </c>
      <c r="AV534" t="s">
        <v>1</v>
      </c>
      <c r="AW534" t="s">
        <v>9</v>
      </c>
      <c r="AX534">
        <f>Tabla1[[#This Row],[precio del paquete]]-Tabla1[[#This Row],[Saldo_Deudor]]</f>
        <v>650</v>
      </c>
      <c r="AY534">
        <v>14150</v>
      </c>
      <c r="AZ534">
        <v>0</v>
      </c>
      <c r="BA534">
        <v>0</v>
      </c>
      <c r="BB534">
        <v>0</v>
      </c>
      <c r="BC534" t="s">
        <v>4865</v>
      </c>
      <c r="BD534" t="s">
        <v>4889</v>
      </c>
      <c r="BE534" t="s">
        <v>3</v>
      </c>
      <c r="BF534" t="s">
        <v>3</v>
      </c>
      <c r="BG534" t="s">
        <v>3</v>
      </c>
      <c r="BH534" t="s">
        <v>3</v>
      </c>
      <c r="BI534" t="s">
        <v>3</v>
      </c>
      <c r="BJ534" t="s">
        <v>4993</v>
      </c>
      <c r="BK534" t="s">
        <v>3</v>
      </c>
      <c r="BL534" t="s">
        <v>96</v>
      </c>
      <c r="BM534" t="s">
        <v>1</v>
      </c>
      <c r="BN534">
        <v>14800</v>
      </c>
      <c r="BO534" t="s">
        <v>1</v>
      </c>
      <c r="BP534" t="s">
        <v>1</v>
      </c>
      <c r="BQ534" t="s">
        <v>1</v>
      </c>
      <c r="BR534" t="s">
        <v>1</v>
      </c>
      <c r="BS534" t="s">
        <v>1</v>
      </c>
      <c r="BT534" t="s">
        <v>1</v>
      </c>
      <c r="BU534" t="s">
        <v>1</v>
      </c>
      <c r="BV534" t="s">
        <v>1</v>
      </c>
      <c r="BW534" t="s">
        <v>0</v>
      </c>
      <c r="BX534" t="s">
        <v>1</v>
      </c>
      <c r="BY534" t="s">
        <v>1</v>
      </c>
      <c r="BZ534" t="s">
        <v>1</v>
      </c>
      <c r="CA534" t="s">
        <v>1</v>
      </c>
      <c r="CB534" t="s">
        <v>1</v>
      </c>
      <c r="CD534" t="e" cm="1">
        <f t="array" aca="1" ref="CD534" ca="1">eConcatenar(A534:CB534,"|")</f>
        <v>#NAME?</v>
      </c>
    </row>
    <row r="535" spans="1:82" x14ac:dyDescent="0.25">
      <c r="A535" t="s">
        <v>630</v>
      </c>
      <c r="B535" t="s">
        <v>1644</v>
      </c>
      <c r="C535">
        <v>3</v>
      </c>
      <c r="D535" t="s">
        <v>2153</v>
      </c>
      <c r="E535" t="s">
        <v>2158</v>
      </c>
      <c r="F535" t="s">
        <v>0</v>
      </c>
      <c r="G535" t="s">
        <v>2473</v>
      </c>
      <c r="H535" t="s">
        <v>2943</v>
      </c>
      <c r="I535">
        <v>14200</v>
      </c>
      <c r="J535">
        <v>0</v>
      </c>
      <c r="K535">
        <v>200</v>
      </c>
      <c r="L535">
        <v>50</v>
      </c>
      <c r="M535">
        <v>1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 t="s">
        <v>3337</v>
      </c>
      <c r="AC535" t="s">
        <v>3738</v>
      </c>
      <c r="AD535" t="s">
        <v>3739</v>
      </c>
      <c r="AE535" t="s">
        <v>4</v>
      </c>
      <c r="AF535" t="s">
        <v>1</v>
      </c>
      <c r="AG535" t="s">
        <v>1</v>
      </c>
      <c r="AH535" t="s">
        <v>4484</v>
      </c>
      <c r="AI535" t="s">
        <v>2473</v>
      </c>
      <c r="AJ535" t="s">
        <v>1</v>
      </c>
      <c r="AK535">
        <v>9371099383</v>
      </c>
      <c r="AL535" t="s">
        <v>1</v>
      </c>
      <c r="AM535" t="s">
        <v>1</v>
      </c>
      <c r="AN535" t="s">
        <v>1</v>
      </c>
      <c r="AO535" t="s">
        <v>4484</v>
      </c>
      <c r="AP535" t="s">
        <v>1</v>
      </c>
      <c r="AQ535" t="s">
        <v>2</v>
      </c>
      <c r="AR535" t="s">
        <v>1</v>
      </c>
      <c r="AS535" t="s">
        <v>1</v>
      </c>
      <c r="AT535" t="s">
        <v>1</v>
      </c>
      <c r="AU535" t="s">
        <v>1</v>
      </c>
      <c r="AV535" t="s">
        <v>1</v>
      </c>
      <c r="AW535" t="s">
        <v>9</v>
      </c>
      <c r="AX535">
        <f>Tabla1[[#This Row],[precio del paquete]]-Tabla1[[#This Row],[Saldo_Deudor]]</f>
        <v>0</v>
      </c>
      <c r="AY535">
        <v>14200</v>
      </c>
      <c r="AZ535">
        <v>0</v>
      </c>
      <c r="BA535">
        <v>0</v>
      </c>
      <c r="BB535">
        <v>0</v>
      </c>
      <c r="BC535" t="s">
        <v>4866</v>
      </c>
      <c r="BD535" t="s">
        <v>3005</v>
      </c>
      <c r="BE535" t="s">
        <v>3</v>
      </c>
      <c r="BF535" t="s">
        <v>3</v>
      </c>
      <c r="BG535" t="s">
        <v>3</v>
      </c>
      <c r="BH535" t="s">
        <v>3</v>
      </c>
      <c r="BI535" t="s">
        <v>3</v>
      </c>
      <c r="BJ535" t="s">
        <v>4993</v>
      </c>
      <c r="BK535" t="s">
        <v>3</v>
      </c>
      <c r="BL535" t="s">
        <v>96</v>
      </c>
      <c r="BM535" t="s">
        <v>1</v>
      </c>
      <c r="BN535">
        <v>14200</v>
      </c>
      <c r="BO535" t="s">
        <v>1</v>
      </c>
      <c r="BP535" t="s">
        <v>1</v>
      </c>
      <c r="BQ535" t="s">
        <v>1</v>
      </c>
      <c r="BR535" t="s">
        <v>1</v>
      </c>
      <c r="BS535" t="s">
        <v>1</v>
      </c>
      <c r="BT535" t="s">
        <v>1</v>
      </c>
      <c r="BU535" t="s">
        <v>1</v>
      </c>
      <c r="BV535" t="s">
        <v>1</v>
      </c>
      <c r="BW535" t="s">
        <v>0</v>
      </c>
      <c r="BX535" t="s">
        <v>1</v>
      </c>
      <c r="BY535" t="s">
        <v>1</v>
      </c>
      <c r="BZ535" t="s">
        <v>1</v>
      </c>
      <c r="CA535" t="s">
        <v>1</v>
      </c>
      <c r="CB535" t="s">
        <v>1</v>
      </c>
      <c r="CD535" t="e" cm="1">
        <f t="array" aca="1" ref="CD535" ca="1">eConcatenar(A535:CB535,"|")</f>
        <v>#NAME?</v>
      </c>
    </row>
    <row r="536" spans="1:82" x14ac:dyDescent="0.25">
      <c r="A536" t="s">
        <v>631</v>
      </c>
      <c r="B536" t="s">
        <v>1645</v>
      </c>
      <c r="C536">
        <v>3</v>
      </c>
      <c r="D536" t="s">
        <v>2155</v>
      </c>
      <c r="E536" t="s">
        <v>2158</v>
      </c>
      <c r="F536" t="s">
        <v>2159</v>
      </c>
      <c r="G536" t="s">
        <v>2474</v>
      </c>
      <c r="H536" t="s">
        <v>2944</v>
      </c>
      <c r="I536">
        <v>12900</v>
      </c>
      <c r="J536">
        <v>0</v>
      </c>
      <c r="K536">
        <v>200</v>
      </c>
      <c r="L536">
        <v>50</v>
      </c>
      <c r="M536">
        <v>1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 t="s">
        <v>3177</v>
      </c>
      <c r="AC536" t="s">
        <v>3379</v>
      </c>
      <c r="AD536" t="s">
        <v>3740</v>
      </c>
      <c r="AE536" t="s">
        <v>4</v>
      </c>
      <c r="AF536" t="s">
        <v>1</v>
      </c>
      <c r="AG536" t="s">
        <v>1</v>
      </c>
      <c r="AH536" t="s">
        <v>4485</v>
      </c>
      <c r="AI536" t="s">
        <v>2474</v>
      </c>
      <c r="AJ536" t="s">
        <v>1</v>
      </c>
      <c r="AK536">
        <v>9332087717</v>
      </c>
      <c r="AL536" t="s">
        <v>1</v>
      </c>
      <c r="AM536" t="s">
        <v>1</v>
      </c>
      <c r="AN536" t="s">
        <v>1</v>
      </c>
      <c r="AO536" t="s">
        <v>4485</v>
      </c>
      <c r="AP536" t="s">
        <v>1</v>
      </c>
      <c r="AQ536" t="s">
        <v>2</v>
      </c>
      <c r="AR536" t="s">
        <v>1</v>
      </c>
      <c r="AS536" t="s">
        <v>1</v>
      </c>
      <c r="AT536" t="s">
        <v>1</v>
      </c>
      <c r="AU536" t="s">
        <v>1</v>
      </c>
      <c r="AV536" t="s">
        <v>1</v>
      </c>
      <c r="AW536" t="s">
        <v>9</v>
      </c>
      <c r="AX536">
        <f>Tabla1[[#This Row],[precio del paquete]]-Tabla1[[#This Row],[Saldo_Deudor]]</f>
        <v>4700</v>
      </c>
      <c r="AY536">
        <v>8200</v>
      </c>
      <c r="AZ536">
        <v>0</v>
      </c>
      <c r="BA536">
        <v>0</v>
      </c>
      <c r="BB536">
        <v>0</v>
      </c>
      <c r="BC536" t="s">
        <v>3102</v>
      </c>
      <c r="BD536" t="s">
        <v>4897</v>
      </c>
      <c r="BE536" t="s">
        <v>3</v>
      </c>
      <c r="BF536" t="s">
        <v>3</v>
      </c>
      <c r="BG536" t="s">
        <v>3</v>
      </c>
      <c r="BH536" t="s">
        <v>3</v>
      </c>
      <c r="BI536" t="s">
        <v>3</v>
      </c>
      <c r="BJ536" t="s">
        <v>4995</v>
      </c>
      <c r="BK536" t="s">
        <v>3</v>
      </c>
      <c r="BL536" t="s">
        <v>96</v>
      </c>
      <c r="BM536" t="s">
        <v>1</v>
      </c>
      <c r="BN536">
        <v>12900</v>
      </c>
      <c r="BO536" t="s">
        <v>1</v>
      </c>
      <c r="BP536" t="s">
        <v>1</v>
      </c>
      <c r="BQ536" t="s">
        <v>1</v>
      </c>
      <c r="BR536" t="s">
        <v>1</v>
      </c>
      <c r="BS536" t="s">
        <v>1</v>
      </c>
      <c r="BT536" t="s">
        <v>1</v>
      </c>
      <c r="BU536" t="s">
        <v>1</v>
      </c>
      <c r="BV536" t="s">
        <v>1</v>
      </c>
      <c r="BW536" t="s">
        <v>0</v>
      </c>
      <c r="BX536" t="s">
        <v>1</v>
      </c>
      <c r="BY536" t="s">
        <v>1</v>
      </c>
      <c r="BZ536" t="s">
        <v>1</v>
      </c>
      <c r="CA536" t="s">
        <v>1</v>
      </c>
      <c r="CB536" t="s">
        <v>1</v>
      </c>
      <c r="CD536" t="e" cm="1">
        <f t="array" aca="1" ref="CD536" ca="1">eConcatenar(A536:CB536,"|")</f>
        <v>#NAME?</v>
      </c>
    </row>
    <row r="537" spans="1:82" x14ac:dyDescent="0.25">
      <c r="A537" t="s">
        <v>632</v>
      </c>
      <c r="B537" t="s">
        <v>1646</v>
      </c>
      <c r="C537">
        <v>3</v>
      </c>
      <c r="D537" t="s">
        <v>2153</v>
      </c>
      <c r="E537" t="s">
        <v>2158</v>
      </c>
      <c r="F537" t="s">
        <v>2162</v>
      </c>
      <c r="G537" t="s">
        <v>2475</v>
      </c>
      <c r="H537" t="s">
        <v>2945</v>
      </c>
      <c r="I537">
        <v>14800</v>
      </c>
      <c r="J537">
        <v>0</v>
      </c>
      <c r="K537">
        <v>1000</v>
      </c>
      <c r="L537">
        <v>50</v>
      </c>
      <c r="M537">
        <v>1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 t="s">
        <v>3117</v>
      </c>
      <c r="AC537" t="s">
        <v>6</v>
      </c>
      <c r="AD537" t="s">
        <v>3741</v>
      </c>
      <c r="AE537" t="s">
        <v>4</v>
      </c>
      <c r="AF537" t="s">
        <v>1</v>
      </c>
      <c r="AG537" t="s">
        <v>1</v>
      </c>
      <c r="AH537" t="s">
        <v>4486</v>
      </c>
      <c r="AI537" t="s">
        <v>2475</v>
      </c>
      <c r="AJ537" t="s">
        <v>1</v>
      </c>
      <c r="AK537">
        <v>9331540437</v>
      </c>
      <c r="AL537" t="s">
        <v>1</v>
      </c>
      <c r="AM537" t="s">
        <v>1</v>
      </c>
      <c r="AN537" t="s">
        <v>1</v>
      </c>
      <c r="AO537" t="s">
        <v>4486</v>
      </c>
      <c r="AP537" t="s">
        <v>1</v>
      </c>
      <c r="AQ537" t="s">
        <v>2</v>
      </c>
      <c r="AR537" t="s">
        <v>1</v>
      </c>
      <c r="AS537" t="s">
        <v>1</v>
      </c>
      <c r="AT537" t="s">
        <v>1</v>
      </c>
      <c r="AU537" t="s">
        <v>1</v>
      </c>
      <c r="AV537" t="s">
        <v>1</v>
      </c>
      <c r="AW537" t="s">
        <v>9</v>
      </c>
      <c r="AX537">
        <f>Tabla1[[#This Row],[precio del paquete]]-Tabla1[[#This Row],[Saldo_Deudor]]</f>
        <v>1500</v>
      </c>
      <c r="AY537">
        <v>13300</v>
      </c>
      <c r="AZ537">
        <v>0</v>
      </c>
      <c r="BA537">
        <v>0</v>
      </c>
      <c r="BB537">
        <v>0</v>
      </c>
      <c r="BC537" t="s">
        <v>2711</v>
      </c>
      <c r="BD537" t="s">
        <v>2712</v>
      </c>
      <c r="BE537" t="s">
        <v>3</v>
      </c>
      <c r="BF537" t="s">
        <v>3</v>
      </c>
      <c r="BG537" t="s">
        <v>3</v>
      </c>
      <c r="BH537" t="s">
        <v>3</v>
      </c>
      <c r="BI537" t="s">
        <v>3</v>
      </c>
      <c r="BJ537" t="s">
        <v>5007</v>
      </c>
      <c r="BK537" t="s">
        <v>3</v>
      </c>
      <c r="BL537" t="s">
        <v>96</v>
      </c>
      <c r="BM537" t="s">
        <v>1</v>
      </c>
      <c r="BN537">
        <v>14800</v>
      </c>
      <c r="BO537" t="s">
        <v>1</v>
      </c>
      <c r="BP537" t="s">
        <v>1</v>
      </c>
      <c r="BQ537" t="s">
        <v>1</v>
      </c>
      <c r="BR537" t="s">
        <v>1</v>
      </c>
      <c r="BS537" t="s">
        <v>1</v>
      </c>
      <c r="BT537" t="s">
        <v>1</v>
      </c>
      <c r="BU537" t="s">
        <v>1</v>
      </c>
      <c r="BV537" t="s">
        <v>1</v>
      </c>
      <c r="BW537" t="s">
        <v>0</v>
      </c>
      <c r="BX537" t="s">
        <v>1</v>
      </c>
      <c r="BY537" t="s">
        <v>1</v>
      </c>
      <c r="BZ537" t="s">
        <v>1</v>
      </c>
      <c r="CA537" t="s">
        <v>1</v>
      </c>
      <c r="CB537" t="s">
        <v>1</v>
      </c>
      <c r="CD537" t="e" cm="1">
        <f t="array" aca="1" ref="CD537" ca="1">eConcatenar(A537:CB537,"|")</f>
        <v>#NAME?</v>
      </c>
    </row>
    <row r="538" spans="1:82" x14ac:dyDescent="0.25">
      <c r="A538" t="s">
        <v>633</v>
      </c>
      <c r="B538" t="s">
        <v>1647</v>
      </c>
      <c r="C538">
        <v>3</v>
      </c>
      <c r="D538" t="s">
        <v>2157</v>
      </c>
      <c r="E538" t="s">
        <v>2158</v>
      </c>
      <c r="F538" t="s">
        <v>2162</v>
      </c>
      <c r="G538" t="s">
        <v>2475</v>
      </c>
      <c r="H538" t="s">
        <v>2946</v>
      </c>
      <c r="I538">
        <v>12900</v>
      </c>
      <c r="J538">
        <v>0</v>
      </c>
      <c r="K538">
        <v>100</v>
      </c>
      <c r="L538">
        <v>50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 t="s">
        <v>3117</v>
      </c>
      <c r="AC538" t="s">
        <v>3117</v>
      </c>
      <c r="AD538" t="s">
        <v>3742</v>
      </c>
      <c r="AE538" t="s">
        <v>4</v>
      </c>
      <c r="AF538" t="s">
        <v>1</v>
      </c>
      <c r="AG538" t="s">
        <v>1</v>
      </c>
      <c r="AH538" t="s">
        <v>4487</v>
      </c>
      <c r="AI538" t="s">
        <v>2475</v>
      </c>
      <c r="AJ538" t="s">
        <v>1</v>
      </c>
      <c r="AK538">
        <v>993167171</v>
      </c>
      <c r="AL538" t="s">
        <v>1</v>
      </c>
      <c r="AM538" t="s">
        <v>1</v>
      </c>
      <c r="AN538" t="s">
        <v>1</v>
      </c>
      <c r="AO538" t="s">
        <v>4487</v>
      </c>
      <c r="AP538" t="s">
        <v>1</v>
      </c>
      <c r="AQ538" t="s">
        <v>2</v>
      </c>
      <c r="AR538" t="s">
        <v>1</v>
      </c>
      <c r="AS538" t="s">
        <v>1</v>
      </c>
      <c r="AT538" t="s">
        <v>1</v>
      </c>
      <c r="AU538" t="s">
        <v>1</v>
      </c>
      <c r="AV538" t="s">
        <v>1</v>
      </c>
      <c r="AW538" t="s">
        <v>9</v>
      </c>
      <c r="AX538">
        <f>Tabla1[[#This Row],[precio del paquete]]-Tabla1[[#This Row],[Saldo_Deudor]]</f>
        <v>0</v>
      </c>
      <c r="AY538">
        <v>12900</v>
      </c>
      <c r="AZ538">
        <v>0</v>
      </c>
      <c r="BA538">
        <v>0</v>
      </c>
      <c r="BB538">
        <v>0</v>
      </c>
      <c r="BC538" t="s">
        <v>2711</v>
      </c>
      <c r="BD538" t="s">
        <v>2712</v>
      </c>
      <c r="BE538" t="s">
        <v>3</v>
      </c>
      <c r="BF538" t="s">
        <v>3</v>
      </c>
      <c r="BG538" t="s">
        <v>3</v>
      </c>
      <c r="BH538" t="s">
        <v>3</v>
      </c>
      <c r="BI538" t="s">
        <v>3</v>
      </c>
      <c r="BJ538" t="s">
        <v>5001</v>
      </c>
      <c r="BK538" t="s">
        <v>3</v>
      </c>
      <c r="BL538" t="s">
        <v>96</v>
      </c>
      <c r="BM538" t="s">
        <v>1</v>
      </c>
      <c r="BN538">
        <v>12900</v>
      </c>
      <c r="BO538" t="s">
        <v>1</v>
      </c>
      <c r="BP538" t="s">
        <v>1</v>
      </c>
      <c r="BQ538" t="s">
        <v>1</v>
      </c>
      <c r="BR538" t="s">
        <v>1</v>
      </c>
      <c r="BS538" t="s">
        <v>1</v>
      </c>
      <c r="BT538" t="s">
        <v>1</v>
      </c>
      <c r="BU538" t="s">
        <v>1</v>
      </c>
      <c r="BV538" t="s">
        <v>1</v>
      </c>
      <c r="BW538" t="s">
        <v>0</v>
      </c>
      <c r="BX538" t="s">
        <v>1</v>
      </c>
      <c r="BY538" t="s">
        <v>1</v>
      </c>
      <c r="BZ538" t="s">
        <v>1</v>
      </c>
      <c r="CA538" t="s">
        <v>1</v>
      </c>
      <c r="CB538" t="s">
        <v>1</v>
      </c>
      <c r="CD538" t="e" cm="1">
        <f t="array" aca="1" ref="CD538" ca="1">eConcatenar(A538:CB538,"|")</f>
        <v>#NAME?</v>
      </c>
    </row>
    <row r="539" spans="1:82" x14ac:dyDescent="0.25">
      <c r="A539" t="s">
        <v>634</v>
      </c>
      <c r="B539" t="s">
        <v>1648</v>
      </c>
      <c r="C539">
        <v>3</v>
      </c>
      <c r="D539" t="s">
        <v>2153</v>
      </c>
      <c r="E539" t="s">
        <v>2158</v>
      </c>
      <c r="F539" t="s">
        <v>2162</v>
      </c>
      <c r="G539" t="s">
        <v>2476</v>
      </c>
      <c r="H539" t="s">
        <v>2947</v>
      </c>
      <c r="I539">
        <v>14800</v>
      </c>
      <c r="J539">
        <v>0</v>
      </c>
      <c r="K539">
        <v>200</v>
      </c>
      <c r="L539">
        <v>50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 t="s">
        <v>3115</v>
      </c>
      <c r="AC539" t="s">
        <v>3115</v>
      </c>
      <c r="AD539" t="s">
        <v>3743</v>
      </c>
      <c r="AE539" t="s">
        <v>4</v>
      </c>
      <c r="AF539" t="s">
        <v>1</v>
      </c>
      <c r="AG539" t="s">
        <v>1</v>
      </c>
      <c r="AH539" t="s">
        <v>4488</v>
      </c>
      <c r="AI539" t="s">
        <v>2476</v>
      </c>
      <c r="AJ539" t="s">
        <v>1</v>
      </c>
      <c r="AK539">
        <v>9371167264</v>
      </c>
      <c r="AL539" t="s">
        <v>1</v>
      </c>
      <c r="AM539" t="s">
        <v>1</v>
      </c>
      <c r="AN539" t="s">
        <v>1</v>
      </c>
      <c r="AO539" t="s">
        <v>4488</v>
      </c>
      <c r="AP539" t="s">
        <v>1</v>
      </c>
      <c r="AQ539" t="s">
        <v>2</v>
      </c>
      <c r="AR539" t="s">
        <v>1</v>
      </c>
      <c r="AS539" t="s">
        <v>1</v>
      </c>
      <c r="AT539" t="s">
        <v>1</v>
      </c>
      <c r="AU539" t="s">
        <v>1</v>
      </c>
      <c r="AV539" t="s">
        <v>1</v>
      </c>
      <c r="AW539" t="s">
        <v>9</v>
      </c>
      <c r="AX539">
        <f>Tabla1[[#This Row],[precio del paquete]]-Tabla1[[#This Row],[Saldo_Deudor]]</f>
        <v>2400</v>
      </c>
      <c r="AY539">
        <v>12400</v>
      </c>
      <c r="AZ539">
        <v>0</v>
      </c>
      <c r="BA539">
        <v>0</v>
      </c>
      <c r="BB539">
        <v>0</v>
      </c>
      <c r="BC539" t="s">
        <v>2905</v>
      </c>
      <c r="BD539" t="s">
        <v>3024</v>
      </c>
      <c r="BE539" t="s">
        <v>3</v>
      </c>
      <c r="BF539" t="s">
        <v>3</v>
      </c>
      <c r="BG539" t="s">
        <v>3</v>
      </c>
      <c r="BH539" t="s">
        <v>3</v>
      </c>
      <c r="BI539" t="s">
        <v>3</v>
      </c>
      <c r="BJ539" t="s">
        <v>5001</v>
      </c>
      <c r="BK539" t="s">
        <v>3</v>
      </c>
      <c r="BL539" t="s">
        <v>96</v>
      </c>
      <c r="BM539" t="s">
        <v>1</v>
      </c>
      <c r="BN539">
        <v>14800</v>
      </c>
      <c r="BO539" t="s">
        <v>1</v>
      </c>
      <c r="BP539" t="s">
        <v>1</v>
      </c>
      <c r="BQ539" t="s">
        <v>1</v>
      </c>
      <c r="BR539" t="s">
        <v>1</v>
      </c>
      <c r="BS539" t="s">
        <v>1</v>
      </c>
      <c r="BT539" t="s">
        <v>1</v>
      </c>
      <c r="BU539" t="s">
        <v>1</v>
      </c>
      <c r="BV539" t="s">
        <v>1</v>
      </c>
      <c r="BW539" t="s">
        <v>0</v>
      </c>
      <c r="BX539" t="s">
        <v>1</v>
      </c>
      <c r="BY539" t="s">
        <v>1</v>
      </c>
      <c r="BZ539" t="s">
        <v>1</v>
      </c>
      <c r="CA539" t="s">
        <v>1</v>
      </c>
      <c r="CB539" t="s">
        <v>1</v>
      </c>
      <c r="CD539" t="e" cm="1">
        <f t="array" aca="1" ref="CD539" ca="1">eConcatenar(A539:CB539,"|")</f>
        <v>#NAME?</v>
      </c>
    </row>
    <row r="540" spans="1:82" x14ac:dyDescent="0.25">
      <c r="A540" t="s">
        <v>635</v>
      </c>
      <c r="B540" t="s">
        <v>1649</v>
      </c>
      <c r="C540">
        <v>3</v>
      </c>
      <c r="D540" t="s">
        <v>2153</v>
      </c>
      <c r="E540" t="s">
        <v>10</v>
      </c>
      <c r="F540" t="s">
        <v>2159</v>
      </c>
      <c r="G540" t="s">
        <v>2477</v>
      </c>
      <c r="H540" t="s">
        <v>2698</v>
      </c>
      <c r="I540">
        <v>14800</v>
      </c>
      <c r="J540">
        <v>0</v>
      </c>
      <c r="K540">
        <v>100</v>
      </c>
      <c r="L540">
        <v>50</v>
      </c>
      <c r="M540">
        <v>2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 t="s">
        <v>3195</v>
      </c>
      <c r="AC540" t="s">
        <v>3214</v>
      </c>
      <c r="AD540" t="s">
        <v>3744</v>
      </c>
      <c r="AE540" t="s">
        <v>4</v>
      </c>
      <c r="AF540" t="s">
        <v>1</v>
      </c>
      <c r="AG540" t="s">
        <v>1</v>
      </c>
      <c r="AH540" t="s">
        <v>4489</v>
      </c>
      <c r="AI540" t="s">
        <v>2477</v>
      </c>
      <c r="AJ540" t="s">
        <v>1</v>
      </c>
      <c r="AK540">
        <v>9331224657</v>
      </c>
      <c r="AL540" t="s">
        <v>1</v>
      </c>
      <c r="AM540" t="s">
        <v>1</v>
      </c>
      <c r="AN540" t="s">
        <v>1</v>
      </c>
      <c r="AO540" t="s">
        <v>4489</v>
      </c>
      <c r="AP540" t="s">
        <v>1</v>
      </c>
      <c r="AQ540" t="s">
        <v>2</v>
      </c>
      <c r="AR540" t="s">
        <v>1</v>
      </c>
      <c r="AS540" t="s">
        <v>1</v>
      </c>
      <c r="AT540" t="s">
        <v>1</v>
      </c>
      <c r="AU540" t="s">
        <v>1</v>
      </c>
      <c r="AV540" t="s">
        <v>1</v>
      </c>
      <c r="AW540" t="s">
        <v>9</v>
      </c>
      <c r="AX540">
        <f>Tabla1[[#This Row],[precio del paquete]]-Tabla1[[#This Row],[Saldo_Deudor]]</f>
        <v>1600</v>
      </c>
      <c r="AY540">
        <v>13200</v>
      </c>
      <c r="AZ540">
        <v>0</v>
      </c>
      <c r="BA540">
        <v>0</v>
      </c>
      <c r="BB540">
        <v>0</v>
      </c>
      <c r="BC540" t="s">
        <v>2945</v>
      </c>
      <c r="BD540" t="s">
        <v>4918</v>
      </c>
      <c r="BE540" t="s">
        <v>3</v>
      </c>
      <c r="BF540" t="s">
        <v>3</v>
      </c>
      <c r="BG540" t="s">
        <v>3</v>
      </c>
      <c r="BH540" t="s">
        <v>3</v>
      </c>
      <c r="BI540" t="s">
        <v>3</v>
      </c>
      <c r="BJ540" t="s">
        <v>5000</v>
      </c>
      <c r="BK540" t="s">
        <v>3</v>
      </c>
      <c r="BL540" t="s">
        <v>96</v>
      </c>
      <c r="BM540" t="s">
        <v>1</v>
      </c>
      <c r="BN540">
        <v>14800</v>
      </c>
      <c r="BO540" t="s">
        <v>1</v>
      </c>
      <c r="BP540" t="s">
        <v>1</v>
      </c>
      <c r="BQ540" t="s">
        <v>1</v>
      </c>
      <c r="BR540" t="s">
        <v>1</v>
      </c>
      <c r="BS540" t="s">
        <v>1</v>
      </c>
      <c r="BT540" t="s">
        <v>1</v>
      </c>
      <c r="BU540" t="s">
        <v>1</v>
      </c>
      <c r="BV540" t="s">
        <v>1</v>
      </c>
      <c r="BW540" t="s">
        <v>0</v>
      </c>
      <c r="BX540" t="s">
        <v>1</v>
      </c>
      <c r="BY540" t="s">
        <v>1</v>
      </c>
      <c r="BZ540" t="s">
        <v>1</v>
      </c>
      <c r="CA540" t="s">
        <v>1</v>
      </c>
      <c r="CB540" t="s">
        <v>1</v>
      </c>
      <c r="CD540" t="e" cm="1">
        <f t="array" aca="1" ref="CD540" ca="1">eConcatenar(A540:CB540,"|")</f>
        <v>#NAME?</v>
      </c>
    </row>
    <row r="541" spans="1:82" x14ac:dyDescent="0.25">
      <c r="A541" t="s">
        <v>636</v>
      </c>
      <c r="B541" t="s">
        <v>1650</v>
      </c>
      <c r="C541">
        <v>3</v>
      </c>
      <c r="D541" t="s">
        <v>2153</v>
      </c>
      <c r="E541" t="s">
        <v>10</v>
      </c>
      <c r="F541" t="s">
        <v>2159</v>
      </c>
      <c r="G541" t="s">
        <v>2478</v>
      </c>
      <c r="H541" t="s">
        <v>2948</v>
      </c>
      <c r="I541">
        <v>14800</v>
      </c>
      <c r="J541">
        <v>0</v>
      </c>
      <c r="K541">
        <v>200</v>
      </c>
      <c r="L541">
        <v>50</v>
      </c>
      <c r="M541">
        <v>2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 t="s">
        <v>3745</v>
      </c>
      <c r="AC541" t="s">
        <v>3195</v>
      </c>
      <c r="AD541" t="s">
        <v>3257</v>
      </c>
      <c r="AE541" t="s">
        <v>4</v>
      </c>
      <c r="AF541" t="s">
        <v>1</v>
      </c>
      <c r="AG541" t="s">
        <v>1</v>
      </c>
      <c r="AH541" t="s">
        <v>4490</v>
      </c>
      <c r="AI541" t="s">
        <v>2478</v>
      </c>
      <c r="AJ541" t="s">
        <v>1</v>
      </c>
      <c r="AK541">
        <v>9331013209</v>
      </c>
      <c r="AL541" t="s">
        <v>1</v>
      </c>
      <c r="AM541" t="s">
        <v>1</v>
      </c>
      <c r="AN541" t="s">
        <v>1</v>
      </c>
      <c r="AO541" t="s">
        <v>4490</v>
      </c>
      <c r="AP541" t="s">
        <v>1</v>
      </c>
      <c r="AQ541" t="s">
        <v>2</v>
      </c>
      <c r="AR541" t="s">
        <v>1</v>
      </c>
      <c r="AS541" t="s">
        <v>1</v>
      </c>
      <c r="AT541" t="s">
        <v>1</v>
      </c>
      <c r="AU541" t="s">
        <v>1</v>
      </c>
      <c r="AV541" t="s">
        <v>1</v>
      </c>
      <c r="AW541" t="s">
        <v>9</v>
      </c>
      <c r="AX541">
        <f>Tabla1[[#This Row],[precio del paquete]]-Tabla1[[#This Row],[Saldo_Deudor]]</f>
        <v>12400</v>
      </c>
      <c r="AY541">
        <v>2400</v>
      </c>
      <c r="AZ541">
        <v>0</v>
      </c>
      <c r="BA541">
        <v>0</v>
      </c>
      <c r="BB541">
        <v>0</v>
      </c>
      <c r="BC541" t="s">
        <v>2945</v>
      </c>
      <c r="BD541" t="s">
        <v>4918</v>
      </c>
      <c r="BE541" t="s">
        <v>3</v>
      </c>
      <c r="BF541" t="s">
        <v>3</v>
      </c>
      <c r="BG541" t="s">
        <v>3</v>
      </c>
      <c r="BH541" t="s">
        <v>3</v>
      </c>
      <c r="BI541" t="s">
        <v>3</v>
      </c>
      <c r="BJ541" t="s">
        <v>4993</v>
      </c>
      <c r="BK541" t="s">
        <v>3</v>
      </c>
      <c r="BL541" t="s">
        <v>96</v>
      </c>
      <c r="BM541" t="s">
        <v>1</v>
      </c>
      <c r="BN541">
        <v>14800</v>
      </c>
      <c r="BO541" t="s">
        <v>1</v>
      </c>
      <c r="BP541" t="s">
        <v>1</v>
      </c>
      <c r="BQ541" t="s">
        <v>1</v>
      </c>
      <c r="BR541" t="s">
        <v>1</v>
      </c>
      <c r="BS541" t="s">
        <v>1</v>
      </c>
      <c r="BT541" t="s">
        <v>1</v>
      </c>
      <c r="BU541" t="s">
        <v>1</v>
      </c>
      <c r="BV541" t="s">
        <v>1</v>
      </c>
      <c r="BW541" t="s">
        <v>0</v>
      </c>
      <c r="BX541" t="s">
        <v>1</v>
      </c>
      <c r="BY541" t="s">
        <v>1</v>
      </c>
      <c r="BZ541" t="s">
        <v>1</v>
      </c>
      <c r="CA541" t="s">
        <v>1</v>
      </c>
      <c r="CB541" t="s">
        <v>1</v>
      </c>
      <c r="CD541" t="e" cm="1">
        <f t="array" aca="1" ref="CD541" ca="1">eConcatenar(A541:CB541,"|")</f>
        <v>#NAME?</v>
      </c>
    </row>
    <row r="542" spans="1:82" x14ac:dyDescent="0.25">
      <c r="A542" t="s">
        <v>637</v>
      </c>
      <c r="B542" t="s">
        <v>1651</v>
      </c>
      <c r="C542">
        <v>3</v>
      </c>
      <c r="D542" t="s">
        <v>2153</v>
      </c>
      <c r="E542" t="s">
        <v>2158</v>
      </c>
      <c r="F542" t="s">
        <v>0</v>
      </c>
      <c r="G542" t="s">
        <v>2479</v>
      </c>
      <c r="H542" t="s">
        <v>2743</v>
      </c>
      <c r="I542">
        <v>14800</v>
      </c>
      <c r="J542">
        <v>0</v>
      </c>
      <c r="K542">
        <v>500</v>
      </c>
      <c r="L542">
        <v>50</v>
      </c>
      <c r="M542">
        <v>2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 t="s">
        <v>3132</v>
      </c>
      <c r="AC542" t="s">
        <v>3236</v>
      </c>
      <c r="AD542" t="s">
        <v>3746</v>
      </c>
      <c r="AE542" t="s">
        <v>4</v>
      </c>
      <c r="AF542" t="s">
        <v>1</v>
      </c>
      <c r="AG542" t="s">
        <v>1</v>
      </c>
      <c r="AH542" t="s">
        <v>4491</v>
      </c>
      <c r="AI542" t="s">
        <v>2479</v>
      </c>
      <c r="AJ542" t="s">
        <v>1</v>
      </c>
      <c r="AK542">
        <v>9333293604</v>
      </c>
      <c r="AL542" t="s">
        <v>1</v>
      </c>
      <c r="AM542" t="s">
        <v>1</v>
      </c>
      <c r="AN542" t="s">
        <v>1</v>
      </c>
      <c r="AO542" t="s">
        <v>4491</v>
      </c>
      <c r="AP542" t="s">
        <v>1</v>
      </c>
      <c r="AQ542" t="s">
        <v>2</v>
      </c>
      <c r="AR542" t="s">
        <v>1</v>
      </c>
      <c r="AS542" t="s">
        <v>1</v>
      </c>
      <c r="AT542" t="s">
        <v>1</v>
      </c>
      <c r="AU542" t="s">
        <v>1</v>
      </c>
      <c r="AV542" t="s">
        <v>1</v>
      </c>
      <c r="AW542" t="s">
        <v>9</v>
      </c>
      <c r="AX542">
        <f>Tabla1[[#This Row],[precio del paquete]]-Tabla1[[#This Row],[Saldo_Deudor]]</f>
        <v>500</v>
      </c>
      <c r="AY542">
        <v>14300</v>
      </c>
      <c r="AZ542">
        <v>0</v>
      </c>
      <c r="BA542">
        <v>0</v>
      </c>
      <c r="BB542">
        <v>0</v>
      </c>
      <c r="BC542" t="s">
        <v>4867</v>
      </c>
      <c r="BD542" t="s">
        <v>4954</v>
      </c>
      <c r="BE542" t="s">
        <v>3</v>
      </c>
      <c r="BF542" t="s">
        <v>3</v>
      </c>
      <c r="BG542" t="s">
        <v>3</v>
      </c>
      <c r="BH542" t="s">
        <v>3</v>
      </c>
      <c r="BI542" t="s">
        <v>3</v>
      </c>
      <c r="BJ542" t="s">
        <v>4993</v>
      </c>
      <c r="BK542" t="s">
        <v>3</v>
      </c>
      <c r="BL542" t="s">
        <v>96</v>
      </c>
      <c r="BM542" t="s">
        <v>1</v>
      </c>
      <c r="BN542">
        <v>14800</v>
      </c>
      <c r="BO542" t="s">
        <v>1</v>
      </c>
      <c r="BP542" t="s">
        <v>1</v>
      </c>
      <c r="BQ542" t="s">
        <v>1</v>
      </c>
      <c r="BR542" t="s">
        <v>1</v>
      </c>
      <c r="BS542" t="s">
        <v>1</v>
      </c>
      <c r="BT542" t="s">
        <v>1</v>
      </c>
      <c r="BU542" t="s">
        <v>1</v>
      </c>
      <c r="BV542" t="s">
        <v>1</v>
      </c>
      <c r="BW542" t="s">
        <v>0</v>
      </c>
      <c r="BX542" t="s">
        <v>1</v>
      </c>
      <c r="BY542" t="s">
        <v>1</v>
      </c>
      <c r="BZ542" t="s">
        <v>1</v>
      </c>
      <c r="CA542" t="s">
        <v>1</v>
      </c>
      <c r="CB542" t="s">
        <v>1</v>
      </c>
      <c r="CD542" t="e" cm="1">
        <f t="array" aca="1" ref="CD542" ca="1">eConcatenar(A542:CB542,"|")</f>
        <v>#NAME?</v>
      </c>
    </row>
    <row r="543" spans="1:82" x14ac:dyDescent="0.25">
      <c r="A543" t="s">
        <v>638</v>
      </c>
      <c r="B543" t="s">
        <v>1652</v>
      </c>
      <c r="C543">
        <v>3</v>
      </c>
      <c r="D543" t="s">
        <v>2157</v>
      </c>
      <c r="E543" t="s">
        <v>2158</v>
      </c>
      <c r="F543" t="s">
        <v>2161</v>
      </c>
      <c r="G543" t="s">
        <v>2480</v>
      </c>
      <c r="H543" t="s">
        <v>2949</v>
      </c>
      <c r="I543">
        <v>12900</v>
      </c>
      <c r="J543">
        <v>0</v>
      </c>
      <c r="K543">
        <v>200</v>
      </c>
      <c r="L543">
        <v>50</v>
      </c>
      <c r="M543">
        <v>1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 t="s">
        <v>3138</v>
      </c>
      <c r="AC543" t="s">
        <v>3137</v>
      </c>
      <c r="AD543" t="s">
        <v>3747</v>
      </c>
      <c r="AE543" t="s">
        <v>4</v>
      </c>
      <c r="AF543" t="s">
        <v>1</v>
      </c>
      <c r="AG543" t="s">
        <v>1</v>
      </c>
      <c r="AH543" t="s">
        <v>4492</v>
      </c>
      <c r="AI543" t="s">
        <v>2480</v>
      </c>
      <c r="AJ543" t="s">
        <v>1</v>
      </c>
      <c r="AK543" t="s">
        <v>1</v>
      </c>
      <c r="AL543" t="s">
        <v>1</v>
      </c>
      <c r="AM543" t="s">
        <v>1</v>
      </c>
      <c r="AN543" t="s">
        <v>1</v>
      </c>
      <c r="AO543" t="s">
        <v>4492</v>
      </c>
      <c r="AP543" t="s">
        <v>1</v>
      </c>
      <c r="AQ543" t="s">
        <v>2</v>
      </c>
      <c r="AR543" t="s">
        <v>1</v>
      </c>
      <c r="AS543" t="s">
        <v>1</v>
      </c>
      <c r="AT543" t="s">
        <v>1</v>
      </c>
      <c r="AU543" t="s">
        <v>1</v>
      </c>
      <c r="AV543" t="s">
        <v>1</v>
      </c>
      <c r="AW543" t="s">
        <v>9</v>
      </c>
      <c r="AX543">
        <f>Tabla1[[#This Row],[precio del paquete]]-Tabla1[[#This Row],[Saldo_Deudor]]</f>
        <v>5400</v>
      </c>
      <c r="AY543">
        <v>7500</v>
      </c>
      <c r="AZ543">
        <v>0</v>
      </c>
      <c r="BA543">
        <v>0</v>
      </c>
      <c r="BB543">
        <v>0</v>
      </c>
      <c r="BC543" t="s">
        <v>3078</v>
      </c>
      <c r="BD543" t="s">
        <v>4827</v>
      </c>
      <c r="BE543" t="s">
        <v>3</v>
      </c>
      <c r="BF543" t="s">
        <v>3</v>
      </c>
      <c r="BG543" t="s">
        <v>3</v>
      </c>
      <c r="BH543" t="s">
        <v>3</v>
      </c>
      <c r="BI543" t="s">
        <v>3</v>
      </c>
      <c r="BJ543" t="s">
        <v>4985</v>
      </c>
      <c r="BK543" t="s">
        <v>3</v>
      </c>
      <c r="BL543" t="s">
        <v>96</v>
      </c>
      <c r="BM543" t="s">
        <v>1</v>
      </c>
      <c r="BN543">
        <v>12900</v>
      </c>
      <c r="BO543" t="s">
        <v>1</v>
      </c>
      <c r="BP543" t="s">
        <v>1</v>
      </c>
      <c r="BQ543" t="s">
        <v>1</v>
      </c>
      <c r="BR543" t="s">
        <v>1</v>
      </c>
      <c r="BS543" t="s">
        <v>1</v>
      </c>
      <c r="BT543" t="s">
        <v>1</v>
      </c>
      <c r="BU543" t="s">
        <v>1</v>
      </c>
      <c r="BV543" t="s">
        <v>1</v>
      </c>
      <c r="BW543" t="s">
        <v>0</v>
      </c>
      <c r="BX543" t="s">
        <v>1</v>
      </c>
      <c r="BY543" t="s">
        <v>1</v>
      </c>
      <c r="BZ543" t="s">
        <v>1</v>
      </c>
      <c r="CA543" t="s">
        <v>1</v>
      </c>
      <c r="CB543" t="s">
        <v>1</v>
      </c>
      <c r="CD543" t="e" cm="1">
        <f t="array" aca="1" ref="CD543" ca="1">eConcatenar(A543:CB543,"|")</f>
        <v>#NAME?</v>
      </c>
    </row>
    <row r="544" spans="1:82" x14ac:dyDescent="0.25">
      <c r="A544" t="s">
        <v>639</v>
      </c>
      <c r="B544" t="s">
        <v>1653</v>
      </c>
      <c r="C544">
        <v>3</v>
      </c>
      <c r="D544" t="s">
        <v>2153</v>
      </c>
      <c r="E544" t="s">
        <v>2158</v>
      </c>
      <c r="F544" t="s">
        <v>0</v>
      </c>
      <c r="G544" t="s">
        <v>2481</v>
      </c>
      <c r="H544" t="s">
        <v>2781</v>
      </c>
      <c r="I544">
        <v>14800</v>
      </c>
      <c r="J544">
        <v>0</v>
      </c>
      <c r="K544">
        <v>200</v>
      </c>
      <c r="L544">
        <v>50</v>
      </c>
      <c r="M544">
        <v>2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 t="s">
        <v>3748</v>
      </c>
      <c r="AC544" t="s">
        <v>3354</v>
      </c>
      <c r="AD544" t="s">
        <v>3285</v>
      </c>
      <c r="AE544" t="s">
        <v>4</v>
      </c>
      <c r="AF544" t="s">
        <v>1</v>
      </c>
      <c r="AG544" t="s">
        <v>1</v>
      </c>
      <c r="AH544" t="s">
        <v>4493</v>
      </c>
      <c r="AI544" t="s">
        <v>2481</v>
      </c>
      <c r="AJ544" t="s">
        <v>1</v>
      </c>
      <c r="AK544">
        <v>9141133458</v>
      </c>
      <c r="AL544" t="s">
        <v>1</v>
      </c>
      <c r="AM544" t="s">
        <v>1</v>
      </c>
      <c r="AN544" t="s">
        <v>1</v>
      </c>
      <c r="AO544" t="s">
        <v>4493</v>
      </c>
      <c r="AP544" t="s">
        <v>1</v>
      </c>
      <c r="AQ544" t="s">
        <v>2</v>
      </c>
      <c r="AR544" t="s">
        <v>1</v>
      </c>
      <c r="AS544" t="s">
        <v>1</v>
      </c>
      <c r="AT544" t="s">
        <v>1</v>
      </c>
      <c r="AU544" t="s">
        <v>1</v>
      </c>
      <c r="AV544" t="s">
        <v>1</v>
      </c>
      <c r="AW544" t="s">
        <v>9</v>
      </c>
      <c r="AX544">
        <f>Tabla1[[#This Row],[precio del paquete]]-Tabla1[[#This Row],[Saldo_Deudor]]</f>
        <v>3900</v>
      </c>
      <c r="AY544">
        <v>10900</v>
      </c>
      <c r="AZ544">
        <v>0</v>
      </c>
      <c r="BA544">
        <v>0</v>
      </c>
      <c r="BB544">
        <v>0</v>
      </c>
      <c r="BC544" t="s">
        <v>4841</v>
      </c>
      <c r="BD544" t="s">
        <v>4926</v>
      </c>
      <c r="BE544" t="s">
        <v>3</v>
      </c>
      <c r="BF544" t="s">
        <v>3</v>
      </c>
      <c r="BG544" t="s">
        <v>3</v>
      </c>
      <c r="BH544" t="s">
        <v>3</v>
      </c>
      <c r="BI544" t="s">
        <v>3</v>
      </c>
      <c r="BJ544" t="s">
        <v>5010</v>
      </c>
      <c r="BK544" t="s">
        <v>3</v>
      </c>
      <c r="BL544" t="s">
        <v>96</v>
      </c>
      <c r="BM544" t="s">
        <v>1</v>
      </c>
      <c r="BN544">
        <v>14800</v>
      </c>
      <c r="BO544" t="s">
        <v>1</v>
      </c>
      <c r="BP544" t="s">
        <v>1</v>
      </c>
      <c r="BQ544" t="s">
        <v>1</v>
      </c>
      <c r="BR544" t="s">
        <v>1</v>
      </c>
      <c r="BS544" t="s">
        <v>1</v>
      </c>
      <c r="BT544" t="s">
        <v>1</v>
      </c>
      <c r="BU544" t="s">
        <v>1</v>
      </c>
      <c r="BV544" t="s">
        <v>1</v>
      </c>
      <c r="BW544" t="s">
        <v>0</v>
      </c>
      <c r="BX544" t="s">
        <v>1</v>
      </c>
      <c r="BY544" t="s">
        <v>1</v>
      </c>
      <c r="BZ544" t="s">
        <v>1</v>
      </c>
      <c r="CA544" t="s">
        <v>1</v>
      </c>
      <c r="CB544" t="s">
        <v>1</v>
      </c>
      <c r="CD544" t="e" cm="1">
        <f t="array" aca="1" ref="CD544" ca="1">eConcatenar(A544:CB544,"|")</f>
        <v>#NAME?</v>
      </c>
    </row>
    <row r="545" spans="1:82" x14ac:dyDescent="0.25">
      <c r="A545" t="s">
        <v>640</v>
      </c>
      <c r="B545" t="s">
        <v>1654</v>
      </c>
      <c r="C545">
        <v>3</v>
      </c>
      <c r="D545" t="s">
        <v>2153</v>
      </c>
      <c r="E545" t="s">
        <v>2158</v>
      </c>
      <c r="F545" t="s">
        <v>0</v>
      </c>
      <c r="G545" t="s">
        <v>2481</v>
      </c>
      <c r="H545" t="s">
        <v>2827</v>
      </c>
      <c r="I545">
        <v>14800</v>
      </c>
      <c r="J545">
        <v>0</v>
      </c>
      <c r="K545">
        <v>100</v>
      </c>
      <c r="L545">
        <v>50</v>
      </c>
      <c r="M545">
        <v>1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 t="s">
        <v>3143</v>
      </c>
      <c r="AC545" t="s">
        <v>3117</v>
      </c>
      <c r="AD545" t="s">
        <v>3610</v>
      </c>
      <c r="AE545" t="s">
        <v>4</v>
      </c>
      <c r="AF545" t="s">
        <v>1</v>
      </c>
      <c r="AG545" t="s">
        <v>1</v>
      </c>
      <c r="AH545" t="s">
        <v>4494</v>
      </c>
      <c r="AI545" t="s">
        <v>2481</v>
      </c>
      <c r="AJ545" t="s">
        <v>1</v>
      </c>
      <c r="AK545">
        <v>9141130947</v>
      </c>
      <c r="AL545" t="s">
        <v>1</v>
      </c>
      <c r="AM545" t="s">
        <v>1</v>
      </c>
      <c r="AN545" t="s">
        <v>1</v>
      </c>
      <c r="AO545" t="s">
        <v>4494</v>
      </c>
      <c r="AP545" t="s">
        <v>1</v>
      </c>
      <c r="AQ545" t="s">
        <v>2</v>
      </c>
      <c r="AR545" t="s">
        <v>1</v>
      </c>
      <c r="AS545" t="s">
        <v>1</v>
      </c>
      <c r="AT545" t="s">
        <v>1</v>
      </c>
      <c r="AU545" t="s">
        <v>1</v>
      </c>
      <c r="AV545" t="s">
        <v>1</v>
      </c>
      <c r="AW545" t="s">
        <v>9</v>
      </c>
      <c r="AX545">
        <f>Tabla1[[#This Row],[precio del paquete]]-Tabla1[[#This Row],[Saldo_Deudor]]</f>
        <v>2700</v>
      </c>
      <c r="AY545">
        <v>12100</v>
      </c>
      <c r="AZ545">
        <v>0</v>
      </c>
      <c r="BA545">
        <v>0</v>
      </c>
      <c r="BB545">
        <v>0</v>
      </c>
      <c r="BC545" t="s">
        <v>4830</v>
      </c>
      <c r="BD545" t="s">
        <v>4906</v>
      </c>
      <c r="BE545" t="s">
        <v>3</v>
      </c>
      <c r="BF545" t="s">
        <v>3</v>
      </c>
      <c r="BG545" t="s">
        <v>3</v>
      </c>
      <c r="BH545" t="s">
        <v>3</v>
      </c>
      <c r="BI545" t="s">
        <v>3</v>
      </c>
      <c r="BJ545" t="s">
        <v>5009</v>
      </c>
      <c r="BK545" t="s">
        <v>3</v>
      </c>
      <c r="BL545" t="s">
        <v>96</v>
      </c>
      <c r="BM545" t="s">
        <v>1</v>
      </c>
      <c r="BN545">
        <v>14800</v>
      </c>
      <c r="BO545" t="s">
        <v>1</v>
      </c>
      <c r="BP545" t="s">
        <v>1</v>
      </c>
      <c r="BQ545" t="s">
        <v>1</v>
      </c>
      <c r="BR545" t="s">
        <v>1</v>
      </c>
      <c r="BS545" t="s">
        <v>1</v>
      </c>
      <c r="BT545" t="s">
        <v>1</v>
      </c>
      <c r="BU545" t="s">
        <v>1</v>
      </c>
      <c r="BV545" t="s">
        <v>1</v>
      </c>
      <c r="BW545" t="s">
        <v>0</v>
      </c>
      <c r="BX545" t="s">
        <v>1</v>
      </c>
      <c r="BY545" t="s">
        <v>1</v>
      </c>
      <c r="BZ545" t="s">
        <v>1</v>
      </c>
      <c r="CA545" t="s">
        <v>1</v>
      </c>
      <c r="CB545" t="s">
        <v>1</v>
      </c>
      <c r="CD545" t="e" cm="1">
        <f t="array" aca="1" ref="CD545" ca="1">eConcatenar(A545:CB545,"|")</f>
        <v>#NAME?</v>
      </c>
    </row>
    <row r="546" spans="1:82" x14ac:dyDescent="0.25">
      <c r="A546" t="s">
        <v>641</v>
      </c>
      <c r="B546" t="s">
        <v>1655</v>
      </c>
      <c r="C546">
        <v>3</v>
      </c>
      <c r="D546" t="s">
        <v>2153</v>
      </c>
      <c r="E546" t="s">
        <v>2158</v>
      </c>
      <c r="F546" t="s">
        <v>0</v>
      </c>
      <c r="G546" t="s">
        <v>2482</v>
      </c>
      <c r="H546" t="s">
        <v>2912</v>
      </c>
      <c r="I546">
        <v>14800</v>
      </c>
      <c r="J546">
        <v>0</v>
      </c>
      <c r="K546">
        <v>200</v>
      </c>
      <c r="L546">
        <v>50</v>
      </c>
      <c r="M546">
        <v>1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 t="s">
        <v>3152</v>
      </c>
      <c r="AC546" t="s">
        <v>3290</v>
      </c>
      <c r="AD546" t="s">
        <v>3252</v>
      </c>
      <c r="AE546" t="s">
        <v>4</v>
      </c>
      <c r="AF546" t="s">
        <v>1</v>
      </c>
      <c r="AG546" t="s">
        <v>1</v>
      </c>
      <c r="AH546" t="s">
        <v>4478</v>
      </c>
      <c r="AI546" t="s">
        <v>2482</v>
      </c>
      <c r="AJ546" t="s">
        <v>1</v>
      </c>
      <c r="AK546">
        <v>9141139500</v>
      </c>
      <c r="AL546" t="s">
        <v>1</v>
      </c>
      <c r="AM546" t="s">
        <v>1</v>
      </c>
      <c r="AN546" t="s">
        <v>1</v>
      </c>
      <c r="AO546" t="s">
        <v>4478</v>
      </c>
      <c r="AP546" t="s">
        <v>1</v>
      </c>
      <c r="AQ546" t="s">
        <v>2</v>
      </c>
      <c r="AR546" t="s">
        <v>1</v>
      </c>
      <c r="AS546" t="s">
        <v>1</v>
      </c>
      <c r="AT546" t="s">
        <v>1</v>
      </c>
      <c r="AU546" t="s">
        <v>1</v>
      </c>
      <c r="AV546" t="s">
        <v>1</v>
      </c>
      <c r="AW546" t="s">
        <v>9</v>
      </c>
      <c r="AX546">
        <f>Tabla1[[#This Row],[precio del paquete]]-Tabla1[[#This Row],[Saldo_Deudor]]</f>
        <v>800</v>
      </c>
      <c r="AY546">
        <v>14000</v>
      </c>
      <c r="AZ546">
        <v>0</v>
      </c>
      <c r="BA546">
        <v>0</v>
      </c>
      <c r="BB546">
        <v>0</v>
      </c>
      <c r="BC546" t="s">
        <v>2912</v>
      </c>
      <c r="BD546" t="s">
        <v>2934</v>
      </c>
      <c r="BE546" t="s">
        <v>3</v>
      </c>
      <c r="BF546" t="s">
        <v>3</v>
      </c>
      <c r="BG546" t="s">
        <v>3</v>
      </c>
      <c r="BH546" t="s">
        <v>3</v>
      </c>
      <c r="BI546" t="s">
        <v>3</v>
      </c>
      <c r="BJ546" t="s">
        <v>5009</v>
      </c>
      <c r="BK546" t="s">
        <v>3</v>
      </c>
      <c r="BL546" t="s">
        <v>96</v>
      </c>
      <c r="BM546" t="s">
        <v>1</v>
      </c>
      <c r="BN546">
        <v>14800</v>
      </c>
      <c r="BO546" t="s">
        <v>1</v>
      </c>
      <c r="BP546" t="s">
        <v>1</v>
      </c>
      <c r="BQ546" t="s">
        <v>1</v>
      </c>
      <c r="BR546" t="s">
        <v>1</v>
      </c>
      <c r="BS546" t="s">
        <v>1</v>
      </c>
      <c r="BT546" t="s">
        <v>1</v>
      </c>
      <c r="BU546" t="s">
        <v>1</v>
      </c>
      <c r="BV546" t="s">
        <v>1</v>
      </c>
      <c r="BW546" t="s">
        <v>0</v>
      </c>
      <c r="BX546" t="s">
        <v>1</v>
      </c>
      <c r="BY546" t="s">
        <v>1</v>
      </c>
      <c r="BZ546" t="s">
        <v>1</v>
      </c>
      <c r="CA546" t="s">
        <v>1</v>
      </c>
      <c r="CB546" t="s">
        <v>1</v>
      </c>
      <c r="CD546" t="e" cm="1">
        <f t="array" aca="1" ref="CD546" ca="1">eConcatenar(A546:CB546,"|")</f>
        <v>#NAME?</v>
      </c>
    </row>
    <row r="547" spans="1:82" x14ac:dyDescent="0.25">
      <c r="A547" t="s">
        <v>642</v>
      </c>
      <c r="B547" t="s">
        <v>1656</v>
      </c>
      <c r="C547">
        <v>3</v>
      </c>
      <c r="D547" t="s">
        <v>2153</v>
      </c>
      <c r="E547" t="s">
        <v>2158</v>
      </c>
      <c r="F547" t="s">
        <v>2162</v>
      </c>
      <c r="G547" t="s">
        <v>2483</v>
      </c>
      <c r="H547" t="s">
        <v>2803</v>
      </c>
      <c r="I547">
        <v>14800</v>
      </c>
      <c r="J547">
        <v>0</v>
      </c>
      <c r="K547">
        <v>50</v>
      </c>
      <c r="L547">
        <v>50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 t="s">
        <v>3115</v>
      </c>
      <c r="AC547" t="s">
        <v>3749</v>
      </c>
      <c r="AD547" t="s">
        <v>3750</v>
      </c>
      <c r="AE547" t="s">
        <v>4</v>
      </c>
      <c r="AF547" t="s">
        <v>1</v>
      </c>
      <c r="AG547" t="s">
        <v>1</v>
      </c>
      <c r="AH547" t="s">
        <v>4495</v>
      </c>
      <c r="AI547" t="s">
        <v>2483</v>
      </c>
      <c r="AJ547" t="s">
        <v>1</v>
      </c>
      <c r="AK547">
        <v>9141194267</v>
      </c>
      <c r="AL547" t="s">
        <v>1</v>
      </c>
      <c r="AM547" t="s">
        <v>1</v>
      </c>
      <c r="AN547" t="s">
        <v>1</v>
      </c>
      <c r="AO547" t="s">
        <v>4495</v>
      </c>
      <c r="AP547" t="s">
        <v>1</v>
      </c>
      <c r="AQ547" t="s">
        <v>2</v>
      </c>
      <c r="AR547" t="s">
        <v>1</v>
      </c>
      <c r="AS547" t="s">
        <v>1</v>
      </c>
      <c r="AT547" t="s">
        <v>1</v>
      </c>
      <c r="AU547" t="s">
        <v>1</v>
      </c>
      <c r="AV547" t="s">
        <v>1</v>
      </c>
      <c r="AW547" t="s">
        <v>9</v>
      </c>
      <c r="AX547">
        <f>Tabla1[[#This Row],[precio del paquete]]-Tabla1[[#This Row],[Saldo_Deudor]]</f>
        <v>650</v>
      </c>
      <c r="AY547">
        <v>14150</v>
      </c>
      <c r="AZ547">
        <v>0</v>
      </c>
      <c r="BA547">
        <v>0</v>
      </c>
      <c r="BB547">
        <v>0</v>
      </c>
      <c r="BC547" t="s">
        <v>4829</v>
      </c>
      <c r="BD547" t="s">
        <v>4900</v>
      </c>
      <c r="BE547" t="s">
        <v>3</v>
      </c>
      <c r="BF547" t="s">
        <v>3</v>
      </c>
      <c r="BG547" t="s">
        <v>3</v>
      </c>
      <c r="BH547" t="s">
        <v>3</v>
      </c>
      <c r="BI547" t="s">
        <v>3</v>
      </c>
      <c r="BJ547" t="s">
        <v>5000</v>
      </c>
      <c r="BK547" t="s">
        <v>3</v>
      </c>
      <c r="BL547" t="s">
        <v>96</v>
      </c>
      <c r="BM547" t="s">
        <v>1</v>
      </c>
      <c r="BN547">
        <v>14800</v>
      </c>
      <c r="BO547" t="s">
        <v>1</v>
      </c>
      <c r="BP547" t="s">
        <v>1</v>
      </c>
      <c r="BQ547" t="s">
        <v>1</v>
      </c>
      <c r="BR547" t="s">
        <v>1</v>
      </c>
      <c r="BS547" t="s">
        <v>1</v>
      </c>
      <c r="BT547" t="s">
        <v>1</v>
      </c>
      <c r="BU547" t="s">
        <v>1</v>
      </c>
      <c r="BV547" t="s">
        <v>1</v>
      </c>
      <c r="BW547" t="s">
        <v>0</v>
      </c>
      <c r="BX547" t="s">
        <v>1</v>
      </c>
      <c r="BY547" t="s">
        <v>1</v>
      </c>
      <c r="BZ547" t="s">
        <v>1</v>
      </c>
      <c r="CA547" t="s">
        <v>1</v>
      </c>
      <c r="CB547" t="s">
        <v>1</v>
      </c>
      <c r="CD547" t="e" cm="1">
        <f t="array" aca="1" ref="CD547" ca="1">eConcatenar(A547:CB547,"|")</f>
        <v>#NAME?</v>
      </c>
    </row>
    <row r="548" spans="1:82" x14ac:dyDescent="0.25">
      <c r="A548" t="s">
        <v>643</v>
      </c>
      <c r="B548" t="s">
        <v>1657</v>
      </c>
      <c r="C548">
        <v>3</v>
      </c>
      <c r="D548" t="s">
        <v>2157</v>
      </c>
      <c r="E548" t="s">
        <v>2158</v>
      </c>
      <c r="F548" t="s">
        <v>2162</v>
      </c>
      <c r="G548" t="s">
        <v>2484</v>
      </c>
      <c r="H548" t="s">
        <v>2950</v>
      </c>
      <c r="I548">
        <v>12900</v>
      </c>
      <c r="J548">
        <v>0</v>
      </c>
      <c r="K548">
        <v>200</v>
      </c>
      <c r="L548">
        <v>50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 t="s">
        <v>3423</v>
      </c>
      <c r="AC548" t="s">
        <v>3178</v>
      </c>
      <c r="AD548" t="s">
        <v>3237</v>
      </c>
      <c r="AE548" t="s">
        <v>4</v>
      </c>
      <c r="AF548" t="s">
        <v>1</v>
      </c>
      <c r="AG548" t="s">
        <v>1</v>
      </c>
      <c r="AH548" t="s">
        <v>4496</v>
      </c>
      <c r="AI548" t="s">
        <v>2484</v>
      </c>
      <c r="AJ548" t="s">
        <v>1</v>
      </c>
      <c r="AK548">
        <v>9332093260</v>
      </c>
      <c r="AL548" t="s">
        <v>1</v>
      </c>
      <c r="AM548" t="s">
        <v>1</v>
      </c>
      <c r="AN548" t="s">
        <v>1</v>
      </c>
      <c r="AO548" t="s">
        <v>4496</v>
      </c>
      <c r="AP548" t="s">
        <v>1</v>
      </c>
      <c r="AQ548" t="s">
        <v>2</v>
      </c>
      <c r="AR548" t="s">
        <v>1</v>
      </c>
      <c r="AS548" t="s">
        <v>1</v>
      </c>
      <c r="AT548" t="s">
        <v>1</v>
      </c>
      <c r="AU548" t="s">
        <v>1</v>
      </c>
      <c r="AV548" t="s">
        <v>1</v>
      </c>
      <c r="AW548" t="s">
        <v>9</v>
      </c>
      <c r="AX548">
        <f>Tabla1[[#This Row],[precio del paquete]]-Tabla1[[#This Row],[Saldo_Deudor]]</f>
        <v>6300</v>
      </c>
      <c r="AY548">
        <v>6600</v>
      </c>
      <c r="AZ548">
        <v>0</v>
      </c>
      <c r="BA548">
        <v>0</v>
      </c>
      <c r="BB548">
        <v>0</v>
      </c>
      <c r="BC548" t="s">
        <v>2945</v>
      </c>
      <c r="BD548" t="s">
        <v>4918</v>
      </c>
      <c r="BE548" t="s">
        <v>3</v>
      </c>
      <c r="BF548" t="s">
        <v>3</v>
      </c>
      <c r="BG548" t="s">
        <v>3</v>
      </c>
      <c r="BH548" t="s">
        <v>3</v>
      </c>
      <c r="BI548" t="s">
        <v>3</v>
      </c>
      <c r="BJ548" t="s">
        <v>5000</v>
      </c>
      <c r="BK548" t="s">
        <v>3</v>
      </c>
      <c r="BL548" t="s">
        <v>96</v>
      </c>
      <c r="BM548" t="s">
        <v>1</v>
      </c>
      <c r="BN548">
        <v>12900</v>
      </c>
      <c r="BO548" t="s">
        <v>1</v>
      </c>
      <c r="BP548" t="s">
        <v>1</v>
      </c>
      <c r="BQ548" t="s">
        <v>1</v>
      </c>
      <c r="BR548" t="s">
        <v>1</v>
      </c>
      <c r="BS548" t="s">
        <v>1</v>
      </c>
      <c r="BT548" t="s">
        <v>1</v>
      </c>
      <c r="BU548" t="s">
        <v>1</v>
      </c>
      <c r="BV548" t="s">
        <v>1</v>
      </c>
      <c r="BW548" t="s">
        <v>0</v>
      </c>
      <c r="BX548" t="s">
        <v>1</v>
      </c>
      <c r="BY548" t="s">
        <v>1</v>
      </c>
      <c r="BZ548" t="s">
        <v>1</v>
      </c>
      <c r="CA548" t="s">
        <v>1</v>
      </c>
      <c r="CB548" t="s">
        <v>1</v>
      </c>
      <c r="CD548" t="e" cm="1">
        <f t="array" aca="1" ref="CD548" ca="1">eConcatenar(A548:CB548,"|")</f>
        <v>#NAME?</v>
      </c>
    </row>
    <row r="549" spans="1:82" x14ac:dyDescent="0.25">
      <c r="A549" t="s">
        <v>644</v>
      </c>
      <c r="B549" t="s">
        <v>1658</v>
      </c>
      <c r="C549">
        <v>3</v>
      </c>
      <c r="D549" t="s">
        <v>2155</v>
      </c>
      <c r="E549" t="s">
        <v>2158</v>
      </c>
      <c r="F549" t="s">
        <v>2159</v>
      </c>
      <c r="G549" t="s">
        <v>2485</v>
      </c>
      <c r="H549" t="s">
        <v>2813</v>
      </c>
      <c r="I549">
        <v>12900</v>
      </c>
      <c r="J549">
        <v>0</v>
      </c>
      <c r="K549">
        <v>200</v>
      </c>
      <c r="L549">
        <v>50</v>
      </c>
      <c r="M549">
        <v>1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 t="s">
        <v>3423</v>
      </c>
      <c r="AC549" t="s">
        <v>3119</v>
      </c>
      <c r="AD549" t="s">
        <v>3751</v>
      </c>
      <c r="AE549" t="s">
        <v>4</v>
      </c>
      <c r="AF549" t="s">
        <v>1</v>
      </c>
      <c r="AG549" t="s">
        <v>1</v>
      </c>
      <c r="AH549" t="s">
        <v>4497</v>
      </c>
      <c r="AI549" t="s">
        <v>2485</v>
      </c>
      <c r="AJ549" t="s">
        <v>1</v>
      </c>
      <c r="AK549">
        <v>93320174995</v>
      </c>
      <c r="AL549" t="s">
        <v>1</v>
      </c>
      <c r="AM549" t="s">
        <v>1</v>
      </c>
      <c r="AN549" t="s">
        <v>1</v>
      </c>
      <c r="AO549" t="s">
        <v>4497</v>
      </c>
      <c r="AP549" t="s">
        <v>1</v>
      </c>
      <c r="AQ549" t="s">
        <v>2</v>
      </c>
      <c r="AR549" t="s">
        <v>1</v>
      </c>
      <c r="AS549" t="s">
        <v>1</v>
      </c>
      <c r="AT549" t="s">
        <v>1</v>
      </c>
      <c r="AU549" t="s">
        <v>1</v>
      </c>
      <c r="AV549" t="s">
        <v>1</v>
      </c>
      <c r="AW549" t="s">
        <v>9</v>
      </c>
      <c r="AX549">
        <f>Tabla1[[#This Row],[precio del paquete]]-Tabla1[[#This Row],[Saldo_Deudor]]</f>
        <v>4600</v>
      </c>
      <c r="AY549">
        <v>8300</v>
      </c>
      <c r="AZ549">
        <v>0</v>
      </c>
      <c r="BA549">
        <v>0</v>
      </c>
      <c r="BB549">
        <v>0</v>
      </c>
      <c r="BC549" t="s">
        <v>3102</v>
      </c>
      <c r="BD549" t="s">
        <v>4897</v>
      </c>
      <c r="BE549" t="s">
        <v>3</v>
      </c>
      <c r="BF549" t="s">
        <v>3</v>
      </c>
      <c r="BG549" t="s">
        <v>3</v>
      </c>
      <c r="BH549" t="s">
        <v>3</v>
      </c>
      <c r="BI549" t="s">
        <v>3</v>
      </c>
      <c r="BJ549" t="s">
        <v>5011</v>
      </c>
      <c r="BK549" t="s">
        <v>3</v>
      </c>
      <c r="BL549" t="s">
        <v>96</v>
      </c>
      <c r="BM549" t="s">
        <v>1</v>
      </c>
      <c r="BN549">
        <v>12900</v>
      </c>
      <c r="BO549" t="s">
        <v>1</v>
      </c>
      <c r="BP549" t="s">
        <v>1</v>
      </c>
      <c r="BQ549" t="s">
        <v>1</v>
      </c>
      <c r="BR549" t="s">
        <v>1</v>
      </c>
      <c r="BS549" t="s">
        <v>1</v>
      </c>
      <c r="BT549" t="s">
        <v>1</v>
      </c>
      <c r="BU549" t="s">
        <v>1</v>
      </c>
      <c r="BV549" t="s">
        <v>1</v>
      </c>
      <c r="BW549" t="s">
        <v>0</v>
      </c>
      <c r="BX549" t="s">
        <v>1</v>
      </c>
      <c r="BY549" t="s">
        <v>1</v>
      </c>
      <c r="BZ549" t="s">
        <v>1</v>
      </c>
      <c r="CA549" t="s">
        <v>1</v>
      </c>
      <c r="CB549" t="s">
        <v>1</v>
      </c>
      <c r="CD549" t="e" cm="1">
        <f t="array" aca="1" ref="CD549" ca="1">eConcatenar(A549:CB549,"|")</f>
        <v>#NAME?</v>
      </c>
    </row>
    <row r="550" spans="1:82" x14ac:dyDescent="0.25">
      <c r="A550" t="s">
        <v>645</v>
      </c>
      <c r="B550" t="s">
        <v>1659</v>
      </c>
      <c r="C550">
        <v>3</v>
      </c>
      <c r="D550" t="s">
        <v>2157</v>
      </c>
      <c r="E550" t="s">
        <v>2158</v>
      </c>
      <c r="F550" t="s">
        <v>2159</v>
      </c>
      <c r="G550" t="s">
        <v>2485</v>
      </c>
      <c r="H550" t="s">
        <v>2872</v>
      </c>
      <c r="I550">
        <v>12900</v>
      </c>
      <c r="J550">
        <v>0</v>
      </c>
      <c r="K550">
        <v>200</v>
      </c>
      <c r="L550">
        <v>50</v>
      </c>
      <c r="M550">
        <v>1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 t="s">
        <v>3177</v>
      </c>
      <c r="AC550" t="s">
        <v>3152</v>
      </c>
      <c r="AD550" t="s">
        <v>3483</v>
      </c>
      <c r="AE550" t="s">
        <v>4</v>
      </c>
      <c r="AF550" t="s">
        <v>1</v>
      </c>
      <c r="AG550" t="s">
        <v>1</v>
      </c>
      <c r="AH550" t="s">
        <v>4498</v>
      </c>
      <c r="AI550" t="s">
        <v>2485</v>
      </c>
      <c r="AJ550" t="s">
        <v>1</v>
      </c>
      <c r="AK550">
        <v>9331672043</v>
      </c>
      <c r="AL550" t="s">
        <v>1</v>
      </c>
      <c r="AM550" t="s">
        <v>1</v>
      </c>
      <c r="AN550" t="s">
        <v>1</v>
      </c>
      <c r="AO550" t="s">
        <v>4498</v>
      </c>
      <c r="AP550" t="s">
        <v>1</v>
      </c>
      <c r="AQ550" t="s">
        <v>2</v>
      </c>
      <c r="AR550" t="s">
        <v>1</v>
      </c>
      <c r="AS550" t="s">
        <v>1</v>
      </c>
      <c r="AT550" t="s">
        <v>1</v>
      </c>
      <c r="AU550" t="s">
        <v>1</v>
      </c>
      <c r="AV550" t="s">
        <v>1</v>
      </c>
      <c r="AW550" t="s">
        <v>9</v>
      </c>
      <c r="AX550">
        <f>Tabla1[[#This Row],[precio del paquete]]-Tabla1[[#This Row],[Saldo_Deudor]]</f>
        <v>12100</v>
      </c>
      <c r="AY550">
        <v>800</v>
      </c>
      <c r="AZ550">
        <v>0</v>
      </c>
      <c r="BA550">
        <v>0</v>
      </c>
      <c r="BB550">
        <v>0</v>
      </c>
      <c r="BC550" t="s">
        <v>3102</v>
      </c>
      <c r="BD550" t="s">
        <v>4897</v>
      </c>
      <c r="BE550" t="s">
        <v>3</v>
      </c>
      <c r="BF550" t="s">
        <v>3</v>
      </c>
      <c r="BG550" t="s">
        <v>3</v>
      </c>
      <c r="BH550" t="s">
        <v>3</v>
      </c>
      <c r="BI550" t="s">
        <v>3</v>
      </c>
      <c r="BJ550" t="s">
        <v>5007</v>
      </c>
      <c r="BK550" t="s">
        <v>3</v>
      </c>
      <c r="BL550" t="s">
        <v>96</v>
      </c>
      <c r="BM550" t="s">
        <v>1</v>
      </c>
      <c r="BN550">
        <v>12900</v>
      </c>
      <c r="BO550" t="s">
        <v>1</v>
      </c>
      <c r="BP550" t="s">
        <v>1</v>
      </c>
      <c r="BQ550" t="s">
        <v>1</v>
      </c>
      <c r="BR550" t="s">
        <v>1</v>
      </c>
      <c r="BS550" t="s">
        <v>1</v>
      </c>
      <c r="BT550" t="s">
        <v>1</v>
      </c>
      <c r="BU550" t="s">
        <v>1</v>
      </c>
      <c r="BV550" t="s">
        <v>1</v>
      </c>
      <c r="BW550" t="s">
        <v>0</v>
      </c>
      <c r="BX550" t="s">
        <v>1</v>
      </c>
      <c r="BY550" t="s">
        <v>1</v>
      </c>
      <c r="BZ550" t="s">
        <v>1</v>
      </c>
      <c r="CA550" t="s">
        <v>1</v>
      </c>
      <c r="CB550" t="s">
        <v>1</v>
      </c>
      <c r="CD550" t="e" cm="1">
        <f t="array" aca="1" ref="CD550" ca="1">eConcatenar(A550:CB550,"|")</f>
        <v>#NAME?</v>
      </c>
    </row>
    <row r="551" spans="1:82" x14ac:dyDescent="0.25">
      <c r="A551" t="s">
        <v>646</v>
      </c>
      <c r="B551" t="s">
        <v>1660</v>
      </c>
      <c r="C551">
        <v>3</v>
      </c>
      <c r="D551" t="s">
        <v>2153</v>
      </c>
      <c r="E551" t="s">
        <v>2158</v>
      </c>
      <c r="F551" t="s">
        <v>2164</v>
      </c>
      <c r="G551" t="s">
        <v>2486</v>
      </c>
      <c r="H551" t="s">
        <v>2807</v>
      </c>
      <c r="I551">
        <v>14800</v>
      </c>
      <c r="J551">
        <v>0</v>
      </c>
      <c r="K551">
        <v>200</v>
      </c>
      <c r="L551">
        <v>50</v>
      </c>
      <c r="M551">
        <v>1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 t="s">
        <v>3236</v>
      </c>
      <c r="AC551" t="s">
        <v>5</v>
      </c>
      <c r="AD551" t="s">
        <v>3752</v>
      </c>
      <c r="AE551" t="s">
        <v>4</v>
      </c>
      <c r="AF551" t="s">
        <v>1</v>
      </c>
      <c r="AG551" t="s">
        <v>1</v>
      </c>
      <c r="AH551" t="s">
        <v>4499</v>
      </c>
      <c r="AI551" t="s">
        <v>2486</v>
      </c>
      <c r="AJ551" t="s">
        <v>1</v>
      </c>
      <c r="AK551">
        <v>9334051537</v>
      </c>
      <c r="AL551" t="s">
        <v>1</v>
      </c>
      <c r="AM551" t="s">
        <v>1</v>
      </c>
      <c r="AN551" t="s">
        <v>1</v>
      </c>
      <c r="AO551" t="s">
        <v>4499</v>
      </c>
      <c r="AP551" t="s">
        <v>1</v>
      </c>
      <c r="AQ551" t="s">
        <v>2</v>
      </c>
      <c r="AR551" t="s">
        <v>1</v>
      </c>
      <c r="AS551" t="s">
        <v>1</v>
      </c>
      <c r="AT551" t="s">
        <v>1</v>
      </c>
      <c r="AU551" t="s">
        <v>1</v>
      </c>
      <c r="AV551" t="s">
        <v>1</v>
      </c>
      <c r="AW551" t="s">
        <v>9</v>
      </c>
      <c r="AX551">
        <f>Tabla1[[#This Row],[precio del paquete]]-Tabla1[[#This Row],[Saldo_Deudor]]</f>
        <v>1000</v>
      </c>
      <c r="AY551">
        <v>13800</v>
      </c>
      <c r="AZ551">
        <v>0</v>
      </c>
      <c r="BA551">
        <v>0</v>
      </c>
      <c r="BB551">
        <v>0</v>
      </c>
      <c r="BC551" t="s">
        <v>2923</v>
      </c>
      <c r="BD551" t="s">
        <v>4910</v>
      </c>
      <c r="BE551" t="s">
        <v>3</v>
      </c>
      <c r="BF551" t="s">
        <v>3</v>
      </c>
      <c r="BG551" t="s">
        <v>3</v>
      </c>
      <c r="BH551" t="s">
        <v>3</v>
      </c>
      <c r="BI551" t="s">
        <v>3</v>
      </c>
      <c r="BJ551" t="s">
        <v>5007</v>
      </c>
      <c r="BK551" t="s">
        <v>3</v>
      </c>
      <c r="BL551" t="s">
        <v>96</v>
      </c>
      <c r="BM551" t="s">
        <v>1</v>
      </c>
      <c r="BN551">
        <v>14800</v>
      </c>
      <c r="BO551" t="s">
        <v>1</v>
      </c>
      <c r="BP551" t="s">
        <v>1</v>
      </c>
      <c r="BQ551" t="s">
        <v>1</v>
      </c>
      <c r="BR551" t="s">
        <v>1</v>
      </c>
      <c r="BS551" t="s">
        <v>1</v>
      </c>
      <c r="BT551" t="s">
        <v>1</v>
      </c>
      <c r="BU551" t="s">
        <v>1</v>
      </c>
      <c r="BV551" t="s">
        <v>1</v>
      </c>
      <c r="BW551" t="s">
        <v>0</v>
      </c>
      <c r="BX551" t="s">
        <v>1</v>
      </c>
      <c r="BY551" t="s">
        <v>1</v>
      </c>
      <c r="BZ551" t="s">
        <v>1</v>
      </c>
      <c r="CA551" t="s">
        <v>1</v>
      </c>
      <c r="CB551" t="s">
        <v>1</v>
      </c>
      <c r="CD551" t="e" cm="1">
        <f t="array" aca="1" ref="CD551" ca="1">eConcatenar(A551:CB551,"|")</f>
        <v>#NAME?</v>
      </c>
    </row>
    <row r="552" spans="1:82" x14ac:dyDescent="0.25">
      <c r="A552" t="s">
        <v>647</v>
      </c>
      <c r="B552" t="s">
        <v>1661</v>
      </c>
      <c r="C552">
        <v>3</v>
      </c>
      <c r="D552" t="s">
        <v>2154</v>
      </c>
      <c r="E552" t="s">
        <v>2158</v>
      </c>
      <c r="F552" t="s">
        <v>2164</v>
      </c>
      <c r="G552" t="s">
        <v>2486</v>
      </c>
      <c r="H552" t="s">
        <v>2837</v>
      </c>
      <c r="I552">
        <v>24500</v>
      </c>
      <c r="J552">
        <v>0</v>
      </c>
      <c r="K552">
        <v>200</v>
      </c>
      <c r="L552">
        <v>50</v>
      </c>
      <c r="M552">
        <v>1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 t="s">
        <v>3259</v>
      </c>
      <c r="AC552" t="s">
        <v>3148</v>
      </c>
      <c r="AD552" t="s">
        <v>3753</v>
      </c>
      <c r="AE552" t="s">
        <v>4</v>
      </c>
      <c r="AF552" t="s">
        <v>1</v>
      </c>
      <c r="AG552" t="s">
        <v>1</v>
      </c>
      <c r="AH552" t="s">
        <v>2207</v>
      </c>
      <c r="AI552" t="s">
        <v>2486</v>
      </c>
      <c r="AJ552" t="s">
        <v>1</v>
      </c>
      <c r="AK552">
        <v>9331596084</v>
      </c>
      <c r="AL552" t="s">
        <v>1</v>
      </c>
      <c r="AM552" t="s">
        <v>1</v>
      </c>
      <c r="AN552" t="s">
        <v>1</v>
      </c>
      <c r="AO552" t="s">
        <v>2207</v>
      </c>
      <c r="AP552" t="s">
        <v>1</v>
      </c>
      <c r="AQ552" t="s">
        <v>2</v>
      </c>
      <c r="AR552" t="s">
        <v>1</v>
      </c>
      <c r="AS552" t="s">
        <v>1</v>
      </c>
      <c r="AT552" t="s">
        <v>1</v>
      </c>
      <c r="AU552" t="s">
        <v>1</v>
      </c>
      <c r="AV552" t="s">
        <v>1</v>
      </c>
      <c r="AW552" t="s">
        <v>9</v>
      </c>
      <c r="AX552">
        <f>Tabla1[[#This Row],[precio del paquete]]-Tabla1[[#This Row],[Saldo_Deudor]]</f>
        <v>1000</v>
      </c>
      <c r="AY552">
        <v>23500</v>
      </c>
      <c r="AZ552">
        <v>0</v>
      </c>
      <c r="BA552">
        <v>0</v>
      </c>
      <c r="BB552">
        <v>0</v>
      </c>
      <c r="BC552" t="s">
        <v>2837</v>
      </c>
      <c r="BD552" t="s">
        <v>2779</v>
      </c>
      <c r="BE552" t="s">
        <v>3</v>
      </c>
      <c r="BF552" t="s">
        <v>3</v>
      </c>
      <c r="BG552" t="s">
        <v>3</v>
      </c>
      <c r="BH552" t="s">
        <v>3</v>
      </c>
      <c r="BI552" t="s">
        <v>3</v>
      </c>
      <c r="BJ552" t="s">
        <v>4998</v>
      </c>
      <c r="BK552" t="s">
        <v>3</v>
      </c>
      <c r="BL552" t="s">
        <v>96</v>
      </c>
      <c r="BM552" t="s">
        <v>1</v>
      </c>
      <c r="BN552">
        <v>24500</v>
      </c>
      <c r="BO552" t="s">
        <v>1</v>
      </c>
      <c r="BP552" t="s">
        <v>1</v>
      </c>
      <c r="BQ552" t="s">
        <v>1</v>
      </c>
      <c r="BR552" t="s">
        <v>1</v>
      </c>
      <c r="BS552" t="s">
        <v>1</v>
      </c>
      <c r="BT552" t="s">
        <v>1</v>
      </c>
      <c r="BU552" t="s">
        <v>1</v>
      </c>
      <c r="BV552" t="s">
        <v>1</v>
      </c>
      <c r="BW552" t="s">
        <v>0</v>
      </c>
      <c r="BX552" t="s">
        <v>1</v>
      </c>
      <c r="BY552" t="s">
        <v>1</v>
      </c>
      <c r="BZ552" t="s">
        <v>1</v>
      </c>
      <c r="CA552" t="s">
        <v>1</v>
      </c>
      <c r="CB552" t="s">
        <v>1</v>
      </c>
      <c r="CD552" t="e" cm="1">
        <f t="array" aca="1" ref="CD552" ca="1">eConcatenar(A552:CB552,"|")</f>
        <v>#NAME?</v>
      </c>
    </row>
    <row r="553" spans="1:82" x14ac:dyDescent="0.25">
      <c r="A553" t="s">
        <v>648</v>
      </c>
      <c r="B553" t="s">
        <v>1662</v>
      </c>
      <c r="C553">
        <v>3</v>
      </c>
      <c r="D553" t="s">
        <v>2157</v>
      </c>
      <c r="E553" t="s">
        <v>2158</v>
      </c>
      <c r="F553" t="s">
        <v>2162</v>
      </c>
      <c r="G553" t="s">
        <v>2486</v>
      </c>
      <c r="H553" t="s">
        <v>2951</v>
      </c>
      <c r="I553">
        <v>12900</v>
      </c>
      <c r="J553">
        <v>0</v>
      </c>
      <c r="K553">
        <v>500</v>
      </c>
      <c r="L553">
        <v>50</v>
      </c>
      <c r="M553">
        <v>2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 t="s">
        <v>5</v>
      </c>
      <c r="AC553" t="s">
        <v>3337</v>
      </c>
      <c r="AD553" t="s">
        <v>3754</v>
      </c>
      <c r="AE553" t="s">
        <v>4</v>
      </c>
      <c r="AF553" t="s">
        <v>1</v>
      </c>
      <c r="AG553" t="s">
        <v>1</v>
      </c>
      <c r="AH553" t="s">
        <v>4500</v>
      </c>
      <c r="AI553" t="s">
        <v>2486</v>
      </c>
      <c r="AJ553" t="s">
        <v>1</v>
      </c>
      <c r="AK553">
        <v>9371081539</v>
      </c>
      <c r="AL553" t="s">
        <v>1</v>
      </c>
      <c r="AM553" t="s">
        <v>1</v>
      </c>
      <c r="AN553" t="s">
        <v>1</v>
      </c>
      <c r="AO553" t="s">
        <v>4500</v>
      </c>
      <c r="AP553" t="s">
        <v>1</v>
      </c>
      <c r="AQ553" t="s">
        <v>2</v>
      </c>
      <c r="AR553" t="s">
        <v>1</v>
      </c>
      <c r="AS553" t="s">
        <v>1</v>
      </c>
      <c r="AT553" t="s">
        <v>1</v>
      </c>
      <c r="AU553" t="s">
        <v>1</v>
      </c>
      <c r="AV553" t="s">
        <v>1</v>
      </c>
      <c r="AW553" t="s">
        <v>9</v>
      </c>
      <c r="AX553">
        <f>Tabla1[[#This Row],[precio del paquete]]-Tabla1[[#This Row],[Saldo_Deudor]]</f>
        <v>10100</v>
      </c>
      <c r="AY553">
        <v>2800</v>
      </c>
      <c r="AZ553">
        <v>0</v>
      </c>
      <c r="BA553">
        <v>0</v>
      </c>
      <c r="BB553">
        <v>0</v>
      </c>
      <c r="BC553" t="s">
        <v>2897</v>
      </c>
      <c r="BD553" t="s">
        <v>3074</v>
      </c>
      <c r="BE553" t="s">
        <v>3</v>
      </c>
      <c r="BF553" t="s">
        <v>3</v>
      </c>
      <c r="BG553" t="s">
        <v>3</v>
      </c>
      <c r="BH553" t="s">
        <v>3</v>
      </c>
      <c r="BI553" t="s">
        <v>3</v>
      </c>
      <c r="BJ553" t="s">
        <v>4998</v>
      </c>
      <c r="BK553" t="s">
        <v>3</v>
      </c>
      <c r="BL553" t="s">
        <v>96</v>
      </c>
      <c r="BM553" t="s">
        <v>1</v>
      </c>
      <c r="BN553">
        <v>12900</v>
      </c>
      <c r="BO553" t="s">
        <v>1</v>
      </c>
      <c r="BP553" t="s">
        <v>1</v>
      </c>
      <c r="BQ553" t="s">
        <v>1</v>
      </c>
      <c r="BR553" t="s">
        <v>1</v>
      </c>
      <c r="BS553" t="s">
        <v>1</v>
      </c>
      <c r="BT553" t="s">
        <v>1</v>
      </c>
      <c r="BU553" t="s">
        <v>1</v>
      </c>
      <c r="BV553" t="s">
        <v>1</v>
      </c>
      <c r="BW553" t="s">
        <v>0</v>
      </c>
      <c r="BX553" t="s">
        <v>1</v>
      </c>
      <c r="BY553" t="s">
        <v>1</v>
      </c>
      <c r="BZ553" t="s">
        <v>1</v>
      </c>
      <c r="CA553" t="s">
        <v>1</v>
      </c>
      <c r="CB553" t="s">
        <v>1</v>
      </c>
      <c r="CD553" t="e" cm="1">
        <f t="array" aca="1" ref="CD553" ca="1">eConcatenar(A553:CB553,"|")</f>
        <v>#NAME?</v>
      </c>
    </row>
    <row r="554" spans="1:82" x14ac:dyDescent="0.25">
      <c r="A554" t="s">
        <v>649</v>
      </c>
      <c r="B554" t="s">
        <v>1663</v>
      </c>
      <c r="C554">
        <v>3</v>
      </c>
      <c r="D554" t="s">
        <v>2153</v>
      </c>
      <c r="E554" t="s">
        <v>2158</v>
      </c>
      <c r="F554" t="s">
        <v>2162</v>
      </c>
      <c r="G554" t="s">
        <v>2486</v>
      </c>
      <c r="H554" t="s">
        <v>2830</v>
      </c>
      <c r="I554">
        <v>14800</v>
      </c>
      <c r="J554">
        <v>0</v>
      </c>
      <c r="K554">
        <v>200</v>
      </c>
      <c r="L554">
        <v>50</v>
      </c>
      <c r="M554">
        <v>1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 t="s">
        <v>3214</v>
      </c>
      <c r="AC554" t="s">
        <v>3259</v>
      </c>
      <c r="AD554" t="s">
        <v>3619</v>
      </c>
      <c r="AE554" t="s">
        <v>4</v>
      </c>
      <c r="AF554" t="s">
        <v>1</v>
      </c>
      <c r="AG554" t="s">
        <v>1</v>
      </c>
      <c r="AH554" t="s">
        <v>4501</v>
      </c>
      <c r="AI554" t="s">
        <v>2486</v>
      </c>
      <c r="AJ554" t="s">
        <v>1</v>
      </c>
      <c r="AK554">
        <v>9331074263</v>
      </c>
      <c r="AL554" t="s">
        <v>1</v>
      </c>
      <c r="AM554" t="s">
        <v>1</v>
      </c>
      <c r="AN554" t="s">
        <v>1</v>
      </c>
      <c r="AO554" t="s">
        <v>4501</v>
      </c>
      <c r="AP554" t="s">
        <v>1</v>
      </c>
      <c r="AQ554" t="s">
        <v>2</v>
      </c>
      <c r="AR554" t="s">
        <v>1</v>
      </c>
      <c r="AS554" t="s">
        <v>1</v>
      </c>
      <c r="AT554" t="s">
        <v>1</v>
      </c>
      <c r="AU554" t="s">
        <v>1</v>
      </c>
      <c r="AV554" t="s">
        <v>1</v>
      </c>
      <c r="AW554" t="s">
        <v>9</v>
      </c>
      <c r="AX554">
        <f>Tabla1[[#This Row],[precio del paquete]]-Tabla1[[#This Row],[Saldo_Deudor]]</f>
        <v>1000</v>
      </c>
      <c r="AY554">
        <v>13800</v>
      </c>
      <c r="AZ554">
        <v>0</v>
      </c>
      <c r="BA554">
        <v>0</v>
      </c>
      <c r="BB554">
        <v>0</v>
      </c>
      <c r="BC554" t="s">
        <v>2801</v>
      </c>
      <c r="BD554" t="s">
        <v>2927</v>
      </c>
      <c r="BE554" t="s">
        <v>3</v>
      </c>
      <c r="BF554" t="s">
        <v>3</v>
      </c>
      <c r="BG554" t="s">
        <v>3</v>
      </c>
      <c r="BH554" t="s">
        <v>3</v>
      </c>
      <c r="BI554" t="s">
        <v>3</v>
      </c>
      <c r="BJ554" t="s">
        <v>4998</v>
      </c>
      <c r="BK554" t="s">
        <v>3</v>
      </c>
      <c r="BL554" t="s">
        <v>96</v>
      </c>
      <c r="BM554" t="s">
        <v>1</v>
      </c>
      <c r="BN554">
        <v>14800</v>
      </c>
      <c r="BO554" t="s">
        <v>1</v>
      </c>
      <c r="BP554" t="s">
        <v>1</v>
      </c>
      <c r="BQ554" t="s">
        <v>1</v>
      </c>
      <c r="BR554" t="s">
        <v>1</v>
      </c>
      <c r="BS554" t="s">
        <v>1</v>
      </c>
      <c r="BT554" t="s">
        <v>1</v>
      </c>
      <c r="BU554" t="s">
        <v>1</v>
      </c>
      <c r="BV554" t="s">
        <v>1</v>
      </c>
      <c r="BW554" t="s">
        <v>0</v>
      </c>
      <c r="BX554" t="s">
        <v>1</v>
      </c>
      <c r="BY554" t="s">
        <v>1</v>
      </c>
      <c r="BZ554" t="s">
        <v>1</v>
      </c>
      <c r="CA554" t="s">
        <v>1</v>
      </c>
      <c r="CB554" t="s">
        <v>1</v>
      </c>
      <c r="CD554" t="e" cm="1">
        <f t="array" aca="1" ref="CD554" ca="1">eConcatenar(A554:CB554,"|")</f>
        <v>#NAME?</v>
      </c>
    </row>
    <row r="555" spans="1:82" x14ac:dyDescent="0.25">
      <c r="A555" t="s">
        <v>650</v>
      </c>
      <c r="B555" t="s">
        <v>1664</v>
      </c>
      <c r="C555">
        <v>3</v>
      </c>
      <c r="D555" t="s">
        <v>2153</v>
      </c>
      <c r="E555" t="s">
        <v>2158</v>
      </c>
      <c r="F555" t="s">
        <v>2164</v>
      </c>
      <c r="G555" t="s">
        <v>2487</v>
      </c>
      <c r="H555" t="s">
        <v>2801</v>
      </c>
      <c r="I555">
        <v>14800</v>
      </c>
      <c r="J555">
        <v>0</v>
      </c>
      <c r="K555">
        <v>400</v>
      </c>
      <c r="L555">
        <v>50</v>
      </c>
      <c r="M555">
        <v>2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 t="s">
        <v>3236</v>
      </c>
      <c r="AC555" t="s">
        <v>3304</v>
      </c>
      <c r="AD555" t="s">
        <v>3264</v>
      </c>
      <c r="AE555" t="s">
        <v>4</v>
      </c>
      <c r="AF555" t="s">
        <v>1</v>
      </c>
      <c r="AG555" t="s">
        <v>1</v>
      </c>
      <c r="AH555" t="s">
        <v>4502</v>
      </c>
      <c r="AI555" t="s">
        <v>2487</v>
      </c>
      <c r="AJ555" t="s">
        <v>1</v>
      </c>
      <c r="AK555">
        <v>9331021127</v>
      </c>
      <c r="AL555" t="s">
        <v>1</v>
      </c>
      <c r="AM555" t="s">
        <v>1</v>
      </c>
      <c r="AN555" t="s">
        <v>1</v>
      </c>
      <c r="AO555" t="s">
        <v>4502</v>
      </c>
      <c r="AP555" t="s">
        <v>1</v>
      </c>
      <c r="AQ555" t="s">
        <v>2</v>
      </c>
      <c r="AR555" t="s">
        <v>1</v>
      </c>
      <c r="AS555" t="s">
        <v>1</v>
      </c>
      <c r="AT555" t="s">
        <v>1</v>
      </c>
      <c r="AU555" t="s">
        <v>1</v>
      </c>
      <c r="AV555" t="s">
        <v>1</v>
      </c>
      <c r="AW555" t="s">
        <v>9</v>
      </c>
      <c r="AX555">
        <f>Tabla1[[#This Row],[precio del paquete]]-Tabla1[[#This Row],[Saldo_Deudor]]</f>
        <v>450</v>
      </c>
      <c r="AY555">
        <v>14350</v>
      </c>
      <c r="AZ555">
        <v>0</v>
      </c>
      <c r="BA555">
        <v>0</v>
      </c>
      <c r="BB555">
        <v>0</v>
      </c>
      <c r="BC555" t="s">
        <v>2923</v>
      </c>
      <c r="BD555" t="s">
        <v>4910</v>
      </c>
      <c r="BE555" t="s">
        <v>3</v>
      </c>
      <c r="BF555" t="s">
        <v>3</v>
      </c>
      <c r="BG555" t="s">
        <v>3</v>
      </c>
      <c r="BH555" t="s">
        <v>3</v>
      </c>
      <c r="BI555" t="s">
        <v>3</v>
      </c>
      <c r="BJ555" t="s">
        <v>4998</v>
      </c>
      <c r="BK555" t="s">
        <v>3</v>
      </c>
      <c r="BL555" t="s">
        <v>96</v>
      </c>
      <c r="BM555" t="s">
        <v>1</v>
      </c>
      <c r="BN555">
        <v>14800</v>
      </c>
      <c r="BO555" t="s">
        <v>1</v>
      </c>
      <c r="BP555" t="s">
        <v>1</v>
      </c>
      <c r="BQ555" t="s">
        <v>1</v>
      </c>
      <c r="BR555" t="s">
        <v>1</v>
      </c>
      <c r="BS555" t="s">
        <v>1</v>
      </c>
      <c r="BT555" t="s">
        <v>1</v>
      </c>
      <c r="BU555" t="s">
        <v>1</v>
      </c>
      <c r="BV555" t="s">
        <v>1</v>
      </c>
      <c r="BW555" t="s">
        <v>0</v>
      </c>
      <c r="BX555" t="s">
        <v>1</v>
      </c>
      <c r="BY555" t="s">
        <v>1</v>
      </c>
      <c r="BZ555" t="s">
        <v>1</v>
      </c>
      <c r="CA555" t="s">
        <v>1</v>
      </c>
      <c r="CB555" t="s">
        <v>1</v>
      </c>
      <c r="CD555" t="e" cm="1">
        <f t="array" aca="1" ref="CD555" ca="1">eConcatenar(A555:CB555,"|")</f>
        <v>#NAME?</v>
      </c>
    </row>
    <row r="556" spans="1:82" x14ac:dyDescent="0.25">
      <c r="A556" t="s">
        <v>651</v>
      </c>
      <c r="B556" t="s">
        <v>1665</v>
      </c>
      <c r="C556">
        <v>3</v>
      </c>
      <c r="D556" t="s">
        <v>2157</v>
      </c>
      <c r="E556" t="s">
        <v>2158</v>
      </c>
      <c r="F556" t="s">
        <v>2164</v>
      </c>
      <c r="G556" t="s">
        <v>2487</v>
      </c>
      <c r="H556" t="s">
        <v>2818</v>
      </c>
      <c r="I556">
        <v>12900</v>
      </c>
      <c r="J556">
        <v>0</v>
      </c>
      <c r="K556">
        <v>400</v>
      </c>
      <c r="L556">
        <v>50</v>
      </c>
      <c r="M556">
        <v>2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 t="s">
        <v>3755</v>
      </c>
      <c r="AC556" t="s">
        <v>3236</v>
      </c>
      <c r="AD556" t="s">
        <v>3756</v>
      </c>
      <c r="AE556" t="s">
        <v>4</v>
      </c>
      <c r="AF556" t="s">
        <v>1</v>
      </c>
      <c r="AG556" t="s">
        <v>1</v>
      </c>
      <c r="AH556" t="s">
        <v>4503</v>
      </c>
      <c r="AI556" t="s">
        <v>2487</v>
      </c>
      <c r="AJ556" t="s">
        <v>1</v>
      </c>
      <c r="AK556" t="s">
        <v>1</v>
      </c>
      <c r="AL556" t="s">
        <v>1</v>
      </c>
      <c r="AM556" t="s">
        <v>1</v>
      </c>
      <c r="AN556" t="s">
        <v>1</v>
      </c>
      <c r="AO556" t="s">
        <v>4503</v>
      </c>
      <c r="AP556" t="s">
        <v>1</v>
      </c>
      <c r="AQ556" t="s">
        <v>2</v>
      </c>
      <c r="AR556" t="s">
        <v>1</v>
      </c>
      <c r="AS556" t="s">
        <v>1</v>
      </c>
      <c r="AT556" t="s">
        <v>1</v>
      </c>
      <c r="AU556" t="s">
        <v>1</v>
      </c>
      <c r="AV556" t="s">
        <v>1</v>
      </c>
      <c r="AW556" t="s">
        <v>9</v>
      </c>
      <c r="AX556">
        <f>Tabla1[[#This Row],[precio del paquete]]-Tabla1[[#This Row],[Saldo_Deudor]]</f>
        <v>9700</v>
      </c>
      <c r="AY556">
        <v>3200</v>
      </c>
      <c r="AZ556">
        <v>0</v>
      </c>
      <c r="BA556">
        <v>0</v>
      </c>
      <c r="BB556">
        <v>0</v>
      </c>
      <c r="BC556" t="s">
        <v>2923</v>
      </c>
      <c r="BD556" t="s">
        <v>4910</v>
      </c>
      <c r="BE556" t="s">
        <v>3</v>
      </c>
      <c r="BF556" t="s">
        <v>3</v>
      </c>
      <c r="BG556" t="s">
        <v>3</v>
      </c>
      <c r="BH556" t="s">
        <v>3</v>
      </c>
      <c r="BI556" t="s">
        <v>3</v>
      </c>
      <c r="BJ556" t="s">
        <v>4998</v>
      </c>
      <c r="BK556" t="s">
        <v>3</v>
      </c>
      <c r="BL556" t="s">
        <v>96</v>
      </c>
      <c r="BM556" t="s">
        <v>1</v>
      </c>
      <c r="BN556">
        <v>12900</v>
      </c>
      <c r="BO556" t="s">
        <v>1</v>
      </c>
      <c r="BP556" t="s">
        <v>1</v>
      </c>
      <c r="BQ556" t="s">
        <v>1</v>
      </c>
      <c r="BR556" t="s">
        <v>1</v>
      </c>
      <c r="BS556" t="s">
        <v>1</v>
      </c>
      <c r="BT556" t="s">
        <v>1</v>
      </c>
      <c r="BU556" t="s">
        <v>1</v>
      </c>
      <c r="BV556" t="s">
        <v>1</v>
      </c>
      <c r="BW556" t="s">
        <v>0</v>
      </c>
      <c r="BX556" t="s">
        <v>1</v>
      </c>
      <c r="BY556" t="s">
        <v>1</v>
      </c>
      <c r="BZ556" t="s">
        <v>1</v>
      </c>
      <c r="CA556" t="s">
        <v>1</v>
      </c>
      <c r="CB556" t="s">
        <v>1</v>
      </c>
      <c r="CD556" t="e" cm="1">
        <f t="array" aca="1" ref="CD556" ca="1">eConcatenar(A556:CB556,"|")</f>
        <v>#NAME?</v>
      </c>
    </row>
    <row r="557" spans="1:82" x14ac:dyDescent="0.25">
      <c r="A557" t="s">
        <v>652</v>
      </c>
      <c r="B557" t="s">
        <v>1666</v>
      </c>
      <c r="C557">
        <v>3</v>
      </c>
      <c r="D557" t="s">
        <v>2153</v>
      </c>
      <c r="E557" t="s">
        <v>2158</v>
      </c>
      <c r="F557" t="s">
        <v>2162</v>
      </c>
      <c r="G557" t="s">
        <v>2488</v>
      </c>
      <c r="H557" t="s">
        <v>2756</v>
      </c>
      <c r="I557">
        <v>14800</v>
      </c>
      <c r="J557">
        <v>0</v>
      </c>
      <c r="K557">
        <v>200</v>
      </c>
      <c r="L557">
        <v>50</v>
      </c>
      <c r="M557">
        <v>1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 t="s">
        <v>3311</v>
      </c>
      <c r="AC557" t="s">
        <v>3757</v>
      </c>
      <c r="AD557" t="s">
        <v>3758</v>
      </c>
      <c r="AE557" t="s">
        <v>4</v>
      </c>
      <c r="AF557" t="s">
        <v>1</v>
      </c>
      <c r="AG557" t="s">
        <v>1</v>
      </c>
      <c r="AH557" t="s">
        <v>4504</v>
      </c>
      <c r="AI557" t="s">
        <v>2488</v>
      </c>
      <c r="AJ557" t="s">
        <v>1</v>
      </c>
      <c r="AK557" t="s">
        <v>1</v>
      </c>
      <c r="AL557" t="s">
        <v>1</v>
      </c>
      <c r="AM557" t="s">
        <v>1</v>
      </c>
      <c r="AN557" t="s">
        <v>1</v>
      </c>
      <c r="AO557" t="s">
        <v>4504</v>
      </c>
      <c r="AP557" t="s">
        <v>1</v>
      </c>
      <c r="AQ557" t="s">
        <v>2</v>
      </c>
      <c r="AR557" t="s">
        <v>1</v>
      </c>
      <c r="AS557" t="s">
        <v>1</v>
      </c>
      <c r="AT557" t="s">
        <v>1</v>
      </c>
      <c r="AU557" t="s">
        <v>1</v>
      </c>
      <c r="AV557" t="s">
        <v>1</v>
      </c>
      <c r="AW557" t="s">
        <v>9</v>
      </c>
      <c r="AX557">
        <f>Tabla1[[#This Row],[precio del paquete]]-Tabla1[[#This Row],[Saldo_Deudor]]</f>
        <v>900</v>
      </c>
      <c r="AY557">
        <v>13900</v>
      </c>
      <c r="AZ557">
        <v>0</v>
      </c>
      <c r="BA557">
        <v>0</v>
      </c>
      <c r="BB557">
        <v>0</v>
      </c>
      <c r="BC557" t="s">
        <v>4842</v>
      </c>
      <c r="BD557" t="s">
        <v>4878</v>
      </c>
      <c r="BE557" t="s">
        <v>3</v>
      </c>
      <c r="BF557" t="s">
        <v>3</v>
      </c>
      <c r="BG557" t="s">
        <v>3</v>
      </c>
      <c r="BH557" t="s">
        <v>3</v>
      </c>
      <c r="BI557" t="s">
        <v>3</v>
      </c>
      <c r="BJ557" t="s">
        <v>4998</v>
      </c>
      <c r="BK557" t="s">
        <v>3</v>
      </c>
      <c r="BL557" t="s">
        <v>96</v>
      </c>
      <c r="BM557" t="s">
        <v>1</v>
      </c>
      <c r="BN557">
        <v>14800</v>
      </c>
      <c r="BO557" t="s">
        <v>1</v>
      </c>
      <c r="BP557" t="s">
        <v>1</v>
      </c>
      <c r="BQ557" t="s">
        <v>1</v>
      </c>
      <c r="BR557" t="s">
        <v>1</v>
      </c>
      <c r="BS557" t="s">
        <v>1</v>
      </c>
      <c r="BT557" t="s">
        <v>1</v>
      </c>
      <c r="BU557" t="s">
        <v>1</v>
      </c>
      <c r="BV557" t="s">
        <v>1</v>
      </c>
      <c r="BW557" t="s">
        <v>0</v>
      </c>
      <c r="BX557" t="s">
        <v>1</v>
      </c>
      <c r="BY557" t="s">
        <v>1</v>
      </c>
      <c r="BZ557" t="s">
        <v>1</v>
      </c>
      <c r="CA557" t="s">
        <v>1</v>
      </c>
      <c r="CB557" t="s">
        <v>1</v>
      </c>
      <c r="CD557" t="e" cm="1">
        <f t="array" aca="1" ref="CD557" ca="1">eConcatenar(A557:CB557,"|")</f>
        <v>#NAME?</v>
      </c>
    </row>
    <row r="558" spans="1:82" x14ac:dyDescent="0.25">
      <c r="A558" t="s">
        <v>653</v>
      </c>
      <c r="B558" t="s">
        <v>1667</v>
      </c>
      <c r="C558">
        <v>3</v>
      </c>
      <c r="D558" t="s">
        <v>2157</v>
      </c>
      <c r="E558" t="s">
        <v>2158</v>
      </c>
      <c r="F558" t="s">
        <v>2162</v>
      </c>
      <c r="G558" t="s">
        <v>2489</v>
      </c>
      <c r="H558" t="s">
        <v>2952</v>
      </c>
      <c r="I558">
        <v>12900</v>
      </c>
      <c r="J558">
        <v>0</v>
      </c>
      <c r="K558">
        <v>500</v>
      </c>
      <c r="L558">
        <v>50</v>
      </c>
      <c r="M558">
        <v>2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 t="s">
        <v>3484</v>
      </c>
      <c r="AD558" t="s">
        <v>3759</v>
      </c>
      <c r="AE558" t="s">
        <v>4</v>
      </c>
      <c r="AF558" t="s">
        <v>1</v>
      </c>
      <c r="AG558" t="s">
        <v>1</v>
      </c>
      <c r="AH558" t="s">
        <v>4505</v>
      </c>
      <c r="AI558" t="s">
        <v>2489</v>
      </c>
      <c r="AJ558" t="s">
        <v>1</v>
      </c>
      <c r="AK558">
        <v>9331564727</v>
      </c>
      <c r="AL558" t="s">
        <v>1</v>
      </c>
      <c r="AM558" t="s">
        <v>1</v>
      </c>
      <c r="AN558" t="s">
        <v>1</v>
      </c>
      <c r="AO558" t="s">
        <v>4505</v>
      </c>
      <c r="AP558" t="s">
        <v>1</v>
      </c>
      <c r="AQ558" t="s">
        <v>2</v>
      </c>
      <c r="AR558" t="s">
        <v>1</v>
      </c>
      <c r="AS558" t="s">
        <v>1</v>
      </c>
      <c r="AT558" t="s">
        <v>1</v>
      </c>
      <c r="AU558" t="s">
        <v>1</v>
      </c>
      <c r="AV558" t="s">
        <v>1</v>
      </c>
      <c r="AW558" t="s">
        <v>9</v>
      </c>
      <c r="AX558">
        <f>Tabla1[[#This Row],[precio del paquete]]-Tabla1[[#This Row],[Saldo_Deudor]]</f>
        <v>11900</v>
      </c>
      <c r="AY558">
        <v>1000</v>
      </c>
      <c r="AZ558">
        <v>0</v>
      </c>
      <c r="BA558">
        <v>0</v>
      </c>
      <c r="BB558">
        <v>0</v>
      </c>
      <c r="BC558" t="s">
        <v>2923</v>
      </c>
      <c r="BD558" t="s">
        <v>4910</v>
      </c>
      <c r="BE558" t="s">
        <v>3</v>
      </c>
      <c r="BF558" t="s">
        <v>3</v>
      </c>
      <c r="BG558" t="s">
        <v>3</v>
      </c>
      <c r="BH558" t="s">
        <v>3</v>
      </c>
      <c r="BI558" t="s">
        <v>3</v>
      </c>
      <c r="BJ558" t="s">
        <v>4998</v>
      </c>
      <c r="BK558" t="s">
        <v>3</v>
      </c>
      <c r="BL558" t="s">
        <v>96</v>
      </c>
      <c r="BM558" t="s">
        <v>1</v>
      </c>
      <c r="BN558">
        <v>12900</v>
      </c>
      <c r="BO558" t="s">
        <v>1</v>
      </c>
      <c r="BP558" t="s">
        <v>1</v>
      </c>
      <c r="BQ558" t="s">
        <v>1</v>
      </c>
      <c r="BR558" t="s">
        <v>1</v>
      </c>
      <c r="BS558" t="s">
        <v>1</v>
      </c>
      <c r="BT558" t="s">
        <v>1</v>
      </c>
      <c r="BU558" t="s">
        <v>1</v>
      </c>
      <c r="BV558" t="s">
        <v>1</v>
      </c>
      <c r="BW558" t="s">
        <v>0</v>
      </c>
      <c r="BX558" t="s">
        <v>1</v>
      </c>
      <c r="BY558" t="s">
        <v>1</v>
      </c>
      <c r="BZ558" t="s">
        <v>1</v>
      </c>
      <c r="CA558" t="s">
        <v>1</v>
      </c>
      <c r="CB558" t="s">
        <v>1</v>
      </c>
      <c r="CD558" t="e" cm="1">
        <f t="array" aca="1" ref="CD558" ca="1">eConcatenar(A558:CB558,"|")</f>
        <v>#NAME?</v>
      </c>
    </row>
    <row r="559" spans="1:82" x14ac:dyDescent="0.25">
      <c r="A559" t="s">
        <v>654</v>
      </c>
      <c r="B559" t="s">
        <v>1668</v>
      </c>
      <c r="C559">
        <v>3</v>
      </c>
      <c r="D559" t="s">
        <v>2153</v>
      </c>
      <c r="E559" t="s">
        <v>2158</v>
      </c>
      <c r="F559" t="s">
        <v>2162</v>
      </c>
      <c r="G559" t="s">
        <v>2489</v>
      </c>
      <c r="H559" t="s">
        <v>2756</v>
      </c>
      <c r="I559">
        <v>14800</v>
      </c>
      <c r="J559">
        <v>0</v>
      </c>
      <c r="K559">
        <v>200</v>
      </c>
      <c r="L559">
        <v>50</v>
      </c>
      <c r="M559">
        <v>1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 t="s">
        <v>3568</v>
      </c>
      <c r="AC559" t="s">
        <v>3311</v>
      </c>
      <c r="AD559" t="s">
        <v>3760</v>
      </c>
      <c r="AE559" t="s">
        <v>4</v>
      </c>
      <c r="AF559" t="s">
        <v>1</v>
      </c>
      <c r="AG559" t="s">
        <v>1</v>
      </c>
      <c r="AH559" t="s">
        <v>4506</v>
      </c>
      <c r="AI559" t="s">
        <v>2489</v>
      </c>
      <c r="AJ559" t="s">
        <v>1</v>
      </c>
      <c r="AK559">
        <v>9334063471</v>
      </c>
      <c r="AL559" t="s">
        <v>1</v>
      </c>
      <c r="AM559" t="s">
        <v>1</v>
      </c>
      <c r="AN559" t="s">
        <v>1</v>
      </c>
      <c r="AO559" t="s">
        <v>4506</v>
      </c>
      <c r="AP559" t="s">
        <v>1</v>
      </c>
      <c r="AQ559" t="s">
        <v>2</v>
      </c>
      <c r="AR559" t="s">
        <v>1</v>
      </c>
      <c r="AS559" t="s">
        <v>1</v>
      </c>
      <c r="AT559" t="s">
        <v>1</v>
      </c>
      <c r="AU559" t="s">
        <v>1</v>
      </c>
      <c r="AV559" t="s">
        <v>1</v>
      </c>
      <c r="AW559" t="s">
        <v>9</v>
      </c>
      <c r="AX559">
        <f>Tabla1[[#This Row],[precio del paquete]]-Tabla1[[#This Row],[Saldo_Deudor]]</f>
        <v>14600</v>
      </c>
      <c r="AY559">
        <v>200</v>
      </c>
      <c r="AZ559">
        <v>0</v>
      </c>
      <c r="BA559">
        <v>0</v>
      </c>
      <c r="BB559">
        <v>0</v>
      </c>
      <c r="BC559" t="s">
        <v>3061</v>
      </c>
      <c r="BD559" t="s">
        <v>3040</v>
      </c>
      <c r="BE559" t="s">
        <v>3</v>
      </c>
      <c r="BF559" t="s">
        <v>3</v>
      </c>
      <c r="BG559" t="s">
        <v>3</v>
      </c>
      <c r="BH559" t="s">
        <v>3</v>
      </c>
      <c r="BI559" t="s">
        <v>3</v>
      </c>
      <c r="BJ559" t="s">
        <v>4998</v>
      </c>
      <c r="BK559" t="s">
        <v>3</v>
      </c>
      <c r="BL559" t="s">
        <v>96</v>
      </c>
      <c r="BM559" t="s">
        <v>1</v>
      </c>
      <c r="BN559">
        <v>14800</v>
      </c>
      <c r="BO559" t="s">
        <v>1</v>
      </c>
      <c r="BP559" t="s">
        <v>1</v>
      </c>
      <c r="BQ559" t="s">
        <v>1</v>
      </c>
      <c r="BR559" t="s">
        <v>1</v>
      </c>
      <c r="BS559" t="s">
        <v>1</v>
      </c>
      <c r="BT559" t="s">
        <v>1</v>
      </c>
      <c r="BU559" t="s">
        <v>1</v>
      </c>
      <c r="BV559" t="s">
        <v>1</v>
      </c>
      <c r="BW559" t="s">
        <v>0</v>
      </c>
      <c r="BX559" t="s">
        <v>1</v>
      </c>
      <c r="BY559" t="s">
        <v>1</v>
      </c>
      <c r="BZ559" t="s">
        <v>1</v>
      </c>
      <c r="CA559" t="s">
        <v>1</v>
      </c>
      <c r="CB559" t="s">
        <v>1</v>
      </c>
      <c r="CD559" t="e" cm="1">
        <f t="array" aca="1" ref="CD559" ca="1">eConcatenar(A559:CB559,"|")</f>
        <v>#NAME?</v>
      </c>
    </row>
    <row r="560" spans="1:82" x14ac:dyDescent="0.25">
      <c r="A560" t="s">
        <v>655</v>
      </c>
      <c r="B560" t="s">
        <v>1669</v>
      </c>
      <c r="C560">
        <v>3</v>
      </c>
      <c r="D560" t="s">
        <v>2157</v>
      </c>
      <c r="E560" t="s">
        <v>2158</v>
      </c>
      <c r="F560" t="s">
        <v>2161</v>
      </c>
      <c r="G560" t="s">
        <v>2490</v>
      </c>
      <c r="H560" t="s">
        <v>2953</v>
      </c>
      <c r="I560">
        <v>12900</v>
      </c>
      <c r="J560">
        <v>0</v>
      </c>
      <c r="K560">
        <v>100</v>
      </c>
      <c r="L560">
        <v>50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 t="s">
        <v>3132</v>
      </c>
      <c r="AC560" t="s">
        <v>3761</v>
      </c>
      <c r="AD560" t="s">
        <v>3447</v>
      </c>
      <c r="AE560" t="s">
        <v>4</v>
      </c>
      <c r="AF560" t="s">
        <v>1</v>
      </c>
      <c r="AG560" t="s">
        <v>1</v>
      </c>
      <c r="AH560" t="s">
        <v>4097</v>
      </c>
      <c r="AI560" t="s">
        <v>2490</v>
      </c>
      <c r="AJ560" t="s">
        <v>1</v>
      </c>
      <c r="AK560" t="s">
        <v>1</v>
      </c>
      <c r="AL560" t="s">
        <v>1</v>
      </c>
      <c r="AM560" t="s">
        <v>1</v>
      </c>
      <c r="AN560" t="s">
        <v>1</v>
      </c>
      <c r="AO560" t="s">
        <v>4097</v>
      </c>
      <c r="AP560" t="s">
        <v>1</v>
      </c>
      <c r="AQ560" t="s">
        <v>2</v>
      </c>
      <c r="AR560" t="s">
        <v>1</v>
      </c>
      <c r="AS560" t="s">
        <v>1</v>
      </c>
      <c r="AT560" t="s">
        <v>1</v>
      </c>
      <c r="AU560" t="s">
        <v>1</v>
      </c>
      <c r="AV560" t="s">
        <v>1</v>
      </c>
      <c r="AW560" t="s">
        <v>9</v>
      </c>
      <c r="AX560">
        <f>Tabla1[[#This Row],[precio del paquete]]-Tabla1[[#This Row],[Saldo_Deudor]]</f>
        <v>7700</v>
      </c>
      <c r="AY560">
        <v>5200</v>
      </c>
      <c r="AZ560">
        <v>0</v>
      </c>
      <c r="BA560">
        <v>0</v>
      </c>
      <c r="BB560">
        <v>0</v>
      </c>
      <c r="BC560" t="s">
        <v>4834</v>
      </c>
      <c r="BD560" t="s">
        <v>4915</v>
      </c>
      <c r="BE560" t="s">
        <v>3</v>
      </c>
      <c r="BF560" t="s">
        <v>3</v>
      </c>
      <c r="BG560" t="s">
        <v>3</v>
      </c>
      <c r="BH560" t="s">
        <v>3</v>
      </c>
      <c r="BI560" t="s">
        <v>3</v>
      </c>
      <c r="BJ560" t="s">
        <v>4998</v>
      </c>
      <c r="BK560" t="s">
        <v>3</v>
      </c>
      <c r="BL560" t="s">
        <v>96</v>
      </c>
      <c r="BM560" t="s">
        <v>1</v>
      </c>
      <c r="BN560">
        <v>12900</v>
      </c>
      <c r="BO560" t="s">
        <v>1</v>
      </c>
      <c r="BP560" t="s">
        <v>1</v>
      </c>
      <c r="BQ560" t="s">
        <v>1</v>
      </c>
      <c r="BR560" t="s">
        <v>1</v>
      </c>
      <c r="BS560" t="s">
        <v>1</v>
      </c>
      <c r="BT560" t="s">
        <v>1</v>
      </c>
      <c r="BU560" t="s">
        <v>1</v>
      </c>
      <c r="BV560" t="s">
        <v>1</v>
      </c>
      <c r="BW560" t="s">
        <v>0</v>
      </c>
      <c r="BX560" t="s">
        <v>1</v>
      </c>
      <c r="BY560" t="s">
        <v>1</v>
      </c>
      <c r="BZ560" t="s">
        <v>1</v>
      </c>
      <c r="CA560" t="s">
        <v>1</v>
      </c>
      <c r="CB560" t="s">
        <v>1</v>
      </c>
      <c r="CD560" t="e" cm="1">
        <f t="array" aca="1" ref="CD560" ca="1">eConcatenar(A560:CB560,"|")</f>
        <v>#NAME?</v>
      </c>
    </row>
    <row r="561" spans="1:82" x14ac:dyDescent="0.25">
      <c r="A561" t="s">
        <v>656</v>
      </c>
      <c r="B561" t="s">
        <v>1670</v>
      </c>
      <c r="C561">
        <v>3</v>
      </c>
      <c r="D561" t="s">
        <v>2157</v>
      </c>
      <c r="E561" t="s">
        <v>2158</v>
      </c>
      <c r="F561" t="s">
        <v>2162</v>
      </c>
      <c r="G561" t="s">
        <v>2491</v>
      </c>
      <c r="H561" t="s">
        <v>2768</v>
      </c>
      <c r="I561">
        <v>14800</v>
      </c>
      <c r="J561">
        <v>0</v>
      </c>
      <c r="K561">
        <v>1000</v>
      </c>
      <c r="L561">
        <v>50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 t="s">
        <v>3115</v>
      </c>
      <c r="AC561" t="s">
        <v>3367</v>
      </c>
      <c r="AD561" t="s">
        <v>3377</v>
      </c>
      <c r="AE561" t="s">
        <v>4</v>
      </c>
      <c r="AF561" t="s">
        <v>1</v>
      </c>
      <c r="AG561" t="s">
        <v>1</v>
      </c>
      <c r="AH561" t="s">
        <v>4507</v>
      </c>
      <c r="AI561" t="s">
        <v>2491</v>
      </c>
      <c r="AJ561" t="s">
        <v>1</v>
      </c>
      <c r="AK561">
        <v>9331019456</v>
      </c>
      <c r="AL561" t="s">
        <v>1</v>
      </c>
      <c r="AM561" t="s">
        <v>1</v>
      </c>
      <c r="AN561" t="s">
        <v>1</v>
      </c>
      <c r="AO561" t="s">
        <v>4507</v>
      </c>
      <c r="AP561" t="s">
        <v>1</v>
      </c>
      <c r="AQ561" t="s">
        <v>2</v>
      </c>
      <c r="AR561" t="s">
        <v>1</v>
      </c>
      <c r="AS561" t="s">
        <v>1</v>
      </c>
      <c r="AT561" t="s">
        <v>1</v>
      </c>
      <c r="AU561" t="s">
        <v>1</v>
      </c>
      <c r="AV561" t="s">
        <v>1</v>
      </c>
      <c r="AW561" t="s">
        <v>9</v>
      </c>
      <c r="AX561">
        <f>Tabla1[[#This Row],[precio del paquete]]-Tabla1[[#This Row],[Saldo_Deudor]]</f>
        <v>1400</v>
      </c>
      <c r="AY561">
        <v>13400</v>
      </c>
      <c r="AZ561">
        <v>0</v>
      </c>
      <c r="BA561">
        <v>0</v>
      </c>
      <c r="BB561">
        <v>0</v>
      </c>
      <c r="BC561" t="s">
        <v>2711</v>
      </c>
      <c r="BD561" t="s">
        <v>2712</v>
      </c>
      <c r="BE561" t="s">
        <v>3</v>
      </c>
      <c r="BF561" t="s">
        <v>3</v>
      </c>
      <c r="BG561" t="s">
        <v>3</v>
      </c>
      <c r="BH561" t="s">
        <v>3</v>
      </c>
      <c r="BI561" t="s">
        <v>3</v>
      </c>
      <c r="BJ561" t="s">
        <v>4997</v>
      </c>
      <c r="BK561" t="s">
        <v>3</v>
      </c>
      <c r="BL561" t="s">
        <v>96</v>
      </c>
      <c r="BM561" t="s">
        <v>1</v>
      </c>
      <c r="BN561">
        <v>14800</v>
      </c>
      <c r="BO561" t="s">
        <v>1</v>
      </c>
      <c r="BP561" t="s">
        <v>1</v>
      </c>
      <c r="BQ561" t="s">
        <v>1</v>
      </c>
      <c r="BR561" t="s">
        <v>1</v>
      </c>
      <c r="BS561" t="s">
        <v>1</v>
      </c>
      <c r="BT561" t="s">
        <v>1</v>
      </c>
      <c r="BU561" t="s">
        <v>1</v>
      </c>
      <c r="BV561" t="s">
        <v>1</v>
      </c>
      <c r="BW561" t="s">
        <v>0</v>
      </c>
      <c r="BX561" t="s">
        <v>1</v>
      </c>
      <c r="BY561" t="s">
        <v>1</v>
      </c>
      <c r="BZ561" t="s">
        <v>1</v>
      </c>
      <c r="CA561" t="s">
        <v>1</v>
      </c>
      <c r="CB561" t="s">
        <v>1</v>
      </c>
      <c r="CD561" t="e" cm="1">
        <f t="array" aca="1" ref="CD561" ca="1">eConcatenar(A561:CB561,"|")</f>
        <v>#NAME?</v>
      </c>
    </row>
    <row r="562" spans="1:82" x14ac:dyDescent="0.25">
      <c r="A562" t="s">
        <v>657</v>
      </c>
      <c r="B562" t="s">
        <v>1671</v>
      </c>
      <c r="C562">
        <v>3</v>
      </c>
      <c r="D562" t="s">
        <v>2153</v>
      </c>
      <c r="E562" t="s">
        <v>2158</v>
      </c>
      <c r="F562" t="s">
        <v>2162</v>
      </c>
      <c r="G562" t="s">
        <v>2491</v>
      </c>
      <c r="H562" t="s">
        <v>2699</v>
      </c>
      <c r="I562">
        <v>14800</v>
      </c>
      <c r="J562">
        <v>0</v>
      </c>
      <c r="K562">
        <v>200</v>
      </c>
      <c r="L562">
        <v>50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 t="s">
        <v>5</v>
      </c>
      <c r="AC562" t="s">
        <v>3117</v>
      </c>
      <c r="AD562" t="s">
        <v>3762</v>
      </c>
      <c r="AE562" t="s">
        <v>4</v>
      </c>
      <c r="AF562" t="s">
        <v>1</v>
      </c>
      <c r="AG562" t="s">
        <v>1</v>
      </c>
      <c r="AH562" t="s">
        <v>4508</v>
      </c>
      <c r="AI562" t="s">
        <v>2491</v>
      </c>
      <c r="AJ562" t="s">
        <v>1</v>
      </c>
      <c r="AK562">
        <v>9331347909</v>
      </c>
      <c r="AL562" t="s">
        <v>1</v>
      </c>
      <c r="AM562" t="s">
        <v>1</v>
      </c>
      <c r="AN562" t="s">
        <v>1</v>
      </c>
      <c r="AO562" t="s">
        <v>4508</v>
      </c>
      <c r="AP562" t="s">
        <v>1</v>
      </c>
      <c r="AQ562" t="s">
        <v>2</v>
      </c>
      <c r="AR562" t="s">
        <v>1</v>
      </c>
      <c r="AS562" t="s">
        <v>1</v>
      </c>
      <c r="AT562" t="s">
        <v>1</v>
      </c>
      <c r="AU562" t="s">
        <v>1</v>
      </c>
      <c r="AV562" t="s">
        <v>1</v>
      </c>
      <c r="AW562" t="s">
        <v>9</v>
      </c>
      <c r="AX562">
        <f>Tabla1[[#This Row],[precio del paquete]]-Tabla1[[#This Row],[Saldo_Deudor]]</f>
        <v>400</v>
      </c>
      <c r="AY562">
        <v>14400</v>
      </c>
      <c r="AZ562">
        <v>0</v>
      </c>
      <c r="BA562">
        <v>0</v>
      </c>
      <c r="BB562">
        <v>0</v>
      </c>
      <c r="BC562" t="s">
        <v>2711</v>
      </c>
      <c r="BD562" t="s">
        <v>2712</v>
      </c>
      <c r="BE562" t="s">
        <v>3</v>
      </c>
      <c r="BF562" t="s">
        <v>3</v>
      </c>
      <c r="BG562" t="s">
        <v>3</v>
      </c>
      <c r="BH562" t="s">
        <v>3</v>
      </c>
      <c r="BI562" t="s">
        <v>3</v>
      </c>
      <c r="BJ562" t="s">
        <v>5001</v>
      </c>
      <c r="BK562" t="s">
        <v>3</v>
      </c>
      <c r="BL562" t="s">
        <v>96</v>
      </c>
      <c r="BM562" t="s">
        <v>1</v>
      </c>
      <c r="BN562">
        <v>14800</v>
      </c>
      <c r="BO562" t="s">
        <v>1</v>
      </c>
      <c r="BP562" t="s">
        <v>1</v>
      </c>
      <c r="BQ562" t="s">
        <v>1</v>
      </c>
      <c r="BR562" t="s">
        <v>1</v>
      </c>
      <c r="BS562" t="s">
        <v>1</v>
      </c>
      <c r="BT562" t="s">
        <v>1</v>
      </c>
      <c r="BU562" t="s">
        <v>1</v>
      </c>
      <c r="BV562" t="s">
        <v>1</v>
      </c>
      <c r="BW562" t="s">
        <v>0</v>
      </c>
      <c r="BX562" t="s">
        <v>1</v>
      </c>
      <c r="BY562" t="s">
        <v>1</v>
      </c>
      <c r="BZ562" t="s">
        <v>1</v>
      </c>
      <c r="CA562" t="s">
        <v>1</v>
      </c>
      <c r="CB562" t="s">
        <v>1</v>
      </c>
      <c r="CD562" t="e" cm="1">
        <f t="array" aca="1" ref="CD562" ca="1">eConcatenar(A562:CB562,"|")</f>
        <v>#NAME?</v>
      </c>
    </row>
    <row r="563" spans="1:82" x14ac:dyDescent="0.25">
      <c r="A563" t="s">
        <v>658</v>
      </c>
      <c r="B563" t="s">
        <v>1672</v>
      </c>
      <c r="C563">
        <v>3</v>
      </c>
      <c r="D563" t="s">
        <v>2153</v>
      </c>
      <c r="E563" t="s">
        <v>2158</v>
      </c>
      <c r="F563" t="s">
        <v>2162</v>
      </c>
      <c r="G563" t="s">
        <v>2492</v>
      </c>
      <c r="H563" t="s">
        <v>2755</v>
      </c>
      <c r="I563">
        <v>14800</v>
      </c>
      <c r="J563">
        <v>0</v>
      </c>
      <c r="K563">
        <v>500</v>
      </c>
      <c r="L563">
        <v>50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 t="s">
        <v>3193</v>
      </c>
      <c r="AC563" t="s">
        <v>3148</v>
      </c>
      <c r="AD563" t="s">
        <v>3763</v>
      </c>
      <c r="AE563" t="s">
        <v>4</v>
      </c>
      <c r="AF563" t="s">
        <v>1</v>
      </c>
      <c r="AG563" t="s">
        <v>1</v>
      </c>
      <c r="AH563" t="s">
        <v>4507</v>
      </c>
      <c r="AI563" t="s">
        <v>2492</v>
      </c>
      <c r="AJ563" t="s">
        <v>1</v>
      </c>
      <c r="AK563">
        <v>9331333700</v>
      </c>
      <c r="AL563" t="s">
        <v>1</v>
      </c>
      <c r="AM563" t="s">
        <v>1</v>
      </c>
      <c r="AN563" t="s">
        <v>1</v>
      </c>
      <c r="AO563" t="s">
        <v>4507</v>
      </c>
      <c r="AP563" t="s">
        <v>1</v>
      </c>
      <c r="AQ563" t="s">
        <v>2</v>
      </c>
      <c r="AR563" t="s">
        <v>1</v>
      </c>
      <c r="AS563" t="s">
        <v>1</v>
      </c>
      <c r="AT563" t="s">
        <v>1</v>
      </c>
      <c r="AU563" t="s">
        <v>1</v>
      </c>
      <c r="AV563" t="s">
        <v>1</v>
      </c>
      <c r="AW563" t="s">
        <v>9</v>
      </c>
      <c r="AX563">
        <f>Tabla1[[#This Row],[precio del paquete]]-Tabla1[[#This Row],[Saldo_Deudor]]</f>
        <v>700</v>
      </c>
      <c r="AY563">
        <v>14100</v>
      </c>
      <c r="AZ563">
        <v>0</v>
      </c>
      <c r="BA563">
        <v>0</v>
      </c>
      <c r="BB563">
        <v>0</v>
      </c>
      <c r="BC563" t="s">
        <v>2711</v>
      </c>
      <c r="BD563" t="s">
        <v>2712</v>
      </c>
      <c r="BE563" t="s">
        <v>3</v>
      </c>
      <c r="BF563" t="s">
        <v>3</v>
      </c>
      <c r="BG563" t="s">
        <v>3</v>
      </c>
      <c r="BH563" t="s">
        <v>3</v>
      </c>
      <c r="BI563" t="s">
        <v>3</v>
      </c>
      <c r="BJ563" t="s">
        <v>5001</v>
      </c>
      <c r="BK563" t="s">
        <v>3</v>
      </c>
      <c r="BL563" t="s">
        <v>96</v>
      </c>
      <c r="BM563" t="s">
        <v>1</v>
      </c>
      <c r="BN563">
        <v>14800</v>
      </c>
      <c r="BO563" t="s">
        <v>1</v>
      </c>
      <c r="BP563" t="s">
        <v>1</v>
      </c>
      <c r="BQ563" t="s">
        <v>1</v>
      </c>
      <c r="BR563" t="s">
        <v>1</v>
      </c>
      <c r="BS563" t="s">
        <v>1</v>
      </c>
      <c r="BT563" t="s">
        <v>1</v>
      </c>
      <c r="BU563" t="s">
        <v>1</v>
      </c>
      <c r="BV563" t="s">
        <v>1</v>
      </c>
      <c r="BW563" t="s">
        <v>0</v>
      </c>
      <c r="BX563" t="s">
        <v>1</v>
      </c>
      <c r="BY563" t="s">
        <v>1</v>
      </c>
      <c r="BZ563" t="s">
        <v>1</v>
      </c>
      <c r="CA563" t="s">
        <v>1</v>
      </c>
      <c r="CB563" t="s">
        <v>1</v>
      </c>
      <c r="CD563" t="e" cm="1">
        <f t="array" aca="1" ref="CD563" ca="1">eConcatenar(A563:CB563,"|")</f>
        <v>#NAME?</v>
      </c>
    </row>
    <row r="564" spans="1:82" x14ac:dyDescent="0.25">
      <c r="A564" t="s">
        <v>659</v>
      </c>
      <c r="B564" t="s">
        <v>1673</v>
      </c>
      <c r="C564">
        <v>3</v>
      </c>
      <c r="D564" t="s">
        <v>2153</v>
      </c>
      <c r="E564" t="s">
        <v>2158</v>
      </c>
      <c r="F564" t="s">
        <v>2159</v>
      </c>
      <c r="G564" t="s">
        <v>2493</v>
      </c>
      <c r="H564" t="s">
        <v>2704</v>
      </c>
      <c r="I564">
        <v>14800</v>
      </c>
      <c r="J564">
        <v>0</v>
      </c>
      <c r="K564">
        <v>100</v>
      </c>
      <c r="L564">
        <v>50</v>
      </c>
      <c r="M564">
        <v>1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 t="s">
        <v>3539</v>
      </c>
      <c r="AC564" t="s">
        <v>3764</v>
      </c>
      <c r="AD564" t="s">
        <v>3763</v>
      </c>
      <c r="AE564" t="s">
        <v>4</v>
      </c>
      <c r="AF564" t="s">
        <v>1</v>
      </c>
      <c r="AG564" t="s">
        <v>1</v>
      </c>
      <c r="AH564" t="s">
        <v>2493</v>
      </c>
      <c r="AI564" t="s">
        <v>2493</v>
      </c>
      <c r="AJ564" t="s">
        <v>1</v>
      </c>
      <c r="AK564">
        <v>9331554265</v>
      </c>
      <c r="AL564" t="s">
        <v>1</v>
      </c>
      <c r="AM564" t="s">
        <v>1</v>
      </c>
      <c r="AN564" t="s">
        <v>1</v>
      </c>
      <c r="AO564" t="s">
        <v>2493</v>
      </c>
      <c r="AP564" t="s">
        <v>1</v>
      </c>
      <c r="AQ564" t="s">
        <v>2</v>
      </c>
      <c r="AR564" t="s">
        <v>1</v>
      </c>
      <c r="AS564" t="s">
        <v>1</v>
      </c>
      <c r="AT564" t="s">
        <v>1</v>
      </c>
      <c r="AU564" t="s">
        <v>1</v>
      </c>
      <c r="AV564" t="s">
        <v>1</v>
      </c>
      <c r="AW564" t="s">
        <v>9</v>
      </c>
      <c r="AX564">
        <f>Tabla1[[#This Row],[precio del paquete]]-Tabla1[[#This Row],[Saldo_Deudor]]</f>
        <v>100</v>
      </c>
      <c r="AY564">
        <v>14700</v>
      </c>
      <c r="AZ564">
        <v>0</v>
      </c>
      <c r="BA564">
        <v>0</v>
      </c>
      <c r="BB564">
        <v>0</v>
      </c>
      <c r="BC564" t="s">
        <v>2801</v>
      </c>
      <c r="BD564" t="s">
        <v>2927</v>
      </c>
      <c r="BE564" t="s">
        <v>3</v>
      </c>
      <c r="BF564" t="s">
        <v>3</v>
      </c>
      <c r="BG564" t="s">
        <v>3</v>
      </c>
      <c r="BH564" t="s">
        <v>3</v>
      </c>
      <c r="BI564" t="s">
        <v>3</v>
      </c>
      <c r="BJ564" t="s">
        <v>5001</v>
      </c>
      <c r="BK564" t="s">
        <v>3</v>
      </c>
      <c r="BL564" t="s">
        <v>96</v>
      </c>
      <c r="BM564" t="s">
        <v>1</v>
      </c>
      <c r="BN564">
        <v>14800</v>
      </c>
      <c r="BO564" t="s">
        <v>1</v>
      </c>
      <c r="BP564" t="s">
        <v>1</v>
      </c>
      <c r="BQ564" t="s">
        <v>1</v>
      </c>
      <c r="BR564" t="s">
        <v>1</v>
      </c>
      <c r="BS564" t="s">
        <v>1</v>
      </c>
      <c r="BT564" t="s">
        <v>1</v>
      </c>
      <c r="BU564" t="s">
        <v>1</v>
      </c>
      <c r="BV564" t="s">
        <v>1</v>
      </c>
      <c r="BW564" t="s">
        <v>0</v>
      </c>
      <c r="BX564" t="s">
        <v>1</v>
      </c>
      <c r="BY564" t="s">
        <v>1</v>
      </c>
      <c r="BZ564" t="s">
        <v>1</v>
      </c>
      <c r="CA564" t="s">
        <v>1</v>
      </c>
      <c r="CB564" t="s">
        <v>1</v>
      </c>
      <c r="CD564" t="e" cm="1">
        <f t="array" aca="1" ref="CD564" ca="1">eConcatenar(A564:CB564,"|")</f>
        <v>#NAME?</v>
      </c>
    </row>
    <row r="565" spans="1:82" x14ac:dyDescent="0.25">
      <c r="A565" t="s">
        <v>660</v>
      </c>
      <c r="B565" t="s">
        <v>1674</v>
      </c>
      <c r="C565">
        <v>3</v>
      </c>
      <c r="D565" t="s">
        <v>2153</v>
      </c>
      <c r="E565" t="s">
        <v>10</v>
      </c>
      <c r="F565" t="s">
        <v>2159</v>
      </c>
      <c r="G565" t="s">
        <v>2494</v>
      </c>
      <c r="H565" t="s">
        <v>2704</v>
      </c>
      <c r="I565">
        <v>14800</v>
      </c>
      <c r="J565">
        <v>0</v>
      </c>
      <c r="K565">
        <v>100</v>
      </c>
      <c r="L565">
        <v>50</v>
      </c>
      <c r="M565">
        <v>2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 t="s">
        <v>3117</v>
      </c>
      <c r="AC565" t="s">
        <v>3148</v>
      </c>
      <c r="AD565" t="s">
        <v>3187</v>
      </c>
      <c r="AE565" t="s">
        <v>4</v>
      </c>
      <c r="AF565" t="s">
        <v>1</v>
      </c>
      <c r="AG565" t="s">
        <v>1</v>
      </c>
      <c r="AH565" t="s">
        <v>4509</v>
      </c>
      <c r="AI565" t="s">
        <v>2494</v>
      </c>
      <c r="AJ565" t="s">
        <v>1</v>
      </c>
      <c r="AK565">
        <v>9331075978</v>
      </c>
      <c r="AL565" t="s">
        <v>1</v>
      </c>
      <c r="AM565" t="s">
        <v>1</v>
      </c>
      <c r="AN565" t="s">
        <v>1</v>
      </c>
      <c r="AO565" t="s">
        <v>4509</v>
      </c>
      <c r="AP565" t="s">
        <v>1</v>
      </c>
      <c r="AQ565" t="s">
        <v>2</v>
      </c>
      <c r="AR565" t="s">
        <v>1</v>
      </c>
      <c r="AS565" t="s">
        <v>1</v>
      </c>
      <c r="AT565" t="s">
        <v>1</v>
      </c>
      <c r="AU565" t="s">
        <v>1</v>
      </c>
      <c r="AV565" t="s">
        <v>1</v>
      </c>
      <c r="AW565" t="s">
        <v>9</v>
      </c>
      <c r="AX565">
        <f>Tabla1[[#This Row],[precio del paquete]]-Tabla1[[#This Row],[Saldo_Deudor]]</f>
        <v>100</v>
      </c>
      <c r="AY565">
        <v>14700</v>
      </c>
      <c r="AZ565">
        <v>0</v>
      </c>
      <c r="BA565">
        <v>0</v>
      </c>
      <c r="BB565">
        <v>0</v>
      </c>
      <c r="BC565" t="s">
        <v>2769</v>
      </c>
      <c r="BD565" t="s">
        <v>3038</v>
      </c>
      <c r="BE565" t="s">
        <v>3</v>
      </c>
      <c r="BF565" t="s">
        <v>3</v>
      </c>
      <c r="BG565" t="s">
        <v>3</v>
      </c>
      <c r="BH565" t="s">
        <v>3</v>
      </c>
      <c r="BI565" t="s">
        <v>3</v>
      </c>
      <c r="BJ565" t="s">
        <v>4993</v>
      </c>
      <c r="BK565" t="s">
        <v>3</v>
      </c>
      <c r="BL565" t="s">
        <v>96</v>
      </c>
      <c r="BM565" t="s">
        <v>1</v>
      </c>
      <c r="BN565">
        <v>14800</v>
      </c>
      <c r="BO565" t="s">
        <v>1</v>
      </c>
      <c r="BP565" t="s">
        <v>1</v>
      </c>
      <c r="BQ565" t="s">
        <v>1</v>
      </c>
      <c r="BR565" t="s">
        <v>1</v>
      </c>
      <c r="BS565" t="s">
        <v>1</v>
      </c>
      <c r="BT565" t="s">
        <v>1</v>
      </c>
      <c r="BU565" t="s">
        <v>1</v>
      </c>
      <c r="BV565" t="s">
        <v>1</v>
      </c>
      <c r="BW565" t="s">
        <v>0</v>
      </c>
      <c r="BX565" t="s">
        <v>1</v>
      </c>
      <c r="BY565" t="s">
        <v>1</v>
      </c>
      <c r="BZ565" t="s">
        <v>1</v>
      </c>
      <c r="CA565" t="s">
        <v>1</v>
      </c>
      <c r="CB565" t="s">
        <v>1</v>
      </c>
      <c r="CD565" t="e" cm="1">
        <f t="array" aca="1" ref="CD565" ca="1">eConcatenar(A565:CB565,"|")</f>
        <v>#NAME?</v>
      </c>
    </row>
    <row r="566" spans="1:82" x14ac:dyDescent="0.25">
      <c r="A566" t="s">
        <v>661</v>
      </c>
      <c r="B566" t="s">
        <v>1675</v>
      </c>
      <c r="C566">
        <v>3</v>
      </c>
      <c r="D566" t="s">
        <v>2155</v>
      </c>
      <c r="E566" t="s">
        <v>10</v>
      </c>
      <c r="F566" t="s">
        <v>2159</v>
      </c>
      <c r="G566" t="s">
        <v>2495</v>
      </c>
      <c r="H566" t="s">
        <v>2804</v>
      </c>
      <c r="I566">
        <v>12900</v>
      </c>
      <c r="J566">
        <v>0</v>
      </c>
      <c r="K566">
        <v>300</v>
      </c>
      <c r="L566">
        <v>50</v>
      </c>
      <c r="M566">
        <v>2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 t="s">
        <v>3656</v>
      </c>
      <c r="AC566" t="s">
        <v>3553</v>
      </c>
      <c r="AD566" t="s">
        <v>3765</v>
      </c>
      <c r="AE566" t="s">
        <v>4</v>
      </c>
      <c r="AF566" t="s">
        <v>1</v>
      </c>
      <c r="AG566" t="s">
        <v>1</v>
      </c>
      <c r="AH566" t="s">
        <v>4510</v>
      </c>
      <c r="AI566" t="s">
        <v>2495</v>
      </c>
      <c r="AJ566" t="s">
        <v>1</v>
      </c>
      <c r="AK566">
        <v>9331689000</v>
      </c>
      <c r="AL566" t="s">
        <v>1</v>
      </c>
      <c r="AM566" t="s">
        <v>1</v>
      </c>
      <c r="AN566" t="s">
        <v>1</v>
      </c>
      <c r="AO566" t="s">
        <v>4510</v>
      </c>
      <c r="AP566" t="s">
        <v>1</v>
      </c>
      <c r="AQ566" t="s">
        <v>2</v>
      </c>
      <c r="AR566" t="s">
        <v>1</v>
      </c>
      <c r="AS566" t="s">
        <v>1</v>
      </c>
      <c r="AT566" t="s">
        <v>1</v>
      </c>
      <c r="AU566" t="s">
        <v>1</v>
      </c>
      <c r="AV566" t="s">
        <v>1</v>
      </c>
      <c r="AW566" t="s">
        <v>9</v>
      </c>
      <c r="AX566">
        <f>Tabla1[[#This Row],[precio del paquete]]-Tabla1[[#This Row],[Saldo_Deudor]]</f>
        <v>800</v>
      </c>
      <c r="AY566">
        <v>12100</v>
      </c>
      <c r="AZ566">
        <v>0</v>
      </c>
      <c r="BA566">
        <v>0</v>
      </c>
      <c r="BB566">
        <v>0</v>
      </c>
      <c r="BC566" t="s">
        <v>4828</v>
      </c>
      <c r="BD566" t="s">
        <v>3098</v>
      </c>
      <c r="BE566" t="s">
        <v>3</v>
      </c>
      <c r="BF566" t="s">
        <v>3</v>
      </c>
      <c r="BG566" t="s">
        <v>3</v>
      </c>
      <c r="BH566" t="s">
        <v>3</v>
      </c>
      <c r="BI566" t="s">
        <v>3</v>
      </c>
      <c r="BJ566" t="s">
        <v>4993</v>
      </c>
      <c r="BK566" t="s">
        <v>3</v>
      </c>
      <c r="BL566" t="s">
        <v>96</v>
      </c>
      <c r="BM566" t="s">
        <v>1</v>
      </c>
      <c r="BN566">
        <v>12900</v>
      </c>
      <c r="BO566" t="s">
        <v>1</v>
      </c>
      <c r="BP566" t="s">
        <v>1</v>
      </c>
      <c r="BQ566" t="s">
        <v>1</v>
      </c>
      <c r="BR566" t="s">
        <v>1</v>
      </c>
      <c r="BS566" t="s">
        <v>1</v>
      </c>
      <c r="BT566" t="s">
        <v>1</v>
      </c>
      <c r="BU566" t="s">
        <v>1</v>
      </c>
      <c r="BV566" t="s">
        <v>1</v>
      </c>
      <c r="BW566" t="s">
        <v>0</v>
      </c>
      <c r="BX566" t="s">
        <v>1</v>
      </c>
      <c r="BY566" t="s">
        <v>1</v>
      </c>
      <c r="BZ566" t="s">
        <v>1</v>
      </c>
      <c r="CA566" t="s">
        <v>1</v>
      </c>
      <c r="CB566" t="s">
        <v>1</v>
      </c>
      <c r="CD566" t="e" cm="1">
        <f t="array" aca="1" ref="CD566" ca="1">eConcatenar(A566:CB566,"|")</f>
        <v>#NAME?</v>
      </c>
    </row>
    <row r="567" spans="1:82" x14ac:dyDescent="0.25">
      <c r="A567" t="s">
        <v>662</v>
      </c>
      <c r="B567" t="s">
        <v>1676</v>
      </c>
      <c r="C567">
        <v>3</v>
      </c>
      <c r="D567" t="s">
        <v>2153</v>
      </c>
      <c r="E567" t="s">
        <v>2158</v>
      </c>
      <c r="F567" t="s">
        <v>2162</v>
      </c>
      <c r="G567" t="s">
        <v>2496</v>
      </c>
      <c r="H567" t="s">
        <v>2871</v>
      </c>
      <c r="I567">
        <v>14800</v>
      </c>
      <c r="J567">
        <v>0</v>
      </c>
      <c r="K567">
        <v>100</v>
      </c>
      <c r="L567">
        <v>50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 t="s">
        <v>3155</v>
      </c>
      <c r="AC567" t="s">
        <v>3214</v>
      </c>
      <c r="AD567" t="s">
        <v>3766</v>
      </c>
      <c r="AE567" t="s">
        <v>4</v>
      </c>
      <c r="AF567" t="s">
        <v>1</v>
      </c>
      <c r="AG567" t="s">
        <v>1</v>
      </c>
      <c r="AH567" t="s">
        <v>4511</v>
      </c>
      <c r="AI567" t="s">
        <v>2496</v>
      </c>
      <c r="AJ567" t="s">
        <v>1</v>
      </c>
      <c r="AK567" t="s">
        <v>1</v>
      </c>
      <c r="AL567" t="s">
        <v>1</v>
      </c>
      <c r="AM567" t="s">
        <v>1</v>
      </c>
      <c r="AN567" t="s">
        <v>1</v>
      </c>
      <c r="AO567" t="s">
        <v>4511</v>
      </c>
      <c r="AP567" t="s">
        <v>1</v>
      </c>
      <c r="AQ567" t="s">
        <v>2</v>
      </c>
      <c r="AR567" t="s">
        <v>1</v>
      </c>
      <c r="AS567" t="s">
        <v>1</v>
      </c>
      <c r="AT567" t="s">
        <v>1</v>
      </c>
      <c r="AU567" t="s">
        <v>1</v>
      </c>
      <c r="AV567" t="s">
        <v>1</v>
      </c>
      <c r="AW567" t="s">
        <v>9</v>
      </c>
      <c r="AX567">
        <f>Tabla1[[#This Row],[precio del paquete]]-Tabla1[[#This Row],[Saldo_Deudor]]</f>
        <v>300</v>
      </c>
      <c r="AY567">
        <v>14500</v>
      </c>
      <c r="AZ567">
        <v>0</v>
      </c>
      <c r="BA567">
        <v>0</v>
      </c>
      <c r="BB567">
        <v>0</v>
      </c>
      <c r="BC567" t="s">
        <v>3098</v>
      </c>
      <c r="BD567" t="s">
        <v>4829</v>
      </c>
      <c r="BE567" t="s">
        <v>3</v>
      </c>
      <c r="BF567" t="s">
        <v>3</v>
      </c>
      <c r="BG567" t="s">
        <v>3</v>
      </c>
      <c r="BH567" t="s">
        <v>3</v>
      </c>
      <c r="BI567" t="s">
        <v>3</v>
      </c>
      <c r="BJ567" t="s">
        <v>4993</v>
      </c>
      <c r="BK567" t="s">
        <v>3</v>
      </c>
      <c r="BL567" t="s">
        <v>96</v>
      </c>
      <c r="BM567" t="s">
        <v>1</v>
      </c>
      <c r="BN567">
        <v>14800</v>
      </c>
      <c r="BO567" t="s">
        <v>1</v>
      </c>
      <c r="BP567" t="s">
        <v>1</v>
      </c>
      <c r="BQ567" t="s">
        <v>1</v>
      </c>
      <c r="BR567" t="s">
        <v>1</v>
      </c>
      <c r="BS567" t="s">
        <v>1</v>
      </c>
      <c r="BT567" t="s">
        <v>1</v>
      </c>
      <c r="BU567" t="s">
        <v>1</v>
      </c>
      <c r="BV567" t="s">
        <v>1</v>
      </c>
      <c r="BW567" t="s">
        <v>0</v>
      </c>
      <c r="BX567" t="s">
        <v>1</v>
      </c>
      <c r="BY567" t="s">
        <v>1</v>
      </c>
      <c r="BZ567" t="s">
        <v>1</v>
      </c>
      <c r="CA567" t="s">
        <v>1</v>
      </c>
      <c r="CB567" t="s">
        <v>1</v>
      </c>
      <c r="CD567" t="e" cm="1">
        <f t="array" aca="1" ref="CD567" ca="1">eConcatenar(A567:CB567,"|")</f>
        <v>#NAME?</v>
      </c>
    </row>
    <row r="568" spans="1:82" x14ac:dyDescent="0.25">
      <c r="A568" t="s">
        <v>663</v>
      </c>
      <c r="B568" t="s">
        <v>1677</v>
      </c>
      <c r="C568">
        <v>3</v>
      </c>
      <c r="D568" t="s">
        <v>2153</v>
      </c>
      <c r="E568" t="s">
        <v>2158</v>
      </c>
      <c r="F568" t="s">
        <v>2162</v>
      </c>
      <c r="G568" t="s">
        <v>2497</v>
      </c>
      <c r="H568" t="s">
        <v>2954</v>
      </c>
      <c r="I568">
        <v>14800</v>
      </c>
      <c r="J568">
        <v>0</v>
      </c>
      <c r="K568">
        <v>100</v>
      </c>
      <c r="L568">
        <v>50</v>
      </c>
      <c r="M568">
        <v>1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 t="s">
        <v>3177</v>
      </c>
      <c r="AC568" t="s">
        <v>3767</v>
      </c>
      <c r="AD568" t="s">
        <v>3211</v>
      </c>
      <c r="AE568" t="s">
        <v>4</v>
      </c>
      <c r="AF568" t="s">
        <v>1</v>
      </c>
      <c r="AG568" t="s">
        <v>1</v>
      </c>
      <c r="AH568" t="s">
        <v>4512</v>
      </c>
      <c r="AI568" t="s">
        <v>2497</v>
      </c>
      <c r="AJ568" t="s">
        <v>1</v>
      </c>
      <c r="AK568">
        <v>9331646004</v>
      </c>
      <c r="AL568" t="s">
        <v>1</v>
      </c>
      <c r="AM568" t="s">
        <v>1</v>
      </c>
      <c r="AN568" t="s">
        <v>1</v>
      </c>
      <c r="AO568" t="s">
        <v>4512</v>
      </c>
      <c r="AP568" t="s">
        <v>1</v>
      </c>
      <c r="AQ568" t="s">
        <v>2</v>
      </c>
      <c r="AR568" t="s">
        <v>1</v>
      </c>
      <c r="AS568" t="s">
        <v>1</v>
      </c>
      <c r="AT568" t="s">
        <v>1</v>
      </c>
      <c r="AU568" t="s">
        <v>1</v>
      </c>
      <c r="AV568" t="s">
        <v>1</v>
      </c>
      <c r="AW568" t="s">
        <v>9</v>
      </c>
      <c r="AX568">
        <f>Tabla1[[#This Row],[precio del paquete]]-Tabla1[[#This Row],[Saldo_Deudor]]</f>
        <v>8850</v>
      </c>
      <c r="AY568">
        <v>5950</v>
      </c>
      <c r="AZ568">
        <v>0</v>
      </c>
      <c r="BA568">
        <v>0</v>
      </c>
      <c r="BB568">
        <v>0</v>
      </c>
      <c r="BC568" t="s">
        <v>2916</v>
      </c>
      <c r="BD568" t="s">
        <v>4896</v>
      </c>
      <c r="BE568" t="s">
        <v>3</v>
      </c>
      <c r="BF568" t="s">
        <v>3</v>
      </c>
      <c r="BG568" t="s">
        <v>3</v>
      </c>
      <c r="BH568" t="s">
        <v>3</v>
      </c>
      <c r="BI568" t="s">
        <v>3</v>
      </c>
      <c r="BJ568" t="s">
        <v>5006</v>
      </c>
      <c r="BK568" t="s">
        <v>3</v>
      </c>
      <c r="BL568" t="s">
        <v>96</v>
      </c>
      <c r="BM568" t="s">
        <v>1</v>
      </c>
      <c r="BN568">
        <v>14800</v>
      </c>
      <c r="BO568" t="s">
        <v>1</v>
      </c>
      <c r="BP568" t="s">
        <v>1</v>
      </c>
      <c r="BQ568" t="s">
        <v>1</v>
      </c>
      <c r="BR568" t="s">
        <v>1</v>
      </c>
      <c r="BS568" t="s">
        <v>1</v>
      </c>
      <c r="BT568" t="s">
        <v>1</v>
      </c>
      <c r="BU568" t="s">
        <v>1</v>
      </c>
      <c r="BV568" t="s">
        <v>1</v>
      </c>
      <c r="BW568" t="s">
        <v>0</v>
      </c>
      <c r="BX568" t="s">
        <v>1</v>
      </c>
      <c r="BY568" t="s">
        <v>1</v>
      </c>
      <c r="BZ568" t="s">
        <v>1</v>
      </c>
      <c r="CA568" t="s">
        <v>1</v>
      </c>
      <c r="CB568" t="s">
        <v>1</v>
      </c>
      <c r="CD568" t="e" cm="1">
        <f t="array" aca="1" ref="CD568" ca="1">eConcatenar(A568:CB568,"|")</f>
        <v>#NAME?</v>
      </c>
    </row>
    <row r="569" spans="1:82" x14ac:dyDescent="0.25">
      <c r="A569" t="s">
        <v>664</v>
      </c>
      <c r="B569" t="s">
        <v>1678</v>
      </c>
      <c r="C569">
        <v>3</v>
      </c>
      <c r="D569" t="s">
        <v>2153</v>
      </c>
      <c r="E569" t="s">
        <v>2158</v>
      </c>
      <c r="F569" t="s">
        <v>2162</v>
      </c>
      <c r="G569" t="s">
        <v>2498</v>
      </c>
      <c r="H569" t="s">
        <v>2713</v>
      </c>
      <c r="I569">
        <v>14800</v>
      </c>
      <c r="J569">
        <v>0</v>
      </c>
      <c r="K569">
        <v>100</v>
      </c>
      <c r="L569">
        <v>50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 t="s">
        <v>3399</v>
      </c>
      <c r="AC569" t="s">
        <v>3132</v>
      </c>
      <c r="AD569" t="s">
        <v>3768</v>
      </c>
      <c r="AE569" t="s">
        <v>4</v>
      </c>
      <c r="AF569" t="s">
        <v>1</v>
      </c>
      <c r="AG569" t="s">
        <v>1</v>
      </c>
      <c r="AH569" t="s">
        <v>4513</v>
      </c>
      <c r="AI569" t="s">
        <v>2498</v>
      </c>
      <c r="AJ569" t="s">
        <v>1</v>
      </c>
      <c r="AK569">
        <v>9331228454</v>
      </c>
      <c r="AL569" t="s">
        <v>1</v>
      </c>
      <c r="AM569" t="s">
        <v>1</v>
      </c>
      <c r="AN569" t="s">
        <v>1</v>
      </c>
      <c r="AO569" t="s">
        <v>4513</v>
      </c>
      <c r="AP569" t="s">
        <v>1</v>
      </c>
      <c r="AQ569" t="s">
        <v>2</v>
      </c>
      <c r="AR569" t="s">
        <v>1</v>
      </c>
      <c r="AS569" t="s">
        <v>1</v>
      </c>
      <c r="AT569" t="s">
        <v>1</v>
      </c>
      <c r="AU569" t="s">
        <v>1</v>
      </c>
      <c r="AV569" t="s">
        <v>1</v>
      </c>
      <c r="AW569" t="s">
        <v>9</v>
      </c>
      <c r="AX569">
        <f>Tabla1[[#This Row],[precio del paquete]]-Tabla1[[#This Row],[Saldo_Deudor]]</f>
        <v>8100</v>
      </c>
      <c r="AY569">
        <v>6700</v>
      </c>
      <c r="AZ569">
        <v>0</v>
      </c>
      <c r="BA569">
        <v>0</v>
      </c>
      <c r="BB569">
        <v>0</v>
      </c>
      <c r="BC569" t="s">
        <v>2905</v>
      </c>
      <c r="BD569" t="s">
        <v>3024</v>
      </c>
      <c r="BE569" t="s">
        <v>3</v>
      </c>
      <c r="BF569" t="s">
        <v>3</v>
      </c>
      <c r="BG569" t="s">
        <v>3</v>
      </c>
      <c r="BH569" t="s">
        <v>3</v>
      </c>
      <c r="BI569" t="s">
        <v>3</v>
      </c>
      <c r="BJ569" t="s">
        <v>5011</v>
      </c>
      <c r="BK569" t="s">
        <v>3</v>
      </c>
      <c r="BL569" t="s">
        <v>96</v>
      </c>
      <c r="BM569" t="s">
        <v>1</v>
      </c>
      <c r="BN569">
        <v>14800</v>
      </c>
      <c r="BO569" t="s">
        <v>1</v>
      </c>
      <c r="BP569" t="s">
        <v>1</v>
      </c>
      <c r="BQ569" t="s">
        <v>1</v>
      </c>
      <c r="BR569" t="s">
        <v>1</v>
      </c>
      <c r="BS569" t="s">
        <v>1</v>
      </c>
      <c r="BT569" t="s">
        <v>1</v>
      </c>
      <c r="BU569" t="s">
        <v>1</v>
      </c>
      <c r="BV569" t="s">
        <v>1</v>
      </c>
      <c r="BW569" t="s">
        <v>0</v>
      </c>
      <c r="BX569" t="s">
        <v>1</v>
      </c>
      <c r="BY569" t="s">
        <v>1</v>
      </c>
      <c r="BZ569" t="s">
        <v>1</v>
      </c>
      <c r="CA569" t="s">
        <v>1</v>
      </c>
      <c r="CB569" t="s">
        <v>1</v>
      </c>
      <c r="CD569" t="e" cm="1">
        <f t="array" aca="1" ref="CD569" ca="1">eConcatenar(A569:CB569,"|")</f>
        <v>#NAME?</v>
      </c>
    </row>
    <row r="570" spans="1:82" x14ac:dyDescent="0.25">
      <c r="A570" t="s">
        <v>665</v>
      </c>
      <c r="B570" t="s">
        <v>1679</v>
      </c>
      <c r="C570">
        <v>3</v>
      </c>
      <c r="D570" t="s">
        <v>2157</v>
      </c>
      <c r="E570" t="s">
        <v>2158</v>
      </c>
      <c r="F570" t="s">
        <v>2162</v>
      </c>
      <c r="G570" t="s">
        <v>2498</v>
      </c>
      <c r="H570" t="s">
        <v>2955</v>
      </c>
      <c r="I570">
        <v>12900</v>
      </c>
      <c r="J570">
        <v>0</v>
      </c>
      <c r="K570">
        <v>200</v>
      </c>
      <c r="L570">
        <v>50</v>
      </c>
      <c r="M570">
        <v>1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 t="s">
        <v>6</v>
      </c>
      <c r="AC570" t="s">
        <v>3177</v>
      </c>
      <c r="AD570" t="s">
        <v>3769</v>
      </c>
      <c r="AE570" t="s">
        <v>4</v>
      </c>
      <c r="AF570" t="s">
        <v>1</v>
      </c>
      <c r="AG570" t="s">
        <v>1</v>
      </c>
      <c r="AH570" t="s">
        <v>4513</v>
      </c>
      <c r="AI570" t="s">
        <v>2498</v>
      </c>
      <c r="AJ570" t="s">
        <v>1</v>
      </c>
      <c r="AK570">
        <v>9331226002</v>
      </c>
      <c r="AL570" t="s">
        <v>1</v>
      </c>
      <c r="AM570" t="s">
        <v>1</v>
      </c>
      <c r="AN570" t="s">
        <v>1</v>
      </c>
      <c r="AO570" t="s">
        <v>4513</v>
      </c>
      <c r="AP570" t="s">
        <v>1</v>
      </c>
      <c r="AQ570" t="s">
        <v>2</v>
      </c>
      <c r="AR570" t="s">
        <v>1</v>
      </c>
      <c r="AS570" t="s">
        <v>1</v>
      </c>
      <c r="AT570" t="s">
        <v>1</v>
      </c>
      <c r="AU570" t="s">
        <v>1</v>
      </c>
      <c r="AV570" t="s">
        <v>1</v>
      </c>
      <c r="AW570" t="s">
        <v>9</v>
      </c>
      <c r="AX570">
        <f>Tabla1[[#This Row],[precio del paquete]]-Tabla1[[#This Row],[Saldo_Deudor]]</f>
        <v>7200</v>
      </c>
      <c r="AY570">
        <v>5700</v>
      </c>
      <c r="AZ570">
        <v>0</v>
      </c>
      <c r="BA570">
        <v>0</v>
      </c>
      <c r="BB570">
        <v>0</v>
      </c>
      <c r="BC570" t="s">
        <v>2910</v>
      </c>
      <c r="BD570" t="s">
        <v>2836</v>
      </c>
      <c r="BE570" t="s">
        <v>3</v>
      </c>
      <c r="BF570" t="s">
        <v>3</v>
      </c>
      <c r="BG570" t="s">
        <v>3</v>
      </c>
      <c r="BH570" t="s">
        <v>3</v>
      </c>
      <c r="BI570" t="s">
        <v>3</v>
      </c>
      <c r="BJ570" t="s">
        <v>5011</v>
      </c>
      <c r="BK570" t="s">
        <v>3</v>
      </c>
      <c r="BL570" t="s">
        <v>96</v>
      </c>
      <c r="BM570" t="s">
        <v>1</v>
      </c>
      <c r="BN570">
        <v>12900</v>
      </c>
      <c r="BO570" t="s">
        <v>1</v>
      </c>
      <c r="BP570" t="s">
        <v>1</v>
      </c>
      <c r="BQ570" t="s">
        <v>1</v>
      </c>
      <c r="BR570" t="s">
        <v>1</v>
      </c>
      <c r="BS570" t="s">
        <v>1</v>
      </c>
      <c r="BT570" t="s">
        <v>1</v>
      </c>
      <c r="BU570" t="s">
        <v>1</v>
      </c>
      <c r="BV570" t="s">
        <v>1</v>
      </c>
      <c r="BW570" t="s">
        <v>0</v>
      </c>
      <c r="BX570" t="s">
        <v>1</v>
      </c>
      <c r="BY570" t="s">
        <v>1</v>
      </c>
      <c r="BZ570" t="s">
        <v>1</v>
      </c>
      <c r="CA570" t="s">
        <v>1</v>
      </c>
      <c r="CB570" t="s">
        <v>1</v>
      </c>
      <c r="CD570" t="e" cm="1">
        <f t="array" aca="1" ref="CD570" ca="1">eConcatenar(A570:CB570,"|")</f>
        <v>#NAME?</v>
      </c>
    </row>
    <row r="571" spans="1:82" x14ac:dyDescent="0.25">
      <c r="A571" t="s">
        <v>666</v>
      </c>
      <c r="B571" t="s">
        <v>1680</v>
      </c>
      <c r="C571">
        <v>3</v>
      </c>
      <c r="D571" t="s">
        <v>2153</v>
      </c>
      <c r="E571" t="s">
        <v>2158</v>
      </c>
      <c r="F571" t="s">
        <v>2162</v>
      </c>
      <c r="G571" t="s">
        <v>2498</v>
      </c>
      <c r="H571" t="s">
        <v>2842</v>
      </c>
      <c r="I571">
        <v>14800</v>
      </c>
      <c r="J571">
        <v>0</v>
      </c>
      <c r="K571">
        <v>500</v>
      </c>
      <c r="L571">
        <v>50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 t="s">
        <v>3770</v>
      </c>
      <c r="AC571" t="s">
        <v>3423</v>
      </c>
      <c r="AD571" t="s">
        <v>3673</v>
      </c>
      <c r="AE571" t="s">
        <v>4</v>
      </c>
      <c r="AF571" t="s">
        <v>1</v>
      </c>
      <c r="AG571" t="s">
        <v>1</v>
      </c>
      <c r="AH571" t="s">
        <v>4514</v>
      </c>
      <c r="AI571" t="s">
        <v>2498</v>
      </c>
      <c r="AJ571" t="s">
        <v>1</v>
      </c>
      <c r="AK571">
        <v>9331055135</v>
      </c>
      <c r="AL571" t="s">
        <v>1</v>
      </c>
      <c r="AM571" t="s">
        <v>1</v>
      </c>
      <c r="AN571" t="s">
        <v>1</v>
      </c>
      <c r="AO571" t="s">
        <v>4514</v>
      </c>
      <c r="AP571" t="s">
        <v>1</v>
      </c>
      <c r="AQ571" t="s">
        <v>2</v>
      </c>
      <c r="AR571" t="s">
        <v>1</v>
      </c>
      <c r="AS571" t="s">
        <v>1</v>
      </c>
      <c r="AT571" t="s">
        <v>1</v>
      </c>
      <c r="AU571" t="s">
        <v>1</v>
      </c>
      <c r="AV571" t="s">
        <v>1</v>
      </c>
      <c r="AW571" t="s">
        <v>9</v>
      </c>
      <c r="AX571">
        <f>Tabla1[[#This Row],[precio del paquete]]-Tabla1[[#This Row],[Saldo_Deudor]]</f>
        <v>2400</v>
      </c>
      <c r="AY571">
        <v>12400</v>
      </c>
      <c r="AZ571">
        <v>0</v>
      </c>
      <c r="BA571">
        <v>0</v>
      </c>
      <c r="BB571">
        <v>0</v>
      </c>
      <c r="BC571" t="s">
        <v>2905</v>
      </c>
      <c r="BD571" t="s">
        <v>3024</v>
      </c>
      <c r="BE571" t="s">
        <v>3</v>
      </c>
      <c r="BF571" t="s">
        <v>3</v>
      </c>
      <c r="BG571" t="s">
        <v>3</v>
      </c>
      <c r="BH571" t="s">
        <v>3</v>
      </c>
      <c r="BI571" t="s">
        <v>3</v>
      </c>
      <c r="BJ571" t="s">
        <v>5011</v>
      </c>
      <c r="BK571" t="s">
        <v>3</v>
      </c>
      <c r="BL571" t="s">
        <v>96</v>
      </c>
      <c r="BM571" t="s">
        <v>1</v>
      </c>
      <c r="BN571">
        <v>14800</v>
      </c>
      <c r="BO571" t="s">
        <v>1</v>
      </c>
      <c r="BP571" t="s">
        <v>1</v>
      </c>
      <c r="BQ571" t="s">
        <v>1</v>
      </c>
      <c r="BR571" t="s">
        <v>1</v>
      </c>
      <c r="BS571" t="s">
        <v>1</v>
      </c>
      <c r="BT571" t="s">
        <v>1</v>
      </c>
      <c r="BU571" t="s">
        <v>1</v>
      </c>
      <c r="BV571" t="s">
        <v>1</v>
      </c>
      <c r="BW571" t="s">
        <v>0</v>
      </c>
      <c r="BX571" t="s">
        <v>1</v>
      </c>
      <c r="BY571" t="s">
        <v>1</v>
      </c>
      <c r="BZ571" t="s">
        <v>1</v>
      </c>
      <c r="CA571" t="s">
        <v>1</v>
      </c>
      <c r="CB571" t="s">
        <v>1</v>
      </c>
      <c r="CD571" t="e" cm="1">
        <f t="array" aca="1" ref="CD571" ca="1">eConcatenar(A571:CB571,"|")</f>
        <v>#NAME?</v>
      </c>
    </row>
    <row r="572" spans="1:82" x14ac:dyDescent="0.25">
      <c r="A572" t="s">
        <v>667</v>
      </c>
      <c r="B572" t="s">
        <v>1681</v>
      </c>
      <c r="C572">
        <v>3</v>
      </c>
      <c r="D572" t="s">
        <v>2157</v>
      </c>
      <c r="E572" t="s">
        <v>2158</v>
      </c>
      <c r="F572" t="s">
        <v>2162</v>
      </c>
      <c r="G572" t="s">
        <v>2498</v>
      </c>
      <c r="H572" t="s">
        <v>2769</v>
      </c>
      <c r="I572">
        <v>12900</v>
      </c>
      <c r="J572">
        <v>0</v>
      </c>
      <c r="K572">
        <v>300</v>
      </c>
      <c r="L572">
        <v>50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 t="s">
        <v>3236</v>
      </c>
      <c r="AC572" t="s">
        <v>3114</v>
      </c>
      <c r="AD572" t="s">
        <v>3285</v>
      </c>
      <c r="AE572" t="s">
        <v>4</v>
      </c>
      <c r="AF572" t="s">
        <v>1</v>
      </c>
      <c r="AG572" t="s">
        <v>1</v>
      </c>
      <c r="AH572" t="s">
        <v>4515</v>
      </c>
      <c r="AI572" t="s">
        <v>2498</v>
      </c>
      <c r="AJ572" t="s">
        <v>1</v>
      </c>
      <c r="AK572">
        <v>9331562212</v>
      </c>
      <c r="AL572" t="s">
        <v>1</v>
      </c>
      <c r="AM572" t="s">
        <v>1</v>
      </c>
      <c r="AN572" t="s">
        <v>1</v>
      </c>
      <c r="AO572" t="s">
        <v>4515</v>
      </c>
      <c r="AP572" t="s">
        <v>1</v>
      </c>
      <c r="AQ572" t="s">
        <v>2</v>
      </c>
      <c r="AR572" t="s">
        <v>1</v>
      </c>
      <c r="AS572" t="s">
        <v>1</v>
      </c>
      <c r="AT572" t="s">
        <v>1</v>
      </c>
      <c r="AU572" t="s">
        <v>1</v>
      </c>
      <c r="AV572" t="s">
        <v>1</v>
      </c>
      <c r="AW572" t="s">
        <v>9</v>
      </c>
      <c r="AX572">
        <f>Tabla1[[#This Row],[precio del paquete]]-Tabla1[[#This Row],[Saldo_Deudor]]</f>
        <v>1300</v>
      </c>
      <c r="AY572">
        <v>11600</v>
      </c>
      <c r="AZ572">
        <v>0</v>
      </c>
      <c r="BA572">
        <v>0</v>
      </c>
      <c r="BB572">
        <v>0</v>
      </c>
      <c r="BC572" t="s">
        <v>2905</v>
      </c>
      <c r="BD572" t="s">
        <v>3024</v>
      </c>
      <c r="BE572" t="s">
        <v>3</v>
      </c>
      <c r="BF572" t="s">
        <v>3</v>
      </c>
      <c r="BG572" t="s">
        <v>3</v>
      </c>
      <c r="BH572" t="s">
        <v>3</v>
      </c>
      <c r="BI572" t="s">
        <v>3</v>
      </c>
      <c r="BJ572" t="s">
        <v>5011</v>
      </c>
      <c r="BK572" t="s">
        <v>3</v>
      </c>
      <c r="BL572" t="s">
        <v>96</v>
      </c>
      <c r="BM572" t="s">
        <v>1</v>
      </c>
      <c r="BN572">
        <v>12900</v>
      </c>
      <c r="BO572" t="s">
        <v>1</v>
      </c>
      <c r="BP572" t="s">
        <v>1</v>
      </c>
      <c r="BQ572" t="s">
        <v>1</v>
      </c>
      <c r="BR572" t="s">
        <v>1</v>
      </c>
      <c r="BS572" t="s">
        <v>1</v>
      </c>
      <c r="BT572" t="s">
        <v>1</v>
      </c>
      <c r="BU572" t="s">
        <v>1</v>
      </c>
      <c r="BV572" t="s">
        <v>1</v>
      </c>
      <c r="BW572" t="s">
        <v>0</v>
      </c>
      <c r="BX572" t="s">
        <v>1</v>
      </c>
      <c r="BY572" t="s">
        <v>1</v>
      </c>
      <c r="BZ572" t="s">
        <v>1</v>
      </c>
      <c r="CA572" t="s">
        <v>1</v>
      </c>
      <c r="CB572" t="s">
        <v>1</v>
      </c>
      <c r="CD572" t="e" cm="1">
        <f t="array" aca="1" ref="CD572" ca="1">eConcatenar(A572:CB572,"|")</f>
        <v>#NAME?</v>
      </c>
    </row>
    <row r="573" spans="1:82" x14ac:dyDescent="0.25">
      <c r="A573" t="s">
        <v>668</v>
      </c>
      <c r="B573" t="s">
        <v>1682</v>
      </c>
      <c r="C573">
        <v>3</v>
      </c>
      <c r="D573" t="s">
        <v>2153</v>
      </c>
      <c r="E573" t="s">
        <v>2158</v>
      </c>
      <c r="F573" t="s">
        <v>2162</v>
      </c>
      <c r="G573" t="s">
        <v>2498</v>
      </c>
      <c r="H573" t="s">
        <v>2726</v>
      </c>
      <c r="I573">
        <v>14800</v>
      </c>
      <c r="J573">
        <v>0</v>
      </c>
      <c r="K573">
        <v>500</v>
      </c>
      <c r="L573">
        <v>50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 t="s">
        <v>3771</v>
      </c>
      <c r="AC573" t="s">
        <v>3236</v>
      </c>
      <c r="AD573" t="s">
        <v>3772</v>
      </c>
      <c r="AE573" t="s">
        <v>4</v>
      </c>
      <c r="AF573" t="s">
        <v>1</v>
      </c>
      <c r="AG573" t="s">
        <v>1</v>
      </c>
      <c r="AH573" t="s">
        <v>4515</v>
      </c>
      <c r="AI573" t="s">
        <v>2498</v>
      </c>
      <c r="AJ573" t="s">
        <v>1</v>
      </c>
      <c r="AK573">
        <v>9331114058</v>
      </c>
      <c r="AL573" t="s">
        <v>1</v>
      </c>
      <c r="AM573" t="s">
        <v>1</v>
      </c>
      <c r="AN573" t="s">
        <v>1</v>
      </c>
      <c r="AO573" t="s">
        <v>4515</v>
      </c>
      <c r="AP573" t="s">
        <v>1</v>
      </c>
      <c r="AQ573" t="s">
        <v>2</v>
      </c>
      <c r="AR573" t="s">
        <v>1</v>
      </c>
      <c r="AS573" t="s">
        <v>1</v>
      </c>
      <c r="AT573" t="s">
        <v>1</v>
      </c>
      <c r="AU573" t="s">
        <v>1</v>
      </c>
      <c r="AV573" t="s">
        <v>1</v>
      </c>
      <c r="AW573" t="s">
        <v>9</v>
      </c>
      <c r="AX573">
        <f>Tabla1[[#This Row],[precio del paquete]]-Tabla1[[#This Row],[Saldo_Deudor]]</f>
        <v>1700</v>
      </c>
      <c r="AY573">
        <v>13100</v>
      </c>
      <c r="AZ573">
        <v>0</v>
      </c>
      <c r="BA573">
        <v>0</v>
      </c>
      <c r="BB573">
        <v>0</v>
      </c>
      <c r="BC573" t="s">
        <v>2726</v>
      </c>
      <c r="BD573" t="s">
        <v>2767</v>
      </c>
      <c r="BE573" t="s">
        <v>3</v>
      </c>
      <c r="BF573" t="s">
        <v>3</v>
      </c>
      <c r="BG573" t="s">
        <v>3</v>
      </c>
      <c r="BH573" t="s">
        <v>3</v>
      </c>
      <c r="BI573" t="s">
        <v>3</v>
      </c>
      <c r="BJ573" t="s">
        <v>5011</v>
      </c>
      <c r="BK573" t="s">
        <v>3</v>
      </c>
      <c r="BL573" t="s">
        <v>96</v>
      </c>
      <c r="BM573" t="s">
        <v>1</v>
      </c>
      <c r="BN573">
        <v>14800</v>
      </c>
      <c r="BO573" t="s">
        <v>1</v>
      </c>
      <c r="BP573" t="s">
        <v>1</v>
      </c>
      <c r="BQ573" t="s">
        <v>1</v>
      </c>
      <c r="BR573" t="s">
        <v>1</v>
      </c>
      <c r="BS573" t="s">
        <v>1</v>
      </c>
      <c r="BT573" t="s">
        <v>1</v>
      </c>
      <c r="BU573" t="s">
        <v>1</v>
      </c>
      <c r="BV573" t="s">
        <v>1</v>
      </c>
      <c r="BW573" t="s">
        <v>0</v>
      </c>
      <c r="BX573" t="s">
        <v>1</v>
      </c>
      <c r="BY573" t="s">
        <v>1</v>
      </c>
      <c r="BZ573" t="s">
        <v>1</v>
      </c>
      <c r="CA573" t="s">
        <v>1</v>
      </c>
      <c r="CB573" t="s">
        <v>1</v>
      </c>
      <c r="CD573" t="e" cm="1">
        <f t="array" aca="1" ref="CD573" ca="1">eConcatenar(A573:CB573,"|")</f>
        <v>#NAME?</v>
      </c>
    </row>
    <row r="574" spans="1:82" x14ac:dyDescent="0.25">
      <c r="A574" t="s">
        <v>669</v>
      </c>
      <c r="B574" t="s">
        <v>1683</v>
      </c>
      <c r="C574">
        <v>3</v>
      </c>
      <c r="D574" t="s">
        <v>2157</v>
      </c>
      <c r="E574" t="s">
        <v>2158</v>
      </c>
      <c r="F574" t="s">
        <v>2162</v>
      </c>
      <c r="G574" t="s">
        <v>2498</v>
      </c>
      <c r="H574" t="s">
        <v>2956</v>
      </c>
      <c r="I574">
        <v>12900</v>
      </c>
      <c r="J574">
        <v>0</v>
      </c>
      <c r="K574">
        <v>1000</v>
      </c>
      <c r="L574">
        <v>50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 t="s">
        <v>3132</v>
      </c>
      <c r="AC574" t="s">
        <v>3177</v>
      </c>
      <c r="AD574" t="s">
        <v>3773</v>
      </c>
      <c r="AE574" t="s">
        <v>4</v>
      </c>
      <c r="AF574" t="s">
        <v>1</v>
      </c>
      <c r="AG574" t="s">
        <v>1</v>
      </c>
      <c r="AH574" t="s">
        <v>4515</v>
      </c>
      <c r="AI574" t="s">
        <v>2498</v>
      </c>
      <c r="AJ574" t="s">
        <v>1</v>
      </c>
      <c r="AK574">
        <v>9333297481</v>
      </c>
      <c r="AL574" t="s">
        <v>1</v>
      </c>
      <c r="AM574" t="s">
        <v>1</v>
      </c>
      <c r="AN574" t="s">
        <v>1</v>
      </c>
      <c r="AO574" t="s">
        <v>4515</v>
      </c>
      <c r="AP574" t="s">
        <v>1</v>
      </c>
      <c r="AQ574" t="s">
        <v>2</v>
      </c>
      <c r="AR574" t="s">
        <v>1</v>
      </c>
      <c r="AS574" t="s">
        <v>1</v>
      </c>
      <c r="AT574" t="s">
        <v>1</v>
      </c>
      <c r="AU574" t="s">
        <v>1</v>
      </c>
      <c r="AV574" t="s">
        <v>1</v>
      </c>
      <c r="AW574" t="s">
        <v>9</v>
      </c>
      <c r="AX574">
        <f>Tabla1[[#This Row],[precio del paquete]]-Tabla1[[#This Row],[Saldo_Deudor]]</f>
        <v>10900</v>
      </c>
      <c r="AY574">
        <v>2000</v>
      </c>
      <c r="AZ574">
        <v>0</v>
      </c>
      <c r="BA574">
        <v>0</v>
      </c>
      <c r="BB574">
        <v>0</v>
      </c>
      <c r="BC574" t="s">
        <v>2905</v>
      </c>
      <c r="BD574" t="s">
        <v>3024</v>
      </c>
      <c r="BE574" t="s">
        <v>3</v>
      </c>
      <c r="BF574" t="s">
        <v>3</v>
      </c>
      <c r="BG574" t="s">
        <v>3</v>
      </c>
      <c r="BH574" t="s">
        <v>3</v>
      </c>
      <c r="BI574" t="s">
        <v>3</v>
      </c>
      <c r="BJ574" t="s">
        <v>5011</v>
      </c>
      <c r="BK574" t="s">
        <v>3</v>
      </c>
      <c r="BL574" t="s">
        <v>96</v>
      </c>
      <c r="BM574" t="s">
        <v>1</v>
      </c>
      <c r="BN574">
        <v>12900</v>
      </c>
      <c r="BO574" t="s">
        <v>1</v>
      </c>
      <c r="BP574" t="s">
        <v>1</v>
      </c>
      <c r="BQ574" t="s">
        <v>1</v>
      </c>
      <c r="BR574" t="s">
        <v>1</v>
      </c>
      <c r="BS574" t="s">
        <v>1</v>
      </c>
      <c r="BT574" t="s">
        <v>1</v>
      </c>
      <c r="BU574" t="s">
        <v>1</v>
      </c>
      <c r="BV574" t="s">
        <v>1</v>
      </c>
      <c r="BW574" t="s">
        <v>0</v>
      </c>
      <c r="BX574" t="s">
        <v>1</v>
      </c>
      <c r="BY574" t="s">
        <v>1</v>
      </c>
      <c r="BZ574" t="s">
        <v>1</v>
      </c>
      <c r="CA574" t="s">
        <v>1</v>
      </c>
      <c r="CB574" t="s">
        <v>1</v>
      </c>
      <c r="CD574" t="e" cm="1">
        <f t="array" aca="1" ref="CD574" ca="1">eConcatenar(A574:CB574,"|")</f>
        <v>#NAME?</v>
      </c>
    </row>
    <row r="575" spans="1:82" x14ac:dyDescent="0.25">
      <c r="A575" t="s">
        <v>670</v>
      </c>
      <c r="B575" t="s">
        <v>1684</v>
      </c>
      <c r="C575">
        <v>3</v>
      </c>
      <c r="D575" t="s">
        <v>2153</v>
      </c>
      <c r="E575" t="s">
        <v>2158</v>
      </c>
      <c r="F575" t="s">
        <v>2160</v>
      </c>
      <c r="G575" t="s">
        <v>2499</v>
      </c>
      <c r="H575" t="s">
        <v>2842</v>
      </c>
      <c r="I575">
        <v>14800</v>
      </c>
      <c r="J575">
        <v>0</v>
      </c>
      <c r="K575">
        <v>50</v>
      </c>
      <c r="L575">
        <v>50</v>
      </c>
      <c r="M575">
        <v>1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 t="s">
        <v>6</v>
      </c>
      <c r="AC575" t="s">
        <v>3291</v>
      </c>
      <c r="AD575" t="s">
        <v>3210</v>
      </c>
      <c r="AE575" t="s">
        <v>4</v>
      </c>
      <c r="AF575" t="s">
        <v>1</v>
      </c>
      <c r="AG575" t="s">
        <v>1</v>
      </c>
      <c r="AH575" t="s">
        <v>4250</v>
      </c>
      <c r="AI575" t="s">
        <v>2499</v>
      </c>
      <c r="AJ575" t="s">
        <v>1</v>
      </c>
      <c r="AK575">
        <v>9371278553</v>
      </c>
      <c r="AL575" t="s">
        <v>1</v>
      </c>
      <c r="AM575" t="s">
        <v>1</v>
      </c>
      <c r="AN575" t="s">
        <v>1</v>
      </c>
      <c r="AO575" t="s">
        <v>4250</v>
      </c>
      <c r="AP575" t="s">
        <v>1</v>
      </c>
      <c r="AQ575" t="s">
        <v>2</v>
      </c>
      <c r="AR575" t="s">
        <v>1</v>
      </c>
      <c r="AS575" t="s">
        <v>1</v>
      </c>
      <c r="AT575" t="s">
        <v>1</v>
      </c>
      <c r="AU575" t="s">
        <v>1</v>
      </c>
      <c r="AV575" t="s">
        <v>1</v>
      </c>
      <c r="AW575" t="s">
        <v>9</v>
      </c>
      <c r="AX575">
        <f>Tabla1[[#This Row],[precio del paquete]]-Tabla1[[#This Row],[Saldo_Deudor]]</f>
        <v>50</v>
      </c>
      <c r="AY575">
        <v>14750</v>
      </c>
      <c r="AZ575">
        <v>0</v>
      </c>
      <c r="BA575">
        <v>0</v>
      </c>
      <c r="BB575">
        <v>0</v>
      </c>
      <c r="BC575" t="s">
        <v>2842</v>
      </c>
      <c r="BD575" t="s">
        <v>4955</v>
      </c>
      <c r="BE575" t="s">
        <v>3</v>
      </c>
      <c r="BF575" t="s">
        <v>3</v>
      </c>
      <c r="BG575" t="s">
        <v>3</v>
      </c>
      <c r="BH575" t="s">
        <v>3</v>
      </c>
      <c r="BI575" t="s">
        <v>3</v>
      </c>
      <c r="BJ575" t="s">
        <v>5011</v>
      </c>
      <c r="BK575" t="s">
        <v>3</v>
      </c>
      <c r="BL575" t="s">
        <v>96</v>
      </c>
      <c r="BM575" t="s">
        <v>1</v>
      </c>
      <c r="BN575">
        <v>14800</v>
      </c>
      <c r="BO575" t="s">
        <v>1</v>
      </c>
      <c r="BP575" t="s">
        <v>1</v>
      </c>
      <c r="BQ575" t="s">
        <v>1</v>
      </c>
      <c r="BR575" t="s">
        <v>1</v>
      </c>
      <c r="BS575" t="s">
        <v>1</v>
      </c>
      <c r="BT575" t="s">
        <v>1</v>
      </c>
      <c r="BU575" t="s">
        <v>1</v>
      </c>
      <c r="BV575" t="s">
        <v>1</v>
      </c>
      <c r="BW575" t="s">
        <v>0</v>
      </c>
      <c r="BX575" t="s">
        <v>1</v>
      </c>
      <c r="BY575" t="s">
        <v>1</v>
      </c>
      <c r="BZ575" t="s">
        <v>1</v>
      </c>
      <c r="CA575" t="s">
        <v>1</v>
      </c>
      <c r="CB575" t="s">
        <v>1</v>
      </c>
      <c r="CD575" t="e" cm="1">
        <f t="array" aca="1" ref="CD575" ca="1">eConcatenar(A575:CB575,"|")</f>
        <v>#NAME?</v>
      </c>
    </row>
    <row r="576" spans="1:82" x14ac:dyDescent="0.25">
      <c r="A576" t="s">
        <v>671</v>
      </c>
      <c r="B576" t="s">
        <v>1685</v>
      </c>
      <c r="C576">
        <v>3</v>
      </c>
      <c r="D576" t="s">
        <v>2155</v>
      </c>
      <c r="E576" t="s">
        <v>2158</v>
      </c>
      <c r="F576" t="s">
        <v>2160</v>
      </c>
      <c r="G576" t="s">
        <v>2499</v>
      </c>
      <c r="H576" t="s">
        <v>2957</v>
      </c>
      <c r="I576">
        <v>12900</v>
      </c>
      <c r="J576">
        <v>0</v>
      </c>
      <c r="K576">
        <v>200</v>
      </c>
      <c r="L576">
        <v>50</v>
      </c>
      <c r="M576">
        <v>1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 t="s">
        <v>3774</v>
      </c>
      <c r="AC576" t="s">
        <v>3114</v>
      </c>
      <c r="AD576" t="s">
        <v>3529</v>
      </c>
      <c r="AE576" t="s">
        <v>4</v>
      </c>
      <c r="AF576" t="s">
        <v>1</v>
      </c>
      <c r="AG576" t="s">
        <v>1</v>
      </c>
      <c r="AH576" t="s">
        <v>4516</v>
      </c>
      <c r="AI576" t="s">
        <v>2499</v>
      </c>
      <c r="AJ576" t="s">
        <v>1</v>
      </c>
      <c r="AK576">
        <v>9372299349</v>
      </c>
      <c r="AL576" t="s">
        <v>1</v>
      </c>
      <c r="AM576" t="s">
        <v>1</v>
      </c>
      <c r="AN576" t="s">
        <v>1</v>
      </c>
      <c r="AO576" t="s">
        <v>4516</v>
      </c>
      <c r="AP576" t="s">
        <v>1</v>
      </c>
      <c r="AQ576" t="s">
        <v>2</v>
      </c>
      <c r="AR576" t="s">
        <v>1</v>
      </c>
      <c r="AS576" t="s">
        <v>1</v>
      </c>
      <c r="AT576" t="s">
        <v>1</v>
      </c>
      <c r="AU576" t="s">
        <v>1</v>
      </c>
      <c r="AV576" t="s">
        <v>1</v>
      </c>
      <c r="AW576" t="s">
        <v>9</v>
      </c>
      <c r="AX576">
        <f>Tabla1[[#This Row],[precio del paquete]]-Tabla1[[#This Row],[Saldo_Deudor]]</f>
        <v>600</v>
      </c>
      <c r="AY576">
        <v>12300</v>
      </c>
      <c r="AZ576">
        <v>0</v>
      </c>
      <c r="BA576">
        <v>0</v>
      </c>
      <c r="BB576">
        <v>0</v>
      </c>
      <c r="BC576" t="s">
        <v>2910</v>
      </c>
      <c r="BD576" t="s">
        <v>2836</v>
      </c>
      <c r="BE576" t="s">
        <v>3</v>
      </c>
      <c r="BF576" t="s">
        <v>3</v>
      </c>
      <c r="BG576" t="s">
        <v>3</v>
      </c>
      <c r="BH576" t="s">
        <v>3</v>
      </c>
      <c r="BI576" t="s">
        <v>3</v>
      </c>
      <c r="BJ576" t="s">
        <v>4985</v>
      </c>
      <c r="BK576" t="s">
        <v>3</v>
      </c>
      <c r="BL576" t="s">
        <v>96</v>
      </c>
      <c r="BM576" t="s">
        <v>1</v>
      </c>
      <c r="BN576">
        <v>12900</v>
      </c>
      <c r="BO576" t="s">
        <v>1</v>
      </c>
      <c r="BP576" t="s">
        <v>1</v>
      </c>
      <c r="BQ576" t="s">
        <v>1</v>
      </c>
      <c r="BR576" t="s">
        <v>1</v>
      </c>
      <c r="BS576" t="s">
        <v>1</v>
      </c>
      <c r="BT576" t="s">
        <v>1</v>
      </c>
      <c r="BU576" t="s">
        <v>1</v>
      </c>
      <c r="BV576" t="s">
        <v>1</v>
      </c>
      <c r="BW576" t="s">
        <v>0</v>
      </c>
      <c r="BX576" t="s">
        <v>1</v>
      </c>
      <c r="BY576" t="s">
        <v>1</v>
      </c>
      <c r="BZ576" t="s">
        <v>1</v>
      </c>
      <c r="CA576" t="s">
        <v>1</v>
      </c>
      <c r="CB576" t="s">
        <v>1</v>
      </c>
      <c r="CD576" t="e" cm="1">
        <f t="array" aca="1" ref="CD576" ca="1">eConcatenar(A576:CB576,"|")</f>
        <v>#NAME?</v>
      </c>
    </row>
    <row r="577" spans="1:82" x14ac:dyDescent="0.25">
      <c r="A577" t="s">
        <v>672</v>
      </c>
      <c r="B577" t="s">
        <v>1686</v>
      </c>
      <c r="C577">
        <v>3</v>
      </c>
      <c r="D577" t="s">
        <v>2153</v>
      </c>
      <c r="E577" t="s">
        <v>2158</v>
      </c>
      <c r="F577" t="s">
        <v>2161</v>
      </c>
      <c r="G577" t="s">
        <v>2500</v>
      </c>
      <c r="H577" t="s">
        <v>2700</v>
      </c>
      <c r="I577">
        <v>14800</v>
      </c>
      <c r="J577">
        <v>0</v>
      </c>
      <c r="K577">
        <v>100</v>
      </c>
      <c r="L577">
        <v>50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 t="s">
        <v>3132</v>
      </c>
      <c r="AC577" t="s">
        <v>3114</v>
      </c>
      <c r="AD577" t="s">
        <v>3775</v>
      </c>
      <c r="AE577" t="s">
        <v>4</v>
      </c>
      <c r="AF577" t="s">
        <v>1</v>
      </c>
      <c r="AG577" t="s">
        <v>1</v>
      </c>
      <c r="AH577" t="s">
        <v>4517</v>
      </c>
      <c r="AI577" t="s">
        <v>2500</v>
      </c>
      <c r="AJ577" t="s">
        <v>1</v>
      </c>
      <c r="AK577">
        <v>9141168404</v>
      </c>
      <c r="AL577" t="s">
        <v>1</v>
      </c>
      <c r="AM577" t="s">
        <v>1</v>
      </c>
      <c r="AN577" t="s">
        <v>1</v>
      </c>
      <c r="AO577" t="s">
        <v>4517</v>
      </c>
      <c r="AP577" t="s">
        <v>1</v>
      </c>
      <c r="AQ577" t="s">
        <v>2</v>
      </c>
      <c r="AR577" t="s">
        <v>1</v>
      </c>
      <c r="AS577" t="s">
        <v>1</v>
      </c>
      <c r="AT577" t="s">
        <v>1</v>
      </c>
      <c r="AU577" t="s">
        <v>1</v>
      </c>
      <c r="AV577" t="s">
        <v>1</v>
      </c>
      <c r="AW577" t="s">
        <v>9</v>
      </c>
      <c r="AX577">
        <f>Tabla1[[#This Row],[precio del paquete]]-Tabla1[[#This Row],[Saldo_Deudor]]</f>
        <v>1200</v>
      </c>
      <c r="AY577">
        <v>13600</v>
      </c>
      <c r="AZ577">
        <v>0</v>
      </c>
      <c r="BA577">
        <v>0</v>
      </c>
      <c r="BB577">
        <v>0</v>
      </c>
      <c r="BC577" t="s">
        <v>4834</v>
      </c>
      <c r="BD577" t="s">
        <v>4915</v>
      </c>
      <c r="BE577" t="s">
        <v>3</v>
      </c>
      <c r="BF577" t="s">
        <v>3</v>
      </c>
      <c r="BG577" t="s">
        <v>3</v>
      </c>
      <c r="BH577" t="s">
        <v>3</v>
      </c>
      <c r="BI577" t="s">
        <v>3</v>
      </c>
      <c r="BJ577" t="s">
        <v>4985</v>
      </c>
      <c r="BK577" t="s">
        <v>3</v>
      </c>
      <c r="BL577" t="s">
        <v>96</v>
      </c>
      <c r="BM577" t="s">
        <v>1</v>
      </c>
      <c r="BN577">
        <v>14800</v>
      </c>
      <c r="BO577" t="s">
        <v>1</v>
      </c>
      <c r="BP577" t="s">
        <v>1</v>
      </c>
      <c r="BQ577" t="s">
        <v>1</v>
      </c>
      <c r="BR577" t="s">
        <v>1</v>
      </c>
      <c r="BS577" t="s">
        <v>1</v>
      </c>
      <c r="BT577" t="s">
        <v>1</v>
      </c>
      <c r="BU577" t="s">
        <v>1</v>
      </c>
      <c r="BV577" t="s">
        <v>1</v>
      </c>
      <c r="BW577" t="s">
        <v>0</v>
      </c>
      <c r="BX577" t="s">
        <v>1</v>
      </c>
      <c r="BY577" t="s">
        <v>1</v>
      </c>
      <c r="BZ577" t="s">
        <v>1</v>
      </c>
      <c r="CA577" t="s">
        <v>1</v>
      </c>
      <c r="CB577" t="s">
        <v>1</v>
      </c>
      <c r="CD577" t="e" cm="1">
        <f t="array" aca="1" ref="CD577" ca="1">eConcatenar(A577:CB577,"|")</f>
        <v>#NAME?</v>
      </c>
    </row>
    <row r="578" spans="1:82" x14ac:dyDescent="0.25">
      <c r="A578" t="s">
        <v>673</v>
      </c>
      <c r="B578" t="s">
        <v>1687</v>
      </c>
      <c r="C578">
        <v>3</v>
      </c>
      <c r="D578" t="s">
        <v>2154</v>
      </c>
      <c r="E578" t="s">
        <v>2158</v>
      </c>
      <c r="F578" t="s">
        <v>0</v>
      </c>
      <c r="G578" t="s">
        <v>2501</v>
      </c>
      <c r="H578" t="s">
        <v>2958</v>
      </c>
      <c r="I578">
        <v>24500</v>
      </c>
      <c r="J578">
        <v>0</v>
      </c>
      <c r="K578">
        <v>200</v>
      </c>
      <c r="L578">
        <v>50</v>
      </c>
      <c r="M578">
        <v>1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 t="s">
        <v>3132</v>
      </c>
      <c r="AC578" t="s">
        <v>3193</v>
      </c>
      <c r="AD578" t="s">
        <v>3776</v>
      </c>
      <c r="AE578" t="s">
        <v>4</v>
      </c>
      <c r="AF578" t="s">
        <v>1</v>
      </c>
      <c r="AG578" t="s">
        <v>1</v>
      </c>
      <c r="AH578" t="s">
        <v>4518</v>
      </c>
      <c r="AI578" t="s">
        <v>2501</v>
      </c>
      <c r="AJ578" t="s">
        <v>1</v>
      </c>
      <c r="AK578" t="s">
        <v>1</v>
      </c>
      <c r="AL578" t="s">
        <v>1</v>
      </c>
      <c r="AM578" t="s">
        <v>1</v>
      </c>
      <c r="AN578" t="s">
        <v>1</v>
      </c>
      <c r="AO578" t="s">
        <v>4518</v>
      </c>
      <c r="AP578" t="s">
        <v>1</v>
      </c>
      <c r="AQ578" t="s">
        <v>2</v>
      </c>
      <c r="AR578" t="s">
        <v>1</v>
      </c>
      <c r="AS578" t="s">
        <v>1</v>
      </c>
      <c r="AT578" t="s">
        <v>1</v>
      </c>
      <c r="AU578" t="s">
        <v>1</v>
      </c>
      <c r="AV578" t="s">
        <v>1</v>
      </c>
      <c r="AW578" t="s">
        <v>9</v>
      </c>
      <c r="AX578">
        <f>Tabla1[[#This Row],[precio del paquete]]-Tabla1[[#This Row],[Saldo_Deudor]]</f>
        <v>2100</v>
      </c>
      <c r="AY578">
        <v>22400</v>
      </c>
      <c r="AZ578">
        <v>0</v>
      </c>
      <c r="BA578">
        <v>0</v>
      </c>
      <c r="BB578">
        <v>0</v>
      </c>
      <c r="BC578" t="s">
        <v>4868</v>
      </c>
      <c r="BD578" t="s">
        <v>3099</v>
      </c>
      <c r="BE578" t="s">
        <v>3</v>
      </c>
      <c r="BF578" t="s">
        <v>3</v>
      </c>
      <c r="BG578" t="s">
        <v>3</v>
      </c>
      <c r="BH578" t="s">
        <v>3</v>
      </c>
      <c r="BI578" t="s">
        <v>3</v>
      </c>
      <c r="BJ578" t="s">
        <v>4997</v>
      </c>
      <c r="BK578" t="s">
        <v>3</v>
      </c>
      <c r="BL578" t="s">
        <v>96</v>
      </c>
      <c r="BM578" t="s">
        <v>1</v>
      </c>
      <c r="BN578">
        <v>24500</v>
      </c>
      <c r="BO578" t="s">
        <v>1</v>
      </c>
      <c r="BP578" t="s">
        <v>1</v>
      </c>
      <c r="BQ578" t="s">
        <v>1</v>
      </c>
      <c r="BR578" t="s">
        <v>1</v>
      </c>
      <c r="BS578" t="s">
        <v>1</v>
      </c>
      <c r="BT578" t="s">
        <v>1</v>
      </c>
      <c r="BU578" t="s">
        <v>1</v>
      </c>
      <c r="BV578" t="s">
        <v>1</v>
      </c>
      <c r="BW578" t="s">
        <v>0</v>
      </c>
      <c r="BX578" t="s">
        <v>1</v>
      </c>
      <c r="BY578" t="s">
        <v>1</v>
      </c>
      <c r="BZ578" t="s">
        <v>1</v>
      </c>
      <c r="CA578" t="s">
        <v>1</v>
      </c>
      <c r="CB578" t="s">
        <v>1</v>
      </c>
      <c r="CD578" t="e" cm="1">
        <f t="array" aca="1" ref="CD578" ca="1">eConcatenar(A578:CB578,"|")</f>
        <v>#NAME?</v>
      </c>
    </row>
    <row r="579" spans="1:82" x14ac:dyDescent="0.25">
      <c r="A579" t="s">
        <v>674</v>
      </c>
      <c r="B579" t="s">
        <v>1688</v>
      </c>
      <c r="C579">
        <v>3</v>
      </c>
      <c r="D579" t="s">
        <v>2154</v>
      </c>
      <c r="E579" t="s">
        <v>2158</v>
      </c>
      <c r="F579" t="s">
        <v>0</v>
      </c>
      <c r="G579" t="s">
        <v>2501</v>
      </c>
      <c r="H579" t="s">
        <v>2959</v>
      </c>
      <c r="I579">
        <v>24500</v>
      </c>
      <c r="J579">
        <v>0</v>
      </c>
      <c r="K579">
        <v>200</v>
      </c>
      <c r="L579">
        <v>50</v>
      </c>
      <c r="M579">
        <v>1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 t="s">
        <v>3132</v>
      </c>
      <c r="AC579" t="s">
        <v>3193</v>
      </c>
      <c r="AD579" t="s">
        <v>3557</v>
      </c>
      <c r="AE579" t="s">
        <v>4</v>
      </c>
      <c r="AF579" t="s">
        <v>1</v>
      </c>
      <c r="AG579" t="s">
        <v>1</v>
      </c>
      <c r="AH579" t="s">
        <v>4519</v>
      </c>
      <c r="AI579" t="s">
        <v>2501</v>
      </c>
      <c r="AJ579" t="s">
        <v>1</v>
      </c>
      <c r="AK579" t="s">
        <v>1</v>
      </c>
      <c r="AL579" t="s">
        <v>1</v>
      </c>
      <c r="AM579" t="s">
        <v>1</v>
      </c>
      <c r="AN579" t="s">
        <v>1</v>
      </c>
      <c r="AO579" t="s">
        <v>4519</v>
      </c>
      <c r="AP579" t="s">
        <v>1</v>
      </c>
      <c r="AQ579" t="s">
        <v>2</v>
      </c>
      <c r="AR579" t="s">
        <v>1</v>
      </c>
      <c r="AS579" t="s">
        <v>1</v>
      </c>
      <c r="AT579" t="s">
        <v>1</v>
      </c>
      <c r="AU579" t="s">
        <v>1</v>
      </c>
      <c r="AV579" t="s">
        <v>1</v>
      </c>
      <c r="AW579" t="s">
        <v>9</v>
      </c>
      <c r="AX579">
        <f>Tabla1[[#This Row],[precio del paquete]]-Tabla1[[#This Row],[Saldo_Deudor]]</f>
        <v>2100</v>
      </c>
      <c r="AY579">
        <v>22400</v>
      </c>
      <c r="AZ579">
        <v>0</v>
      </c>
      <c r="BA579">
        <v>0</v>
      </c>
      <c r="BB579">
        <v>0</v>
      </c>
      <c r="BC579" t="s">
        <v>3058</v>
      </c>
      <c r="BD579" t="s">
        <v>4936</v>
      </c>
      <c r="BE579" t="s">
        <v>3</v>
      </c>
      <c r="BF579" t="s">
        <v>3</v>
      </c>
      <c r="BG579" t="s">
        <v>3</v>
      </c>
      <c r="BH579" t="s">
        <v>3</v>
      </c>
      <c r="BI579" t="s">
        <v>3</v>
      </c>
      <c r="BJ579" t="s">
        <v>97</v>
      </c>
      <c r="BK579" t="s">
        <v>3</v>
      </c>
      <c r="BL579" t="s">
        <v>96</v>
      </c>
      <c r="BM579" t="s">
        <v>1</v>
      </c>
      <c r="BN579">
        <v>24500</v>
      </c>
      <c r="BO579" t="s">
        <v>1</v>
      </c>
      <c r="BP579" t="s">
        <v>1</v>
      </c>
      <c r="BQ579" t="s">
        <v>1</v>
      </c>
      <c r="BR579" t="s">
        <v>1</v>
      </c>
      <c r="BS579" t="s">
        <v>1</v>
      </c>
      <c r="BT579" t="s">
        <v>1</v>
      </c>
      <c r="BU579" t="s">
        <v>1</v>
      </c>
      <c r="BV579" t="s">
        <v>1</v>
      </c>
      <c r="BW579" t="s">
        <v>0</v>
      </c>
      <c r="BX579" t="s">
        <v>1</v>
      </c>
      <c r="BY579" t="s">
        <v>1</v>
      </c>
      <c r="BZ579" t="s">
        <v>1</v>
      </c>
      <c r="CA579" t="s">
        <v>1</v>
      </c>
      <c r="CB579" t="s">
        <v>1</v>
      </c>
      <c r="CD579" t="e" cm="1">
        <f t="array" aca="1" ref="CD579" ca="1">eConcatenar(A579:CB579,"|")</f>
        <v>#NAME?</v>
      </c>
    </row>
    <row r="580" spans="1:82" x14ac:dyDescent="0.25">
      <c r="A580" t="s">
        <v>675</v>
      </c>
      <c r="B580" t="s">
        <v>1689</v>
      </c>
      <c r="C580">
        <v>3</v>
      </c>
      <c r="D580" t="s">
        <v>2154</v>
      </c>
      <c r="E580" t="s">
        <v>2158</v>
      </c>
      <c r="F580" t="s">
        <v>2159</v>
      </c>
      <c r="G580" t="s">
        <v>2502</v>
      </c>
      <c r="H580" t="s">
        <v>2838</v>
      </c>
      <c r="I580">
        <v>24500</v>
      </c>
      <c r="J580">
        <v>0</v>
      </c>
      <c r="K580">
        <v>100</v>
      </c>
      <c r="L580">
        <v>50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 t="s">
        <v>3152</v>
      </c>
      <c r="AC580" t="s">
        <v>3114</v>
      </c>
      <c r="AD580" t="s">
        <v>3777</v>
      </c>
      <c r="AE580" t="s">
        <v>4</v>
      </c>
      <c r="AF580" t="s">
        <v>1</v>
      </c>
      <c r="AG580" t="s">
        <v>1</v>
      </c>
      <c r="AH580" t="s">
        <v>4520</v>
      </c>
      <c r="AI580" t="s">
        <v>2502</v>
      </c>
      <c r="AJ580" t="s">
        <v>1</v>
      </c>
      <c r="AK580">
        <v>9331061095</v>
      </c>
      <c r="AL580" t="s">
        <v>1</v>
      </c>
      <c r="AM580" t="s">
        <v>1</v>
      </c>
      <c r="AN580" t="s">
        <v>1</v>
      </c>
      <c r="AO580" t="s">
        <v>4520</v>
      </c>
      <c r="AP580" t="s">
        <v>1</v>
      </c>
      <c r="AQ580" t="s">
        <v>2</v>
      </c>
      <c r="AR580" t="s">
        <v>1</v>
      </c>
      <c r="AS580" t="s">
        <v>1</v>
      </c>
      <c r="AT580" t="s">
        <v>1</v>
      </c>
      <c r="AU580" t="s">
        <v>1</v>
      </c>
      <c r="AV580" t="s">
        <v>1</v>
      </c>
      <c r="AW580" t="s">
        <v>9</v>
      </c>
      <c r="AX580">
        <f>Tabla1[[#This Row],[precio del paquete]]-Tabla1[[#This Row],[Saldo_Deudor]]</f>
        <v>1100</v>
      </c>
      <c r="AY580">
        <v>23400</v>
      </c>
      <c r="AZ580">
        <v>0</v>
      </c>
      <c r="BA580">
        <v>0</v>
      </c>
      <c r="BB580">
        <v>0</v>
      </c>
      <c r="BC580" t="s">
        <v>4826</v>
      </c>
      <c r="BD580" t="s">
        <v>2706</v>
      </c>
      <c r="BE580" t="s">
        <v>3</v>
      </c>
      <c r="BF580" t="s">
        <v>3</v>
      </c>
      <c r="BG580" t="s">
        <v>3</v>
      </c>
      <c r="BH580" t="s">
        <v>3</v>
      </c>
      <c r="BI580" t="s">
        <v>3</v>
      </c>
      <c r="BJ580" t="s">
        <v>97</v>
      </c>
      <c r="BK580" t="s">
        <v>3</v>
      </c>
      <c r="BL580" t="s">
        <v>96</v>
      </c>
      <c r="BM580" t="s">
        <v>1</v>
      </c>
      <c r="BN580">
        <v>24500</v>
      </c>
      <c r="BO580" t="s">
        <v>1</v>
      </c>
      <c r="BP580" t="s">
        <v>1</v>
      </c>
      <c r="BQ580" t="s">
        <v>1</v>
      </c>
      <c r="BR580" t="s">
        <v>1</v>
      </c>
      <c r="BS580" t="s">
        <v>1</v>
      </c>
      <c r="BT580" t="s">
        <v>1</v>
      </c>
      <c r="BU580" t="s">
        <v>1</v>
      </c>
      <c r="BV580" t="s">
        <v>1</v>
      </c>
      <c r="BW580" t="s">
        <v>0</v>
      </c>
      <c r="BX580" t="s">
        <v>1</v>
      </c>
      <c r="BY580" t="s">
        <v>1</v>
      </c>
      <c r="BZ580" t="s">
        <v>1</v>
      </c>
      <c r="CA580" t="s">
        <v>1</v>
      </c>
      <c r="CB580" t="s">
        <v>1</v>
      </c>
      <c r="CD580" t="e" cm="1">
        <f t="array" aca="1" ref="CD580" ca="1">eConcatenar(A580:CB580,"|")</f>
        <v>#NAME?</v>
      </c>
    </row>
    <row r="581" spans="1:82" x14ac:dyDescent="0.25">
      <c r="A581" t="s">
        <v>676</v>
      </c>
      <c r="B581" t="s">
        <v>1690</v>
      </c>
      <c r="C581">
        <v>3</v>
      </c>
      <c r="D581" t="s">
        <v>2153</v>
      </c>
      <c r="E581" t="s">
        <v>2158</v>
      </c>
      <c r="F581" t="s">
        <v>2159</v>
      </c>
      <c r="G581" t="s">
        <v>2503</v>
      </c>
      <c r="H581" t="s">
        <v>2960</v>
      </c>
      <c r="I581">
        <v>14800</v>
      </c>
      <c r="J581">
        <v>0</v>
      </c>
      <c r="K581">
        <v>100</v>
      </c>
      <c r="L581">
        <v>50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 t="s">
        <v>3119</v>
      </c>
      <c r="AC581" t="s">
        <v>3119</v>
      </c>
      <c r="AD581" t="s">
        <v>3778</v>
      </c>
      <c r="AE581" t="s">
        <v>4</v>
      </c>
      <c r="AF581" t="s">
        <v>1</v>
      </c>
      <c r="AG581" t="s">
        <v>1</v>
      </c>
      <c r="AH581" t="s">
        <v>4521</v>
      </c>
      <c r="AI581" t="s">
        <v>2503</v>
      </c>
      <c r="AJ581" t="s">
        <v>1</v>
      </c>
      <c r="AK581" t="s">
        <v>1</v>
      </c>
      <c r="AL581" t="s">
        <v>1</v>
      </c>
      <c r="AM581" t="s">
        <v>1</v>
      </c>
      <c r="AN581" t="s">
        <v>1</v>
      </c>
      <c r="AO581" t="s">
        <v>4521</v>
      </c>
      <c r="AP581" t="s">
        <v>1</v>
      </c>
      <c r="AQ581" t="s">
        <v>2</v>
      </c>
      <c r="AR581" t="s">
        <v>1</v>
      </c>
      <c r="AS581" t="s">
        <v>1</v>
      </c>
      <c r="AT581" t="s">
        <v>1</v>
      </c>
      <c r="AU581" t="s">
        <v>1</v>
      </c>
      <c r="AV581" t="s">
        <v>1</v>
      </c>
      <c r="AW581" t="s">
        <v>9</v>
      </c>
      <c r="AX581">
        <f>Tabla1[[#This Row],[precio del paquete]]-Tabla1[[#This Row],[Saldo_Deudor]]</f>
        <v>8600</v>
      </c>
      <c r="AY581">
        <v>6200</v>
      </c>
      <c r="AZ581">
        <v>0</v>
      </c>
      <c r="BA581">
        <v>0</v>
      </c>
      <c r="BB581">
        <v>0</v>
      </c>
      <c r="BC581" t="s">
        <v>4829</v>
      </c>
      <c r="BD581" t="s">
        <v>4900</v>
      </c>
      <c r="BE581" t="s">
        <v>3</v>
      </c>
      <c r="BF581" t="s">
        <v>3</v>
      </c>
      <c r="BG581" t="s">
        <v>3</v>
      </c>
      <c r="BH581" t="s">
        <v>3</v>
      </c>
      <c r="BI581" t="s">
        <v>3</v>
      </c>
      <c r="BJ581" t="s">
        <v>5003</v>
      </c>
      <c r="BK581" t="s">
        <v>3</v>
      </c>
      <c r="BL581" t="s">
        <v>96</v>
      </c>
      <c r="BM581" t="s">
        <v>1</v>
      </c>
      <c r="BN581">
        <v>14800</v>
      </c>
      <c r="BO581" t="s">
        <v>1</v>
      </c>
      <c r="BP581" t="s">
        <v>1</v>
      </c>
      <c r="BQ581" t="s">
        <v>1</v>
      </c>
      <c r="BR581" t="s">
        <v>1</v>
      </c>
      <c r="BS581" t="s">
        <v>1</v>
      </c>
      <c r="BT581" t="s">
        <v>1</v>
      </c>
      <c r="BU581" t="s">
        <v>1</v>
      </c>
      <c r="BV581" t="s">
        <v>1</v>
      </c>
      <c r="BW581" t="s">
        <v>0</v>
      </c>
      <c r="BX581" t="s">
        <v>1</v>
      </c>
      <c r="BY581" t="s">
        <v>1</v>
      </c>
      <c r="BZ581" t="s">
        <v>1</v>
      </c>
      <c r="CA581" t="s">
        <v>1</v>
      </c>
      <c r="CB581" t="s">
        <v>1</v>
      </c>
      <c r="CD581" t="e" cm="1">
        <f t="array" aca="1" ref="CD581" ca="1">eConcatenar(A581:CB581,"|")</f>
        <v>#NAME?</v>
      </c>
    </row>
    <row r="582" spans="1:82" x14ac:dyDescent="0.25">
      <c r="A582" t="s">
        <v>677</v>
      </c>
      <c r="B582" t="s">
        <v>1691</v>
      </c>
      <c r="C582">
        <v>3</v>
      </c>
      <c r="D582" t="s">
        <v>2153</v>
      </c>
      <c r="E582" t="s">
        <v>2158</v>
      </c>
      <c r="F582" t="s">
        <v>2161</v>
      </c>
      <c r="G582" t="s">
        <v>2504</v>
      </c>
      <c r="H582" t="s">
        <v>2961</v>
      </c>
      <c r="I582">
        <v>14800</v>
      </c>
      <c r="J582">
        <v>0</v>
      </c>
      <c r="K582">
        <v>100</v>
      </c>
      <c r="L582">
        <v>50</v>
      </c>
      <c r="M582">
        <v>1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 t="s">
        <v>3245</v>
      </c>
      <c r="AC582" t="s">
        <v>3119</v>
      </c>
      <c r="AD582" t="s">
        <v>3779</v>
      </c>
      <c r="AE582" t="s">
        <v>4</v>
      </c>
      <c r="AF582" t="s">
        <v>1</v>
      </c>
      <c r="AG582" t="s">
        <v>1</v>
      </c>
      <c r="AH582" t="s">
        <v>4522</v>
      </c>
      <c r="AI582" t="s">
        <v>2504</v>
      </c>
      <c r="AJ582" t="s">
        <v>1</v>
      </c>
      <c r="AK582">
        <v>9331125998</v>
      </c>
      <c r="AL582" t="s">
        <v>1</v>
      </c>
      <c r="AM582" t="s">
        <v>1</v>
      </c>
      <c r="AN582" t="s">
        <v>1</v>
      </c>
      <c r="AO582" t="s">
        <v>4522</v>
      </c>
      <c r="AP582" t="s">
        <v>1</v>
      </c>
      <c r="AQ582" t="s">
        <v>2</v>
      </c>
      <c r="AR582" t="s">
        <v>1</v>
      </c>
      <c r="AS582" t="s">
        <v>1</v>
      </c>
      <c r="AT582" t="s">
        <v>1</v>
      </c>
      <c r="AU582" t="s">
        <v>1</v>
      </c>
      <c r="AV582" t="s">
        <v>1</v>
      </c>
      <c r="AW582" t="s">
        <v>9</v>
      </c>
      <c r="AX582">
        <f>Tabla1[[#This Row],[precio del paquete]]-Tabla1[[#This Row],[Saldo_Deudor]]</f>
        <v>5800</v>
      </c>
      <c r="AY582">
        <v>9000</v>
      </c>
      <c r="AZ582">
        <v>0</v>
      </c>
      <c r="BA582">
        <v>0</v>
      </c>
      <c r="BB582">
        <v>0</v>
      </c>
      <c r="BC582" t="s">
        <v>4841</v>
      </c>
      <c r="BD582" t="s">
        <v>4926</v>
      </c>
      <c r="BE582" t="s">
        <v>3</v>
      </c>
      <c r="BF582" t="s">
        <v>3</v>
      </c>
      <c r="BG582" t="s">
        <v>3</v>
      </c>
      <c r="BH582" t="s">
        <v>3</v>
      </c>
      <c r="BI582" t="s">
        <v>3</v>
      </c>
      <c r="BJ582" t="s">
        <v>5009</v>
      </c>
      <c r="BK582" t="s">
        <v>3</v>
      </c>
      <c r="BL582" t="s">
        <v>96</v>
      </c>
      <c r="BM582" t="s">
        <v>1</v>
      </c>
      <c r="BN582">
        <v>14800</v>
      </c>
      <c r="BO582" t="s">
        <v>1</v>
      </c>
      <c r="BP582" t="s">
        <v>1</v>
      </c>
      <c r="BQ582" t="s">
        <v>1</v>
      </c>
      <c r="BR582" t="s">
        <v>1</v>
      </c>
      <c r="BS582" t="s">
        <v>1</v>
      </c>
      <c r="BT582" t="s">
        <v>1</v>
      </c>
      <c r="BU582" t="s">
        <v>1</v>
      </c>
      <c r="BV582" t="s">
        <v>1</v>
      </c>
      <c r="BW582" t="s">
        <v>0</v>
      </c>
      <c r="BX582" t="s">
        <v>1</v>
      </c>
      <c r="BY582" t="s">
        <v>1</v>
      </c>
      <c r="BZ582" t="s">
        <v>1</v>
      </c>
      <c r="CA582" t="s">
        <v>1</v>
      </c>
      <c r="CB582" t="s">
        <v>1</v>
      </c>
      <c r="CD582" t="e" cm="1">
        <f t="array" aca="1" ref="CD582" ca="1">eConcatenar(A582:CB582,"|")</f>
        <v>#NAME?</v>
      </c>
    </row>
    <row r="583" spans="1:82" x14ac:dyDescent="0.25">
      <c r="A583" t="s">
        <v>678</v>
      </c>
      <c r="B583" t="s">
        <v>1692</v>
      </c>
      <c r="C583">
        <v>3</v>
      </c>
      <c r="D583" t="s">
        <v>2153</v>
      </c>
      <c r="E583" t="s">
        <v>2158</v>
      </c>
      <c r="F583" t="s">
        <v>2162</v>
      </c>
      <c r="G583" t="s">
        <v>2505</v>
      </c>
      <c r="H583" t="s">
        <v>2705</v>
      </c>
      <c r="I583">
        <v>14800</v>
      </c>
      <c r="J583">
        <v>0</v>
      </c>
      <c r="K583">
        <v>200</v>
      </c>
      <c r="L583">
        <v>50</v>
      </c>
      <c r="M583">
        <v>1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 t="s">
        <v>6</v>
      </c>
      <c r="AC583" t="s">
        <v>3379</v>
      </c>
      <c r="AD583" t="s">
        <v>3237</v>
      </c>
      <c r="AE583" t="s">
        <v>4</v>
      </c>
      <c r="AF583" t="s">
        <v>1</v>
      </c>
      <c r="AG583" t="s">
        <v>1</v>
      </c>
      <c r="AH583" t="s">
        <v>4523</v>
      </c>
      <c r="AI583" t="s">
        <v>2505</v>
      </c>
      <c r="AJ583" t="s">
        <v>1</v>
      </c>
      <c r="AK583">
        <v>9331123263</v>
      </c>
      <c r="AL583" t="s">
        <v>1</v>
      </c>
      <c r="AM583" t="s">
        <v>1</v>
      </c>
      <c r="AN583" t="s">
        <v>1</v>
      </c>
      <c r="AO583" t="s">
        <v>4523</v>
      </c>
      <c r="AP583" t="s">
        <v>1</v>
      </c>
      <c r="AQ583" t="s">
        <v>2</v>
      </c>
      <c r="AR583" t="s">
        <v>1</v>
      </c>
      <c r="AS583" t="s">
        <v>1</v>
      </c>
      <c r="AT583" t="s">
        <v>1</v>
      </c>
      <c r="AU583" t="s">
        <v>1</v>
      </c>
      <c r="AV583" t="s">
        <v>1</v>
      </c>
      <c r="AW583" t="s">
        <v>9</v>
      </c>
      <c r="AX583">
        <f>Tabla1[[#This Row],[precio del paquete]]-Tabla1[[#This Row],[Saldo_Deudor]]</f>
        <v>1400</v>
      </c>
      <c r="AY583">
        <v>13400</v>
      </c>
      <c r="AZ583">
        <v>0</v>
      </c>
      <c r="BA583">
        <v>0</v>
      </c>
      <c r="BB583">
        <v>0</v>
      </c>
      <c r="BC583" t="s">
        <v>3102</v>
      </c>
      <c r="BD583" t="s">
        <v>4897</v>
      </c>
      <c r="BE583" t="s">
        <v>3</v>
      </c>
      <c r="BF583" t="s">
        <v>3</v>
      </c>
      <c r="BG583" t="s">
        <v>3</v>
      </c>
      <c r="BH583" t="s">
        <v>3</v>
      </c>
      <c r="BI583" t="s">
        <v>3</v>
      </c>
      <c r="BJ583" t="s">
        <v>5009</v>
      </c>
      <c r="BK583" t="s">
        <v>3</v>
      </c>
      <c r="BL583" t="s">
        <v>96</v>
      </c>
      <c r="BM583" t="s">
        <v>1</v>
      </c>
      <c r="BN583">
        <v>14800</v>
      </c>
      <c r="BO583" t="s">
        <v>1</v>
      </c>
      <c r="BP583" t="s">
        <v>1</v>
      </c>
      <c r="BQ583" t="s">
        <v>1</v>
      </c>
      <c r="BR583" t="s">
        <v>1</v>
      </c>
      <c r="BS583" t="s">
        <v>1</v>
      </c>
      <c r="BT583" t="s">
        <v>1</v>
      </c>
      <c r="BU583" t="s">
        <v>1</v>
      </c>
      <c r="BV583" t="s">
        <v>1</v>
      </c>
      <c r="BW583" t="s">
        <v>0</v>
      </c>
      <c r="BX583" t="s">
        <v>1</v>
      </c>
      <c r="BY583" t="s">
        <v>1</v>
      </c>
      <c r="BZ583" t="s">
        <v>1</v>
      </c>
      <c r="CA583" t="s">
        <v>1</v>
      </c>
      <c r="CB583" t="s">
        <v>1</v>
      </c>
      <c r="CD583" t="e" cm="1">
        <f t="array" aca="1" ref="CD583" ca="1">eConcatenar(A583:CB583,"|")</f>
        <v>#NAME?</v>
      </c>
    </row>
    <row r="584" spans="1:82" x14ac:dyDescent="0.25">
      <c r="A584" t="s">
        <v>679</v>
      </c>
      <c r="B584" t="s">
        <v>1693</v>
      </c>
      <c r="C584">
        <v>3</v>
      </c>
      <c r="D584" t="s">
        <v>2154</v>
      </c>
      <c r="E584" t="s">
        <v>2158</v>
      </c>
      <c r="F584" t="s">
        <v>2162</v>
      </c>
      <c r="G584" t="s">
        <v>2506</v>
      </c>
      <c r="H584" t="s">
        <v>2924</v>
      </c>
      <c r="I584">
        <v>24500</v>
      </c>
      <c r="J584">
        <v>0</v>
      </c>
      <c r="K584">
        <v>500</v>
      </c>
      <c r="L584">
        <v>50</v>
      </c>
      <c r="M584">
        <v>1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 t="s">
        <v>3423</v>
      </c>
      <c r="AC584" t="s">
        <v>5</v>
      </c>
      <c r="AD584" t="s">
        <v>3257</v>
      </c>
      <c r="AE584" t="s">
        <v>4</v>
      </c>
      <c r="AF584" t="s">
        <v>1</v>
      </c>
      <c r="AG584" t="s">
        <v>1</v>
      </c>
      <c r="AH584" t="s">
        <v>4524</v>
      </c>
      <c r="AI584" t="s">
        <v>2506</v>
      </c>
      <c r="AJ584" t="s">
        <v>1</v>
      </c>
      <c r="AK584">
        <v>9331169578</v>
      </c>
      <c r="AL584" t="s">
        <v>1</v>
      </c>
      <c r="AM584" t="s">
        <v>1</v>
      </c>
      <c r="AN584" t="s">
        <v>1</v>
      </c>
      <c r="AO584" t="s">
        <v>4524</v>
      </c>
      <c r="AP584" t="s">
        <v>1</v>
      </c>
      <c r="AQ584" t="s">
        <v>2</v>
      </c>
      <c r="AR584" t="s">
        <v>1</v>
      </c>
      <c r="AS584" t="s">
        <v>1</v>
      </c>
      <c r="AT584" t="s">
        <v>1</v>
      </c>
      <c r="AU584" t="s">
        <v>1</v>
      </c>
      <c r="AV584" t="s">
        <v>1</v>
      </c>
      <c r="AW584" t="s">
        <v>9</v>
      </c>
      <c r="AX584">
        <f>Tabla1[[#This Row],[precio del paquete]]-Tabla1[[#This Row],[Saldo_Deudor]]</f>
        <v>1500</v>
      </c>
      <c r="AY584">
        <v>23000</v>
      </c>
      <c r="AZ584">
        <v>0</v>
      </c>
      <c r="BA584">
        <v>0</v>
      </c>
      <c r="BB584">
        <v>0</v>
      </c>
      <c r="BC584" t="s">
        <v>3102</v>
      </c>
      <c r="BD584" t="s">
        <v>4897</v>
      </c>
      <c r="BE584" t="s">
        <v>3</v>
      </c>
      <c r="BF584" t="s">
        <v>3</v>
      </c>
      <c r="BG584" t="s">
        <v>3</v>
      </c>
      <c r="BH584" t="s">
        <v>3</v>
      </c>
      <c r="BI584" t="s">
        <v>3</v>
      </c>
      <c r="BJ584" t="s">
        <v>5007</v>
      </c>
      <c r="BK584" t="s">
        <v>3</v>
      </c>
      <c r="BL584" t="s">
        <v>96</v>
      </c>
      <c r="BM584" t="s">
        <v>1</v>
      </c>
      <c r="BN584">
        <v>24500</v>
      </c>
      <c r="BO584" t="s">
        <v>1</v>
      </c>
      <c r="BP584" t="s">
        <v>1</v>
      </c>
      <c r="BQ584" t="s">
        <v>1</v>
      </c>
      <c r="BR584" t="s">
        <v>1</v>
      </c>
      <c r="BS584" t="s">
        <v>1</v>
      </c>
      <c r="BT584" t="s">
        <v>1</v>
      </c>
      <c r="BU584" t="s">
        <v>1</v>
      </c>
      <c r="BV584" t="s">
        <v>1</v>
      </c>
      <c r="BW584" t="s">
        <v>0</v>
      </c>
      <c r="BX584" t="s">
        <v>1</v>
      </c>
      <c r="BY584" t="s">
        <v>1</v>
      </c>
      <c r="BZ584" t="s">
        <v>1</v>
      </c>
      <c r="CA584" t="s">
        <v>1</v>
      </c>
      <c r="CB584" t="s">
        <v>1</v>
      </c>
      <c r="CD584" t="e" cm="1">
        <f t="array" aca="1" ref="CD584" ca="1">eConcatenar(A584:CB584,"|")</f>
        <v>#NAME?</v>
      </c>
    </row>
    <row r="585" spans="1:82" x14ac:dyDescent="0.25">
      <c r="A585" t="s">
        <v>680</v>
      </c>
      <c r="B585" t="s">
        <v>1694</v>
      </c>
      <c r="C585">
        <v>3</v>
      </c>
      <c r="D585" t="s">
        <v>2153</v>
      </c>
      <c r="E585" t="s">
        <v>2158</v>
      </c>
      <c r="F585" t="s">
        <v>2162</v>
      </c>
      <c r="G585" t="s">
        <v>2506</v>
      </c>
      <c r="H585" t="s">
        <v>2871</v>
      </c>
      <c r="I585">
        <v>14800</v>
      </c>
      <c r="J585">
        <v>0</v>
      </c>
      <c r="K585">
        <v>500</v>
      </c>
      <c r="L585">
        <v>50</v>
      </c>
      <c r="M585">
        <v>1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 t="s">
        <v>5</v>
      </c>
      <c r="AC585" t="s">
        <v>3131</v>
      </c>
      <c r="AD585" t="s">
        <v>3272</v>
      </c>
      <c r="AE585" t="s">
        <v>4</v>
      </c>
      <c r="AF585" t="s">
        <v>1</v>
      </c>
      <c r="AG585" t="s">
        <v>1</v>
      </c>
      <c r="AH585" t="s">
        <v>2506</v>
      </c>
      <c r="AI585" t="s">
        <v>2506</v>
      </c>
      <c r="AJ585" t="s">
        <v>1</v>
      </c>
      <c r="AK585">
        <v>9331119870</v>
      </c>
      <c r="AL585" t="s">
        <v>1</v>
      </c>
      <c r="AM585" t="s">
        <v>1</v>
      </c>
      <c r="AN585" t="s">
        <v>1</v>
      </c>
      <c r="AO585" t="s">
        <v>2506</v>
      </c>
      <c r="AP585" t="s">
        <v>1</v>
      </c>
      <c r="AQ585" t="s">
        <v>2</v>
      </c>
      <c r="AR585" t="s">
        <v>1</v>
      </c>
      <c r="AS585" t="s">
        <v>1</v>
      </c>
      <c r="AT585" t="s">
        <v>1</v>
      </c>
      <c r="AU585" t="s">
        <v>1</v>
      </c>
      <c r="AV585" t="s">
        <v>1</v>
      </c>
      <c r="AW585" t="s">
        <v>9</v>
      </c>
      <c r="AX585">
        <f>Tabla1[[#This Row],[precio del paquete]]-Tabla1[[#This Row],[Saldo_Deudor]]</f>
        <v>1400</v>
      </c>
      <c r="AY585">
        <v>13400</v>
      </c>
      <c r="AZ585">
        <v>0</v>
      </c>
      <c r="BA585">
        <v>0</v>
      </c>
      <c r="BB585">
        <v>0</v>
      </c>
      <c r="BC585" t="s">
        <v>3102</v>
      </c>
      <c r="BD585" t="s">
        <v>4897</v>
      </c>
      <c r="BE585" t="s">
        <v>3</v>
      </c>
      <c r="BF585" t="s">
        <v>3</v>
      </c>
      <c r="BG585" t="s">
        <v>3</v>
      </c>
      <c r="BH585" t="s">
        <v>3</v>
      </c>
      <c r="BI585" t="s">
        <v>3</v>
      </c>
      <c r="BJ585" t="s">
        <v>5007</v>
      </c>
      <c r="BK585" t="s">
        <v>3</v>
      </c>
      <c r="BL585" t="s">
        <v>96</v>
      </c>
      <c r="BM585" t="s">
        <v>1</v>
      </c>
      <c r="BN585">
        <v>14800</v>
      </c>
      <c r="BO585" t="s">
        <v>1</v>
      </c>
      <c r="BP585" t="s">
        <v>1</v>
      </c>
      <c r="BQ585" t="s">
        <v>1</v>
      </c>
      <c r="BR585" t="s">
        <v>1</v>
      </c>
      <c r="BS585" t="s">
        <v>1</v>
      </c>
      <c r="BT585" t="s">
        <v>1</v>
      </c>
      <c r="BU585" t="s">
        <v>1</v>
      </c>
      <c r="BV585" t="s">
        <v>1</v>
      </c>
      <c r="BW585" t="s">
        <v>0</v>
      </c>
      <c r="BX585" t="s">
        <v>1</v>
      </c>
      <c r="BY585" t="s">
        <v>1</v>
      </c>
      <c r="BZ585" t="s">
        <v>1</v>
      </c>
      <c r="CA585" t="s">
        <v>1</v>
      </c>
      <c r="CB585" t="s">
        <v>1</v>
      </c>
      <c r="CD585" t="e" cm="1">
        <f t="array" aca="1" ref="CD585" ca="1">eConcatenar(A585:CB585,"|")</f>
        <v>#NAME?</v>
      </c>
    </row>
    <row r="586" spans="1:82" x14ac:dyDescent="0.25">
      <c r="A586" t="s">
        <v>681</v>
      </c>
      <c r="B586" t="s">
        <v>1695</v>
      </c>
      <c r="C586">
        <v>3</v>
      </c>
      <c r="D586" t="s">
        <v>2155</v>
      </c>
      <c r="E586" t="s">
        <v>2158</v>
      </c>
      <c r="F586" t="s">
        <v>2162</v>
      </c>
      <c r="G586" t="s">
        <v>2506</v>
      </c>
      <c r="H586" t="s">
        <v>2706</v>
      </c>
      <c r="I586">
        <v>12900</v>
      </c>
      <c r="J586">
        <v>0</v>
      </c>
      <c r="K586">
        <v>200</v>
      </c>
      <c r="L586">
        <v>50</v>
      </c>
      <c r="M586">
        <v>1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 t="s">
        <v>3119</v>
      </c>
      <c r="AC586" t="s">
        <v>3236</v>
      </c>
      <c r="AD586" t="s">
        <v>3780</v>
      </c>
      <c r="AE586" t="s">
        <v>4</v>
      </c>
      <c r="AF586" t="s">
        <v>1</v>
      </c>
      <c r="AG586" t="s">
        <v>1</v>
      </c>
      <c r="AH586" t="s">
        <v>4521</v>
      </c>
      <c r="AI586" t="s">
        <v>2506</v>
      </c>
      <c r="AJ586" t="s">
        <v>1</v>
      </c>
      <c r="AK586" t="s">
        <v>1</v>
      </c>
      <c r="AL586" t="s">
        <v>1</v>
      </c>
      <c r="AM586" t="s">
        <v>1</v>
      </c>
      <c r="AN586" t="s">
        <v>1</v>
      </c>
      <c r="AO586" t="s">
        <v>4521</v>
      </c>
      <c r="AP586" t="s">
        <v>1</v>
      </c>
      <c r="AQ586" t="s">
        <v>2</v>
      </c>
      <c r="AR586" t="s">
        <v>1</v>
      </c>
      <c r="AS586" t="s">
        <v>1</v>
      </c>
      <c r="AT586" t="s">
        <v>1</v>
      </c>
      <c r="AU586" t="s">
        <v>1</v>
      </c>
      <c r="AV586" t="s">
        <v>1</v>
      </c>
      <c r="AW586" t="s">
        <v>9</v>
      </c>
      <c r="AX586">
        <f>Tabla1[[#This Row],[precio del paquete]]-Tabla1[[#This Row],[Saldo_Deudor]]</f>
        <v>3500</v>
      </c>
      <c r="AY586">
        <v>9400</v>
      </c>
      <c r="AZ586">
        <v>0</v>
      </c>
      <c r="BA586">
        <v>0</v>
      </c>
      <c r="BB586">
        <v>0</v>
      </c>
      <c r="BC586" t="s">
        <v>3102</v>
      </c>
      <c r="BD586" t="s">
        <v>4897</v>
      </c>
      <c r="BE586" t="s">
        <v>3</v>
      </c>
      <c r="BF586" t="s">
        <v>3</v>
      </c>
      <c r="BG586" t="s">
        <v>3</v>
      </c>
      <c r="BH586" t="s">
        <v>3</v>
      </c>
      <c r="BI586" t="s">
        <v>3</v>
      </c>
      <c r="BJ586" t="s">
        <v>5007</v>
      </c>
      <c r="BK586" t="s">
        <v>3</v>
      </c>
      <c r="BL586" t="s">
        <v>96</v>
      </c>
      <c r="BM586" t="s">
        <v>1</v>
      </c>
      <c r="BN586">
        <v>12900</v>
      </c>
      <c r="BO586" t="s">
        <v>1</v>
      </c>
      <c r="BP586" t="s">
        <v>1</v>
      </c>
      <c r="BQ586" t="s">
        <v>1</v>
      </c>
      <c r="BR586" t="s">
        <v>1</v>
      </c>
      <c r="BS586" t="s">
        <v>1</v>
      </c>
      <c r="BT586" t="s">
        <v>1</v>
      </c>
      <c r="BU586" t="s">
        <v>1</v>
      </c>
      <c r="BV586" t="s">
        <v>1</v>
      </c>
      <c r="BW586" t="s">
        <v>0</v>
      </c>
      <c r="BX586" t="s">
        <v>1</v>
      </c>
      <c r="BY586" t="s">
        <v>1</v>
      </c>
      <c r="BZ586" t="s">
        <v>1</v>
      </c>
      <c r="CA586" t="s">
        <v>1</v>
      </c>
      <c r="CB586" t="s">
        <v>1</v>
      </c>
      <c r="CD586" t="e" cm="1">
        <f t="array" aca="1" ref="CD586" ca="1">eConcatenar(A586:CB586,"|")</f>
        <v>#NAME?</v>
      </c>
    </row>
    <row r="587" spans="1:82" x14ac:dyDescent="0.25">
      <c r="A587" t="s">
        <v>682</v>
      </c>
      <c r="B587" t="s">
        <v>1696</v>
      </c>
      <c r="C587">
        <v>3</v>
      </c>
      <c r="D587" t="s">
        <v>2153</v>
      </c>
      <c r="E587" t="s">
        <v>2158</v>
      </c>
      <c r="F587" t="s">
        <v>2162</v>
      </c>
      <c r="G587" t="s">
        <v>2506</v>
      </c>
      <c r="H587" t="s">
        <v>2912</v>
      </c>
      <c r="I587">
        <v>14800</v>
      </c>
      <c r="J587">
        <v>0</v>
      </c>
      <c r="K587">
        <v>100</v>
      </c>
      <c r="L587">
        <v>50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 t="s">
        <v>3243</v>
      </c>
      <c r="AC587" t="s">
        <v>3178</v>
      </c>
      <c r="AD587" t="s">
        <v>3133</v>
      </c>
      <c r="AE587" t="s">
        <v>4</v>
      </c>
      <c r="AF587" t="s">
        <v>1</v>
      </c>
      <c r="AG587" t="s">
        <v>1</v>
      </c>
      <c r="AH587" t="s">
        <v>4521</v>
      </c>
      <c r="AI587" t="s">
        <v>2506</v>
      </c>
      <c r="AJ587" t="s">
        <v>1</v>
      </c>
      <c r="AK587">
        <v>9331122429</v>
      </c>
      <c r="AL587" t="s">
        <v>1</v>
      </c>
      <c r="AM587" t="s">
        <v>1</v>
      </c>
      <c r="AN587" t="s">
        <v>1</v>
      </c>
      <c r="AO587" t="s">
        <v>4521</v>
      </c>
      <c r="AP587" t="s">
        <v>1</v>
      </c>
      <c r="AQ587" t="s">
        <v>2</v>
      </c>
      <c r="AR587" t="s">
        <v>1</v>
      </c>
      <c r="AS587" t="s">
        <v>1</v>
      </c>
      <c r="AT587" t="s">
        <v>1</v>
      </c>
      <c r="AU587" t="s">
        <v>1</v>
      </c>
      <c r="AV587" t="s">
        <v>1</v>
      </c>
      <c r="AW587" t="s">
        <v>9</v>
      </c>
      <c r="AX587">
        <f>Tabla1[[#This Row],[precio del paquete]]-Tabla1[[#This Row],[Saldo_Deudor]]</f>
        <v>700</v>
      </c>
      <c r="AY587">
        <v>14100</v>
      </c>
      <c r="AZ587">
        <v>0</v>
      </c>
      <c r="BA587">
        <v>0</v>
      </c>
      <c r="BB587">
        <v>0</v>
      </c>
      <c r="BC587" t="s">
        <v>3102</v>
      </c>
      <c r="BD587" t="s">
        <v>4897</v>
      </c>
      <c r="BE587" t="s">
        <v>3</v>
      </c>
      <c r="BF587" t="s">
        <v>3</v>
      </c>
      <c r="BG587" t="s">
        <v>3</v>
      </c>
      <c r="BH587" t="s">
        <v>3</v>
      </c>
      <c r="BI587" t="s">
        <v>3</v>
      </c>
      <c r="BJ587" t="s">
        <v>5007</v>
      </c>
      <c r="BK587" t="s">
        <v>3</v>
      </c>
      <c r="BL587" t="s">
        <v>96</v>
      </c>
      <c r="BM587" t="s">
        <v>1</v>
      </c>
      <c r="BN587">
        <v>14800</v>
      </c>
      <c r="BO587" t="s">
        <v>1</v>
      </c>
      <c r="BP587" t="s">
        <v>1</v>
      </c>
      <c r="BQ587" t="s">
        <v>1</v>
      </c>
      <c r="BR587" t="s">
        <v>1</v>
      </c>
      <c r="BS587" t="s">
        <v>1</v>
      </c>
      <c r="BT587" t="s">
        <v>1</v>
      </c>
      <c r="BU587" t="s">
        <v>1</v>
      </c>
      <c r="BV587" t="s">
        <v>1</v>
      </c>
      <c r="BW587" t="s">
        <v>0</v>
      </c>
      <c r="BX587" t="s">
        <v>1</v>
      </c>
      <c r="BY587" t="s">
        <v>1</v>
      </c>
      <c r="BZ587" t="s">
        <v>1</v>
      </c>
      <c r="CA587" t="s">
        <v>1</v>
      </c>
      <c r="CB587" t="s">
        <v>1</v>
      </c>
      <c r="CD587" t="e" cm="1">
        <f t="array" aca="1" ref="CD587" ca="1">eConcatenar(A587:CB587,"|")</f>
        <v>#NAME?</v>
      </c>
    </row>
    <row r="588" spans="1:82" x14ac:dyDescent="0.25">
      <c r="A588" t="s">
        <v>683</v>
      </c>
      <c r="B588" t="s">
        <v>1697</v>
      </c>
      <c r="C588">
        <v>3</v>
      </c>
      <c r="D588" t="s">
        <v>2153</v>
      </c>
      <c r="E588" t="s">
        <v>2158</v>
      </c>
      <c r="F588" t="s">
        <v>2162</v>
      </c>
      <c r="G588" t="s">
        <v>2507</v>
      </c>
      <c r="H588" t="s">
        <v>2849</v>
      </c>
      <c r="I588">
        <v>14800</v>
      </c>
      <c r="J588">
        <v>0</v>
      </c>
      <c r="K588">
        <v>100</v>
      </c>
      <c r="L588">
        <v>50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 t="s">
        <v>3119</v>
      </c>
      <c r="AC588" t="s">
        <v>3379</v>
      </c>
      <c r="AD588" t="s">
        <v>3781</v>
      </c>
      <c r="AE588" t="s">
        <v>4</v>
      </c>
      <c r="AF588" t="s">
        <v>1</v>
      </c>
      <c r="AG588" t="s">
        <v>1</v>
      </c>
      <c r="AH588" t="s">
        <v>4524</v>
      </c>
      <c r="AI588" t="s">
        <v>2507</v>
      </c>
      <c r="AJ588" t="s">
        <v>1</v>
      </c>
      <c r="AK588">
        <v>9331675096</v>
      </c>
      <c r="AL588" t="s">
        <v>1</v>
      </c>
      <c r="AM588" t="s">
        <v>1</v>
      </c>
      <c r="AN588" t="s">
        <v>1</v>
      </c>
      <c r="AO588" t="s">
        <v>4524</v>
      </c>
      <c r="AP588" t="s">
        <v>1</v>
      </c>
      <c r="AQ588" t="s">
        <v>2</v>
      </c>
      <c r="AR588" t="s">
        <v>1</v>
      </c>
      <c r="AS588" t="s">
        <v>1</v>
      </c>
      <c r="AT588" t="s">
        <v>1</v>
      </c>
      <c r="AU588" t="s">
        <v>1</v>
      </c>
      <c r="AV588" t="s">
        <v>1</v>
      </c>
      <c r="AW588" t="s">
        <v>9</v>
      </c>
      <c r="AX588">
        <f>Tabla1[[#This Row],[precio del paquete]]-Tabla1[[#This Row],[Saldo_Deudor]]</f>
        <v>300</v>
      </c>
      <c r="AY588">
        <v>14500</v>
      </c>
      <c r="AZ588">
        <v>0</v>
      </c>
      <c r="BA588">
        <v>0</v>
      </c>
      <c r="BB588">
        <v>0</v>
      </c>
      <c r="BC588" t="s">
        <v>3102</v>
      </c>
      <c r="BD588" t="s">
        <v>4897</v>
      </c>
      <c r="BE588" t="s">
        <v>3</v>
      </c>
      <c r="BF588" t="s">
        <v>3</v>
      </c>
      <c r="BG588" t="s">
        <v>3</v>
      </c>
      <c r="BH588" t="s">
        <v>3</v>
      </c>
      <c r="BI588" t="s">
        <v>3</v>
      </c>
      <c r="BJ588" t="s">
        <v>5007</v>
      </c>
      <c r="BK588" t="s">
        <v>3</v>
      </c>
      <c r="BL588" t="s">
        <v>96</v>
      </c>
      <c r="BM588" t="s">
        <v>1</v>
      </c>
      <c r="BN588">
        <v>14800</v>
      </c>
      <c r="BO588" t="s">
        <v>1</v>
      </c>
      <c r="BP588" t="s">
        <v>1</v>
      </c>
      <c r="BQ588" t="s">
        <v>1</v>
      </c>
      <c r="BR588" t="s">
        <v>1</v>
      </c>
      <c r="BS588" t="s">
        <v>1</v>
      </c>
      <c r="BT588" t="s">
        <v>1</v>
      </c>
      <c r="BU588" t="s">
        <v>1</v>
      </c>
      <c r="BV588" t="s">
        <v>1</v>
      </c>
      <c r="BW588" t="s">
        <v>0</v>
      </c>
      <c r="BX588" t="s">
        <v>1</v>
      </c>
      <c r="BY588" t="s">
        <v>1</v>
      </c>
      <c r="BZ588" t="s">
        <v>1</v>
      </c>
      <c r="CA588" t="s">
        <v>1</v>
      </c>
      <c r="CB588" t="s">
        <v>1</v>
      </c>
      <c r="CD588" t="e" cm="1">
        <f t="array" aca="1" ref="CD588" ca="1">eConcatenar(A588:CB588,"|")</f>
        <v>#NAME?</v>
      </c>
    </row>
    <row r="589" spans="1:82" x14ac:dyDescent="0.25">
      <c r="A589" t="s">
        <v>684</v>
      </c>
      <c r="B589" t="s">
        <v>1698</v>
      </c>
      <c r="C589">
        <v>3</v>
      </c>
      <c r="D589" t="s">
        <v>2153</v>
      </c>
      <c r="E589" t="s">
        <v>2158</v>
      </c>
      <c r="F589" t="s">
        <v>2162</v>
      </c>
      <c r="G589" t="s">
        <v>2508</v>
      </c>
      <c r="H589" t="s">
        <v>2708</v>
      </c>
      <c r="I589">
        <v>14800</v>
      </c>
      <c r="J589">
        <v>0</v>
      </c>
      <c r="K589">
        <v>100</v>
      </c>
      <c r="L589">
        <v>50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 t="s">
        <v>5</v>
      </c>
      <c r="AC589" t="s">
        <v>3177</v>
      </c>
      <c r="AD589" t="s">
        <v>3190</v>
      </c>
      <c r="AE589" t="s">
        <v>4</v>
      </c>
      <c r="AF589" t="s">
        <v>1</v>
      </c>
      <c r="AG589" t="s">
        <v>1</v>
      </c>
      <c r="AH589" t="s">
        <v>4525</v>
      </c>
      <c r="AI589" t="s">
        <v>2508</v>
      </c>
      <c r="AJ589" t="s">
        <v>1</v>
      </c>
      <c r="AK589">
        <v>9331541816</v>
      </c>
      <c r="AL589" t="s">
        <v>1</v>
      </c>
      <c r="AM589" t="s">
        <v>1</v>
      </c>
      <c r="AN589" t="s">
        <v>1</v>
      </c>
      <c r="AO589" t="s">
        <v>4525</v>
      </c>
      <c r="AP589" t="s">
        <v>1</v>
      </c>
      <c r="AQ589" t="s">
        <v>2</v>
      </c>
      <c r="AR589" t="s">
        <v>1</v>
      </c>
      <c r="AS589" t="s">
        <v>1</v>
      </c>
      <c r="AT589" t="s">
        <v>1</v>
      </c>
      <c r="AU589" t="s">
        <v>1</v>
      </c>
      <c r="AV589" t="s">
        <v>1</v>
      </c>
      <c r="AW589" t="s">
        <v>9</v>
      </c>
      <c r="AX589">
        <f>Tabla1[[#This Row],[precio del paquete]]-Tabla1[[#This Row],[Saldo_Deudor]]</f>
        <v>1200</v>
      </c>
      <c r="AY589">
        <v>13600</v>
      </c>
      <c r="AZ589">
        <v>0</v>
      </c>
      <c r="BA589">
        <v>0</v>
      </c>
      <c r="BB589">
        <v>0</v>
      </c>
      <c r="BC589" t="s">
        <v>3102</v>
      </c>
      <c r="BD589" t="s">
        <v>4897</v>
      </c>
      <c r="BE589" t="s">
        <v>3</v>
      </c>
      <c r="BF589" t="s">
        <v>3</v>
      </c>
      <c r="BG589" t="s">
        <v>3</v>
      </c>
      <c r="BH589" t="s">
        <v>3</v>
      </c>
      <c r="BI589" t="s">
        <v>3</v>
      </c>
      <c r="BJ589" t="s">
        <v>5007</v>
      </c>
      <c r="BK589" t="s">
        <v>3</v>
      </c>
      <c r="BL589" t="s">
        <v>96</v>
      </c>
      <c r="BM589" t="s">
        <v>1</v>
      </c>
      <c r="BN589">
        <v>14800</v>
      </c>
      <c r="BO589" t="s">
        <v>1</v>
      </c>
      <c r="BP589" t="s">
        <v>1</v>
      </c>
      <c r="BQ589" t="s">
        <v>1</v>
      </c>
      <c r="BR589" t="s">
        <v>1</v>
      </c>
      <c r="BS589" t="s">
        <v>1</v>
      </c>
      <c r="BT589" t="s">
        <v>1</v>
      </c>
      <c r="BU589" t="s">
        <v>1</v>
      </c>
      <c r="BV589" t="s">
        <v>1</v>
      </c>
      <c r="BW589" t="s">
        <v>0</v>
      </c>
      <c r="BX589" t="s">
        <v>1</v>
      </c>
      <c r="BY589" t="s">
        <v>1</v>
      </c>
      <c r="BZ589" t="s">
        <v>1</v>
      </c>
      <c r="CA589" t="s">
        <v>1</v>
      </c>
      <c r="CB589" t="s">
        <v>1</v>
      </c>
      <c r="CD589" t="e" cm="1">
        <f t="array" aca="1" ref="CD589" ca="1">eConcatenar(A589:CB589,"|")</f>
        <v>#NAME?</v>
      </c>
    </row>
    <row r="590" spans="1:82" x14ac:dyDescent="0.25">
      <c r="A590" t="s">
        <v>685</v>
      </c>
      <c r="B590" t="s">
        <v>1699</v>
      </c>
      <c r="C590">
        <v>3</v>
      </c>
      <c r="D590" t="s">
        <v>2153</v>
      </c>
      <c r="E590" t="s">
        <v>2158</v>
      </c>
      <c r="F590" t="s">
        <v>2162</v>
      </c>
      <c r="G590" t="s">
        <v>2509</v>
      </c>
      <c r="H590" t="s">
        <v>2962</v>
      </c>
      <c r="I590">
        <v>14800</v>
      </c>
      <c r="J590">
        <v>0</v>
      </c>
      <c r="K590">
        <v>200</v>
      </c>
      <c r="L590">
        <v>50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 t="s">
        <v>3132</v>
      </c>
      <c r="AC590" t="s">
        <v>3178</v>
      </c>
      <c r="AD590" t="s">
        <v>3483</v>
      </c>
      <c r="AE590" t="s">
        <v>4</v>
      </c>
      <c r="AF590" t="s">
        <v>1</v>
      </c>
      <c r="AG590" t="s">
        <v>1</v>
      </c>
      <c r="AH590" t="s">
        <v>4526</v>
      </c>
      <c r="AI590" t="s">
        <v>2509</v>
      </c>
      <c r="AJ590" t="s">
        <v>1</v>
      </c>
      <c r="AK590" t="s">
        <v>1</v>
      </c>
      <c r="AL590" t="s">
        <v>1</v>
      </c>
      <c r="AM590" t="s">
        <v>1</v>
      </c>
      <c r="AN590" t="s">
        <v>1</v>
      </c>
      <c r="AO590" t="s">
        <v>4526</v>
      </c>
      <c r="AP590" t="s">
        <v>1</v>
      </c>
      <c r="AQ590" t="s">
        <v>2</v>
      </c>
      <c r="AR590" t="s">
        <v>1</v>
      </c>
      <c r="AS590" t="s">
        <v>1</v>
      </c>
      <c r="AT590" t="s">
        <v>1</v>
      </c>
      <c r="AU590" t="s">
        <v>1</v>
      </c>
      <c r="AV590" t="s">
        <v>1</v>
      </c>
      <c r="AW590" t="s">
        <v>9</v>
      </c>
      <c r="AX590">
        <f>Tabla1[[#This Row],[precio del paquete]]-Tabla1[[#This Row],[Saldo_Deudor]]</f>
        <v>4900</v>
      </c>
      <c r="AY590">
        <v>9900</v>
      </c>
      <c r="AZ590">
        <v>0</v>
      </c>
      <c r="BA590">
        <v>0</v>
      </c>
      <c r="BB590">
        <v>0</v>
      </c>
      <c r="BC590" t="s">
        <v>2905</v>
      </c>
      <c r="BD590" t="s">
        <v>3024</v>
      </c>
      <c r="BE590" t="s">
        <v>3</v>
      </c>
      <c r="BF590" t="s">
        <v>3</v>
      </c>
      <c r="BG590" t="s">
        <v>3</v>
      </c>
      <c r="BH590" t="s">
        <v>3</v>
      </c>
      <c r="BI590" t="s">
        <v>3</v>
      </c>
      <c r="BJ590" t="s">
        <v>5007</v>
      </c>
      <c r="BK590" t="s">
        <v>3</v>
      </c>
      <c r="BL590" t="s">
        <v>96</v>
      </c>
      <c r="BM590" t="s">
        <v>1</v>
      </c>
      <c r="BN590">
        <v>14800</v>
      </c>
      <c r="BO590" t="s">
        <v>1</v>
      </c>
      <c r="BP590" t="s">
        <v>1</v>
      </c>
      <c r="BQ590" t="s">
        <v>1</v>
      </c>
      <c r="BR590" t="s">
        <v>1</v>
      </c>
      <c r="BS590" t="s">
        <v>1</v>
      </c>
      <c r="BT590" t="s">
        <v>1</v>
      </c>
      <c r="BU590" t="s">
        <v>1</v>
      </c>
      <c r="BV590" t="s">
        <v>1</v>
      </c>
      <c r="BW590" t="s">
        <v>0</v>
      </c>
      <c r="BX590" t="s">
        <v>1</v>
      </c>
      <c r="BY590" t="s">
        <v>1</v>
      </c>
      <c r="BZ590" t="s">
        <v>1</v>
      </c>
      <c r="CA590" t="s">
        <v>1</v>
      </c>
      <c r="CB590" t="s">
        <v>1</v>
      </c>
      <c r="CD590" t="e" cm="1">
        <f t="array" aca="1" ref="CD590" ca="1">eConcatenar(A590:CB590,"|")</f>
        <v>#NAME?</v>
      </c>
    </row>
    <row r="591" spans="1:82" x14ac:dyDescent="0.25">
      <c r="A591" t="s">
        <v>686</v>
      </c>
      <c r="B591" t="s">
        <v>1700</v>
      </c>
      <c r="C591">
        <v>3</v>
      </c>
      <c r="D591" t="s">
        <v>2153</v>
      </c>
      <c r="E591" t="s">
        <v>2158</v>
      </c>
      <c r="F591" t="s">
        <v>2162</v>
      </c>
      <c r="G591" t="s">
        <v>2510</v>
      </c>
      <c r="H591" t="s">
        <v>2714</v>
      </c>
      <c r="I591">
        <v>14800</v>
      </c>
      <c r="J591">
        <v>0</v>
      </c>
      <c r="K591">
        <v>100</v>
      </c>
      <c r="L591">
        <v>50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 t="s">
        <v>3115</v>
      </c>
      <c r="AC591" t="s">
        <v>3161</v>
      </c>
      <c r="AD591" t="s">
        <v>3782</v>
      </c>
      <c r="AE591" t="s">
        <v>4</v>
      </c>
      <c r="AF591" t="s">
        <v>1</v>
      </c>
      <c r="AG591" t="s">
        <v>1</v>
      </c>
      <c r="AH591" t="s">
        <v>4527</v>
      </c>
      <c r="AI591" t="s">
        <v>2510</v>
      </c>
      <c r="AJ591" t="s">
        <v>1</v>
      </c>
      <c r="AK591" t="s">
        <v>1</v>
      </c>
      <c r="AL591" t="s">
        <v>1</v>
      </c>
      <c r="AM591" t="s">
        <v>1</v>
      </c>
      <c r="AN591" t="s">
        <v>1</v>
      </c>
      <c r="AO591" t="s">
        <v>4527</v>
      </c>
      <c r="AP591" t="s">
        <v>1</v>
      </c>
      <c r="AQ591" t="s">
        <v>2</v>
      </c>
      <c r="AR591" t="s">
        <v>1</v>
      </c>
      <c r="AS591" t="s">
        <v>1</v>
      </c>
      <c r="AT591" t="s">
        <v>1</v>
      </c>
      <c r="AU591" t="s">
        <v>1</v>
      </c>
      <c r="AV591" t="s">
        <v>1</v>
      </c>
      <c r="AW591" t="s">
        <v>9</v>
      </c>
      <c r="AX591">
        <f>Tabla1[[#This Row],[precio del paquete]]-Tabla1[[#This Row],[Saldo_Deudor]]</f>
        <v>300</v>
      </c>
      <c r="AY591">
        <v>14500</v>
      </c>
      <c r="AZ591">
        <v>0</v>
      </c>
      <c r="BA591">
        <v>0</v>
      </c>
      <c r="BB591">
        <v>0</v>
      </c>
      <c r="BC591" t="s">
        <v>3098</v>
      </c>
      <c r="BD591" t="s">
        <v>4829</v>
      </c>
      <c r="BE591" t="s">
        <v>3</v>
      </c>
      <c r="BF591" t="s">
        <v>3</v>
      </c>
      <c r="BG591" t="s">
        <v>3</v>
      </c>
      <c r="BH591" t="s">
        <v>3</v>
      </c>
      <c r="BI591" t="s">
        <v>3</v>
      </c>
      <c r="BJ591" t="s">
        <v>5011</v>
      </c>
      <c r="BK591" t="s">
        <v>3</v>
      </c>
      <c r="BL591" t="s">
        <v>96</v>
      </c>
      <c r="BM591" t="s">
        <v>1</v>
      </c>
      <c r="BN591">
        <v>14800</v>
      </c>
      <c r="BO591" t="s">
        <v>1</v>
      </c>
      <c r="BP591" t="s">
        <v>1</v>
      </c>
      <c r="BQ591" t="s">
        <v>1</v>
      </c>
      <c r="BR591" t="s">
        <v>1</v>
      </c>
      <c r="BS591" t="s">
        <v>1</v>
      </c>
      <c r="BT591" t="s">
        <v>1</v>
      </c>
      <c r="BU591" t="s">
        <v>1</v>
      </c>
      <c r="BV591" t="s">
        <v>1</v>
      </c>
      <c r="BW591" t="s">
        <v>0</v>
      </c>
      <c r="BX591" t="s">
        <v>1</v>
      </c>
      <c r="BY591" t="s">
        <v>1</v>
      </c>
      <c r="BZ591" t="s">
        <v>1</v>
      </c>
      <c r="CA591" t="s">
        <v>1</v>
      </c>
      <c r="CB591" t="s">
        <v>1</v>
      </c>
      <c r="CD591" t="e" cm="1">
        <f t="array" aca="1" ref="CD591" ca="1">eConcatenar(A591:CB591,"|")</f>
        <v>#NAME?</v>
      </c>
    </row>
    <row r="592" spans="1:82" x14ac:dyDescent="0.25">
      <c r="A592" t="s">
        <v>687</v>
      </c>
      <c r="B592" t="s">
        <v>1701</v>
      </c>
      <c r="C592">
        <v>3</v>
      </c>
      <c r="D592" t="s">
        <v>2157</v>
      </c>
      <c r="E592" t="s">
        <v>2158</v>
      </c>
      <c r="F592" t="s">
        <v>2159</v>
      </c>
      <c r="G592" t="s">
        <v>2510</v>
      </c>
      <c r="H592" t="s">
        <v>2723</v>
      </c>
      <c r="I592">
        <v>12900</v>
      </c>
      <c r="J592">
        <v>0</v>
      </c>
      <c r="K592">
        <v>100</v>
      </c>
      <c r="L592">
        <v>50</v>
      </c>
      <c r="M592">
        <v>1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 t="s">
        <v>3236</v>
      </c>
      <c r="AC592" t="s">
        <v>3367</v>
      </c>
      <c r="AD592" t="s">
        <v>3452</v>
      </c>
      <c r="AE592" t="s">
        <v>4</v>
      </c>
      <c r="AF592" t="s">
        <v>1</v>
      </c>
      <c r="AG592" t="s">
        <v>1</v>
      </c>
      <c r="AH592" t="s">
        <v>4528</v>
      </c>
      <c r="AI592" t="s">
        <v>2510</v>
      </c>
      <c r="AJ592" t="s">
        <v>1</v>
      </c>
      <c r="AK592">
        <v>9331294944</v>
      </c>
      <c r="AL592" t="s">
        <v>1</v>
      </c>
      <c r="AM592" t="s">
        <v>1</v>
      </c>
      <c r="AN592" t="s">
        <v>1</v>
      </c>
      <c r="AO592" t="s">
        <v>4528</v>
      </c>
      <c r="AP592" t="s">
        <v>1</v>
      </c>
      <c r="AQ592" t="s">
        <v>2</v>
      </c>
      <c r="AR592" t="s">
        <v>1</v>
      </c>
      <c r="AS592" t="s">
        <v>1</v>
      </c>
      <c r="AT592" t="s">
        <v>1</v>
      </c>
      <c r="AU592" t="s">
        <v>1</v>
      </c>
      <c r="AV592" t="s">
        <v>1</v>
      </c>
      <c r="AW592" t="s">
        <v>9</v>
      </c>
      <c r="AX592">
        <f>Tabla1[[#This Row],[precio del paquete]]-Tabla1[[#This Row],[Saldo_Deudor]]</f>
        <v>7400</v>
      </c>
      <c r="AY592">
        <v>5500</v>
      </c>
      <c r="AZ592">
        <v>0</v>
      </c>
      <c r="BA592">
        <v>0</v>
      </c>
      <c r="BB592">
        <v>0</v>
      </c>
      <c r="BC592" t="s">
        <v>2905</v>
      </c>
      <c r="BD592" t="s">
        <v>3024</v>
      </c>
      <c r="BE592" t="s">
        <v>3</v>
      </c>
      <c r="BF592" t="s">
        <v>3</v>
      </c>
      <c r="BG592" t="s">
        <v>3</v>
      </c>
      <c r="BH592" t="s">
        <v>3</v>
      </c>
      <c r="BI592" t="s">
        <v>3</v>
      </c>
      <c r="BJ592" t="s">
        <v>5006</v>
      </c>
      <c r="BK592" t="s">
        <v>3</v>
      </c>
      <c r="BL592" t="s">
        <v>96</v>
      </c>
      <c r="BM592" t="s">
        <v>1</v>
      </c>
      <c r="BN592">
        <v>12900</v>
      </c>
      <c r="BO592" t="s">
        <v>1</v>
      </c>
      <c r="BP592" t="s">
        <v>1</v>
      </c>
      <c r="BQ592" t="s">
        <v>1</v>
      </c>
      <c r="BR592" t="s">
        <v>1</v>
      </c>
      <c r="BS592" t="s">
        <v>1</v>
      </c>
      <c r="BT592" t="s">
        <v>1</v>
      </c>
      <c r="BU592" t="s">
        <v>1</v>
      </c>
      <c r="BV592" t="s">
        <v>1</v>
      </c>
      <c r="BW592" t="s">
        <v>0</v>
      </c>
      <c r="BX592" t="s">
        <v>1</v>
      </c>
      <c r="BY592" t="s">
        <v>1</v>
      </c>
      <c r="BZ592" t="s">
        <v>1</v>
      </c>
      <c r="CA592" t="s">
        <v>1</v>
      </c>
      <c r="CB592" t="s">
        <v>1</v>
      </c>
      <c r="CD592" t="e" cm="1">
        <f t="array" aca="1" ref="CD592" ca="1">eConcatenar(A592:CB592,"|")</f>
        <v>#NAME?</v>
      </c>
    </row>
    <row r="593" spans="1:82" x14ac:dyDescent="0.25">
      <c r="A593" t="s">
        <v>688</v>
      </c>
      <c r="B593" t="s">
        <v>1702</v>
      </c>
      <c r="C593">
        <v>3</v>
      </c>
      <c r="D593" t="s">
        <v>2157</v>
      </c>
      <c r="E593" t="s">
        <v>2158</v>
      </c>
      <c r="F593" t="s">
        <v>2159</v>
      </c>
      <c r="G593" t="s">
        <v>2510</v>
      </c>
      <c r="H593" t="s">
        <v>2963</v>
      </c>
      <c r="I593">
        <v>12900</v>
      </c>
      <c r="J593">
        <v>0</v>
      </c>
      <c r="K593">
        <v>100</v>
      </c>
      <c r="L593">
        <v>50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 t="s">
        <v>3367</v>
      </c>
      <c r="AC593" t="s">
        <v>3115</v>
      </c>
      <c r="AD593" t="s">
        <v>3783</v>
      </c>
      <c r="AE593" t="s">
        <v>4</v>
      </c>
      <c r="AF593" t="s">
        <v>1</v>
      </c>
      <c r="AG593" t="s">
        <v>1</v>
      </c>
      <c r="AH593" t="s">
        <v>4529</v>
      </c>
      <c r="AI593" t="s">
        <v>2510</v>
      </c>
      <c r="AJ593" t="s">
        <v>1</v>
      </c>
      <c r="AK593">
        <v>9331523132</v>
      </c>
      <c r="AL593" t="s">
        <v>1</v>
      </c>
      <c r="AM593" t="s">
        <v>1</v>
      </c>
      <c r="AN593" t="s">
        <v>1</v>
      </c>
      <c r="AO593" t="s">
        <v>4529</v>
      </c>
      <c r="AP593" t="s">
        <v>1</v>
      </c>
      <c r="AQ593" t="s">
        <v>2</v>
      </c>
      <c r="AR593" t="s">
        <v>1</v>
      </c>
      <c r="AS593" t="s">
        <v>1</v>
      </c>
      <c r="AT593" t="s">
        <v>1</v>
      </c>
      <c r="AU593" t="s">
        <v>1</v>
      </c>
      <c r="AV593" t="s">
        <v>1</v>
      </c>
      <c r="AW593" t="s">
        <v>9</v>
      </c>
      <c r="AX593">
        <f>Tabla1[[#This Row],[precio del paquete]]-Tabla1[[#This Row],[Saldo_Deudor]]</f>
        <v>11900</v>
      </c>
      <c r="AY593">
        <v>1000</v>
      </c>
      <c r="AZ593">
        <v>0</v>
      </c>
      <c r="BA593">
        <v>0</v>
      </c>
      <c r="BB593">
        <v>0</v>
      </c>
      <c r="BC593" t="s">
        <v>2905</v>
      </c>
      <c r="BD593" t="s">
        <v>3024</v>
      </c>
      <c r="BE593" t="s">
        <v>3</v>
      </c>
      <c r="BF593" t="s">
        <v>3</v>
      </c>
      <c r="BG593" t="s">
        <v>3</v>
      </c>
      <c r="BH593" t="s">
        <v>3</v>
      </c>
      <c r="BI593" t="s">
        <v>3</v>
      </c>
      <c r="BJ593" t="s">
        <v>5011</v>
      </c>
      <c r="BK593" t="s">
        <v>3</v>
      </c>
      <c r="BL593" t="s">
        <v>96</v>
      </c>
      <c r="BM593" t="s">
        <v>1</v>
      </c>
      <c r="BN593">
        <v>12900</v>
      </c>
      <c r="BO593" t="s">
        <v>1</v>
      </c>
      <c r="BP593" t="s">
        <v>1</v>
      </c>
      <c r="BQ593" t="s">
        <v>1</v>
      </c>
      <c r="BR593" t="s">
        <v>1</v>
      </c>
      <c r="BS593" t="s">
        <v>1</v>
      </c>
      <c r="BT593" t="s">
        <v>1</v>
      </c>
      <c r="BU593" t="s">
        <v>1</v>
      </c>
      <c r="BV593" t="s">
        <v>1</v>
      </c>
      <c r="BW593" t="s">
        <v>0</v>
      </c>
      <c r="BX593" t="s">
        <v>1</v>
      </c>
      <c r="BY593" t="s">
        <v>1</v>
      </c>
      <c r="BZ593" t="s">
        <v>1</v>
      </c>
      <c r="CA593" t="s">
        <v>1</v>
      </c>
      <c r="CB593" t="s">
        <v>1</v>
      </c>
      <c r="CD593" t="e" cm="1">
        <f t="array" aca="1" ref="CD593" ca="1">eConcatenar(A593:CB593,"|")</f>
        <v>#NAME?</v>
      </c>
    </row>
    <row r="594" spans="1:82" x14ac:dyDescent="0.25">
      <c r="A594" t="s">
        <v>689</v>
      </c>
      <c r="B594" t="s">
        <v>1703</v>
      </c>
      <c r="C594">
        <v>3</v>
      </c>
      <c r="D594" t="s">
        <v>2157</v>
      </c>
      <c r="E594" t="s">
        <v>2158</v>
      </c>
      <c r="F594" t="s">
        <v>2159</v>
      </c>
      <c r="G594" t="s">
        <v>2510</v>
      </c>
      <c r="H594" t="s">
        <v>2964</v>
      </c>
      <c r="I594">
        <v>12900</v>
      </c>
      <c r="J594">
        <v>0</v>
      </c>
      <c r="K594">
        <v>200</v>
      </c>
      <c r="L594">
        <v>50</v>
      </c>
      <c r="M594">
        <v>1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 t="s">
        <v>3122</v>
      </c>
      <c r="AC594" t="s">
        <v>3236</v>
      </c>
      <c r="AD594" t="s">
        <v>3244</v>
      </c>
      <c r="AE594" t="s">
        <v>4</v>
      </c>
      <c r="AF594" t="s">
        <v>1</v>
      </c>
      <c r="AG594" t="s">
        <v>1</v>
      </c>
      <c r="AH594" t="s">
        <v>4530</v>
      </c>
      <c r="AI594" t="s">
        <v>2510</v>
      </c>
      <c r="AJ594" t="s">
        <v>1</v>
      </c>
      <c r="AK594">
        <v>9331043433</v>
      </c>
      <c r="AL594" t="s">
        <v>1</v>
      </c>
      <c r="AM594" t="s">
        <v>1</v>
      </c>
      <c r="AN594" t="s">
        <v>1</v>
      </c>
      <c r="AO594" t="s">
        <v>4530</v>
      </c>
      <c r="AP594" t="s">
        <v>1</v>
      </c>
      <c r="AQ594" t="s">
        <v>2</v>
      </c>
      <c r="AR594" t="s">
        <v>1</v>
      </c>
      <c r="AS594" t="s">
        <v>1</v>
      </c>
      <c r="AT594" t="s">
        <v>1</v>
      </c>
      <c r="AU594" t="s">
        <v>1</v>
      </c>
      <c r="AV594" t="s">
        <v>1</v>
      </c>
      <c r="AW594" t="s">
        <v>9</v>
      </c>
      <c r="AX594">
        <f>Tabla1[[#This Row],[precio del paquete]]-Tabla1[[#This Row],[Saldo_Deudor]]</f>
        <v>8800</v>
      </c>
      <c r="AY594">
        <v>4100</v>
      </c>
      <c r="AZ594">
        <v>0</v>
      </c>
      <c r="BA594">
        <v>0</v>
      </c>
      <c r="BB594">
        <v>0</v>
      </c>
      <c r="BC594" t="s">
        <v>2905</v>
      </c>
      <c r="BD594" t="s">
        <v>3024</v>
      </c>
      <c r="BE594" t="s">
        <v>3</v>
      </c>
      <c r="BF594" t="s">
        <v>3</v>
      </c>
      <c r="BG594" t="s">
        <v>3</v>
      </c>
      <c r="BH594" t="s">
        <v>3</v>
      </c>
      <c r="BI594" t="s">
        <v>3</v>
      </c>
      <c r="BJ594" t="s">
        <v>5011</v>
      </c>
      <c r="BK594" t="s">
        <v>3</v>
      </c>
      <c r="BL594" t="s">
        <v>96</v>
      </c>
      <c r="BM594" t="s">
        <v>1</v>
      </c>
      <c r="BN594">
        <v>12900</v>
      </c>
      <c r="BO594" t="s">
        <v>1</v>
      </c>
      <c r="BP594" t="s">
        <v>1</v>
      </c>
      <c r="BQ594" t="s">
        <v>1</v>
      </c>
      <c r="BR594" t="s">
        <v>1</v>
      </c>
      <c r="BS594" t="s">
        <v>1</v>
      </c>
      <c r="BT594" t="s">
        <v>1</v>
      </c>
      <c r="BU594" t="s">
        <v>1</v>
      </c>
      <c r="BV594" t="s">
        <v>1</v>
      </c>
      <c r="BW594" t="s">
        <v>0</v>
      </c>
      <c r="BX594" t="s">
        <v>1</v>
      </c>
      <c r="BY594" t="s">
        <v>1</v>
      </c>
      <c r="BZ594" t="s">
        <v>1</v>
      </c>
      <c r="CA594" t="s">
        <v>1</v>
      </c>
      <c r="CB594" t="s">
        <v>1</v>
      </c>
      <c r="CD594" t="e" cm="1">
        <f t="array" aca="1" ref="CD594" ca="1">eConcatenar(A594:CB594,"|")</f>
        <v>#NAME?</v>
      </c>
    </row>
    <row r="595" spans="1:82" x14ac:dyDescent="0.25">
      <c r="A595" t="s">
        <v>690</v>
      </c>
      <c r="B595" t="s">
        <v>1704</v>
      </c>
      <c r="C595">
        <v>3</v>
      </c>
      <c r="D595" t="s">
        <v>2157</v>
      </c>
      <c r="E595" t="s">
        <v>2158</v>
      </c>
      <c r="F595" t="s">
        <v>2159</v>
      </c>
      <c r="G595" t="s">
        <v>2510</v>
      </c>
      <c r="H595" t="s">
        <v>2965</v>
      </c>
      <c r="I595">
        <v>12900</v>
      </c>
      <c r="J595">
        <v>0</v>
      </c>
      <c r="K595">
        <v>200</v>
      </c>
      <c r="L595">
        <v>50</v>
      </c>
      <c r="M595">
        <v>1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 t="s">
        <v>3367</v>
      </c>
      <c r="AC595" t="s">
        <v>3178</v>
      </c>
      <c r="AD595" t="s">
        <v>3784</v>
      </c>
      <c r="AE595" t="s">
        <v>4</v>
      </c>
      <c r="AF595" t="s">
        <v>1</v>
      </c>
      <c r="AG595" t="s">
        <v>1</v>
      </c>
      <c r="AH595" t="s">
        <v>4531</v>
      </c>
      <c r="AI595" t="s">
        <v>2510</v>
      </c>
      <c r="AJ595" t="s">
        <v>1</v>
      </c>
      <c r="AK595">
        <v>9331300765</v>
      </c>
      <c r="AL595" t="s">
        <v>1</v>
      </c>
      <c r="AM595" t="s">
        <v>1</v>
      </c>
      <c r="AN595" t="s">
        <v>1</v>
      </c>
      <c r="AO595" t="s">
        <v>4531</v>
      </c>
      <c r="AP595" t="s">
        <v>1</v>
      </c>
      <c r="AQ595" t="s">
        <v>2</v>
      </c>
      <c r="AR595" t="s">
        <v>1</v>
      </c>
      <c r="AS595" t="s">
        <v>1</v>
      </c>
      <c r="AT595" t="s">
        <v>1</v>
      </c>
      <c r="AU595" t="s">
        <v>1</v>
      </c>
      <c r="AV595" t="s">
        <v>1</v>
      </c>
      <c r="AW595" t="s">
        <v>9</v>
      </c>
      <c r="AX595">
        <f>Tabla1[[#This Row],[precio del paquete]]-Tabla1[[#This Row],[Saldo_Deudor]]</f>
        <v>6900</v>
      </c>
      <c r="AY595">
        <v>6000</v>
      </c>
      <c r="AZ595">
        <v>0</v>
      </c>
      <c r="BA595">
        <v>0</v>
      </c>
      <c r="BB595">
        <v>0</v>
      </c>
      <c r="BC595" t="s">
        <v>2905</v>
      </c>
      <c r="BD595" t="s">
        <v>3024</v>
      </c>
      <c r="BE595" t="s">
        <v>3</v>
      </c>
      <c r="BF595" t="s">
        <v>3</v>
      </c>
      <c r="BG595" t="s">
        <v>3</v>
      </c>
      <c r="BH595" t="s">
        <v>3</v>
      </c>
      <c r="BI595" t="s">
        <v>3</v>
      </c>
      <c r="BJ595" t="s">
        <v>5011</v>
      </c>
      <c r="BK595" t="s">
        <v>3</v>
      </c>
      <c r="BL595" t="s">
        <v>96</v>
      </c>
      <c r="BM595" t="s">
        <v>1</v>
      </c>
      <c r="BN595">
        <v>12900</v>
      </c>
      <c r="BO595" t="s">
        <v>1</v>
      </c>
      <c r="BP595" t="s">
        <v>1</v>
      </c>
      <c r="BQ595" t="s">
        <v>1</v>
      </c>
      <c r="BR595" t="s">
        <v>1</v>
      </c>
      <c r="BS595" t="s">
        <v>1</v>
      </c>
      <c r="BT595" t="s">
        <v>1</v>
      </c>
      <c r="BU595" t="s">
        <v>1</v>
      </c>
      <c r="BV595" t="s">
        <v>1</v>
      </c>
      <c r="BW595" t="s">
        <v>0</v>
      </c>
      <c r="BX595" t="s">
        <v>1</v>
      </c>
      <c r="BY595" t="s">
        <v>1</v>
      </c>
      <c r="BZ595" t="s">
        <v>1</v>
      </c>
      <c r="CA595" t="s">
        <v>1</v>
      </c>
      <c r="CB595" t="s">
        <v>1</v>
      </c>
      <c r="CD595" t="e" cm="1">
        <f t="array" aca="1" ref="CD595" ca="1">eConcatenar(A595:CB595,"|")</f>
        <v>#NAME?</v>
      </c>
    </row>
    <row r="596" spans="1:82" x14ac:dyDescent="0.25">
      <c r="A596" t="s">
        <v>691</v>
      </c>
      <c r="B596" t="s">
        <v>1705</v>
      </c>
      <c r="C596">
        <v>3</v>
      </c>
      <c r="D596" t="s">
        <v>2153</v>
      </c>
      <c r="E596" t="s">
        <v>2158</v>
      </c>
      <c r="F596" t="s">
        <v>2162</v>
      </c>
      <c r="G596" t="s">
        <v>2511</v>
      </c>
      <c r="H596" t="s">
        <v>2873</v>
      </c>
      <c r="I596">
        <v>14800</v>
      </c>
      <c r="J596">
        <v>0</v>
      </c>
      <c r="K596">
        <v>50</v>
      </c>
      <c r="L596">
        <v>50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 t="s">
        <v>3236</v>
      </c>
      <c r="AC596" t="s">
        <v>3785</v>
      </c>
      <c r="AD596" t="s">
        <v>3786</v>
      </c>
      <c r="AE596" t="s">
        <v>4</v>
      </c>
      <c r="AF596" t="s">
        <v>1</v>
      </c>
      <c r="AG596" t="s">
        <v>1</v>
      </c>
      <c r="AH596" t="s">
        <v>4532</v>
      </c>
      <c r="AI596" t="s">
        <v>2511</v>
      </c>
      <c r="AJ596" t="s">
        <v>1</v>
      </c>
      <c r="AK596">
        <v>9331597422</v>
      </c>
      <c r="AL596" t="s">
        <v>1</v>
      </c>
      <c r="AM596" t="s">
        <v>1</v>
      </c>
      <c r="AN596" t="s">
        <v>1</v>
      </c>
      <c r="AO596" t="s">
        <v>4532</v>
      </c>
      <c r="AP596" t="s">
        <v>1</v>
      </c>
      <c r="AQ596" t="s">
        <v>2</v>
      </c>
      <c r="AR596" t="s">
        <v>1</v>
      </c>
      <c r="AS596" t="s">
        <v>1</v>
      </c>
      <c r="AT596" t="s">
        <v>1</v>
      </c>
      <c r="AU596" t="s">
        <v>1</v>
      </c>
      <c r="AV596" t="s">
        <v>1</v>
      </c>
      <c r="AW596" t="s">
        <v>9</v>
      </c>
      <c r="AX596">
        <f>Tabla1[[#This Row],[precio del paquete]]-Tabla1[[#This Row],[Saldo_Deudor]]</f>
        <v>2150</v>
      </c>
      <c r="AY596">
        <v>12650</v>
      </c>
      <c r="AZ596">
        <v>0</v>
      </c>
      <c r="BA596">
        <v>0</v>
      </c>
      <c r="BB596">
        <v>0</v>
      </c>
      <c r="BC596" t="s">
        <v>4830</v>
      </c>
      <c r="BD596" t="s">
        <v>4906</v>
      </c>
      <c r="BE596" t="s">
        <v>3</v>
      </c>
      <c r="BF596" t="s">
        <v>3</v>
      </c>
      <c r="BG596" t="s">
        <v>3</v>
      </c>
      <c r="BH596" t="s">
        <v>3</v>
      </c>
      <c r="BI596" t="s">
        <v>3</v>
      </c>
      <c r="BJ596" t="s">
        <v>5011</v>
      </c>
      <c r="BK596" t="s">
        <v>3</v>
      </c>
      <c r="BL596" t="s">
        <v>96</v>
      </c>
      <c r="BM596" t="s">
        <v>1</v>
      </c>
      <c r="BN596">
        <v>14800</v>
      </c>
      <c r="BO596" t="s">
        <v>1</v>
      </c>
      <c r="BP596" t="s">
        <v>1</v>
      </c>
      <c r="BQ596" t="s">
        <v>1</v>
      </c>
      <c r="BR596" t="s">
        <v>1</v>
      </c>
      <c r="BS596" t="s">
        <v>1</v>
      </c>
      <c r="BT596" t="s">
        <v>1</v>
      </c>
      <c r="BU596" t="s">
        <v>1</v>
      </c>
      <c r="BV596" t="s">
        <v>1</v>
      </c>
      <c r="BW596" t="s">
        <v>0</v>
      </c>
      <c r="BX596" t="s">
        <v>1</v>
      </c>
      <c r="BY596" t="s">
        <v>1</v>
      </c>
      <c r="BZ596" t="s">
        <v>1</v>
      </c>
      <c r="CA596" t="s">
        <v>1</v>
      </c>
      <c r="CB596" t="s">
        <v>1</v>
      </c>
      <c r="CD596" t="e" cm="1">
        <f t="array" aca="1" ref="CD596" ca="1">eConcatenar(A596:CB596,"|")</f>
        <v>#NAME?</v>
      </c>
    </row>
    <row r="597" spans="1:82" x14ac:dyDescent="0.25">
      <c r="A597" t="s">
        <v>692</v>
      </c>
      <c r="B597" t="s">
        <v>1706</v>
      </c>
      <c r="C597">
        <v>3</v>
      </c>
      <c r="D597" t="s">
        <v>2153</v>
      </c>
      <c r="E597" t="s">
        <v>2158</v>
      </c>
      <c r="F597" t="s">
        <v>2159</v>
      </c>
      <c r="G597" t="s">
        <v>2512</v>
      </c>
      <c r="H597" t="s">
        <v>2782</v>
      </c>
      <c r="I597">
        <v>14800</v>
      </c>
      <c r="J597">
        <v>0</v>
      </c>
      <c r="K597">
        <v>400</v>
      </c>
      <c r="L597">
        <v>50</v>
      </c>
      <c r="M597">
        <v>2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 t="s">
        <v>3155</v>
      </c>
      <c r="AC597" t="s">
        <v>3558</v>
      </c>
      <c r="AD597" t="s">
        <v>3787</v>
      </c>
      <c r="AE597" t="s">
        <v>4</v>
      </c>
      <c r="AF597" t="s">
        <v>1</v>
      </c>
      <c r="AG597" t="s">
        <v>1</v>
      </c>
      <c r="AH597" t="s">
        <v>4533</v>
      </c>
      <c r="AI597" t="s">
        <v>2512</v>
      </c>
      <c r="AJ597" t="s">
        <v>1</v>
      </c>
      <c r="AK597">
        <v>9331236851</v>
      </c>
      <c r="AL597" t="s">
        <v>1</v>
      </c>
      <c r="AM597" t="s">
        <v>1</v>
      </c>
      <c r="AN597" t="s">
        <v>1</v>
      </c>
      <c r="AO597" t="s">
        <v>4533</v>
      </c>
      <c r="AP597" t="s">
        <v>1</v>
      </c>
      <c r="AQ597" t="s">
        <v>2</v>
      </c>
      <c r="AR597" t="s">
        <v>1</v>
      </c>
      <c r="AS597" t="s">
        <v>1</v>
      </c>
      <c r="AT597" t="s">
        <v>1</v>
      </c>
      <c r="AU597" t="s">
        <v>1</v>
      </c>
      <c r="AV597" t="s">
        <v>1</v>
      </c>
      <c r="AW597" t="s">
        <v>9</v>
      </c>
      <c r="AX597">
        <f>Tabla1[[#This Row],[precio del paquete]]-Tabla1[[#This Row],[Saldo_Deudor]]</f>
        <v>11200</v>
      </c>
      <c r="AY597">
        <v>3600</v>
      </c>
      <c r="AZ597">
        <v>0</v>
      </c>
      <c r="BA597">
        <v>0</v>
      </c>
      <c r="BB597">
        <v>0</v>
      </c>
      <c r="BC597" t="s">
        <v>2724</v>
      </c>
      <c r="BD597" t="s">
        <v>2837</v>
      </c>
      <c r="BE597" t="s">
        <v>3</v>
      </c>
      <c r="BF597" t="s">
        <v>3</v>
      </c>
      <c r="BG597" t="s">
        <v>3</v>
      </c>
      <c r="BH597" t="s">
        <v>3</v>
      </c>
      <c r="BI597" t="s">
        <v>3</v>
      </c>
      <c r="BJ597" t="s">
        <v>5000</v>
      </c>
      <c r="BK597" t="s">
        <v>3</v>
      </c>
      <c r="BL597" t="s">
        <v>96</v>
      </c>
      <c r="BM597" t="s">
        <v>1</v>
      </c>
      <c r="BN597">
        <v>14800</v>
      </c>
      <c r="BO597" t="s">
        <v>1</v>
      </c>
      <c r="BP597" t="s">
        <v>1</v>
      </c>
      <c r="BQ597" t="s">
        <v>1</v>
      </c>
      <c r="BR597" t="s">
        <v>1</v>
      </c>
      <c r="BS597" t="s">
        <v>1</v>
      </c>
      <c r="BT597" t="s">
        <v>1</v>
      </c>
      <c r="BU597" t="s">
        <v>1</v>
      </c>
      <c r="BV597" t="s">
        <v>1</v>
      </c>
      <c r="BW597" t="s">
        <v>0</v>
      </c>
      <c r="BX597" t="s">
        <v>1</v>
      </c>
      <c r="BY597" t="s">
        <v>1</v>
      </c>
      <c r="BZ597" t="s">
        <v>1</v>
      </c>
      <c r="CA597" t="s">
        <v>1</v>
      </c>
      <c r="CB597" t="s">
        <v>1</v>
      </c>
      <c r="CD597" t="e" cm="1">
        <f t="array" aca="1" ref="CD597" ca="1">eConcatenar(A597:CB597,"|")</f>
        <v>#NAME?</v>
      </c>
    </row>
    <row r="598" spans="1:82" x14ac:dyDescent="0.25">
      <c r="A598" t="s">
        <v>693</v>
      </c>
      <c r="B598" t="s">
        <v>1707</v>
      </c>
      <c r="C598">
        <v>3</v>
      </c>
      <c r="D598" t="s">
        <v>2157</v>
      </c>
      <c r="E598" t="s">
        <v>2158</v>
      </c>
      <c r="F598" t="s">
        <v>2159</v>
      </c>
      <c r="G598" t="s">
        <v>2513</v>
      </c>
      <c r="H598" t="s">
        <v>2966</v>
      </c>
      <c r="I598">
        <v>12900</v>
      </c>
      <c r="J598">
        <v>0</v>
      </c>
      <c r="K598">
        <v>200</v>
      </c>
      <c r="L598">
        <v>50</v>
      </c>
      <c r="M598">
        <v>1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 t="s">
        <v>3115</v>
      </c>
      <c r="AC598" t="s">
        <v>3243</v>
      </c>
      <c r="AD598" t="s">
        <v>3788</v>
      </c>
      <c r="AE598" t="s">
        <v>4</v>
      </c>
      <c r="AF598" t="s">
        <v>1</v>
      </c>
      <c r="AG598" t="s">
        <v>1</v>
      </c>
      <c r="AH598" t="s">
        <v>4534</v>
      </c>
      <c r="AI598" t="s">
        <v>2513</v>
      </c>
      <c r="AJ598" t="s">
        <v>1</v>
      </c>
      <c r="AK598">
        <v>9332070448</v>
      </c>
      <c r="AL598" t="s">
        <v>1</v>
      </c>
      <c r="AM598" t="s">
        <v>1</v>
      </c>
      <c r="AN598" t="s">
        <v>1</v>
      </c>
      <c r="AO598" t="s">
        <v>4534</v>
      </c>
      <c r="AP598" t="s">
        <v>1</v>
      </c>
      <c r="AQ598" t="s">
        <v>2</v>
      </c>
      <c r="AR598" t="s">
        <v>1</v>
      </c>
      <c r="AS598" t="s">
        <v>1</v>
      </c>
      <c r="AT598" t="s">
        <v>1</v>
      </c>
      <c r="AU598" t="s">
        <v>1</v>
      </c>
      <c r="AV598" t="s">
        <v>1</v>
      </c>
      <c r="AW598" t="s">
        <v>9</v>
      </c>
      <c r="AX598">
        <f>Tabla1[[#This Row],[precio del paquete]]-Tabla1[[#This Row],[Saldo_Deudor]]</f>
        <v>9900</v>
      </c>
      <c r="AY598">
        <v>3000</v>
      </c>
      <c r="AZ598">
        <v>0</v>
      </c>
      <c r="BA598">
        <v>0</v>
      </c>
      <c r="BB598">
        <v>0</v>
      </c>
      <c r="BC598" t="s">
        <v>2905</v>
      </c>
      <c r="BD598" t="s">
        <v>3024</v>
      </c>
      <c r="BE598" t="s">
        <v>3</v>
      </c>
      <c r="BF598" t="s">
        <v>3</v>
      </c>
      <c r="BG598" t="s">
        <v>3</v>
      </c>
      <c r="BH598" t="s">
        <v>3</v>
      </c>
      <c r="BI598" t="s">
        <v>3</v>
      </c>
      <c r="BJ598" t="s">
        <v>5009</v>
      </c>
      <c r="BK598" t="s">
        <v>3</v>
      </c>
      <c r="BL598" t="s">
        <v>96</v>
      </c>
      <c r="BM598" t="s">
        <v>1</v>
      </c>
      <c r="BN598">
        <v>12900</v>
      </c>
      <c r="BO598" t="s">
        <v>1</v>
      </c>
      <c r="BP598" t="s">
        <v>1</v>
      </c>
      <c r="BQ598" t="s">
        <v>1</v>
      </c>
      <c r="BR598" t="s">
        <v>1</v>
      </c>
      <c r="BS598" t="s">
        <v>1</v>
      </c>
      <c r="BT598" t="s">
        <v>1</v>
      </c>
      <c r="BU598" t="s">
        <v>1</v>
      </c>
      <c r="BV598" t="s">
        <v>1</v>
      </c>
      <c r="BW598" t="s">
        <v>0</v>
      </c>
      <c r="BX598" t="s">
        <v>1</v>
      </c>
      <c r="BY598" t="s">
        <v>1</v>
      </c>
      <c r="BZ598" t="s">
        <v>1</v>
      </c>
      <c r="CA598" t="s">
        <v>1</v>
      </c>
      <c r="CB598" t="s">
        <v>1</v>
      </c>
      <c r="CD598" t="e" cm="1">
        <f t="array" aca="1" ref="CD598" ca="1">eConcatenar(A598:CB598,"|")</f>
        <v>#NAME?</v>
      </c>
    </row>
    <row r="599" spans="1:82" x14ac:dyDescent="0.25">
      <c r="A599" t="s">
        <v>694</v>
      </c>
      <c r="B599" t="s">
        <v>1708</v>
      </c>
      <c r="C599">
        <v>3</v>
      </c>
      <c r="D599" t="s">
        <v>2153</v>
      </c>
      <c r="E599" t="s">
        <v>2158</v>
      </c>
      <c r="F599" t="s">
        <v>2162</v>
      </c>
      <c r="G599" t="s">
        <v>2513</v>
      </c>
      <c r="H599" t="s">
        <v>2966</v>
      </c>
      <c r="I599">
        <v>14800</v>
      </c>
      <c r="J599">
        <v>0</v>
      </c>
      <c r="K599">
        <v>100</v>
      </c>
      <c r="L599">
        <v>50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 t="s">
        <v>3148</v>
      </c>
      <c r="AC599" t="s">
        <v>3472</v>
      </c>
      <c r="AD599" t="s">
        <v>3789</v>
      </c>
      <c r="AE599" t="s">
        <v>4</v>
      </c>
      <c r="AF599" t="s">
        <v>1</v>
      </c>
      <c r="AG599" t="s">
        <v>1</v>
      </c>
      <c r="AH599" t="s">
        <v>4535</v>
      </c>
      <c r="AI599" t="s">
        <v>2513</v>
      </c>
      <c r="AJ599" t="s">
        <v>1</v>
      </c>
      <c r="AK599">
        <v>9331372738</v>
      </c>
      <c r="AL599" t="s">
        <v>1</v>
      </c>
      <c r="AM599" t="s">
        <v>1</v>
      </c>
      <c r="AN599" t="s">
        <v>1</v>
      </c>
      <c r="AO599" t="s">
        <v>4535</v>
      </c>
      <c r="AP599" t="s">
        <v>1</v>
      </c>
      <c r="AQ599" t="s">
        <v>2</v>
      </c>
      <c r="AR599" t="s">
        <v>1</v>
      </c>
      <c r="AS599" t="s">
        <v>1</v>
      </c>
      <c r="AT599" t="s">
        <v>1</v>
      </c>
      <c r="AU599" t="s">
        <v>1</v>
      </c>
      <c r="AV599" t="s">
        <v>1</v>
      </c>
      <c r="AW599" t="s">
        <v>9</v>
      </c>
      <c r="AX599">
        <f>Tabla1[[#This Row],[precio del paquete]]-Tabla1[[#This Row],[Saldo_Deudor]]</f>
        <v>11800</v>
      </c>
      <c r="AY599">
        <v>3000</v>
      </c>
      <c r="AZ599">
        <v>0</v>
      </c>
      <c r="BA599">
        <v>0</v>
      </c>
      <c r="BB599">
        <v>0</v>
      </c>
      <c r="BC599" t="s">
        <v>2945</v>
      </c>
      <c r="BD599" t="s">
        <v>4918</v>
      </c>
      <c r="BE599" t="s">
        <v>3</v>
      </c>
      <c r="BF599" t="s">
        <v>3</v>
      </c>
      <c r="BG599" t="s">
        <v>3</v>
      </c>
      <c r="BH599" t="s">
        <v>3</v>
      </c>
      <c r="BI599" t="s">
        <v>3</v>
      </c>
      <c r="BJ599" t="s">
        <v>5011</v>
      </c>
      <c r="BK599" t="s">
        <v>3</v>
      </c>
      <c r="BL599" t="s">
        <v>96</v>
      </c>
      <c r="BM599" t="s">
        <v>1</v>
      </c>
      <c r="BN599">
        <v>14800</v>
      </c>
      <c r="BO599" t="s">
        <v>1</v>
      </c>
      <c r="BP599" t="s">
        <v>1</v>
      </c>
      <c r="BQ599" t="s">
        <v>1</v>
      </c>
      <c r="BR599" t="s">
        <v>1</v>
      </c>
      <c r="BS599" t="s">
        <v>1</v>
      </c>
      <c r="BT599" t="s">
        <v>1</v>
      </c>
      <c r="BU599" t="s">
        <v>1</v>
      </c>
      <c r="BV599" t="s">
        <v>1</v>
      </c>
      <c r="BW599" t="s">
        <v>0</v>
      </c>
      <c r="BX599" t="s">
        <v>1</v>
      </c>
      <c r="BY599" t="s">
        <v>1</v>
      </c>
      <c r="BZ599" t="s">
        <v>1</v>
      </c>
      <c r="CA599" t="s">
        <v>1</v>
      </c>
      <c r="CB599" t="s">
        <v>1</v>
      </c>
      <c r="CD599" t="e" cm="1">
        <f t="array" aca="1" ref="CD599" ca="1">eConcatenar(A599:CB599,"|")</f>
        <v>#NAME?</v>
      </c>
    </row>
    <row r="600" spans="1:82" x14ac:dyDescent="0.25">
      <c r="A600" t="s">
        <v>695</v>
      </c>
      <c r="B600" t="s">
        <v>1709</v>
      </c>
      <c r="C600">
        <v>3</v>
      </c>
      <c r="D600" t="s">
        <v>2157</v>
      </c>
      <c r="E600" t="s">
        <v>2158</v>
      </c>
      <c r="F600" t="s">
        <v>2162</v>
      </c>
      <c r="G600" t="s">
        <v>2513</v>
      </c>
      <c r="H600" t="s">
        <v>2967</v>
      </c>
      <c r="I600">
        <v>12900</v>
      </c>
      <c r="J600">
        <v>0</v>
      </c>
      <c r="K600">
        <v>200</v>
      </c>
      <c r="L600">
        <v>50</v>
      </c>
      <c r="M600">
        <v>1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 t="s">
        <v>3115</v>
      </c>
      <c r="AC600" t="s">
        <v>3367</v>
      </c>
      <c r="AD600" t="s">
        <v>3790</v>
      </c>
      <c r="AE600" t="s">
        <v>4</v>
      </c>
      <c r="AF600" t="s">
        <v>1</v>
      </c>
      <c r="AG600" t="s">
        <v>1</v>
      </c>
      <c r="AH600" t="s">
        <v>4536</v>
      </c>
      <c r="AI600" t="s">
        <v>2513</v>
      </c>
      <c r="AJ600" t="s">
        <v>1</v>
      </c>
      <c r="AK600">
        <v>9331680174</v>
      </c>
      <c r="AL600" t="s">
        <v>1</v>
      </c>
      <c r="AM600" t="s">
        <v>1</v>
      </c>
      <c r="AN600" t="s">
        <v>1</v>
      </c>
      <c r="AO600" t="s">
        <v>4536</v>
      </c>
      <c r="AP600" t="s">
        <v>1</v>
      </c>
      <c r="AQ600" t="s">
        <v>2</v>
      </c>
      <c r="AR600" t="s">
        <v>1</v>
      </c>
      <c r="AS600" t="s">
        <v>1</v>
      </c>
      <c r="AT600" t="s">
        <v>1</v>
      </c>
      <c r="AU600" t="s">
        <v>1</v>
      </c>
      <c r="AV600" t="s">
        <v>1</v>
      </c>
      <c r="AW600" t="s">
        <v>9</v>
      </c>
      <c r="AX600">
        <f>Tabla1[[#This Row],[precio del paquete]]-Tabla1[[#This Row],[Saldo_Deudor]]</f>
        <v>6300</v>
      </c>
      <c r="AY600">
        <v>6600</v>
      </c>
      <c r="AZ600">
        <v>0</v>
      </c>
      <c r="BA600">
        <v>0</v>
      </c>
      <c r="BB600">
        <v>0</v>
      </c>
      <c r="BC600" t="s">
        <v>2916</v>
      </c>
      <c r="BD600" t="s">
        <v>4896</v>
      </c>
      <c r="BE600" t="s">
        <v>3</v>
      </c>
      <c r="BF600" t="s">
        <v>3</v>
      </c>
      <c r="BG600" t="s">
        <v>3</v>
      </c>
      <c r="BH600" t="s">
        <v>3</v>
      </c>
      <c r="BI600" t="s">
        <v>3</v>
      </c>
      <c r="BJ600" t="s">
        <v>5011</v>
      </c>
      <c r="BK600" t="s">
        <v>3</v>
      </c>
      <c r="BL600" t="s">
        <v>96</v>
      </c>
      <c r="BM600" t="s">
        <v>1</v>
      </c>
      <c r="BN600">
        <v>12900</v>
      </c>
      <c r="BO600" t="s">
        <v>1</v>
      </c>
      <c r="BP600" t="s">
        <v>1</v>
      </c>
      <c r="BQ600" t="s">
        <v>1</v>
      </c>
      <c r="BR600" t="s">
        <v>1</v>
      </c>
      <c r="BS600" t="s">
        <v>1</v>
      </c>
      <c r="BT600" t="s">
        <v>1</v>
      </c>
      <c r="BU600" t="s">
        <v>1</v>
      </c>
      <c r="BV600" t="s">
        <v>1</v>
      </c>
      <c r="BW600" t="s">
        <v>0</v>
      </c>
      <c r="BX600" t="s">
        <v>1</v>
      </c>
      <c r="BY600" t="s">
        <v>1</v>
      </c>
      <c r="BZ600" t="s">
        <v>1</v>
      </c>
      <c r="CA600" t="s">
        <v>1</v>
      </c>
      <c r="CB600" t="s">
        <v>1</v>
      </c>
      <c r="CD600" t="e" cm="1">
        <f t="array" aca="1" ref="CD600" ca="1">eConcatenar(A600:CB600,"|")</f>
        <v>#NAME?</v>
      </c>
    </row>
    <row r="601" spans="1:82" x14ac:dyDescent="0.25">
      <c r="A601" t="s">
        <v>696</v>
      </c>
      <c r="B601" t="s">
        <v>1710</v>
      </c>
      <c r="C601">
        <v>3</v>
      </c>
      <c r="D601" t="s">
        <v>2153</v>
      </c>
      <c r="E601" t="s">
        <v>2158</v>
      </c>
      <c r="F601" t="s">
        <v>2162</v>
      </c>
      <c r="G601" t="s">
        <v>2513</v>
      </c>
      <c r="H601" t="s">
        <v>2905</v>
      </c>
      <c r="I601">
        <v>14800</v>
      </c>
      <c r="J601">
        <v>0</v>
      </c>
      <c r="K601">
        <v>50</v>
      </c>
      <c r="L601">
        <v>50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 t="s">
        <v>3132</v>
      </c>
      <c r="AC601" t="s">
        <v>3155</v>
      </c>
      <c r="AD601" t="s">
        <v>3791</v>
      </c>
      <c r="AE601" t="s">
        <v>4</v>
      </c>
      <c r="AF601" t="s">
        <v>1</v>
      </c>
      <c r="AG601" t="s">
        <v>1</v>
      </c>
      <c r="AH601" t="s">
        <v>2206</v>
      </c>
      <c r="AI601" t="s">
        <v>2513</v>
      </c>
      <c r="AJ601" t="s">
        <v>1</v>
      </c>
      <c r="AK601">
        <v>9331215460</v>
      </c>
      <c r="AL601" t="s">
        <v>1</v>
      </c>
      <c r="AM601" t="s">
        <v>1</v>
      </c>
      <c r="AN601" t="s">
        <v>1</v>
      </c>
      <c r="AO601" t="s">
        <v>2206</v>
      </c>
      <c r="AP601" t="s">
        <v>1</v>
      </c>
      <c r="AQ601" t="s">
        <v>2</v>
      </c>
      <c r="AR601" t="s">
        <v>1</v>
      </c>
      <c r="AS601" t="s">
        <v>1</v>
      </c>
      <c r="AT601" t="s">
        <v>1</v>
      </c>
      <c r="AU601" t="s">
        <v>1</v>
      </c>
      <c r="AV601" t="s">
        <v>1</v>
      </c>
      <c r="AW601" t="s">
        <v>9</v>
      </c>
      <c r="AX601">
        <f>Tabla1[[#This Row],[precio del paquete]]-Tabla1[[#This Row],[Saldo_Deudor]]</f>
        <v>50</v>
      </c>
      <c r="AY601">
        <v>14750</v>
      </c>
      <c r="AZ601">
        <v>0</v>
      </c>
      <c r="BA601">
        <v>0</v>
      </c>
      <c r="BB601">
        <v>0</v>
      </c>
      <c r="BC601" t="s">
        <v>3024</v>
      </c>
      <c r="BD601" t="s">
        <v>4830</v>
      </c>
      <c r="BE601" t="s">
        <v>3</v>
      </c>
      <c r="BF601" t="s">
        <v>3</v>
      </c>
      <c r="BG601" t="s">
        <v>3</v>
      </c>
      <c r="BH601" t="s">
        <v>3</v>
      </c>
      <c r="BI601" t="s">
        <v>3</v>
      </c>
      <c r="BJ601" t="s">
        <v>5011</v>
      </c>
      <c r="BK601" t="s">
        <v>3</v>
      </c>
      <c r="BL601" t="s">
        <v>96</v>
      </c>
      <c r="BM601" t="s">
        <v>1</v>
      </c>
      <c r="BN601">
        <v>14800</v>
      </c>
      <c r="BO601" t="s">
        <v>1</v>
      </c>
      <c r="BP601" t="s">
        <v>1</v>
      </c>
      <c r="BQ601" t="s">
        <v>1</v>
      </c>
      <c r="BR601" t="s">
        <v>1</v>
      </c>
      <c r="BS601" t="s">
        <v>1</v>
      </c>
      <c r="BT601" t="s">
        <v>1</v>
      </c>
      <c r="BU601" t="s">
        <v>1</v>
      </c>
      <c r="BV601" t="s">
        <v>1</v>
      </c>
      <c r="BW601" t="s">
        <v>0</v>
      </c>
      <c r="BX601" t="s">
        <v>1</v>
      </c>
      <c r="BY601" t="s">
        <v>1</v>
      </c>
      <c r="BZ601" t="s">
        <v>1</v>
      </c>
      <c r="CA601" t="s">
        <v>1</v>
      </c>
      <c r="CB601" t="s">
        <v>1</v>
      </c>
      <c r="CD601" t="e" cm="1">
        <f t="array" aca="1" ref="CD601" ca="1">eConcatenar(A601:CB601,"|")</f>
        <v>#NAME?</v>
      </c>
    </row>
    <row r="602" spans="1:82" x14ac:dyDescent="0.25">
      <c r="A602" t="s">
        <v>697</v>
      </c>
      <c r="B602" t="s">
        <v>1711</v>
      </c>
      <c r="C602">
        <v>3</v>
      </c>
      <c r="D602" t="s">
        <v>2153</v>
      </c>
      <c r="E602" t="s">
        <v>2158</v>
      </c>
      <c r="F602" t="s">
        <v>2162</v>
      </c>
      <c r="G602" t="s">
        <v>2513</v>
      </c>
      <c r="H602" t="s">
        <v>2905</v>
      </c>
      <c r="I602">
        <v>14800</v>
      </c>
      <c r="J602">
        <v>0</v>
      </c>
      <c r="K602">
        <v>300</v>
      </c>
      <c r="L602">
        <v>50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 t="s">
        <v>3117</v>
      </c>
      <c r="AC602" t="s">
        <v>3138</v>
      </c>
      <c r="AD602" t="s">
        <v>3792</v>
      </c>
      <c r="AE602" t="s">
        <v>4</v>
      </c>
      <c r="AF602" t="s">
        <v>1</v>
      </c>
      <c r="AG602" t="s">
        <v>1</v>
      </c>
      <c r="AH602" t="s">
        <v>2206</v>
      </c>
      <c r="AI602" t="s">
        <v>2513</v>
      </c>
      <c r="AJ602" t="s">
        <v>1</v>
      </c>
      <c r="AK602">
        <v>9331061684</v>
      </c>
      <c r="AL602" t="s">
        <v>1</v>
      </c>
      <c r="AM602" t="s">
        <v>1</v>
      </c>
      <c r="AN602" t="s">
        <v>1</v>
      </c>
      <c r="AO602" t="s">
        <v>2206</v>
      </c>
      <c r="AP602" t="s">
        <v>1</v>
      </c>
      <c r="AQ602" t="s">
        <v>2</v>
      </c>
      <c r="AR602" t="s">
        <v>1</v>
      </c>
      <c r="AS602" t="s">
        <v>1</v>
      </c>
      <c r="AT602" t="s">
        <v>1</v>
      </c>
      <c r="AU602" t="s">
        <v>1</v>
      </c>
      <c r="AV602" t="s">
        <v>1</v>
      </c>
      <c r="AW602" t="s">
        <v>9</v>
      </c>
      <c r="AX602">
        <f>Tabla1[[#This Row],[precio del paquete]]-Tabla1[[#This Row],[Saldo_Deudor]]</f>
        <v>450</v>
      </c>
      <c r="AY602">
        <v>14350</v>
      </c>
      <c r="AZ602">
        <v>0</v>
      </c>
      <c r="BA602">
        <v>0</v>
      </c>
      <c r="BB602">
        <v>0</v>
      </c>
      <c r="BC602" t="s">
        <v>3024</v>
      </c>
      <c r="BD602" t="s">
        <v>4830</v>
      </c>
      <c r="BE602" t="s">
        <v>3</v>
      </c>
      <c r="BF602" t="s">
        <v>3</v>
      </c>
      <c r="BG602" t="s">
        <v>3</v>
      </c>
      <c r="BH602" t="s">
        <v>3</v>
      </c>
      <c r="BI602" t="s">
        <v>3</v>
      </c>
      <c r="BJ602" t="s">
        <v>5000</v>
      </c>
      <c r="BK602" t="s">
        <v>3</v>
      </c>
      <c r="BL602" t="s">
        <v>96</v>
      </c>
      <c r="BM602" t="s">
        <v>1</v>
      </c>
      <c r="BN602">
        <v>14800</v>
      </c>
      <c r="BO602" t="s">
        <v>1</v>
      </c>
      <c r="BP602" t="s">
        <v>1</v>
      </c>
      <c r="BQ602" t="s">
        <v>1</v>
      </c>
      <c r="BR602" t="s">
        <v>1</v>
      </c>
      <c r="BS602" t="s">
        <v>1</v>
      </c>
      <c r="BT602" t="s">
        <v>1</v>
      </c>
      <c r="BU602" t="s">
        <v>1</v>
      </c>
      <c r="BV602" t="s">
        <v>1</v>
      </c>
      <c r="BW602" t="s">
        <v>0</v>
      </c>
      <c r="BX602" t="s">
        <v>1</v>
      </c>
      <c r="BY602" t="s">
        <v>1</v>
      </c>
      <c r="BZ602" t="s">
        <v>1</v>
      </c>
      <c r="CA602" t="s">
        <v>1</v>
      </c>
      <c r="CB602" t="s">
        <v>1</v>
      </c>
      <c r="CD602" t="e" cm="1">
        <f t="array" aca="1" ref="CD602" ca="1">eConcatenar(A602:CB602,"|")</f>
        <v>#NAME?</v>
      </c>
    </row>
    <row r="603" spans="1:82" x14ac:dyDescent="0.25">
      <c r="A603" t="s">
        <v>698</v>
      </c>
      <c r="B603" t="s">
        <v>1712</v>
      </c>
      <c r="C603">
        <v>3</v>
      </c>
      <c r="D603" t="s">
        <v>2157</v>
      </c>
      <c r="E603" t="s">
        <v>2158</v>
      </c>
      <c r="F603" t="s">
        <v>2159</v>
      </c>
      <c r="G603" t="s">
        <v>2513</v>
      </c>
      <c r="H603" t="s">
        <v>2968</v>
      </c>
      <c r="I603">
        <v>12900</v>
      </c>
      <c r="J603">
        <v>0</v>
      </c>
      <c r="K603">
        <v>200</v>
      </c>
      <c r="L603">
        <v>50</v>
      </c>
      <c r="M603">
        <v>2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 t="s">
        <v>3178</v>
      </c>
      <c r="AC603" t="s">
        <v>3214</v>
      </c>
      <c r="AD603" t="s">
        <v>3793</v>
      </c>
      <c r="AE603" t="s">
        <v>4</v>
      </c>
      <c r="AF603" t="s">
        <v>1</v>
      </c>
      <c r="AG603" t="s">
        <v>1</v>
      </c>
      <c r="AH603" t="s">
        <v>4537</v>
      </c>
      <c r="AI603" t="s">
        <v>2513</v>
      </c>
      <c r="AJ603" t="s">
        <v>1</v>
      </c>
      <c r="AK603">
        <v>9331013435</v>
      </c>
      <c r="AL603" t="s">
        <v>1</v>
      </c>
      <c r="AM603" t="s">
        <v>1</v>
      </c>
      <c r="AN603" t="s">
        <v>1</v>
      </c>
      <c r="AO603" t="s">
        <v>4537</v>
      </c>
      <c r="AP603" t="s">
        <v>1</v>
      </c>
      <c r="AQ603" t="s">
        <v>2</v>
      </c>
      <c r="AR603" t="s">
        <v>1</v>
      </c>
      <c r="AS603" t="s">
        <v>1</v>
      </c>
      <c r="AT603" t="s">
        <v>1</v>
      </c>
      <c r="AU603" t="s">
        <v>1</v>
      </c>
      <c r="AV603" t="s">
        <v>1</v>
      </c>
      <c r="AW603" t="s">
        <v>9</v>
      </c>
      <c r="AX603">
        <f>Tabla1[[#This Row],[precio del paquete]]-Tabla1[[#This Row],[Saldo_Deudor]]</f>
        <v>11400</v>
      </c>
      <c r="AY603">
        <v>1500</v>
      </c>
      <c r="AZ603">
        <v>0</v>
      </c>
      <c r="BA603">
        <v>0</v>
      </c>
      <c r="BB603">
        <v>0</v>
      </c>
      <c r="BC603" t="s">
        <v>4841</v>
      </c>
      <c r="BD603" t="s">
        <v>4926</v>
      </c>
      <c r="BE603" t="s">
        <v>3</v>
      </c>
      <c r="BF603" t="s">
        <v>3</v>
      </c>
      <c r="BG603" t="s">
        <v>3</v>
      </c>
      <c r="BH603" t="s">
        <v>3</v>
      </c>
      <c r="BI603" t="s">
        <v>3</v>
      </c>
      <c r="BJ603" t="s">
        <v>5000</v>
      </c>
      <c r="BK603" t="s">
        <v>3</v>
      </c>
      <c r="BL603" t="s">
        <v>96</v>
      </c>
      <c r="BM603" t="s">
        <v>1</v>
      </c>
      <c r="BN603">
        <v>12900</v>
      </c>
      <c r="BO603" t="s">
        <v>1</v>
      </c>
      <c r="BP603" t="s">
        <v>1</v>
      </c>
      <c r="BQ603" t="s">
        <v>1</v>
      </c>
      <c r="BR603" t="s">
        <v>1</v>
      </c>
      <c r="BS603" t="s">
        <v>1</v>
      </c>
      <c r="BT603" t="s">
        <v>1</v>
      </c>
      <c r="BU603" t="s">
        <v>1</v>
      </c>
      <c r="BV603" t="s">
        <v>1</v>
      </c>
      <c r="BW603" t="s">
        <v>0</v>
      </c>
      <c r="BX603" t="s">
        <v>1</v>
      </c>
      <c r="BY603" t="s">
        <v>1</v>
      </c>
      <c r="BZ603" t="s">
        <v>1</v>
      </c>
      <c r="CA603" t="s">
        <v>1</v>
      </c>
      <c r="CB603" t="s">
        <v>1</v>
      </c>
      <c r="CD603" t="e" cm="1">
        <f t="array" aca="1" ref="CD603" ca="1">eConcatenar(A603:CB603,"|")</f>
        <v>#NAME?</v>
      </c>
    </row>
    <row r="604" spans="1:82" x14ac:dyDescent="0.25">
      <c r="A604" t="s">
        <v>699</v>
      </c>
      <c r="B604" t="s">
        <v>1713</v>
      </c>
      <c r="C604">
        <v>3</v>
      </c>
      <c r="D604" t="s">
        <v>2153</v>
      </c>
      <c r="E604" t="s">
        <v>2158</v>
      </c>
      <c r="F604" t="s">
        <v>2162</v>
      </c>
      <c r="G604" t="s">
        <v>2514</v>
      </c>
      <c r="H604" t="s">
        <v>2928</v>
      </c>
      <c r="I604">
        <v>14800</v>
      </c>
      <c r="J604">
        <v>0</v>
      </c>
      <c r="K604">
        <v>100</v>
      </c>
      <c r="L604">
        <v>50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 t="s">
        <v>3157</v>
      </c>
      <c r="AC604" t="s">
        <v>3132</v>
      </c>
      <c r="AD604" t="s">
        <v>3794</v>
      </c>
      <c r="AE604" t="s">
        <v>4</v>
      </c>
      <c r="AF604" t="s">
        <v>1</v>
      </c>
      <c r="AG604" t="s">
        <v>1</v>
      </c>
      <c r="AH604" t="s">
        <v>4538</v>
      </c>
      <c r="AI604" t="s">
        <v>2514</v>
      </c>
      <c r="AJ604" t="s">
        <v>1</v>
      </c>
      <c r="AK604">
        <v>9331353741</v>
      </c>
      <c r="AL604" t="s">
        <v>1</v>
      </c>
      <c r="AM604" t="s">
        <v>1</v>
      </c>
      <c r="AN604" t="s">
        <v>1</v>
      </c>
      <c r="AO604" t="s">
        <v>4538</v>
      </c>
      <c r="AP604" t="s">
        <v>1</v>
      </c>
      <c r="AQ604" t="s">
        <v>2</v>
      </c>
      <c r="AR604" t="s">
        <v>1</v>
      </c>
      <c r="AS604" t="s">
        <v>1</v>
      </c>
      <c r="AT604" t="s">
        <v>1</v>
      </c>
      <c r="AU604" t="s">
        <v>1</v>
      </c>
      <c r="AV604" t="s">
        <v>1</v>
      </c>
      <c r="AW604" t="s">
        <v>9</v>
      </c>
      <c r="AX604">
        <f>Tabla1[[#This Row],[precio del paquete]]-Tabla1[[#This Row],[Saldo_Deudor]]</f>
        <v>200</v>
      </c>
      <c r="AY604">
        <v>14600</v>
      </c>
      <c r="AZ604">
        <v>0</v>
      </c>
      <c r="BA604">
        <v>0</v>
      </c>
      <c r="BB604">
        <v>0</v>
      </c>
      <c r="BC604" t="s">
        <v>4829</v>
      </c>
      <c r="BD604" t="s">
        <v>4900</v>
      </c>
      <c r="BE604" t="s">
        <v>3</v>
      </c>
      <c r="BF604" t="s">
        <v>3</v>
      </c>
      <c r="BG604" t="s">
        <v>3</v>
      </c>
      <c r="BH604" t="s">
        <v>3</v>
      </c>
      <c r="BI604" t="s">
        <v>3</v>
      </c>
      <c r="BJ604" t="s">
        <v>5009</v>
      </c>
      <c r="BK604" t="s">
        <v>3</v>
      </c>
      <c r="BL604" t="s">
        <v>96</v>
      </c>
      <c r="BM604" t="s">
        <v>1</v>
      </c>
      <c r="BN604">
        <v>14800</v>
      </c>
      <c r="BO604" t="s">
        <v>1</v>
      </c>
      <c r="BP604" t="s">
        <v>1</v>
      </c>
      <c r="BQ604" t="s">
        <v>1</v>
      </c>
      <c r="BR604" t="s">
        <v>1</v>
      </c>
      <c r="BS604" t="s">
        <v>1</v>
      </c>
      <c r="BT604" t="s">
        <v>1</v>
      </c>
      <c r="BU604" t="s">
        <v>1</v>
      </c>
      <c r="BV604" t="s">
        <v>1</v>
      </c>
      <c r="BW604" t="s">
        <v>0</v>
      </c>
      <c r="BX604" t="s">
        <v>1</v>
      </c>
      <c r="BY604" t="s">
        <v>1</v>
      </c>
      <c r="BZ604" t="s">
        <v>1</v>
      </c>
      <c r="CA604" t="s">
        <v>1</v>
      </c>
      <c r="CB604" t="s">
        <v>1</v>
      </c>
      <c r="CD604" t="e" cm="1">
        <f t="array" aca="1" ref="CD604" ca="1">eConcatenar(A604:CB604,"|")</f>
        <v>#NAME?</v>
      </c>
    </row>
    <row r="605" spans="1:82" x14ac:dyDescent="0.25">
      <c r="A605" t="s">
        <v>700</v>
      </c>
      <c r="B605" t="s">
        <v>1714</v>
      </c>
      <c r="C605">
        <v>3</v>
      </c>
      <c r="D605" t="s">
        <v>2153</v>
      </c>
      <c r="E605" t="s">
        <v>2158</v>
      </c>
      <c r="F605" t="s">
        <v>2159</v>
      </c>
      <c r="G605" t="s">
        <v>2514</v>
      </c>
      <c r="H605" t="s">
        <v>2842</v>
      </c>
      <c r="I605">
        <v>14800</v>
      </c>
      <c r="J605">
        <v>0</v>
      </c>
      <c r="K605">
        <v>50</v>
      </c>
      <c r="L605">
        <v>50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 t="s">
        <v>5</v>
      </c>
      <c r="AC605" t="s">
        <v>3795</v>
      </c>
      <c r="AD605" t="s">
        <v>3796</v>
      </c>
      <c r="AE605" t="s">
        <v>4</v>
      </c>
      <c r="AF605" t="s">
        <v>1</v>
      </c>
      <c r="AG605" t="s">
        <v>1</v>
      </c>
      <c r="AH605" t="s">
        <v>4539</v>
      </c>
      <c r="AI605" t="s">
        <v>2514</v>
      </c>
      <c r="AJ605" t="s">
        <v>1</v>
      </c>
      <c r="AK605">
        <v>9331521817</v>
      </c>
      <c r="AL605" t="s">
        <v>1</v>
      </c>
      <c r="AM605" t="s">
        <v>1</v>
      </c>
      <c r="AN605" t="s">
        <v>1</v>
      </c>
      <c r="AO605" t="s">
        <v>4539</v>
      </c>
      <c r="AP605" t="s">
        <v>1</v>
      </c>
      <c r="AQ605" t="s">
        <v>2</v>
      </c>
      <c r="AR605" t="s">
        <v>1</v>
      </c>
      <c r="AS605" t="s">
        <v>1</v>
      </c>
      <c r="AT605" t="s">
        <v>1</v>
      </c>
      <c r="AU605" t="s">
        <v>1</v>
      </c>
      <c r="AV605" t="s">
        <v>1</v>
      </c>
      <c r="AW605" t="s">
        <v>9</v>
      </c>
      <c r="AX605">
        <f>Tabla1[[#This Row],[precio del paquete]]-Tabla1[[#This Row],[Saldo_Deudor]]</f>
        <v>950</v>
      </c>
      <c r="AY605">
        <v>13850</v>
      </c>
      <c r="AZ605">
        <v>0</v>
      </c>
      <c r="BA605">
        <v>0</v>
      </c>
      <c r="BB605">
        <v>0</v>
      </c>
      <c r="BC605" t="s">
        <v>2874</v>
      </c>
      <c r="BD605" t="s">
        <v>4932</v>
      </c>
      <c r="BE605" t="s">
        <v>3</v>
      </c>
      <c r="BF605" t="s">
        <v>3</v>
      </c>
      <c r="BG605" t="s">
        <v>3</v>
      </c>
      <c r="BH605" t="s">
        <v>3</v>
      </c>
      <c r="BI605" t="s">
        <v>3</v>
      </c>
      <c r="BJ605" t="s">
        <v>5000</v>
      </c>
      <c r="BK605" t="s">
        <v>3</v>
      </c>
      <c r="BL605" t="s">
        <v>96</v>
      </c>
      <c r="BM605" t="s">
        <v>1</v>
      </c>
      <c r="BN605">
        <v>14800</v>
      </c>
      <c r="BO605" t="s">
        <v>1</v>
      </c>
      <c r="BP605" t="s">
        <v>1</v>
      </c>
      <c r="BQ605" t="s">
        <v>1</v>
      </c>
      <c r="BR605" t="s">
        <v>1</v>
      </c>
      <c r="BS605" t="s">
        <v>1</v>
      </c>
      <c r="BT605" t="s">
        <v>1</v>
      </c>
      <c r="BU605" t="s">
        <v>1</v>
      </c>
      <c r="BV605" t="s">
        <v>1</v>
      </c>
      <c r="BW605" t="s">
        <v>0</v>
      </c>
      <c r="BX605" t="s">
        <v>1</v>
      </c>
      <c r="BY605" t="s">
        <v>1</v>
      </c>
      <c r="BZ605" t="s">
        <v>1</v>
      </c>
      <c r="CA605" t="s">
        <v>1</v>
      </c>
      <c r="CB605" t="s">
        <v>1</v>
      </c>
      <c r="CD605" t="e" cm="1">
        <f t="array" aca="1" ref="CD605" ca="1">eConcatenar(A605:CB605,"|")</f>
        <v>#NAME?</v>
      </c>
    </row>
    <row r="606" spans="1:82" x14ac:dyDescent="0.25">
      <c r="A606" t="s">
        <v>701</v>
      </c>
      <c r="B606" t="s">
        <v>1715</v>
      </c>
      <c r="C606">
        <v>3</v>
      </c>
      <c r="D606" t="s">
        <v>2157</v>
      </c>
      <c r="E606" t="s">
        <v>2158</v>
      </c>
      <c r="F606" t="s">
        <v>2159</v>
      </c>
      <c r="G606" t="s">
        <v>2515</v>
      </c>
      <c r="H606" t="s">
        <v>2969</v>
      </c>
      <c r="I606">
        <v>12900</v>
      </c>
      <c r="J606">
        <v>0</v>
      </c>
      <c r="K606">
        <v>200</v>
      </c>
      <c r="L606">
        <v>50</v>
      </c>
      <c r="M606">
        <v>1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 t="s">
        <v>3115</v>
      </c>
      <c r="AC606" t="s">
        <v>3115</v>
      </c>
      <c r="AD606" t="s">
        <v>3422</v>
      </c>
      <c r="AE606" t="s">
        <v>4</v>
      </c>
      <c r="AF606" t="s">
        <v>1</v>
      </c>
      <c r="AG606" t="s">
        <v>1</v>
      </c>
      <c r="AH606" t="s">
        <v>4540</v>
      </c>
      <c r="AI606" t="s">
        <v>2515</v>
      </c>
      <c r="AJ606" t="s">
        <v>1</v>
      </c>
      <c r="AK606">
        <v>9331325498</v>
      </c>
      <c r="AL606" t="s">
        <v>1</v>
      </c>
      <c r="AM606" t="s">
        <v>1</v>
      </c>
      <c r="AN606" t="s">
        <v>1</v>
      </c>
      <c r="AO606" t="s">
        <v>4540</v>
      </c>
      <c r="AP606" t="s">
        <v>1</v>
      </c>
      <c r="AQ606" t="s">
        <v>2</v>
      </c>
      <c r="AR606" t="s">
        <v>1</v>
      </c>
      <c r="AS606" t="s">
        <v>1</v>
      </c>
      <c r="AT606" t="s">
        <v>1</v>
      </c>
      <c r="AU606" t="s">
        <v>1</v>
      </c>
      <c r="AV606" t="s">
        <v>1</v>
      </c>
      <c r="AW606" t="s">
        <v>9</v>
      </c>
      <c r="AX606">
        <f>Tabla1[[#This Row],[precio del paquete]]-Tabla1[[#This Row],[Saldo_Deudor]]</f>
        <v>10400</v>
      </c>
      <c r="AY606">
        <v>2500</v>
      </c>
      <c r="AZ606">
        <v>0</v>
      </c>
      <c r="BA606">
        <v>0</v>
      </c>
      <c r="BB606">
        <v>0</v>
      </c>
      <c r="BC606" t="s">
        <v>2905</v>
      </c>
      <c r="BD606" t="s">
        <v>3024</v>
      </c>
      <c r="BE606" t="s">
        <v>3</v>
      </c>
      <c r="BF606" t="s">
        <v>3</v>
      </c>
      <c r="BG606" t="s">
        <v>3</v>
      </c>
      <c r="BH606" t="s">
        <v>3</v>
      </c>
      <c r="BI606" t="s">
        <v>3</v>
      </c>
      <c r="BJ606" t="s">
        <v>5009</v>
      </c>
      <c r="BK606" t="s">
        <v>3</v>
      </c>
      <c r="BL606" t="s">
        <v>96</v>
      </c>
      <c r="BM606" t="s">
        <v>1</v>
      </c>
      <c r="BN606">
        <v>12900</v>
      </c>
      <c r="BO606" t="s">
        <v>1</v>
      </c>
      <c r="BP606" t="s">
        <v>1</v>
      </c>
      <c r="BQ606" t="s">
        <v>1</v>
      </c>
      <c r="BR606" t="s">
        <v>1</v>
      </c>
      <c r="BS606" t="s">
        <v>1</v>
      </c>
      <c r="BT606" t="s">
        <v>1</v>
      </c>
      <c r="BU606" t="s">
        <v>1</v>
      </c>
      <c r="BV606" t="s">
        <v>1</v>
      </c>
      <c r="BW606" t="s">
        <v>0</v>
      </c>
      <c r="BX606" t="s">
        <v>1</v>
      </c>
      <c r="BY606" t="s">
        <v>1</v>
      </c>
      <c r="BZ606" t="s">
        <v>1</v>
      </c>
      <c r="CA606" t="s">
        <v>1</v>
      </c>
      <c r="CB606" t="s">
        <v>1</v>
      </c>
      <c r="CD606" t="e" cm="1">
        <f t="array" aca="1" ref="CD606" ca="1">eConcatenar(A606:CB606,"|")</f>
        <v>#NAME?</v>
      </c>
    </row>
    <row r="607" spans="1:82" x14ac:dyDescent="0.25">
      <c r="A607" t="s">
        <v>702</v>
      </c>
      <c r="B607" t="s">
        <v>1716</v>
      </c>
      <c r="C607">
        <v>3</v>
      </c>
      <c r="D607" t="s">
        <v>2153</v>
      </c>
      <c r="E607" t="s">
        <v>2158</v>
      </c>
      <c r="F607" t="s">
        <v>2162</v>
      </c>
      <c r="G607" t="s">
        <v>2516</v>
      </c>
      <c r="H607" t="s">
        <v>2970</v>
      </c>
      <c r="I607">
        <v>14800</v>
      </c>
      <c r="J607">
        <v>0</v>
      </c>
      <c r="K607">
        <v>200</v>
      </c>
      <c r="L607">
        <v>50</v>
      </c>
      <c r="M607">
        <v>1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 t="s">
        <v>3331</v>
      </c>
      <c r="AC607" t="s">
        <v>3137</v>
      </c>
      <c r="AD607" t="s">
        <v>3797</v>
      </c>
      <c r="AE607" t="s">
        <v>4</v>
      </c>
      <c r="AF607" t="s">
        <v>1</v>
      </c>
      <c r="AG607" t="s">
        <v>1</v>
      </c>
      <c r="AH607" t="s">
        <v>4541</v>
      </c>
      <c r="AI607" t="s">
        <v>2516</v>
      </c>
      <c r="AJ607" t="s">
        <v>1</v>
      </c>
      <c r="AK607" t="s">
        <v>1</v>
      </c>
      <c r="AL607" t="s">
        <v>1</v>
      </c>
      <c r="AM607" t="s">
        <v>1</v>
      </c>
      <c r="AN607" t="s">
        <v>1</v>
      </c>
      <c r="AO607" t="s">
        <v>4541</v>
      </c>
      <c r="AP607" t="s">
        <v>1</v>
      </c>
      <c r="AQ607" t="s">
        <v>2</v>
      </c>
      <c r="AR607" t="s">
        <v>1</v>
      </c>
      <c r="AS607" t="s">
        <v>1</v>
      </c>
      <c r="AT607" t="s">
        <v>1</v>
      </c>
      <c r="AU607" t="s">
        <v>1</v>
      </c>
      <c r="AV607" t="s">
        <v>1</v>
      </c>
      <c r="AW607" t="s">
        <v>9</v>
      </c>
      <c r="AX607">
        <f>Tabla1[[#This Row],[precio del paquete]]-Tabla1[[#This Row],[Saldo_Deudor]]</f>
        <v>6850</v>
      </c>
      <c r="AY607">
        <v>7950</v>
      </c>
      <c r="AZ607">
        <v>0</v>
      </c>
      <c r="BA607">
        <v>0</v>
      </c>
      <c r="BB607">
        <v>0</v>
      </c>
      <c r="BC607" t="s">
        <v>3098</v>
      </c>
      <c r="BD607" t="s">
        <v>4829</v>
      </c>
      <c r="BE607" t="s">
        <v>3</v>
      </c>
      <c r="BF607" t="s">
        <v>3</v>
      </c>
      <c r="BG607" t="s">
        <v>3</v>
      </c>
      <c r="BH607" t="s">
        <v>3</v>
      </c>
      <c r="BI607" t="s">
        <v>3</v>
      </c>
      <c r="BJ607" t="s">
        <v>5011</v>
      </c>
      <c r="BK607" t="s">
        <v>3</v>
      </c>
      <c r="BL607" t="s">
        <v>96</v>
      </c>
      <c r="BM607" t="s">
        <v>1</v>
      </c>
      <c r="BN607">
        <v>14800</v>
      </c>
      <c r="BO607" t="s">
        <v>1</v>
      </c>
      <c r="BP607" t="s">
        <v>1</v>
      </c>
      <c r="BQ607" t="s">
        <v>1</v>
      </c>
      <c r="BR607" t="s">
        <v>1</v>
      </c>
      <c r="BS607" t="s">
        <v>1</v>
      </c>
      <c r="BT607" t="s">
        <v>1</v>
      </c>
      <c r="BU607" t="s">
        <v>1</v>
      </c>
      <c r="BV607" t="s">
        <v>1</v>
      </c>
      <c r="BW607" t="s">
        <v>0</v>
      </c>
      <c r="BX607" t="s">
        <v>1</v>
      </c>
      <c r="BY607" t="s">
        <v>1</v>
      </c>
      <c r="BZ607" t="s">
        <v>1</v>
      </c>
      <c r="CA607" t="s">
        <v>1</v>
      </c>
      <c r="CB607" t="s">
        <v>1</v>
      </c>
      <c r="CD607" t="e" cm="1">
        <f t="array" aca="1" ref="CD607" ca="1">eConcatenar(A607:CB607,"|")</f>
        <v>#NAME?</v>
      </c>
    </row>
    <row r="608" spans="1:82" x14ac:dyDescent="0.25">
      <c r="A608" t="s">
        <v>703</v>
      </c>
      <c r="B608" t="s">
        <v>1717</v>
      </c>
      <c r="C608">
        <v>3</v>
      </c>
      <c r="D608" t="s">
        <v>2153</v>
      </c>
      <c r="E608" t="s">
        <v>2158</v>
      </c>
      <c r="F608" t="s">
        <v>2162</v>
      </c>
      <c r="G608" t="s">
        <v>2516</v>
      </c>
      <c r="H608" t="s">
        <v>2879</v>
      </c>
      <c r="I608">
        <v>14800</v>
      </c>
      <c r="J608">
        <v>0</v>
      </c>
      <c r="K608">
        <v>100</v>
      </c>
      <c r="L608">
        <v>50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 t="s">
        <v>3132</v>
      </c>
      <c r="AC608" t="s">
        <v>3132</v>
      </c>
      <c r="AD608" t="s">
        <v>3237</v>
      </c>
      <c r="AE608" t="s">
        <v>4</v>
      </c>
      <c r="AF608" t="s">
        <v>1</v>
      </c>
      <c r="AG608" t="s">
        <v>1</v>
      </c>
      <c r="AH608" t="s">
        <v>4542</v>
      </c>
      <c r="AI608" t="s">
        <v>2516</v>
      </c>
      <c r="AJ608" t="s">
        <v>1</v>
      </c>
      <c r="AK608" t="s">
        <v>1</v>
      </c>
      <c r="AL608" t="s">
        <v>1</v>
      </c>
      <c r="AM608" t="s">
        <v>1</v>
      </c>
      <c r="AN608" t="s">
        <v>1</v>
      </c>
      <c r="AO608" t="s">
        <v>4542</v>
      </c>
      <c r="AP608" t="s">
        <v>1</v>
      </c>
      <c r="AQ608" t="s">
        <v>2</v>
      </c>
      <c r="AR608" t="s">
        <v>1</v>
      </c>
      <c r="AS608" t="s">
        <v>1</v>
      </c>
      <c r="AT608" t="s">
        <v>1</v>
      </c>
      <c r="AU608" t="s">
        <v>1</v>
      </c>
      <c r="AV608" t="s">
        <v>1</v>
      </c>
      <c r="AW608" t="s">
        <v>9</v>
      </c>
      <c r="AX608">
        <f>Tabla1[[#This Row],[precio del paquete]]-Tabla1[[#This Row],[Saldo_Deudor]]</f>
        <v>7100</v>
      </c>
      <c r="AY608">
        <v>7700</v>
      </c>
      <c r="AZ608">
        <v>0</v>
      </c>
      <c r="BA608">
        <v>0</v>
      </c>
      <c r="BB608">
        <v>0</v>
      </c>
      <c r="BC608" t="s">
        <v>3098</v>
      </c>
      <c r="BD608" t="s">
        <v>4829</v>
      </c>
      <c r="BE608" t="s">
        <v>3</v>
      </c>
      <c r="BF608" t="s">
        <v>3</v>
      </c>
      <c r="BG608" t="s">
        <v>3</v>
      </c>
      <c r="BH608" t="s">
        <v>3</v>
      </c>
      <c r="BI608" t="s">
        <v>3</v>
      </c>
      <c r="BJ608" t="s">
        <v>5006</v>
      </c>
      <c r="BK608" t="s">
        <v>3</v>
      </c>
      <c r="BL608" t="s">
        <v>96</v>
      </c>
      <c r="BM608" t="s">
        <v>1</v>
      </c>
      <c r="BN608">
        <v>14800</v>
      </c>
      <c r="BO608" t="s">
        <v>1</v>
      </c>
      <c r="BP608" t="s">
        <v>1</v>
      </c>
      <c r="BQ608" t="s">
        <v>1</v>
      </c>
      <c r="BR608" t="s">
        <v>1</v>
      </c>
      <c r="BS608" t="s">
        <v>1</v>
      </c>
      <c r="BT608" t="s">
        <v>1</v>
      </c>
      <c r="BU608" t="s">
        <v>1</v>
      </c>
      <c r="BV608" t="s">
        <v>1</v>
      </c>
      <c r="BW608" t="s">
        <v>0</v>
      </c>
      <c r="BX608" t="s">
        <v>1</v>
      </c>
      <c r="BY608" t="s">
        <v>1</v>
      </c>
      <c r="BZ608" t="s">
        <v>1</v>
      </c>
      <c r="CA608" t="s">
        <v>1</v>
      </c>
      <c r="CB608" t="s">
        <v>1</v>
      </c>
      <c r="CD608" t="e" cm="1">
        <f t="array" aca="1" ref="CD608" ca="1">eConcatenar(A608:CB608,"|")</f>
        <v>#NAME?</v>
      </c>
    </row>
    <row r="609" spans="1:82" x14ac:dyDescent="0.25">
      <c r="A609" t="s">
        <v>704</v>
      </c>
      <c r="B609" t="s">
        <v>1718</v>
      </c>
      <c r="C609">
        <v>3</v>
      </c>
      <c r="D609" t="s">
        <v>2153</v>
      </c>
      <c r="E609" t="s">
        <v>2158</v>
      </c>
      <c r="F609" t="s">
        <v>2159</v>
      </c>
      <c r="G609" t="s">
        <v>2516</v>
      </c>
      <c r="H609" t="s">
        <v>2906</v>
      </c>
      <c r="I609">
        <v>14800</v>
      </c>
      <c r="J609">
        <v>0</v>
      </c>
      <c r="K609">
        <v>100</v>
      </c>
      <c r="L609">
        <v>50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 t="s">
        <v>3202</v>
      </c>
      <c r="AC609" t="s">
        <v>3798</v>
      </c>
      <c r="AD609" t="s">
        <v>3799</v>
      </c>
      <c r="AE609" t="s">
        <v>4</v>
      </c>
      <c r="AF609" t="s">
        <v>1</v>
      </c>
      <c r="AG609" t="s">
        <v>1</v>
      </c>
      <c r="AH609" t="s">
        <v>4543</v>
      </c>
      <c r="AI609" t="s">
        <v>2516</v>
      </c>
      <c r="AJ609" t="s">
        <v>1</v>
      </c>
      <c r="AK609" t="s">
        <v>1</v>
      </c>
      <c r="AL609" t="s">
        <v>1</v>
      </c>
      <c r="AM609" t="s">
        <v>1</v>
      </c>
      <c r="AN609" t="s">
        <v>1</v>
      </c>
      <c r="AO609" t="s">
        <v>4543</v>
      </c>
      <c r="AP609" t="s">
        <v>1</v>
      </c>
      <c r="AQ609" t="s">
        <v>2</v>
      </c>
      <c r="AR609" t="s">
        <v>1</v>
      </c>
      <c r="AS609" t="s">
        <v>1</v>
      </c>
      <c r="AT609" t="s">
        <v>1</v>
      </c>
      <c r="AU609" t="s">
        <v>1</v>
      </c>
      <c r="AV609" t="s">
        <v>1</v>
      </c>
      <c r="AW609" t="s">
        <v>9</v>
      </c>
      <c r="AX609">
        <f>Tabla1[[#This Row],[precio del paquete]]-Tabla1[[#This Row],[Saldo_Deudor]]</f>
        <v>500</v>
      </c>
      <c r="AY609">
        <v>14300</v>
      </c>
      <c r="AZ609">
        <v>0</v>
      </c>
      <c r="BA609">
        <v>0</v>
      </c>
      <c r="BB609">
        <v>0</v>
      </c>
      <c r="BC609" t="s">
        <v>3024</v>
      </c>
      <c r="BD609" t="s">
        <v>4830</v>
      </c>
      <c r="BE609" t="s">
        <v>3</v>
      </c>
      <c r="BF609" t="s">
        <v>3</v>
      </c>
      <c r="BG609" t="s">
        <v>3</v>
      </c>
      <c r="BH609" t="s">
        <v>3</v>
      </c>
      <c r="BI609" t="s">
        <v>3</v>
      </c>
      <c r="BJ609" t="s">
        <v>5006</v>
      </c>
      <c r="BK609" t="s">
        <v>3</v>
      </c>
      <c r="BL609" t="s">
        <v>96</v>
      </c>
      <c r="BM609" t="s">
        <v>1</v>
      </c>
      <c r="BN609">
        <v>14800</v>
      </c>
      <c r="BO609" t="s">
        <v>1</v>
      </c>
      <c r="BP609" t="s">
        <v>1</v>
      </c>
      <c r="BQ609" t="s">
        <v>1</v>
      </c>
      <c r="BR609" t="s">
        <v>1</v>
      </c>
      <c r="BS609" t="s">
        <v>1</v>
      </c>
      <c r="BT609" t="s">
        <v>1</v>
      </c>
      <c r="BU609" t="s">
        <v>1</v>
      </c>
      <c r="BV609" t="s">
        <v>1</v>
      </c>
      <c r="BW609" t="s">
        <v>0</v>
      </c>
      <c r="BX609" t="s">
        <v>1</v>
      </c>
      <c r="BY609" t="s">
        <v>1</v>
      </c>
      <c r="BZ609" t="s">
        <v>1</v>
      </c>
      <c r="CA609" t="s">
        <v>1</v>
      </c>
      <c r="CB609" t="s">
        <v>1</v>
      </c>
      <c r="CD609" t="e" cm="1">
        <f t="array" aca="1" ref="CD609" ca="1">eConcatenar(A609:CB609,"|")</f>
        <v>#NAME?</v>
      </c>
    </row>
    <row r="610" spans="1:82" x14ac:dyDescent="0.25">
      <c r="A610" t="s">
        <v>705</v>
      </c>
      <c r="B610" t="s">
        <v>1719</v>
      </c>
      <c r="C610">
        <v>3</v>
      </c>
      <c r="D610" t="s">
        <v>2153</v>
      </c>
      <c r="E610" t="s">
        <v>2158</v>
      </c>
      <c r="F610" t="s">
        <v>2159</v>
      </c>
      <c r="G610" t="s">
        <v>2516</v>
      </c>
      <c r="H610" t="s">
        <v>2971</v>
      </c>
      <c r="I610">
        <v>14800</v>
      </c>
      <c r="J610">
        <v>0</v>
      </c>
      <c r="K610">
        <v>100</v>
      </c>
      <c r="L610">
        <v>50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 t="s">
        <v>3383</v>
      </c>
      <c r="AC610" t="s">
        <v>3800</v>
      </c>
      <c r="AD610" t="s">
        <v>3801</v>
      </c>
      <c r="AE610" t="s">
        <v>4</v>
      </c>
      <c r="AF610" t="s">
        <v>1</v>
      </c>
      <c r="AG610" t="s">
        <v>1</v>
      </c>
      <c r="AH610" t="s">
        <v>4281</v>
      </c>
      <c r="AI610" t="s">
        <v>2516</v>
      </c>
      <c r="AJ610" t="s">
        <v>1</v>
      </c>
      <c r="AK610" t="s">
        <v>1</v>
      </c>
      <c r="AL610" t="s">
        <v>1</v>
      </c>
      <c r="AM610" t="s">
        <v>1</v>
      </c>
      <c r="AN610" t="s">
        <v>1</v>
      </c>
      <c r="AO610" t="s">
        <v>4281</v>
      </c>
      <c r="AP610" t="s">
        <v>1</v>
      </c>
      <c r="AQ610" t="s">
        <v>2</v>
      </c>
      <c r="AR610" t="s">
        <v>1</v>
      </c>
      <c r="AS610" t="s">
        <v>1</v>
      </c>
      <c r="AT610" t="s">
        <v>1</v>
      </c>
      <c r="AU610" t="s">
        <v>1</v>
      </c>
      <c r="AV610" t="s">
        <v>1</v>
      </c>
      <c r="AW610" t="s">
        <v>9</v>
      </c>
      <c r="AX610">
        <f>Tabla1[[#This Row],[precio del paquete]]-Tabla1[[#This Row],[Saldo_Deudor]]</f>
        <v>9800</v>
      </c>
      <c r="AY610">
        <v>5000</v>
      </c>
      <c r="AZ610">
        <v>0</v>
      </c>
      <c r="BA610">
        <v>0</v>
      </c>
      <c r="BB610">
        <v>0</v>
      </c>
      <c r="BC610" t="s">
        <v>3024</v>
      </c>
      <c r="BD610" t="s">
        <v>4830</v>
      </c>
      <c r="BE610" t="s">
        <v>3</v>
      </c>
      <c r="BF610" t="s">
        <v>3</v>
      </c>
      <c r="BG610" t="s">
        <v>3</v>
      </c>
      <c r="BH610" t="s">
        <v>3</v>
      </c>
      <c r="BI610" t="s">
        <v>3</v>
      </c>
      <c r="BJ610" t="s">
        <v>5009</v>
      </c>
      <c r="BK610" t="s">
        <v>3</v>
      </c>
      <c r="BL610" t="s">
        <v>96</v>
      </c>
      <c r="BM610" t="s">
        <v>1</v>
      </c>
      <c r="BN610">
        <v>14800</v>
      </c>
      <c r="BO610" t="s">
        <v>1</v>
      </c>
      <c r="BP610" t="s">
        <v>1</v>
      </c>
      <c r="BQ610" t="s">
        <v>1</v>
      </c>
      <c r="BR610" t="s">
        <v>1</v>
      </c>
      <c r="BS610" t="s">
        <v>1</v>
      </c>
      <c r="BT610" t="s">
        <v>1</v>
      </c>
      <c r="BU610" t="s">
        <v>1</v>
      </c>
      <c r="BV610" t="s">
        <v>1</v>
      </c>
      <c r="BW610" t="s">
        <v>0</v>
      </c>
      <c r="BX610" t="s">
        <v>1</v>
      </c>
      <c r="BY610" t="s">
        <v>1</v>
      </c>
      <c r="BZ610" t="s">
        <v>1</v>
      </c>
      <c r="CA610" t="s">
        <v>1</v>
      </c>
      <c r="CB610" t="s">
        <v>1</v>
      </c>
      <c r="CD610" t="e" cm="1">
        <f t="array" aca="1" ref="CD610" ca="1">eConcatenar(A610:CB610,"|")</f>
        <v>#NAME?</v>
      </c>
    </row>
    <row r="611" spans="1:82" x14ac:dyDescent="0.25">
      <c r="A611" t="s">
        <v>706</v>
      </c>
      <c r="B611" t="s">
        <v>1720</v>
      </c>
      <c r="C611">
        <v>3</v>
      </c>
      <c r="D611" t="s">
        <v>2153</v>
      </c>
      <c r="E611" t="s">
        <v>2158</v>
      </c>
      <c r="F611" t="s">
        <v>2159</v>
      </c>
      <c r="G611" t="s">
        <v>2516</v>
      </c>
      <c r="H611" t="s">
        <v>2929</v>
      </c>
      <c r="I611">
        <v>14800</v>
      </c>
      <c r="J611">
        <v>0</v>
      </c>
      <c r="K611">
        <v>100</v>
      </c>
      <c r="L611">
        <v>50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 t="s">
        <v>3148</v>
      </c>
      <c r="AC611" t="s">
        <v>3802</v>
      </c>
      <c r="AD611" t="s">
        <v>3803</v>
      </c>
      <c r="AE611" t="s">
        <v>4</v>
      </c>
      <c r="AF611" t="s">
        <v>1</v>
      </c>
      <c r="AG611" t="s">
        <v>1</v>
      </c>
      <c r="AH611" t="s">
        <v>4544</v>
      </c>
      <c r="AI611" t="s">
        <v>2516</v>
      </c>
      <c r="AJ611" t="s">
        <v>1</v>
      </c>
      <c r="AK611" t="s">
        <v>1</v>
      </c>
      <c r="AL611" t="s">
        <v>1</v>
      </c>
      <c r="AM611" t="s">
        <v>1</v>
      </c>
      <c r="AN611" t="s">
        <v>1</v>
      </c>
      <c r="AO611" t="s">
        <v>4544</v>
      </c>
      <c r="AP611" t="s">
        <v>1</v>
      </c>
      <c r="AQ611" t="s">
        <v>2</v>
      </c>
      <c r="AR611" t="s">
        <v>1</v>
      </c>
      <c r="AS611" t="s">
        <v>1</v>
      </c>
      <c r="AT611" t="s">
        <v>1</v>
      </c>
      <c r="AU611" t="s">
        <v>1</v>
      </c>
      <c r="AV611" t="s">
        <v>1</v>
      </c>
      <c r="AW611" t="s">
        <v>9</v>
      </c>
      <c r="AX611">
        <f>Tabla1[[#This Row],[precio del paquete]]-Tabla1[[#This Row],[Saldo_Deudor]]</f>
        <v>1300</v>
      </c>
      <c r="AY611">
        <v>13500</v>
      </c>
      <c r="AZ611">
        <v>0</v>
      </c>
      <c r="BA611">
        <v>0</v>
      </c>
      <c r="BB611">
        <v>0</v>
      </c>
      <c r="BC611" t="s">
        <v>3024</v>
      </c>
      <c r="BD611" t="s">
        <v>4830</v>
      </c>
      <c r="BE611" t="s">
        <v>3</v>
      </c>
      <c r="BF611" t="s">
        <v>3</v>
      </c>
      <c r="BG611" t="s">
        <v>3</v>
      </c>
      <c r="BH611" t="s">
        <v>3</v>
      </c>
      <c r="BI611" t="s">
        <v>3</v>
      </c>
      <c r="BJ611" t="s">
        <v>5009</v>
      </c>
      <c r="BK611" t="s">
        <v>3</v>
      </c>
      <c r="BL611" t="s">
        <v>96</v>
      </c>
      <c r="BM611" t="s">
        <v>1</v>
      </c>
      <c r="BN611">
        <v>14800</v>
      </c>
      <c r="BO611" t="s">
        <v>1</v>
      </c>
      <c r="BP611" t="s">
        <v>1</v>
      </c>
      <c r="BQ611" t="s">
        <v>1</v>
      </c>
      <c r="BR611" t="s">
        <v>1</v>
      </c>
      <c r="BS611" t="s">
        <v>1</v>
      </c>
      <c r="BT611" t="s">
        <v>1</v>
      </c>
      <c r="BU611" t="s">
        <v>1</v>
      </c>
      <c r="BV611" t="s">
        <v>1</v>
      </c>
      <c r="BW611" t="s">
        <v>0</v>
      </c>
      <c r="BX611" t="s">
        <v>1</v>
      </c>
      <c r="BY611" t="s">
        <v>1</v>
      </c>
      <c r="BZ611" t="s">
        <v>1</v>
      </c>
      <c r="CA611" t="s">
        <v>1</v>
      </c>
      <c r="CB611" t="s">
        <v>1</v>
      </c>
      <c r="CD611" t="e" cm="1">
        <f t="array" aca="1" ref="CD611" ca="1">eConcatenar(A611:CB611,"|")</f>
        <v>#NAME?</v>
      </c>
    </row>
    <row r="612" spans="1:82" x14ac:dyDescent="0.25">
      <c r="A612" t="s">
        <v>707</v>
      </c>
      <c r="B612" t="s">
        <v>1721</v>
      </c>
      <c r="C612">
        <v>3</v>
      </c>
      <c r="D612" t="s">
        <v>2153</v>
      </c>
      <c r="E612" t="s">
        <v>2158</v>
      </c>
      <c r="F612" t="s">
        <v>2159</v>
      </c>
      <c r="G612" t="s">
        <v>2516</v>
      </c>
      <c r="H612" t="s">
        <v>2972</v>
      </c>
      <c r="I612">
        <v>14800</v>
      </c>
      <c r="J612">
        <v>0</v>
      </c>
      <c r="K612">
        <v>100</v>
      </c>
      <c r="L612">
        <v>50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 t="s">
        <v>3384</v>
      </c>
      <c r="AC612" t="s">
        <v>3132</v>
      </c>
      <c r="AD612" t="s">
        <v>3790</v>
      </c>
      <c r="AE612" t="s">
        <v>4</v>
      </c>
      <c r="AF612" t="s">
        <v>1</v>
      </c>
      <c r="AG612" t="s">
        <v>1</v>
      </c>
      <c r="AH612" t="s">
        <v>4544</v>
      </c>
      <c r="AI612" t="s">
        <v>2516</v>
      </c>
      <c r="AJ612" t="s">
        <v>1</v>
      </c>
      <c r="AK612" t="s">
        <v>1</v>
      </c>
      <c r="AL612" t="s">
        <v>1</v>
      </c>
      <c r="AM612" t="s">
        <v>1</v>
      </c>
      <c r="AN612" t="s">
        <v>1</v>
      </c>
      <c r="AO612" t="s">
        <v>4544</v>
      </c>
      <c r="AP612" t="s">
        <v>1</v>
      </c>
      <c r="AQ612" t="s">
        <v>2</v>
      </c>
      <c r="AR612" t="s">
        <v>1</v>
      </c>
      <c r="AS612" t="s">
        <v>1</v>
      </c>
      <c r="AT612" t="s">
        <v>1</v>
      </c>
      <c r="AU612" t="s">
        <v>1</v>
      </c>
      <c r="AV612" t="s">
        <v>1</v>
      </c>
      <c r="AW612" t="s">
        <v>9</v>
      </c>
      <c r="AX612">
        <f>Tabla1[[#This Row],[precio del paquete]]-Tabla1[[#This Row],[Saldo_Deudor]]</f>
        <v>9450</v>
      </c>
      <c r="AY612">
        <v>5350</v>
      </c>
      <c r="AZ612">
        <v>0</v>
      </c>
      <c r="BA612">
        <v>0</v>
      </c>
      <c r="BB612">
        <v>0</v>
      </c>
      <c r="BC612" t="s">
        <v>3024</v>
      </c>
      <c r="BD612" t="s">
        <v>4830</v>
      </c>
      <c r="BE612" t="s">
        <v>3</v>
      </c>
      <c r="BF612" t="s">
        <v>3</v>
      </c>
      <c r="BG612" t="s">
        <v>3</v>
      </c>
      <c r="BH612" t="s">
        <v>3</v>
      </c>
      <c r="BI612" t="s">
        <v>3</v>
      </c>
      <c r="BJ612" t="s">
        <v>5009</v>
      </c>
      <c r="BK612" t="s">
        <v>3</v>
      </c>
      <c r="BL612" t="s">
        <v>96</v>
      </c>
      <c r="BM612" t="s">
        <v>1</v>
      </c>
      <c r="BN612">
        <v>14800</v>
      </c>
      <c r="BO612" t="s">
        <v>1</v>
      </c>
      <c r="BP612" t="s">
        <v>1</v>
      </c>
      <c r="BQ612" t="s">
        <v>1</v>
      </c>
      <c r="BR612" t="s">
        <v>1</v>
      </c>
      <c r="BS612" t="s">
        <v>1</v>
      </c>
      <c r="BT612" t="s">
        <v>1</v>
      </c>
      <c r="BU612" t="s">
        <v>1</v>
      </c>
      <c r="BV612" t="s">
        <v>1</v>
      </c>
      <c r="BW612" t="s">
        <v>0</v>
      </c>
      <c r="BX612" t="s">
        <v>1</v>
      </c>
      <c r="BY612" t="s">
        <v>1</v>
      </c>
      <c r="BZ612" t="s">
        <v>1</v>
      </c>
      <c r="CA612" t="s">
        <v>1</v>
      </c>
      <c r="CB612" t="s">
        <v>1</v>
      </c>
      <c r="CD612" t="e" cm="1">
        <f t="array" aca="1" ref="CD612" ca="1">eConcatenar(A612:CB612,"|")</f>
        <v>#NAME?</v>
      </c>
    </row>
    <row r="613" spans="1:82" x14ac:dyDescent="0.25">
      <c r="A613" t="s">
        <v>708</v>
      </c>
      <c r="B613" t="s">
        <v>1722</v>
      </c>
      <c r="C613">
        <v>3</v>
      </c>
      <c r="D613" t="s">
        <v>2155</v>
      </c>
      <c r="E613" t="s">
        <v>2158</v>
      </c>
      <c r="F613" t="s">
        <v>2159</v>
      </c>
      <c r="G613" t="s">
        <v>2517</v>
      </c>
      <c r="H613" t="s">
        <v>2973</v>
      </c>
      <c r="I613">
        <v>12900</v>
      </c>
      <c r="J613">
        <v>0</v>
      </c>
      <c r="K613">
        <v>200</v>
      </c>
      <c r="L613">
        <v>50</v>
      </c>
      <c r="M613">
        <v>2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 t="s">
        <v>3804</v>
      </c>
      <c r="AC613" t="s">
        <v>3526</v>
      </c>
      <c r="AD613" t="s">
        <v>3251</v>
      </c>
      <c r="AE613" t="s">
        <v>4</v>
      </c>
      <c r="AF613" t="s">
        <v>1</v>
      </c>
      <c r="AG613" t="s">
        <v>1</v>
      </c>
      <c r="AH613" t="s">
        <v>4545</v>
      </c>
      <c r="AI613" t="s">
        <v>2517</v>
      </c>
      <c r="AJ613" t="s">
        <v>1</v>
      </c>
      <c r="AK613">
        <v>9331025334</v>
      </c>
      <c r="AL613" t="s">
        <v>1</v>
      </c>
      <c r="AM613" t="s">
        <v>1</v>
      </c>
      <c r="AN613" t="s">
        <v>1</v>
      </c>
      <c r="AO613" t="s">
        <v>4545</v>
      </c>
      <c r="AP613" t="s">
        <v>1</v>
      </c>
      <c r="AQ613" t="s">
        <v>2</v>
      </c>
      <c r="AR613" t="s">
        <v>1</v>
      </c>
      <c r="AS613" t="s">
        <v>1</v>
      </c>
      <c r="AT613" t="s">
        <v>1</v>
      </c>
      <c r="AU613" t="s">
        <v>1</v>
      </c>
      <c r="AV613" t="s">
        <v>1</v>
      </c>
      <c r="AW613" t="s">
        <v>9</v>
      </c>
      <c r="AX613">
        <f>Tabla1[[#This Row],[precio del paquete]]-Tabla1[[#This Row],[Saldo_Deudor]]</f>
        <v>11000</v>
      </c>
      <c r="AY613">
        <v>1900</v>
      </c>
      <c r="AZ613">
        <v>0</v>
      </c>
      <c r="BA613">
        <v>0</v>
      </c>
      <c r="BB613">
        <v>0</v>
      </c>
      <c r="BC613" t="s">
        <v>4830</v>
      </c>
      <c r="BD613" t="s">
        <v>4906</v>
      </c>
      <c r="BE613" t="s">
        <v>3</v>
      </c>
      <c r="BF613" t="s">
        <v>3</v>
      </c>
      <c r="BG613" t="s">
        <v>3</v>
      </c>
      <c r="BH613" t="s">
        <v>3</v>
      </c>
      <c r="BI613" t="s">
        <v>3</v>
      </c>
      <c r="BJ613" t="s">
        <v>5009</v>
      </c>
      <c r="BK613" t="s">
        <v>3</v>
      </c>
      <c r="BL613" t="s">
        <v>96</v>
      </c>
      <c r="BM613" t="s">
        <v>1</v>
      </c>
      <c r="BN613">
        <v>12900</v>
      </c>
      <c r="BO613" t="s">
        <v>1</v>
      </c>
      <c r="BP613" t="s">
        <v>1</v>
      </c>
      <c r="BQ613" t="s">
        <v>1</v>
      </c>
      <c r="BR613" t="s">
        <v>1</v>
      </c>
      <c r="BS613" t="s">
        <v>1</v>
      </c>
      <c r="BT613" t="s">
        <v>1</v>
      </c>
      <c r="BU613" t="s">
        <v>1</v>
      </c>
      <c r="BV613" t="s">
        <v>1</v>
      </c>
      <c r="BW613" t="s">
        <v>0</v>
      </c>
      <c r="BX613" t="s">
        <v>1</v>
      </c>
      <c r="BY613" t="s">
        <v>1</v>
      </c>
      <c r="BZ613" t="s">
        <v>1</v>
      </c>
      <c r="CA613" t="s">
        <v>1</v>
      </c>
      <c r="CB613" t="s">
        <v>1</v>
      </c>
      <c r="CD613" t="e" cm="1">
        <f t="array" aca="1" ref="CD613" ca="1">eConcatenar(A613:CB613,"|")</f>
        <v>#NAME?</v>
      </c>
    </row>
    <row r="614" spans="1:82" x14ac:dyDescent="0.25">
      <c r="A614" t="s">
        <v>709</v>
      </c>
      <c r="B614" t="s">
        <v>1723</v>
      </c>
      <c r="C614">
        <v>3</v>
      </c>
      <c r="D614" t="s">
        <v>2153</v>
      </c>
      <c r="E614" t="s">
        <v>2158</v>
      </c>
      <c r="F614" t="s">
        <v>2162</v>
      </c>
      <c r="G614" t="s">
        <v>2518</v>
      </c>
      <c r="H614" t="s">
        <v>2974</v>
      </c>
      <c r="I614">
        <v>14800</v>
      </c>
      <c r="J614">
        <v>0</v>
      </c>
      <c r="K614">
        <v>500</v>
      </c>
      <c r="L614">
        <v>50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 t="s">
        <v>3115</v>
      </c>
      <c r="AC614" t="s">
        <v>3805</v>
      </c>
      <c r="AD614" t="s">
        <v>3624</v>
      </c>
      <c r="AE614" t="s">
        <v>4</v>
      </c>
      <c r="AF614" t="s">
        <v>1</v>
      </c>
      <c r="AG614" t="s">
        <v>1</v>
      </c>
      <c r="AH614" t="s">
        <v>4526</v>
      </c>
      <c r="AI614" t="s">
        <v>2518</v>
      </c>
      <c r="AJ614" t="s">
        <v>1</v>
      </c>
      <c r="AK614">
        <v>9331550561</v>
      </c>
      <c r="AL614" t="s">
        <v>1</v>
      </c>
      <c r="AM614" t="s">
        <v>1</v>
      </c>
      <c r="AN614" t="s">
        <v>1</v>
      </c>
      <c r="AO614" t="s">
        <v>4526</v>
      </c>
      <c r="AP614" t="s">
        <v>1</v>
      </c>
      <c r="AQ614" t="s">
        <v>2</v>
      </c>
      <c r="AR614" t="s">
        <v>1</v>
      </c>
      <c r="AS614" t="s">
        <v>1</v>
      </c>
      <c r="AT614" t="s">
        <v>1</v>
      </c>
      <c r="AU614" t="s">
        <v>1</v>
      </c>
      <c r="AV614" t="s">
        <v>1</v>
      </c>
      <c r="AW614" t="s">
        <v>9</v>
      </c>
      <c r="AX614">
        <f>Tabla1[[#This Row],[precio del paquete]]-Tabla1[[#This Row],[Saldo_Deudor]]</f>
        <v>1200</v>
      </c>
      <c r="AY614">
        <v>13600</v>
      </c>
      <c r="AZ614">
        <v>0</v>
      </c>
      <c r="BA614">
        <v>0</v>
      </c>
      <c r="BB614">
        <v>0</v>
      </c>
      <c r="BC614" t="s">
        <v>2916</v>
      </c>
      <c r="BD614" t="s">
        <v>4896</v>
      </c>
      <c r="BE614" t="s">
        <v>3</v>
      </c>
      <c r="BF614" t="s">
        <v>3</v>
      </c>
      <c r="BG614" t="s">
        <v>3</v>
      </c>
      <c r="BH614" t="s">
        <v>3</v>
      </c>
      <c r="BI614" t="s">
        <v>3</v>
      </c>
      <c r="BJ614" t="s">
        <v>5009</v>
      </c>
      <c r="BK614" t="s">
        <v>3</v>
      </c>
      <c r="BL614" t="s">
        <v>96</v>
      </c>
      <c r="BM614" t="s">
        <v>1</v>
      </c>
      <c r="BN614">
        <v>14800</v>
      </c>
      <c r="BO614" t="s">
        <v>1</v>
      </c>
      <c r="BP614" t="s">
        <v>1</v>
      </c>
      <c r="BQ614" t="s">
        <v>1</v>
      </c>
      <c r="BR614" t="s">
        <v>1</v>
      </c>
      <c r="BS614" t="s">
        <v>1</v>
      </c>
      <c r="BT614" t="s">
        <v>1</v>
      </c>
      <c r="BU614" t="s">
        <v>1</v>
      </c>
      <c r="BV614" t="s">
        <v>1</v>
      </c>
      <c r="BW614" t="s">
        <v>0</v>
      </c>
      <c r="BX614" t="s">
        <v>1</v>
      </c>
      <c r="BY614" t="s">
        <v>1</v>
      </c>
      <c r="BZ614" t="s">
        <v>1</v>
      </c>
      <c r="CA614" t="s">
        <v>1</v>
      </c>
      <c r="CB614" t="s">
        <v>1</v>
      </c>
      <c r="CD614" t="e" cm="1">
        <f t="array" aca="1" ref="CD614" ca="1">eConcatenar(A614:CB614,"|")</f>
        <v>#NAME?</v>
      </c>
    </row>
    <row r="615" spans="1:82" x14ac:dyDescent="0.25">
      <c r="A615" t="s">
        <v>710</v>
      </c>
      <c r="B615" t="s">
        <v>1724</v>
      </c>
      <c r="C615">
        <v>3</v>
      </c>
      <c r="D615" t="s">
        <v>2157</v>
      </c>
      <c r="E615" t="s">
        <v>2158</v>
      </c>
      <c r="F615" t="s">
        <v>2159</v>
      </c>
      <c r="G615" t="s">
        <v>2518</v>
      </c>
      <c r="H615" t="s">
        <v>2975</v>
      </c>
      <c r="I615">
        <v>11900</v>
      </c>
      <c r="J615">
        <v>0</v>
      </c>
      <c r="K615">
        <v>200</v>
      </c>
      <c r="L615">
        <v>50</v>
      </c>
      <c r="M615">
        <v>2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 t="s">
        <v>3806</v>
      </c>
      <c r="AC615" t="s">
        <v>3327</v>
      </c>
      <c r="AD615" t="s">
        <v>3679</v>
      </c>
      <c r="AE615" t="s">
        <v>4</v>
      </c>
      <c r="AF615" t="s">
        <v>1</v>
      </c>
      <c r="AG615" t="s">
        <v>1</v>
      </c>
      <c r="AH615" t="s">
        <v>2205</v>
      </c>
      <c r="AI615" t="s">
        <v>2518</v>
      </c>
      <c r="AJ615" t="s">
        <v>1</v>
      </c>
      <c r="AK615">
        <v>9331525967</v>
      </c>
      <c r="AL615" t="s">
        <v>1</v>
      </c>
      <c r="AM615" t="s">
        <v>1</v>
      </c>
      <c r="AN615" t="s">
        <v>1</v>
      </c>
      <c r="AO615" t="s">
        <v>2205</v>
      </c>
      <c r="AP615" t="s">
        <v>1</v>
      </c>
      <c r="AQ615" t="s">
        <v>2</v>
      </c>
      <c r="AR615" t="s">
        <v>1</v>
      </c>
      <c r="AS615" t="s">
        <v>1</v>
      </c>
      <c r="AT615" t="s">
        <v>1</v>
      </c>
      <c r="AU615" t="s">
        <v>1</v>
      </c>
      <c r="AV615" t="s">
        <v>1</v>
      </c>
      <c r="AW615" t="s">
        <v>9</v>
      </c>
      <c r="AX615">
        <f>Tabla1[[#This Row],[precio del paquete]]-Tabla1[[#This Row],[Saldo_Deudor]]</f>
        <v>9100</v>
      </c>
      <c r="AY615">
        <v>2800</v>
      </c>
      <c r="AZ615">
        <v>0</v>
      </c>
      <c r="BA615">
        <v>0</v>
      </c>
      <c r="BB615">
        <v>0</v>
      </c>
      <c r="BC615" t="s">
        <v>4841</v>
      </c>
      <c r="BD615" t="s">
        <v>4926</v>
      </c>
      <c r="BE615" t="s">
        <v>3</v>
      </c>
      <c r="BF615" t="s">
        <v>3</v>
      </c>
      <c r="BG615" t="s">
        <v>3</v>
      </c>
      <c r="BH615" t="s">
        <v>3</v>
      </c>
      <c r="BI615" t="s">
        <v>3</v>
      </c>
      <c r="BJ615" t="s">
        <v>5011</v>
      </c>
      <c r="BK615" t="s">
        <v>3</v>
      </c>
      <c r="BL615" t="s">
        <v>96</v>
      </c>
      <c r="BM615" t="s">
        <v>1</v>
      </c>
      <c r="BN615">
        <v>11900</v>
      </c>
      <c r="BO615" t="s">
        <v>1</v>
      </c>
      <c r="BP615" t="s">
        <v>1</v>
      </c>
      <c r="BQ615" t="s">
        <v>1</v>
      </c>
      <c r="BR615" t="s">
        <v>1</v>
      </c>
      <c r="BS615" t="s">
        <v>1</v>
      </c>
      <c r="BT615" t="s">
        <v>1</v>
      </c>
      <c r="BU615" t="s">
        <v>1</v>
      </c>
      <c r="BV615" t="s">
        <v>1</v>
      </c>
      <c r="BW615" t="s">
        <v>0</v>
      </c>
      <c r="BX615" t="s">
        <v>1</v>
      </c>
      <c r="BY615" t="s">
        <v>1</v>
      </c>
      <c r="BZ615" t="s">
        <v>1</v>
      </c>
      <c r="CA615" t="s">
        <v>1</v>
      </c>
      <c r="CB615" t="s">
        <v>1</v>
      </c>
      <c r="CD615" t="e" cm="1">
        <f t="array" aca="1" ref="CD615" ca="1">eConcatenar(A615:CB615,"|")</f>
        <v>#NAME?</v>
      </c>
    </row>
    <row r="616" spans="1:82" x14ac:dyDescent="0.25">
      <c r="A616" t="s">
        <v>711</v>
      </c>
      <c r="B616" t="s">
        <v>1725</v>
      </c>
      <c r="C616">
        <v>3</v>
      </c>
      <c r="D616" t="s">
        <v>2155</v>
      </c>
      <c r="E616" t="s">
        <v>2158</v>
      </c>
      <c r="F616" t="s">
        <v>2159</v>
      </c>
      <c r="G616" t="s">
        <v>2519</v>
      </c>
      <c r="H616" t="s">
        <v>2976</v>
      </c>
      <c r="I616">
        <v>12900</v>
      </c>
      <c r="J616">
        <v>0</v>
      </c>
      <c r="K616">
        <v>100</v>
      </c>
      <c r="L616">
        <v>50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 t="s">
        <v>3131</v>
      </c>
      <c r="AC616" t="s">
        <v>3214</v>
      </c>
      <c r="AD616" t="s">
        <v>3775</v>
      </c>
      <c r="AE616" t="s">
        <v>4</v>
      </c>
      <c r="AF616" t="s">
        <v>1</v>
      </c>
      <c r="AG616" t="s">
        <v>1</v>
      </c>
      <c r="AH616" t="s">
        <v>4546</v>
      </c>
      <c r="AI616" t="s">
        <v>2519</v>
      </c>
      <c r="AJ616" t="s">
        <v>1</v>
      </c>
      <c r="AK616">
        <v>9331070323</v>
      </c>
      <c r="AL616" t="s">
        <v>1</v>
      </c>
      <c r="AM616" t="s">
        <v>1</v>
      </c>
      <c r="AN616" t="s">
        <v>1</v>
      </c>
      <c r="AO616" t="s">
        <v>4546</v>
      </c>
      <c r="AP616" t="s">
        <v>1</v>
      </c>
      <c r="AQ616" t="s">
        <v>2</v>
      </c>
      <c r="AR616" t="s">
        <v>1</v>
      </c>
      <c r="AS616" t="s">
        <v>1</v>
      </c>
      <c r="AT616" t="s">
        <v>1</v>
      </c>
      <c r="AU616" t="s">
        <v>1</v>
      </c>
      <c r="AV616" t="s">
        <v>1</v>
      </c>
      <c r="AW616" t="s">
        <v>9</v>
      </c>
      <c r="AX616">
        <f>Tabla1[[#This Row],[precio del paquete]]-Tabla1[[#This Row],[Saldo_Deudor]]</f>
        <v>7100</v>
      </c>
      <c r="AY616">
        <v>5800</v>
      </c>
      <c r="AZ616">
        <v>0</v>
      </c>
      <c r="BA616">
        <v>0</v>
      </c>
      <c r="BB616">
        <v>0</v>
      </c>
      <c r="BC616" t="s">
        <v>4830</v>
      </c>
      <c r="BD616" t="s">
        <v>4906</v>
      </c>
      <c r="BE616" t="s">
        <v>3</v>
      </c>
      <c r="BF616" t="s">
        <v>3</v>
      </c>
      <c r="BG616" t="s">
        <v>3</v>
      </c>
      <c r="BH616" t="s">
        <v>3</v>
      </c>
      <c r="BI616" t="s">
        <v>3</v>
      </c>
      <c r="BJ616" t="s">
        <v>5009</v>
      </c>
      <c r="BK616" t="s">
        <v>3</v>
      </c>
      <c r="BL616" t="s">
        <v>96</v>
      </c>
      <c r="BM616" t="s">
        <v>1</v>
      </c>
      <c r="BN616">
        <v>12900</v>
      </c>
      <c r="BO616" t="s">
        <v>1</v>
      </c>
      <c r="BP616" t="s">
        <v>1</v>
      </c>
      <c r="BQ616" t="s">
        <v>1</v>
      </c>
      <c r="BR616" t="s">
        <v>1</v>
      </c>
      <c r="BS616" t="s">
        <v>1</v>
      </c>
      <c r="BT616" t="s">
        <v>1</v>
      </c>
      <c r="BU616" t="s">
        <v>1</v>
      </c>
      <c r="BV616" t="s">
        <v>1</v>
      </c>
      <c r="BW616" t="s">
        <v>0</v>
      </c>
      <c r="BX616" t="s">
        <v>1</v>
      </c>
      <c r="BY616" t="s">
        <v>1</v>
      </c>
      <c r="BZ616" t="s">
        <v>1</v>
      </c>
      <c r="CA616" t="s">
        <v>1</v>
      </c>
      <c r="CB616" t="s">
        <v>1</v>
      </c>
      <c r="CD616" t="e" cm="1">
        <f t="array" aca="1" ref="CD616" ca="1">eConcatenar(A616:CB616,"|")</f>
        <v>#NAME?</v>
      </c>
    </row>
    <row r="617" spans="1:82" x14ac:dyDescent="0.25">
      <c r="A617" t="s">
        <v>712</v>
      </c>
      <c r="B617" t="s">
        <v>1726</v>
      </c>
      <c r="C617">
        <v>3</v>
      </c>
      <c r="D617" t="s">
        <v>2153</v>
      </c>
      <c r="E617" t="s">
        <v>2158</v>
      </c>
      <c r="F617" t="s">
        <v>2159</v>
      </c>
      <c r="G617" t="s">
        <v>2520</v>
      </c>
      <c r="H617" t="s">
        <v>2706</v>
      </c>
      <c r="I617">
        <v>12900</v>
      </c>
      <c r="J617">
        <v>0</v>
      </c>
      <c r="K617">
        <v>100</v>
      </c>
      <c r="L617">
        <v>50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 t="s">
        <v>3807</v>
      </c>
      <c r="AC617" t="s">
        <v>3131</v>
      </c>
      <c r="AD617" t="s">
        <v>3550</v>
      </c>
      <c r="AE617" t="s">
        <v>4</v>
      </c>
      <c r="AF617" t="s">
        <v>1</v>
      </c>
      <c r="AG617" t="s">
        <v>1</v>
      </c>
      <c r="AH617" t="s">
        <v>4547</v>
      </c>
      <c r="AI617" t="s">
        <v>2520</v>
      </c>
      <c r="AJ617" t="s">
        <v>1</v>
      </c>
      <c r="AK617" t="s">
        <v>1</v>
      </c>
      <c r="AL617" t="s">
        <v>1</v>
      </c>
      <c r="AM617" t="s">
        <v>1</v>
      </c>
      <c r="AN617" t="s">
        <v>1</v>
      </c>
      <c r="AO617" t="s">
        <v>4547</v>
      </c>
      <c r="AP617" t="s">
        <v>1</v>
      </c>
      <c r="AQ617" t="s">
        <v>2</v>
      </c>
      <c r="AR617" t="s">
        <v>1</v>
      </c>
      <c r="AS617" t="s">
        <v>1</v>
      </c>
      <c r="AT617" t="s">
        <v>1</v>
      </c>
      <c r="AU617" t="s">
        <v>1</v>
      </c>
      <c r="AV617" t="s">
        <v>1</v>
      </c>
      <c r="AW617" t="s">
        <v>9</v>
      </c>
      <c r="AX617">
        <f>Tabla1[[#This Row],[precio del paquete]]-Tabla1[[#This Row],[Saldo_Deudor]]</f>
        <v>12400</v>
      </c>
      <c r="AY617">
        <v>500</v>
      </c>
      <c r="AZ617">
        <v>0</v>
      </c>
      <c r="BA617">
        <v>0</v>
      </c>
      <c r="BB617">
        <v>0</v>
      </c>
      <c r="BC617" t="s">
        <v>2945</v>
      </c>
      <c r="BD617" t="s">
        <v>4918</v>
      </c>
      <c r="BE617" t="s">
        <v>3</v>
      </c>
      <c r="BF617" t="s">
        <v>3</v>
      </c>
      <c r="BG617" t="s">
        <v>3</v>
      </c>
      <c r="BH617" t="s">
        <v>3</v>
      </c>
      <c r="BI617" t="s">
        <v>3</v>
      </c>
      <c r="BJ617" t="s">
        <v>5009</v>
      </c>
      <c r="BK617" t="s">
        <v>3</v>
      </c>
      <c r="BL617" t="s">
        <v>96</v>
      </c>
      <c r="BM617" t="s">
        <v>1</v>
      </c>
      <c r="BN617">
        <v>12900</v>
      </c>
      <c r="BO617" t="s">
        <v>1</v>
      </c>
      <c r="BP617" t="s">
        <v>1</v>
      </c>
      <c r="BQ617" t="s">
        <v>1</v>
      </c>
      <c r="BR617" t="s">
        <v>1</v>
      </c>
      <c r="BS617" t="s">
        <v>1</v>
      </c>
      <c r="BT617" t="s">
        <v>1</v>
      </c>
      <c r="BU617" t="s">
        <v>1</v>
      </c>
      <c r="BV617" t="s">
        <v>1</v>
      </c>
      <c r="BW617" t="s">
        <v>0</v>
      </c>
      <c r="BX617" t="s">
        <v>1</v>
      </c>
      <c r="BY617" t="s">
        <v>1</v>
      </c>
      <c r="BZ617" t="s">
        <v>1</v>
      </c>
      <c r="CA617" t="s">
        <v>1</v>
      </c>
      <c r="CB617" t="s">
        <v>1</v>
      </c>
      <c r="CD617" t="e" cm="1">
        <f t="array" aca="1" ref="CD617" ca="1">eConcatenar(A617:CB617,"|")</f>
        <v>#NAME?</v>
      </c>
    </row>
    <row r="618" spans="1:82" x14ac:dyDescent="0.25">
      <c r="A618" t="s">
        <v>713</v>
      </c>
      <c r="B618" t="s">
        <v>1727</v>
      </c>
      <c r="C618">
        <v>3</v>
      </c>
      <c r="D618" t="s">
        <v>2155</v>
      </c>
      <c r="E618" t="s">
        <v>2158</v>
      </c>
      <c r="F618" t="s">
        <v>0</v>
      </c>
      <c r="G618" t="s">
        <v>2521</v>
      </c>
      <c r="H618" t="s">
        <v>2788</v>
      </c>
      <c r="I618">
        <v>12900</v>
      </c>
      <c r="J618">
        <v>0</v>
      </c>
      <c r="K618">
        <v>200</v>
      </c>
      <c r="L618">
        <v>50</v>
      </c>
      <c r="M618">
        <v>1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 t="s">
        <v>3236</v>
      </c>
      <c r="AC618" t="s">
        <v>3162</v>
      </c>
      <c r="AD618" t="s">
        <v>3808</v>
      </c>
      <c r="AE618" t="s">
        <v>4</v>
      </c>
      <c r="AF618" t="s">
        <v>1</v>
      </c>
      <c r="AG618" t="s">
        <v>1</v>
      </c>
      <c r="AH618" t="s">
        <v>4548</v>
      </c>
      <c r="AI618" t="s">
        <v>2521</v>
      </c>
      <c r="AJ618" t="s">
        <v>1</v>
      </c>
      <c r="AK618">
        <v>9371218340</v>
      </c>
      <c r="AL618" t="s">
        <v>1</v>
      </c>
      <c r="AM618" t="s">
        <v>1</v>
      </c>
      <c r="AN618" t="s">
        <v>1</v>
      </c>
      <c r="AO618" t="s">
        <v>4548</v>
      </c>
      <c r="AP618" t="s">
        <v>1</v>
      </c>
      <c r="AQ618" t="s">
        <v>2</v>
      </c>
      <c r="AR618" t="s">
        <v>1</v>
      </c>
      <c r="AS618" t="s">
        <v>1</v>
      </c>
      <c r="AT618" t="s">
        <v>1</v>
      </c>
      <c r="AU618" t="s">
        <v>1</v>
      </c>
      <c r="AV618" t="s">
        <v>1</v>
      </c>
      <c r="AW618" t="s">
        <v>9</v>
      </c>
      <c r="AX618">
        <f>Tabla1[[#This Row],[precio del paquete]]-Tabla1[[#This Row],[Saldo_Deudor]]</f>
        <v>2450</v>
      </c>
      <c r="AY618">
        <v>10450</v>
      </c>
      <c r="AZ618">
        <v>0</v>
      </c>
      <c r="BA618">
        <v>0</v>
      </c>
      <c r="BB618">
        <v>0</v>
      </c>
      <c r="BC618" t="s">
        <v>2998</v>
      </c>
      <c r="BD618" t="s">
        <v>4956</v>
      </c>
      <c r="BE618" t="s">
        <v>3</v>
      </c>
      <c r="BF618" t="s">
        <v>3</v>
      </c>
      <c r="BG618" t="s">
        <v>3</v>
      </c>
      <c r="BH618" t="s">
        <v>3</v>
      </c>
      <c r="BI618" t="s">
        <v>3</v>
      </c>
      <c r="BJ618" t="s">
        <v>5009</v>
      </c>
      <c r="BK618" t="s">
        <v>3</v>
      </c>
      <c r="BL618" t="s">
        <v>96</v>
      </c>
      <c r="BM618" t="s">
        <v>1</v>
      </c>
      <c r="BN618">
        <v>12900</v>
      </c>
      <c r="BO618" t="s">
        <v>1</v>
      </c>
      <c r="BP618" t="s">
        <v>1</v>
      </c>
      <c r="BQ618" t="s">
        <v>1</v>
      </c>
      <c r="BR618" t="s">
        <v>1</v>
      </c>
      <c r="BS618" t="s">
        <v>1</v>
      </c>
      <c r="BT618" t="s">
        <v>1</v>
      </c>
      <c r="BU618" t="s">
        <v>1</v>
      </c>
      <c r="BV618" t="s">
        <v>1</v>
      </c>
      <c r="BW618" t="s">
        <v>0</v>
      </c>
      <c r="BX618" t="s">
        <v>1</v>
      </c>
      <c r="BY618" t="s">
        <v>1</v>
      </c>
      <c r="BZ618" t="s">
        <v>1</v>
      </c>
      <c r="CA618" t="s">
        <v>1</v>
      </c>
      <c r="CB618" t="s">
        <v>1</v>
      </c>
      <c r="CD618" t="e" cm="1">
        <f t="array" aca="1" ref="CD618" ca="1">eConcatenar(A618:CB618,"|")</f>
        <v>#NAME?</v>
      </c>
    </row>
    <row r="619" spans="1:82" x14ac:dyDescent="0.25">
      <c r="A619" t="s">
        <v>714</v>
      </c>
      <c r="B619" t="s">
        <v>1728</v>
      </c>
      <c r="C619">
        <v>3</v>
      </c>
      <c r="D619" t="s">
        <v>2153</v>
      </c>
      <c r="E619" t="s">
        <v>2158</v>
      </c>
      <c r="F619" t="s">
        <v>0</v>
      </c>
      <c r="G619" t="s">
        <v>2521</v>
      </c>
      <c r="H619" t="s">
        <v>2779</v>
      </c>
      <c r="I619">
        <v>14800</v>
      </c>
      <c r="J619">
        <v>0</v>
      </c>
      <c r="K619">
        <v>100</v>
      </c>
      <c r="L619">
        <v>50</v>
      </c>
      <c r="M619">
        <v>2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 t="s">
        <v>5</v>
      </c>
      <c r="AC619" t="s">
        <v>3809</v>
      </c>
      <c r="AD619" t="s">
        <v>3810</v>
      </c>
      <c r="AE619" t="s">
        <v>4</v>
      </c>
      <c r="AF619" t="s">
        <v>1</v>
      </c>
      <c r="AG619" t="s">
        <v>1</v>
      </c>
      <c r="AH619" t="s">
        <v>4549</v>
      </c>
      <c r="AI619" t="s">
        <v>2521</v>
      </c>
      <c r="AJ619" t="s">
        <v>1</v>
      </c>
      <c r="AK619">
        <v>9371296208</v>
      </c>
      <c r="AL619" t="s">
        <v>1</v>
      </c>
      <c r="AM619" t="s">
        <v>1</v>
      </c>
      <c r="AN619" t="s">
        <v>1</v>
      </c>
      <c r="AO619" t="s">
        <v>4549</v>
      </c>
      <c r="AP619" t="s">
        <v>1</v>
      </c>
      <c r="AQ619" t="s">
        <v>2</v>
      </c>
      <c r="AR619" t="s">
        <v>1</v>
      </c>
      <c r="AS619" t="s">
        <v>1</v>
      </c>
      <c r="AT619" t="s">
        <v>1</v>
      </c>
      <c r="AU619" t="s">
        <v>1</v>
      </c>
      <c r="AV619" t="s">
        <v>1</v>
      </c>
      <c r="AW619" t="s">
        <v>9</v>
      </c>
      <c r="AX619">
        <f>Tabla1[[#This Row],[precio del paquete]]-Tabla1[[#This Row],[Saldo_Deudor]]</f>
        <v>400</v>
      </c>
      <c r="AY619">
        <v>14400</v>
      </c>
      <c r="AZ619">
        <v>0</v>
      </c>
      <c r="BA619">
        <v>0</v>
      </c>
      <c r="BB619">
        <v>0</v>
      </c>
      <c r="BC619" t="s">
        <v>2906</v>
      </c>
      <c r="BD619" t="s">
        <v>4898</v>
      </c>
      <c r="BE619" t="s">
        <v>3</v>
      </c>
      <c r="BF619" t="s">
        <v>3</v>
      </c>
      <c r="BG619" t="s">
        <v>3</v>
      </c>
      <c r="BH619" t="s">
        <v>3</v>
      </c>
      <c r="BI619" t="s">
        <v>3</v>
      </c>
      <c r="BJ619" t="s">
        <v>4985</v>
      </c>
      <c r="BK619" t="s">
        <v>3</v>
      </c>
      <c r="BL619" t="s">
        <v>96</v>
      </c>
      <c r="BM619" t="s">
        <v>1</v>
      </c>
      <c r="BN619">
        <v>14800</v>
      </c>
      <c r="BO619" t="s">
        <v>1</v>
      </c>
      <c r="BP619" t="s">
        <v>1</v>
      </c>
      <c r="BQ619" t="s">
        <v>1</v>
      </c>
      <c r="BR619" t="s">
        <v>1</v>
      </c>
      <c r="BS619" t="s">
        <v>1</v>
      </c>
      <c r="BT619" t="s">
        <v>1</v>
      </c>
      <c r="BU619" t="s">
        <v>1</v>
      </c>
      <c r="BV619" t="s">
        <v>1</v>
      </c>
      <c r="BW619" t="s">
        <v>0</v>
      </c>
      <c r="BX619" t="s">
        <v>1</v>
      </c>
      <c r="BY619" t="s">
        <v>1</v>
      </c>
      <c r="BZ619" t="s">
        <v>1</v>
      </c>
      <c r="CA619" t="s">
        <v>1</v>
      </c>
      <c r="CB619" t="s">
        <v>1</v>
      </c>
      <c r="CD619" t="e" cm="1">
        <f t="array" aca="1" ref="CD619" ca="1">eConcatenar(A619:CB619,"|")</f>
        <v>#NAME?</v>
      </c>
    </row>
    <row r="620" spans="1:82" x14ac:dyDescent="0.25">
      <c r="A620" t="s">
        <v>715</v>
      </c>
      <c r="B620" t="s">
        <v>1729</v>
      </c>
      <c r="C620">
        <v>3</v>
      </c>
      <c r="D620" t="s">
        <v>2153</v>
      </c>
      <c r="E620" t="s">
        <v>2158</v>
      </c>
      <c r="F620" t="s">
        <v>0</v>
      </c>
      <c r="G620" t="s">
        <v>2521</v>
      </c>
      <c r="H620" t="s">
        <v>2714</v>
      </c>
      <c r="I620">
        <v>14800</v>
      </c>
      <c r="J620">
        <v>0</v>
      </c>
      <c r="K620">
        <v>100</v>
      </c>
      <c r="L620">
        <v>50</v>
      </c>
      <c r="M620">
        <v>2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 t="s">
        <v>5</v>
      </c>
      <c r="AC620" t="s">
        <v>3132</v>
      </c>
      <c r="AD620" t="s">
        <v>3811</v>
      </c>
      <c r="AE620" t="s">
        <v>4</v>
      </c>
      <c r="AF620" t="s">
        <v>1</v>
      </c>
      <c r="AG620" t="s">
        <v>1</v>
      </c>
      <c r="AH620" t="s">
        <v>4550</v>
      </c>
      <c r="AI620" t="s">
        <v>2521</v>
      </c>
      <c r="AJ620" t="s">
        <v>1</v>
      </c>
      <c r="AK620">
        <v>9371697532</v>
      </c>
      <c r="AL620" t="s">
        <v>1</v>
      </c>
      <c r="AM620" t="s">
        <v>1</v>
      </c>
      <c r="AN620" t="s">
        <v>1</v>
      </c>
      <c r="AO620" t="s">
        <v>4550</v>
      </c>
      <c r="AP620" t="s">
        <v>1</v>
      </c>
      <c r="AQ620" t="s">
        <v>2</v>
      </c>
      <c r="AR620" t="s">
        <v>1</v>
      </c>
      <c r="AS620" t="s">
        <v>1</v>
      </c>
      <c r="AT620" t="s">
        <v>1</v>
      </c>
      <c r="AU620" t="s">
        <v>1</v>
      </c>
      <c r="AV620" t="s">
        <v>1</v>
      </c>
      <c r="AW620" t="s">
        <v>9</v>
      </c>
      <c r="AX620">
        <f>Tabla1[[#This Row],[precio del paquete]]-Tabla1[[#This Row],[Saldo_Deudor]]</f>
        <v>500</v>
      </c>
      <c r="AY620">
        <v>14300</v>
      </c>
      <c r="AZ620">
        <v>0</v>
      </c>
      <c r="BA620">
        <v>0</v>
      </c>
      <c r="BB620">
        <v>0</v>
      </c>
      <c r="BC620" t="s">
        <v>2906</v>
      </c>
      <c r="BD620" t="s">
        <v>4898</v>
      </c>
      <c r="BE620" t="s">
        <v>3</v>
      </c>
      <c r="BF620" t="s">
        <v>3</v>
      </c>
      <c r="BG620" t="s">
        <v>3</v>
      </c>
      <c r="BH620" t="s">
        <v>3</v>
      </c>
      <c r="BI620" t="s">
        <v>3</v>
      </c>
      <c r="BJ620" t="s">
        <v>4985</v>
      </c>
      <c r="BK620" t="s">
        <v>3</v>
      </c>
      <c r="BL620" t="s">
        <v>96</v>
      </c>
      <c r="BM620" t="s">
        <v>1</v>
      </c>
      <c r="BN620">
        <v>14800</v>
      </c>
      <c r="BO620" t="s">
        <v>1</v>
      </c>
      <c r="BP620" t="s">
        <v>1</v>
      </c>
      <c r="BQ620" t="s">
        <v>1</v>
      </c>
      <c r="BR620" t="s">
        <v>1</v>
      </c>
      <c r="BS620" t="s">
        <v>1</v>
      </c>
      <c r="BT620" t="s">
        <v>1</v>
      </c>
      <c r="BU620" t="s">
        <v>1</v>
      </c>
      <c r="BV620" t="s">
        <v>1</v>
      </c>
      <c r="BW620" t="s">
        <v>0</v>
      </c>
      <c r="BX620" t="s">
        <v>1</v>
      </c>
      <c r="BY620" t="s">
        <v>1</v>
      </c>
      <c r="BZ620" t="s">
        <v>1</v>
      </c>
      <c r="CA620" t="s">
        <v>1</v>
      </c>
      <c r="CB620" t="s">
        <v>1</v>
      </c>
      <c r="CD620" t="e" cm="1">
        <f t="array" aca="1" ref="CD620" ca="1">eConcatenar(A620:CB620,"|")</f>
        <v>#NAME?</v>
      </c>
    </row>
    <row r="621" spans="1:82" x14ac:dyDescent="0.25">
      <c r="A621" t="s">
        <v>716</v>
      </c>
      <c r="B621" t="s">
        <v>1730</v>
      </c>
      <c r="C621">
        <v>3</v>
      </c>
      <c r="D621" t="s">
        <v>2153</v>
      </c>
      <c r="E621" t="s">
        <v>2158</v>
      </c>
      <c r="F621" t="s">
        <v>0</v>
      </c>
      <c r="G621" t="s">
        <v>2521</v>
      </c>
      <c r="H621" t="s">
        <v>2977</v>
      </c>
      <c r="I621">
        <v>14800</v>
      </c>
      <c r="J621">
        <v>0</v>
      </c>
      <c r="K621">
        <v>500</v>
      </c>
      <c r="L621">
        <v>50</v>
      </c>
      <c r="M621">
        <v>2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 t="s">
        <v>3812</v>
      </c>
      <c r="AC621" t="s">
        <v>3119</v>
      </c>
      <c r="AD621" t="s">
        <v>3813</v>
      </c>
      <c r="AE621" t="s">
        <v>4</v>
      </c>
      <c r="AF621" t="s">
        <v>1</v>
      </c>
      <c r="AG621" t="s">
        <v>1</v>
      </c>
      <c r="AH621" t="s">
        <v>4551</v>
      </c>
      <c r="AI621" t="s">
        <v>2521</v>
      </c>
      <c r="AJ621" t="s">
        <v>1</v>
      </c>
      <c r="AK621">
        <v>9932369256</v>
      </c>
      <c r="AL621" t="s">
        <v>1</v>
      </c>
      <c r="AM621" t="s">
        <v>1</v>
      </c>
      <c r="AN621" t="s">
        <v>1</v>
      </c>
      <c r="AO621" t="s">
        <v>4551</v>
      </c>
      <c r="AP621" t="s">
        <v>1</v>
      </c>
      <c r="AQ621" t="s">
        <v>2</v>
      </c>
      <c r="AR621" t="s">
        <v>1</v>
      </c>
      <c r="AS621" t="s">
        <v>1</v>
      </c>
      <c r="AT621" t="s">
        <v>1</v>
      </c>
      <c r="AU621" t="s">
        <v>1</v>
      </c>
      <c r="AV621" t="s">
        <v>1</v>
      </c>
      <c r="AW621" t="s">
        <v>9</v>
      </c>
      <c r="AX621">
        <f>Tabla1[[#This Row],[precio del paquete]]-Tabla1[[#This Row],[Saldo_Deudor]]</f>
        <v>900</v>
      </c>
      <c r="AY621">
        <v>13900</v>
      </c>
      <c r="AZ621">
        <v>0</v>
      </c>
      <c r="BA621">
        <v>0</v>
      </c>
      <c r="BB621">
        <v>0</v>
      </c>
      <c r="BC621" t="s">
        <v>3094</v>
      </c>
      <c r="BD621" t="s">
        <v>2988</v>
      </c>
      <c r="BE621" t="s">
        <v>3</v>
      </c>
      <c r="BF621" t="s">
        <v>3</v>
      </c>
      <c r="BG621" t="s">
        <v>3</v>
      </c>
      <c r="BH621" t="s">
        <v>3</v>
      </c>
      <c r="BI621" t="s">
        <v>3</v>
      </c>
      <c r="BJ621" t="s">
        <v>4985</v>
      </c>
      <c r="BK621" t="s">
        <v>3</v>
      </c>
      <c r="BL621" t="s">
        <v>96</v>
      </c>
      <c r="BM621" t="s">
        <v>1</v>
      </c>
      <c r="BN621">
        <v>14800</v>
      </c>
      <c r="BO621" t="s">
        <v>1</v>
      </c>
      <c r="BP621" t="s">
        <v>1</v>
      </c>
      <c r="BQ621" t="s">
        <v>1</v>
      </c>
      <c r="BR621" t="s">
        <v>1</v>
      </c>
      <c r="BS621" t="s">
        <v>1</v>
      </c>
      <c r="BT621" t="s">
        <v>1</v>
      </c>
      <c r="BU621" t="s">
        <v>1</v>
      </c>
      <c r="BV621" t="s">
        <v>1</v>
      </c>
      <c r="BW621" t="s">
        <v>0</v>
      </c>
      <c r="BX621" t="s">
        <v>1</v>
      </c>
      <c r="BY621" t="s">
        <v>1</v>
      </c>
      <c r="BZ621" t="s">
        <v>1</v>
      </c>
      <c r="CA621" t="s">
        <v>1</v>
      </c>
      <c r="CB621" t="s">
        <v>1</v>
      </c>
      <c r="CD621" t="e" cm="1">
        <f t="array" aca="1" ref="CD621" ca="1">eConcatenar(A621:CB621,"|")</f>
        <v>#NAME?</v>
      </c>
    </row>
    <row r="622" spans="1:82" x14ac:dyDescent="0.25">
      <c r="A622" t="s">
        <v>717</v>
      </c>
      <c r="B622" t="s">
        <v>1731</v>
      </c>
      <c r="C622">
        <v>3</v>
      </c>
      <c r="D622" t="s">
        <v>2153</v>
      </c>
      <c r="E622" t="s">
        <v>2158</v>
      </c>
      <c r="F622" t="s">
        <v>2159</v>
      </c>
      <c r="G622" t="s">
        <v>2522</v>
      </c>
      <c r="H622" t="s">
        <v>2978</v>
      </c>
      <c r="I622">
        <v>14800</v>
      </c>
      <c r="J622">
        <v>0</v>
      </c>
      <c r="K622">
        <v>300</v>
      </c>
      <c r="L622">
        <v>50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 t="s">
        <v>3814</v>
      </c>
      <c r="AC622" t="s">
        <v>3600</v>
      </c>
      <c r="AD622" t="s">
        <v>3489</v>
      </c>
      <c r="AE622" t="s">
        <v>4</v>
      </c>
      <c r="AF622" t="s">
        <v>1</v>
      </c>
      <c r="AG622" t="s">
        <v>1</v>
      </c>
      <c r="AH622" t="s">
        <v>4552</v>
      </c>
      <c r="AI622" t="s">
        <v>2522</v>
      </c>
      <c r="AJ622" t="s">
        <v>1</v>
      </c>
      <c r="AK622">
        <v>9331201318</v>
      </c>
      <c r="AL622" t="s">
        <v>1</v>
      </c>
      <c r="AM622" t="s">
        <v>1</v>
      </c>
      <c r="AN622" t="s">
        <v>1</v>
      </c>
      <c r="AO622" t="s">
        <v>4552</v>
      </c>
      <c r="AP622" t="s">
        <v>1</v>
      </c>
      <c r="AQ622" t="s">
        <v>2</v>
      </c>
      <c r="AR622" t="s">
        <v>1</v>
      </c>
      <c r="AS622" t="s">
        <v>1</v>
      </c>
      <c r="AT622" t="s">
        <v>1</v>
      </c>
      <c r="AU622" t="s">
        <v>1</v>
      </c>
      <c r="AV622" t="s">
        <v>1</v>
      </c>
      <c r="AW622" t="s">
        <v>9</v>
      </c>
      <c r="AX622">
        <f>Tabla1[[#This Row],[precio del paquete]]-Tabla1[[#This Row],[Saldo_Deudor]]</f>
        <v>3500</v>
      </c>
      <c r="AY622">
        <v>11300</v>
      </c>
      <c r="AZ622">
        <v>0</v>
      </c>
      <c r="BA622">
        <v>0</v>
      </c>
      <c r="BB622">
        <v>0</v>
      </c>
      <c r="BC622" t="s">
        <v>2905</v>
      </c>
      <c r="BD622" t="s">
        <v>3024</v>
      </c>
      <c r="BE622" t="s">
        <v>3</v>
      </c>
      <c r="BF622" t="s">
        <v>3</v>
      </c>
      <c r="BG622" t="s">
        <v>3</v>
      </c>
      <c r="BH622" t="s">
        <v>3</v>
      </c>
      <c r="BI622" t="s">
        <v>3</v>
      </c>
      <c r="BJ622" t="s">
        <v>4985</v>
      </c>
      <c r="BK622" t="s">
        <v>3</v>
      </c>
      <c r="BL622" t="s">
        <v>96</v>
      </c>
      <c r="BM622" t="s">
        <v>1</v>
      </c>
      <c r="BN622">
        <v>14800</v>
      </c>
      <c r="BO622" t="s">
        <v>1</v>
      </c>
      <c r="BP622" t="s">
        <v>1</v>
      </c>
      <c r="BQ622" t="s">
        <v>1</v>
      </c>
      <c r="BR622" t="s">
        <v>1</v>
      </c>
      <c r="BS622" t="s">
        <v>1</v>
      </c>
      <c r="BT622" t="s">
        <v>1</v>
      </c>
      <c r="BU622" t="s">
        <v>1</v>
      </c>
      <c r="BV622" t="s">
        <v>1</v>
      </c>
      <c r="BW622" t="s">
        <v>0</v>
      </c>
      <c r="BX622" t="s">
        <v>1</v>
      </c>
      <c r="BY622" t="s">
        <v>1</v>
      </c>
      <c r="BZ622" t="s">
        <v>1</v>
      </c>
      <c r="CA622" t="s">
        <v>1</v>
      </c>
      <c r="CB622" t="s">
        <v>1</v>
      </c>
      <c r="CD622" t="e" cm="1">
        <f t="array" aca="1" ref="CD622" ca="1">eConcatenar(A622:CB622,"|")</f>
        <v>#NAME?</v>
      </c>
    </row>
    <row r="623" spans="1:82" x14ac:dyDescent="0.25">
      <c r="A623" t="s">
        <v>718</v>
      </c>
      <c r="B623" t="s">
        <v>1732</v>
      </c>
      <c r="C623">
        <v>3</v>
      </c>
      <c r="D623" t="s">
        <v>2153</v>
      </c>
      <c r="E623" t="s">
        <v>2158</v>
      </c>
      <c r="F623" t="s">
        <v>2162</v>
      </c>
      <c r="G623" t="s">
        <v>2523</v>
      </c>
      <c r="H623" t="s">
        <v>2706</v>
      </c>
      <c r="I623">
        <v>14800</v>
      </c>
      <c r="J623">
        <v>0</v>
      </c>
      <c r="K623">
        <v>200</v>
      </c>
      <c r="L623">
        <v>50</v>
      </c>
      <c r="M623">
        <v>1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 t="s">
        <v>3132</v>
      </c>
      <c r="AC623" t="s">
        <v>3155</v>
      </c>
      <c r="AD623" t="s">
        <v>3815</v>
      </c>
      <c r="AE623" t="s">
        <v>4</v>
      </c>
      <c r="AF623" t="s">
        <v>1</v>
      </c>
      <c r="AG623" t="s">
        <v>1</v>
      </c>
      <c r="AH623" t="s">
        <v>2523</v>
      </c>
      <c r="AI623" t="s">
        <v>2523</v>
      </c>
      <c r="AJ623" t="s">
        <v>1</v>
      </c>
      <c r="AK623" t="s">
        <v>1</v>
      </c>
      <c r="AL623" t="s">
        <v>1</v>
      </c>
      <c r="AM623" t="s">
        <v>1</v>
      </c>
      <c r="AN623" t="s">
        <v>1</v>
      </c>
      <c r="AO623" t="s">
        <v>2523</v>
      </c>
      <c r="AP623" t="s">
        <v>1</v>
      </c>
      <c r="AQ623" t="s">
        <v>2</v>
      </c>
      <c r="AR623" t="s">
        <v>1</v>
      </c>
      <c r="AS623" t="s">
        <v>1</v>
      </c>
      <c r="AT623" t="s">
        <v>1</v>
      </c>
      <c r="AU623" t="s">
        <v>1</v>
      </c>
      <c r="AV623" t="s">
        <v>1</v>
      </c>
      <c r="AW623" t="s">
        <v>9</v>
      </c>
      <c r="AX623">
        <f>Tabla1[[#This Row],[precio del paquete]]-Tabla1[[#This Row],[Saldo_Deudor]]</f>
        <v>11800</v>
      </c>
      <c r="AY623">
        <v>3000</v>
      </c>
      <c r="AZ623">
        <v>0</v>
      </c>
      <c r="BA623">
        <v>0</v>
      </c>
      <c r="BB623">
        <v>0</v>
      </c>
      <c r="BC623" t="s">
        <v>4841</v>
      </c>
      <c r="BD623" t="s">
        <v>4926</v>
      </c>
      <c r="BE623" t="s">
        <v>3</v>
      </c>
      <c r="BF623" t="s">
        <v>3</v>
      </c>
      <c r="BG623" t="s">
        <v>3</v>
      </c>
      <c r="BH623" t="s">
        <v>3</v>
      </c>
      <c r="BI623" t="s">
        <v>3</v>
      </c>
      <c r="BJ623" t="s">
        <v>4993</v>
      </c>
      <c r="BK623" t="s">
        <v>3</v>
      </c>
      <c r="BL623" t="s">
        <v>96</v>
      </c>
      <c r="BM623" t="s">
        <v>1</v>
      </c>
      <c r="BN623">
        <v>14800</v>
      </c>
      <c r="BO623" t="s">
        <v>1</v>
      </c>
      <c r="BP623" t="s">
        <v>1</v>
      </c>
      <c r="BQ623" t="s">
        <v>1</v>
      </c>
      <c r="BR623" t="s">
        <v>1</v>
      </c>
      <c r="BS623" t="s">
        <v>1</v>
      </c>
      <c r="BT623" t="s">
        <v>1</v>
      </c>
      <c r="BU623" t="s">
        <v>1</v>
      </c>
      <c r="BV623" t="s">
        <v>1</v>
      </c>
      <c r="BW623" t="s">
        <v>0</v>
      </c>
      <c r="BX623" t="s">
        <v>1</v>
      </c>
      <c r="BY623" t="s">
        <v>1</v>
      </c>
      <c r="BZ623" t="s">
        <v>1</v>
      </c>
      <c r="CA623" t="s">
        <v>1</v>
      </c>
      <c r="CB623" t="s">
        <v>1</v>
      </c>
      <c r="CD623" t="e" cm="1">
        <f t="array" aca="1" ref="CD623" ca="1">eConcatenar(A623:CB623,"|")</f>
        <v>#NAME?</v>
      </c>
    </row>
    <row r="624" spans="1:82" x14ac:dyDescent="0.25">
      <c r="A624" t="s">
        <v>719</v>
      </c>
      <c r="B624" t="s">
        <v>1733</v>
      </c>
      <c r="C624">
        <v>3</v>
      </c>
      <c r="D624" t="s">
        <v>2153</v>
      </c>
      <c r="E624" t="s">
        <v>2158</v>
      </c>
      <c r="F624" t="s">
        <v>2161</v>
      </c>
      <c r="G624" t="s">
        <v>2524</v>
      </c>
      <c r="H624" t="s">
        <v>2744</v>
      </c>
      <c r="I624">
        <v>14800</v>
      </c>
      <c r="J624">
        <v>0</v>
      </c>
      <c r="K624">
        <v>100</v>
      </c>
      <c r="L624">
        <v>50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 t="s">
        <v>5</v>
      </c>
      <c r="AC624" t="s">
        <v>3240</v>
      </c>
      <c r="AD624" t="s">
        <v>3528</v>
      </c>
      <c r="AE624" t="s">
        <v>4</v>
      </c>
      <c r="AF624" t="s">
        <v>1</v>
      </c>
      <c r="AG624" t="s">
        <v>1</v>
      </c>
      <c r="AH624" t="s">
        <v>4553</v>
      </c>
      <c r="AI624" t="s">
        <v>2524</v>
      </c>
      <c r="AJ624" t="s">
        <v>1</v>
      </c>
      <c r="AK624">
        <v>9331065899</v>
      </c>
      <c r="AL624" t="s">
        <v>1</v>
      </c>
      <c r="AM624" t="s">
        <v>1</v>
      </c>
      <c r="AN624" t="s">
        <v>1</v>
      </c>
      <c r="AO624" t="s">
        <v>4553</v>
      </c>
      <c r="AP624" t="s">
        <v>1</v>
      </c>
      <c r="AQ624" t="s">
        <v>2</v>
      </c>
      <c r="AR624" t="s">
        <v>1</v>
      </c>
      <c r="AS624" t="s">
        <v>1</v>
      </c>
      <c r="AT624" t="s">
        <v>1</v>
      </c>
      <c r="AU624" t="s">
        <v>1</v>
      </c>
      <c r="AV624" t="s">
        <v>1</v>
      </c>
      <c r="AW624" t="s">
        <v>9</v>
      </c>
      <c r="AX624">
        <f>Tabla1[[#This Row],[precio del paquete]]-Tabla1[[#This Row],[Saldo_Deudor]]</f>
        <v>1750</v>
      </c>
      <c r="AY624">
        <v>13050</v>
      </c>
      <c r="AZ624">
        <v>0</v>
      </c>
      <c r="BA624">
        <v>0</v>
      </c>
      <c r="BB624">
        <v>0</v>
      </c>
      <c r="BC624" t="s">
        <v>3098</v>
      </c>
      <c r="BD624" t="s">
        <v>4829</v>
      </c>
      <c r="BE624" t="s">
        <v>3</v>
      </c>
      <c r="BF624" t="s">
        <v>3</v>
      </c>
      <c r="BG624" t="s">
        <v>3</v>
      </c>
      <c r="BH624" t="s">
        <v>3</v>
      </c>
      <c r="BI624" t="s">
        <v>3</v>
      </c>
      <c r="BJ624" t="s">
        <v>5000</v>
      </c>
      <c r="BK624" t="s">
        <v>3</v>
      </c>
      <c r="BL624" t="s">
        <v>96</v>
      </c>
      <c r="BM624" t="s">
        <v>1</v>
      </c>
      <c r="BN624">
        <v>14800</v>
      </c>
      <c r="BO624" t="s">
        <v>1</v>
      </c>
      <c r="BP624" t="s">
        <v>1</v>
      </c>
      <c r="BQ624" t="s">
        <v>1</v>
      </c>
      <c r="BR624" t="s">
        <v>1</v>
      </c>
      <c r="BS624" t="s">
        <v>1</v>
      </c>
      <c r="BT624" t="s">
        <v>1</v>
      </c>
      <c r="BU624" t="s">
        <v>1</v>
      </c>
      <c r="BV624" t="s">
        <v>1</v>
      </c>
      <c r="BW624" t="s">
        <v>0</v>
      </c>
      <c r="BX624" t="s">
        <v>1</v>
      </c>
      <c r="BY624" t="s">
        <v>1</v>
      </c>
      <c r="BZ624" t="s">
        <v>1</v>
      </c>
      <c r="CA624" t="s">
        <v>1</v>
      </c>
      <c r="CB624" t="s">
        <v>1</v>
      </c>
      <c r="CD624" t="e" cm="1">
        <f t="array" aca="1" ref="CD624" ca="1">eConcatenar(A624:CB624,"|")</f>
        <v>#NAME?</v>
      </c>
    </row>
    <row r="625" spans="1:82" x14ac:dyDescent="0.25">
      <c r="A625" t="s">
        <v>720</v>
      </c>
      <c r="B625" t="s">
        <v>1734</v>
      </c>
      <c r="C625">
        <v>3</v>
      </c>
      <c r="D625" t="s">
        <v>2153</v>
      </c>
      <c r="E625" t="s">
        <v>2158</v>
      </c>
      <c r="F625" t="s">
        <v>2159</v>
      </c>
      <c r="G625" t="s">
        <v>2525</v>
      </c>
      <c r="H625" t="s">
        <v>2775</v>
      </c>
      <c r="I625">
        <v>14800</v>
      </c>
      <c r="J625">
        <v>0</v>
      </c>
      <c r="K625">
        <v>100</v>
      </c>
      <c r="L625">
        <v>50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 t="s">
        <v>3354</v>
      </c>
      <c r="AC625" t="s">
        <v>3816</v>
      </c>
      <c r="AD625" t="s">
        <v>3204</v>
      </c>
      <c r="AE625" t="s">
        <v>4</v>
      </c>
      <c r="AF625" t="s">
        <v>1</v>
      </c>
      <c r="AG625" t="s">
        <v>1</v>
      </c>
      <c r="AH625" t="s">
        <v>4554</v>
      </c>
      <c r="AI625" t="s">
        <v>2525</v>
      </c>
      <c r="AJ625" t="s">
        <v>1</v>
      </c>
      <c r="AK625" t="s">
        <v>1</v>
      </c>
      <c r="AL625" t="s">
        <v>1</v>
      </c>
      <c r="AM625" t="s">
        <v>1</v>
      </c>
      <c r="AN625" t="s">
        <v>1</v>
      </c>
      <c r="AO625" t="s">
        <v>4554</v>
      </c>
      <c r="AP625" t="s">
        <v>1</v>
      </c>
      <c r="AQ625" t="s">
        <v>2</v>
      </c>
      <c r="AR625" t="s">
        <v>1</v>
      </c>
      <c r="AS625" t="s">
        <v>1</v>
      </c>
      <c r="AT625" t="s">
        <v>1</v>
      </c>
      <c r="AU625" t="s">
        <v>1</v>
      </c>
      <c r="AV625" t="s">
        <v>1</v>
      </c>
      <c r="AW625" t="s">
        <v>9</v>
      </c>
      <c r="AX625">
        <f>Tabla1[[#This Row],[precio del paquete]]-Tabla1[[#This Row],[Saldo_Deudor]]</f>
        <v>800</v>
      </c>
      <c r="AY625">
        <v>14000</v>
      </c>
      <c r="AZ625">
        <v>0</v>
      </c>
      <c r="BA625">
        <v>0</v>
      </c>
      <c r="BB625">
        <v>0</v>
      </c>
      <c r="BC625" t="s">
        <v>3024</v>
      </c>
      <c r="BD625" t="s">
        <v>4830</v>
      </c>
      <c r="BE625" t="s">
        <v>3</v>
      </c>
      <c r="BF625" t="s">
        <v>3</v>
      </c>
      <c r="BG625" t="s">
        <v>3</v>
      </c>
      <c r="BH625" t="s">
        <v>3</v>
      </c>
      <c r="BI625" t="s">
        <v>3</v>
      </c>
      <c r="BJ625" t="s">
        <v>4983</v>
      </c>
      <c r="BK625" t="s">
        <v>3</v>
      </c>
      <c r="BL625" t="s">
        <v>96</v>
      </c>
      <c r="BM625" t="s">
        <v>1</v>
      </c>
      <c r="BN625">
        <v>14800</v>
      </c>
      <c r="BO625" t="s">
        <v>1</v>
      </c>
      <c r="BP625" t="s">
        <v>1</v>
      </c>
      <c r="BQ625" t="s">
        <v>1</v>
      </c>
      <c r="BR625" t="s">
        <v>1</v>
      </c>
      <c r="BS625" t="s">
        <v>1</v>
      </c>
      <c r="BT625" t="s">
        <v>1</v>
      </c>
      <c r="BU625" t="s">
        <v>1</v>
      </c>
      <c r="BV625" t="s">
        <v>1</v>
      </c>
      <c r="BW625" t="s">
        <v>0</v>
      </c>
      <c r="BX625" t="s">
        <v>1</v>
      </c>
      <c r="BY625" t="s">
        <v>1</v>
      </c>
      <c r="BZ625" t="s">
        <v>1</v>
      </c>
      <c r="CA625" t="s">
        <v>1</v>
      </c>
      <c r="CB625" t="s">
        <v>1</v>
      </c>
      <c r="CD625" t="e" cm="1">
        <f t="array" aca="1" ref="CD625" ca="1">eConcatenar(A625:CB625,"|")</f>
        <v>#NAME?</v>
      </c>
    </row>
    <row r="626" spans="1:82" x14ac:dyDescent="0.25">
      <c r="A626" t="s">
        <v>721</v>
      </c>
      <c r="B626" t="s">
        <v>1735</v>
      </c>
      <c r="C626">
        <v>3</v>
      </c>
      <c r="D626" t="s">
        <v>2153</v>
      </c>
      <c r="E626" t="s">
        <v>2158</v>
      </c>
      <c r="F626" t="s">
        <v>2159</v>
      </c>
      <c r="G626" t="s">
        <v>2525</v>
      </c>
      <c r="H626" t="s">
        <v>2706</v>
      </c>
      <c r="I626">
        <v>14800</v>
      </c>
      <c r="J626">
        <v>0</v>
      </c>
      <c r="K626">
        <v>100</v>
      </c>
      <c r="L626">
        <v>50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 t="s">
        <v>3384</v>
      </c>
      <c r="AC626" t="s">
        <v>3117</v>
      </c>
      <c r="AD626" t="s">
        <v>3817</v>
      </c>
      <c r="AE626" t="s">
        <v>4</v>
      </c>
      <c r="AF626" t="s">
        <v>1</v>
      </c>
      <c r="AG626" t="s">
        <v>1</v>
      </c>
      <c r="AH626" t="s">
        <v>4555</v>
      </c>
      <c r="AI626" t="s">
        <v>2525</v>
      </c>
      <c r="AJ626" t="s">
        <v>1</v>
      </c>
      <c r="AK626" t="s">
        <v>1</v>
      </c>
      <c r="AL626" t="s">
        <v>1</v>
      </c>
      <c r="AM626" t="s">
        <v>1</v>
      </c>
      <c r="AN626" t="s">
        <v>1</v>
      </c>
      <c r="AO626" t="s">
        <v>4555</v>
      </c>
      <c r="AP626" t="s">
        <v>1</v>
      </c>
      <c r="AQ626" t="s">
        <v>2</v>
      </c>
      <c r="AR626" t="s">
        <v>1</v>
      </c>
      <c r="AS626" t="s">
        <v>1</v>
      </c>
      <c r="AT626" t="s">
        <v>1</v>
      </c>
      <c r="AU626" t="s">
        <v>1</v>
      </c>
      <c r="AV626" t="s">
        <v>1</v>
      </c>
      <c r="AW626" t="s">
        <v>9</v>
      </c>
      <c r="AX626">
        <f>Tabla1[[#This Row],[precio del paquete]]-Tabla1[[#This Row],[Saldo_Deudor]]</f>
        <v>1900</v>
      </c>
      <c r="AY626">
        <v>12900</v>
      </c>
      <c r="AZ626">
        <v>0</v>
      </c>
      <c r="BA626">
        <v>0</v>
      </c>
      <c r="BB626">
        <v>0</v>
      </c>
      <c r="BC626" t="s">
        <v>3024</v>
      </c>
      <c r="BD626" t="s">
        <v>4830</v>
      </c>
      <c r="BE626" t="s">
        <v>3</v>
      </c>
      <c r="BF626" t="s">
        <v>3</v>
      </c>
      <c r="BG626" t="s">
        <v>3</v>
      </c>
      <c r="BH626" t="s">
        <v>3</v>
      </c>
      <c r="BI626" t="s">
        <v>3</v>
      </c>
      <c r="BJ626" t="s">
        <v>5009</v>
      </c>
      <c r="BK626" t="s">
        <v>3</v>
      </c>
      <c r="BL626" t="s">
        <v>96</v>
      </c>
      <c r="BM626" t="s">
        <v>1</v>
      </c>
      <c r="BN626">
        <v>14800</v>
      </c>
      <c r="BO626" t="s">
        <v>1</v>
      </c>
      <c r="BP626" t="s">
        <v>1</v>
      </c>
      <c r="BQ626" t="s">
        <v>1</v>
      </c>
      <c r="BR626" t="s">
        <v>1</v>
      </c>
      <c r="BS626" t="s">
        <v>1</v>
      </c>
      <c r="BT626" t="s">
        <v>1</v>
      </c>
      <c r="BU626" t="s">
        <v>1</v>
      </c>
      <c r="BV626" t="s">
        <v>1</v>
      </c>
      <c r="BW626" t="s">
        <v>0</v>
      </c>
      <c r="BX626" t="s">
        <v>1</v>
      </c>
      <c r="BY626" t="s">
        <v>1</v>
      </c>
      <c r="BZ626" t="s">
        <v>1</v>
      </c>
      <c r="CA626" t="s">
        <v>1</v>
      </c>
      <c r="CB626" t="s">
        <v>1</v>
      </c>
      <c r="CD626" t="e" cm="1">
        <f t="array" aca="1" ref="CD626" ca="1">eConcatenar(A626:CB626,"|")</f>
        <v>#NAME?</v>
      </c>
    </row>
    <row r="627" spans="1:82" x14ac:dyDescent="0.25">
      <c r="A627" t="s">
        <v>722</v>
      </c>
      <c r="B627" t="s">
        <v>1736</v>
      </c>
      <c r="C627">
        <v>3</v>
      </c>
      <c r="D627" t="s">
        <v>2157</v>
      </c>
      <c r="E627" t="s">
        <v>2158</v>
      </c>
      <c r="F627" t="s">
        <v>0</v>
      </c>
      <c r="G627" t="s">
        <v>2526</v>
      </c>
      <c r="H627" t="s">
        <v>2979</v>
      </c>
      <c r="I627">
        <v>11500</v>
      </c>
      <c r="J627">
        <v>0</v>
      </c>
      <c r="K627">
        <v>100</v>
      </c>
      <c r="L627">
        <v>50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 t="s">
        <v>3162</v>
      </c>
      <c r="AC627" t="s">
        <v>3148</v>
      </c>
      <c r="AD627" t="s">
        <v>3477</v>
      </c>
      <c r="AE627" t="s">
        <v>4</v>
      </c>
      <c r="AF627" t="s">
        <v>1</v>
      </c>
      <c r="AG627" t="s">
        <v>1</v>
      </c>
      <c r="AH627" t="s">
        <v>4556</v>
      </c>
      <c r="AI627" t="s">
        <v>2526</v>
      </c>
      <c r="AJ627" t="s">
        <v>1</v>
      </c>
      <c r="AK627">
        <v>9371101792</v>
      </c>
      <c r="AL627" t="s">
        <v>1</v>
      </c>
      <c r="AM627" t="s">
        <v>1</v>
      </c>
      <c r="AN627" t="s">
        <v>1</v>
      </c>
      <c r="AO627" t="s">
        <v>4556</v>
      </c>
      <c r="AP627" t="s">
        <v>1</v>
      </c>
      <c r="AQ627" t="s">
        <v>2</v>
      </c>
      <c r="AR627" t="s">
        <v>1</v>
      </c>
      <c r="AS627" t="s">
        <v>1</v>
      </c>
      <c r="AT627" t="s">
        <v>1</v>
      </c>
      <c r="AU627" t="s">
        <v>1</v>
      </c>
      <c r="AV627" t="s">
        <v>1</v>
      </c>
      <c r="AW627" t="s">
        <v>9</v>
      </c>
      <c r="AX627">
        <f>Tabla1[[#This Row],[precio del paquete]]-Tabla1[[#This Row],[Saldo_Deudor]]</f>
        <v>8600</v>
      </c>
      <c r="AY627">
        <v>2900</v>
      </c>
      <c r="AZ627">
        <v>0</v>
      </c>
      <c r="BA627">
        <v>0</v>
      </c>
      <c r="BB627">
        <v>0</v>
      </c>
      <c r="BC627" t="s">
        <v>4826</v>
      </c>
      <c r="BD627" t="s">
        <v>2706</v>
      </c>
      <c r="BE627" t="s">
        <v>3</v>
      </c>
      <c r="BF627" t="s">
        <v>3</v>
      </c>
      <c r="BG627" t="s">
        <v>3</v>
      </c>
      <c r="BH627" t="s">
        <v>3</v>
      </c>
      <c r="BI627" t="s">
        <v>3</v>
      </c>
      <c r="BJ627" t="s">
        <v>5009</v>
      </c>
      <c r="BK627" t="s">
        <v>3</v>
      </c>
      <c r="BL627" t="s">
        <v>96</v>
      </c>
      <c r="BM627" t="s">
        <v>1</v>
      </c>
      <c r="BN627">
        <v>11500</v>
      </c>
      <c r="BO627" t="s">
        <v>1</v>
      </c>
      <c r="BP627" t="s">
        <v>1</v>
      </c>
      <c r="BQ627" t="s">
        <v>1</v>
      </c>
      <c r="BR627" t="s">
        <v>1</v>
      </c>
      <c r="BS627" t="s">
        <v>1</v>
      </c>
      <c r="BT627" t="s">
        <v>1</v>
      </c>
      <c r="BU627" t="s">
        <v>1</v>
      </c>
      <c r="BV627" t="s">
        <v>1</v>
      </c>
      <c r="BW627" t="s">
        <v>0</v>
      </c>
      <c r="BX627" t="s">
        <v>1</v>
      </c>
      <c r="BY627" t="s">
        <v>1</v>
      </c>
      <c r="BZ627" t="s">
        <v>1</v>
      </c>
      <c r="CA627" t="s">
        <v>1</v>
      </c>
      <c r="CB627" t="s">
        <v>1</v>
      </c>
      <c r="CD627" t="e" cm="1">
        <f t="array" aca="1" ref="CD627" ca="1">eConcatenar(A627:CB627,"|")</f>
        <v>#NAME?</v>
      </c>
    </row>
    <row r="628" spans="1:82" x14ac:dyDescent="0.25">
      <c r="A628" t="s">
        <v>723</v>
      </c>
      <c r="B628" t="s">
        <v>1737</v>
      </c>
      <c r="C628">
        <v>3</v>
      </c>
      <c r="D628" t="s">
        <v>2153</v>
      </c>
      <c r="E628" t="s">
        <v>2158</v>
      </c>
      <c r="F628" t="s">
        <v>2161</v>
      </c>
      <c r="G628" t="s">
        <v>2526</v>
      </c>
      <c r="H628" t="s">
        <v>2775</v>
      </c>
      <c r="I628">
        <v>14800</v>
      </c>
      <c r="J628">
        <v>0</v>
      </c>
      <c r="K628">
        <v>100</v>
      </c>
      <c r="L628">
        <v>50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 t="s">
        <v>3354</v>
      </c>
      <c r="AC628" t="s">
        <v>3816</v>
      </c>
      <c r="AD628" t="s">
        <v>3189</v>
      </c>
      <c r="AE628" t="s">
        <v>4</v>
      </c>
      <c r="AF628" t="s">
        <v>1</v>
      </c>
      <c r="AG628" t="s">
        <v>1</v>
      </c>
      <c r="AH628" t="s">
        <v>4557</v>
      </c>
      <c r="AI628" t="s">
        <v>2526</v>
      </c>
      <c r="AJ628" t="s">
        <v>1</v>
      </c>
      <c r="AK628">
        <v>9141001358</v>
      </c>
      <c r="AL628" t="s">
        <v>1</v>
      </c>
      <c r="AM628" t="s">
        <v>1</v>
      </c>
      <c r="AN628" t="s">
        <v>1</v>
      </c>
      <c r="AO628" t="s">
        <v>4557</v>
      </c>
      <c r="AP628" t="s">
        <v>1</v>
      </c>
      <c r="AQ628" t="s">
        <v>2</v>
      </c>
      <c r="AR628" t="s">
        <v>1</v>
      </c>
      <c r="AS628" t="s">
        <v>1</v>
      </c>
      <c r="AT628" t="s">
        <v>1</v>
      </c>
      <c r="AU628" t="s">
        <v>1</v>
      </c>
      <c r="AV628" t="s">
        <v>1</v>
      </c>
      <c r="AW628" t="s">
        <v>9</v>
      </c>
      <c r="AX628">
        <f>Tabla1[[#This Row],[precio del paquete]]-Tabla1[[#This Row],[Saldo_Deudor]]</f>
        <v>1450</v>
      </c>
      <c r="AY628">
        <v>13350</v>
      </c>
      <c r="AZ628">
        <v>0</v>
      </c>
      <c r="BA628">
        <v>0</v>
      </c>
      <c r="BB628">
        <v>0</v>
      </c>
      <c r="BC628" t="s">
        <v>4830</v>
      </c>
      <c r="BD628" t="s">
        <v>4906</v>
      </c>
      <c r="BE628" t="s">
        <v>3</v>
      </c>
      <c r="BF628" t="s">
        <v>3</v>
      </c>
      <c r="BG628" t="s">
        <v>3</v>
      </c>
      <c r="BH628" t="s">
        <v>3</v>
      </c>
      <c r="BI628" t="s">
        <v>3</v>
      </c>
      <c r="BJ628" t="s">
        <v>4982</v>
      </c>
      <c r="BK628" t="s">
        <v>3</v>
      </c>
      <c r="BL628" t="s">
        <v>96</v>
      </c>
      <c r="BM628" t="s">
        <v>1</v>
      </c>
      <c r="BN628">
        <v>14800</v>
      </c>
      <c r="BO628" t="s">
        <v>1</v>
      </c>
      <c r="BP628" t="s">
        <v>1</v>
      </c>
      <c r="BQ628" t="s">
        <v>1</v>
      </c>
      <c r="BR628" t="s">
        <v>1</v>
      </c>
      <c r="BS628" t="s">
        <v>1</v>
      </c>
      <c r="BT628" t="s">
        <v>1</v>
      </c>
      <c r="BU628" t="s">
        <v>1</v>
      </c>
      <c r="BV628" t="s">
        <v>1</v>
      </c>
      <c r="BW628" t="s">
        <v>0</v>
      </c>
      <c r="BX628" t="s">
        <v>1</v>
      </c>
      <c r="BY628" t="s">
        <v>1</v>
      </c>
      <c r="BZ628" t="s">
        <v>1</v>
      </c>
      <c r="CA628" t="s">
        <v>1</v>
      </c>
      <c r="CB628" t="s">
        <v>1</v>
      </c>
      <c r="CD628" t="e" cm="1">
        <f t="array" aca="1" ref="CD628" ca="1">eConcatenar(A628:CB628,"|")</f>
        <v>#NAME?</v>
      </c>
    </row>
    <row r="629" spans="1:82" x14ac:dyDescent="0.25">
      <c r="A629" t="s">
        <v>724</v>
      </c>
      <c r="B629" t="s">
        <v>1738</v>
      </c>
      <c r="C629">
        <v>3</v>
      </c>
      <c r="D629" t="s">
        <v>2153</v>
      </c>
      <c r="E629" t="s">
        <v>2158</v>
      </c>
      <c r="F629" t="s">
        <v>0</v>
      </c>
      <c r="G629" t="s">
        <v>2527</v>
      </c>
      <c r="H629" t="s">
        <v>2728</v>
      </c>
      <c r="I629">
        <v>14800</v>
      </c>
      <c r="J629">
        <v>0</v>
      </c>
      <c r="K629">
        <v>100</v>
      </c>
      <c r="L629">
        <v>50</v>
      </c>
      <c r="M629">
        <v>2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 t="s">
        <v>3818</v>
      </c>
      <c r="AC629" t="s">
        <v>3818</v>
      </c>
      <c r="AD629" t="s">
        <v>3589</v>
      </c>
      <c r="AE629" t="s">
        <v>4</v>
      </c>
      <c r="AF629" t="s">
        <v>1</v>
      </c>
      <c r="AG629" t="s">
        <v>1</v>
      </c>
      <c r="AH629" t="s">
        <v>4558</v>
      </c>
      <c r="AI629" t="s">
        <v>2527</v>
      </c>
      <c r="AJ629" t="s">
        <v>1</v>
      </c>
      <c r="AK629">
        <v>9371085543</v>
      </c>
      <c r="AL629" t="s">
        <v>1</v>
      </c>
      <c r="AM629" t="s">
        <v>1</v>
      </c>
      <c r="AN629" t="s">
        <v>1</v>
      </c>
      <c r="AO629" t="s">
        <v>4558</v>
      </c>
      <c r="AP629" t="s">
        <v>1</v>
      </c>
      <c r="AQ629" t="s">
        <v>2</v>
      </c>
      <c r="AR629" t="s">
        <v>1</v>
      </c>
      <c r="AS629" t="s">
        <v>1</v>
      </c>
      <c r="AT629" t="s">
        <v>1</v>
      </c>
      <c r="AU629" t="s">
        <v>1</v>
      </c>
      <c r="AV629" t="s">
        <v>1</v>
      </c>
      <c r="AW629" t="s">
        <v>9</v>
      </c>
      <c r="AX629">
        <f>Tabla1[[#This Row],[precio del paquete]]-Tabla1[[#This Row],[Saldo_Deudor]]</f>
        <v>1250</v>
      </c>
      <c r="AY629">
        <v>13550</v>
      </c>
      <c r="AZ629">
        <v>0</v>
      </c>
      <c r="BA629">
        <v>0</v>
      </c>
      <c r="BB629">
        <v>0</v>
      </c>
      <c r="BC629" t="s">
        <v>2916</v>
      </c>
      <c r="BD629" t="s">
        <v>4896</v>
      </c>
      <c r="BE629" t="s">
        <v>3</v>
      </c>
      <c r="BF629" t="s">
        <v>3</v>
      </c>
      <c r="BG629" t="s">
        <v>3</v>
      </c>
      <c r="BH629" t="s">
        <v>3</v>
      </c>
      <c r="BI629" t="s">
        <v>3</v>
      </c>
      <c r="BJ629" t="s">
        <v>5009</v>
      </c>
      <c r="BK629" t="s">
        <v>3</v>
      </c>
      <c r="BL629" t="s">
        <v>96</v>
      </c>
      <c r="BM629" t="s">
        <v>1</v>
      </c>
      <c r="BN629">
        <v>14800</v>
      </c>
      <c r="BO629" t="s">
        <v>1</v>
      </c>
      <c r="BP629" t="s">
        <v>1</v>
      </c>
      <c r="BQ629" t="s">
        <v>1</v>
      </c>
      <c r="BR629" t="s">
        <v>1</v>
      </c>
      <c r="BS629" t="s">
        <v>1</v>
      </c>
      <c r="BT629" t="s">
        <v>1</v>
      </c>
      <c r="BU629" t="s">
        <v>1</v>
      </c>
      <c r="BV629" t="s">
        <v>1</v>
      </c>
      <c r="BW629" t="s">
        <v>0</v>
      </c>
      <c r="BX629" t="s">
        <v>1</v>
      </c>
      <c r="BY629" t="s">
        <v>1</v>
      </c>
      <c r="BZ629" t="s">
        <v>1</v>
      </c>
      <c r="CA629" t="s">
        <v>1</v>
      </c>
      <c r="CB629" t="s">
        <v>1</v>
      </c>
      <c r="CD629" t="e" cm="1">
        <f t="array" aca="1" ref="CD629" ca="1">eConcatenar(A629:CB629,"|")</f>
        <v>#NAME?</v>
      </c>
    </row>
    <row r="630" spans="1:82" x14ac:dyDescent="0.25">
      <c r="A630" t="s">
        <v>725</v>
      </c>
      <c r="B630" t="s">
        <v>1739</v>
      </c>
      <c r="C630">
        <v>3</v>
      </c>
      <c r="D630" t="s">
        <v>2153</v>
      </c>
      <c r="E630" t="s">
        <v>2158</v>
      </c>
      <c r="F630" t="s">
        <v>0</v>
      </c>
      <c r="G630" t="s">
        <v>2527</v>
      </c>
      <c r="H630" t="s">
        <v>2980</v>
      </c>
      <c r="I630">
        <v>14800</v>
      </c>
      <c r="J630">
        <v>0</v>
      </c>
      <c r="K630">
        <v>50</v>
      </c>
      <c r="L630">
        <v>50</v>
      </c>
      <c r="M630">
        <v>2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 t="s">
        <v>3196</v>
      </c>
      <c r="AC630" t="s">
        <v>3260</v>
      </c>
      <c r="AD630" t="s">
        <v>3403</v>
      </c>
      <c r="AE630" t="s">
        <v>4</v>
      </c>
      <c r="AF630" t="s">
        <v>1</v>
      </c>
      <c r="AG630" t="s">
        <v>1</v>
      </c>
      <c r="AH630" t="s">
        <v>4218</v>
      </c>
      <c r="AI630" t="s">
        <v>2527</v>
      </c>
      <c r="AJ630" t="s">
        <v>1</v>
      </c>
      <c r="AK630">
        <v>9371420368</v>
      </c>
      <c r="AL630" t="s">
        <v>1</v>
      </c>
      <c r="AM630" t="s">
        <v>1</v>
      </c>
      <c r="AN630" t="s">
        <v>1</v>
      </c>
      <c r="AO630" t="s">
        <v>4218</v>
      </c>
      <c r="AP630" t="s">
        <v>1</v>
      </c>
      <c r="AQ630" t="s">
        <v>2</v>
      </c>
      <c r="AR630" t="s">
        <v>1</v>
      </c>
      <c r="AS630" t="s">
        <v>1</v>
      </c>
      <c r="AT630" t="s">
        <v>1</v>
      </c>
      <c r="AU630" t="s">
        <v>1</v>
      </c>
      <c r="AV630" t="s">
        <v>1</v>
      </c>
      <c r="AW630" t="s">
        <v>9</v>
      </c>
      <c r="AX630">
        <f>Tabla1[[#This Row],[precio del paquete]]-Tabla1[[#This Row],[Saldo_Deudor]]</f>
        <v>350</v>
      </c>
      <c r="AY630">
        <v>14450</v>
      </c>
      <c r="AZ630">
        <v>0</v>
      </c>
      <c r="BA630">
        <v>0</v>
      </c>
      <c r="BB630">
        <v>0</v>
      </c>
      <c r="BC630" t="s">
        <v>2841</v>
      </c>
      <c r="BD630" t="s">
        <v>2701</v>
      </c>
      <c r="BE630" t="s">
        <v>3</v>
      </c>
      <c r="BF630" t="s">
        <v>3</v>
      </c>
      <c r="BG630" t="s">
        <v>3</v>
      </c>
      <c r="BH630" t="s">
        <v>3</v>
      </c>
      <c r="BI630" t="s">
        <v>3</v>
      </c>
      <c r="BJ630" t="s">
        <v>4985</v>
      </c>
      <c r="BK630" t="s">
        <v>3</v>
      </c>
      <c r="BL630" t="s">
        <v>96</v>
      </c>
      <c r="BM630" t="s">
        <v>1</v>
      </c>
      <c r="BN630">
        <v>14800</v>
      </c>
      <c r="BO630" t="s">
        <v>1</v>
      </c>
      <c r="BP630" t="s">
        <v>1</v>
      </c>
      <c r="BQ630" t="s">
        <v>1</v>
      </c>
      <c r="BR630" t="s">
        <v>1</v>
      </c>
      <c r="BS630" t="s">
        <v>1</v>
      </c>
      <c r="BT630" t="s">
        <v>1</v>
      </c>
      <c r="BU630" t="s">
        <v>1</v>
      </c>
      <c r="BV630" t="s">
        <v>1</v>
      </c>
      <c r="BW630" t="s">
        <v>0</v>
      </c>
      <c r="BX630" t="s">
        <v>1</v>
      </c>
      <c r="BY630" t="s">
        <v>1</v>
      </c>
      <c r="BZ630" t="s">
        <v>1</v>
      </c>
      <c r="CA630" t="s">
        <v>1</v>
      </c>
      <c r="CB630" t="s">
        <v>1</v>
      </c>
      <c r="CD630" t="e" cm="1">
        <f t="array" aca="1" ref="CD630" ca="1">eConcatenar(A630:CB630,"|")</f>
        <v>#NAME?</v>
      </c>
    </row>
    <row r="631" spans="1:82" x14ac:dyDescent="0.25">
      <c r="A631" t="s">
        <v>726</v>
      </c>
      <c r="B631" t="s">
        <v>1740</v>
      </c>
      <c r="C631">
        <v>3</v>
      </c>
      <c r="D631" t="s">
        <v>2153</v>
      </c>
      <c r="E631" t="s">
        <v>2158</v>
      </c>
      <c r="F631" t="s">
        <v>0</v>
      </c>
      <c r="G631" t="s">
        <v>2528</v>
      </c>
      <c r="H631" t="s">
        <v>2800</v>
      </c>
      <c r="I631">
        <v>14800</v>
      </c>
      <c r="J631">
        <v>0</v>
      </c>
      <c r="K631">
        <v>200</v>
      </c>
      <c r="L631">
        <v>50</v>
      </c>
      <c r="M631">
        <v>1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 t="s">
        <v>3186</v>
      </c>
      <c r="AC631" t="s">
        <v>3177</v>
      </c>
      <c r="AD631" t="s">
        <v>3293</v>
      </c>
      <c r="AE631" t="s">
        <v>4</v>
      </c>
      <c r="AF631" t="s">
        <v>1</v>
      </c>
      <c r="AG631" t="s">
        <v>1</v>
      </c>
      <c r="AH631" t="s">
        <v>4559</v>
      </c>
      <c r="AI631" t="s">
        <v>2528</v>
      </c>
      <c r="AJ631" t="s">
        <v>1</v>
      </c>
      <c r="AK631" t="s">
        <v>1</v>
      </c>
      <c r="AL631" t="s">
        <v>1</v>
      </c>
      <c r="AM631" t="s">
        <v>1</v>
      </c>
      <c r="AN631" t="s">
        <v>1</v>
      </c>
      <c r="AO631" t="s">
        <v>4559</v>
      </c>
      <c r="AP631" t="s">
        <v>1</v>
      </c>
      <c r="AQ631" t="s">
        <v>2</v>
      </c>
      <c r="AR631" t="s">
        <v>1</v>
      </c>
      <c r="AS631" t="s">
        <v>1</v>
      </c>
      <c r="AT631" t="s">
        <v>1</v>
      </c>
      <c r="AU631" t="s">
        <v>1</v>
      </c>
      <c r="AV631" t="s">
        <v>1</v>
      </c>
      <c r="AW631" t="s">
        <v>9</v>
      </c>
      <c r="AX631">
        <f>Tabla1[[#This Row],[precio del paquete]]-Tabla1[[#This Row],[Saldo_Deudor]]</f>
        <v>900</v>
      </c>
      <c r="AY631">
        <v>13900</v>
      </c>
      <c r="AZ631">
        <v>0</v>
      </c>
      <c r="BA631">
        <v>0</v>
      </c>
      <c r="BB631">
        <v>0</v>
      </c>
      <c r="BC631" t="s">
        <v>3061</v>
      </c>
      <c r="BD631" t="s">
        <v>3040</v>
      </c>
      <c r="BE631" t="s">
        <v>3</v>
      </c>
      <c r="BF631" t="s">
        <v>3</v>
      </c>
      <c r="BG631" t="s">
        <v>3</v>
      </c>
      <c r="BH631" t="s">
        <v>3</v>
      </c>
      <c r="BI631" t="s">
        <v>3</v>
      </c>
      <c r="BJ631" t="s">
        <v>4985</v>
      </c>
      <c r="BK631" t="s">
        <v>3</v>
      </c>
      <c r="BL631" t="s">
        <v>96</v>
      </c>
      <c r="BM631" t="s">
        <v>1</v>
      </c>
      <c r="BN631">
        <v>14800</v>
      </c>
      <c r="BO631" t="s">
        <v>1</v>
      </c>
      <c r="BP631" t="s">
        <v>1</v>
      </c>
      <c r="BQ631" t="s">
        <v>1</v>
      </c>
      <c r="BR631" t="s">
        <v>1</v>
      </c>
      <c r="BS631" t="s">
        <v>1</v>
      </c>
      <c r="BT631" t="s">
        <v>1</v>
      </c>
      <c r="BU631" t="s">
        <v>1</v>
      </c>
      <c r="BV631" t="s">
        <v>1</v>
      </c>
      <c r="BW631" t="s">
        <v>0</v>
      </c>
      <c r="BX631" t="s">
        <v>1</v>
      </c>
      <c r="BY631" t="s">
        <v>1</v>
      </c>
      <c r="BZ631" t="s">
        <v>1</v>
      </c>
      <c r="CA631" t="s">
        <v>1</v>
      </c>
      <c r="CB631" t="s">
        <v>1</v>
      </c>
      <c r="CD631" t="e" cm="1">
        <f t="array" aca="1" ref="CD631" ca="1">eConcatenar(A631:CB631,"|")</f>
        <v>#NAME?</v>
      </c>
    </row>
    <row r="632" spans="1:82" x14ac:dyDescent="0.25">
      <c r="A632" t="s">
        <v>727</v>
      </c>
      <c r="B632" t="s">
        <v>1741</v>
      </c>
      <c r="C632">
        <v>3</v>
      </c>
      <c r="D632" t="s">
        <v>2153</v>
      </c>
      <c r="E632" t="s">
        <v>2158</v>
      </c>
      <c r="F632" t="s">
        <v>0</v>
      </c>
      <c r="G632" t="s">
        <v>2528</v>
      </c>
      <c r="H632" t="s">
        <v>2981</v>
      </c>
      <c r="I632">
        <v>14800</v>
      </c>
      <c r="J632">
        <v>0</v>
      </c>
      <c r="K632">
        <v>200</v>
      </c>
      <c r="L632">
        <v>50</v>
      </c>
      <c r="M632">
        <v>1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 t="s">
        <v>3311</v>
      </c>
      <c r="AC632" t="s">
        <v>3311</v>
      </c>
      <c r="AD632" t="s">
        <v>3819</v>
      </c>
      <c r="AE632" t="s">
        <v>4</v>
      </c>
      <c r="AF632" t="s">
        <v>1</v>
      </c>
      <c r="AG632" t="s">
        <v>1</v>
      </c>
      <c r="AH632" t="s">
        <v>4560</v>
      </c>
      <c r="AI632" t="s">
        <v>2528</v>
      </c>
      <c r="AJ632" t="s">
        <v>1</v>
      </c>
      <c r="AK632" t="s">
        <v>1</v>
      </c>
      <c r="AL632" t="s">
        <v>1</v>
      </c>
      <c r="AM632" t="s">
        <v>1</v>
      </c>
      <c r="AN632" t="s">
        <v>1</v>
      </c>
      <c r="AO632" t="s">
        <v>4560</v>
      </c>
      <c r="AP632" t="s">
        <v>1</v>
      </c>
      <c r="AQ632" t="s">
        <v>2</v>
      </c>
      <c r="AR632" t="s">
        <v>1</v>
      </c>
      <c r="AS632" t="s">
        <v>1</v>
      </c>
      <c r="AT632" t="s">
        <v>1</v>
      </c>
      <c r="AU632" t="s">
        <v>1</v>
      </c>
      <c r="AV632" t="s">
        <v>1</v>
      </c>
      <c r="AW632" t="s">
        <v>9</v>
      </c>
      <c r="AX632">
        <f>Tabla1[[#This Row],[precio del paquete]]-Tabla1[[#This Row],[Saldo_Deudor]]</f>
        <v>6000</v>
      </c>
      <c r="AY632">
        <v>8800</v>
      </c>
      <c r="AZ632">
        <v>0</v>
      </c>
      <c r="BA632">
        <v>0</v>
      </c>
      <c r="BB632">
        <v>0</v>
      </c>
      <c r="BC632" t="s">
        <v>3061</v>
      </c>
      <c r="BD632" t="s">
        <v>3040</v>
      </c>
      <c r="BE632" t="s">
        <v>3</v>
      </c>
      <c r="BF632" t="s">
        <v>3</v>
      </c>
      <c r="BG632" t="s">
        <v>3</v>
      </c>
      <c r="BH632" t="s">
        <v>3</v>
      </c>
      <c r="BI632" t="s">
        <v>3</v>
      </c>
      <c r="BJ632" t="s">
        <v>4995</v>
      </c>
      <c r="BK632" t="s">
        <v>3</v>
      </c>
      <c r="BL632" t="s">
        <v>96</v>
      </c>
      <c r="BM632" t="s">
        <v>1</v>
      </c>
      <c r="BN632">
        <v>14800</v>
      </c>
      <c r="BO632" t="s">
        <v>1</v>
      </c>
      <c r="BP632" t="s">
        <v>1</v>
      </c>
      <c r="BQ632" t="s">
        <v>1</v>
      </c>
      <c r="BR632" t="s">
        <v>1</v>
      </c>
      <c r="BS632" t="s">
        <v>1</v>
      </c>
      <c r="BT632" t="s">
        <v>1</v>
      </c>
      <c r="BU632" t="s">
        <v>1</v>
      </c>
      <c r="BV632" t="s">
        <v>1</v>
      </c>
      <c r="BW632" t="s">
        <v>0</v>
      </c>
      <c r="BX632" t="s">
        <v>1</v>
      </c>
      <c r="BY632" t="s">
        <v>1</v>
      </c>
      <c r="BZ632" t="s">
        <v>1</v>
      </c>
      <c r="CA632" t="s">
        <v>1</v>
      </c>
      <c r="CB632" t="s">
        <v>1</v>
      </c>
      <c r="CD632" t="e" cm="1">
        <f t="array" aca="1" ref="CD632" ca="1">eConcatenar(A632:CB632,"|")</f>
        <v>#NAME?</v>
      </c>
    </row>
    <row r="633" spans="1:82" x14ac:dyDescent="0.25">
      <c r="A633" t="s">
        <v>728</v>
      </c>
      <c r="B633" t="s">
        <v>1742</v>
      </c>
      <c r="C633">
        <v>3</v>
      </c>
      <c r="D633" t="s">
        <v>2153</v>
      </c>
      <c r="E633" t="s">
        <v>2158</v>
      </c>
      <c r="F633" t="s">
        <v>0</v>
      </c>
      <c r="G633" t="s">
        <v>2528</v>
      </c>
      <c r="H633" t="s">
        <v>2777</v>
      </c>
      <c r="I633">
        <v>14800</v>
      </c>
      <c r="J633">
        <v>0</v>
      </c>
      <c r="K633">
        <v>200</v>
      </c>
      <c r="L633">
        <v>50</v>
      </c>
      <c r="M633">
        <v>1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 t="s">
        <v>3115</v>
      </c>
      <c r="AC633" t="s">
        <v>3311</v>
      </c>
      <c r="AD633" t="s">
        <v>3820</v>
      </c>
      <c r="AE633" t="s">
        <v>4</v>
      </c>
      <c r="AF633" t="s">
        <v>1</v>
      </c>
      <c r="AG633" t="s">
        <v>1</v>
      </c>
      <c r="AH633" t="s">
        <v>2207</v>
      </c>
      <c r="AI633" t="s">
        <v>2528</v>
      </c>
      <c r="AJ633" t="s">
        <v>1</v>
      </c>
      <c r="AK633" t="s">
        <v>1</v>
      </c>
      <c r="AL633" t="s">
        <v>1</v>
      </c>
      <c r="AM633" t="s">
        <v>1</v>
      </c>
      <c r="AN633" t="s">
        <v>1</v>
      </c>
      <c r="AO633" t="s">
        <v>2207</v>
      </c>
      <c r="AP633" t="s">
        <v>1</v>
      </c>
      <c r="AQ633" t="s">
        <v>2</v>
      </c>
      <c r="AR633" t="s">
        <v>1</v>
      </c>
      <c r="AS633" t="s">
        <v>1</v>
      </c>
      <c r="AT633" t="s">
        <v>1</v>
      </c>
      <c r="AU633" t="s">
        <v>1</v>
      </c>
      <c r="AV633" t="s">
        <v>1</v>
      </c>
      <c r="AW633" t="s">
        <v>9</v>
      </c>
      <c r="AX633">
        <f>Tabla1[[#This Row],[precio del paquete]]-Tabla1[[#This Row],[Saldo_Deudor]]</f>
        <v>1600</v>
      </c>
      <c r="AY633">
        <v>13200</v>
      </c>
      <c r="AZ633">
        <v>0</v>
      </c>
      <c r="BA633">
        <v>0</v>
      </c>
      <c r="BB633">
        <v>0</v>
      </c>
      <c r="BC633" t="s">
        <v>3061</v>
      </c>
      <c r="BD633" t="s">
        <v>3040</v>
      </c>
      <c r="BE633" t="s">
        <v>3</v>
      </c>
      <c r="BF633" t="s">
        <v>3</v>
      </c>
      <c r="BG633" t="s">
        <v>3</v>
      </c>
      <c r="BH633" t="s">
        <v>3</v>
      </c>
      <c r="BI633" t="s">
        <v>3</v>
      </c>
      <c r="BJ633" t="s">
        <v>4995</v>
      </c>
      <c r="BK633" t="s">
        <v>3</v>
      </c>
      <c r="BL633" t="s">
        <v>96</v>
      </c>
      <c r="BM633" t="s">
        <v>1</v>
      </c>
      <c r="BN633">
        <v>14800</v>
      </c>
      <c r="BO633" t="s">
        <v>1</v>
      </c>
      <c r="BP633" t="s">
        <v>1</v>
      </c>
      <c r="BQ633" t="s">
        <v>1</v>
      </c>
      <c r="BR633" t="s">
        <v>1</v>
      </c>
      <c r="BS633" t="s">
        <v>1</v>
      </c>
      <c r="BT633" t="s">
        <v>1</v>
      </c>
      <c r="BU633" t="s">
        <v>1</v>
      </c>
      <c r="BV633" t="s">
        <v>1</v>
      </c>
      <c r="BW633" t="s">
        <v>0</v>
      </c>
      <c r="BX633" t="s">
        <v>1</v>
      </c>
      <c r="BY633" t="s">
        <v>1</v>
      </c>
      <c r="BZ633" t="s">
        <v>1</v>
      </c>
      <c r="CA633" t="s">
        <v>1</v>
      </c>
      <c r="CB633" t="s">
        <v>1</v>
      </c>
      <c r="CD633" t="e" cm="1">
        <f t="array" aca="1" ref="CD633" ca="1">eConcatenar(A633:CB633,"|")</f>
        <v>#NAME?</v>
      </c>
    </row>
    <row r="634" spans="1:82" x14ac:dyDescent="0.25">
      <c r="A634" t="s">
        <v>729</v>
      </c>
      <c r="B634" t="s">
        <v>1743</v>
      </c>
      <c r="C634">
        <v>3</v>
      </c>
      <c r="D634" t="s">
        <v>2153</v>
      </c>
      <c r="E634" t="s">
        <v>2158</v>
      </c>
      <c r="F634" t="s">
        <v>0</v>
      </c>
      <c r="G634" t="s">
        <v>2528</v>
      </c>
      <c r="H634" t="s">
        <v>2904</v>
      </c>
      <c r="I634">
        <v>14800</v>
      </c>
      <c r="J634">
        <v>0</v>
      </c>
      <c r="K634">
        <v>200</v>
      </c>
      <c r="L634">
        <v>50</v>
      </c>
      <c r="M634">
        <v>1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 t="s">
        <v>3236</v>
      </c>
      <c r="AC634" t="s">
        <v>3821</v>
      </c>
      <c r="AD634" t="s">
        <v>3721</v>
      </c>
      <c r="AE634" t="s">
        <v>4</v>
      </c>
      <c r="AF634" t="s">
        <v>1</v>
      </c>
      <c r="AG634" t="s">
        <v>1</v>
      </c>
      <c r="AH634" t="s">
        <v>2207</v>
      </c>
      <c r="AI634" t="s">
        <v>2528</v>
      </c>
      <c r="AJ634" t="s">
        <v>1</v>
      </c>
      <c r="AK634" t="s">
        <v>1</v>
      </c>
      <c r="AL634" t="s">
        <v>1</v>
      </c>
      <c r="AM634" t="s">
        <v>1</v>
      </c>
      <c r="AN634" t="s">
        <v>1</v>
      </c>
      <c r="AO634" t="s">
        <v>2207</v>
      </c>
      <c r="AP634" t="s">
        <v>1</v>
      </c>
      <c r="AQ634" t="s">
        <v>2</v>
      </c>
      <c r="AR634" t="s">
        <v>1</v>
      </c>
      <c r="AS634" t="s">
        <v>1</v>
      </c>
      <c r="AT634" t="s">
        <v>1</v>
      </c>
      <c r="AU634" t="s">
        <v>1</v>
      </c>
      <c r="AV634" t="s">
        <v>1</v>
      </c>
      <c r="AW634" t="s">
        <v>9</v>
      </c>
      <c r="AX634">
        <f>Tabla1[[#This Row],[precio del paquete]]-Tabla1[[#This Row],[Saldo_Deudor]]</f>
        <v>750</v>
      </c>
      <c r="AY634">
        <v>14050</v>
      </c>
      <c r="AZ634">
        <v>0</v>
      </c>
      <c r="BA634">
        <v>0</v>
      </c>
      <c r="BB634">
        <v>0</v>
      </c>
      <c r="BC634" t="s">
        <v>3061</v>
      </c>
      <c r="BD634" t="s">
        <v>3040</v>
      </c>
      <c r="BE634" t="s">
        <v>3</v>
      </c>
      <c r="BF634" t="s">
        <v>3</v>
      </c>
      <c r="BG634" t="s">
        <v>3</v>
      </c>
      <c r="BH634" t="s">
        <v>3</v>
      </c>
      <c r="BI634" t="s">
        <v>3</v>
      </c>
      <c r="BJ634" t="s">
        <v>4995</v>
      </c>
      <c r="BK634" t="s">
        <v>3</v>
      </c>
      <c r="BL634" t="s">
        <v>96</v>
      </c>
      <c r="BM634" t="s">
        <v>1</v>
      </c>
      <c r="BN634">
        <v>14800</v>
      </c>
      <c r="BO634" t="s">
        <v>1</v>
      </c>
      <c r="BP634" t="s">
        <v>1</v>
      </c>
      <c r="BQ634" t="s">
        <v>1</v>
      </c>
      <c r="BR634" t="s">
        <v>1</v>
      </c>
      <c r="BS634" t="s">
        <v>1</v>
      </c>
      <c r="BT634" t="s">
        <v>1</v>
      </c>
      <c r="BU634" t="s">
        <v>1</v>
      </c>
      <c r="BV634" t="s">
        <v>1</v>
      </c>
      <c r="BW634" t="s">
        <v>0</v>
      </c>
      <c r="BX634" t="s">
        <v>1</v>
      </c>
      <c r="BY634" t="s">
        <v>1</v>
      </c>
      <c r="BZ634" t="s">
        <v>1</v>
      </c>
      <c r="CA634" t="s">
        <v>1</v>
      </c>
      <c r="CB634" t="s">
        <v>1</v>
      </c>
      <c r="CD634" t="e" cm="1">
        <f t="array" aca="1" ref="CD634" ca="1">eConcatenar(A634:CB634,"|")</f>
        <v>#NAME?</v>
      </c>
    </row>
    <row r="635" spans="1:82" x14ac:dyDescent="0.25">
      <c r="A635" t="s">
        <v>730</v>
      </c>
      <c r="B635" t="s">
        <v>1744</v>
      </c>
      <c r="C635">
        <v>3</v>
      </c>
      <c r="D635" t="s">
        <v>2153</v>
      </c>
      <c r="E635" t="s">
        <v>2158</v>
      </c>
      <c r="F635" t="s">
        <v>0</v>
      </c>
      <c r="G635" t="s">
        <v>2528</v>
      </c>
      <c r="H635" t="s">
        <v>2729</v>
      </c>
      <c r="I635">
        <v>14800</v>
      </c>
      <c r="J635">
        <v>0</v>
      </c>
      <c r="K635">
        <v>200</v>
      </c>
      <c r="L635">
        <v>50</v>
      </c>
      <c r="M635">
        <v>1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 t="s">
        <v>3132</v>
      </c>
      <c r="AC635" t="s">
        <v>3311</v>
      </c>
      <c r="AD635" t="s">
        <v>3449</v>
      </c>
      <c r="AE635" t="s">
        <v>4</v>
      </c>
      <c r="AF635" t="s">
        <v>1</v>
      </c>
      <c r="AG635" t="s">
        <v>1</v>
      </c>
      <c r="AH635" t="s">
        <v>4502</v>
      </c>
      <c r="AI635" t="s">
        <v>2528</v>
      </c>
      <c r="AJ635" t="s">
        <v>1</v>
      </c>
      <c r="AK635" t="s">
        <v>1</v>
      </c>
      <c r="AL635" t="s">
        <v>1</v>
      </c>
      <c r="AM635" t="s">
        <v>1</v>
      </c>
      <c r="AN635" t="s">
        <v>1</v>
      </c>
      <c r="AO635" t="s">
        <v>4502</v>
      </c>
      <c r="AP635" t="s">
        <v>1</v>
      </c>
      <c r="AQ635" t="s">
        <v>2</v>
      </c>
      <c r="AR635" t="s">
        <v>1</v>
      </c>
      <c r="AS635" t="s">
        <v>1</v>
      </c>
      <c r="AT635" t="s">
        <v>1</v>
      </c>
      <c r="AU635" t="s">
        <v>1</v>
      </c>
      <c r="AV635" t="s">
        <v>1</v>
      </c>
      <c r="AW635" t="s">
        <v>9</v>
      </c>
      <c r="AX635">
        <f>Tabla1[[#This Row],[precio del paquete]]-Tabla1[[#This Row],[Saldo_Deudor]]</f>
        <v>450</v>
      </c>
      <c r="AY635">
        <v>14350</v>
      </c>
      <c r="AZ635">
        <v>0</v>
      </c>
      <c r="BA635">
        <v>0</v>
      </c>
      <c r="BB635">
        <v>0</v>
      </c>
      <c r="BC635" t="s">
        <v>2923</v>
      </c>
      <c r="BD635" t="s">
        <v>4910</v>
      </c>
      <c r="BE635" t="s">
        <v>3</v>
      </c>
      <c r="BF635" t="s">
        <v>3</v>
      </c>
      <c r="BG635" t="s">
        <v>3</v>
      </c>
      <c r="BH635" t="s">
        <v>3</v>
      </c>
      <c r="BI635" t="s">
        <v>3</v>
      </c>
      <c r="BJ635" t="s">
        <v>4995</v>
      </c>
      <c r="BK635" t="s">
        <v>3</v>
      </c>
      <c r="BL635" t="s">
        <v>96</v>
      </c>
      <c r="BM635" t="s">
        <v>1</v>
      </c>
      <c r="BN635">
        <v>14800</v>
      </c>
      <c r="BO635" t="s">
        <v>1</v>
      </c>
      <c r="BP635" t="s">
        <v>1</v>
      </c>
      <c r="BQ635" t="s">
        <v>1</v>
      </c>
      <c r="BR635" t="s">
        <v>1</v>
      </c>
      <c r="BS635" t="s">
        <v>1</v>
      </c>
      <c r="BT635" t="s">
        <v>1</v>
      </c>
      <c r="BU635" t="s">
        <v>1</v>
      </c>
      <c r="BV635" t="s">
        <v>1</v>
      </c>
      <c r="BW635" t="s">
        <v>0</v>
      </c>
      <c r="BX635" t="s">
        <v>1</v>
      </c>
      <c r="BY635" t="s">
        <v>1</v>
      </c>
      <c r="BZ635" t="s">
        <v>1</v>
      </c>
      <c r="CA635" t="s">
        <v>1</v>
      </c>
      <c r="CB635" t="s">
        <v>1</v>
      </c>
      <c r="CD635" t="e" cm="1">
        <f t="array" aca="1" ref="CD635" ca="1">eConcatenar(A635:CB635,"|")</f>
        <v>#NAME?</v>
      </c>
    </row>
    <row r="636" spans="1:82" x14ac:dyDescent="0.25">
      <c r="A636" t="s">
        <v>731</v>
      </c>
      <c r="B636" t="s">
        <v>1745</v>
      </c>
      <c r="C636">
        <v>3</v>
      </c>
      <c r="D636" t="s">
        <v>2153</v>
      </c>
      <c r="E636" t="s">
        <v>2158</v>
      </c>
      <c r="F636" t="s">
        <v>0</v>
      </c>
      <c r="G636" t="s">
        <v>2528</v>
      </c>
      <c r="H636" t="s">
        <v>2777</v>
      </c>
      <c r="I636">
        <v>14800</v>
      </c>
      <c r="J636">
        <v>0</v>
      </c>
      <c r="K636">
        <v>200</v>
      </c>
      <c r="L636">
        <v>50</v>
      </c>
      <c r="M636">
        <v>1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 t="s">
        <v>3137</v>
      </c>
      <c r="AC636" t="s">
        <v>3162</v>
      </c>
      <c r="AD636" t="s">
        <v>3822</v>
      </c>
      <c r="AE636" t="s">
        <v>4</v>
      </c>
      <c r="AF636" t="s">
        <v>1</v>
      </c>
      <c r="AG636" t="s">
        <v>1</v>
      </c>
      <c r="AH636" t="s">
        <v>4561</v>
      </c>
      <c r="AI636" t="s">
        <v>2528</v>
      </c>
      <c r="AJ636" t="s">
        <v>1</v>
      </c>
      <c r="AK636" t="s">
        <v>1</v>
      </c>
      <c r="AL636" t="s">
        <v>1</v>
      </c>
      <c r="AM636" t="s">
        <v>1</v>
      </c>
      <c r="AN636" t="s">
        <v>1</v>
      </c>
      <c r="AO636" t="s">
        <v>4561</v>
      </c>
      <c r="AP636" t="s">
        <v>1</v>
      </c>
      <c r="AQ636" t="s">
        <v>2</v>
      </c>
      <c r="AR636" t="s">
        <v>1</v>
      </c>
      <c r="AS636" t="s">
        <v>1</v>
      </c>
      <c r="AT636" t="s">
        <v>1</v>
      </c>
      <c r="AU636" t="s">
        <v>1</v>
      </c>
      <c r="AV636" t="s">
        <v>1</v>
      </c>
      <c r="AW636" t="s">
        <v>9</v>
      </c>
      <c r="AX636">
        <f>Tabla1[[#This Row],[precio del paquete]]-Tabla1[[#This Row],[Saldo_Deudor]]</f>
        <v>1300</v>
      </c>
      <c r="AY636">
        <v>13500</v>
      </c>
      <c r="AZ636">
        <v>0</v>
      </c>
      <c r="BA636">
        <v>0</v>
      </c>
      <c r="BB636">
        <v>0</v>
      </c>
      <c r="BC636" t="s">
        <v>2897</v>
      </c>
      <c r="BD636" t="s">
        <v>3074</v>
      </c>
      <c r="BE636" t="s">
        <v>3</v>
      </c>
      <c r="BF636" t="s">
        <v>3</v>
      </c>
      <c r="BG636" t="s">
        <v>3</v>
      </c>
      <c r="BH636" t="s">
        <v>3</v>
      </c>
      <c r="BI636" t="s">
        <v>3</v>
      </c>
      <c r="BJ636" t="s">
        <v>4995</v>
      </c>
      <c r="BK636" t="s">
        <v>3</v>
      </c>
      <c r="BL636" t="s">
        <v>96</v>
      </c>
      <c r="BM636" t="s">
        <v>1</v>
      </c>
      <c r="BN636">
        <v>14800</v>
      </c>
      <c r="BO636" t="s">
        <v>1</v>
      </c>
      <c r="BP636" t="s">
        <v>1</v>
      </c>
      <c r="BQ636" t="s">
        <v>1</v>
      </c>
      <c r="BR636" t="s">
        <v>1</v>
      </c>
      <c r="BS636" t="s">
        <v>1</v>
      </c>
      <c r="BT636" t="s">
        <v>1</v>
      </c>
      <c r="BU636" t="s">
        <v>1</v>
      </c>
      <c r="BV636" t="s">
        <v>1</v>
      </c>
      <c r="BW636" t="s">
        <v>0</v>
      </c>
      <c r="BX636" t="s">
        <v>1</v>
      </c>
      <c r="BY636" t="s">
        <v>1</v>
      </c>
      <c r="BZ636" t="s">
        <v>1</v>
      </c>
      <c r="CA636" t="s">
        <v>1</v>
      </c>
      <c r="CB636" t="s">
        <v>1</v>
      </c>
      <c r="CD636" t="e" cm="1">
        <f t="array" aca="1" ref="CD636" ca="1">eConcatenar(A636:CB636,"|")</f>
        <v>#NAME?</v>
      </c>
    </row>
    <row r="637" spans="1:82" x14ac:dyDescent="0.25">
      <c r="A637" t="s">
        <v>732</v>
      </c>
      <c r="B637" t="s">
        <v>1746</v>
      </c>
      <c r="C637">
        <v>3</v>
      </c>
      <c r="D637" t="s">
        <v>2153</v>
      </c>
      <c r="E637" t="s">
        <v>2158</v>
      </c>
      <c r="F637" t="s">
        <v>0</v>
      </c>
      <c r="G637" t="s">
        <v>2528</v>
      </c>
      <c r="H637" t="s">
        <v>2980</v>
      </c>
      <c r="I637">
        <v>14800</v>
      </c>
      <c r="J637">
        <v>0</v>
      </c>
      <c r="K637">
        <v>150</v>
      </c>
      <c r="L637">
        <v>50</v>
      </c>
      <c r="M637">
        <v>1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 t="s">
        <v>3823</v>
      </c>
      <c r="AC637" t="s">
        <v>3311</v>
      </c>
      <c r="AD637" t="s">
        <v>3824</v>
      </c>
      <c r="AE637" t="s">
        <v>4</v>
      </c>
      <c r="AF637" t="s">
        <v>1</v>
      </c>
      <c r="AG637" t="s">
        <v>1</v>
      </c>
      <c r="AH637" t="s">
        <v>2207</v>
      </c>
      <c r="AI637" t="s">
        <v>2528</v>
      </c>
      <c r="AJ637" t="s">
        <v>1</v>
      </c>
      <c r="AK637">
        <v>9371621804</v>
      </c>
      <c r="AL637" t="s">
        <v>1</v>
      </c>
      <c r="AM637" t="s">
        <v>1</v>
      </c>
      <c r="AN637" t="s">
        <v>1</v>
      </c>
      <c r="AO637" t="s">
        <v>2207</v>
      </c>
      <c r="AP637" t="s">
        <v>1</v>
      </c>
      <c r="AQ637" t="s">
        <v>2</v>
      </c>
      <c r="AR637" t="s">
        <v>1</v>
      </c>
      <c r="AS637" t="s">
        <v>1</v>
      </c>
      <c r="AT637" t="s">
        <v>1</v>
      </c>
      <c r="AU637" t="s">
        <v>1</v>
      </c>
      <c r="AV637" t="s">
        <v>1</v>
      </c>
      <c r="AW637" t="s">
        <v>9</v>
      </c>
      <c r="AX637">
        <f>Tabla1[[#This Row],[precio del paquete]]-Tabla1[[#This Row],[Saldo_Deudor]]</f>
        <v>450</v>
      </c>
      <c r="AY637">
        <v>14350</v>
      </c>
      <c r="AZ637">
        <v>0</v>
      </c>
      <c r="BA637">
        <v>0</v>
      </c>
      <c r="BB637">
        <v>0</v>
      </c>
      <c r="BC637" t="s">
        <v>2720</v>
      </c>
      <c r="BD637" t="s">
        <v>2895</v>
      </c>
      <c r="BE637" t="s">
        <v>3</v>
      </c>
      <c r="BF637" t="s">
        <v>3</v>
      </c>
      <c r="BG637" t="s">
        <v>3</v>
      </c>
      <c r="BH637" t="s">
        <v>3</v>
      </c>
      <c r="BI637" t="s">
        <v>3</v>
      </c>
      <c r="BJ637" t="s">
        <v>4995</v>
      </c>
      <c r="BK637" t="s">
        <v>3</v>
      </c>
      <c r="BL637" t="s">
        <v>96</v>
      </c>
      <c r="BM637" t="s">
        <v>1</v>
      </c>
      <c r="BN637">
        <v>14800</v>
      </c>
      <c r="BO637" t="s">
        <v>1</v>
      </c>
      <c r="BP637" t="s">
        <v>1</v>
      </c>
      <c r="BQ637" t="s">
        <v>1</v>
      </c>
      <c r="BR637" t="s">
        <v>1</v>
      </c>
      <c r="BS637" t="s">
        <v>1</v>
      </c>
      <c r="BT637" t="s">
        <v>1</v>
      </c>
      <c r="BU637" t="s">
        <v>1</v>
      </c>
      <c r="BV637" t="s">
        <v>1</v>
      </c>
      <c r="BW637" t="s">
        <v>0</v>
      </c>
      <c r="BX637" t="s">
        <v>1</v>
      </c>
      <c r="BY637" t="s">
        <v>1</v>
      </c>
      <c r="BZ637" t="s">
        <v>1</v>
      </c>
      <c r="CA637" t="s">
        <v>1</v>
      </c>
      <c r="CB637" t="s">
        <v>1</v>
      </c>
      <c r="CD637" t="e" cm="1">
        <f t="array" aca="1" ref="CD637" ca="1">eConcatenar(A637:CB637,"|")</f>
        <v>#NAME?</v>
      </c>
    </row>
    <row r="638" spans="1:82" x14ac:dyDescent="0.25">
      <c r="A638" t="s">
        <v>733</v>
      </c>
      <c r="B638" t="s">
        <v>1747</v>
      </c>
      <c r="C638">
        <v>3</v>
      </c>
      <c r="D638" t="s">
        <v>2153</v>
      </c>
      <c r="E638" t="s">
        <v>2158</v>
      </c>
      <c r="F638" t="s">
        <v>0</v>
      </c>
      <c r="G638" t="s">
        <v>2529</v>
      </c>
      <c r="H638" t="s">
        <v>2777</v>
      </c>
      <c r="I638">
        <v>14800</v>
      </c>
      <c r="J638">
        <v>0</v>
      </c>
      <c r="K638">
        <v>200</v>
      </c>
      <c r="L638">
        <v>50</v>
      </c>
      <c r="M638">
        <v>1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 t="s">
        <v>3137</v>
      </c>
      <c r="AC638" t="s">
        <v>3472</v>
      </c>
      <c r="AD638" t="s">
        <v>3237</v>
      </c>
      <c r="AE638" t="s">
        <v>4</v>
      </c>
      <c r="AF638" t="s">
        <v>1</v>
      </c>
      <c r="AG638" t="s">
        <v>1</v>
      </c>
      <c r="AH638" t="s">
        <v>2207</v>
      </c>
      <c r="AI638" t="s">
        <v>2529</v>
      </c>
      <c r="AJ638" t="s">
        <v>1</v>
      </c>
      <c r="AK638" t="s">
        <v>1</v>
      </c>
      <c r="AL638" t="s">
        <v>1</v>
      </c>
      <c r="AM638" t="s">
        <v>1</v>
      </c>
      <c r="AN638" t="s">
        <v>1</v>
      </c>
      <c r="AO638" t="s">
        <v>2207</v>
      </c>
      <c r="AP638" t="s">
        <v>1</v>
      </c>
      <c r="AQ638" t="s">
        <v>2</v>
      </c>
      <c r="AR638" t="s">
        <v>1</v>
      </c>
      <c r="AS638" t="s">
        <v>1</v>
      </c>
      <c r="AT638" t="s">
        <v>1</v>
      </c>
      <c r="AU638" t="s">
        <v>1</v>
      </c>
      <c r="AV638" t="s">
        <v>1</v>
      </c>
      <c r="AW638" t="s">
        <v>9</v>
      </c>
      <c r="AX638">
        <f>Tabla1[[#This Row],[precio del paquete]]-Tabla1[[#This Row],[Saldo_Deudor]]</f>
        <v>1300</v>
      </c>
      <c r="AY638">
        <v>13500</v>
      </c>
      <c r="AZ638">
        <v>0</v>
      </c>
      <c r="BA638">
        <v>0</v>
      </c>
      <c r="BB638">
        <v>0</v>
      </c>
      <c r="BC638" t="s">
        <v>3061</v>
      </c>
      <c r="BD638" t="s">
        <v>3040</v>
      </c>
      <c r="BE638" t="s">
        <v>3</v>
      </c>
      <c r="BF638" t="s">
        <v>3</v>
      </c>
      <c r="BG638" t="s">
        <v>3</v>
      </c>
      <c r="BH638" t="s">
        <v>3</v>
      </c>
      <c r="BI638" t="s">
        <v>3</v>
      </c>
      <c r="BJ638" t="s">
        <v>4995</v>
      </c>
      <c r="BK638" t="s">
        <v>3</v>
      </c>
      <c r="BL638" t="s">
        <v>96</v>
      </c>
      <c r="BM638" t="s">
        <v>1</v>
      </c>
      <c r="BN638">
        <v>14800</v>
      </c>
      <c r="BO638" t="s">
        <v>1</v>
      </c>
      <c r="BP638" t="s">
        <v>1</v>
      </c>
      <c r="BQ638" t="s">
        <v>1</v>
      </c>
      <c r="BR638" t="s">
        <v>1</v>
      </c>
      <c r="BS638" t="s">
        <v>1</v>
      </c>
      <c r="BT638" t="s">
        <v>1</v>
      </c>
      <c r="BU638" t="s">
        <v>1</v>
      </c>
      <c r="BV638" t="s">
        <v>1</v>
      </c>
      <c r="BW638" t="s">
        <v>0</v>
      </c>
      <c r="BX638" t="s">
        <v>1</v>
      </c>
      <c r="BY638" t="s">
        <v>1</v>
      </c>
      <c r="BZ638" t="s">
        <v>1</v>
      </c>
      <c r="CA638" t="s">
        <v>1</v>
      </c>
      <c r="CB638" t="s">
        <v>1</v>
      </c>
      <c r="CD638" t="e" cm="1">
        <f t="array" aca="1" ref="CD638" ca="1">eConcatenar(A638:CB638,"|")</f>
        <v>#NAME?</v>
      </c>
    </row>
    <row r="639" spans="1:82" x14ac:dyDescent="0.25">
      <c r="A639" t="s">
        <v>734</v>
      </c>
      <c r="B639" t="s">
        <v>1748</v>
      </c>
      <c r="C639">
        <v>3</v>
      </c>
      <c r="D639" t="s">
        <v>2154</v>
      </c>
      <c r="E639" t="s">
        <v>2158</v>
      </c>
      <c r="F639" t="s">
        <v>0</v>
      </c>
      <c r="G639" t="s">
        <v>2529</v>
      </c>
      <c r="H639" t="s">
        <v>2800</v>
      </c>
      <c r="I639">
        <v>24500</v>
      </c>
      <c r="J639">
        <v>0</v>
      </c>
      <c r="K639">
        <v>200</v>
      </c>
      <c r="L639">
        <v>50</v>
      </c>
      <c r="M639">
        <v>1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 t="s">
        <v>3309</v>
      </c>
      <c r="AC639" t="s">
        <v>3825</v>
      </c>
      <c r="AD639" t="s">
        <v>3826</v>
      </c>
      <c r="AE639" t="s">
        <v>4</v>
      </c>
      <c r="AF639" t="s">
        <v>1</v>
      </c>
      <c r="AG639" t="s">
        <v>1</v>
      </c>
      <c r="AH639" t="s">
        <v>2207</v>
      </c>
      <c r="AI639" t="s">
        <v>2529</v>
      </c>
      <c r="AJ639" t="s">
        <v>1</v>
      </c>
      <c r="AK639" t="s">
        <v>1</v>
      </c>
      <c r="AL639" t="s">
        <v>1</v>
      </c>
      <c r="AM639" t="s">
        <v>1</v>
      </c>
      <c r="AN639" t="s">
        <v>1</v>
      </c>
      <c r="AO639" t="s">
        <v>2207</v>
      </c>
      <c r="AP639" t="s">
        <v>1</v>
      </c>
      <c r="AQ639" t="s">
        <v>2</v>
      </c>
      <c r="AR639" t="s">
        <v>1</v>
      </c>
      <c r="AS639" t="s">
        <v>1</v>
      </c>
      <c r="AT639" t="s">
        <v>1</v>
      </c>
      <c r="AU639" t="s">
        <v>1</v>
      </c>
      <c r="AV639" t="s">
        <v>1</v>
      </c>
      <c r="AW639" t="s">
        <v>9</v>
      </c>
      <c r="AX639">
        <f>Tabla1[[#This Row],[precio del paquete]]-Tabla1[[#This Row],[Saldo_Deudor]]</f>
        <v>1500</v>
      </c>
      <c r="AY639">
        <v>23000</v>
      </c>
      <c r="AZ639">
        <v>0</v>
      </c>
      <c r="BA639">
        <v>0</v>
      </c>
      <c r="BB639">
        <v>0</v>
      </c>
      <c r="BC639" t="s">
        <v>3061</v>
      </c>
      <c r="BD639" t="s">
        <v>3040</v>
      </c>
      <c r="BE639" t="s">
        <v>3</v>
      </c>
      <c r="BF639" t="s">
        <v>3</v>
      </c>
      <c r="BG639" t="s">
        <v>3</v>
      </c>
      <c r="BH639" t="s">
        <v>3</v>
      </c>
      <c r="BI639" t="s">
        <v>3</v>
      </c>
      <c r="BJ639" t="s">
        <v>4995</v>
      </c>
      <c r="BK639" t="s">
        <v>3</v>
      </c>
      <c r="BL639" t="s">
        <v>96</v>
      </c>
      <c r="BM639" t="s">
        <v>1</v>
      </c>
      <c r="BN639">
        <v>24500</v>
      </c>
      <c r="BO639" t="s">
        <v>1</v>
      </c>
      <c r="BP639" t="s">
        <v>1</v>
      </c>
      <c r="BQ639" t="s">
        <v>1</v>
      </c>
      <c r="BR639" t="s">
        <v>1</v>
      </c>
      <c r="BS639" t="s">
        <v>1</v>
      </c>
      <c r="BT639" t="s">
        <v>1</v>
      </c>
      <c r="BU639" t="s">
        <v>1</v>
      </c>
      <c r="BV639" t="s">
        <v>1</v>
      </c>
      <c r="BW639" t="s">
        <v>0</v>
      </c>
      <c r="BX639" t="s">
        <v>1</v>
      </c>
      <c r="BY639" t="s">
        <v>1</v>
      </c>
      <c r="BZ639" t="s">
        <v>1</v>
      </c>
      <c r="CA639" t="s">
        <v>1</v>
      </c>
      <c r="CB639" t="s">
        <v>1</v>
      </c>
      <c r="CD639" t="e" cm="1">
        <f t="array" aca="1" ref="CD639" ca="1">eConcatenar(A639:CB639,"|")</f>
        <v>#NAME?</v>
      </c>
    </row>
    <row r="640" spans="1:82" x14ac:dyDescent="0.25">
      <c r="A640" t="s">
        <v>735</v>
      </c>
      <c r="B640" t="s">
        <v>1749</v>
      </c>
      <c r="C640">
        <v>3</v>
      </c>
      <c r="D640" t="s">
        <v>2153</v>
      </c>
      <c r="E640" t="s">
        <v>2158</v>
      </c>
      <c r="F640" t="s">
        <v>0</v>
      </c>
      <c r="G640" t="s">
        <v>2529</v>
      </c>
      <c r="H640" t="s">
        <v>2729</v>
      </c>
      <c r="I640">
        <v>14800</v>
      </c>
      <c r="J640">
        <v>0</v>
      </c>
      <c r="K640">
        <v>100</v>
      </c>
      <c r="L640">
        <v>50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 t="s">
        <v>3137</v>
      </c>
      <c r="AC640" t="s">
        <v>5</v>
      </c>
      <c r="AD640" t="s">
        <v>3827</v>
      </c>
      <c r="AE640" t="s">
        <v>4</v>
      </c>
      <c r="AF640" t="s">
        <v>1</v>
      </c>
      <c r="AG640" t="s">
        <v>1</v>
      </c>
      <c r="AH640" t="s">
        <v>2207</v>
      </c>
      <c r="AI640" t="s">
        <v>2529</v>
      </c>
      <c r="AJ640" t="s">
        <v>1</v>
      </c>
      <c r="AK640" t="s">
        <v>1</v>
      </c>
      <c r="AL640" t="s">
        <v>1</v>
      </c>
      <c r="AM640" t="s">
        <v>1</v>
      </c>
      <c r="AN640" t="s">
        <v>1</v>
      </c>
      <c r="AO640" t="s">
        <v>2207</v>
      </c>
      <c r="AP640" t="s">
        <v>1</v>
      </c>
      <c r="AQ640" t="s">
        <v>2</v>
      </c>
      <c r="AR640" t="s">
        <v>1</v>
      </c>
      <c r="AS640" t="s">
        <v>1</v>
      </c>
      <c r="AT640" t="s">
        <v>1</v>
      </c>
      <c r="AU640" t="s">
        <v>1</v>
      </c>
      <c r="AV640" t="s">
        <v>1</v>
      </c>
      <c r="AW640" t="s">
        <v>9</v>
      </c>
      <c r="AX640">
        <f>Tabla1[[#This Row],[precio del paquete]]-Tabla1[[#This Row],[Saldo_Deudor]]</f>
        <v>600</v>
      </c>
      <c r="AY640">
        <v>14200</v>
      </c>
      <c r="AZ640">
        <v>0</v>
      </c>
      <c r="BA640">
        <v>0</v>
      </c>
      <c r="BB640">
        <v>0</v>
      </c>
      <c r="BC640" t="s">
        <v>3061</v>
      </c>
      <c r="BD640" t="s">
        <v>3040</v>
      </c>
      <c r="BE640" t="s">
        <v>3</v>
      </c>
      <c r="BF640" t="s">
        <v>3</v>
      </c>
      <c r="BG640" t="s">
        <v>3</v>
      </c>
      <c r="BH640" t="s">
        <v>3</v>
      </c>
      <c r="BI640" t="s">
        <v>3</v>
      </c>
      <c r="BJ640" t="s">
        <v>4995</v>
      </c>
      <c r="BK640" t="s">
        <v>3</v>
      </c>
      <c r="BL640" t="s">
        <v>96</v>
      </c>
      <c r="BM640" t="s">
        <v>1</v>
      </c>
      <c r="BN640">
        <v>14800</v>
      </c>
      <c r="BO640" t="s">
        <v>1</v>
      </c>
      <c r="BP640" t="s">
        <v>1</v>
      </c>
      <c r="BQ640" t="s">
        <v>1</v>
      </c>
      <c r="BR640" t="s">
        <v>1</v>
      </c>
      <c r="BS640" t="s">
        <v>1</v>
      </c>
      <c r="BT640" t="s">
        <v>1</v>
      </c>
      <c r="BU640" t="s">
        <v>1</v>
      </c>
      <c r="BV640" t="s">
        <v>1</v>
      </c>
      <c r="BW640" t="s">
        <v>0</v>
      </c>
      <c r="BX640" t="s">
        <v>1</v>
      </c>
      <c r="BY640" t="s">
        <v>1</v>
      </c>
      <c r="BZ640" t="s">
        <v>1</v>
      </c>
      <c r="CA640" t="s">
        <v>1</v>
      </c>
      <c r="CB640" t="s">
        <v>1</v>
      </c>
      <c r="CD640" t="e" cm="1">
        <f t="array" aca="1" ref="CD640" ca="1">eConcatenar(A640:CB640,"|")</f>
        <v>#NAME?</v>
      </c>
    </row>
    <row r="641" spans="1:82" x14ac:dyDescent="0.25">
      <c r="A641" t="s">
        <v>736</v>
      </c>
      <c r="B641" t="s">
        <v>1750</v>
      </c>
      <c r="C641">
        <v>3</v>
      </c>
      <c r="D641" t="s">
        <v>2153</v>
      </c>
      <c r="E641" t="s">
        <v>2158</v>
      </c>
      <c r="F641" t="s">
        <v>2159</v>
      </c>
      <c r="G641" t="s">
        <v>2530</v>
      </c>
      <c r="H641" t="s">
        <v>2777</v>
      </c>
      <c r="I641">
        <v>14800</v>
      </c>
      <c r="J641">
        <v>0</v>
      </c>
      <c r="K641">
        <v>100</v>
      </c>
      <c r="L641">
        <v>50</v>
      </c>
      <c r="M641">
        <v>1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 t="s">
        <v>3162</v>
      </c>
      <c r="AC641" t="s">
        <v>3114</v>
      </c>
      <c r="AD641" t="s">
        <v>3741</v>
      </c>
      <c r="AE641" t="s">
        <v>4</v>
      </c>
      <c r="AF641" t="s">
        <v>1</v>
      </c>
      <c r="AG641" t="s">
        <v>1</v>
      </c>
      <c r="AH641" t="s">
        <v>2207</v>
      </c>
      <c r="AI641" t="s">
        <v>2530</v>
      </c>
      <c r="AJ641" t="s">
        <v>1</v>
      </c>
      <c r="AK641">
        <v>9991099808</v>
      </c>
      <c r="AL641" t="s">
        <v>1</v>
      </c>
      <c r="AM641" t="s">
        <v>1</v>
      </c>
      <c r="AN641" t="s">
        <v>1</v>
      </c>
      <c r="AO641" t="s">
        <v>2207</v>
      </c>
      <c r="AP641" t="s">
        <v>1</v>
      </c>
      <c r="AQ641" t="s">
        <v>2</v>
      </c>
      <c r="AR641" t="s">
        <v>1</v>
      </c>
      <c r="AS641" t="s">
        <v>1</v>
      </c>
      <c r="AT641" t="s">
        <v>1</v>
      </c>
      <c r="AU641" t="s">
        <v>1</v>
      </c>
      <c r="AV641" t="s">
        <v>1</v>
      </c>
      <c r="AW641" t="s">
        <v>9</v>
      </c>
      <c r="AX641">
        <f>Tabla1[[#This Row],[precio del paquete]]-Tabla1[[#This Row],[Saldo_Deudor]]</f>
        <v>1300</v>
      </c>
      <c r="AY641">
        <v>13500</v>
      </c>
      <c r="AZ641">
        <v>0</v>
      </c>
      <c r="BA641">
        <v>0</v>
      </c>
      <c r="BB641">
        <v>0</v>
      </c>
      <c r="BC641" t="s">
        <v>2865</v>
      </c>
      <c r="BD641" t="s">
        <v>4903</v>
      </c>
      <c r="BE641" t="s">
        <v>3</v>
      </c>
      <c r="BF641" t="s">
        <v>3</v>
      </c>
      <c r="BG641" t="s">
        <v>3</v>
      </c>
      <c r="BH641" t="s">
        <v>3</v>
      </c>
      <c r="BI641" t="s">
        <v>3</v>
      </c>
      <c r="BJ641" t="s">
        <v>4995</v>
      </c>
      <c r="BK641" t="s">
        <v>3</v>
      </c>
      <c r="BL641" t="s">
        <v>96</v>
      </c>
      <c r="BM641" t="s">
        <v>1</v>
      </c>
      <c r="BN641">
        <v>14800</v>
      </c>
      <c r="BO641" t="s">
        <v>1</v>
      </c>
      <c r="BP641" t="s">
        <v>1</v>
      </c>
      <c r="BQ641" t="s">
        <v>1</v>
      </c>
      <c r="BR641" t="s">
        <v>1</v>
      </c>
      <c r="BS641" t="s">
        <v>1</v>
      </c>
      <c r="BT641" t="s">
        <v>1</v>
      </c>
      <c r="BU641" t="s">
        <v>1</v>
      </c>
      <c r="BV641" t="s">
        <v>1</v>
      </c>
      <c r="BW641" t="s">
        <v>0</v>
      </c>
      <c r="BX641" t="s">
        <v>1</v>
      </c>
      <c r="BY641" t="s">
        <v>1</v>
      </c>
      <c r="BZ641" t="s">
        <v>1</v>
      </c>
      <c r="CA641" t="s">
        <v>1</v>
      </c>
      <c r="CB641" t="s">
        <v>1</v>
      </c>
      <c r="CD641" t="e" cm="1">
        <f t="array" aca="1" ref="CD641" ca="1">eConcatenar(A641:CB641,"|")</f>
        <v>#NAME?</v>
      </c>
    </row>
    <row r="642" spans="1:82" x14ac:dyDescent="0.25">
      <c r="A642" t="s">
        <v>737</v>
      </c>
      <c r="B642" t="s">
        <v>1751</v>
      </c>
      <c r="C642">
        <v>3</v>
      </c>
      <c r="D642" t="s">
        <v>2153</v>
      </c>
      <c r="E642" t="s">
        <v>2158</v>
      </c>
      <c r="F642" t="s">
        <v>0</v>
      </c>
      <c r="G642" t="s">
        <v>2531</v>
      </c>
      <c r="H642" t="s">
        <v>2760</v>
      </c>
      <c r="I642">
        <v>14800</v>
      </c>
      <c r="J642">
        <v>0</v>
      </c>
      <c r="K642">
        <v>100</v>
      </c>
      <c r="L642">
        <v>50</v>
      </c>
      <c r="M642">
        <v>1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 t="s">
        <v>3178</v>
      </c>
      <c r="AC642" t="s">
        <v>6</v>
      </c>
      <c r="AD642" t="s">
        <v>3272</v>
      </c>
      <c r="AE642" t="s">
        <v>4</v>
      </c>
      <c r="AF642" t="s">
        <v>1</v>
      </c>
      <c r="AG642" t="s">
        <v>1</v>
      </c>
      <c r="AH642" t="s">
        <v>2207</v>
      </c>
      <c r="AI642" t="s">
        <v>2531</v>
      </c>
      <c r="AJ642" t="s">
        <v>1</v>
      </c>
      <c r="AK642">
        <v>9371597795</v>
      </c>
      <c r="AL642" t="s">
        <v>1</v>
      </c>
      <c r="AM642" t="s">
        <v>1</v>
      </c>
      <c r="AN642" t="s">
        <v>1</v>
      </c>
      <c r="AO642" t="s">
        <v>2207</v>
      </c>
      <c r="AP642" t="s">
        <v>1</v>
      </c>
      <c r="AQ642" t="s">
        <v>2</v>
      </c>
      <c r="AR642" t="s">
        <v>1</v>
      </c>
      <c r="AS642" t="s">
        <v>1</v>
      </c>
      <c r="AT642" t="s">
        <v>1</v>
      </c>
      <c r="AU642" t="s">
        <v>1</v>
      </c>
      <c r="AV642" t="s">
        <v>1</v>
      </c>
      <c r="AW642" t="s">
        <v>9</v>
      </c>
      <c r="AX642">
        <f>Tabla1[[#This Row],[precio del paquete]]-Tabla1[[#This Row],[Saldo_Deudor]]</f>
        <v>2000</v>
      </c>
      <c r="AY642">
        <v>12800</v>
      </c>
      <c r="AZ642">
        <v>0</v>
      </c>
      <c r="BA642">
        <v>0</v>
      </c>
      <c r="BB642">
        <v>0</v>
      </c>
      <c r="BC642" t="s">
        <v>3102</v>
      </c>
      <c r="BD642" t="s">
        <v>4897</v>
      </c>
      <c r="BE642" t="s">
        <v>3</v>
      </c>
      <c r="BF642" t="s">
        <v>3</v>
      </c>
      <c r="BG642" t="s">
        <v>3</v>
      </c>
      <c r="BH642" t="s">
        <v>3</v>
      </c>
      <c r="BI642" t="s">
        <v>3</v>
      </c>
      <c r="BJ642" t="s">
        <v>4995</v>
      </c>
      <c r="BK642" t="s">
        <v>3</v>
      </c>
      <c r="BL642" t="s">
        <v>96</v>
      </c>
      <c r="BM642" t="s">
        <v>1</v>
      </c>
      <c r="BN642">
        <v>14800</v>
      </c>
      <c r="BO642" t="s">
        <v>1</v>
      </c>
      <c r="BP642" t="s">
        <v>1</v>
      </c>
      <c r="BQ642" t="s">
        <v>1</v>
      </c>
      <c r="BR642" t="s">
        <v>1</v>
      </c>
      <c r="BS642" t="s">
        <v>1</v>
      </c>
      <c r="BT642" t="s">
        <v>1</v>
      </c>
      <c r="BU642" t="s">
        <v>1</v>
      </c>
      <c r="BV642" t="s">
        <v>1</v>
      </c>
      <c r="BW642" t="s">
        <v>0</v>
      </c>
      <c r="BX642" t="s">
        <v>1</v>
      </c>
      <c r="BY642" t="s">
        <v>1</v>
      </c>
      <c r="BZ642" t="s">
        <v>1</v>
      </c>
      <c r="CA642" t="s">
        <v>1</v>
      </c>
      <c r="CB642" t="s">
        <v>1</v>
      </c>
      <c r="CD642" t="e" cm="1">
        <f t="array" aca="1" ref="CD642" ca="1">eConcatenar(A642:CB642,"|")</f>
        <v>#NAME?</v>
      </c>
    </row>
    <row r="643" spans="1:82" x14ac:dyDescent="0.25">
      <c r="A643" t="s">
        <v>738</v>
      </c>
      <c r="B643" t="s">
        <v>1752</v>
      </c>
      <c r="C643">
        <v>3</v>
      </c>
      <c r="D643" t="s">
        <v>2157</v>
      </c>
      <c r="E643" t="s">
        <v>2158</v>
      </c>
      <c r="F643" t="s">
        <v>2159</v>
      </c>
      <c r="G643" t="s">
        <v>2532</v>
      </c>
      <c r="H643" t="s">
        <v>2747</v>
      </c>
      <c r="I643">
        <v>12900</v>
      </c>
      <c r="J643">
        <v>0</v>
      </c>
      <c r="K643">
        <v>300</v>
      </c>
      <c r="L643">
        <v>50</v>
      </c>
      <c r="M643">
        <v>1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 t="s">
        <v>3131</v>
      </c>
      <c r="AC643" t="s">
        <v>3357</v>
      </c>
      <c r="AD643" t="s">
        <v>3828</v>
      </c>
      <c r="AE643" t="s">
        <v>4</v>
      </c>
      <c r="AF643" t="s">
        <v>1</v>
      </c>
      <c r="AG643" t="s">
        <v>1</v>
      </c>
      <c r="AH643" t="s">
        <v>4259</v>
      </c>
      <c r="AI643" t="s">
        <v>2532</v>
      </c>
      <c r="AJ643" t="s">
        <v>1</v>
      </c>
      <c r="AK643" t="s">
        <v>1</v>
      </c>
      <c r="AL643" t="s">
        <v>1</v>
      </c>
      <c r="AM643" t="s">
        <v>1</v>
      </c>
      <c r="AN643" t="s">
        <v>1</v>
      </c>
      <c r="AO643" t="s">
        <v>4259</v>
      </c>
      <c r="AP643" t="s">
        <v>1</v>
      </c>
      <c r="AQ643" t="s">
        <v>2</v>
      </c>
      <c r="AR643" t="s">
        <v>1</v>
      </c>
      <c r="AS643" t="s">
        <v>1</v>
      </c>
      <c r="AT643" t="s">
        <v>1</v>
      </c>
      <c r="AU643" t="s">
        <v>1</v>
      </c>
      <c r="AV643" t="s">
        <v>1</v>
      </c>
      <c r="AW643" t="s">
        <v>9</v>
      </c>
      <c r="AX643">
        <f>Tabla1[[#This Row],[precio del paquete]]-Tabla1[[#This Row],[Saldo_Deudor]]</f>
        <v>7750</v>
      </c>
      <c r="AY643">
        <v>5150</v>
      </c>
      <c r="AZ643">
        <v>0</v>
      </c>
      <c r="BA643">
        <v>0</v>
      </c>
      <c r="BB643">
        <v>0</v>
      </c>
      <c r="BC643" t="s">
        <v>3016</v>
      </c>
      <c r="BD643" t="s">
        <v>4832</v>
      </c>
      <c r="BE643" t="s">
        <v>3</v>
      </c>
      <c r="BF643" t="s">
        <v>3</v>
      </c>
      <c r="BG643" t="s">
        <v>3</v>
      </c>
      <c r="BH643" t="s">
        <v>3</v>
      </c>
      <c r="BI643" t="s">
        <v>3</v>
      </c>
      <c r="BJ643" t="s">
        <v>4987</v>
      </c>
      <c r="BK643" t="s">
        <v>3</v>
      </c>
      <c r="BL643" t="s">
        <v>96</v>
      </c>
      <c r="BM643" t="s">
        <v>1</v>
      </c>
      <c r="BN643">
        <v>12900</v>
      </c>
      <c r="BO643" t="s">
        <v>1</v>
      </c>
      <c r="BP643" t="s">
        <v>1</v>
      </c>
      <c r="BQ643" t="s">
        <v>1</v>
      </c>
      <c r="BR643" t="s">
        <v>1</v>
      </c>
      <c r="BS643" t="s">
        <v>1</v>
      </c>
      <c r="BT643" t="s">
        <v>1</v>
      </c>
      <c r="BU643" t="s">
        <v>1</v>
      </c>
      <c r="BV643" t="s">
        <v>1</v>
      </c>
      <c r="BW643" t="s">
        <v>0</v>
      </c>
      <c r="BX643" t="s">
        <v>1</v>
      </c>
      <c r="BY643" t="s">
        <v>1</v>
      </c>
      <c r="BZ643" t="s">
        <v>1</v>
      </c>
      <c r="CA643" t="s">
        <v>1</v>
      </c>
      <c r="CB643" t="s">
        <v>1</v>
      </c>
      <c r="CD643" t="e" cm="1">
        <f t="array" aca="1" ref="CD643" ca="1">eConcatenar(A643:CB643,"|")</f>
        <v>#NAME?</v>
      </c>
    </row>
    <row r="644" spans="1:82" x14ac:dyDescent="0.25">
      <c r="A644" t="s">
        <v>739</v>
      </c>
      <c r="B644" t="s">
        <v>1753</v>
      </c>
      <c r="C644">
        <v>3</v>
      </c>
      <c r="D644" t="s">
        <v>2153</v>
      </c>
      <c r="E644" t="s">
        <v>2158</v>
      </c>
      <c r="F644" t="s">
        <v>2159</v>
      </c>
      <c r="G644" t="s">
        <v>2533</v>
      </c>
      <c r="H644" t="s">
        <v>2982</v>
      </c>
      <c r="I644">
        <v>14800</v>
      </c>
      <c r="J644">
        <v>0</v>
      </c>
      <c r="K644">
        <v>100</v>
      </c>
      <c r="L644">
        <v>50</v>
      </c>
      <c r="M644">
        <v>1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 t="s">
        <v>3290</v>
      </c>
      <c r="AC644" t="s">
        <v>5</v>
      </c>
      <c r="AD644" t="s">
        <v>3257</v>
      </c>
      <c r="AE644" t="s">
        <v>4</v>
      </c>
      <c r="AF644" t="s">
        <v>1</v>
      </c>
      <c r="AG644" t="s">
        <v>1</v>
      </c>
      <c r="AH644" t="s">
        <v>4562</v>
      </c>
      <c r="AI644" t="s">
        <v>2533</v>
      </c>
      <c r="AJ644" t="s">
        <v>1</v>
      </c>
      <c r="AK644">
        <v>9332081103</v>
      </c>
      <c r="AL644" t="s">
        <v>1</v>
      </c>
      <c r="AM644" t="s">
        <v>1</v>
      </c>
      <c r="AN644" t="s">
        <v>1</v>
      </c>
      <c r="AO644" t="s">
        <v>4562</v>
      </c>
      <c r="AP644" t="s">
        <v>1</v>
      </c>
      <c r="AQ644" t="s">
        <v>2</v>
      </c>
      <c r="AR644" t="s">
        <v>1</v>
      </c>
      <c r="AS644" t="s">
        <v>1</v>
      </c>
      <c r="AT644" t="s">
        <v>1</v>
      </c>
      <c r="AU644" t="s">
        <v>1</v>
      </c>
      <c r="AV644" t="s">
        <v>1</v>
      </c>
      <c r="AW644" t="s">
        <v>9</v>
      </c>
      <c r="AX644">
        <f>Tabla1[[#This Row],[precio del paquete]]-Tabla1[[#This Row],[Saldo_Deudor]]</f>
        <v>0</v>
      </c>
      <c r="AY644">
        <v>14800</v>
      </c>
      <c r="AZ644">
        <v>0</v>
      </c>
      <c r="BA644">
        <v>0</v>
      </c>
      <c r="BB644">
        <v>0</v>
      </c>
      <c r="BC644" t="s">
        <v>2755</v>
      </c>
      <c r="BD644" t="s">
        <v>4905</v>
      </c>
      <c r="BE644" t="s">
        <v>3</v>
      </c>
      <c r="BF644" t="s">
        <v>3</v>
      </c>
      <c r="BG644" t="s">
        <v>3</v>
      </c>
      <c r="BH644" t="s">
        <v>3</v>
      </c>
      <c r="BI644" t="s">
        <v>3</v>
      </c>
      <c r="BJ644" t="s">
        <v>5005</v>
      </c>
      <c r="BK644" t="s">
        <v>3</v>
      </c>
      <c r="BL644" t="s">
        <v>96</v>
      </c>
      <c r="BM644" t="s">
        <v>1</v>
      </c>
      <c r="BN644">
        <v>14800</v>
      </c>
      <c r="BO644" t="s">
        <v>1</v>
      </c>
      <c r="BP644" t="s">
        <v>1</v>
      </c>
      <c r="BQ644" t="s">
        <v>1</v>
      </c>
      <c r="BR644" t="s">
        <v>1</v>
      </c>
      <c r="BS644" t="s">
        <v>1</v>
      </c>
      <c r="BT644" t="s">
        <v>1</v>
      </c>
      <c r="BU644" t="s">
        <v>1</v>
      </c>
      <c r="BV644" t="s">
        <v>1</v>
      </c>
      <c r="BW644" t="s">
        <v>0</v>
      </c>
      <c r="BX644" t="s">
        <v>1</v>
      </c>
      <c r="BY644" t="s">
        <v>1</v>
      </c>
      <c r="BZ644" t="s">
        <v>1</v>
      </c>
      <c r="CA644" t="s">
        <v>1</v>
      </c>
      <c r="CB644" t="s">
        <v>1</v>
      </c>
      <c r="CD644" t="e" cm="1">
        <f t="array" aca="1" ref="CD644" ca="1">eConcatenar(A644:CB644,"|")</f>
        <v>#NAME?</v>
      </c>
    </row>
    <row r="645" spans="1:82" x14ac:dyDescent="0.25">
      <c r="A645" t="s">
        <v>740</v>
      </c>
      <c r="B645" t="s">
        <v>1754</v>
      </c>
      <c r="C645">
        <v>3</v>
      </c>
      <c r="D645" t="s">
        <v>2153</v>
      </c>
      <c r="E645" t="s">
        <v>2158</v>
      </c>
      <c r="F645" t="s">
        <v>2159</v>
      </c>
      <c r="G645" t="s">
        <v>2533</v>
      </c>
      <c r="H645" t="s">
        <v>2982</v>
      </c>
      <c r="I645">
        <v>14800</v>
      </c>
      <c r="J645">
        <v>0</v>
      </c>
      <c r="K645">
        <v>200</v>
      </c>
      <c r="L645">
        <v>50</v>
      </c>
      <c r="M645">
        <v>1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 t="s">
        <v>3327</v>
      </c>
      <c r="AC645" t="s">
        <v>3114</v>
      </c>
      <c r="AD645" t="s">
        <v>3209</v>
      </c>
      <c r="AE645" t="s">
        <v>4</v>
      </c>
      <c r="AF645" t="s">
        <v>1</v>
      </c>
      <c r="AG645" t="s">
        <v>1</v>
      </c>
      <c r="AH645" t="s">
        <v>4563</v>
      </c>
      <c r="AI645" t="s">
        <v>2533</v>
      </c>
      <c r="AJ645" t="s">
        <v>1</v>
      </c>
      <c r="AK645">
        <v>9331300057</v>
      </c>
      <c r="AL645" t="s">
        <v>1</v>
      </c>
      <c r="AM645" t="s">
        <v>1</v>
      </c>
      <c r="AN645" t="s">
        <v>1</v>
      </c>
      <c r="AO645" t="s">
        <v>4563</v>
      </c>
      <c r="AP645" t="s">
        <v>1</v>
      </c>
      <c r="AQ645" t="s">
        <v>2</v>
      </c>
      <c r="AR645" t="s">
        <v>1</v>
      </c>
      <c r="AS645" t="s">
        <v>1</v>
      </c>
      <c r="AT645" t="s">
        <v>1</v>
      </c>
      <c r="AU645" t="s">
        <v>1</v>
      </c>
      <c r="AV645" t="s">
        <v>1</v>
      </c>
      <c r="AW645" t="s">
        <v>9</v>
      </c>
      <c r="AX645">
        <f>Tabla1[[#This Row],[precio del paquete]]-Tabla1[[#This Row],[Saldo_Deudor]]</f>
        <v>200</v>
      </c>
      <c r="AY645">
        <v>14600</v>
      </c>
      <c r="AZ645">
        <v>0</v>
      </c>
      <c r="BA645">
        <v>0</v>
      </c>
      <c r="BB645">
        <v>0</v>
      </c>
      <c r="BC645" t="s">
        <v>2755</v>
      </c>
      <c r="BD645" t="s">
        <v>4905</v>
      </c>
      <c r="BE645" t="s">
        <v>3</v>
      </c>
      <c r="BF645" t="s">
        <v>3</v>
      </c>
      <c r="BG645" t="s">
        <v>3</v>
      </c>
      <c r="BH645" t="s">
        <v>3</v>
      </c>
      <c r="BI645" t="s">
        <v>3</v>
      </c>
      <c r="BJ645" t="s">
        <v>5005</v>
      </c>
      <c r="BK645" t="s">
        <v>3</v>
      </c>
      <c r="BL645" t="s">
        <v>96</v>
      </c>
      <c r="BM645" t="s">
        <v>1</v>
      </c>
      <c r="BN645">
        <v>14800</v>
      </c>
      <c r="BO645" t="s">
        <v>1</v>
      </c>
      <c r="BP645" t="s">
        <v>1</v>
      </c>
      <c r="BQ645" t="s">
        <v>1</v>
      </c>
      <c r="BR645" t="s">
        <v>1</v>
      </c>
      <c r="BS645" t="s">
        <v>1</v>
      </c>
      <c r="BT645" t="s">
        <v>1</v>
      </c>
      <c r="BU645" t="s">
        <v>1</v>
      </c>
      <c r="BV645" t="s">
        <v>1</v>
      </c>
      <c r="BW645" t="s">
        <v>0</v>
      </c>
      <c r="BX645" t="s">
        <v>1</v>
      </c>
      <c r="BY645" t="s">
        <v>1</v>
      </c>
      <c r="BZ645" t="s">
        <v>1</v>
      </c>
      <c r="CA645" t="s">
        <v>1</v>
      </c>
      <c r="CB645" t="s">
        <v>1</v>
      </c>
      <c r="CD645" t="e" cm="1">
        <f t="array" aca="1" ref="CD645" ca="1">eConcatenar(A645:CB645,"|")</f>
        <v>#NAME?</v>
      </c>
    </row>
    <row r="646" spans="1:82" x14ac:dyDescent="0.25">
      <c r="A646" t="s">
        <v>741</v>
      </c>
      <c r="B646" t="s">
        <v>1755</v>
      </c>
      <c r="C646">
        <v>3</v>
      </c>
      <c r="D646" t="s">
        <v>2157</v>
      </c>
      <c r="E646" t="s">
        <v>2158</v>
      </c>
      <c r="F646" t="s">
        <v>2159</v>
      </c>
      <c r="G646" t="s">
        <v>2533</v>
      </c>
      <c r="H646" t="s">
        <v>2983</v>
      </c>
      <c r="I646">
        <v>14800</v>
      </c>
      <c r="J646">
        <v>0</v>
      </c>
      <c r="K646">
        <v>400</v>
      </c>
      <c r="L646">
        <v>50</v>
      </c>
      <c r="M646">
        <v>1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 t="s">
        <v>3132</v>
      </c>
      <c r="AC646" t="s">
        <v>3829</v>
      </c>
      <c r="AD646" t="s">
        <v>3830</v>
      </c>
      <c r="AE646" t="s">
        <v>4</v>
      </c>
      <c r="AF646" t="s">
        <v>1</v>
      </c>
      <c r="AG646" t="s">
        <v>1</v>
      </c>
      <c r="AH646" t="s">
        <v>4520</v>
      </c>
      <c r="AI646" t="s">
        <v>2533</v>
      </c>
      <c r="AJ646" t="s">
        <v>1</v>
      </c>
      <c r="AK646">
        <v>9333031801</v>
      </c>
      <c r="AL646" t="s">
        <v>1</v>
      </c>
      <c r="AM646" t="s">
        <v>1</v>
      </c>
      <c r="AN646" t="s">
        <v>1</v>
      </c>
      <c r="AO646" t="s">
        <v>4520</v>
      </c>
      <c r="AP646" t="s">
        <v>1</v>
      </c>
      <c r="AQ646" t="s">
        <v>2</v>
      </c>
      <c r="AR646" t="s">
        <v>1</v>
      </c>
      <c r="AS646" t="s">
        <v>1</v>
      </c>
      <c r="AT646" t="s">
        <v>1</v>
      </c>
      <c r="AU646" t="s">
        <v>1</v>
      </c>
      <c r="AV646" t="s">
        <v>1</v>
      </c>
      <c r="AW646" t="s">
        <v>9</v>
      </c>
      <c r="AX646">
        <f>Tabla1[[#This Row],[precio del paquete]]-Tabla1[[#This Row],[Saldo_Deudor]]</f>
        <v>9200</v>
      </c>
      <c r="AY646">
        <v>5600</v>
      </c>
      <c r="AZ646">
        <v>0</v>
      </c>
      <c r="BA646">
        <v>0</v>
      </c>
      <c r="BB646">
        <v>0</v>
      </c>
      <c r="BC646" t="s">
        <v>3016</v>
      </c>
      <c r="BD646" t="s">
        <v>4832</v>
      </c>
      <c r="BE646" t="s">
        <v>3</v>
      </c>
      <c r="BF646" t="s">
        <v>3</v>
      </c>
      <c r="BG646" t="s">
        <v>3</v>
      </c>
      <c r="BH646" t="s">
        <v>3</v>
      </c>
      <c r="BI646" t="s">
        <v>3</v>
      </c>
      <c r="BJ646" t="s">
        <v>5005</v>
      </c>
      <c r="BK646" t="s">
        <v>3</v>
      </c>
      <c r="BL646" t="s">
        <v>96</v>
      </c>
      <c r="BM646" t="s">
        <v>1</v>
      </c>
      <c r="BN646">
        <v>14800</v>
      </c>
      <c r="BO646" t="s">
        <v>1</v>
      </c>
      <c r="BP646" t="s">
        <v>1</v>
      </c>
      <c r="BQ646" t="s">
        <v>1</v>
      </c>
      <c r="BR646" t="s">
        <v>1</v>
      </c>
      <c r="BS646" t="s">
        <v>1</v>
      </c>
      <c r="BT646" t="s">
        <v>1</v>
      </c>
      <c r="BU646" t="s">
        <v>1</v>
      </c>
      <c r="BV646" t="s">
        <v>1</v>
      </c>
      <c r="BW646" t="s">
        <v>0</v>
      </c>
      <c r="BX646" t="s">
        <v>1</v>
      </c>
      <c r="BY646" t="s">
        <v>1</v>
      </c>
      <c r="BZ646" t="s">
        <v>1</v>
      </c>
      <c r="CA646" t="s">
        <v>1</v>
      </c>
      <c r="CB646" t="s">
        <v>1</v>
      </c>
      <c r="CD646" t="e" cm="1">
        <f t="array" aca="1" ref="CD646" ca="1">eConcatenar(A646:CB646,"|")</f>
        <v>#NAME?</v>
      </c>
    </row>
    <row r="647" spans="1:82" x14ac:dyDescent="0.25">
      <c r="A647" t="s">
        <v>742</v>
      </c>
      <c r="B647" t="s">
        <v>1756</v>
      </c>
      <c r="C647">
        <v>3</v>
      </c>
      <c r="D647" t="s">
        <v>2153</v>
      </c>
      <c r="E647" t="s">
        <v>2158</v>
      </c>
      <c r="F647" t="s">
        <v>2159</v>
      </c>
      <c r="G647" t="s">
        <v>2534</v>
      </c>
      <c r="H647" t="s">
        <v>2831</v>
      </c>
      <c r="I647">
        <v>14800</v>
      </c>
      <c r="J647">
        <v>0</v>
      </c>
      <c r="K647">
        <v>100</v>
      </c>
      <c r="L647">
        <v>50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 t="s">
        <v>3290</v>
      </c>
      <c r="AC647" t="s">
        <v>3143</v>
      </c>
      <c r="AD647" t="s">
        <v>3428</v>
      </c>
      <c r="AE647" t="s">
        <v>4</v>
      </c>
      <c r="AF647" t="s">
        <v>1</v>
      </c>
      <c r="AG647" t="s">
        <v>1</v>
      </c>
      <c r="AH647" t="s">
        <v>4564</v>
      </c>
      <c r="AI647" t="s">
        <v>2534</v>
      </c>
      <c r="AJ647" t="s">
        <v>1</v>
      </c>
      <c r="AK647">
        <v>9331552472</v>
      </c>
      <c r="AL647" t="s">
        <v>1</v>
      </c>
      <c r="AM647" t="s">
        <v>1</v>
      </c>
      <c r="AN647" t="s">
        <v>1</v>
      </c>
      <c r="AO647" t="s">
        <v>4564</v>
      </c>
      <c r="AP647" t="s">
        <v>1</v>
      </c>
      <c r="AQ647" t="s">
        <v>2</v>
      </c>
      <c r="AR647" t="s">
        <v>1</v>
      </c>
      <c r="AS647" t="s">
        <v>1</v>
      </c>
      <c r="AT647" t="s">
        <v>1</v>
      </c>
      <c r="AU647" t="s">
        <v>1</v>
      </c>
      <c r="AV647" t="s">
        <v>1</v>
      </c>
      <c r="AW647" t="s">
        <v>9</v>
      </c>
      <c r="AX647">
        <f>Tabla1[[#This Row],[precio del paquete]]-Tabla1[[#This Row],[Saldo_Deudor]]</f>
        <v>300</v>
      </c>
      <c r="AY647">
        <v>14500</v>
      </c>
      <c r="AZ647">
        <v>0</v>
      </c>
      <c r="BA647">
        <v>0</v>
      </c>
      <c r="BB647">
        <v>0</v>
      </c>
      <c r="BC647" t="s">
        <v>2905</v>
      </c>
      <c r="BD647" t="s">
        <v>3024</v>
      </c>
      <c r="BE647" t="s">
        <v>3</v>
      </c>
      <c r="BF647" t="s">
        <v>3</v>
      </c>
      <c r="BG647" t="s">
        <v>3</v>
      </c>
      <c r="BH647" t="s">
        <v>3</v>
      </c>
      <c r="BI647" t="s">
        <v>3</v>
      </c>
      <c r="BJ647" t="s">
        <v>5005</v>
      </c>
      <c r="BK647" t="s">
        <v>3</v>
      </c>
      <c r="BL647" t="s">
        <v>96</v>
      </c>
      <c r="BM647" t="s">
        <v>1</v>
      </c>
      <c r="BN647">
        <v>14800</v>
      </c>
      <c r="BO647" t="s">
        <v>1</v>
      </c>
      <c r="BP647" t="s">
        <v>1</v>
      </c>
      <c r="BQ647" t="s">
        <v>1</v>
      </c>
      <c r="BR647" t="s">
        <v>1</v>
      </c>
      <c r="BS647" t="s">
        <v>1</v>
      </c>
      <c r="BT647" t="s">
        <v>1</v>
      </c>
      <c r="BU647" t="s">
        <v>1</v>
      </c>
      <c r="BV647" t="s">
        <v>1</v>
      </c>
      <c r="BW647" t="s">
        <v>0</v>
      </c>
      <c r="BX647" t="s">
        <v>1</v>
      </c>
      <c r="BY647" t="s">
        <v>1</v>
      </c>
      <c r="BZ647" t="s">
        <v>1</v>
      </c>
      <c r="CA647" t="s">
        <v>1</v>
      </c>
      <c r="CB647" t="s">
        <v>1</v>
      </c>
      <c r="CD647" t="e" cm="1">
        <f t="array" aca="1" ref="CD647" ca="1">eConcatenar(A647:CB647,"|")</f>
        <v>#NAME?</v>
      </c>
    </row>
    <row r="648" spans="1:82" x14ac:dyDescent="0.25">
      <c r="A648" t="s">
        <v>743</v>
      </c>
      <c r="B648" t="s">
        <v>1757</v>
      </c>
      <c r="C648">
        <v>3</v>
      </c>
      <c r="D648" t="s">
        <v>2153</v>
      </c>
      <c r="E648" t="s">
        <v>2158</v>
      </c>
      <c r="F648" t="s">
        <v>2159</v>
      </c>
      <c r="G648" t="s">
        <v>2535</v>
      </c>
      <c r="H648" t="s">
        <v>2796</v>
      </c>
      <c r="I648">
        <v>14800</v>
      </c>
      <c r="J648">
        <v>0</v>
      </c>
      <c r="K648">
        <v>100</v>
      </c>
      <c r="L648">
        <v>50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 t="s">
        <v>3150</v>
      </c>
      <c r="AC648" t="s">
        <v>3384</v>
      </c>
      <c r="AD648" t="s">
        <v>3831</v>
      </c>
      <c r="AE648" t="s">
        <v>4</v>
      </c>
      <c r="AF648" t="s">
        <v>1</v>
      </c>
      <c r="AG648" t="s">
        <v>1</v>
      </c>
      <c r="AH648" t="s">
        <v>4565</v>
      </c>
      <c r="AI648" t="s">
        <v>2535</v>
      </c>
      <c r="AJ648" t="s">
        <v>1</v>
      </c>
      <c r="AK648" t="s">
        <v>1</v>
      </c>
      <c r="AL648" t="s">
        <v>1</v>
      </c>
      <c r="AM648" t="s">
        <v>1</v>
      </c>
      <c r="AN648" t="s">
        <v>1</v>
      </c>
      <c r="AO648" t="s">
        <v>4565</v>
      </c>
      <c r="AP648" t="s">
        <v>1</v>
      </c>
      <c r="AQ648" t="s">
        <v>2</v>
      </c>
      <c r="AR648" t="s">
        <v>1</v>
      </c>
      <c r="AS648" t="s">
        <v>1</v>
      </c>
      <c r="AT648" t="s">
        <v>1</v>
      </c>
      <c r="AU648" t="s">
        <v>1</v>
      </c>
      <c r="AV648" t="s">
        <v>1</v>
      </c>
      <c r="AW648" t="s">
        <v>9</v>
      </c>
      <c r="AX648">
        <f>Tabla1[[#This Row],[precio del paquete]]-Tabla1[[#This Row],[Saldo_Deudor]]</f>
        <v>2000</v>
      </c>
      <c r="AY648">
        <v>12800</v>
      </c>
      <c r="AZ648">
        <v>0</v>
      </c>
      <c r="BA648">
        <v>0</v>
      </c>
      <c r="BB648">
        <v>0</v>
      </c>
      <c r="BC648" t="s">
        <v>3024</v>
      </c>
      <c r="BD648" t="s">
        <v>4830</v>
      </c>
      <c r="BE648" t="s">
        <v>3</v>
      </c>
      <c r="BF648" t="s">
        <v>3</v>
      </c>
      <c r="BG648" t="s">
        <v>3</v>
      </c>
      <c r="BH648" t="s">
        <v>3</v>
      </c>
      <c r="BI648" t="s">
        <v>3</v>
      </c>
      <c r="BJ648" t="s">
        <v>5009</v>
      </c>
      <c r="BK648" t="s">
        <v>3</v>
      </c>
      <c r="BL648" t="s">
        <v>96</v>
      </c>
      <c r="BM648" t="s">
        <v>1</v>
      </c>
      <c r="BN648">
        <v>14800</v>
      </c>
      <c r="BO648" t="s">
        <v>1</v>
      </c>
      <c r="BP648" t="s">
        <v>1</v>
      </c>
      <c r="BQ648" t="s">
        <v>1</v>
      </c>
      <c r="BR648" t="s">
        <v>1</v>
      </c>
      <c r="BS648" t="s">
        <v>1</v>
      </c>
      <c r="BT648" t="s">
        <v>1</v>
      </c>
      <c r="BU648" t="s">
        <v>1</v>
      </c>
      <c r="BV648" t="s">
        <v>1</v>
      </c>
      <c r="BW648" t="s">
        <v>0</v>
      </c>
      <c r="BX648" t="s">
        <v>1</v>
      </c>
      <c r="BY648" t="s">
        <v>1</v>
      </c>
      <c r="BZ648" t="s">
        <v>1</v>
      </c>
      <c r="CA648" t="s">
        <v>1</v>
      </c>
      <c r="CB648" t="s">
        <v>1</v>
      </c>
      <c r="CD648" t="e" cm="1">
        <f t="array" aca="1" ref="CD648" ca="1">eConcatenar(A648:CB648,"|")</f>
        <v>#NAME?</v>
      </c>
    </row>
    <row r="649" spans="1:82" x14ac:dyDescent="0.25">
      <c r="A649" t="s">
        <v>744</v>
      </c>
      <c r="B649" t="s">
        <v>1758</v>
      </c>
      <c r="C649">
        <v>3</v>
      </c>
      <c r="D649" t="s">
        <v>2153</v>
      </c>
      <c r="E649" t="s">
        <v>2158</v>
      </c>
      <c r="F649" t="s">
        <v>2159</v>
      </c>
      <c r="G649" t="s">
        <v>2536</v>
      </c>
      <c r="H649" t="s">
        <v>2796</v>
      </c>
      <c r="I649">
        <v>14800</v>
      </c>
      <c r="J649">
        <v>0</v>
      </c>
      <c r="K649">
        <v>200</v>
      </c>
      <c r="L649">
        <v>50</v>
      </c>
      <c r="M649">
        <v>1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 t="s">
        <v>3243</v>
      </c>
      <c r="AC649" t="s">
        <v>3832</v>
      </c>
      <c r="AD649" t="s">
        <v>3333</v>
      </c>
      <c r="AE649" t="s">
        <v>4</v>
      </c>
      <c r="AF649" t="s">
        <v>1</v>
      </c>
      <c r="AG649" t="s">
        <v>1</v>
      </c>
      <c r="AH649" t="s">
        <v>4566</v>
      </c>
      <c r="AI649" t="s">
        <v>2536</v>
      </c>
      <c r="AJ649" t="s">
        <v>1</v>
      </c>
      <c r="AK649" t="s">
        <v>1</v>
      </c>
      <c r="AL649" t="s">
        <v>1</v>
      </c>
      <c r="AM649" t="s">
        <v>1</v>
      </c>
      <c r="AN649" t="s">
        <v>1</v>
      </c>
      <c r="AO649" t="s">
        <v>4566</v>
      </c>
      <c r="AP649" t="s">
        <v>1</v>
      </c>
      <c r="AQ649" t="s">
        <v>2</v>
      </c>
      <c r="AR649" t="s">
        <v>1</v>
      </c>
      <c r="AS649" t="s">
        <v>1</v>
      </c>
      <c r="AT649" t="s">
        <v>1</v>
      </c>
      <c r="AU649" t="s">
        <v>1</v>
      </c>
      <c r="AV649" t="s">
        <v>1</v>
      </c>
      <c r="AW649" t="s">
        <v>9</v>
      </c>
      <c r="AX649">
        <f>Tabla1[[#This Row],[precio del paquete]]-Tabla1[[#This Row],[Saldo_Deudor]]</f>
        <v>800</v>
      </c>
      <c r="AY649">
        <v>14000</v>
      </c>
      <c r="AZ649">
        <v>0</v>
      </c>
      <c r="BA649">
        <v>0</v>
      </c>
      <c r="BB649">
        <v>0</v>
      </c>
      <c r="BC649" t="s">
        <v>3024</v>
      </c>
      <c r="BD649" t="s">
        <v>4830</v>
      </c>
      <c r="BE649" t="s">
        <v>3</v>
      </c>
      <c r="BF649" t="s">
        <v>3</v>
      </c>
      <c r="BG649" t="s">
        <v>3</v>
      </c>
      <c r="BH649" t="s">
        <v>3</v>
      </c>
      <c r="BI649" t="s">
        <v>3</v>
      </c>
      <c r="BJ649" t="s">
        <v>5009</v>
      </c>
      <c r="BK649" t="s">
        <v>3</v>
      </c>
      <c r="BL649" t="s">
        <v>96</v>
      </c>
      <c r="BM649" t="s">
        <v>1</v>
      </c>
      <c r="BN649">
        <v>14800</v>
      </c>
      <c r="BO649" t="s">
        <v>1</v>
      </c>
      <c r="BP649" t="s">
        <v>1</v>
      </c>
      <c r="BQ649" t="s">
        <v>1</v>
      </c>
      <c r="BR649" t="s">
        <v>1</v>
      </c>
      <c r="BS649" t="s">
        <v>1</v>
      </c>
      <c r="BT649" t="s">
        <v>1</v>
      </c>
      <c r="BU649" t="s">
        <v>1</v>
      </c>
      <c r="BV649" t="s">
        <v>1</v>
      </c>
      <c r="BW649" t="s">
        <v>0</v>
      </c>
      <c r="BX649" t="s">
        <v>1</v>
      </c>
      <c r="BY649" t="s">
        <v>1</v>
      </c>
      <c r="BZ649" t="s">
        <v>1</v>
      </c>
      <c r="CA649" t="s">
        <v>1</v>
      </c>
      <c r="CB649" t="s">
        <v>1</v>
      </c>
      <c r="CD649" t="e" cm="1">
        <f t="array" aca="1" ref="CD649" ca="1">eConcatenar(A649:CB649,"|")</f>
        <v>#NAME?</v>
      </c>
    </row>
    <row r="650" spans="1:82" x14ac:dyDescent="0.25">
      <c r="A650" t="s">
        <v>745</v>
      </c>
      <c r="B650" t="s">
        <v>1759</v>
      </c>
      <c r="C650">
        <v>3</v>
      </c>
      <c r="D650" t="s">
        <v>2153</v>
      </c>
      <c r="E650" t="s">
        <v>2158</v>
      </c>
      <c r="F650" t="s">
        <v>0</v>
      </c>
      <c r="G650" t="s">
        <v>2537</v>
      </c>
      <c r="H650" t="s">
        <v>2984</v>
      </c>
      <c r="I650">
        <v>14800</v>
      </c>
      <c r="J650">
        <v>0</v>
      </c>
      <c r="K650">
        <v>100</v>
      </c>
      <c r="L650">
        <v>50</v>
      </c>
      <c r="M650">
        <v>1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 t="s">
        <v>3117</v>
      </c>
      <c r="AC650" t="s">
        <v>3143</v>
      </c>
      <c r="AD650" t="s">
        <v>3165</v>
      </c>
      <c r="AE650" t="s">
        <v>4</v>
      </c>
      <c r="AF650" t="s">
        <v>1</v>
      </c>
      <c r="AG650" t="s">
        <v>1</v>
      </c>
      <c r="AH650" t="s">
        <v>4567</v>
      </c>
      <c r="AI650" t="s">
        <v>2537</v>
      </c>
      <c r="AJ650" t="s">
        <v>1</v>
      </c>
      <c r="AK650">
        <v>9331666547</v>
      </c>
      <c r="AL650" t="s">
        <v>1</v>
      </c>
      <c r="AM650" t="s">
        <v>1</v>
      </c>
      <c r="AN650" t="s">
        <v>1</v>
      </c>
      <c r="AO650" t="s">
        <v>4567</v>
      </c>
      <c r="AP650" t="s">
        <v>1</v>
      </c>
      <c r="AQ650" t="s">
        <v>2</v>
      </c>
      <c r="AR650" t="s">
        <v>1</v>
      </c>
      <c r="AS650" t="s">
        <v>1</v>
      </c>
      <c r="AT650" t="s">
        <v>1</v>
      </c>
      <c r="AU650" t="s">
        <v>1</v>
      </c>
      <c r="AV650" t="s">
        <v>1</v>
      </c>
      <c r="AW650" t="s">
        <v>9</v>
      </c>
      <c r="AX650">
        <f>Tabla1[[#This Row],[precio del paquete]]-Tabla1[[#This Row],[Saldo_Deudor]]</f>
        <v>700</v>
      </c>
      <c r="AY650">
        <v>14100</v>
      </c>
      <c r="AZ650">
        <v>0</v>
      </c>
      <c r="BA650">
        <v>0</v>
      </c>
      <c r="BB650">
        <v>0</v>
      </c>
      <c r="BC650" t="s">
        <v>2740</v>
      </c>
      <c r="BD650" t="s">
        <v>2833</v>
      </c>
      <c r="BE650" t="s">
        <v>3</v>
      </c>
      <c r="BF650" t="s">
        <v>3</v>
      </c>
      <c r="BG650" t="s">
        <v>3</v>
      </c>
      <c r="BH650" t="s">
        <v>3</v>
      </c>
      <c r="BI650" t="s">
        <v>3</v>
      </c>
      <c r="BJ650" t="s">
        <v>5009</v>
      </c>
      <c r="BK650" t="s">
        <v>3</v>
      </c>
      <c r="BL650" t="s">
        <v>96</v>
      </c>
      <c r="BM650" t="s">
        <v>1</v>
      </c>
      <c r="BN650">
        <v>14800</v>
      </c>
      <c r="BO650" t="s">
        <v>1</v>
      </c>
      <c r="BP650" t="s">
        <v>1</v>
      </c>
      <c r="BQ650" t="s">
        <v>1</v>
      </c>
      <c r="BR650" t="s">
        <v>1</v>
      </c>
      <c r="BS650" t="s">
        <v>1</v>
      </c>
      <c r="BT650" t="s">
        <v>1</v>
      </c>
      <c r="BU650" t="s">
        <v>1</v>
      </c>
      <c r="BV650" t="s">
        <v>1</v>
      </c>
      <c r="BW650" t="s">
        <v>0</v>
      </c>
      <c r="BX650" t="s">
        <v>1</v>
      </c>
      <c r="BY650" t="s">
        <v>1</v>
      </c>
      <c r="BZ650" t="s">
        <v>1</v>
      </c>
      <c r="CA650" t="s">
        <v>1</v>
      </c>
      <c r="CB650" t="s">
        <v>1</v>
      </c>
      <c r="CD650" t="e" cm="1">
        <f t="array" aca="1" ref="CD650" ca="1">eConcatenar(A650:CB650,"|")</f>
        <v>#NAME?</v>
      </c>
    </row>
    <row r="651" spans="1:82" x14ac:dyDescent="0.25">
      <c r="A651" t="s">
        <v>746</v>
      </c>
      <c r="B651" t="s">
        <v>1760</v>
      </c>
      <c r="C651">
        <v>3</v>
      </c>
      <c r="D651" t="s">
        <v>2153</v>
      </c>
      <c r="E651" t="s">
        <v>2158</v>
      </c>
      <c r="F651" t="s">
        <v>2159</v>
      </c>
      <c r="G651" t="s">
        <v>2538</v>
      </c>
      <c r="H651" t="s">
        <v>2807</v>
      </c>
      <c r="I651">
        <v>14800</v>
      </c>
      <c r="J651">
        <v>0</v>
      </c>
      <c r="K651">
        <v>200</v>
      </c>
      <c r="L651">
        <v>50</v>
      </c>
      <c r="M651">
        <v>1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 t="s">
        <v>3137</v>
      </c>
      <c r="AC651" t="s">
        <v>3115</v>
      </c>
      <c r="AD651" t="s">
        <v>3833</v>
      </c>
      <c r="AE651" t="s">
        <v>4</v>
      </c>
      <c r="AF651" t="s">
        <v>1</v>
      </c>
      <c r="AG651" t="s">
        <v>1</v>
      </c>
      <c r="AH651" t="s">
        <v>4568</v>
      </c>
      <c r="AI651" t="s">
        <v>2538</v>
      </c>
      <c r="AJ651" t="s">
        <v>1</v>
      </c>
      <c r="AK651">
        <v>9331585116</v>
      </c>
      <c r="AL651" t="s">
        <v>1</v>
      </c>
      <c r="AM651" t="s">
        <v>1</v>
      </c>
      <c r="AN651" t="s">
        <v>1</v>
      </c>
      <c r="AO651" t="s">
        <v>4568</v>
      </c>
      <c r="AP651" t="s">
        <v>1</v>
      </c>
      <c r="AQ651" t="s">
        <v>2</v>
      </c>
      <c r="AR651" t="s">
        <v>1</v>
      </c>
      <c r="AS651" t="s">
        <v>1</v>
      </c>
      <c r="AT651" t="s">
        <v>1</v>
      </c>
      <c r="AU651" t="s">
        <v>1</v>
      </c>
      <c r="AV651" t="s">
        <v>1</v>
      </c>
      <c r="AW651" t="s">
        <v>9</v>
      </c>
      <c r="AX651">
        <f>Tabla1[[#This Row],[precio del paquete]]-Tabla1[[#This Row],[Saldo_Deudor]]</f>
        <v>1300</v>
      </c>
      <c r="AY651">
        <v>13500</v>
      </c>
      <c r="AZ651">
        <v>0</v>
      </c>
      <c r="BA651">
        <v>0</v>
      </c>
      <c r="BB651">
        <v>0</v>
      </c>
      <c r="BC651" t="s">
        <v>4841</v>
      </c>
      <c r="BD651" t="s">
        <v>4926</v>
      </c>
      <c r="BE651" t="s">
        <v>3</v>
      </c>
      <c r="BF651" t="s">
        <v>3</v>
      </c>
      <c r="BG651" t="s">
        <v>3</v>
      </c>
      <c r="BH651" t="s">
        <v>3</v>
      </c>
      <c r="BI651" t="s">
        <v>3</v>
      </c>
      <c r="BJ651" t="s">
        <v>4995</v>
      </c>
      <c r="BK651" t="s">
        <v>3</v>
      </c>
      <c r="BL651" t="s">
        <v>96</v>
      </c>
      <c r="BM651" t="s">
        <v>1</v>
      </c>
      <c r="BN651">
        <v>14800</v>
      </c>
      <c r="BO651" t="s">
        <v>1</v>
      </c>
      <c r="BP651" t="s">
        <v>1</v>
      </c>
      <c r="BQ651" t="s">
        <v>1</v>
      </c>
      <c r="BR651" t="s">
        <v>1</v>
      </c>
      <c r="BS651" t="s">
        <v>1</v>
      </c>
      <c r="BT651" t="s">
        <v>1</v>
      </c>
      <c r="BU651" t="s">
        <v>1</v>
      </c>
      <c r="BV651" t="s">
        <v>1</v>
      </c>
      <c r="BW651" t="s">
        <v>0</v>
      </c>
      <c r="BX651" t="s">
        <v>1</v>
      </c>
      <c r="BY651" t="s">
        <v>1</v>
      </c>
      <c r="BZ651" t="s">
        <v>1</v>
      </c>
      <c r="CA651" t="s">
        <v>1</v>
      </c>
      <c r="CB651" t="s">
        <v>1</v>
      </c>
      <c r="CD651" t="e" cm="1">
        <f t="array" aca="1" ref="CD651" ca="1">eConcatenar(A651:CB651,"|")</f>
        <v>#NAME?</v>
      </c>
    </row>
    <row r="652" spans="1:82" x14ac:dyDescent="0.25">
      <c r="A652" t="s">
        <v>747</v>
      </c>
      <c r="B652" t="s">
        <v>1761</v>
      </c>
      <c r="C652">
        <v>3</v>
      </c>
      <c r="D652" t="s">
        <v>2153</v>
      </c>
      <c r="E652" t="s">
        <v>2158</v>
      </c>
      <c r="F652" t="s">
        <v>2159</v>
      </c>
      <c r="G652" t="s">
        <v>2539</v>
      </c>
      <c r="H652" t="s">
        <v>2833</v>
      </c>
      <c r="I652">
        <v>14800</v>
      </c>
      <c r="J652">
        <v>0</v>
      </c>
      <c r="K652">
        <v>100</v>
      </c>
      <c r="L652">
        <v>50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 t="s">
        <v>3202</v>
      </c>
      <c r="AC652" t="s">
        <v>3453</v>
      </c>
      <c r="AD652" t="s">
        <v>3834</v>
      </c>
      <c r="AE652" t="s">
        <v>4</v>
      </c>
      <c r="AF652" t="s">
        <v>1</v>
      </c>
      <c r="AG652" t="s">
        <v>1</v>
      </c>
      <c r="AH652" t="s">
        <v>4569</v>
      </c>
      <c r="AI652" t="s">
        <v>2539</v>
      </c>
      <c r="AJ652" t="s">
        <v>1</v>
      </c>
      <c r="AK652">
        <v>9131102433</v>
      </c>
      <c r="AL652" t="s">
        <v>1</v>
      </c>
      <c r="AM652" t="s">
        <v>1</v>
      </c>
      <c r="AN652" t="s">
        <v>1</v>
      </c>
      <c r="AO652" t="s">
        <v>4569</v>
      </c>
      <c r="AP652" t="s">
        <v>1</v>
      </c>
      <c r="AQ652" t="s">
        <v>2</v>
      </c>
      <c r="AR652" t="s">
        <v>1</v>
      </c>
      <c r="AS652" t="s">
        <v>1</v>
      </c>
      <c r="AT652" t="s">
        <v>1</v>
      </c>
      <c r="AU652" t="s">
        <v>1</v>
      </c>
      <c r="AV652" t="s">
        <v>1</v>
      </c>
      <c r="AW652" t="s">
        <v>9</v>
      </c>
      <c r="AX652">
        <f>Tabla1[[#This Row],[precio del paquete]]-Tabla1[[#This Row],[Saldo_Deudor]]</f>
        <v>1600</v>
      </c>
      <c r="AY652">
        <v>13200</v>
      </c>
      <c r="AZ652">
        <v>0</v>
      </c>
      <c r="BA652">
        <v>0</v>
      </c>
      <c r="BB652">
        <v>0</v>
      </c>
      <c r="BC652" t="s">
        <v>3061</v>
      </c>
      <c r="BD652" t="s">
        <v>3040</v>
      </c>
      <c r="BE652" t="s">
        <v>3</v>
      </c>
      <c r="BF652" t="s">
        <v>3</v>
      </c>
      <c r="BG652" t="s">
        <v>3</v>
      </c>
      <c r="BH652" t="s">
        <v>3</v>
      </c>
      <c r="BI652" t="s">
        <v>3</v>
      </c>
      <c r="BJ652" t="s">
        <v>4993</v>
      </c>
      <c r="BK652" t="s">
        <v>3</v>
      </c>
      <c r="BL652" t="s">
        <v>96</v>
      </c>
      <c r="BM652" t="s">
        <v>1</v>
      </c>
      <c r="BN652">
        <v>14800</v>
      </c>
      <c r="BO652" t="s">
        <v>1</v>
      </c>
      <c r="BP652" t="s">
        <v>1</v>
      </c>
      <c r="BQ652" t="s">
        <v>1</v>
      </c>
      <c r="BR652" t="s">
        <v>1</v>
      </c>
      <c r="BS652" t="s">
        <v>1</v>
      </c>
      <c r="BT652" t="s">
        <v>1</v>
      </c>
      <c r="BU652" t="s">
        <v>1</v>
      </c>
      <c r="BV652" t="s">
        <v>1</v>
      </c>
      <c r="BW652" t="s">
        <v>0</v>
      </c>
      <c r="BX652" t="s">
        <v>1</v>
      </c>
      <c r="BY652" t="s">
        <v>1</v>
      </c>
      <c r="BZ652" t="s">
        <v>1</v>
      </c>
      <c r="CA652" t="s">
        <v>1</v>
      </c>
      <c r="CB652" t="s">
        <v>1</v>
      </c>
      <c r="CD652" t="e" cm="1">
        <f t="array" aca="1" ref="CD652" ca="1">eConcatenar(A652:CB652,"|")</f>
        <v>#NAME?</v>
      </c>
    </row>
    <row r="653" spans="1:82" x14ac:dyDescent="0.25">
      <c r="A653" t="s">
        <v>748</v>
      </c>
      <c r="B653" t="s">
        <v>1762</v>
      </c>
      <c r="C653">
        <v>3</v>
      </c>
      <c r="D653" t="s">
        <v>2153</v>
      </c>
      <c r="E653" t="s">
        <v>2158</v>
      </c>
      <c r="F653" t="s">
        <v>2159</v>
      </c>
      <c r="G653" t="s">
        <v>2540</v>
      </c>
      <c r="H653" t="s">
        <v>2874</v>
      </c>
      <c r="I653">
        <v>14800</v>
      </c>
      <c r="J653">
        <v>0</v>
      </c>
      <c r="K653">
        <v>50</v>
      </c>
      <c r="L653">
        <v>50</v>
      </c>
      <c r="M653">
        <v>1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 t="s">
        <v>3148</v>
      </c>
      <c r="AC653" t="s">
        <v>3134</v>
      </c>
      <c r="AD653" t="s">
        <v>3835</v>
      </c>
      <c r="AE653" t="s">
        <v>4</v>
      </c>
      <c r="AF653" t="s">
        <v>1</v>
      </c>
      <c r="AG653" t="s">
        <v>1</v>
      </c>
      <c r="AH653" t="s">
        <v>2542</v>
      </c>
      <c r="AI653" t="s">
        <v>2540</v>
      </c>
      <c r="AJ653" t="s">
        <v>1</v>
      </c>
      <c r="AK653">
        <v>9331212932</v>
      </c>
      <c r="AL653" t="s">
        <v>1</v>
      </c>
      <c r="AM653" t="s">
        <v>1</v>
      </c>
      <c r="AN653" t="s">
        <v>1</v>
      </c>
      <c r="AO653" t="s">
        <v>2542</v>
      </c>
      <c r="AP653" t="s">
        <v>1</v>
      </c>
      <c r="AQ653" t="s">
        <v>2</v>
      </c>
      <c r="AR653" t="s">
        <v>1</v>
      </c>
      <c r="AS653" t="s">
        <v>1</v>
      </c>
      <c r="AT653" t="s">
        <v>1</v>
      </c>
      <c r="AU653" t="s">
        <v>1</v>
      </c>
      <c r="AV653" t="s">
        <v>1</v>
      </c>
      <c r="AW653" t="s">
        <v>9</v>
      </c>
      <c r="AX653">
        <f>Tabla1[[#This Row],[precio del paquete]]-Tabla1[[#This Row],[Saldo_Deudor]]</f>
        <v>950</v>
      </c>
      <c r="AY653">
        <v>13850</v>
      </c>
      <c r="AZ653">
        <v>0</v>
      </c>
      <c r="BA653">
        <v>0</v>
      </c>
      <c r="BB653">
        <v>0</v>
      </c>
      <c r="BC653" t="s">
        <v>2865</v>
      </c>
      <c r="BD653" t="s">
        <v>4903</v>
      </c>
      <c r="BE653" t="s">
        <v>3</v>
      </c>
      <c r="BF653" t="s">
        <v>3</v>
      </c>
      <c r="BG653" t="s">
        <v>3</v>
      </c>
      <c r="BH653" t="s">
        <v>3</v>
      </c>
      <c r="BI653" t="s">
        <v>3</v>
      </c>
      <c r="BJ653" t="s">
        <v>4991</v>
      </c>
      <c r="BK653" t="s">
        <v>3</v>
      </c>
      <c r="BL653" t="s">
        <v>96</v>
      </c>
      <c r="BM653" t="s">
        <v>1</v>
      </c>
      <c r="BN653">
        <v>14800</v>
      </c>
      <c r="BO653" t="s">
        <v>1</v>
      </c>
      <c r="BP653" t="s">
        <v>1</v>
      </c>
      <c r="BQ653" t="s">
        <v>1</v>
      </c>
      <c r="BR653" t="s">
        <v>1</v>
      </c>
      <c r="BS653" t="s">
        <v>1</v>
      </c>
      <c r="BT653" t="s">
        <v>1</v>
      </c>
      <c r="BU653" t="s">
        <v>1</v>
      </c>
      <c r="BV653" t="s">
        <v>1</v>
      </c>
      <c r="BW653" t="s">
        <v>0</v>
      </c>
      <c r="BX653" t="s">
        <v>1</v>
      </c>
      <c r="BY653" t="s">
        <v>1</v>
      </c>
      <c r="BZ653" t="s">
        <v>1</v>
      </c>
      <c r="CA653" t="s">
        <v>1</v>
      </c>
      <c r="CB653" t="s">
        <v>1</v>
      </c>
      <c r="CD653" t="e" cm="1">
        <f t="array" aca="1" ref="CD653" ca="1">eConcatenar(A653:CB653,"|")</f>
        <v>#NAME?</v>
      </c>
    </row>
    <row r="654" spans="1:82" x14ac:dyDescent="0.25">
      <c r="A654" t="s">
        <v>749</v>
      </c>
      <c r="B654" t="s">
        <v>1763</v>
      </c>
      <c r="C654">
        <v>3</v>
      </c>
      <c r="D654" t="s">
        <v>2153</v>
      </c>
      <c r="E654" t="s">
        <v>2158</v>
      </c>
      <c r="F654" t="s">
        <v>2159</v>
      </c>
      <c r="G654" t="s">
        <v>2541</v>
      </c>
      <c r="H654" t="s">
        <v>2985</v>
      </c>
      <c r="I654">
        <v>14800</v>
      </c>
      <c r="J654">
        <v>0</v>
      </c>
      <c r="K654">
        <v>100</v>
      </c>
      <c r="L654">
        <v>50</v>
      </c>
      <c r="M654">
        <v>1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 t="s">
        <v>3127</v>
      </c>
      <c r="AC654" t="s">
        <v>3221</v>
      </c>
      <c r="AD654" t="s">
        <v>3247</v>
      </c>
      <c r="AE654" t="s">
        <v>4</v>
      </c>
      <c r="AF654" t="s">
        <v>1</v>
      </c>
      <c r="AG654" t="s">
        <v>1</v>
      </c>
      <c r="AH654" t="s">
        <v>4570</v>
      </c>
      <c r="AI654" t="s">
        <v>2541</v>
      </c>
      <c r="AJ654" t="s">
        <v>1</v>
      </c>
      <c r="AK654">
        <v>9331469340</v>
      </c>
      <c r="AL654" t="s">
        <v>1</v>
      </c>
      <c r="AM654" t="s">
        <v>1</v>
      </c>
      <c r="AN654" t="s">
        <v>1</v>
      </c>
      <c r="AO654" t="s">
        <v>4570</v>
      </c>
      <c r="AP654" t="s">
        <v>1</v>
      </c>
      <c r="AQ654" t="s">
        <v>2</v>
      </c>
      <c r="AR654" t="s">
        <v>1</v>
      </c>
      <c r="AS654" t="s">
        <v>1</v>
      </c>
      <c r="AT654" t="s">
        <v>1</v>
      </c>
      <c r="AU654" t="s">
        <v>1</v>
      </c>
      <c r="AV654" t="s">
        <v>1</v>
      </c>
      <c r="AW654" t="s">
        <v>9</v>
      </c>
      <c r="AX654">
        <f>Tabla1[[#This Row],[precio del paquete]]-Tabla1[[#This Row],[Saldo_Deudor]]</f>
        <v>7700</v>
      </c>
      <c r="AY654">
        <v>7100</v>
      </c>
      <c r="AZ654">
        <v>0</v>
      </c>
      <c r="BA654">
        <v>0</v>
      </c>
      <c r="BB654">
        <v>0</v>
      </c>
      <c r="BC654" t="s">
        <v>2985</v>
      </c>
      <c r="BD654" t="s">
        <v>4957</v>
      </c>
      <c r="BE654" t="s">
        <v>3</v>
      </c>
      <c r="BF654" t="s">
        <v>3</v>
      </c>
      <c r="BG654" t="s">
        <v>3</v>
      </c>
      <c r="BH654" t="s">
        <v>3</v>
      </c>
      <c r="BI654" t="s">
        <v>3</v>
      </c>
      <c r="BJ654" t="s">
        <v>4984</v>
      </c>
      <c r="BK654" t="s">
        <v>3</v>
      </c>
      <c r="BL654" t="s">
        <v>96</v>
      </c>
      <c r="BM654" t="s">
        <v>1</v>
      </c>
      <c r="BN654">
        <v>14800</v>
      </c>
      <c r="BO654" t="s">
        <v>1</v>
      </c>
      <c r="BP654" t="s">
        <v>1</v>
      </c>
      <c r="BQ654" t="s">
        <v>1</v>
      </c>
      <c r="BR654" t="s">
        <v>1</v>
      </c>
      <c r="BS654" t="s">
        <v>1</v>
      </c>
      <c r="BT654" t="s">
        <v>1</v>
      </c>
      <c r="BU654" t="s">
        <v>1</v>
      </c>
      <c r="BV654" t="s">
        <v>1</v>
      </c>
      <c r="BW654" t="s">
        <v>0</v>
      </c>
      <c r="BX654" t="s">
        <v>1</v>
      </c>
      <c r="BY654" t="s">
        <v>1</v>
      </c>
      <c r="BZ654" t="s">
        <v>1</v>
      </c>
      <c r="CA654" t="s">
        <v>1</v>
      </c>
      <c r="CB654" t="s">
        <v>1</v>
      </c>
      <c r="CD654" t="e" cm="1">
        <f t="array" aca="1" ref="CD654" ca="1">eConcatenar(A654:CB654,"|")</f>
        <v>#NAME?</v>
      </c>
    </row>
    <row r="655" spans="1:82" x14ac:dyDescent="0.25">
      <c r="A655" t="s">
        <v>750</v>
      </c>
      <c r="B655" t="s">
        <v>1764</v>
      </c>
      <c r="C655">
        <v>3</v>
      </c>
      <c r="D655" t="s">
        <v>2153</v>
      </c>
      <c r="E655" t="s">
        <v>2158</v>
      </c>
      <c r="F655" t="s">
        <v>2159</v>
      </c>
      <c r="G655" t="s">
        <v>2542</v>
      </c>
      <c r="H655" t="s">
        <v>2874</v>
      </c>
      <c r="I655">
        <v>14800</v>
      </c>
      <c r="J655">
        <v>0</v>
      </c>
      <c r="K655">
        <v>100</v>
      </c>
      <c r="L655">
        <v>50</v>
      </c>
      <c r="M655">
        <v>1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 t="s">
        <v>3117</v>
      </c>
      <c r="AC655" t="s">
        <v>3423</v>
      </c>
      <c r="AD655" t="s">
        <v>3762</v>
      </c>
      <c r="AE655" t="s">
        <v>4</v>
      </c>
      <c r="AF655" t="s">
        <v>1</v>
      </c>
      <c r="AG655" t="s">
        <v>1</v>
      </c>
      <c r="AH655" t="s">
        <v>4571</v>
      </c>
      <c r="AI655" t="s">
        <v>2542</v>
      </c>
      <c r="AJ655" t="s">
        <v>1</v>
      </c>
      <c r="AK655">
        <v>9331534400</v>
      </c>
      <c r="AL655" t="s">
        <v>1</v>
      </c>
      <c r="AM655" t="s">
        <v>1</v>
      </c>
      <c r="AN655" t="s">
        <v>1</v>
      </c>
      <c r="AO655" t="s">
        <v>4571</v>
      </c>
      <c r="AP655" t="s">
        <v>1</v>
      </c>
      <c r="AQ655" t="s">
        <v>2</v>
      </c>
      <c r="AR655" t="s">
        <v>1</v>
      </c>
      <c r="AS655" t="s">
        <v>1</v>
      </c>
      <c r="AT655" t="s">
        <v>1</v>
      </c>
      <c r="AU655" t="s">
        <v>1</v>
      </c>
      <c r="AV655" t="s">
        <v>1</v>
      </c>
      <c r="AW655" t="s">
        <v>9</v>
      </c>
      <c r="AX655">
        <f>Tabla1[[#This Row],[precio del paquete]]-Tabla1[[#This Row],[Saldo_Deudor]]</f>
        <v>200</v>
      </c>
      <c r="AY655">
        <v>14600</v>
      </c>
      <c r="AZ655">
        <v>0</v>
      </c>
      <c r="BA655">
        <v>0</v>
      </c>
      <c r="BB655">
        <v>0</v>
      </c>
      <c r="BC655" t="s">
        <v>3061</v>
      </c>
      <c r="BD655" t="s">
        <v>3040</v>
      </c>
      <c r="BE655" t="s">
        <v>3</v>
      </c>
      <c r="BF655" t="s">
        <v>3</v>
      </c>
      <c r="BG655" t="s">
        <v>3</v>
      </c>
      <c r="BH655" t="s">
        <v>3</v>
      </c>
      <c r="BI655" t="s">
        <v>3</v>
      </c>
      <c r="BJ655" t="s">
        <v>4993</v>
      </c>
      <c r="BK655" t="s">
        <v>3</v>
      </c>
      <c r="BL655" t="s">
        <v>96</v>
      </c>
      <c r="BM655" t="s">
        <v>1</v>
      </c>
      <c r="BN655">
        <v>14800</v>
      </c>
      <c r="BO655" t="s">
        <v>1</v>
      </c>
      <c r="BP655" t="s">
        <v>1</v>
      </c>
      <c r="BQ655" t="s">
        <v>1</v>
      </c>
      <c r="BR655" t="s">
        <v>1</v>
      </c>
      <c r="BS655" t="s">
        <v>1</v>
      </c>
      <c r="BT655" t="s">
        <v>1</v>
      </c>
      <c r="BU655" t="s">
        <v>1</v>
      </c>
      <c r="BV655" t="s">
        <v>1</v>
      </c>
      <c r="BW655" t="s">
        <v>0</v>
      </c>
      <c r="BX655" t="s">
        <v>1</v>
      </c>
      <c r="BY655" t="s">
        <v>1</v>
      </c>
      <c r="BZ655" t="s">
        <v>1</v>
      </c>
      <c r="CA655" t="s">
        <v>1</v>
      </c>
      <c r="CB655" t="s">
        <v>1</v>
      </c>
      <c r="CD655" t="e" cm="1">
        <f t="array" aca="1" ref="CD655" ca="1">eConcatenar(A655:CB655,"|")</f>
        <v>#NAME?</v>
      </c>
    </row>
    <row r="656" spans="1:82" x14ac:dyDescent="0.25">
      <c r="A656" t="s">
        <v>751</v>
      </c>
      <c r="B656" t="s">
        <v>1765</v>
      </c>
      <c r="C656">
        <v>3</v>
      </c>
      <c r="D656" t="s">
        <v>2153</v>
      </c>
      <c r="E656" t="s">
        <v>2158</v>
      </c>
      <c r="F656" t="s">
        <v>0</v>
      </c>
      <c r="G656" t="s">
        <v>2543</v>
      </c>
      <c r="H656" t="s">
        <v>2986</v>
      </c>
      <c r="I656">
        <v>14800</v>
      </c>
      <c r="J656">
        <v>0</v>
      </c>
      <c r="K656">
        <v>200</v>
      </c>
      <c r="L656">
        <v>50</v>
      </c>
      <c r="M656">
        <v>1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 t="s">
        <v>3132</v>
      </c>
      <c r="AC656" t="s">
        <v>3127</v>
      </c>
      <c r="AD656" t="s">
        <v>3454</v>
      </c>
      <c r="AE656" t="s">
        <v>4</v>
      </c>
      <c r="AF656" t="s">
        <v>1</v>
      </c>
      <c r="AG656" t="s">
        <v>1</v>
      </c>
      <c r="AH656" t="s">
        <v>2543</v>
      </c>
      <c r="AI656" t="s">
        <v>2543</v>
      </c>
      <c r="AJ656" t="s">
        <v>1</v>
      </c>
      <c r="AK656">
        <v>93709988</v>
      </c>
      <c r="AL656" t="s">
        <v>1</v>
      </c>
      <c r="AM656" t="s">
        <v>1</v>
      </c>
      <c r="AN656" t="s">
        <v>1</v>
      </c>
      <c r="AO656" t="s">
        <v>2543</v>
      </c>
      <c r="AP656" t="s">
        <v>1</v>
      </c>
      <c r="AQ656" t="s">
        <v>2</v>
      </c>
      <c r="AR656" t="s">
        <v>1</v>
      </c>
      <c r="AS656" t="s">
        <v>1</v>
      </c>
      <c r="AT656" t="s">
        <v>1</v>
      </c>
      <c r="AU656" t="s">
        <v>1</v>
      </c>
      <c r="AV656" t="s">
        <v>1</v>
      </c>
      <c r="AW656" t="s">
        <v>9</v>
      </c>
      <c r="AX656">
        <f>Tabla1[[#This Row],[precio del paquete]]-Tabla1[[#This Row],[Saldo_Deudor]]</f>
        <v>9700</v>
      </c>
      <c r="AY656">
        <v>5100</v>
      </c>
      <c r="AZ656">
        <v>0</v>
      </c>
      <c r="BA656">
        <v>0</v>
      </c>
      <c r="BB656">
        <v>0</v>
      </c>
      <c r="BC656" t="s">
        <v>2982</v>
      </c>
      <c r="BD656" t="s">
        <v>4872</v>
      </c>
      <c r="BE656" t="s">
        <v>3</v>
      </c>
      <c r="BF656" t="s">
        <v>3</v>
      </c>
      <c r="BG656" t="s">
        <v>3</v>
      </c>
      <c r="BH656" t="s">
        <v>3</v>
      </c>
      <c r="BI656" t="s">
        <v>3</v>
      </c>
      <c r="BJ656" t="s">
        <v>4984</v>
      </c>
      <c r="BK656" t="s">
        <v>3</v>
      </c>
      <c r="BL656" t="s">
        <v>96</v>
      </c>
      <c r="BM656" t="s">
        <v>1</v>
      </c>
      <c r="BN656">
        <v>14800</v>
      </c>
      <c r="BO656" t="s">
        <v>1</v>
      </c>
      <c r="BP656" t="s">
        <v>1</v>
      </c>
      <c r="BQ656" t="s">
        <v>1</v>
      </c>
      <c r="BR656" t="s">
        <v>1</v>
      </c>
      <c r="BS656" t="s">
        <v>1</v>
      </c>
      <c r="BT656" t="s">
        <v>1</v>
      </c>
      <c r="BU656" t="s">
        <v>1</v>
      </c>
      <c r="BV656" t="s">
        <v>1</v>
      </c>
      <c r="BW656" t="s">
        <v>0</v>
      </c>
      <c r="BX656" t="s">
        <v>1</v>
      </c>
      <c r="BY656" t="s">
        <v>1</v>
      </c>
      <c r="BZ656" t="s">
        <v>1</v>
      </c>
      <c r="CA656" t="s">
        <v>1</v>
      </c>
      <c r="CB656" t="s">
        <v>1</v>
      </c>
      <c r="CD656" t="e" cm="1">
        <f t="array" aca="1" ref="CD656" ca="1">eConcatenar(A656:CB656,"|")</f>
        <v>#NAME?</v>
      </c>
    </row>
    <row r="657" spans="1:82" x14ac:dyDescent="0.25">
      <c r="A657" t="s">
        <v>752</v>
      </c>
      <c r="B657" t="s">
        <v>1766</v>
      </c>
      <c r="C657">
        <v>3</v>
      </c>
      <c r="D657" t="s">
        <v>2153</v>
      </c>
      <c r="E657" t="s">
        <v>2158</v>
      </c>
      <c r="F657" t="s">
        <v>0</v>
      </c>
      <c r="G657" t="s">
        <v>2543</v>
      </c>
      <c r="H657" t="s">
        <v>2986</v>
      </c>
      <c r="I657">
        <v>14800</v>
      </c>
      <c r="J657">
        <v>0</v>
      </c>
      <c r="K657">
        <v>200</v>
      </c>
      <c r="L657">
        <v>50</v>
      </c>
      <c r="M657">
        <v>1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 t="s">
        <v>3132</v>
      </c>
      <c r="AC657" t="s">
        <v>3127</v>
      </c>
      <c r="AD657" t="s">
        <v>3454</v>
      </c>
      <c r="AE657" t="s">
        <v>4</v>
      </c>
      <c r="AF657" t="s">
        <v>1</v>
      </c>
      <c r="AG657" t="s">
        <v>1</v>
      </c>
      <c r="AH657" t="s">
        <v>2543</v>
      </c>
      <c r="AI657" t="s">
        <v>2543</v>
      </c>
      <c r="AJ657" t="s">
        <v>1</v>
      </c>
      <c r="AK657">
        <v>9371709988</v>
      </c>
      <c r="AL657" t="s">
        <v>1</v>
      </c>
      <c r="AM657" t="s">
        <v>1</v>
      </c>
      <c r="AN657" t="s">
        <v>1</v>
      </c>
      <c r="AO657" t="s">
        <v>2543</v>
      </c>
      <c r="AP657" t="s">
        <v>1</v>
      </c>
      <c r="AQ657" t="s">
        <v>2</v>
      </c>
      <c r="AR657" t="s">
        <v>1</v>
      </c>
      <c r="AS657" t="s">
        <v>1</v>
      </c>
      <c r="AT657" t="s">
        <v>1</v>
      </c>
      <c r="AU657" t="s">
        <v>1</v>
      </c>
      <c r="AV657" t="s">
        <v>1</v>
      </c>
      <c r="AW657" t="s">
        <v>9</v>
      </c>
      <c r="AX657">
        <f>Tabla1[[#This Row],[precio del paquete]]-Tabla1[[#This Row],[Saldo_Deudor]]</f>
        <v>9700</v>
      </c>
      <c r="AY657">
        <v>5100</v>
      </c>
      <c r="AZ657">
        <v>0</v>
      </c>
      <c r="BA657">
        <v>0</v>
      </c>
      <c r="BB657">
        <v>0</v>
      </c>
      <c r="BC657" t="s">
        <v>2982</v>
      </c>
      <c r="BD657" t="s">
        <v>4872</v>
      </c>
      <c r="BE657" t="s">
        <v>3</v>
      </c>
      <c r="BF657" t="s">
        <v>3</v>
      </c>
      <c r="BG657" t="s">
        <v>3</v>
      </c>
      <c r="BH657" t="s">
        <v>3</v>
      </c>
      <c r="BI657" t="s">
        <v>3</v>
      </c>
      <c r="BJ657" t="s">
        <v>4982</v>
      </c>
      <c r="BK657" t="s">
        <v>3</v>
      </c>
      <c r="BL657" t="s">
        <v>96</v>
      </c>
      <c r="BM657" t="s">
        <v>1</v>
      </c>
      <c r="BN657">
        <v>14800</v>
      </c>
      <c r="BO657" t="s">
        <v>1</v>
      </c>
      <c r="BP657" t="s">
        <v>1</v>
      </c>
      <c r="BQ657" t="s">
        <v>1</v>
      </c>
      <c r="BR657" t="s">
        <v>1</v>
      </c>
      <c r="BS657" t="s">
        <v>1</v>
      </c>
      <c r="BT657" t="s">
        <v>1</v>
      </c>
      <c r="BU657" t="s">
        <v>1</v>
      </c>
      <c r="BV657" t="s">
        <v>1</v>
      </c>
      <c r="BW657" t="s">
        <v>0</v>
      </c>
      <c r="BX657" t="s">
        <v>1</v>
      </c>
      <c r="BY657" t="s">
        <v>1</v>
      </c>
      <c r="BZ657" t="s">
        <v>1</v>
      </c>
      <c r="CA657" t="s">
        <v>1</v>
      </c>
      <c r="CB657" t="s">
        <v>1</v>
      </c>
      <c r="CD657" t="e" cm="1">
        <f t="array" aca="1" ref="CD657" ca="1">eConcatenar(A657:CB657,"|")</f>
        <v>#NAME?</v>
      </c>
    </row>
    <row r="658" spans="1:82" x14ac:dyDescent="0.25">
      <c r="A658" t="s">
        <v>753</v>
      </c>
      <c r="B658" t="s">
        <v>1767</v>
      </c>
      <c r="C658">
        <v>3</v>
      </c>
      <c r="D658" t="s">
        <v>2153</v>
      </c>
      <c r="E658" t="s">
        <v>2158</v>
      </c>
      <c r="F658" t="s">
        <v>0</v>
      </c>
      <c r="G658" t="s">
        <v>2543</v>
      </c>
      <c r="H658" t="s">
        <v>2866</v>
      </c>
      <c r="I658">
        <v>14800</v>
      </c>
      <c r="J658">
        <v>0</v>
      </c>
      <c r="K658">
        <v>100</v>
      </c>
      <c r="L658">
        <v>50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 t="s">
        <v>3836</v>
      </c>
      <c r="AC658" t="s">
        <v>3837</v>
      </c>
      <c r="AD658" t="s">
        <v>3371</v>
      </c>
      <c r="AE658" t="s">
        <v>4</v>
      </c>
      <c r="AF658" t="s">
        <v>1</v>
      </c>
      <c r="AG658" t="s">
        <v>1</v>
      </c>
      <c r="AH658" t="s">
        <v>2543</v>
      </c>
      <c r="AI658" t="s">
        <v>2543</v>
      </c>
      <c r="AJ658" t="s">
        <v>1</v>
      </c>
      <c r="AK658">
        <v>9371393570</v>
      </c>
      <c r="AL658" t="s">
        <v>1</v>
      </c>
      <c r="AM658" t="s">
        <v>1</v>
      </c>
      <c r="AN658" t="s">
        <v>1</v>
      </c>
      <c r="AO658" t="s">
        <v>2543</v>
      </c>
      <c r="AP658" t="s">
        <v>1</v>
      </c>
      <c r="AQ658" t="s">
        <v>2</v>
      </c>
      <c r="AR658" t="s">
        <v>1</v>
      </c>
      <c r="AS658" t="s">
        <v>1</v>
      </c>
      <c r="AT658" t="s">
        <v>1</v>
      </c>
      <c r="AU658" t="s">
        <v>1</v>
      </c>
      <c r="AV658" t="s">
        <v>1</v>
      </c>
      <c r="AW658" t="s">
        <v>9</v>
      </c>
      <c r="AX658">
        <f>Tabla1[[#This Row],[precio del paquete]]-Tabla1[[#This Row],[Saldo_Deudor]]</f>
        <v>700</v>
      </c>
      <c r="AY658">
        <v>14100</v>
      </c>
      <c r="AZ658">
        <v>0</v>
      </c>
      <c r="BA658">
        <v>0</v>
      </c>
      <c r="BB658">
        <v>0</v>
      </c>
      <c r="BC658" t="s">
        <v>2982</v>
      </c>
      <c r="BD658" t="s">
        <v>4872</v>
      </c>
      <c r="BE658" t="s">
        <v>3</v>
      </c>
      <c r="BF658" t="s">
        <v>3</v>
      </c>
      <c r="BG658" t="s">
        <v>3</v>
      </c>
      <c r="BH658" t="s">
        <v>3</v>
      </c>
      <c r="BI658" t="s">
        <v>3</v>
      </c>
      <c r="BJ658" t="s">
        <v>4982</v>
      </c>
      <c r="BK658" t="s">
        <v>3</v>
      </c>
      <c r="BL658" t="s">
        <v>96</v>
      </c>
      <c r="BM658" t="s">
        <v>1</v>
      </c>
      <c r="BN658">
        <v>14800</v>
      </c>
      <c r="BO658" t="s">
        <v>1</v>
      </c>
      <c r="BP658" t="s">
        <v>1</v>
      </c>
      <c r="BQ658" t="s">
        <v>1</v>
      </c>
      <c r="BR658" t="s">
        <v>1</v>
      </c>
      <c r="BS658" t="s">
        <v>1</v>
      </c>
      <c r="BT658" t="s">
        <v>1</v>
      </c>
      <c r="BU658" t="s">
        <v>1</v>
      </c>
      <c r="BV658" t="s">
        <v>1</v>
      </c>
      <c r="BW658" t="s">
        <v>0</v>
      </c>
      <c r="BX658" t="s">
        <v>1</v>
      </c>
      <c r="BY658" t="s">
        <v>1</v>
      </c>
      <c r="BZ658" t="s">
        <v>1</v>
      </c>
      <c r="CA658" t="s">
        <v>1</v>
      </c>
      <c r="CB658" t="s">
        <v>1</v>
      </c>
      <c r="CD658" t="e" cm="1">
        <f t="array" aca="1" ref="CD658" ca="1">eConcatenar(A658:CB658,"|")</f>
        <v>#NAME?</v>
      </c>
    </row>
    <row r="659" spans="1:82" x14ac:dyDescent="0.25">
      <c r="A659" t="s">
        <v>754</v>
      </c>
      <c r="B659" t="s">
        <v>1768</v>
      </c>
      <c r="C659">
        <v>3</v>
      </c>
      <c r="D659" t="s">
        <v>2153</v>
      </c>
      <c r="E659" t="s">
        <v>2158</v>
      </c>
      <c r="F659" t="s">
        <v>0</v>
      </c>
      <c r="G659" t="s">
        <v>2543</v>
      </c>
      <c r="H659" t="s">
        <v>2987</v>
      </c>
      <c r="I659">
        <v>14800</v>
      </c>
      <c r="J659">
        <v>0</v>
      </c>
      <c r="K659">
        <v>100</v>
      </c>
      <c r="L659">
        <v>50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 t="s">
        <v>3114</v>
      </c>
      <c r="AC659" t="s">
        <v>3311</v>
      </c>
      <c r="AD659" t="s">
        <v>3550</v>
      </c>
      <c r="AE659" t="s">
        <v>4</v>
      </c>
      <c r="AF659" t="s">
        <v>1</v>
      </c>
      <c r="AG659" t="s">
        <v>1</v>
      </c>
      <c r="AH659" t="s">
        <v>2543</v>
      </c>
      <c r="AI659" t="s">
        <v>2543</v>
      </c>
      <c r="AJ659" t="s">
        <v>1</v>
      </c>
      <c r="AK659">
        <v>9371233325</v>
      </c>
      <c r="AL659" t="s">
        <v>1</v>
      </c>
      <c r="AM659" t="s">
        <v>1</v>
      </c>
      <c r="AN659" t="s">
        <v>1</v>
      </c>
      <c r="AO659" t="s">
        <v>2543</v>
      </c>
      <c r="AP659" t="s">
        <v>1</v>
      </c>
      <c r="AQ659" t="s">
        <v>2</v>
      </c>
      <c r="AR659" t="s">
        <v>1</v>
      </c>
      <c r="AS659" t="s">
        <v>1</v>
      </c>
      <c r="AT659" t="s">
        <v>1</v>
      </c>
      <c r="AU659" t="s">
        <v>1</v>
      </c>
      <c r="AV659" t="s">
        <v>1</v>
      </c>
      <c r="AW659" t="s">
        <v>9</v>
      </c>
      <c r="AX659">
        <f>Tabla1[[#This Row],[precio del paquete]]-Tabla1[[#This Row],[Saldo_Deudor]]</f>
        <v>800</v>
      </c>
      <c r="AY659">
        <v>14000</v>
      </c>
      <c r="AZ659">
        <v>0</v>
      </c>
      <c r="BA659">
        <v>0</v>
      </c>
      <c r="BB659">
        <v>0</v>
      </c>
      <c r="BC659" t="s">
        <v>2755</v>
      </c>
      <c r="BD659" t="s">
        <v>4905</v>
      </c>
      <c r="BE659" t="s">
        <v>3</v>
      </c>
      <c r="BF659" t="s">
        <v>3</v>
      </c>
      <c r="BG659" t="s">
        <v>3</v>
      </c>
      <c r="BH659" t="s">
        <v>3</v>
      </c>
      <c r="BI659" t="s">
        <v>3</v>
      </c>
      <c r="BJ659" t="s">
        <v>4982</v>
      </c>
      <c r="BK659" t="s">
        <v>3</v>
      </c>
      <c r="BL659" t="s">
        <v>96</v>
      </c>
      <c r="BM659" t="s">
        <v>1</v>
      </c>
      <c r="BN659">
        <v>14800</v>
      </c>
      <c r="BO659" t="s">
        <v>1</v>
      </c>
      <c r="BP659" t="s">
        <v>1</v>
      </c>
      <c r="BQ659" t="s">
        <v>1</v>
      </c>
      <c r="BR659" t="s">
        <v>1</v>
      </c>
      <c r="BS659" t="s">
        <v>1</v>
      </c>
      <c r="BT659" t="s">
        <v>1</v>
      </c>
      <c r="BU659" t="s">
        <v>1</v>
      </c>
      <c r="BV659" t="s">
        <v>1</v>
      </c>
      <c r="BW659" t="s">
        <v>0</v>
      </c>
      <c r="BX659" t="s">
        <v>1</v>
      </c>
      <c r="BY659" t="s">
        <v>1</v>
      </c>
      <c r="BZ659" t="s">
        <v>1</v>
      </c>
      <c r="CA659" t="s">
        <v>1</v>
      </c>
      <c r="CB659" t="s">
        <v>1</v>
      </c>
      <c r="CD659" t="e" cm="1">
        <f t="array" aca="1" ref="CD659" ca="1">eConcatenar(A659:CB659,"|")</f>
        <v>#NAME?</v>
      </c>
    </row>
    <row r="660" spans="1:82" x14ac:dyDescent="0.25">
      <c r="A660" t="s">
        <v>755</v>
      </c>
      <c r="B660" t="s">
        <v>1769</v>
      </c>
      <c r="C660">
        <v>3</v>
      </c>
      <c r="D660" t="s">
        <v>2153</v>
      </c>
      <c r="E660" t="s">
        <v>2158</v>
      </c>
      <c r="F660" t="s">
        <v>0</v>
      </c>
      <c r="G660" t="s">
        <v>2543</v>
      </c>
      <c r="H660" t="s">
        <v>2988</v>
      </c>
      <c r="I660">
        <v>14800</v>
      </c>
      <c r="J660">
        <v>0</v>
      </c>
      <c r="K660">
        <v>100</v>
      </c>
      <c r="L660">
        <v>50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 t="s">
        <v>3221</v>
      </c>
      <c r="AC660" t="s">
        <v>3838</v>
      </c>
      <c r="AD660" t="s">
        <v>3323</v>
      </c>
      <c r="AE660" t="s">
        <v>4</v>
      </c>
      <c r="AF660" t="s">
        <v>1</v>
      </c>
      <c r="AG660" t="s">
        <v>1</v>
      </c>
      <c r="AH660" t="s">
        <v>2543</v>
      </c>
      <c r="AI660" t="s">
        <v>2543</v>
      </c>
      <c r="AJ660" t="s">
        <v>1</v>
      </c>
      <c r="AK660">
        <v>9935972933</v>
      </c>
      <c r="AL660" t="s">
        <v>1</v>
      </c>
      <c r="AM660" t="s">
        <v>1</v>
      </c>
      <c r="AN660" t="s">
        <v>1</v>
      </c>
      <c r="AO660" t="s">
        <v>2543</v>
      </c>
      <c r="AP660" t="s">
        <v>1</v>
      </c>
      <c r="AQ660" t="s">
        <v>2</v>
      </c>
      <c r="AR660" t="s">
        <v>1</v>
      </c>
      <c r="AS660" t="s">
        <v>1</v>
      </c>
      <c r="AT660" t="s">
        <v>1</v>
      </c>
      <c r="AU660" t="s">
        <v>1</v>
      </c>
      <c r="AV660" t="s">
        <v>1</v>
      </c>
      <c r="AW660" t="s">
        <v>9</v>
      </c>
      <c r="AX660">
        <f>Tabla1[[#This Row],[precio del paquete]]-Tabla1[[#This Row],[Saldo_Deudor]]</f>
        <v>1115</v>
      </c>
      <c r="AY660">
        <v>13685</v>
      </c>
      <c r="AZ660">
        <v>0</v>
      </c>
      <c r="BA660">
        <v>0</v>
      </c>
      <c r="BB660">
        <v>0</v>
      </c>
      <c r="BC660" t="s">
        <v>4827</v>
      </c>
      <c r="BD660" t="s">
        <v>4895</v>
      </c>
      <c r="BE660" t="s">
        <v>3</v>
      </c>
      <c r="BF660" t="s">
        <v>3</v>
      </c>
      <c r="BG660" t="s">
        <v>3</v>
      </c>
      <c r="BH660" t="s">
        <v>3</v>
      </c>
      <c r="BI660" t="s">
        <v>3</v>
      </c>
      <c r="BJ660" t="s">
        <v>4982</v>
      </c>
      <c r="BK660" t="s">
        <v>3</v>
      </c>
      <c r="BL660" t="s">
        <v>96</v>
      </c>
      <c r="BM660" t="s">
        <v>1</v>
      </c>
      <c r="BN660">
        <v>14800</v>
      </c>
      <c r="BO660" t="s">
        <v>1</v>
      </c>
      <c r="BP660" t="s">
        <v>1</v>
      </c>
      <c r="BQ660" t="s">
        <v>1</v>
      </c>
      <c r="BR660" t="s">
        <v>1</v>
      </c>
      <c r="BS660" t="s">
        <v>1</v>
      </c>
      <c r="BT660" t="s">
        <v>1</v>
      </c>
      <c r="BU660" t="s">
        <v>1</v>
      </c>
      <c r="BV660" t="s">
        <v>1</v>
      </c>
      <c r="BW660" t="s">
        <v>0</v>
      </c>
      <c r="BX660" t="s">
        <v>1</v>
      </c>
      <c r="BY660" t="s">
        <v>1</v>
      </c>
      <c r="BZ660" t="s">
        <v>1</v>
      </c>
      <c r="CA660" t="s">
        <v>1</v>
      </c>
      <c r="CB660" t="s">
        <v>1</v>
      </c>
      <c r="CD660" t="e" cm="1">
        <f t="array" aca="1" ref="CD660" ca="1">eConcatenar(A660:CB660,"|")</f>
        <v>#NAME?</v>
      </c>
    </row>
    <row r="661" spans="1:82" x14ac:dyDescent="0.25">
      <c r="A661" t="s">
        <v>756</v>
      </c>
      <c r="B661" t="s">
        <v>1771</v>
      </c>
      <c r="C661">
        <v>3</v>
      </c>
      <c r="D661" t="s">
        <v>2153</v>
      </c>
      <c r="E661" t="s">
        <v>2158</v>
      </c>
      <c r="F661" t="s">
        <v>2161</v>
      </c>
      <c r="G661" t="s">
        <v>2544</v>
      </c>
      <c r="H661" t="s">
        <v>2703</v>
      </c>
      <c r="I661">
        <v>14800</v>
      </c>
      <c r="J661">
        <v>0</v>
      </c>
      <c r="K661">
        <v>50</v>
      </c>
      <c r="L661">
        <v>50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 t="s">
        <v>3114</v>
      </c>
      <c r="AC661" t="s">
        <v>3214</v>
      </c>
      <c r="AD661" t="s">
        <v>3839</v>
      </c>
      <c r="AE661" t="s">
        <v>4</v>
      </c>
      <c r="AF661" t="s">
        <v>1</v>
      </c>
      <c r="AG661" t="s">
        <v>1</v>
      </c>
      <c r="AH661" t="s">
        <v>4125</v>
      </c>
      <c r="AI661" t="s">
        <v>2544</v>
      </c>
      <c r="AJ661" t="s">
        <v>1</v>
      </c>
      <c r="AK661">
        <v>9141075233</v>
      </c>
      <c r="AL661" t="s">
        <v>1</v>
      </c>
      <c r="AM661" t="s">
        <v>1</v>
      </c>
      <c r="AN661" t="s">
        <v>1</v>
      </c>
      <c r="AO661" t="s">
        <v>4125</v>
      </c>
      <c r="AP661" t="s">
        <v>1</v>
      </c>
      <c r="AQ661" t="s">
        <v>2</v>
      </c>
      <c r="AR661" t="s">
        <v>1</v>
      </c>
      <c r="AS661" t="s">
        <v>1</v>
      </c>
      <c r="AT661" t="s">
        <v>1</v>
      </c>
      <c r="AU661" t="s">
        <v>1</v>
      </c>
      <c r="AV661" t="s">
        <v>1</v>
      </c>
      <c r="AW661" t="s">
        <v>9</v>
      </c>
      <c r="AX661">
        <f>Tabla1[[#This Row],[precio del paquete]]-Tabla1[[#This Row],[Saldo_Deudor]]</f>
        <v>500</v>
      </c>
      <c r="AY661">
        <v>14300</v>
      </c>
      <c r="AZ661">
        <v>0</v>
      </c>
      <c r="BA661">
        <v>0</v>
      </c>
      <c r="BB661">
        <v>0</v>
      </c>
      <c r="BC661" t="s">
        <v>4829</v>
      </c>
      <c r="BD661" t="s">
        <v>4900</v>
      </c>
      <c r="BE661" t="s">
        <v>3</v>
      </c>
      <c r="BF661" t="s">
        <v>3</v>
      </c>
      <c r="BG661" t="s">
        <v>3</v>
      </c>
      <c r="BH661" t="s">
        <v>3</v>
      </c>
      <c r="BI661" t="s">
        <v>3</v>
      </c>
      <c r="BJ661" t="s">
        <v>5010</v>
      </c>
      <c r="BK661" t="s">
        <v>3</v>
      </c>
      <c r="BL661" t="s">
        <v>96</v>
      </c>
      <c r="BM661" t="s">
        <v>1</v>
      </c>
      <c r="BN661">
        <v>14800</v>
      </c>
      <c r="BO661" t="s">
        <v>1</v>
      </c>
      <c r="BP661" t="s">
        <v>1</v>
      </c>
      <c r="BQ661" t="s">
        <v>1</v>
      </c>
      <c r="BR661" t="s">
        <v>1</v>
      </c>
      <c r="BS661" t="s">
        <v>1</v>
      </c>
      <c r="BT661" t="s">
        <v>1</v>
      </c>
      <c r="BU661" t="s">
        <v>1</v>
      </c>
      <c r="BV661" t="s">
        <v>1</v>
      </c>
      <c r="BW661" t="s">
        <v>0</v>
      </c>
      <c r="BX661" t="s">
        <v>1</v>
      </c>
      <c r="BY661" t="s">
        <v>1</v>
      </c>
      <c r="BZ661" t="s">
        <v>1</v>
      </c>
      <c r="CA661" t="s">
        <v>1</v>
      </c>
      <c r="CB661" t="s">
        <v>1</v>
      </c>
      <c r="CD661" t="e" cm="1">
        <f t="array" aca="1" ref="CD661" ca="1">eConcatenar(A661:CB661,"|")</f>
        <v>#NAME?</v>
      </c>
    </row>
    <row r="662" spans="1:82" x14ac:dyDescent="0.25">
      <c r="A662" t="s">
        <v>757</v>
      </c>
      <c r="B662" t="s">
        <v>1772</v>
      </c>
      <c r="C662">
        <v>3</v>
      </c>
      <c r="D662" t="s">
        <v>3111</v>
      </c>
      <c r="E662" t="s">
        <v>2158</v>
      </c>
      <c r="F662" t="s">
        <v>8</v>
      </c>
      <c r="G662" t="s">
        <v>2545</v>
      </c>
      <c r="H662" t="s">
        <v>2768</v>
      </c>
      <c r="I662">
        <v>24500</v>
      </c>
      <c r="J662">
        <v>0</v>
      </c>
      <c r="K662">
        <v>500</v>
      </c>
      <c r="L662">
        <v>50</v>
      </c>
      <c r="M662">
        <v>2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 t="s">
        <v>3114</v>
      </c>
      <c r="AC662" t="s">
        <v>5</v>
      </c>
      <c r="AD662" t="s">
        <v>3187</v>
      </c>
      <c r="AE662" t="s">
        <v>4</v>
      </c>
      <c r="AF662" t="s">
        <v>1</v>
      </c>
      <c r="AG662" t="s">
        <v>1</v>
      </c>
      <c r="AH662" t="s">
        <v>2545</v>
      </c>
      <c r="AI662" t="s">
        <v>2545</v>
      </c>
      <c r="AJ662" t="s">
        <v>1</v>
      </c>
      <c r="AK662">
        <v>937271188</v>
      </c>
      <c r="AL662" t="s">
        <v>1</v>
      </c>
      <c r="AM662" t="s">
        <v>1</v>
      </c>
      <c r="AN662" t="s">
        <v>1</v>
      </c>
      <c r="AO662" t="s">
        <v>2545</v>
      </c>
      <c r="AP662" t="s">
        <v>1</v>
      </c>
      <c r="AQ662" t="s">
        <v>2</v>
      </c>
      <c r="AR662" t="s">
        <v>1</v>
      </c>
      <c r="AS662" t="s">
        <v>1</v>
      </c>
      <c r="AT662" t="s">
        <v>1</v>
      </c>
      <c r="AU662" t="s">
        <v>1</v>
      </c>
      <c r="AV662" t="s">
        <v>1</v>
      </c>
      <c r="AW662" t="s">
        <v>9</v>
      </c>
      <c r="AX662">
        <f>Tabla1[[#This Row],[precio del paquete]]-Tabla1[[#This Row],[Saldo_Deudor]]</f>
        <v>500</v>
      </c>
      <c r="AY662">
        <v>24000</v>
      </c>
      <c r="AZ662">
        <v>0</v>
      </c>
      <c r="BA662">
        <v>0</v>
      </c>
      <c r="BB662">
        <v>0</v>
      </c>
      <c r="BC662" t="s">
        <v>2768</v>
      </c>
      <c r="BD662" t="s">
        <v>3013</v>
      </c>
      <c r="BE662" t="s">
        <v>3</v>
      </c>
      <c r="BF662" t="s">
        <v>3</v>
      </c>
      <c r="BG662" t="s">
        <v>3</v>
      </c>
      <c r="BH662" t="s">
        <v>3</v>
      </c>
      <c r="BI662" t="s">
        <v>3</v>
      </c>
      <c r="BJ662" t="s">
        <v>4983</v>
      </c>
      <c r="BK662" t="s">
        <v>3</v>
      </c>
      <c r="BL662" t="s">
        <v>96</v>
      </c>
      <c r="BM662" t="s">
        <v>1</v>
      </c>
      <c r="BN662">
        <v>24500</v>
      </c>
      <c r="BO662" t="s">
        <v>1</v>
      </c>
      <c r="BP662" t="s">
        <v>1</v>
      </c>
      <c r="BQ662" t="s">
        <v>1</v>
      </c>
      <c r="BR662" t="s">
        <v>1</v>
      </c>
      <c r="BS662" t="s">
        <v>1</v>
      </c>
      <c r="BT662" t="s">
        <v>1</v>
      </c>
      <c r="BU662" t="s">
        <v>1</v>
      </c>
      <c r="BV662" t="s">
        <v>1</v>
      </c>
      <c r="BW662" t="s">
        <v>0</v>
      </c>
      <c r="BX662" t="s">
        <v>1</v>
      </c>
      <c r="BY662" t="s">
        <v>1</v>
      </c>
      <c r="BZ662" t="s">
        <v>1</v>
      </c>
      <c r="CA662" t="s">
        <v>1</v>
      </c>
      <c r="CB662" t="s">
        <v>1</v>
      </c>
      <c r="CD662" t="e" cm="1">
        <f t="array" aca="1" ref="CD662" ca="1">eConcatenar(A662:CB662,"|")</f>
        <v>#NAME?</v>
      </c>
    </row>
    <row r="663" spans="1:82" x14ac:dyDescent="0.25">
      <c r="A663" t="s">
        <v>758</v>
      </c>
      <c r="B663" t="s">
        <v>1773</v>
      </c>
      <c r="C663">
        <v>3</v>
      </c>
      <c r="D663" t="s">
        <v>2153</v>
      </c>
      <c r="E663" t="s">
        <v>2158</v>
      </c>
      <c r="F663" t="s">
        <v>0</v>
      </c>
      <c r="G663" t="s">
        <v>2546</v>
      </c>
      <c r="H663" t="s">
        <v>2831</v>
      </c>
      <c r="I663">
        <v>14800</v>
      </c>
      <c r="J663">
        <v>0</v>
      </c>
      <c r="K663">
        <v>200</v>
      </c>
      <c r="L663">
        <v>50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 t="s">
        <v>3840</v>
      </c>
      <c r="AC663" t="s">
        <v>3132</v>
      </c>
      <c r="AD663" t="s">
        <v>3787</v>
      </c>
      <c r="AE663" t="s">
        <v>4</v>
      </c>
      <c r="AF663" t="s">
        <v>1</v>
      </c>
      <c r="AG663" t="s">
        <v>1</v>
      </c>
      <c r="AH663" t="s">
        <v>4572</v>
      </c>
      <c r="AI663" t="s">
        <v>2546</v>
      </c>
      <c r="AJ663" t="s">
        <v>1</v>
      </c>
      <c r="AK663">
        <v>9371659379</v>
      </c>
      <c r="AL663" t="s">
        <v>1</v>
      </c>
      <c r="AM663" t="s">
        <v>1</v>
      </c>
      <c r="AN663" t="s">
        <v>1</v>
      </c>
      <c r="AO663" t="s">
        <v>4572</v>
      </c>
      <c r="AP663" t="s">
        <v>1</v>
      </c>
      <c r="AQ663" t="s">
        <v>2</v>
      </c>
      <c r="AR663" t="s">
        <v>1</v>
      </c>
      <c r="AS663" t="s">
        <v>1</v>
      </c>
      <c r="AT663" t="s">
        <v>1</v>
      </c>
      <c r="AU663" t="s">
        <v>1</v>
      </c>
      <c r="AV663" t="s">
        <v>1</v>
      </c>
      <c r="AW663" t="s">
        <v>9</v>
      </c>
      <c r="AX663">
        <f>Tabla1[[#This Row],[precio del paquete]]-Tabla1[[#This Row],[Saldo_Deudor]]</f>
        <v>400</v>
      </c>
      <c r="AY663">
        <v>14400</v>
      </c>
      <c r="AZ663">
        <v>0</v>
      </c>
      <c r="BA663">
        <v>0</v>
      </c>
      <c r="BB663">
        <v>0</v>
      </c>
      <c r="BC663" t="s">
        <v>2923</v>
      </c>
      <c r="BD663" t="s">
        <v>4910</v>
      </c>
      <c r="BE663" t="s">
        <v>3</v>
      </c>
      <c r="BF663" t="s">
        <v>3</v>
      </c>
      <c r="BG663" t="s">
        <v>3</v>
      </c>
      <c r="BH663" t="s">
        <v>3</v>
      </c>
      <c r="BI663" t="s">
        <v>3</v>
      </c>
      <c r="BJ663" t="s">
        <v>4983</v>
      </c>
      <c r="BK663" t="s">
        <v>3</v>
      </c>
      <c r="BL663" t="s">
        <v>96</v>
      </c>
      <c r="BM663" t="s">
        <v>1</v>
      </c>
      <c r="BN663">
        <v>14800</v>
      </c>
      <c r="BO663" t="s">
        <v>1</v>
      </c>
      <c r="BP663" t="s">
        <v>1</v>
      </c>
      <c r="BQ663" t="s">
        <v>1</v>
      </c>
      <c r="BR663" t="s">
        <v>1</v>
      </c>
      <c r="BS663" t="s">
        <v>1</v>
      </c>
      <c r="BT663" t="s">
        <v>1</v>
      </c>
      <c r="BU663" t="s">
        <v>1</v>
      </c>
      <c r="BV663" t="s">
        <v>1</v>
      </c>
      <c r="BW663" t="s">
        <v>0</v>
      </c>
      <c r="BX663" t="s">
        <v>1</v>
      </c>
      <c r="BY663" t="s">
        <v>1</v>
      </c>
      <c r="BZ663" t="s">
        <v>1</v>
      </c>
      <c r="CA663" t="s">
        <v>1</v>
      </c>
      <c r="CB663" t="s">
        <v>1</v>
      </c>
      <c r="CD663" t="e" cm="1">
        <f t="array" aca="1" ref="CD663" ca="1">eConcatenar(A663:CB663,"|")</f>
        <v>#NAME?</v>
      </c>
    </row>
    <row r="664" spans="1:82" x14ac:dyDescent="0.25">
      <c r="A664" t="s">
        <v>759</v>
      </c>
      <c r="B664" t="s">
        <v>1774</v>
      </c>
      <c r="C664">
        <v>3</v>
      </c>
      <c r="D664" t="s">
        <v>2153</v>
      </c>
      <c r="E664" t="s">
        <v>2158</v>
      </c>
      <c r="F664" t="s">
        <v>2160</v>
      </c>
      <c r="G664" t="s">
        <v>2547</v>
      </c>
      <c r="H664" t="s">
        <v>2728</v>
      </c>
      <c r="I664">
        <v>14800</v>
      </c>
      <c r="J664">
        <v>0</v>
      </c>
      <c r="K664">
        <v>100</v>
      </c>
      <c r="L664">
        <v>50</v>
      </c>
      <c r="M664">
        <v>1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 t="s">
        <v>3818</v>
      </c>
      <c r="AC664" t="s">
        <v>3818</v>
      </c>
      <c r="AD664" t="s">
        <v>3688</v>
      </c>
      <c r="AE664" t="s">
        <v>4</v>
      </c>
      <c r="AF664" t="s">
        <v>1</v>
      </c>
      <c r="AG664" t="s">
        <v>1</v>
      </c>
      <c r="AH664" t="s">
        <v>4502</v>
      </c>
      <c r="AI664" t="s">
        <v>2547</v>
      </c>
      <c r="AJ664" t="s">
        <v>1</v>
      </c>
      <c r="AK664">
        <v>937170203</v>
      </c>
      <c r="AL664" t="s">
        <v>1</v>
      </c>
      <c r="AM664" t="s">
        <v>1</v>
      </c>
      <c r="AN664" t="s">
        <v>1</v>
      </c>
      <c r="AO664" t="s">
        <v>4502</v>
      </c>
      <c r="AP664" t="s">
        <v>1</v>
      </c>
      <c r="AQ664" t="s">
        <v>2</v>
      </c>
      <c r="AR664" t="s">
        <v>1</v>
      </c>
      <c r="AS664" t="s">
        <v>1</v>
      </c>
      <c r="AT664" t="s">
        <v>1</v>
      </c>
      <c r="AU664" t="s">
        <v>1</v>
      </c>
      <c r="AV664" t="s">
        <v>1</v>
      </c>
      <c r="AW664" t="s">
        <v>9</v>
      </c>
      <c r="AX664">
        <f>Tabla1[[#This Row],[precio del paquete]]-Tabla1[[#This Row],[Saldo_Deudor]]</f>
        <v>2500</v>
      </c>
      <c r="AY664">
        <v>12300</v>
      </c>
      <c r="AZ664">
        <v>0</v>
      </c>
      <c r="BA664">
        <v>0</v>
      </c>
      <c r="BB664">
        <v>0</v>
      </c>
      <c r="BC664" t="s">
        <v>4827</v>
      </c>
      <c r="BD664" t="s">
        <v>4895</v>
      </c>
      <c r="BE664" t="s">
        <v>3</v>
      </c>
      <c r="BF664" t="s">
        <v>3</v>
      </c>
      <c r="BG664" t="s">
        <v>3</v>
      </c>
      <c r="BH664" t="s">
        <v>3</v>
      </c>
      <c r="BI664" t="s">
        <v>3</v>
      </c>
      <c r="BJ664" t="s">
        <v>4994</v>
      </c>
      <c r="BK664" t="s">
        <v>3</v>
      </c>
      <c r="BL664" t="s">
        <v>96</v>
      </c>
      <c r="BM664" t="s">
        <v>1</v>
      </c>
      <c r="BN664">
        <v>14800</v>
      </c>
      <c r="BO664" t="s">
        <v>1</v>
      </c>
      <c r="BP664" t="s">
        <v>1</v>
      </c>
      <c r="BQ664" t="s">
        <v>1</v>
      </c>
      <c r="BR664" t="s">
        <v>1</v>
      </c>
      <c r="BS664" t="s">
        <v>1</v>
      </c>
      <c r="BT664" t="s">
        <v>1</v>
      </c>
      <c r="BU664" t="s">
        <v>1</v>
      </c>
      <c r="BV664" t="s">
        <v>1</v>
      </c>
      <c r="BW664" t="s">
        <v>0</v>
      </c>
      <c r="BX664" t="s">
        <v>1</v>
      </c>
      <c r="BY664" t="s">
        <v>1</v>
      </c>
      <c r="BZ664" t="s">
        <v>1</v>
      </c>
      <c r="CA664" t="s">
        <v>1</v>
      </c>
      <c r="CB664" t="s">
        <v>1</v>
      </c>
      <c r="CD664" t="e" cm="1">
        <f t="array" aca="1" ref="CD664" ca="1">eConcatenar(A664:CB664,"|")</f>
        <v>#NAME?</v>
      </c>
    </row>
    <row r="665" spans="1:82" x14ac:dyDescent="0.25">
      <c r="A665" t="s">
        <v>760</v>
      </c>
      <c r="B665" t="s">
        <v>1775</v>
      </c>
      <c r="C665">
        <v>3</v>
      </c>
      <c r="D665" t="s">
        <v>2153</v>
      </c>
      <c r="E665" t="s">
        <v>2158</v>
      </c>
      <c r="F665" t="s">
        <v>0</v>
      </c>
      <c r="G665" t="s">
        <v>2548</v>
      </c>
      <c r="H665" t="s">
        <v>2730</v>
      </c>
      <c r="I665">
        <v>14800</v>
      </c>
      <c r="J665">
        <v>0</v>
      </c>
      <c r="K665">
        <v>100</v>
      </c>
      <c r="L665">
        <v>50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 t="s">
        <v>3632</v>
      </c>
      <c r="AC665" t="s">
        <v>3132</v>
      </c>
      <c r="AD665" t="s">
        <v>3370</v>
      </c>
      <c r="AE665" t="s">
        <v>4</v>
      </c>
      <c r="AF665" t="s">
        <v>1</v>
      </c>
      <c r="AG665" t="s">
        <v>1</v>
      </c>
      <c r="AH665" t="s">
        <v>4573</v>
      </c>
      <c r="AI665" t="s">
        <v>2548</v>
      </c>
      <c r="AJ665" t="s">
        <v>1</v>
      </c>
      <c r="AK665">
        <v>9372291122</v>
      </c>
      <c r="AL665" t="s">
        <v>1</v>
      </c>
      <c r="AM665" t="s">
        <v>1</v>
      </c>
      <c r="AN665" t="s">
        <v>1</v>
      </c>
      <c r="AO665" t="s">
        <v>4573</v>
      </c>
      <c r="AP665" t="s">
        <v>1</v>
      </c>
      <c r="AQ665" t="s">
        <v>2</v>
      </c>
      <c r="AR665" t="s">
        <v>1</v>
      </c>
      <c r="AS665" t="s">
        <v>1</v>
      </c>
      <c r="AT665" t="s">
        <v>1</v>
      </c>
      <c r="AU665" t="s">
        <v>1</v>
      </c>
      <c r="AV665" t="s">
        <v>1</v>
      </c>
      <c r="AW665" t="s">
        <v>9</v>
      </c>
      <c r="AX665">
        <f>Tabla1[[#This Row],[precio del paquete]]-Tabla1[[#This Row],[Saldo_Deudor]]</f>
        <v>900</v>
      </c>
      <c r="AY665">
        <v>13900</v>
      </c>
      <c r="AZ665">
        <v>0</v>
      </c>
      <c r="BA665">
        <v>0</v>
      </c>
      <c r="BB665">
        <v>0</v>
      </c>
      <c r="BC665" t="s">
        <v>2982</v>
      </c>
      <c r="BD665" t="s">
        <v>4872</v>
      </c>
      <c r="BE665" t="s">
        <v>3</v>
      </c>
      <c r="BF665" t="s">
        <v>3</v>
      </c>
      <c r="BG665" t="s">
        <v>3</v>
      </c>
      <c r="BH665" t="s">
        <v>3</v>
      </c>
      <c r="BI665" t="s">
        <v>3</v>
      </c>
      <c r="BJ665" t="s">
        <v>4985</v>
      </c>
      <c r="BK665" t="s">
        <v>3</v>
      </c>
      <c r="BL665" t="s">
        <v>96</v>
      </c>
      <c r="BM665" t="s">
        <v>1</v>
      </c>
      <c r="BN665">
        <v>14800</v>
      </c>
      <c r="BO665" t="s">
        <v>1</v>
      </c>
      <c r="BP665" t="s">
        <v>1</v>
      </c>
      <c r="BQ665" t="s">
        <v>1</v>
      </c>
      <c r="BR665" t="s">
        <v>1</v>
      </c>
      <c r="BS665" t="s">
        <v>1</v>
      </c>
      <c r="BT665" t="s">
        <v>1</v>
      </c>
      <c r="BU665" t="s">
        <v>1</v>
      </c>
      <c r="BV665" t="s">
        <v>1</v>
      </c>
      <c r="BW665" t="s">
        <v>0</v>
      </c>
      <c r="BX665" t="s">
        <v>1</v>
      </c>
      <c r="BY665" t="s">
        <v>1</v>
      </c>
      <c r="BZ665" t="s">
        <v>1</v>
      </c>
      <c r="CA665" t="s">
        <v>1</v>
      </c>
      <c r="CB665" t="s">
        <v>1</v>
      </c>
      <c r="CD665" t="e" cm="1">
        <f t="array" aca="1" ref="CD665" ca="1">eConcatenar(A665:CB665,"|")</f>
        <v>#NAME?</v>
      </c>
    </row>
    <row r="666" spans="1:82" x14ac:dyDescent="0.25">
      <c r="A666" t="s">
        <v>761</v>
      </c>
      <c r="B666" t="s">
        <v>1776</v>
      </c>
      <c r="C666">
        <v>3</v>
      </c>
      <c r="D666" t="s">
        <v>2153</v>
      </c>
      <c r="E666" t="s">
        <v>2158</v>
      </c>
      <c r="F666" t="s">
        <v>2159</v>
      </c>
      <c r="G666" t="s">
        <v>2549</v>
      </c>
      <c r="H666" t="s">
        <v>2785</v>
      </c>
      <c r="I666">
        <v>14800</v>
      </c>
      <c r="J666">
        <v>0</v>
      </c>
      <c r="K666">
        <v>100</v>
      </c>
      <c r="L666">
        <v>50</v>
      </c>
      <c r="M666">
        <v>1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 t="s">
        <v>3295</v>
      </c>
      <c r="AC666" t="s">
        <v>3383</v>
      </c>
      <c r="AD666" t="s">
        <v>3688</v>
      </c>
      <c r="AE666" t="s">
        <v>4</v>
      </c>
      <c r="AF666" t="s">
        <v>1</v>
      </c>
      <c r="AG666" t="s">
        <v>1</v>
      </c>
      <c r="AH666" t="s">
        <v>4574</v>
      </c>
      <c r="AI666" t="s">
        <v>2549</v>
      </c>
      <c r="AJ666" t="s">
        <v>1</v>
      </c>
      <c r="AK666">
        <v>9331576683</v>
      </c>
      <c r="AL666" t="s">
        <v>1</v>
      </c>
      <c r="AM666" t="s">
        <v>1</v>
      </c>
      <c r="AN666" t="s">
        <v>1</v>
      </c>
      <c r="AO666" t="s">
        <v>4574</v>
      </c>
      <c r="AP666" t="s">
        <v>1</v>
      </c>
      <c r="AQ666" t="s">
        <v>2</v>
      </c>
      <c r="AR666" t="s">
        <v>1</v>
      </c>
      <c r="AS666" t="s">
        <v>1</v>
      </c>
      <c r="AT666" t="s">
        <v>1</v>
      </c>
      <c r="AU666" t="s">
        <v>1</v>
      </c>
      <c r="AV666" t="s">
        <v>1</v>
      </c>
      <c r="AW666" t="s">
        <v>9</v>
      </c>
      <c r="AX666">
        <f>Tabla1[[#This Row],[precio del paquete]]-Tabla1[[#This Row],[Saldo_Deudor]]</f>
        <v>1300</v>
      </c>
      <c r="AY666">
        <v>13500</v>
      </c>
      <c r="AZ666">
        <v>0</v>
      </c>
      <c r="BA666">
        <v>0</v>
      </c>
      <c r="BB666">
        <v>0</v>
      </c>
      <c r="BC666" t="s">
        <v>2711</v>
      </c>
      <c r="BD666" t="s">
        <v>2712</v>
      </c>
      <c r="BE666" t="s">
        <v>3</v>
      </c>
      <c r="BF666" t="s">
        <v>3</v>
      </c>
      <c r="BG666" t="s">
        <v>3</v>
      </c>
      <c r="BH666" t="s">
        <v>3</v>
      </c>
      <c r="BI666" t="s">
        <v>3</v>
      </c>
      <c r="BJ666" t="s">
        <v>4982</v>
      </c>
      <c r="BK666" t="s">
        <v>3</v>
      </c>
      <c r="BL666" t="s">
        <v>96</v>
      </c>
      <c r="BM666" t="s">
        <v>1</v>
      </c>
      <c r="BN666">
        <v>14800</v>
      </c>
      <c r="BO666" t="s">
        <v>1</v>
      </c>
      <c r="BP666" t="s">
        <v>1</v>
      </c>
      <c r="BQ666" t="s">
        <v>1</v>
      </c>
      <c r="BR666" t="s">
        <v>1</v>
      </c>
      <c r="BS666" t="s">
        <v>1</v>
      </c>
      <c r="BT666" t="s">
        <v>1</v>
      </c>
      <c r="BU666" t="s">
        <v>1</v>
      </c>
      <c r="BV666" t="s">
        <v>1</v>
      </c>
      <c r="BW666" t="s">
        <v>0</v>
      </c>
      <c r="BX666" t="s">
        <v>1</v>
      </c>
      <c r="BY666" t="s">
        <v>1</v>
      </c>
      <c r="BZ666" t="s">
        <v>1</v>
      </c>
      <c r="CA666" t="s">
        <v>1</v>
      </c>
      <c r="CB666" t="s">
        <v>1</v>
      </c>
      <c r="CD666" t="e" cm="1">
        <f t="array" aca="1" ref="CD666" ca="1">eConcatenar(A666:CB666,"|")</f>
        <v>#NAME?</v>
      </c>
    </row>
    <row r="667" spans="1:82" x14ac:dyDescent="0.25">
      <c r="A667" t="s">
        <v>762</v>
      </c>
      <c r="B667" t="s">
        <v>1777</v>
      </c>
      <c r="C667">
        <v>3</v>
      </c>
      <c r="D667" t="s">
        <v>2155</v>
      </c>
      <c r="E667" t="s">
        <v>2158</v>
      </c>
      <c r="F667" t="s">
        <v>2159</v>
      </c>
      <c r="G667" t="s">
        <v>2550</v>
      </c>
      <c r="H667" t="s">
        <v>2989</v>
      </c>
      <c r="I667">
        <v>12900</v>
      </c>
      <c r="J667">
        <v>0</v>
      </c>
      <c r="K667">
        <v>100</v>
      </c>
      <c r="L667">
        <v>50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 t="s">
        <v>3114</v>
      </c>
      <c r="AC667" t="s">
        <v>3114</v>
      </c>
      <c r="AD667" t="s">
        <v>3841</v>
      </c>
      <c r="AE667" t="s">
        <v>4</v>
      </c>
      <c r="AF667" t="s">
        <v>1</v>
      </c>
      <c r="AG667" t="s">
        <v>1</v>
      </c>
      <c r="AH667" t="s">
        <v>4575</v>
      </c>
      <c r="AI667" t="s">
        <v>2550</v>
      </c>
      <c r="AJ667" t="s">
        <v>1</v>
      </c>
      <c r="AK667">
        <v>9331477883</v>
      </c>
      <c r="AL667" t="s">
        <v>1</v>
      </c>
      <c r="AM667" t="s">
        <v>1</v>
      </c>
      <c r="AN667" t="s">
        <v>1</v>
      </c>
      <c r="AO667" t="s">
        <v>4575</v>
      </c>
      <c r="AP667" t="s">
        <v>1</v>
      </c>
      <c r="AQ667" t="s">
        <v>2</v>
      </c>
      <c r="AR667" t="s">
        <v>1</v>
      </c>
      <c r="AS667" t="s">
        <v>1</v>
      </c>
      <c r="AT667" t="s">
        <v>1</v>
      </c>
      <c r="AU667" t="s">
        <v>1</v>
      </c>
      <c r="AV667" t="s">
        <v>1</v>
      </c>
      <c r="AW667" t="s">
        <v>9</v>
      </c>
      <c r="AX667">
        <f>Tabla1[[#This Row],[precio del paquete]]-Tabla1[[#This Row],[Saldo_Deudor]]</f>
        <v>6400</v>
      </c>
      <c r="AY667">
        <v>6500</v>
      </c>
      <c r="AZ667">
        <v>0</v>
      </c>
      <c r="BA667">
        <v>0</v>
      </c>
      <c r="BB667">
        <v>0</v>
      </c>
      <c r="BC667" t="s">
        <v>2982</v>
      </c>
      <c r="BD667" t="s">
        <v>4872</v>
      </c>
      <c r="BE667" t="s">
        <v>3</v>
      </c>
      <c r="BF667" t="s">
        <v>3</v>
      </c>
      <c r="BG667" t="s">
        <v>3</v>
      </c>
      <c r="BH667" t="s">
        <v>3</v>
      </c>
      <c r="BI667" t="s">
        <v>3</v>
      </c>
      <c r="BJ667" t="s">
        <v>4984</v>
      </c>
      <c r="BK667" t="s">
        <v>3</v>
      </c>
      <c r="BL667" t="s">
        <v>96</v>
      </c>
      <c r="BM667" t="s">
        <v>1</v>
      </c>
      <c r="BN667">
        <v>12900</v>
      </c>
      <c r="BO667" t="s">
        <v>1</v>
      </c>
      <c r="BP667" t="s">
        <v>1</v>
      </c>
      <c r="BQ667" t="s">
        <v>1</v>
      </c>
      <c r="BR667" t="s">
        <v>1</v>
      </c>
      <c r="BS667" t="s">
        <v>1</v>
      </c>
      <c r="BT667" t="s">
        <v>1</v>
      </c>
      <c r="BU667" t="s">
        <v>1</v>
      </c>
      <c r="BV667" t="s">
        <v>1</v>
      </c>
      <c r="BW667" t="s">
        <v>0</v>
      </c>
      <c r="BX667" t="s">
        <v>1</v>
      </c>
      <c r="BY667" t="s">
        <v>1</v>
      </c>
      <c r="BZ667" t="s">
        <v>1</v>
      </c>
      <c r="CA667" t="s">
        <v>1</v>
      </c>
      <c r="CB667" t="s">
        <v>1</v>
      </c>
      <c r="CD667" t="e" cm="1">
        <f t="array" aca="1" ref="CD667" ca="1">eConcatenar(A667:CB667,"|")</f>
        <v>#NAME?</v>
      </c>
    </row>
    <row r="668" spans="1:82" x14ac:dyDescent="0.25">
      <c r="A668" t="s">
        <v>763</v>
      </c>
      <c r="B668" t="s">
        <v>1778</v>
      </c>
      <c r="C668">
        <v>3</v>
      </c>
      <c r="D668" t="s">
        <v>2153</v>
      </c>
      <c r="E668" t="s">
        <v>2158</v>
      </c>
      <c r="F668" t="s">
        <v>2159</v>
      </c>
      <c r="G668" t="s">
        <v>2551</v>
      </c>
      <c r="H668" t="s">
        <v>2990</v>
      </c>
      <c r="I668">
        <v>14800</v>
      </c>
      <c r="J668">
        <v>0</v>
      </c>
      <c r="K668">
        <v>500</v>
      </c>
      <c r="L668">
        <v>50</v>
      </c>
      <c r="M668">
        <v>1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 t="s">
        <v>3276</v>
      </c>
      <c r="AC668" t="s">
        <v>3335</v>
      </c>
      <c r="AD668" t="s">
        <v>3842</v>
      </c>
      <c r="AE668" t="s">
        <v>4</v>
      </c>
      <c r="AF668" t="s">
        <v>1</v>
      </c>
      <c r="AG668" t="s">
        <v>1</v>
      </c>
      <c r="AH668" t="s">
        <v>4576</v>
      </c>
      <c r="AI668" t="s">
        <v>2551</v>
      </c>
      <c r="AJ668" t="s">
        <v>1</v>
      </c>
      <c r="AK668">
        <v>9331254061</v>
      </c>
      <c r="AL668" t="s">
        <v>1</v>
      </c>
      <c r="AM668" t="s">
        <v>1</v>
      </c>
      <c r="AN668" t="s">
        <v>1</v>
      </c>
      <c r="AO668" t="s">
        <v>4576</v>
      </c>
      <c r="AP668" t="s">
        <v>1</v>
      </c>
      <c r="AQ668" t="s">
        <v>2</v>
      </c>
      <c r="AR668" t="s">
        <v>1</v>
      </c>
      <c r="AS668" t="s">
        <v>1</v>
      </c>
      <c r="AT668" t="s">
        <v>1</v>
      </c>
      <c r="AU668" t="s">
        <v>1</v>
      </c>
      <c r="AV668" t="s">
        <v>1</v>
      </c>
      <c r="AW668" t="s">
        <v>9</v>
      </c>
      <c r="AX668">
        <f>Tabla1[[#This Row],[precio del paquete]]-Tabla1[[#This Row],[Saldo_Deudor]]</f>
        <v>7800</v>
      </c>
      <c r="AY668">
        <v>7000</v>
      </c>
      <c r="AZ668">
        <v>0</v>
      </c>
      <c r="BA668">
        <v>0</v>
      </c>
      <c r="BB668">
        <v>0</v>
      </c>
      <c r="BC668" t="s">
        <v>3016</v>
      </c>
      <c r="BD668" t="s">
        <v>4832</v>
      </c>
      <c r="BE668" t="s">
        <v>3</v>
      </c>
      <c r="BF668" t="s">
        <v>3</v>
      </c>
      <c r="BG668" t="s">
        <v>3</v>
      </c>
      <c r="BH668" t="s">
        <v>3</v>
      </c>
      <c r="BI668" t="s">
        <v>3</v>
      </c>
      <c r="BJ668" t="s">
        <v>5003</v>
      </c>
      <c r="BK668" t="s">
        <v>3</v>
      </c>
      <c r="BL668" t="s">
        <v>96</v>
      </c>
      <c r="BM668" t="s">
        <v>1</v>
      </c>
      <c r="BN668">
        <v>14800</v>
      </c>
      <c r="BO668" t="s">
        <v>1</v>
      </c>
      <c r="BP668" t="s">
        <v>1</v>
      </c>
      <c r="BQ668" t="s">
        <v>1</v>
      </c>
      <c r="BR668" t="s">
        <v>1</v>
      </c>
      <c r="BS668" t="s">
        <v>1</v>
      </c>
      <c r="BT668" t="s">
        <v>1</v>
      </c>
      <c r="BU668" t="s">
        <v>1</v>
      </c>
      <c r="BV668" t="s">
        <v>1</v>
      </c>
      <c r="BW668" t="s">
        <v>0</v>
      </c>
      <c r="BX668" t="s">
        <v>1</v>
      </c>
      <c r="BY668" t="s">
        <v>1</v>
      </c>
      <c r="BZ668" t="s">
        <v>1</v>
      </c>
      <c r="CA668" t="s">
        <v>1</v>
      </c>
      <c r="CB668" t="s">
        <v>1</v>
      </c>
      <c r="CD668" t="e" cm="1">
        <f t="array" aca="1" ref="CD668" ca="1">eConcatenar(A668:CB668,"|")</f>
        <v>#NAME?</v>
      </c>
    </row>
    <row r="669" spans="1:82" x14ac:dyDescent="0.25">
      <c r="A669" t="s">
        <v>764</v>
      </c>
      <c r="B669" t="s">
        <v>1779</v>
      </c>
      <c r="C669">
        <v>3</v>
      </c>
      <c r="D669" t="s">
        <v>2155</v>
      </c>
      <c r="E669" t="s">
        <v>2158</v>
      </c>
      <c r="F669" t="s">
        <v>2162</v>
      </c>
      <c r="G669" t="s">
        <v>2551</v>
      </c>
      <c r="H669" t="s">
        <v>2991</v>
      </c>
      <c r="I669">
        <v>12900</v>
      </c>
      <c r="J669">
        <v>0</v>
      </c>
      <c r="K669">
        <v>100</v>
      </c>
      <c r="L669">
        <v>50</v>
      </c>
      <c r="M669">
        <v>2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 t="s">
        <v>3568</v>
      </c>
      <c r="AC669" t="s">
        <v>3629</v>
      </c>
      <c r="AD669" t="s">
        <v>3843</v>
      </c>
      <c r="AE669" t="s">
        <v>4</v>
      </c>
      <c r="AF669" t="s">
        <v>1</v>
      </c>
      <c r="AG669" t="s">
        <v>1</v>
      </c>
      <c r="AH669" t="s">
        <v>4577</v>
      </c>
      <c r="AI669" t="s">
        <v>2551</v>
      </c>
      <c r="AJ669" t="s">
        <v>1</v>
      </c>
      <c r="AK669">
        <v>9331230615</v>
      </c>
      <c r="AL669" t="s">
        <v>1</v>
      </c>
      <c r="AM669" t="s">
        <v>1</v>
      </c>
      <c r="AN669" t="s">
        <v>1</v>
      </c>
      <c r="AO669" t="s">
        <v>4577</v>
      </c>
      <c r="AP669" t="s">
        <v>1</v>
      </c>
      <c r="AQ669" t="s">
        <v>2</v>
      </c>
      <c r="AR669" t="s">
        <v>1</v>
      </c>
      <c r="AS669" t="s">
        <v>1</v>
      </c>
      <c r="AT669" t="s">
        <v>1</v>
      </c>
      <c r="AU669" t="s">
        <v>1</v>
      </c>
      <c r="AV669" t="s">
        <v>1</v>
      </c>
      <c r="AW669" t="s">
        <v>9</v>
      </c>
      <c r="AX669">
        <f>Tabla1[[#This Row],[precio del paquete]]-Tabla1[[#This Row],[Saldo_Deudor]]</f>
        <v>9950</v>
      </c>
      <c r="AY669">
        <v>2950</v>
      </c>
      <c r="AZ669">
        <v>0</v>
      </c>
      <c r="BA669">
        <v>0</v>
      </c>
      <c r="BB669">
        <v>0</v>
      </c>
      <c r="BC669" t="s">
        <v>4828</v>
      </c>
      <c r="BD669" t="s">
        <v>3098</v>
      </c>
      <c r="BE669" t="s">
        <v>3</v>
      </c>
      <c r="BF669" t="s">
        <v>3</v>
      </c>
      <c r="BG669" t="s">
        <v>3</v>
      </c>
      <c r="BH669" t="s">
        <v>3</v>
      </c>
      <c r="BI669" t="s">
        <v>3</v>
      </c>
      <c r="BJ669" t="s">
        <v>5009</v>
      </c>
      <c r="BK669" t="s">
        <v>3</v>
      </c>
      <c r="BL669" t="s">
        <v>96</v>
      </c>
      <c r="BM669" t="s">
        <v>1</v>
      </c>
      <c r="BN669">
        <v>12900</v>
      </c>
      <c r="BO669" t="s">
        <v>1</v>
      </c>
      <c r="BP669" t="s">
        <v>1</v>
      </c>
      <c r="BQ669" t="s">
        <v>1</v>
      </c>
      <c r="BR669" t="s">
        <v>1</v>
      </c>
      <c r="BS669" t="s">
        <v>1</v>
      </c>
      <c r="BT669" t="s">
        <v>1</v>
      </c>
      <c r="BU669" t="s">
        <v>1</v>
      </c>
      <c r="BV669" t="s">
        <v>1</v>
      </c>
      <c r="BW669" t="s">
        <v>0</v>
      </c>
      <c r="BX669" t="s">
        <v>1</v>
      </c>
      <c r="BY669" t="s">
        <v>1</v>
      </c>
      <c r="BZ669" t="s">
        <v>1</v>
      </c>
      <c r="CA669" t="s">
        <v>1</v>
      </c>
      <c r="CB669" t="s">
        <v>1</v>
      </c>
      <c r="CD669" t="e" cm="1">
        <f t="array" aca="1" ref="CD669" ca="1">eConcatenar(A669:CB669,"|")</f>
        <v>#NAME?</v>
      </c>
    </row>
    <row r="670" spans="1:82" x14ac:dyDescent="0.25">
      <c r="A670" t="s">
        <v>765</v>
      </c>
      <c r="B670" t="s">
        <v>1780</v>
      </c>
      <c r="C670">
        <v>3</v>
      </c>
      <c r="D670" t="s">
        <v>2155</v>
      </c>
      <c r="E670" t="s">
        <v>2158</v>
      </c>
      <c r="F670" t="s">
        <v>2162</v>
      </c>
      <c r="G670" t="s">
        <v>2551</v>
      </c>
      <c r="H670" t="s">
        <v>2992</v>
      </c>
      <c r="I670">
        <v>12900</v>
      </c>
      <c r="J670">
        <v>0</v>
      </c>
      <c r="K670">
        <v>100</v>
      </c>
      <c r="L670">
        <v>50</v>
      </c>
      <c r="M670">
        <v>2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 t="s">
        <v>3357</v>
      </c>
      <c r="AC670" t="s">
        <v>3168</v>
      </c>
      <c r="AD670" t="s">
        <v>3844</v>
      </c>
      <c r="AE670" t="s">
        <v>4</v>
      </c>
      <c r="AF670" t="s">
        <v>1</v>
      </c>
      <c r="AG670" t="s">
        <v>1</v>
      </c>
      <c r="AH670" t="s">
        <v>4578</v>
      </c>
      <c r="AI670" t="s">
        <v>2551</v>
      </c>
      <c r="AJ670" t="s">
        <v>1</v>
      </c>
      <c r="AK670">
        <v>9331561053</v>
      </c>
      <c r="AL670" t="s">
        <v>1</v>
      </c>
      <c r="AM670" t="s">
        <v>1</v>
      </c>
      <c r="AN670" t="s">
        <v>1</v>
      </c>
      <c r="AO670" t="s">
        <v>4578</v>
      </c>
      <c r="AP670" t="s">
        <v>1</v>
      </c>
      <c r="AQ670" t="s">
        <v>2</v>
      </c>
      <c r="AR670" t="s">
        <v>1</v>
      </c>
      <c r="AS670" t="s">
        <v>1</v>
      </c>
      <c r="AT670" t="s">
        <v>1</v>
      </c>
      <c r="AU670" t="s">
        <v>1</v>
      </c>
      <c r="AV670" t="s">
        <v>1</v>
      </c>
      <c r="AW670" t="s">
        <v>9</v>
      </c>
      <c r="AX670">
        <f>Tabla1[[#This Row],[precio del paquete]]-Tabla1[[#This Row],[Saldo_Deudor]]</f>
        <v>11600</v>
      </c>
      <c r="AY670">
        <v>1300</v>
      </c>
      <c r="AZ670">
        <v>0</v>
      </c>
      <c r="BA670">
        <v>0</v>
      </c>
      <c r="BB670">
        <v>0</v>
      </c>
      <c r="BC670" t="s">
        <v>2916</v>
      </c>
      <c r="BD670" t="s">
        <v>4896</v>
      </c>
      <c r="BE670" t="s">
        <v>3</v>
      </c>
      <c r="BF670" t="s">
        <v>3</v>
      </c>
      <c r="BG670" t="s">
        <v>3</v>
      </c>
      <c r="BH670" t="s">
        <v>3</v>
      </c>
      <c r="BI670" t="s">
        <v>3</v>
      </c>
      <c r="BJ670" t="s">
        <v>5005</v>
      </c>
      <c r="BK670" t="s">
        <v>3</v>
      </c>
      <c r="BL670" t="s">
        <v>96</v>
      </c>
      <c r="BM670" t="s">
        <v>1</v>
      </c>
      <c r="BN670">
        <v>12900</v>
      </c>
      <c r="BO670" t="s">
        <v>1</v>
      </c>
      <c r="BP670" t="s">
        <v>1</v>
      </c>
      <c r="BQ670" t="s">
        <v>1</v>
      </c>
      <c r="BR670" t="s">
        <v>1</v>
      </c>
      <c r="BS670" t="s">
        <v>1</v>
      </c>
      <c r="BT670" t="s">
        <v>1</v>
      </c>
      <c r="BU670" t="s">
        <v>1</v>
      </c>
      <c r="BV670" t="s">
        <v>1</v>
      </c>
      <c r="BW670" t="s">
        <v>0</v>
      </c>
      <c r="BX670" t="s">
        <v>1</v>
      </c>
      <c r="BY670" t="s">
        <v>1</v>
      </c>
      <c r="BZ670" t="s">
        <v>1</v>
      </c>
      <c r="CA670" t="s">
        <v>1</v>
      </c>
      <c r="CB670" t="s">
        <v>1</v>
      </c>
      <c r="CD670" t="e" cm="1">
        <f t="array" aca="1" ref="CD670" ca="1">eConcatenar(A670:CB670,"|")</f>
        <v>#NAME?</v>
      </c>
    </row>
    <row r="671" spans="1:82" x14ac:dyDescent="0.25">
      <c r="A671" t="s">
        <v>766</v>
      </c>
      <c r="B671" t="s">
        <v>1781</v>
      </c>
      <c r="C671">
        <v>3</v>
      </c>
      <c r="D671" t="s">
        <v>2153</v>
      </c>
      <c r="E671" t="s">
        <v>2158</v>
      </c>
      <c r="F671" t="s">
        <v>0</v>
      </c>
      <c r="G671" t="s">
        <v>2552</v>
      </c>
      <c r="H671" t="s">
        <v>2801</v>
      </c>
      <c r="I671">
        <v>14800</v>
      </c>
      <c r="J671">
        <v>0</v>
      </c>
      <c r="K671">
        <v>50</v>
      </c>
      <c r="L671">
        <v>50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 t="s">
        <v>3845</v>
      </c>
      <c r="AC671" t="s">
        <v>3117</v>
      </c>
      <c r="AD671" t="s">
        <v>3168</v>
      </c>
      <c r="AE671" t="s">
        <v>4</v>
      </c>
      <c r="AF671" t="s">
        <v>1</v>
      </c>
      <c r="AG671" t="s">
        <v>1</v>
      </c>
      <c r="AH671" t="s">
        <v>2553</v>
      </c>
      <c r="AI671" t="s">
        <v>2552</v>
      </c>
      <c r="AJ671" t="s">
        <v>1</v>
      </c>
      <c r="AK671">
        <v>9371335580</v>
      </c>
      <c r="AL671" t="s">
        <v>1</v>
      </c>
      <c r="AM671" t="s">
        <v>1</v>
      </c>
      <c r="AN671" t="s">
        <v>1</v>
      </c>
      <c r="AO671" t="s">
        <v>2553</v>
      </c>
      <c r="AP671" t="s">
        <v>1</v>
      </c>
      <c r="AQ671" t="s">
        <v>2</v>
      </c>
      <c r="AR671" t="s">
        <v>1</v>
      </c>
      <c r="AS671" t="s">
        <v>1</v>
      </c>
      <c r="AT671" t="s">
        <v>1</v>
      </c>
      <c r="AU671" t="s">
        <v>1</v>
      </c>
      <c r="AV671" t="s">
        <v>1</v>
      </c>
      <c r="AW671" t="s">
        <v>9</v>
      </c>
      <c r="AX671">
        <f>Tabla1[[#This Row],[precio del paquete]]-Tabla1[[#This Row],[Saldo_Deudor]]</f>
        <v>50</v>
      </c>
      <c r="AY671">
        <v>14750</v>
      </c>
      <c r="AZ671">
        <v>0</v>
      </c>
      <c r="BA671">
        <v>0</v>
      </c>
      <c r="BB671">
        <v>0</v>
      </c>
      <c r="BC671" t="s">
        <v>4869</v>
      </c>
      <c r="BD671" t="s">
        <v>4868</v>
      </c>
      <c r="BE671" t="s">
        <v>3</v>
      </c>
      <c r="BF671" t="s">
        <v>3</v>
      </c>
      <c r="BG671" t="s">
        <v>3</v>
      </c>
      <c r="BH671" t="s">
        <v>3</v>
      </c>
      <c r="BI671" t="s">
        <v>3</v>
      </c>
      <c r="BJ671" t="s">
        <v>5005</v>
      </c>
      <c r="BK671" t="s">
        <v>3</v>
      </c>
      <c r="BL671" t="s">
        <v>96</v>
      </c>
      <c r="BM671" t="s">
        <v>1</v>
      </c>
      <c r="BN671">
        <v>14800</v>
      </c>
      <c r="BO671" t="s">
        <v>1</v>
      </c>
      <c r="BP671" t="s">
        <v>1</v>
      </c>
      <c r="BQ671" t="s">
        <v>1</v>
      </c>
      <c r="BR671" t="s">
        <v>1</v>
      </c>
      <c r="BS671" t="s">
        <v>1</v>
      </c>
      <c r="BT671" t="s">
        <v>1</v>
      </c>
      <c r="BU671" t="s">
        <v>1</v>
      </c>
      <c r="BV671" t="s">
        <v>1</v>
      </c>
      <c r="BW671" t="s">
        <v>0</v>
      </c>
      <c r="BX671" t="s">
        <v>1</v>
      </c>
      <c r="BY671" t="s">
        <v>1</v>
      </c>
      <c r="BZ671" t="s">
        <v>1</v>
      </c>
      <c r="CA671" t="s">
        <v>1</v>
      </c>
      <c r="CB671" t="s">
        <v>1</v>
      </c>
      <c r="CD671" t="e" cm="1">
        <f t="array" aca="1" ref="CD671" ca="1">eConcatenar(A671:CB671,"|")</f>
        <v>#NAME?</v>
      </c>
    </row>
    <row r="672" spans="1:82" x14ac:dyDescent="0.25">
      <c r="A672" t="s">
        <v>767</v>
      </c>
      <c r="B672" t="s">
        <v>1782</v>
      </c>
      <c r="C672">
        <v>3</v>
      </c>
      <c r="D672" t="s">
        <v>2153</v>
      </c>
      <c r="E672" t="s">
        <v>2158</v>
      </c>
      <c r="F672" t="s">
        <v>0</v>
      </c>
      <c r="G672" t="s">
        <v>2553</v>
      </c>
      <c r="H672" t="s">
        <v>2760</v>
      </c>
      <c r="I672">
        <v>14800</v>
      </c>
      <c r="J672">
        <v>0</v>
      </c>
      <c r="K672">
        <v>200</v>
      </c>
      <c r="L672">
        <v>50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 t="s">
        <v>3483</v>
      </c>
      <c r="AC672" t="s">
        <v>3378</v>
      </c>
      <c r="AD672" t="s">
        <v>3319</v>
      </c>
      <c r="AE672" t="s">
        <v>4</v>
      </c>
      <c r="AF672" t="s">
        <v>1</v>
      </c>
      <c r="AG672" t="s">
        <v>1</v>
      </c>
      <c r="AH672" t="s">
        <v>2553</v>
      </c>
      <c r="AI672" t="s">
        <v>2553</v>
      </c>
      <c r="AJ672" t="s">
        <v>1</v>
      </c>
      <c r="AK672">
        <v>9931858453</v>
      </c>
      <c r="AL672" t="s">
        <v>1</v>
      </c>
      <c r="AM672" t="s">
        <v>1</v>
      </c>
      <c r="AN672" t="s">
        <v>1</v>
      </c>
      <c r="AO672" t="s">
        <v>2553</v>
      </c>
      <c r="AP672" t="s">
        <v>1</v>
      </c>
      <c r="AQ672" t="s">
        <v>2</v>
      </c>
      <c r="AR672" t="s">
        <v>1</v>
      </c>
      <c r="AS672" t="s">
        <v>1</v>
      </c>
      <c r="AT672" t="s">
        <v>1</v>
      </c>
      <c r="AU672" t="s">
        <v>1</v>
      </c>
      <c r="AV672" t="s">
        <v>1</v>
      </c>
      <c r="AW672" t="s">
        <v>9</v>
      </c>
      <c r="AX672">
        <f>Tabla1[[#This Row],[precio del paquete]]-Tabla1[[#This Row],[Saldo_Deudor]]</f>
        <v>1100</v>
      </c>
      <c r="AY672">
        <v>13700</v>
      </c>
      <c r="AZ672">
        <v>0</v>
      </c>
      <c r="BA672">
        <v>0</v>
      </c>
      <c r="BB672">
        <v>0</v>
      </c>
      <c r="BC672" t="s">
        <v>4870</v>
      </c>
      <c r="BD672" t="s">
        <v>2879</v>
      </c>
      <c r="BE672" t="s">
        <v>3</v>
      </c>
      <c r="BF672" t="s">
        <v>3</v>
      </c>
      <c r="BG672" t="s">
        <v>3</v>
      </c>
      <c r="BH672" t="s">
        <v>3</v>
      </c>
      <c r="BI672" t="s">
        <v>3</v>
      </c>
      <c r="BJ672" t="s">
        <v>4994</v>
      </c>
      <c r="BK672" t="s">
        <v>3</v>
      </c>
      <c r="BL672" t="s">
        <v>96</v>
      </c>
      <c r="BM672" t="s">
        <v>1</v>
      </c>
      <c r="BN672">
        <v>14800</v>
      </c>
      <c r="BO672" t="s">
        <v>1</v>
      </c>
      <c r="BP672" t="s">
        <v>1</v>
      </c>
      <c r="BQ672" t="s">
        <v>1</v>
      </c>
      <c r="BR672" t="s">
        <v>1</v>
      </c>
      <c r="BS672" t="s">
        <v>1</v>
      </c>
      <c r="BT672" t="s">
        <v>1</v>
      </c>
      <c r="BU672" t="s">
        <v>1</v>
      </c>
      <c r="BV672" t="s">
        <v>1</v>
      </c>
      <c r="BW672" t="s">
        <v>0</v>
      </c>
      <c r="BX672" t="s">
        <v>1</v>
      </c>
      <c r="BY672" t="s">
        <v>1</v>
      </c>
      <c r="BZ672" t="s">
        <v>1</v>
      </c>
      <c r="CA672" t="s">
        <v>1</v>
      </c>
      <c r="CB672" t="s">
        <v>1</v>
      </c>
      <c r="CD672" t="e" cm="1">
        <f t="array" aca="1" ref="CD672" ca="1">eConcatenar(A672:CB672,"|")</f>
        <v>#NAME?</v>
      </c>
    </row>
    <row r="673" spans="1:82" x14ac:dyDescent="0.25">
      <c r="A673" t="s">
        <v>768</v>
      </c>
      <c r="B673" t="s">
        <v>1783</v>
      </c>
      <c r="C673">
        <v>3</v>
      </c>
      <c r="D673" t="s">
        <v>2153</v>
      </c>
      <c r="E673" t="s">
        <v>2158</v>
      </c>
      <c r="F673" t="s">
        <v>0</v>
      </c>
      <c r="G673" t="s">
        <v>2554</v>
      </c>
      <c r="H673" t="s">
        <v>2801</v>
      </c>
      <c r="I673">
        <v>14800</v>
      </c>
      <c r="J673">
        <v>0</v>
      </c>
      <c r="K673">
        <v>100</v>
      </c>
      <c r="L673">
        <v>50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 t="s">
        <v>3245</v>
      </c>
      <c r="AC673" t="s">
        <v>3221</v>
      </c>
      <c r="AD673" t="s">
        <v>3846</v>
      </c>
      <c r="AE673" t="s">
        <v>4</v>
      </c>
      <c r="AF673" t="s">
        <v>1</v>
      </c>
      <c r="AG673" t="s">
        <v>1</v>
      </c>
      <c r="AH673" t="s">
        <v>4579</v>
      </c>
      <c r="AI673" t="s">
        <v>2554</v>
      </c>
      <c r="AJ673" t="s">
        <v>1</v>
      </c>
      <c r="AK673">
        <v>9371024481</v>
      </c>
      <c r="AL673" t="s">
        <v>1</v>
      </c>
      <c r="AM673" t="s">
        <v>1</v>
      </c>
      <c r="AN673" t="s">
        <v>1</v>
      </c>
      <c r="AO673" t="s">
        <v>4579</v>
      </c>
      <c r="AP673" t="s">
        <v>1</v>
      </c>
      <c r="AQ673" t="s">
        <v>2</v>
      </c>
      <c r="AR673" t="s">
        <v>1</v>
      </c>
      <c r="AS673" t="s">
        <v>1</v>
      </c>
      <c r="AT673" t="s">
        <v>1</v>
      </c>
      <c r="AU673" t="s">
        <v>1</v>
      </c>
      <c r="AV673" t="s">
        <v>1</v>
      </c>
      <c r="AW673" t="s">
        <v>9</v>
      </c>
      <c r="AX673">
        <f>Tabla1[[#This Row],[precio del paquete]]-Tabla1[[#This Row],[Saldo_Deudor]]</f>
        <v>1000</v>
      </c>
      <c r="AY673">
        <v>13800</v>
      </c>
      <c r="AZ673">
        <v>0</v>
      </c>
      <c r="BA673">
        <v>0</v>
      </c>
      <c r="BB673">
        <v>0</v>
      </c>
      <c r="BC673" t="s">
        <v>2711</v>
      </c>
      <c r="BD673" t="s">
        <v>2712</v>
      </c>
      <c r="BE673" t="s">
        <v>3</v>
      </c>
      <c r="BF673" t="s">
        <v>3</v>
      </c>
      <c r="BG673" t="s">
        <v>3</v>
      </c>
      <c r="BH673" t="s">
        <v>3</v>
      </c>
      <c r="BI673" t="s">
        <v>3</v>
      </c>
      <c r="BJ673" t="s">
        <v>4994</v>
      </c>
      <c r="BK673" t="s">
        <v>3</v>
      </c>
      <c r="BL673" t="s">
        <v>96</v>
      </c>
      <c r="BM673" t="s">
        <v>1</v>
      </c>
      <c r="BN673">
        <v>14800</v>
      </c>
      <c r="BO673" t="s">
        <v>1</v>
      </c>
      <c r="BP673" t="s">
        <v>1</v>
      </c>
      <c r="BQ673" t="s">
        <v>1</v>
      </c>
      <c r="BR673" t="s">
        <v>1</v>
      </c>
      <c r="BS673" t="s">
        <v>1</v>
      </c>
      <c r="BT673" t="s">
        <v>1</v>
      </c>
      <c r="BU673" t="s">
        <v>1</v>
      </c>
      <c r="BV673" t="s">
        <v>1</v>
      </c>
      <c r="BW673" t="s">
        <v>0</v>
      </c>
      <c r="BX673" t="s">
        <v>1</v>
      </c>
      <c r="BY673" t="s">
        <v>1</v>
      </c>
      <c r="BZ673" t="s">
        <v>1</v>
      </c>
      <c r="CA673" t="s">
        <v>1</v>
      </c>
      <c r="CB673" t="s">
        <v>1</v>
      </c>
      <c r="CD673" t="e" cm="1">
        <f t="array" aca="1" ref="CD673" ca="1">eConcatenar(A673:CB673,"|")</f>
        <v>#NAME?</v>
      </c>
    </row>
    <row r="674" spans="1:82" x14ac:dyDescent="0.25">
      <c r="A674" t="s">
        <v>769</v>
      </c>
      <c r="B674" t="s">
        <v>1784</v>
      </c>
      <c r="C674">
        <v>3</v>
      </c>
      <c r="D674" t="s">
        <v>2155</v>
      </c>
      <c r="E674" t="s">
        <v>2158</v>
      </c>
      <c r="F674" t="s">
        <v>0</v>
      </c>
      <c r="G674" t="s">
        <v>2555</v>
      </c>
      <c r="H674" t="s">
        <v>2993</v>
      </c>
      <c r="I674">
        <v>12900</v>
      </c>
      <c r="J674">
        <v>0</v>
      </c>
      <c r="K674">
        <v>100</v>
      </c>
      <c r="L674">
        <v>50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 t="s">
        <v>3311</v>
      </c>
      <c r="AC674" t="s">
        <v>3155</v>
      </c>
      <c r="AD674" t="s">
        <v>3847</v>
      </c>
      <c r="AE674" t="s">
        <v>4</v>
      </c>
      <c r="AF674" t="s">
        <v>1</v>
      </c>
      <c r="AG674" t="s">
        <v>1</v>
      </c>
      <c r="AH674" t="s">
        <v>2555</v>
      </c>
      <c r="AI674" t="s">
        <v>2555</v>
      </c>
      <c r="AJ674" t="s">
        <v>1</v>
      </c>
      <c r="AK674">
        <v>9371407300</v>
      </c>
      <c r="AL674" t="s">
        <v>1</v>
      </c>
      <c r="AM674" t="s">
        <v>1</v>
      </c>
      <c r="AN674" t="s">
        <v>1</v>
      </c>
      <c r="AO674" t="s">
        <v>2555</v>
      </c>
      <c r="AP674" t="s">
        <v>1</v>
      </c>
      <c r="AQ674" t="s">
        <v>2</v>
      </c>
      <c r="AR674" t="s">
        <v>1</v>
      </c>
      <c r="AS674" t="s">
        <v>1</v>
      </c>
      <c r="AT674" t="s">
        <v>1</v>
      </c>
      <c r="AU674" t="s">
        <v>1</v>
      </c>
      <c r="AV674" t="s">
        <v>1</v>
      </c>
      <c r="AW674" t="s">
        <v>9</v>
      </c>
      <c r="AX674">
        <f>Tabla1[[#This Row],[precio del paquete]]-Tabla1[[#This Row],[Saldo_Deudor]]</f>
        <v>6530</v>
      </c>
      <c r="AY674">
        <v>6370</v>
      </c>
      <c r="AZ674">
        <v>0</v>
      </c>
      <c r="BA674">
        <v>0</v>
      </c>
      <c r="BB674">
        <v>0</v>
      </c>
      <c r="BC674" t="s">
        <v>3098</v>
      </c>
      <c r="BD674" t="s">
        <v>4829</v>
      </c>
      <c r="BE674" t="s">
        <v>3</v>
      </c>
      <c r="BF674" t="s">
        <v>3</v>
      </c>
      <c r="BG674" t="s">
        <v>3</v>
      </c>
      <c r="BH674" t="s">
        <v>3</v>
      </c>
      <c r="BI674" t="s">
        <v>3</v>
      </c>
      <c r="BJ674" t="s">
        <v>4994</v>
      </c>
      <c r="BK674" t="s">
        <v>3</v>
      </c>
      <c r="BL674" t="s">
        <v>96</v>
      </c>
      <c r="BM674" t="s">
        <v>1</v>
      </c>
      <c r="BN674">
        <v>12900</v>
      </c>
      <c r="BO674" t="s">
        <v>1</v>
      </c>
      <c r="BP674" t="s">
        <v>1</v>
      </c>
      <c r="BQ674" t="s">
        <v>1</v>
      </c>
      <c r="BR674" t="s">
        <v>1</v>
      </c>
      <c r="BS674" t="s">
        <v>1</v>
      </c>
      <c r="BT674" t="s">
        <v>1</v>
      </c>
      <c r="BU674" t="s">
        <v>1</v>
      </c>
      <c r="BV674" t="s">
        <v>1</v>
      </c>
      <c r="BW674" t="s">
        <v>0</v>
      </c>
      <c r="BX674" t="s">
        <v>1</v>
      </c>
      <c r="BY674" t="s">
        <v>1</v>
      </c>
      <c r="BZ674" t="s">
        <v>1</v>
      </c>
      <c r="CA674" t="s">
        <v>1</v>
      </c>
      <c r="CB674" t="s">
        <v>1</v>
      </c>
      <c r="CD674" t="e" cm="1">
        <f t="array" aca="1" ref="CD674" ca="1">eConcatenar(A674:CB674,"|")</f>
        <v>#NAME?</v>
      </c>
    </row>
    <row r="675" spans="1:82" x14ac:dyDescent="0.25">
      <c r="A675" t="s">
        <v>770</v>
      </c>
      <c r="B675" t="s">
        <v>1785</v>
      </c>
      <c r="C675">
        <v>3</v>
      </c>
      <c r="D675" t="s">
        <v>2153</v>
      </c>
      <c r="E675" t="s">
        <v>2158</v>
      </c>
      <c r="F675" t="s">
        <v>0</v>
      </c>
      <c r="G675" t="s">
        <v>2556</v>
      </c>
      <c r="H675" t="s">
        <v>2874</v>
      </c>
      <c r="I675">
        <v>14800</v>
      </c>
      <c r="J675">
        <v>0</v>
      </c>
      <c r="K675">
        <v>100</v>
      </c>
      <c r="L675">
        <v>50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 t="s">
        <v>3848</v>
      </c>
      <c r="AC675" t="s">
        <v>3141</v>
      </c>
      <c r="AD675" t="s">
        <v>3849</v>
      </c>
      <c r="AE675" t="s">
        <v>4</v>
      </c>
      <c r="AF675" t="s">
        <v>1</v>
      </c>
      <c r="AG675" t="s">
        <v>1</v>
      </c>
      <c r="AH675" t="s">
        <v>2556</v>
      </c>
      <c r="AI675" t="s">
        <v>2556</v>
      </c>
      <c r="AJ675" t="s">
        <v>1</v>
      </c>
      <c r="AK675">
        <v>9371194769</v>
      </c>
      <c r="AL675" t="s">
        <v>1</v>
      </c>
      <c r="AM675" t="s">
        <v>1</v>
      </c>
      <c r="AN675" t="s">
        <v>1</v>
      </c>
      <c r="AO675" t="s">
        <v>2556</v>
      </c>
      <c r="AP675" t="s">
        <v>1</v>
      </c>
      <c r="AQ675" t="s">
        <v>2</v>
      </c>
      <c r="AR675" t="s">
        <v>1</v>
      </c>
      <c r="AS675" t="s">
        <v>1</v>
      </c>
      <c r="AT675" t="s">
        <v>1</v>
      </c>
      <c r="AU675" t="s">
        <v>1</v>
      </c>
      <c r="AV675" t="s">
        <v>1</v>
      </c>
      <c r="AW675" t="s">
        <v>9</v>
      </c>
      <c r="AX675">
        <f>Tabla1[[#This Row],[precio del paquete]]-Tabla1[[#This Row],[Saldo_Deudor]]</f>
        <v>700</v>
      </c>
      <c r="AY675">
        <v>14100</v>
      </c>
      <c r="AZ675">
        <v>0</v>
      </c>
      <c r="BA675">
        <v>0</v>
      </c>
      <c r="BB675">
        <v>0</v>
      </c>
      <c r="BC675" t="s">
        <v>2755</v>
      </c>
      <c r="BD675" t="s">
        <v>4905</v>
      </c>
      <c r="BE675" t="s">
        <v>3</v>
      </c>
      <c r="BF675" t="s">
        <v>3</v>
      </c>
      <c r="BG675" t="s">
        <v>3</v>
      </c>
      <c r="BH675" t="s">
        <v>3</v>
      </c>
      <c r="BI675" t="s">
        <v>3</v>
      </c>
      <c r="BJ675" t="s">
        <v>4983</v>
      </c>
      <c r="BK675" t="s">
        <v>3</v>
      </c>
      <c r="BL675" t="s">
        <v>96</v>
      </c>
      <c r="BM675" t="s">
        <v>1</v>
      </c>
      <c r="BN675">
        <v>14800</v>
      </c>
      <c r="BO675" t="s">
        <v>1</v>
      </c>
      <c r="BP675" t="s">
        <v>1</v>
      </c>
      <c r="BQ675" t="s">
        <v>1</v>
      </c>
      <c r="BR675" t="s">
        <v>1</v>
      </c>
      <c r="BS675" t="s">
        <v>1</v>
      </c>
      <c r="BT675" t="s">
        <v>1</v>
      </c>
      <c r="BU675" t="s">
        <v>1</v>
      </c>
      <c r="BV675" t="s">
        <v>1</v>
      </c>
      <c r="BW675" t="s">
        <v>0</v>
      </c>
      <c r="BX675" t="s">
        <v>1</v>
      </c>
      <c r="BY675" t="s">
        <v>1</v>
      </c>
      <c r="BZ675" t="s">
        <v>1</v>
      </c>
      <c r="CA675" t="s">
        <v>1</v>
      </c>
      <c r="CB675" t="s">
        <v>1</v>
      </c>
      <c r="CD675" t="e" cm="1">
        <f t="array" aca="1" ref="CD675" ca="1">eConcatenar(A675:CB675,"|")</f>
        <v>#NAME?</v>
      </c>
    </row>
    <row r="676" spans="1:82" x14ac:dyDescent="0.25">
      <c r="A676" t="s">
        <v>771</v>
      </c>
      <c r="B676" t="s">
        <v>1786</v>
      </c>
      <c r="C676">
        <v>3</v>
      </c>
      <c r="D676" t="s">
        <v>2153</v>
      </c>
      <c r="E676" t="s">
        <v>2158</v>
      </c>
      <c r="F676" t="s">
        <v>0</v>
      </c>
      <c r="G676" t="s">
        <v>2556</v>
      </c>
      <c r="H676" t="s">
        <v>2994</v>
      </c>
      <c r="I676">
        <v>14800</v>
      </c>
      <c r="J676">
        <v>0</v>
      </c>
      <c r="K676">
        <v>100</v>
      </c>
      <c r="L676">
        <v>50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 t="s">
        <v>3850</v>
      </c>
      <c r="AC676" t="s">
        <v>3302</v>
      </c>
      <c r="AD676" t="s">
        <v>3600</v>
      </c>
      <c r="AE676" t="s">
        <v>4</v>
      </c>
      <c r="AF676" t="s">
        <v>1</v>
      </c>
      <c r="AG676" t="s">
        <v>1</v>
      </c>
      <c r="AH676" t="s">
        <v>4580</v>
      </c>
      <c r="AI676" t="s">
        <v>2556</v>
      </c>
      <c r="AJ676" t="s">
        <v>1</v>
      </c>
      <c r="AK676">
        <v>9371151148</v>
      </c>
      <c r="AL676" t="s">
        <v>1</v>
      </c>
      <c r="AM676" t="s">
        <v>1</v>
      </c>
      <c r="AN676" t="s">
        <v>1</v>
      </c>
      <c r="AO676" t="s">
        <v>4580</v>
      </c>
      <c r="AP676" t="s">
        <v>1</v>
      </c>
      <c r="AQ676" t="s">
        <v>2</v>
      </c>
      <c r="AR676" t="s">
        <v>1</v>
      </c>
      <c r="AS676" t="s">
        <v>1</v>
      </c>
      <c r="AT676" t="s">
        <v>1</v>
      </c>
      <c r="AU676" t="s">
        <v>1</v>
      </c>
      <c r="AV676" t="s">
        <v>1</v>
      </c>
      <c r="AW676" t="s">
        <v>9</v>
      </c>
      <c r="AX676">
        <f>Tabla1[[#This Row],[precio del paquete]]-Tabla1[[#This Row],[Saldo_Deudor]]</f>
        <v>3450</v>
      </c>
      <c r="AY676">
        <v>11350</v>
      </c>
      <c r="AZ676">
        <v>0</v>
      </c>
      <c r="BA676">
        <v>0</v>
      </c>
      <c r="BB676">
        <v>0</v>
      </c>
      <c r="BC676" t="s">
        <v>2755</v>
      </c>
      <c r="BD676" t="s">
        <v>4905</v>
      </c>
      <c r="BE676" t="s">
        <v>3</v>
      </c>
      <c r="BF676" t="s">
        <v>3</v>
      </c>
      <c r="BG676" t="s">
        <v>3</v>
      </c>
      <c r="BH676" t="s">
        <v>3</v>
      </c>
      <c r="BI676" t="s">
        <v>3</v>
      </c>
      <c r="BJ676" t="s">
        <v>4982</v>
      </c>
      <c r="BK676" t="s">
        <v>3</v>
      </c>
      <c r="BL676" t="s">
        <v>96</v>
      </c>
      <c r="BM676" t="s">
        <v>1</v>
      </c>
      <c r="BN676">
        <v>14800</v>
      </c>
      <c r="BO676" t="s">
        <v>1</v>
      </c>
      <c r="BP676" t="s">
        <v>1</v>
      </c>
      <c r="BQ676" t="s">
        <v>1</v>
      </c>
      <c r="BR676" t="s">
        <v>1</v>
      </c>
      <c r="BS676" t="s">
        <v>1</v>
      </c>
      <c r="BT676" t="s">
        <v>1</v>
      </c>
      <c r="BU676" t="s">
        <v>1</v>
      </c>
      <c r="BV676" t="s">
        <v>1</v>
      </c>
      <c r="BW676" t="s">
        <v>0</v>
      </c>
      <c r="BX676" t="s">
        <v>1</v>
      </c>
      <c r="BY676" t="s">
        <v>1</v>
      </c>
      <c r="BZ676" t="s">
        <v>1</v>
      </c>
      <c r="CA676" t="s">
        <v>1</v>
      </c>
      <c r="CB676" t="s">
        <v>1</v>
      </c>
      <c r="CD676" t="e" cm="1">
        <f t="array" aca="1" ref="CD676" ca="1">eConcatenar(A676:CB676,"|")</f>
        <v>#NAME?</v>
      </c>
    </row>
    <row r="677" spans="1:82" x14ac:dyDescent="0.25">
      <c r="A677" t="s">
        <v>772</v>
      </c>
      <c r="B677" t="s">
        <v>1787</v>
      </c>
      <c r="C677">
        <v>3</v>
      </c>
      <c r="D677" t="s">
        <v>2153</v>
      </c>
      <c r="E677" t="s">
        <v>2158</v>
      </c>
      <c r="F677" t="s">
        <v>0</v>
      </c>
      <c r="G677" t="s">
        <v>2557</v>
      </c>
      <c r="H677" t="s">
        <v>2724</v>
      </c>
      <c r="I677">
        <v>14800</v>
      </c>
      <c r="J677">
        <v>0</v>
      </c>
      <c r="K677">
        <v>100</v>
      </c>
      <c r="L677">
        <v>50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 t="s">
        <v>3378</v>
      </c>
      <c r="AC677" t="s">
        <v>3755</v>
      </c>
      <c r="AD677" t="s">
        <v>3824</v>
      </c>
      <c r="AE677" t="s">
        <v>4</v>
      </c>
      <c r="AF677" t="s">
        <v>1</v>
      </c>
      <c r="AG677" t="s">
        <v>1</v>
      </c>
      <c r="AH677" t="s">
        <v>2557</v>
      </c>
      <c r="AI677" t="s">
        <v>2557</v>
      </c>
      <c r="AJ677" t="s">
        <v>1</v>
      </c>
      <c r="AK677">
        <v>9371649754</v>
      </c>
      <c r="AL677" t="s">
        <v>1</v>
      </c>
      <c r="AM677" t="s">
        <v>1</v>
      </c>
      <c r="AN677" t="s">
        <v>1</v>
      </c>
      <c r="AO677" t="s">
        <v>2557</v>
      </c>
      <c r="AP677" t="s">
        <v>1</v>
      </c>
      <c r="AQ677" t="s">
        <v>2</v>
      </c>
      <c r="AR677" t="s">
        <v>1</v>
      </c>
      <c r="AS677" t="s">
        <v>1</v>
      </c>
      <c r="AT677" t="s">
        <v>1</v>
      </c>
      <c r="AU677" t="s">
        <v>1</v>
      </c>
      <c r="AV677" t="s">
        <v>1</v>
      </c>
      <c r="AW677" t="s">
        <v>9</v>
      </c>
      <c r="AX677">
        <f>Tabla1[[#This Row],[precio del paquete]]-Tabla1[[#This Row],[Saldo_Deudor]]</f>
        <v>600</v>
      </c>
      <c r="AY677">
        <v>14200</v>
      </c>
      <c r="AZ677">
        <v>0</v>
      </c>
      <c r="BA677">
        <v>0</v>
      </c>
      <c r="BB677">
        <v>0</v>
      </c>
      <c r="BC677" t="s">
        <v>2755</v>
      </c>
      <c r="BD677" t="s">
        <v>4905</v>
      </c>
      <c r="BE677" t="s">
        <v>3</v>
      </c>
      <c r="BF677" t="s">
        <v>3</v>
      </c>
      <c r="BG677" t="s">
        <v>3</v>
      </c>
      <c r="BH677" t="s">
        <v>3</v>
      </c>
      <c r="BI677" t="s">
        <v>3</v>
      </c>
      <c r="BJ677" t="s">
        <v>4982</v>
      </c>
      <c r="BK677" t="s">
        <v>3</v>
      </c>
      <c r="BL677" t="s">
        <v>96</v>
      </c>
      <c r="BM677" t="s">
        <v>1</v>
      </c>
      <c r="BN677">
        <v>14800</v>
      </c>
      <c r="BO677" t="s">
        <v>1</v>
      </c>
      <c r="BP677" t="s">
        <v>1</v>
      </c>
      <c r="BQ677" t="s">
        <v>1</v>
      </c>
      <c r="BR677" t="s">
        <v>1</v>
      </c>
      <c r="BS677" t="s">
        <v>1</v>
      </c>
      <c r="BT677" t="s">
        <v>1</v>
      </c>
      <c r="BU677" t="s">
        <v>1</v>
      </c>
      <c r="BV677" t="s">
        <v>1</v>
      </c>
      <c r="BW677" t="s">
        <v>0</v>
      </c>
      <c r="BX677" t="s">
        <v>1</v>
      </c>
      <c r="BY677" t="s">
        <v>1</v>
      </c>
      <c r="BZ677" t="s">
        <v>1</v>
      </c>
      <c r="CA677" t="s">
        <v>1</v>
      </c>
      <c r="CB677" t="s">
        <v>1</v>
      </c>
      <c r="CD677" t="e" cm="1">
        <f t="array" aca="1" ref="CD677" ca="1">eConcatenar(A677:CB677,"|")</f>
        <v>#NAME?</v>
      </c>
    </row>
    <row r="678" spans="1:82" x14ac:dyDescent="0.25">
      <c r="A678" t="s">
        <v>773</v>
      </c>
      <c r="B678" t="s">
        <v>1788</v>
      </c>
      <c r="C678">
        <v>3</v>
      </c>
      <c r="D678" t="s">
        <v>2153</v>
      </c>
      <c r="E678" t="s">
        <v>2158</v>
      </c>
      <c r="F678" t="s">
        <v>0</v>
      </c>
      <c r="G678" t="s">
        <v>2557</v>
      </c>
      <c r="H678" t="s">
        <v>2803</v>
      </c>
      <c r="I678">
        <v>14800</v>
      </c>
      <c r="J678">
        <v>0</v>
      </c>
      <c r="K678">
        <v>100</v>
      </c>
      <c r="L678">
        <v>50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 t="s">
        <v>3203</v>
      </c>
      <c r="AC678" t="s">
        <v>3143</v>
      </c>
      <c r="AD678" t="s">
        <v>3708</v>
      </c>
      <c r="AE678" t="s">
        <v>4</v>
      </c>
      <c r="AF678" t="s">
        <v>1</v>
      </c>
      <c r="AG678" t="s">
        <v>1</v>
      </c>
      <c r="AH678" t="s">
        <v>2557</v>
      </c>
      <c r="AI678" t="s">
        <v>2557</v>
      </c>
      <c r="AJ678" t="s">
        <v>1</v>
      </c>
      <c r="AK678">
        <v>9371326056</v>
      </c>
      <c r="AL678" t="s">
        <v>1</v>
      </c>
      <c r="AM678" t="s">
        <v>1</v>
      </c>
      <c r="AN678" t="s">
        <v>1</v>
      </c>
      <c r="AO678" t="s">
        <v>2557</v>
      </c>
      <c r="AP678" t="s">
        <v>1</v>
      </c>
      <c r="AQ678" t="s">
        <v>2</v>
      </c>
      <c r="AR678" t="s">
        <v>1</v>
      </c>
      <c r="AS678" t="s">
        <v>1</v>
      </c>
      <c r="AT678" t="s">
        <v>1</v>
      </c>
      <c r="AU678" t="s">
        <v>1</v>
      </c>
      <c r="AV678" t="s">
        <v>1</v>
      </c>
      <c r="AW678" t="s">
        <v>9</v>
      </c>
      <c r="AX678">
        <f>Tabla1[[#This Row],[precio del paquete]]-Tabla1[[#This Row],[Saldo_Deudor]]</f>
        <v>400</v>
      </c>
      <c r="AY678">
        <v>14400</v>
      </c>
      <c r="AZ678">
        <v>0</v>
      </c>
      <c r="BA678">
        <v>0</v>
      </c>
      <c r="BB678">
        <v>0</v>
      </c>
      <c r="BC678" t="s">
        <v>2755</v>
      </c>
      <c r="BD678" t="s">
        <v>4905</v>
      </c>
      <c r="BE678" t="s">
        <v>3</v>
      </c>
      <c r="BF678" t="s">
        <v>3</v>
      </c>
      <c r="BG678" t="s">
        <v>3</v>
      </c>
      <c r="BH678" t="s">
        <v>3</v>
      </c>
      <c r="BI678" t="s">
        <v>3</v>
      </c>
      <c r="BJ678" t="s">
        <v>4982</v>
      </c>
      <c r="BK678" t="s">
        <v>3</v>
      </c>
      <c r="BL678" t="s">
        <v>96</v>
      </c>
      <c r="BM678" t="s">
        <v>1</v>
      </c>
      <c r="BN678">
        <v>14800</v>
      </c>
      <c r="BO678" t="s">
        <v>1</v>
      </c>
      <c r="BP678" t="s">
        <v>1</v>
      </c>
      <c r="BQ678" t="s">
        <v>1</v>
      </c>
      <c r="BR678" t="s">
        <v>1</v>
      </c>
      <c r="BS678" t="s">
        <v>1</v>
      </c>
      <c r="BT678" t="s">
        <v>1</v>
      </c>
      <c r="BU678" t="s">
        <v>1</v>
      </c>
      <c r="BV678" t="s">
        <v>1</v>
      </c>
      <c r="BW678" t="s">
        <v>0</v>
      </c>
      <c r="BX678" t="s">
        <v>1</v>
      </c>
      <c r="BY678" t="s">
        <v>1</v>
      </c>
      <c r="BZ678" t="s">
        <v>1</v>
      </c>
      <c r="CA678" t="s">
        <v>1</v>
      </c>
      <c r="CB678" t="s">
        <v>1</v>
      </c>
      <c r="CD678" t="e" cm="1">
        <f t="array" aca="1" ref="CD678" ca="1">eConcatenar(A678:CB678,"|")</f>
        <v>#NAME?</v>
      </c>
    </row>
    <row r="679" spans="1:82" x14ac:dyDescent="0.25">
      <c r="A679" t="s">
        <v>774</v>
      </c>
      <c r="B679" t="s">
        <v>1789</v>
      </c>
      <c r="C679">
        <v>3</v>
      </c>
      <c r="D679" t="s">
        <v>2153</v>
      </c>
      <c r="E679" t="s">
        <v>2158</v>
      </c>
      <c r="F679" t="s">
        <v>0</v>
      </c>
      <c r="G679" t="s">
        <v>2558</v>
      </c>
      <c r="H679" t="s">
        <v>2800</v>
      </c>
      <c r="I679">
        <v>14800</v>
      </c>
      <c r="J679">
        <v>0</v>
      </c>
      <c r="K679">
        <v>100</v>
      </c>
      <c r="L679">
        <v>50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 t="s">
        <v>3214</v>
      </c>
      <c r="AC679" t="s">
        <v>3137</v>
      </c>
      <c r="AD679" t="s">
        <v>3447</v>
      </c>
      <c r="AE679" t="s">
        <v>4</v>
      </c>
      <c r="AF679" t="s">
        <v>1</v>
      </c>
      <c r="AG679" t="s">
        <v>1</v>
      </c>
      <c r="AH679" t="s">
        <v>2558</v>
      </c>
      <c r="AI679" t="s">
        <v>2558</v>
      </c>
      <c r="AJ679" t="s">
        <v>1</v>
      </c>
      <c r="AK679">
        <v>9371199398</v>
      </c>
      <c r="AL679" t="s">
        <v>1</v>
      </c>
      <c r="AM679" t="s">
        <v>1</v>
      </c>
      <c r="AN679" t="s">
        <v>1</v>
      </c>
      <c r="AO679" t="s">
        <v>2558</v>
      </c>
      <c r="AP679" t="s">
        <v>1</v>
      </c>
      <c r="AQ679" t="s">
        <v>2</v>
      </c>
      <c r="AR679" t="s">
        <v>1</v>
      </c>
      <c r="AS679" t="s">
        <v>1</v>
      </c>
      <c r="AT679" t="s">
        <v>1</v>
      </c>
      <c r="AU679" t="s">
        <v>1</v>
      </c>
      <c r="AV679" t="s">
        <v>1</v>
      </c>
      <c r="AW679" t="s">
        <v>9</v>
      </c>
      <c r="AX679">
        <f>Tabla1[[#This Row],[precio del paquete]]-Tabla1[[#This Row],[Saldo_Deudor]]</f>
        <v>1500</v>
      </c>
      <c r="AY679">
        <v>13300</v>
      </c>
      <c r="AZ679">
        <v>0</v>
      </c>
      <c r="BA679">
        <v>0</v>
      </c>
      <c r="BB679">
        <v>0</v>
      </c>
      <c r="BC679" t="s">
        <v>2755</v>
      </c>
      <c r="BD679" t="s">
        <v>4905</v>
      </c>
      <c r="BE679" t="s">
        <v>3</v>
      </c>
      <c r="BF679" t="s">
        <v>3</v>
      </c>
      <c r="BG679" t="s">
        <v>3</v>
      </c>
      <c r="BH679" t="s">
        <v>3</v>
      </c>
      <c r="BI679" t="s">
        <v>3</v>
      </c>
      <c r="BJ679" t="s">
        <v>4982</v>
      </c>
      <c r="BK679" t="s">
        <v>3</v>
      </c>
      <c r="BL679" t="s">
        <v>96</v>
      </c>
      <c r="BM679" t="s">
        <v>1</v>
      </c>
      <c r="BN679">
        <v>14800</v>
      </c>
      <c r="BO679" t="s">
        <v>1</v>
      </c>
      <c r="BP679" t="s">
        <v>1</v>
      </c>
      <c r="BQ679" t="s">
        <v>1</v>
      </c>
      <c r="BR679" t="s">
        <v>1</v>
      </c>
      <c r="BS679" t="s">
        <v>1</v>
      </c>
      <c r="BT679" t="s">
        <v>1</v>
      </c>
      <c r="BU679" t="s">
        <v>1</v>
      </c>
      <c r="BV679" t="s">
        <v>1</v>
      </c>
      <c r="BW679" t="s">
        <v>0</v>
      </c>
      <c r="BX679" t="s">
        <v>1</v>
      </c>
      <c r="BY679" t="s">
        <v>1</v>
      </c>
      <c r="BZ679" t="s">
        <v>1</v>
      </c>
      <c r="CA679" t="s">
        <v>1</v>
      </c>
      <c r="CB679" t="s">
        <v>1</v>
      </c>
      <c r="CD679" t="e" cm="1">
        <f t="array" aca="1" ref="CD679" ca="1">eConcatenar(A679:CB679,"|")</f>
        <v>#NAME?</v>
      </c>
    </row>
    <row r="680" spans="1:82" x14ac:dyDescent="0.25">
      <c r="A680" t="s">
        <v>775</v>
      </c>
      <c r="B680" t="s">
        <v>1790</v>
      </c>
      <c r="C680">
        <v>3</v>
      </c>
      <c r="D680" t="s">
        <v>2153</v>
      </c>
      <c r="E680" t="s">
        <v>2158</v>
      </c>
      <c r="F680" t="s">
        <v>0</v>
      </c>
      <c r="G680" t="s">
        <v>2558</v>
      </c>
      <c r="H680" t="s">
        <v>2803</v>
      </c>
      <c r="I680">
        <v>14800</v>
      </c>
      <c r="J680">
        <v>0</v>
      </c>
      <c r="K680">
        <v>100</v>
      </c>
      <c r="L680">
        <v>50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 t="s">
        <v>3193</v>
      </c>
      <c r="AC680" t="s">
        <v>3851</v>
      </c>
      <c r="AD680" t="s">
        <v>3852</v>
      </c>
      <c r="AE680" t="s">
        <v>4</v>
      </c>
      <c r="AF680" t="s">
        <v>1</v>
      </c>
      <c r="AG680" t="s">
        <v>1</v>
      </c>
      <c r="AH680" t="s">
        <v>2558</v>
      </c>
      <c r="AI680" t="s">
        <v>2558</v>
      </c>
      <c r="AJ680" t="s">
        <v>1</v>
      </c>
      <c r="AK680">
        <v>9372281956</v>
      </c>
      <c r="AL680" t="s">
        <v>1</v>
      </c>
      <c r="AM680" t="s">
        <v>1</v>
      </c>
      <c r="AN680" t="s">
        <v>1</v>
      </c>
      <c r="AO680" t="s">
        <v>2558</v>
      </c>
      <c r="AP680" t="s">
        <v>1</v>
      </c>
      <c r="AQ680" t="s">
        <v>2</v>
      </c>
      <c r="AR680" t="s">
        <v>1</v>
      </c>
      <c r="AS680" t="s">
        <v>1</v>
      </c>
      <c r="AT680" t="s">
        <v>1</v>
      </c>
      <c r="AU680" t="s">
        <v>1</v>
      </c>
      <c r="AV680" t="s">
        <v>1</v>
      </c>
      <c r="AW680" t="s">
        <v>9</v>
      </c>
      <c r="AX680">
        <f>Tabla1[[#This Row],[precio del paquete]]-Tabla1[[#This Row],[Saldo_Deudor]]</f>
        <v>700</v>
      </c>
      <c r="AY680">
        <v>14100</v>
      </c>
      <c r="AZ680">
        <v>0</v>
      </c>
      <c r="BA680">
        <v>0</v>
      </c>
      <c r="BB680">
        <v>0</v>
      </c>
      <c r="BC680" t="s">
        <v>2755</v>
      </c>
      <c r="BD680" t="s">
        <v>4905</v>
      </c>
      <c r="BE680" t="s">
        <v>3</v>
      </c>
      <c r="BF680" t="s">
        <v>3</v>
      </c>
      <c r="BG680" t="s">
        <v>3</v>
      </c>
      <c r="BH680" t="s">
        <v>3</v>
      </c>
      <c r="BI680" t="s">
        <v>3</v>
      </c>
      <c r="BJ680" t="s">
        <v>4982</v>
      </c>
      <c r="BK680" t="s">
        <v>3</v>
      </c>
      <c r="BL680" t="s">
        <v>96</v>
      </c>
      <c r="BM680" t="s">
        <v>1</v>
      </c>
      <c r="BN680">
        <v>14800</v>
      </c>
      <c r="BO680" t="s">
        <v>1</v>
      </c>
      <c r="BP680" t="s">
        <v>1</v>
      </c>
      <c r="BQ680" t="s">
        <v>1</v>
      </c>
      <c r="BR680" t="s">
        <v>1</v>
      </c>
      <c r="BS680" t="s">
        <v>1</v>
      </c>
      <c r="BT680" t="s">
        <v>1</v>
      </c>
      <c r="BU680" t="s">
        <v>1</v>
      </c>
      <c r="BV680" t="s">
        <v>1</v>
      </c>
      <c r="BW680" t="s">
        <v>0</v>
      </c>
      <c r="BX680" t="s">
        <v>1</v>
      </c>
      <c r="BY680" t="s">
        <v>1</v>
      </c>
      <c r="BZ680" t="s">
        <v>1</v>
      </c>
      <c r="CA680" t="s">
        <v>1</v>
      </c>
      <c r="CB680" t="s">
        <v>1</v>
      </c>
      <c r="CD680" t="e" cm="1">
        <f t="array" aca="1" ref="CD680" ca="1">eConcatenar(A680:CB680,"|")</f>
        <v>#NAME?</v>
      </c>
    </row>
    <row r="681" spans="1:82" x14ac:dyDescent="0.25">
      <c r="A681" t="s">
        <v>776</v>
      </c>
      <c r="B681" t="s">
        <v>1791</v>
      </c>
      <c r="C681">
        <v>3</v>
      </c>
      <c r="D681" t="s">
        <v>2153</v>
      </c>
      <c r="E681" t="s">
        <v>2158</v>
      </c>
      <c r="F681" t="s">
        <v>0</v>
      </c>
      <c r="G681" t="s">
        <v>2559</v>
      </c>
      <c r="H681" t="s">
        <v>2995</v>
      </c>
      <c r="I681">
        <v>14800</v>
      </c>
      <c r="J681">
        <v>0</v>
      </c>
      <c r="K681">
        <v>300</v>
      </c>
      <c r="L681">
        <v>50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 t="s">
        <v>3761</v>
      </c>
      <c r="AC681" t="s">
        <v>3155</v>
      </c>
      <c r="AD681" t="s">
        <v>3853</v>
      </c>
      <c r="AE681" t="s">
        <v>4</v>
      </c>
      <c r="AF681" t="s">
        <v>1</v>
      </c>
      <c r="AG681" t="s">
        <v>1</v>
      </c>
      <c r="AH681" t="s">
        <v>2559</v>
      </c>
      <c r="AI681" t="s">
        <v>2559</v>
      </c>
      <c r="AJ681" t="s">
        <v>1</v>
      </c>
      <c r="AK681" t="s">
        <v>1</v>
      </c>
      <c r="AL681" t="s">
        <v>1</v>
      </c>
      <c r="AM681" t="s">
        <v>1</v>
      </c>
      <c r="AN681" t="s">
        <v>1</v>
      </c>
      <c r="AO681" t="s">
        <v>2559</v>
      </c>
      <c r="AP681" t="s">
        <v>1</v>
      </c>
      <c r="AQ681" t="s">
        <v>2</v>
      </c>
      <c r="AR681" t="s">
        <v>1</v>
      </c>
      <c r="AS681" t="s">
        <v>1</v>
      </c>
      <c r="AT681" t="s">
        <v>1</v>
      </c>
      <c r="AU681" t="s">
        <v>1</v>
      </c>
      <c r="AV681" t="s">
        <v>1</v>
      </c>
      <c r="AW681" t="s">
        <v>9</v>
      </c>
      <c r="AX681">
        <f>Tabla1[[#This Row],[precio del paquete]]-Tabla1[[#This Row],[Saldo_Deudor]]</f>
        <v>7600</v>
      </c>
      <c r="AY681">
        <v>7200</v>
      </c>
      <c r="AZ681">
        <v>0</v>
      </c>
      <c r="BA681">
        <v>0</v>
      </c>
      <c r="BB681">
        <v>0</v>
      </c>
      <c r="BC681" t="s">
        <v>2982</v>
      </c>
      <c r="BD681" t="s">
        <v>4872</v>
      </c>
      <c r="BE681" t="s">
        <v>3</v>
      </c>
      <c r="BF681" t="s">
        <v>3</v>
      </c>
      <c r="BG681" t="s">
        <v>3</v>
      </c>
      <c r="BH681" t="s">
        <v>3</v>
      </c>
      <c r="BI681" t="s">
        <v>3</v>
      </c>
      <c r="BJ681" t="s">
        <v>4982</v>
      </c>
      <c r="BK681" t="s">
        <v>3</v>
      </c>
      <c r="BL681" t="s">
        <v>96</v>
      </c>
      <c r="BM681" t="s">
        <v>1</v>
      </c>
      <c r="BN681">
        <v>14800</v>
      </c>
      <c r="BO681" t="s">
        <v>1</v>
      </c>
      <c r="BP681" t="s">
        <v>1</v>
      </c>
      <c r="BQ681" t="s">
        <v>1</v>
      </c>
      <c r="BR681" t="s">
        <v>1</v>
      </c>
      <c r="BS681" t="s">
        <v>1</v>
      </c>
      <c r="BT681" t="s">
        <v>1</v>
      </c>
      <c r="BU681" t="s">
        <v>1</v>
      </c>
      <c r="BV681" t="s">
        <v>1</v>
      </c>
      <c r="BW681" t="s">
        <v>0</v>
      </c>
      <c r="BX681" t="s">
        <v>1</v>
      </c>
      <c r="BY681" t="s">
        <v>1</v>
      </c>
      <c r="BZ681" t="s">
        <v>1</v>
      </c>
      <c r="CA681" t="s">
        <v>1</v>
      </c>
      <c r="CB681" t="s">
        <v>1</v>
      </c>
      <c r="CD681" t="e" cm="1">
        <f t="array" aca="1" ref="CD681" ca="1">eConcatenar(A681:CB681,"|")</f>
        <v>#NAME?</v>
      </c>
    </row>
    <row r="682" spans="1:82" x14ac:dyDescent="0.25">
      <c r="A682" t="s">
        <v>777</v>
      </c>
      <c r="B682" t="s">
        <v>1792</v>
      </c>
      <c r="C682">
        <v>3</v>
      </c>
      <c r="D682" t="s">
        <v>2153</v>
      </c>
      <c r="E682" t="s">
        <v>2158</v>
      </c>
      <c r="F682" t="s">
        <v>0</v>
      </c>
      <c r="G682" t="s">
        <v>2560</v>
      </c>
      <c r="H682" t="s">
        <v>2904</v>
      </c>
      <c r="I682">
        <v>14800</v>
      </c>
      <c r="J682">
        <v>0</v>
      </c>
      <c r="K682">
        <v>200</v>
      </c>
      <c r="L682">
        <v>50</v>
      </c>
      <c r="M682">
        <v>2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 t="s">
        <v>3117</v>
      </c>
      <c r="AC682" t="s">
        <v>3154</v>
      </c>
      <c r="AD682" t="s">
        <v>3684</v>
      </c>
      <c r="AE682" t="s">
        <v>4</v>
      </c>
      <c r="AF682" t="s">
        <v>1</v>
      </c>
      <c r="AG682" t="s">
        <v>1</v>
      </c>
      <c r="AH682" t="s">
        <v>2560</v>
      </c>
      <c r="AI682" t="s">
        <v>2560</v>
      </c>
      <c r="AJ682" t="s">
        <v>1</v>
      </c>
      <c r="AK682">
        <v>9372289913</v>
      </c>
      <c r="AL682" t="s">
        <v>1</v>
      </c>
      <c r="AM682" t="s">
        <v>1</v>
      </c>
      <c r="AN682" t="s">
        <v>1</v>
      </c>
      <c r="AO682" t="s">
        <v>2560</v>
      </c>
      <c r="AP682" t="s">
        <v>1</v>
      </c>
      <c r="AQ682" t="s">
        <v>2</v>
      </c>
      <c r="AR682" t="s">
        <v>1</v>
      </c>
      <c r="AS682" t="s">
        <v>1</v>
      </c>
      <c r="AT682" t="s">
        <v>1</v>
      </c>
      <c r="AU682" t="s">
        <v>1</v>
      </c>
      <c r="AV682" t="s">
        <v>1</v>
      </c>
      <c r="AW682" t="s">
        <v>9</v>
      </c>
      <c r="AX682">
        <f>Tabla1[[#This Row],[precio del paquete]]-Tabla1[[#This Row],[Saldo_Deudor]]</f>
        <v>700</v>
      </c>
      <c r="AY682">
        <v>14100</v>
      </c>
      <c r="AZ682">
        <v>0</v>
      </c>
      <c r="BA682">
        <v>0</v>
      </c>
      <c r="BB682">
        <v>0</v>
      </c>
      <c r="BC682" t="s">
        <v>2982</v>
      </c>
      <c r="BD682" t="s">
        <v>4872</v>
      </c>
      <c r="BE682" t="s">
        <v>3</v>
      </c>
      <c r="BF682" t="s">
        <v>3</v>
      </c>
      <c r="BG682" t="s">
        <v>3</v>
      </c>
      <c r="BH682" t="s">
        <v>3</v>
      </c>
      <c r="BI682" t="s">
        <v>3</v>
      </c>
      <c r="BJ682" t="s">
        <v>4982</v>
      </c>
      <c r="BK682" t="s">
        <v>3</v>
      </c>
      <c r="BL682" t="s">
        <v>96</v>
      </c>
      <c r="BM682" t="s">
        <v>1</v>
      </c>
      <c r="BN682">
        <v>14800</v>
      </c>
      <c r="BO682" t="s">
        <v>1</v>
      </c>
      <c r="BP682" t="s">
        <v>1</v>
      </c>
      <c r="BQ682" t="s">
        <v>1</v>
      </c>
      <c r="BR682" t="s">
        <v>1</v>
      </c>
      <c r="BS682" t="s">
        <v>1</v>
      </c>
      <c r="BT682" t="s">
        <v>1</v>
      </c>
      <c r="BU682" t="s">
        <v>1</v>
      </c>
      <c r="BV682" t="s">
        <v>1</v>
      </c>
      <c r="BW682" t="s">
        <v>0</v>
      </c>
      <c r="BX682" t="s">
        <v>1</v>
      </c>
      <c r="BY682" t="s">
        <v>1</v>
      </c>
      <c r="BZ682" t="s">
        <v>1</v>
      </c>
      <c r="CA682" t="s">
        <v>1</v>
      </c>
      <c r="CB682" t="s">
        <v>1</v>
      </c>
      <c r="CD682" t="e" cm="1">
        <f t="array" aca="1" ref="CD682" ca="1">eConcatenar(A682:CB682,"|")</f>
        <v>#NAME?</v>
      </c>
    </row>
    <row r="683" spans="1:82" x14ac:dyDescent="0.25">
      <c r="A683" t="s">
        <v>778</v>
      </c>
      <c r="B683" t="s">
        <v>1793</v>
      </c>
      <c r="C683">
        <v>3</v>
      </c>
      <c r="D683" t="s">
        <v>2153</v>
      </c>
      <c r="E683" t="s">
        <v>2158</v>
      </c>
      <c r="F683" t="s">
        <v>0</v>
      </c>
      <c r="G683" t="s">
        <v>2560</v>
      </c>
      <c r="H683" t="s">
        <v>2904</v>
      </c>
      <c r="I683">
        <v>14800</v>
      </c>
      <c r="J683">
        <v>0</v>
      </c>
      <c r="K683">
        <v>100</v>
      </c>
      <c r="L683">
        <v>50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 t="s">
        <v>3132</v>
      </c>
      <c r="AC683" t="s">
        <v>3310</v>
      </c>
      <c r="AD683" t="s">
        <v>3477</v>
      </c>
      <c r="AE683" t="s">
        <v>4</v>
      </c>
      <c r="AF683" t="s">
        <v>1</v>
      </c>
      <c r="AG683" t="s">
        <v>1</v>
      </c>
      <c r="AH683" t="s">
        <v>2560</v>
      </c>
      <c r="AI683" t="s">
        <v>2560</v>
      </c>
      <c r="AJ683" t="s">
        <v>1</v>
      </c>
      <c r="AK683">
        <v>9372172302</v>
      </c>
      <c r="AL683" t="s">
        <v>1</v>
      </c>
      <c r="AM683" t="s">
        <v>1</v>
      </c>
      <c r="AN683" t="s">
        <v>1</v>
      </c>
      <c r="AO683" t="s">
        <v>2560</v>
      </c>
      <c r="AP683" t="s">
        <v>1</v>
      </c>
      <c r="AQ683" t="s">
        <v>2</v>
      </c>
      <c r="AR683" t="s">
        <v>1</v>
      </c>
      <c r="AS683" t="s">
        <v>1</v>
      </c>
      <c r="AT683" t="s">
        <v>1</v>
      </c>
      <c r="AU683" t="s">
        <v>1</v>
      </c>
      <c r="AV683" t="s">
        <v>1</v>
      </c>
      <c r="AW683" t="s">
        <v>9</v>
      </c>
      <c r="AX683">
        <f>Tabla1[[#This Row],[precio del paquete]]-Tabla1[[#This Row],[Saldo_Deudor]]</f>
        <v>500</v>
      </c>
      <c r="AY683">
        <v>14300</v>
      </c>
      <c r="AZ683">
        <v>0</v>
      </c>
      <c r="BA683">
        <v>0</v>
      </c>
      <c r="BB683">
        <v>0</v>
      </c>
      <c r="BC683" t="s">
        <v>2755</v>
      </c>
      <c r="BD683" t="s">
        <v>4905</v>
      </c>
      <c r="BE683" t="s">
        <v>3</v>
      </c>
      <c r="BF683" t="s">
        <v>3</v>
      </c>
      <c r="BG683" t="s">
        <v>3</v>
      </c>
      <c r="BH683" t="s">
        <v>3</v>
      </c>
      <c r="BI683" t="s">
        <v>3</v>
      </c>
      <c r="BJ683" t="s">
        <v>4982</v>
      </c>
      <c r="BK683" t="s">
        <v>3</v>
      </c>
      <c r="BL683" t="s">
        <v>96</v>
      </c>
      <c r="BM683" t="s">
        <v>1</v>
      </c>
      <c r="BN683">
        <v>14800</v>
      </c>
      <c r="BO683" t="s">
        <v>1</v>
      </c>
      <c r="BP683" t="s">
        <v>1</v>
      </c>
      <c r="BQ683" t="s">
        <v>1</v>
      </c>
      <c r="BR683" t="s">
        <v>1</v>
      </c>
      <c r="BS683" t="s">
        <v>1</v>
      </c>
      <c r="BT683" t="s">
        <v>1</v>
      </c>
      <c r="BU683" t="s">
        <v>1</v>
      </c>
      <c r="BV683" t="s">
        <v>1</v>
      </c>
      <c r="BW683" t="s">
        <v>0</v>
      </c>
      <c r="BX683" t="s">
        <v>1</v>
      </c>
      <c r="BY683" t="s">
        <v>1</v>
      </c>
      <c r="BZ683" t="s">
        <v>1</v>
      </c>
      <c r="CA683" t="s">
        <v>1</v>
      </c>
      <c r="CB683" t="s">
        <v>1</v>
      </c>
      <c r="CD683" t="e" cm="1">
        <f t="array" aca="1" ref="CD683" ca="1">eConcatenar(A683:CB683,"|")</f>
        <v>#NAME?</v>
      </c>
    </row>
    <row r="684" spans="1:82" x14ac:dyDescent="0.25">
      <c r="A684" t="s">
        <v>779</v>
      </c>
      <c r="B684" t="s">
        <v>1794</v>
      </c>
      <c r="C684">
        <v>3</v>
      </c>
      <c r="D684" t="s">
        <v>2153</v>
      </c>
      <c r="E684" t="s">
        <v>2158</v>
      </c>
      <c r="F684" t="s">
        <v>0</v>
      </c>
      <c r="G684" t="s">
        <v>2560</v>
      </c>
      <c r="H684" t="s">
        <v>2800</v>
      </c>
      <c r="I684">
        <v>14800</v>
      </c>
      <c r="J684">
        <v>0</v>
      </c>
      <c r="K684">
        <v>200</v>
      </c>
      <c r="L684">
        <v>50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 t="s">
        <v>3155</v>
      </c>
      <c r="AC684" t="s">
        <v>3157</v>
      </c>
      <c r="AD684" t="s">
        <v>3854</v>
      </c>
      <c r="AE684" t="s">
        <v>4</v>
      </c>
      <c r="AF684" t="s">
        <v>1</v>
      </c>
      <c r="AG684" t="s">
        <v>1</v>
      </c>
      <c r="AH684" t="s">
        <v>2560</v>
      </c>
      <c r="AI684" t="s">
        <v>2560</v>
      </c>
      <c r="AJ684" t="s">
        <v>1</v>
      </c>
      <c r="AK684">
        <v>998806807</v>
      </c>
      <c r="AL684" t="s">
        <v>1</v>
      </c>
      <c r="AM684" t="s">
        <v>1</v>
      </c>
      <c r="AN684" t="s">
        <v>1</v>
      </c>
      <c r="AO684" t="s">
        <v>2560</v>
      </c>
      <c r="AP684" t="s">
        <v>1</v>
      </c>
      <c r="AQ684" t="s">
        <v>2</v>
      </c>
      <c r="AR684" t="s">
        <v>1</v>
      </c>
      <c r="AS684" t="s">
        <v>1</v>
      </c>
      <c r="AT684" t="s">
        <v>1</v>
      </c>
      <c r="AU684" t="s">
        <v>1</v>
      </c>
      <c r="AV684" t="s">
        <v>1</v>
      </c>
      <c r="AW684" t="s">
        <v>9</v>
      </c>
      <c r="AX684">
        <f>Tabla1[[#This Row],[precio del paquete]]-Tabla1[[#This Row],[Saldo_Deudor]]</f>
        <v>13400</v>
      </c>
      <c r="AY684">
        <v>1400</v>
      </c>
      <c r="AZ684">
        <v>0</v>
      </c>
      <c r="BA684">
        <v>0</v>
      </c>
      <c r="BB684">
        <v>0</v>
      </c>
      <c r="BC684" t="s">
        <v>2755</v>
      </c>
      <c r="BD684" t="s">
        <v>4905</v>
      </c>
      <c r="BE684" t="s">
        <v>3</v>
      </c>
      <c r="BF684" t="s">
        <v>3</v>
      </c>
      <c r="BG684" t="s">
        <v>3</v>
      </c>
      <c r="BH684" t="s">
        <v>3</v>
      </c>
      <c r="BI684" t="s">
        <v>3</v>
      </c>
      <c r="BJ684" t="s">
        <v>4982</v>
      </c>
      <c r="BK684" t="s">
        <v>3</v>
      </c>
      <c r="BL684" t="s">
        <v>96</v>
      </c>
      <c r="BM684" t="s">
        <v>1</v>
      </c>
      <c r="BN684">
        <v>14800</v>
      </c>
      <c r="BO684" t="s">
        <v>1</v>
      </c>
      <c r="BP684" t="s">
        <v>1</v>
      </c>
      <c r="BQ684" t="s">
        <v>1</v>
      </c>
      <c r="BR684" t="s">
        <v>1</v>
      </c>
      <c r="BS684" t="s">
        <v>1</v>
      </c>
      <c r="BT684" t="s">
        <v>1</v>
      </c>
      <c r="BU684" t="s">
        <v>1</v>
      </c>
      <c r="BV684" t="s">
        <v>1</v>
      </c>
      <c r="BW684" t="s">
        <v>0</v>
      </c>
      <c r="BX684" t="s">
        <v>1</v>
      </c>
      <c r="BY684" t="s">
        <v>1</v>
      </c>
      <c r="BZ684" t="s">
        <v>1</v>
      </c>
      <c r="CA684" t="s">
        <v>1</v>
      </c>
      <c r="CB684" t="s">
        <v>1</v>
      </c>
      <c r="CD684" t="e" cm="1">
        <f t="array" aca="1" ref="CD684" ca="1">eConcatenar(A684:CB684,"|")</f>
        <v>#NAME?</v>
      </c>
    </row>
    <row r="685" spans="1:82" x14ac:dyDescent="0.25">
      <c r="A685" t="s">
        <v>780</v>
      </c>
      <c r="B685" t="s">
        <v>1795</v>
      </c>
      <c r="C685">
        <v>3</v>
      </c>
      <c r="D685" t="s">
        <v>2153</v>
      </c>
      <c r="E685" t="s">
        <v>2158</v>
      </c>
      <c r="F685" t="s">
        <v>0</v>
      </c>
      <c r="G685" t="s">
        <v>2560</v>
      </c>
      <c r="H685" t="s">
        <v>2800</v>
      </c>
      <c r="I685">
        <v>14800</v>
      </c>
      <c r="J685">
        <v>0</v>
      </c>
      <c r="K685">
        <v>500</v>
      </c>
      <c r="L685">
        <v>50</v>
      </c>
      <c r="M685">
        <v>2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 t="s">
        <v>5</v>
      </c>
      <c r="AC685" t="s">
        <v>3157</v>
      </c>
      <c r="AD685" t="s">
        <v>3459</v>
      </c>
      <c r="AE685" t="s">
        <v>4</v>
      </c>
      <c r="AF685" t="s">
        <v>1</v>
      </c>
      <c r="AG685" t="s">
        <v>1</v>
      </c>
      <c r="AH685" t="s">
        <v>2560</v>
      </c>
      <c r="AI685" t="s">
        <v>2560</v>
      </c>
      <c r="AJ685" t="s">
        <v>1</v>
      </c>
      <c r="AK685">
        <v>9371255126</v>
      </c>
      <c r="AL685" t="s">
        <v>1</v>
      </c>
      <c r="AM685" t="s">
        <v>1</v>
      </c>
      <c r="AN685" t="s">
        <v>1</v>
      </c>
      <c r="AO685" t="s">
        <v>2560</v>
      </c>
      <c r="AP685" t="s">
        <v>1</v>
      </c>
      <c r="AQ685" t="s">
        <v>2</v>
      </c>
      <c r="AR685" t="s">
        <v>1</v>
      </c>
      <c r="AS685" t="s">
        <v>1</v>
      </c>
      <c r="AT685" t="s">
        <v>1</v>
      </c>
      <c r="AU685" t="s">
        <v>1</v>
      </c>
      <c r="AV685" t="s">
        <v>1</v>
      </c>
      <c r="AW685" t="s">
        <v>9</v>
      </c>
      <c r="AX685">
        <f>Tabla1[[#This Row],[precio del paquete]]-Tabla1[[#This Row],[Saldo_Deudor]]</f>
        <v>950</v>
      </c>
      <c r="AY685">
        <v>13850</v>
      </c>
      <c r="AZ685">
        <v>0</v>
      </c>
      <c r="BA685">
        <v>0</v>
      </c>
      <c r="BB685">
        <v>0</v>
      </c>
      <c r="BC685" t="s">
        <v>2755</v>
      </c>
      <c r="BD685" t="s">
        <v>4905</v>
      </c>
      <c r="BE685" t="s">
        <v>3</v>
      </c>
      <c r="BF685" t="s">
        <v>3</v>
      </c>
      <c r="BG685" t="s">
        <v>3</v>
      </c>
      <c r="BH685" t="s">
        <v>3</v>
      </c>
      <c r="BI685" t="s">
        <v>3</v>
      </c>
      <c r="BJ685" t="s">
        <v>4982</v>
      </c>
      <c r="BK685" t="s">
        <v>3</v>
      </c>
      <c r="BL685" t="s">
        <v>96</v>
      </c>
      <c r="BM685" t="s">
        <v>1</v>
      </c>
      <c r="BN685">
        <v>14800</v>
      </c>
      <c r="BO685" t="s">
        <v>1</v>
      </c>
      <c r="BP685" t="s">
        <v>1</v>
      </c>
      <c r="BQ685" t="s">
        <v>1</v>
      </c>
      <c r="BR685" t="s">
        <v>1</v>
      </c>
      <c r="BS685" t="s">
        <v>1</v>
      </c>
      <c r="BT685" t="s">
        <v>1</v>
      </c>
      <c r="BU685" t="s">
        <v>1</v>
      </c>
      <c r="BV685" t="s">
        <v>1</v>
      </c>
      <c r="BW685" t="s">
        <v>0</v>
      </c>
      <c r="BX685" t="s">
        <v>1</v>
      </c>
      <c r="BY685" t="s">
        <v>1</v>
      </c>
      <c r="BZ685" t="s">
        <v>1</v>
      </c>
      <c r="CA685" t="s">
        <v>1</v>
      </c>
      <c r="CB685" t="s">
        <v>1</v>
      </c>
      <c r="CD685" t="e" cm="1">
        <f t="array" aca="1" ref="CD685" ca="1">eConcatenar(A685:CB685,"|")</f>
        <v>#NAME?</v>
      </c>
    </row>
    <row r="686" spans="1:82" x14ac:dyDescent="0.25">
      <c r="A686" t="s">
        <v>781</v>
      </c>
      <c r="B686" t="s">
        <v>1796</v>
      </c>
      <c r="C686">
        <v>3</v>
      </c>
      <c r="D686" t="s">
        <v>2153</v>
      </c>
      <c r="E686" t="s">
        <v>2158</v>
      </c>
      <c r="F686" t="s">
        <v>0</v>
      </c>
      <c r="G686" t="s">
        <v>2560</v>
      </c>
      <c r="H686" t="s">
        <v>2706</v>
      </c>
      <c r="I686">
        <v>14800</v>
      </c>
      <c r="J686">
        <v>0</v>
      </c>
      <c r="K686">
        <v>100</v>
      </c>
      <c r="L686">
        <v>50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 t="s">
        <v>3162</v>
      </c>
      <c r="AC686" t="s">
        <v>3236</v>
      </c>
      <c r="AD686" t="s">
        <v>3855</v>
      </c>
      <c r="AE686" t="s">
        <v>4</v>
      </c>
      <c r="AF686" t="s">
        <v>1</v>
      </c>
      <c r="AG686" t="s">
        <v>1</v>
      </c>
      <c r="AH686" t="s">
        <v>2559</v>
      </c>
      <c r="AI686" t="s">
        <v>2560</v>
      </c>
      <c r="AJ686" t="s">
        <v>1</v>
      </c>
      <c r="AK686" t="s">
        <v>1</v>
      </c>
      <c r="AL686" t="s">
        <v>1</v>
      </c>
      <c r="AM686" t="s">
        <v>1</v>
      </c>
      <c r="AN686" t="s">
        <v>1</v>
      </c>
      <c r="AO686" t="s">
        <v>2559</v>
      </c>
      <c r="AP686" t="s">
        <v>1</v>
      </c>
      <c r="AQ686" t="s">
        <v>2</v>
      </c>
      <c r="AR686" t="s">
        <v>1</v>
      </c>
      <c r="AS686" t="s">
        <v>1</v>
      </c>
      <c r="AT686" t="s">
        <v>1</v>
      </c>
      <c r="AU686" t="s">
        <v>1</v>
      </c>
      <c r="AV686" t="s">
        <v>1</v>
      </c>
      <c r="AW686" t="s">
        <v>9</v>
      </c>
      <c r="AX686">
        <f>Tabla1[[#This Row],[precio del paquete]]-Tabla1[[#This Row],[Saldo_Deudor]]</f>
        <v>100</v>
      </c>
      <c r="AY686">
        <v>14700</v>
      </c>
      <c r="AZ686">
        <v>0</v>
      </c>
      <c r="BA686">
        <v>0</v>
      </c>
      <c r="BB686">
        <v>0</v>
      </c>
      <c r="BC686" t="s">
        <v>2755</v>
      </c>
      <c r="BD686" t="s">
        <v>4905</v>
      </c>
      <c r="BE686" t="s">
        <v>3</v>
      </c>
      <c r="BF686" t="s">
        <v>3</v>
      </c>
      <c r="BG686" t="s">
        <v>3</v>
      </c>
      <c r="BH686" t="s">
        <v>3</v>
      </c>
      <c r="BI686" t="s">
        <v>3</v>
      </c>
      <c r="BJ686" t="s">
        <v>4982</v>
      </c>
      <c r="BK686" t="s">
        <v>3</v>
      </c>
      <c r="BL686" t="s">
        <v>96</v>
      </c>
      <c r="BM686" t="s">
        <v>1</v>
      </c>
      <c r="BN686">
        <v>14800</v>
      </c>
      <c r="BO686" t="s">
        <v>1</v>
      </c>
      <c r="BP686" t="s">
        <v>1</v>
      </c>
      <c r="BQ686" t="s">
        <v>1</v>
      </c>
      <c r="BR686" t="s">
        <v>1</v>
      </c>
      <c r="BS686" t="s">
        <v>1</v>
      </c>
      <c r="BT686" t="s">
        <v>1</v>
      </c>
      <c r="BU686" t="s">
        <v>1</v>
      </c>
      <c r="BV686" t="s">
        <v>1</v>
      </c>
      <c r="BW686" t="s">
        <v>0</v>
      </c>
      <c r="BX686" t="s">
        <v>1</v>
      </c>
      <c r="BY686" t="s">
        <v>1</v>
      </c>
      <c r="BZ686" t="s">
        <v>1</v>
      </c>
      <c r="CA686" t="s">
        <v>1</v>
      </c>
      <c r="CB686" t="s">
        <v>1</v>
      </c>
      <c r="CD686" t="e" cm="1">
        <f t="array" aca="1" ref="CD686" ca="1">eConcatenar(A686:CB686,"|")</f>
        <v>#NAME?</v>
      </c>
    </row>
    <row r="687" spans="1:82" x14ac:dyDescent="0.25">
      <c r="A687" t="s">
        <v>782</v>
      </c>
      <c r="B687" t="s">
        <v>1797</v>
      </c>
      <c r="C687">
        <v>3</v>
      </c>
      <c r="D687" t="s">
        <v>2153</v>
      </c>
      <c r="E687" t="s">
        <v>2158</v>
      </c>
      <c r="F687" t="s">
        <v>0</v>
      </c>
      <c r="G687" t="s">
        <v>2560</v>
      </c>
      <c r="H687" t="s">
        <v>2996</v>
      </c>
      <c r="I687">
        <v>14800</v>
      </c>
      <c r="J687">
        <v>0</v>
      </c>
      <c r="K687">
        <v>100</v>
      </c>
      <c r="L687">
        <v>50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 t="s">
        <v>3141</v>
      </c>
      <c r="AC687" t="s">
        <v>3848</v>
      </c>
      <c r="AD687" t="s">
        <v>3856</v>
      </c>
      <c r="AE687" t="s">
        <v>4</v>
      </c>
      <c r="AF687" t="s">
        <v>1</v>
      </c>
      <c r="AG687" t="s">
        <v>1</v>
      </c>
      <c r="AH687" t="s">
        <v>4581</v>
      </c>
      <c r="AI687" t="s">
        <v>2560</v>
      </c>
      <c r="AJ687" t="s">
        <v>1</v>
      </c>
      <c r="AK687" t="s">
        <v>1</v>
      </c>
      <c r="AL687" t="s">
        <v>1</v>
      </c>
      <c r="AM687" t="s">
        <v>1</v>
      </c>
      <c r="AN687" t="s">
        <v>1</v>
      </c>
      <c r="AO687" t="s">
        <v>4581</v>
      </c>
      <c r="AP687" t="s">
        <v>1</v>
      </c>
      <c r="AQ687" t="s">
        <v>2</v>
      </c>
      <c r="AR687" t="s">
        <v>1</v>
      </c>
      <c r="AS687" t="s">
        <v>1</v>
      </c>
      <c r="AT687" t="s">
        <v>1</v>
      </c>
      <c r="AU687" t="s">
        <v>1</v>
      </c>
      <c r="AV687" t="s">
        <v>1</v>
      </c>
      <c r="AW687" t="s">
        <v>9</v>
      </c>
      <c r="AX687">
        <f>Tabla1[[#This Row],[precio del paquete]]-Tabla1[[#This Row],[Saldo_Deudor]]</f>
        <v>6000</v>
      </c>
      <c r="AY687">
        <v>8800</v>
      </c>
      <c r="AZ687">
        <v>0</v>
      </c>
      <c r="BA687">
        <v>0</v>
      </c>
      <c r="BB687">
        <v>0</v>
      </c>
      <c r="BC687" t="s">
        <v>2769</v>
      </c>
      <c r="BD687" t="s">
        <v>3038</v>
      </c>
      <c r="BE687" t="s">
        <v>3</v>
      </c>
      <c r="BF687" t="s">
        <v>3</v>
      </c>
      <c r="BG687" t="s">
        <v>3</v>
      </c>
      <c r="BH687" t="s">
        <v>3</v>
      </c>
      <c r="BI687" t="s">
        <v>3</v>
      </c>
      <c r="BJ687" t="s">
        <v>4982</v>
      </c>
      <c r="BK687" t="s">
        <v>3</v>
      </c>
      <c r="BL687" t="s">
        <v>96</v>
      </c>
      <c r="BM687" t="s">
        <v>1</v>
      </c>
      <c r="BN687">
        <v>14800</v>
      </c>
      <c r="BO687" t="s">
        <v>1</v>
      </c>
      <c r="BP687" t="s">
        <v>1</v>
      </c>
      <c r="BQ687" t="s">
        <v>1</v>
      </c>
      <c r="BR687" t="s">
        <v>1</v>
      </c>
      <c r="BS687" t="s">
        <v>1</v>
      </c>
      <c r="BT687" t="s">
        <v>1</v>
      </c>
      <c r="BU687" t="s">
        <v>1</v>
      </c>
      <c r="BV687" t="s">
        <v>1</v>
      </c>
      <c r="BW687" t="s">
        <v>0</v>
      </c>
      <c r="BX687" t="s">
        <v>1</v>
      </c>
      <c r="BY687" t="s">
        <v>1</v>
      </c>
      <c r="BZ687" t="s">
        <v>1</v>
      </c>
      <c r="CA687" t="s">
        <v>1</v>
      </c>
      <c r="CB687" t="s">
        <v>1</v>
      </c>
      <c r="CD687" t="e" cm="1">
        <f t="array" aca="1" ref="CD687" ca="1">eConcatenar(A687:CB687,"|")</f>
        <v>#NAME?</v>
      </c>
    </row>
    <row r="688" spans="1:82" x14ac:dyDescent="0.25">
      <c r="A688" t="s">
        <v>783</v>
      </c>
      <c r="B688" t="s">
        <v>1798</v>
      </c>
      <c r="C688">
        <v>3</v>
      </c>
      <c r="D688" t="s">
        <v>2153</v>
      </c>
      <c r="E688" t="s">
        <v>2158</v>
      </c>
      <c r="F688" t="s">
        <v>0</v>
      </c>
      <c r="G688" t="s">
        <v>2561</v>
      </c>
      <c r="H688" t="s">
        <v>2915</v>
      </c>
      <c r="I688">
        <v>14800</v>
      </c>
      <c r="J688">
        <v>0</v>
      </c>
      <c r="K688">
        <v>100</v>
      </c>
      <c r="L688">
        <v>50</v>
      </c>
      <c r="M688">
        <v>2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 t="s">
        <v>3132</v>
      </c>
      <c r="AC688" t="s">
        <v>3117</v>
      </c>
      <c r="AD688" t="s">
        <v>3857</v>
      </c>
      <c r="AE688" t="s">
        <v>4</v>
      </c>
      <c r="AF688" t="s">
        <v>1</v>
      </c>
      <c r="AG688" t="s">
        <v>1</v>
      </c>
      <c r="AH688" t="s">
        <v>4582</v>
      </c>
      <c r="AI688" t="s">
        <v>2561</v>
      </c>
      <c r="AJ688" t="s">
        <v>1</v>
      </c>
      <c r="AK688">
        <v>9372721382</v>
      </c>
      <c r="AL688" t="s">
        <v>1</v>
      </c>
      <c r="AM688" t="s">
        <v>1</v>
      </c>
      <c r="AN688" t="s">
        <v>1</v>
      </c>
      <c r="AO688" t="s">
        <v>4582</v>
      </c>
      <c r="AP688" t="s">
        <v>1</v>
      </c>
      <c r="AQ688" t="s">
        <v>2</v>
      </c>
      <c r="AR688" t="s">
        <v>1</v>
      </c>
      <c r="AS688" t="s">
        <v>1</v>
      </c>
      <c r="AT688" t="s">
        <v>1</v>
      </c>
      <c r="AU688" t="s">
        <v>1</v>
      </c>
      <c r="AV688" t="s">
        <v>1</v>
      </c>
      <c r="AW688" t="s">
        <v>9</v>
      </c>
      <c r="AX688">
        <f>Tabla1[[#This Row],[precio del paquete]]-Tabla1[[#This Row],[Saldo_Deudor]]</f>
        <v>1000</v>
      </c>
      <c r="AY688">
        <v>13800</v>
      </c>
      <c r="AZ688">
        <v>0</v>
      </c>
      <c r="BA688">
        <v>0</v>
      </c>
      <c r="BB688">
        <v>0</v>
      </c>
      <c r="BC688" t="s">
        <v>2923</v>
      </c>
      <c r="BD688" t="s">
        <v>4910</v>
      </c>
      <c r="BE688" t="s">
        <v>3</v>
      </c>
      <c r="BF688" t="s">
        <v>3</v>
      </c>
      <c r="BG688" t="s">
        <v>3</v>
      </c>
      <c r="BH688" t="s">
        <v>3</v>
      </c>
      <c r="BI688" t="s">
        <v>3</v>
      </c>
      <c r="BJ688" t="s">
        <v>4982</v>
      </c>
      <c r="BK688" t="s">
        <v>3</v>
      </c>
      <c r="BL688" t="s">
        <v>96</v>
      </c>
      <c r="BM688" t="s">
        <v>1</v>
      </c>
      <c r="BN688">
        <v>14800</v>
      </c>
      <c r="BO688" t="s">
        <v>1</v>
      </c>
      <c r="BP688" t="s">
        <v>1</v>
      </c>
      <c r="BQ688" t="s">
        <v>1</v>
      </c>
      <c r="BR688" t="s">
        <v>1</v>
      </c>
      <c r="BS688" t="s">
        <v>1</v>
      </c>
      <c r="BT688" t="s">
        <v>1</v>
      </c>
      <c r="BU688" t="s">
        <v>1</v>
      </c>
      <c r="BV688" t="s">
        <v>1</v>
      </c>
      <c r="BW688" t="s">
        <v>0</v>
      </c>
      <c r="BX688" t="s">
        <v>1</v>
      </c>
      <c r="BY688" t="s">
        <v>1</v>
      </c>
      <c r="BZ688" t="s">
        <v>1</v>
      </c>
      <c r="CA688" t="s">
        <v>1</v>
      </c>
      <c r="CB688" t="s">
        <v>1</v>
      </c>
      <c r="CD688" t="e" cm="1">
        <f t="array" aca="1" ref="CD688" ca="1">eConcatenar(A688:CB688,"|")</f>
        <v>#NAME?</v>
      </c>
    </row>
    <row r="689" spans="1:82" x14ac:dyDescent="0.25">
      <c r="A689" t="s">
        <v>784</v>
      </c>
      <c r="B689" t="s">
        <v>1799</v>
      </c>
      <c r="C689">
        <v>3</v>
      </c>
      <c r="D689" t="s">
        <v>2153</v>
      </c>
      <c r="E689" t="s">
        <v>2158</v>
      </c>
      <c r="F689" t="s">
        <v>0</v>
      </c>
      <c r="G689" t="s">
        <v>2561</v>
      </c>
      <c r="H689" t="s">
        <v>2997</v>
      </c>
      <c r="I689">
        <v>14800</v>
      </c>
      <c r="J689">
        <v>0</v>
      </c>
      <c r="K689">
        <v>100</v>
      </c>
      <c r="L689">
        <v>50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 t="s">
        <v>3238</v>
      </c>
      <c r="AC689" t="s">
        <v>5</v>
      </c>
      <c r="AD689" t="s">
        <v>3645</v>
      </c>
      <c r="AE689" t="s">
        <v>4</v>
      </c>
      <c r="AF689" t="s">
        <v>1</v>
      </c>
      <c r="AG689" t="s">
        <v>1</v>
      </c>
      <c r="AH689" t="s">
        <v>2557</v>
      </c>
      <c r="AI689" t="s">
        <v>2561</v>
      </c>
      <c r="AJ689" t="s">
        <v>1</v>
      </c>
      <c r="AK689">
        <v>2222512494</v>
      </c>
      <c r="AL689" t="s">
        <v>1</v>
      </c>
      <c r="AM689" t="s">
        <v>1</v>
      </c>
      <c r="AN689" t="s">
        <v>1</v>
      </c>
      <c r="AO689" t="s">
        <v>2557</v>
      </c>
      <c r="AP689" t="s">
        <v>1</v>
      </c>
      <c r="AQ689" t="s">
        <v>2</v>
      </c>
      <c r="AR689" t="s">
        <v>1</v>
      </c>
      <c r="AS689" t="s">
        <v>1</v>
      </c>
      <c r="AT689" t="s">
        <v>1</v>
      </c>
      <c r="AU689" t="s">
        <v>1</v>
      </c>
      <c r="AV689" t="s">
        <v>1</v>
      </c>
      <c r="AW689" t="s">
        <v>9</v>
      </c>
      <c r="AX689">
        <f>Tabla1[[#This Row],[precio del paquete]]-Tabla1[[#This Row],[Saldo_Deudor]]</f>
        <v>7500</v>
      </c>
      <c r="AY689">
        <v>7300</v>
      </c>
      <c r="AZ689">
        <v>0</v>
      </c>
      <c r="BA689">
        <v>0</v>
      </c>
      <c r="BB689">
        <v>0</v>
      </c>
      <c r="BC689" t="s">
        <v>2755</v>
      </c>
      <c r="BD689" t="s">
        <v>4905</v>
      </c>
      <c r="BE689" t="s">
        <v>3</v>
      </c>
      <c r="BF689" t="s">
        <v>3</v>
      </c>
      <c r="BG689" t="s">
        <v>3</v>
      </c>
      <c r="BH689" t="s">
        <v>3</v>
      </c>
      <c r="BI689" t="s">
        <v>3</v>
      </c>
      <c r="BJ689" t="s">
        <v>4995</v>
      </c>
      <c r="BK689" t="s">
        <v>3</v>
      </c>
      <c r="BL689" t="s">
        <v>96</v>
      </c>
      <c r="BM689" t="s">
        <v>1</v>
      </c>
      <c r="BN689">
        <v>14800</v>
      </c>
      <c r="BO689" t="s">
        <v>1</v>
      </c>
      <c r="BP689" t="s">
        <v>1</v>
      </c>
      <c r="BQ689" t="s">
        <v>1</v>
      </c>
      <c r="BR689" t="s">
        <v>1</v>
      </c>
      <c r="BS689" t="s">
        <v>1</v>
      </c>
      <c r="BT689" t="s">
        <v>1</v>
      </c>
      <c r="BU689" t="s">
        <v>1</v>
      </c>
      <c r="BV689" t="s">
        <v>1</v>
      </c>
      <c r="BW689" t="s">
        <v>0</v>
      </c>
      <c r="BX689" t="s">
        <v>1</v>
      </c>
      <c r="BY689" t="s">
        <v>1</v>
      </c>
      <c r="BZ689" t="s">
        <v>1</v>
      </c>
      <c r="CA689" t="s">
        <v>1</v>
      </c>
      <c r="CB689" t="s">
        <v>1</v>
      </c>
      <c r="CD689" t="e" cm="1">
        <f t="array" aca="1" ref="CD689" ca="1">eConcatenar(A689:CB689,"|")</f>
        <v>#NAME?</v>
      </c>
    </row>
    <row r="690" spans="1:82" x14ac:dyDescent="0.25">
      <c r="A690" t="s">
        <v>785</v>
      </c>
      <c r="B690" t="s">
        <v>1800</v>
      </c>
      <c r="C690">
        <v>3</v>
      </c>
      <c r="D690" t="s">
        <v>2153</v>
      </c>
      <c r="E690" t="s">
        <v>2158</v>
      </c>
      <c r="F690" t="s">
        <v>0</v>
      </c>
      <c r="G690" t="s">
        <v>2562</v>
      </c>
      <c r="H690" t="s">
        <v>2777</v>
      </c>
      <c r="I690">
        <v>14800</v>
      </c>
      <c r="J690">
        <v>0</v>
      </c>
      <c r="K690">
        <v>200</v>
      </c>
      <c r="L690">
        <v>50</v>
      </c>
      <c r="M690">
        <v>2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 t="s">
        <v>3155</v>
      </c>
      <c r="AC690" t="s">
        <v>3177</v>
      </c>
      <c r="AD690" t="s">
        <v>3858</v>
      </c>
      <c r="AE690" t="s">
        <v>4</v>
      </c>
      <c r="AF690" t="s">
        <v>1</v>
      </c>
      <c r="AG690" t="s">
        <v>1</v>
      </c>
      <c r="AH690" t="s">
        <v>4583</v>
      </c>
      <c r="AI690" t="s">
        <v>2562</v>
      </c>
      <c r="AJ690" t="s">
        <v>1</v>
      </c>
      <c r="AK690">
        <v>9371675329</v>
      </c>
      <c r="AL690" t="s">
        <v>1</v>
      </c>
      <c r="AM690" t="s">
        <v>1</v>
      </c>
      <c r="AN690" t="s">
        <v>1</v>
      </c>
      <c r="AO690" t="s">
        <v>4583</v>
      </c>
      <c r="AP690" t="s">
        <v>1</v>
      </c>
      <c r="AQ690" t="s">
        <v>2</v>
      </c>
      <c r="AR690" t="s">
        <v>1</v>
      </c>
      <c r="AS690" t="s">
        <v>1</v>
      </c>
      <c r="AT690" t="s">
        <v>1</v>
      </c>
      <c r="AU690" t="s">
        <v>1</v>
      </c>
      <c r="AV690" t="s">
        <v>1</v>
      </c>
      <c r="AW690" t="s">
        <v>9</v>
      </c>
      <c r="AX690">
        <f>Tabla1[[#This Row],[precio del paquete]]-Tabla1[[#This Row],[Saldo_Deudor]]</f>
        <v>1700</v>
      </c>
      <c r="AY690">
        <v>13100</v>
      </c>
      <c r="AZ690">
        <v>0</v>
      </c>
      <c r="BA690">
        <v>0</v>
      </c>
      <c r="BB690">
        <v>0</v>
      </c>
      <c r="BC690" t="s">
        <v>2923</v>
      </c>
      <c r="BD690" t="s">
        <v>4910</v>
      </c>
      <c r="BE690" t="s">
        <v>3</v>
      </c>
      <c r="BF690" t="s">
        <v>3</v>
      </c>
      <c r="BG690" t="s">
        <v>3</v>
      </c>
      <c r="BH690" t="s">
        <v>3</v>
      </c>
      <c r="BI690" t="s">
        <v>3</v>
      </c>
      <c r="BJ690" t="s">
        <v>4982</v>
      </c>
      <c r="BK690" t="s">
        <v>3</v>
      </c>
      <c r="BL690" t="s">
        <v>96</v>
      </c>
      <c r="BM690" t="s">
        <v>1</v>
      </c>
      <c r="BN690">
        <v>14800</v>
      </c>
      <c r="BO690" t="s">
        <v>1</v>
      </c>
      <c r="BP690" t="s">
        <v>1</v>
      </c>
      <c r="BQ690" t="s">
        <v>1</v>
      </c>
      <c r="BR690" t="s">
        <v>1</v>
      </c>
      <c r="BS690" t="s">
        <v>1</v>
      </c>
      <c r="BT690" t="s">
        <v>1</v>
      </c>
      <c r="BU690" t="s">
        <v>1</v>
      </c>
      <c r="BV690" t="s">
        <v>1</v>
      </c>
      <c r="BW690" t="s">
        <v>0</v>
      </c>
      <c r="BX690" t="s">
        <v>1</v>
      </c>
      <c r="BY690" t="s">
        <v>1</v>
      </c>
      <c r="BZ690" t="s">
        <v>1</v>
      </c>
      <c r="CA690" t="s">
        <v>1</v>
      </c>
      <c r="CB690" t="s">
        <v>1</v>
      </c>
      <c r="CD690" t="e" cm="1">
        <f t="array" aca="1" ref="CD690" ca="1">eConcatenar(A690:CB690,"|")</f>
        <v>#NAME?</v>
      </c>
    </row>
    <row r="691" spans="1:82" x14ac:dyDescent="0.25">
      <c r="A691" t="s">
        <v>786</v>
      </c>
      <c r="B691" t="s">
        <v>1801</v>
      </c>
      <c r="C691">
        <v>3</v>
      </c>
      <c r="D691" t="s">
        <v>2153</v>
      </c>
      <c r="E691" t="s">
        <v>2158</v>
      </c>
      <c r="F691" t="s">
        <v>0</v>
      </c>
      <c r="G691" t="s">
        <v>2562</v>
      </c>
      <c r="H691" t="s">
        <v>2777</v>
      </c>
      <c r="I691">
        <v>14800</v>
      </c>
      <c r="J691">
        <v>0</v>
      </c>
      <c r="K691">
        <v>400</v>
      </c>
      <c r="L691">
        <v>50</v>
      </c>
      <c r="M691">
        <v>2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 t="s">
        <v>3177</v>
      </c>
      <c r="AC691" t="s">
        <v>3352</v>
      </c>
      <c r="AD691" t="s">
        <v>3859</v>
      </c>
      <c r="AE691" t="s">
        <v>4</v>
      </c>
      <c r="AF691" t="s">
        <v>1</v>
      </c>
      <c r="AG691" t="s">
        <v>1</v>
      </c>
      <c r="AH691" t="s">
        <v>4584</v>
      </c>
      <c r="AI691" t="s">
        <v>2562</v>
      </c>
      <c r="AJ691" t="s">
        <v>1</v>
      </c>
      <c r="AK691">
        <v>9371675329</v>
      </c>
      <c r="AL691" t="s">
        <v>1</v>
      </c>
      <c r="AM691" t="s">
        <v>1</v>
      </c>
      <c r="AN691" t="s">
        <v>1</v>
      </c>
      <c r="AO691" t="s">
        <v>4584</v>
      </c>
      <c r="AP691" t="s">
        <v>1</v>
      </c>
      <c r="AQ691" t="s">
        <v>2</v>
      </c>
      <c r="AR691" t="s">
        <v>1</v>
      </c>
      <c r="AS691" t="s">
        <v>1</v>
      </c>
      <c r="AT691" t="s">
        <v>1</v>
      </c>
      <c r="AU691" t="s">
        <v>1</v>
      </c>
      <c r="AV691" t="s">
        <v>1</v>
      </c>
      <c r="AW691" t="s">
        <v>9</v>
      </c>
      <c r="AX691">
        <f>Tabla1[[#This Row],[precio del paquete]]-Tabla1[[#This Row],[Saldo_Deudor]]</f>
        <v>1900</v>
      </c>
      <c r="AY691">
        <v>12900</v>
      </c>
      <c r="AZ691">
        <v>0</v>
      </c>
      <c r="BA691">
        <v>0</v>
      </c>
      <c r="BB691">
        <v>0</v>
      </c>
      <c r="BC691" t="s">
        <v>2923</v>
      </c>
      <c r="BD691" t="s">
        <v>4910</v>
      </c>
      <c r="BE691" t="s">
        <v>3</v>
      </c>
      <c r="BF691" t="s">
        <v>3</v>
      </c>
      <c r="BG691" t="s">
        <v>3</v>
      </c>
      <c r="BH691" t="s">
        <v>3</v>
      </c>
      <c r="BI691" t="s">
        <v>3</v>
      </c>
      <c r="BJ691" t="s">
        <v>4995</v>
      </c>
      <c r="BK691" t="s">
        <v>3</v>
      </c>
      <c r="BL691" t="s">
        <v>96</v>
      </c>
      <c r="BM691" t="s">
        <v>1</v>
      </c>
      <c r="BN691">
        <v>14800</v>
      </c>
      <c r="BO691" t="s">
        <v>1</v>
      </c>
      <c r="BP691" t="s">
        <v>1</v>
      </c>
      <c r="BQ691" t="s">
        <v>1</v>
      </c>
      <c r="BR691" t="s">
        <v>1</v>
      </c>
      <c r="BS691" t="s">
        <v>1</v>
      </c>
      <c r="BT691" t="s">
        <v>1</v>
      </c>
      <c r="BU691" t="s">
        <v>1</v>
      </c>
      <c r="BV691" t="s">
        <v>1</v>
      </c>
      <c r="BW691" t="s">
        <v>0</v>
      </c>
      <c r="BX691" t="s">
        <v>1</v>
      </c>
      <c r="BY691" t="s">
        <v>1</v>
      </c>
      <c r="BZ691" t="s">
        <v>1</v>
      </c>
      <c r="CA691" t="s">
        <v>1</v>
      </c>
      <c r="CB691" t="s">
        <v>1</v>
      </c>
      <c r="CD691" t="e" cm="1">
        <f t="array" aca="1" ref="CD691" ca="1">eConcatenar(A691:CB691,"|")</f>
        <v>#NAME?</v>
      </c>
    </row>
    <row r="692" spans="1:82" x14ac:dyDescent="0.25">
      <c r="A692" t="s">
        <v>787</v>
      </c>
      <c r="B692" t="s">
        <v>1802</v>
      </c>
      <c r="C692">
        <v>3</v>
      </c>
      <c r="D692" t="s">
        <v>2153</v>
      </c>
      <c r="E692" t="s">
        <v>2158</v>
      </c>
      <c r="F692" t="s">
        <v>0</v>
      </c>
      <c r="G692" t="s">
        <v>2562</v>
      </c>
      <c r="H692" t="s">
        <v>2998</v>
      </c>
      <c r="I692">
        <v>14800</v>
      </c>
      <c r="J692">
        <v>0</v>
      </c>
      <c r="K692">
        <v>200</v>
      </c>
      <c r="L692">
        <v>50</v>
      </c>
      <c r="M692">
        <v>2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 t="s">
        <v>3114</v>
      </c>
      <c r="AC692" t="s">
        <v>3236</v>
      </c>
      <c r="AD692" t="s">
        <v>3351</v>
      </c>
      <c r="AE692" t="s">
        <v>4</v>
      </c>
      <c r="AF692" t="s">
        <v>1</v>
      </c>
      <c r="AG692" t="s">
        <v>1</v>
      </c>
      <c r="AH692" t="s">
        <v>4585</v>
      </c>
      <c r="AI692" t="s">
        <v>2562</v>
      </c>
      <c r="AJ692" t="s">
        <v>1</v>
      </c>
      <c r="AK692">
        <v>9371096848</v>
      </c>
      <c r="AL692" t="s">
        <v>1</v>
      </c>
      <c r="AM692" t="s">
        <v>1</v>
      </c>
      <c r="AN692" t="s">
        <v>1</v>
      </c>
      <c r="AO692" t="s">
        <v>4585</v>
      </c>
      <c r="AP692" t="s">
        <v>1</v>
      </c>
      <c r="AQ692" t="s">
        <v>2</v>
      </c>
      <c r="AR692" t="s">
        <v>1</v>
      </c>
      <c r="AS692" t="s">
        <v>1</v>
      </c>
      <c r="AT692" t="s">
        <v>1</v>
      </c>
      <c r="AU692" t="s">
        <v>1</v>
      </c>
      <c r="AV692" t="s">
        <v>1</v>
      </c>
      <c r="AW692" t="s">
        <v>9</v>
      </c>
      <c r="AX692">
        <f>Tabla1[[#This Row],[precio del paquete]]-Tabla1[[#This Row],[Saldo_Deudor]]</f>
        <v>1000</v>
      </c>
      <c r="AY692">
        <v>13800</v>
      </c>
      <c r="AZ692">
        <v>0</v>
      </c>
      <c r="BA692">
        <v>0</v>
      </c>
      <c r="BB692">
        <v>0</v>
      </c>
      <c r="BC692" t="s">
        <v>2923</v>
      </c>
      <c r="BD692" t="s">
        <v>4910</v>
      </c>
      <c r="BE692" t="s">
        <v>3</v>
      </c>
      <c r="BF692" t="s">
        <v>3</v>
      </c>
      <c r="BG692" t="s">
        <v>3</v>
      </c>
      <c r="BH692" t="s">
        <v>3</v>
      </c>
      <c r="BI692" t="s">
        <v>3</v>
      </c>
      <c r="BJ692" t="s">
        <v>4995</v>
      </c>
      <c r="BK692" t="s">
        <v>3</v>
      </c>
      <c r="BL692" t="s">
        <v>96</v>
      </c>
      <c r="BM692" t="s">
        <v>1</v>
      </c>
      <c r="BN692">
        <v>14800</v>
      </c>
      <c r="BO692" t="s">
        <v>1</v>
      </c>
      <c r="BP692" t="s">
        <v>1</v>
      </c>
      <c r="BQ692" t="s">
        <v>1</v>
      </c>
      <c r="BR692" t="s">
        <v>1</v>
      </c>
      <c r="BS692" t="s">
        <v>1</v>
      </c>
      <c r="BT692" t="s">
        <v>1</v>
      </c>
      <c r="BU692" t="s">
        <v>1</v>
      </c>
      <c r="BV692" t="s">
        <v>1</v>
      </c>
      <c r="BW692" t="s">
        <v>0</v>
      </c>
      <c r="BX692" t="s">
        <v>1</v>
      </c>
      <c r="BY692" t="s">
        <v>1</v>
      </c>
      <c r="BZ692" t="s">
        <v>1</v>
      </c>
      <c r="CA692" t="s">
        <v>1</v>
      </c>
      <c r="CB692" t="s">
        <v>1</v>
      </c>
      <c r="CD692" t="e" cm="1">
        <f t="array" aca="1" ref="CD692" ca="1">eConcatenar(A692:CB692,"|")</f>
        <v>#NAME?</v>
      </c>
    </row>
    <row r="693" spans="1:82" x14ac:dyDescent="0.25">
      <c r="A693" t="s">
        <v>788</v>
      </c>
      <c r="B693" t="s">
        <v>1803</v>
      </c>
      <c r="C693">
        <v>3</v>
      </c>
      <c r="D693" t="s">
        <v>2153</v>
      </c>
      <c r="E693" t="s">
        <v>2158</v>
      </c>
      <c r="F693" t="s">
        <v>0</v>
      </c>
      <c r="G693" t="s">
        <v>2562</v>
      </c>
      <c r="H693" t="s">
        <v>2777</v>
      </c>
      <c r="I693">
        <v>14800</v>
      </c>
      <c r="J693">
        <v>0</v>
      </c>
      <c r="K693">
        <v>300</v>
      </c>
      <c r="L693">
        <v>50</v>
      </c>
      <c r="M693">
        <v>2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 t="s">
        <v>3848</v>
      </c>
      <c r="AC693" t="s">
        <v>3629</v>
      </c>
      <c r="AD693" t="s">
        <v>3860</v>
      </c>
      <c r="AE693" t="s">
        <v>4</v>
      </c>
      <c r="AF693" t="s">
        <v>1</v>
      </c>
      <c r="AG693" t="s">
        <v>1</v>
      </c>
      <c r="AH693" t="s">
        <v>4097</v>
      </c>
      <c r="AI693" t="s">
        <v>2562</v>
      </c>
      <c r="AJ693" t="s">
        <v>1</v>
      </c>
      <c r="AK693">
        <v>9371285219</v>
      </c>
      <c r="AL693" t="s">
        <v>1</v>
      </c>
      <c r="AM693" t="s">
        <v>1</v>
      </c>
      <c r="AN693" t="s">
        <v>1</v>
      </c>
      <c r="AO693" t="s">
        <v>4097</v>
      </c>
      <c r="AP693" t="s">
        <v>1</v>
      </c>
      <c r="AQ693" t="s">
        <v>2</v>
      </c>
      <c r="AR693" t="s">
        <v>1</v>
      </c>
      <c r="AS693" t="s">
        <v>1</v>
      </c>
      <c r="AT693" t="s">
        <v>1</v>
      </c>
      <c r="AU693" t="s">
        <v>1</v>
      </c>
      <c r="AV693" t="s">
        <v>1</v>
      </c>
      <c r="AW693" t="s">
        <v>9</v>
      </c>
      <c r="AX693">
        <f>Tabla1[[#This Row],[precio del paquete]]-Tabla1[[#This Row],[Saldo_Deudor]]</f>
        <v>1200</v>
      </c>
      <c r="AY693">
        <v>13600</v>
      </c>
      <c r="AZ693">
        <v>0</v>
      </c>
      <c r="BA693">
        <v>0</v>
      </c>
      <c r="BB693">
        <v>0</v>
      </c>
      <c r="BC693" t="s">
        <v>2777</v>
      </c>
      <c r="BD693" t="s">
        <v>3096</v>
      </c>
      <c r="BE693" t="s">
        <v>3</v>
      </c>
      <c r="BF693" t="s">
        <v>3</v>
      </c>
      <c r="BG693" t="s">
        <v>3</v>
      </c>
      <c r="BH693" t="s">
        <v>3</v>
      </c>
      <c r="BI693" t="s">
        <v>3</v>
      </c>
      <c r="BJ693" t="s">
        <v>4995</v>
      </c>
      <c r="BK693" t="s">
        <v>3</v>
      </c>
      <c r="BL693" t="s">
        <v>96</v>
      </c>
      <c r="BM693" t="s">
        <v>1</v>
      </c>
      <c r="BN693">
        <v>14800</v>
      </c>
      <c r="BO693" t="s">
        <v>1</v>
      </c>
      <c r="BP693" t="s">
        <v>1</v>
      </c>
      <c r="BQ693" t="s">
        <v>1</v>
      </c>
      <c r="BR693" t="s">
        <v>1</v>
      </c>
      <c r="BS693" t="s">
        <v>1</v>
      </c>
      <c r="BT693" t="s">
        <v>1</v>
      </c>
      <c r="BU693" t="s">
        <v>1</v>
      </c>
      <c r="BV693" t="s">
        <v>1</v>
      </c>
      <c r="BW693" t="s">
        <v>0</v>
      </c>
      <c r="BX693" t="s">
        <v>1</v>
      </c>
      <c r="BY693" t="s">
        <v>1</v>
      </c>
      <c r="BZ693" t="s">
        <v>1</v>
      </c>
      <c r="CA693" t="s">
        <v>1</v>
      </c>
      <c r="CB693" t="s">
        <v>1</v>
      </c>
      <c r="CD693" t="e" cm="1">
        <f t="array" aca="1" ref="CD693" ca="1">eConcatenar(A693:CB693,"|")</f>
        <v>#NAME?</v>
      </c>
    </row>
    <row r="694" spans="1:82" x14ac:dyDescent="0.25">
      <c r="A694" t="s">
        <v>789</v>
      </c>
      <c r="B694" t="s">
        <v>1804</v>
      </c>
      <c r="C694">
        <v>3</v>
      </c>
      <c r="D694" t="s">
        <v>2153</v>
      </c>
      <c r="E694" t="s">
        <v>2158</v>
      </c>
      <c r="F694" t="s">
        <v>2159</v>
      </c>
      <c r="G694" t="s">
        <v>2563</v>
      </c>
      <c r="H694" t="s">
        <v>2868</v>
      </c>
      <c r="I694">
        <v>14800</v>
      </c>
      <c r="J694">
        <v>0</v>
      </c>
      <c r="K694">
        <v>100</v>
      </c>
      <c r="L694">
        <v>50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 t="s">
        <v>3214</v>
      </c>
      <c r="AC694" t="s">
        <v>3276</v>
      </c>
      <c r="AD694" t="s">
        <v>3861</v>
      </c>
      <c r="AE694" t="s">
        <v>4</v>
      </c>
      <c r="AF694" t="s">
        <v>1</v>
      </c>
      <c r="AG694" t="s">
        <v>1</v>
      </c>
      <c r="AH694" t="s">
        <v>2341</v>
      </c>
      <c r="AI694" t="s">
        <v>2563</v>
      </c>
      <c r="AJ694" t="s">
        <v>1</v>
      </c>
      <c r="AK694">
        <v>9331463689</v>
      </c>
      <c r="AL694" t="s">
        <v>1</v>
      </c>
      <c r="AM694" t="s">
        <v>1</v>
      </c>
      <c r="AN694" t="s">
        <v>1</v>
      </c>
      <c r="AO694" t="s">
        <v>2341</v>
      </c>
      <c r="AP694" t="s">
        <v>1</v>
      </c>
      <c r="AQ694" t="s">
        <v>2</v>
      </c>
      <c r="AR694" t="s">
        <v>1</v>
      </c>
      <c r="AS694" t="s">
        <v>1</v>
      </c>
      <c r="AT694" t="s">
        <v>1</v>
      </c>
      <c r="AU694" t="s">
        <v>1</v>
      </c>
      <c r="AV694" t="s">
        <v>1</v>
      </c>
      <c r="AW694" t="s">
        <v>9</v>
      </c>
      <c r="AX694">
        <f>Tabla1[[#This Row],[precio del paquete]]-Tabla1[[#This Row],[Saldo_Deudor]]</f>
        <v>3100</v>
      </c>
      <c r="AY694">
        <v>11700</v>
      </c>
      <c r="AZ694">
        <v>0</v>
      </c>
      <c r="BA694">
        <v>0</v>
      </c>
      <c r="BB694">
        <v>0</v>
      </c>
      <c r="BC694" t="s">
        <v>4847</v>
      </c>
      <c r="BD694" t="s">
        <v>4826</v>
      </c>
      <c r="BE694" t="s">
        <v>3</v>
      </c>
      <c r="BF694" t="s">
        <v>3</v>
      </c>
      <c r="BG694" t="s">
        <v>3</v>
      </c>
      <c r="BH694" t="s">
        <v>3</v>
      </c>
      <c r="BI694" t="s">
        <v>3</v>
      </c>
      <c r="BJ694" t="s">
        <v>4995</v>
      </c>
      <c r="BK694" t="s">
        <v>3</v>
      </c>
      <c r="BL694" t="s">
        <v>96</v>
      </c>
      <c r="BM694" t="s">
        <v>1</v>
      </c>
      <c r="BN694">
        <v>14800</v>
      </c>
      <c r="BO694" t="s">
        <v>1</v>
      </c>
      <c r="BP694" t="s">
        <v>1</v>
      </c>
      <c r="BQ694" t="s">
        <v>1</v>
      </c>
      <c r="BR694" t="s">
        <v>1</v>
      </c>
      <c r="BS694" t="s">
        <v>1</v>
      </c>
      <c r="BT694" t="s">
        <v>1</v>
      </c>
      <c r="BU694" t="s">
        <v>1</v>
      </c>
      <c r="BV694" t="s">
        <v>1</v>
      </c>
      <c r="BW694" t="s">
        <v>0</v>
      </c>
      <c r="BX694" t="s">
        <v>1</v>
      </c>
      <c r="BY694" t="s">
        <v>1</v>
      </c>
      <c r="BZ694" t="s">
        <v>1</v>
      </c>
      <c r="CA694" t="s">
        <v>1</v>
      </c>
      <c r="CB694" t="s">
        <v>1</v>
      </c>
      <c r="CD694" t="e" cm="1">
        <f t="array" aca="1" ref="CD694" ca="1">eConcatenar(A694:CB694,"|")</f>
        <v>#NAME?</v>
      </c>
    </row>
    <row r="695" spans="1:82" x14ac:dyDescent="0.25">
      <c r="A695" t="s">
        <v>790</v>
      </c>
      <c r="B695" t="s">
        <v>1805</v>
      </c>
      <c r="C695">
        <v>3</v>
      </c>
      <c r="D695" t="s">
        <v>2153</v>
      </c>
      <c r="E695" t="s">
        <v>2158</v>
      </c>
      <c r="F695" t="s">
        <v>2162</v>
      </c>
      <c r="G695" t="s">
        <v>2564</v>
      </c>
      <c r="H695" t="s">
        <v>2760</v>
      </c>
      <c r="I695">
        <v>14800</v>
      </c>
      <c r="J695">
        <v>0</v>
      </c>
      <c r="K695">
        <v>50</v>
      </c>
      <c r="L695">
        <v>50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 t="s">
        <v>3862</v>
      </c>
      <c r="AC695" t="s">
        <v>3335</v>
      </c>
      <c r="AD695" t="s">
        <v>3336</v>
      </c>
      <c r="AE695" t="s">
        <v>4</v>
      </c>
      <c r="AF695" t="s">
        <v>1</v>
      </c>
      <c r="AG695" t="s">
        <v>1</v>
      </c>
      <c r="AH695" t="s">
        <v>4586</v>
      </c>
      <c r="AI695" t="s">
        <v>2564</v>
      </c>
      <c r="AJ695" t="s">
        <v>1</v>
      </c>
      <c r="AK695">
        <v>9331478106</v>
      </c>
      <c r="AL695" t="s">
        <v>1</v>
      </c>
      <c r="AM695" t="s">
        <v>1</v>
      </c>
      <c r="AN695" t="s">
        <v>1</v>
      </c>
      <c r="AO695" t="s">
        <v>4586</v>
      </c>
      <c r="AP695" t="s">
        <v>1</v>
      </c>
      <c r="AQ695" t="s">
        <v>2</v>
      </c>
      <c r="AR695" t="s">
        <v>1</v>
      </c>
      <c r="AS695" t="s">
        <v>1</v>
      </c>
      <c r="AT695" t="s">
        <v>1</v>
      </c>
      <c r="AU695" t="s">
        <v>1</v>
      </c>
      <c r="AV695" t="s">
        <v>1</v>
      </c>
      <c r="AW695" t="s">
        <v>9</v>
      </c>
      <c r="AX695">
        <f>Tabla1[[#This Row],[precio del paquete]]-Tabla1[[#This Row],[Saldo_Deudor]]</f>
        <v>1050</v>
      </c>
      <c r="AY695">
        <v>13750</v>
      </c>
      <c r="AZ695">
        <v>0</v>
      </c>
      <c r="BA695">
        <v>0</v>
      </c>
      <c r="BB695">
        <v>0</v>
      </c>
      <c r="BC695" t="s">
        <v>3061</v>
      </c>
      <c r="BD695" t="s">
        <v>3040</v>
      </c>
      <c r="BE695" t="s">
        <v>3</v>
      </c>
      <c r="BF695" t="s">
        <v>3</v>
      </c>
      <c r="BG695" t="s">
        <v>3</v>
      </c>
      <c r="BH695" t="s">
        <v>3</v>
      </c>
      <c r="BI695" t="s">
        <v>3</v>
      </c>
      <c r="BJ695" t="s">
        <v>5002</v>
      </c>
      <c r="BK695" t="s">
        <v>3</v>
      </c>
      <c r="BL695" t="s">
        <v>96</v>
      </c>
      <c r="BM695" t="s">
        <v>1</v>
      </c>
      <c r="BN695">
        <v>14800</v>
      </c>
      <c r="BO695" t="s">
        <v>1</v>
      </c>
      <c r="BP695" t="s">
        <v>1</v>
      </c>
      <c r="BQ695" t="s">
        <v>1</v>
      </c>
      <c r="BR695" t="s">
        <v>1</v>
      </c>
      <c r="BS695" t="s">
        <v>1</v>
      </c>
      <c r="BT695" t="s">
        <v>1</v>
      </c>
      <c r="BU695" t="s">
        <v>1</v>
      </c>
      <c r="BV695" t="s">
        <v>1</v>
      </c>
      <c r="BW695" t="s">
        <v>0</v>
      </c>
      <c r="BX695" t="s">
        <v>1</v>
      </c>
      <c r="BY695" t="s">
        <v>1</v>
      </c>
      <c r="BZ695" t="s">
        <v>1</v>
      </c>
      <c r="CA695" t="s">
        <v>1</v>
      </c>
      <c r="CB695" t="s">
        <v>1</v>
      </c>
      <c r="CD695" t="e" cm="1">
        <f t="array" aca="1" ref="CD695" ca="1">eConcatenar(A695:CB695,"|")</f>
        <v>#NAME?</v>
      </c>
    </row>
    <row r="696" spans="1:82" x14ac:dyDescent="0.25">
      <c r="A696" t="s">
        <v>791</v>
      </c>
      <c r="B696" t="s">
        <v>1806</v>
      </c>
      <c r="C696">
        <v>3</v>
      </c>
      <c r="D696" t="s">
        <v>2153</v>
      </c>
      <c r="E696" t="s">
        <v>2158</v>
      </c>
      <c r="F696" t="s">
        <v>8</v>
      </c>
      <c r="G696" t="s">
        <v>2564</v>
      </c>
      <c r="H696" t="s">
        <v>2883</v>
      </c>
      <c r="I696">
        <v>14800</v>
      </c>
      <c r="J696">
        <v>0</v>
      </c>
      <c r="K696">
        <v>400</v>
      </c>
      <c r="L696">
        <v>50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 t="s">
        <v>3155</v>
      </c>
      <c r="AC696" t="s">
        <v>3117</v>
      </c>
      <c r="AD696" t="s">
        <v>3358</v>
      </c>
      <c r="AE696" t="s">
        <v>4</v>
      </c>
      <c r="AF696" t="s">
        <v>1</v>
      </c>
      <c r="AG696" t="s">
        <v>1</v>
      </c>
      <c r="AH696" t="s">
        <v>4587</v>
      </c>
      <c r="AI696" t="s">
        <v>2564</v>
      </c>
      <c r="AJ696" t="s">
        <v>1</v>
      </c>
      <c r="AK696">
        <v>8122131600</v>
      </c>
      <c r="AL696" t="s">
        <v>1</v>
      </c>
      <c r="AM696" t="s">
        <v>1</v>
      </c>
      <c r="AN696" t="s">
        <v>1</v>
      </c>
      <c r="AO696" t="s">
        <v>4587</v>
      </c>
      <c r="AP696" t="s">
        <v>1</v>
      </c>
      <c r="AQ696" t="s">
        <v>2</v>
      </c>
      <c r="AR696" t="s">
        <v>1</v>
      </c>
      <c r="AS696" t="s">
        <v>1</v>
      </c>
      <c r="AT696" t="s">
        <v>1</v>
      </c>
      <c r="AU696" t="s">
        <v>1</v>
      </c>
      <c r="AV696" t="s">
        <v>1</v>
      </c>
      <c r="AW696" t="s">
        <v>9</v>
      </c>
      <c r="AX696">
        <f>Tabla1[[#This Row],[precio del paquete]]-Tabla1[[#This Row],[Saldo_Deudor]]</f>
        <v>800</v>
      </c>
      <c r="AY696">
        <v>14000</v>
      </c>
      <c r="AZ696">
        <v>0</v>
      </c>
      <c r="BA696">
        <v>0</v>
      </c>
      <c r="BB696">
        <v>0</v>
      </c>
      <c r="BC696" t="s">
        <v>3061</v>
      </c>
      <c r="BD696" t="s">
        <v>3040</v>
      </c>
      <c r="BE696" t="s">
        <v>3</v>
      </c>
      <c r="BF696" t="s">
        <v>3</v>
      </c>
      <c r="BG696" t="s">
        <v>3</v>
      </c>
      <c r="BH696" t="s">
        <v>3</v>
      </c>
      <c r="BI696" t="s">
        <v>3</v>
      </c>
      <c r="BJ696" t="s">
        <v>4987</v>
      </c>
      <c r="BK696" t="s">
        <v>3</v>
      </c>
      <c r="BL696" t="s">
        <v>96</v>
      </c>
      <c r="BM696" t="s">
        <v>1</v>
      </c>
      <c r="BN696">
        <v>14800</v>
      </c>
      <c r="BO696" t="s">
        <v>1</v>
      </c>
      <c r="BP696" t="s">
        <v>1</v>
      </c>
      <c r="BQ696" t="s">
        <v>1</v>
      </c>
      <c r="BR696" t="s">
        <v>1</v>
      </c>
      <c r="BS696" t="s">
        <v>1</v>
      </c>
      <c r="BT696" t="s">
        <v>1</v>
      </c>
      <c r="BU696" t="s">
        <v>1</v>
      </c>
      <c r="BV696" t="s">
        <v>1</v>
      </c>
      <c r="BW696" t="s">
        <v>0</v>
      </c>
      <c r="BX696" t="s">
        <v>1</v>
      </c>
      <c r="BY696" t="s">
        <v>1</v>
      </c>
      <c r="BZ696" t="s">
        <v>1</v>
      </c>
      <c r="CA696" t="s">
        <v>1</v>
      </c>
      <c r="CB696" t="s">
        <v>1</v>
      </c>
      <c r="CD696" t="e" cm="1">
        <f t="array" aca="1" ref="CD696" ca="1">eConcatenar(A696:CB696,"|")</f>
        <v>#NAME?</v>
      </c>
    </row>
    <row r="697" spans="1:82" x14ac:dyDescent="0.25">
      <c r="A697" t="s">
        <v>792</v>
      </c>
      <c r="B697" t="s">
        <v>1807</v>
      </c>
      <c r="C697">
        <v>3</v>
      </c>
      <c r="D697" t="s">
        <v>2153</v>
      </c>
      <c r="E697" t="s">
        <v>2158</v>
      </c>
      <c r="F697" t="s">
        <v>2159</v>
      </c>
      <c r="G697" t="s">
        <v>2565</v>
      </c>
      <c r="H697" t="s">
        <v>2706</v>
      </c>
      <c r="I697">
        <v>14800</v>
      </c>
      <c r="J697">
        <v>0</v>
      </c>
      <c r="K697">
        <v>100</v>
      </c>
      <c r="L697">
        <v>50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 t="s">
        <v>3161</v>
      </c>
      <c r="AC697" t="s">
        <v>3863</v>
      </c>
      <c r="AD697" t="s">
        <v>3864</v>
      </c>
      <c r="AE697" t="s">
        <v>4</v>
      </c>
      <c r="AF697" t="s">
        <v>1</v>
      </c>
      <c r="AG697" t="s">
        <v>1</v>
      </c>
      <c r="AH697" t="s">
        <v>4588</v>
      </c>
      <c r="AI697" t="s">
        <v>2565</v>
      </c>
      <c r="AJ697" t="s">
        <v>1</v>
      </c>
      <c r="AK697">
        <v>9931308105</v>
      </c>
      <c r="AL697" t="s">
        <v>1</v>
      </c>
      <c r="AM697" t="s">
        <v>1</v>
      </c>
      <c r="AN697" t="s">
        <v>1</v>
      </c>
      <c r="AO697" t="s">
        <v>4588</v>
      </c>
      <c r="AP697" t="s">
        <v>1</v>
      </c>
      <c r="AQ697" t="s">
        <v>2</v>
      </c>
      <c r="AR697" t="s">
        <v>1</v>
      </c>
      <c r="AS697" t="s">
        <v>1</v>
      </c>
      <c r="AT697" t="s">
        <v>1</v>
      </c>
      <c r="AU697" t="s">
        <v>1</v>
      </c>
      <c r="AV697" t="s">
        <v>1</v>
      </c>
      <c r="AW697" t="s">
        <v>9</v>
      </c>
      <c r="AX697">
        <f>Tabla1[[#This Row],[precio del paquete]]-Tabla1[[#This Row],[Saldo_Deudor]]</f>
        <v>1800</v>
      </c>
      <c r="AY697">
        <v>13000</v>
      </c>
      <c r="AZ697">
        <v>0</v>
      </c>
      <c r="BA697">
        <v>0</v>
      </c>
      <c r="BB697">
        <v>0</v>
      </c>
      <c r="BC697" t="s">
        <v>2711</v>
      </c>
      <c r="BD697" t="s">
        <v>2712</v>
      </c>
      <c r="BE697" t="s">
        <v>3</v>
      </c>
      <c r="BF697" t="s">
        <v>3</v>
      </c>
      <c r="BG697" t="s">
        <v>3</v>
      </c>
      <c r="BH697" t="s">
        <v>3</v>
      </c>
      <c r="BI697" t="s">
        <v>3</v>
      </c>
      <c r="BJ697" t="s">
        <v>4987</v>
      </c>
      <c r="BK697" t="s">
        <v>3</v>
      </c>
      <c r="BL697" t="s">
        <v>96</v>
      </c>
      <c r="BM697" t="s">
        <v>1</v>
      </c>
      <c r="BN697">
        <v>14800</v>
      </c>
      <c r="BO697" t="s">
        <v>1</v>
      </c>
      <c r="BP697" t="s">
        <v>1</v>
      </c>
      <c r="BQ697" t="s">
        <v>1</v>
      </c>
      <c r="BR697" t="s">
        <v>1</v>
      </c>
      <c r="BS697" t="s">
        <v>1</v>
      </c>
      <c r="BT697" t="s">
        <v>1</v>
      </c>
      <c r="BU697" t="s">
        <v>1</v>
      </c>
      <c r="BV697" t="s">
        <v>1</v>
      </c>
      <c r="BW697" t="s">
        <v>0</v>
      </c>
      <c r="BX697" t="s">
        <v>1</v>
      </c>
      <c r="BY697" t="s">
        <v>1</v>
      </c>
      <c r="BZ697" t="s">
        <v>1</v>
      </c>
      <c r="CA697" t="s">
        <v>1</v>
      </c>
      <c r="CB697" t="s">
        <v>1</v>
      </c>
      <c r="CD697" t="e" cm="1">
        <f t="array" aca="1" ref="CD697" ca="1">eConcatenar(A697:CB697,"|")</f>
        <v>#NAME?</v>
      </c>
    </row>
    <row r="698" spans="1:82" x14ac:dyDescent="0.25">
      <c r="A698" t="s">
        <v>793</v>
      </c>
      <c r="B698" t="s">
        <v>1808</v>
      </c>
      <c r="C698">
        <v>3</v>
      </c>
      <c r="D698" t="s">
        <v>2153</v>
      </c>
      <c r="E698" t="s">
        <v>2158</v>
      </c>
      <c r="F698" t="s">
        <v>2159</v>
      </c>
      <c r="G698" t="s">
        <v>2566</v>
      </c>
      <c r="H698" t="s">
        <v>2706</v>
      </c>
      <c r="I698">
        <v>14800</v>
      </c>
      <c r="J698">
        <v>0</v>
      </c>
      <c r="K698">
        <v>100</v>
      </c>
      <c r="L698">
        <v>50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 t="s">
        <v>3131</v>
      </c>
      <c r="AC698" t="s">
        <v>3686</v>
      </c>
      <c r="AD698" t="s">
        <v>3865</v>
      </c>
      <c r="AE698" t="s">
        <v>4</v>
      </c>
      <c r="AF698" t="s">
        <v>1</v>
      </c>
      <c r="AG698" t="s">
        <v>1</v>
      </c>
      <c r="AH698" t="s">
        <v>2565</v>
      </c>
      <c r="AI698" t="s">
        <v>2566</v>
      </c>
      <c r="AJ698" t="s">
        <v>1</v>
      </c>
      <c r="AK698">
        <v>9331544741</v>
      </c>
      <c r="AL698" t="s">
        <v>1</v>
      </c>
      <c r="AM698" t="s">
        <v>1</v>
      </c>
      <c r="AN698" t="s">
        <v>1</v>
      </c>
      <c r="AO698" t="s">
        <v>2565</v>
      </c>
      <c r="AP698" t="s">
        <v>1</v>
      </c>
      <c r="AQ698" t="s">
        <v>2</v>
      </c>
      <c r="AR698" t="s">
        <v>1</v>
      </c>
      <c r="AS698" t="s">
        <v>1</v>
      </c>
      <c r="AT698" t="s">
        <v>1</v>
      </c>
      <c r="AU698" t="s">
        <v>1</v>
      </c>
      <c r="AV698" t="s">
        <v>1</v>
      </c>
      <c r="AW698" t="s">
        <v>9</v>
      </c>
      <c r="AX698">
        <f>Tabla1[[#This Row],[precio del paquete]]-Tabla1[[#This Row],[Saldo_Deudor]]</f>
        <v>1400</v>
      </c>
      <c r="AY698">
        <v>13400</v>
      </c>
      <c r="AZ698">
        <v>0</v>
      </c>
      <c r="BA698">
        <v>0</v>
      </c>
      <c r="BB698">
        <v>0</v>
      </c>
      <c r="BC698" t="s">
        <v>2711</v>
      </c>
      <c r="BD698" t="s">
        <v>2712</v>
      </c>
      <c r="BE698" t="s">
        <v>3</v>
      </c>
      <c r="BF698" t="s">
        <v>3</v>
      </c>
      <c r="BG698" t="s">
        <v>3</v>
      </c>
      <c r="BH698" t="s">
        <v>3</v>
      </c>
      <c r="BI698" t="s">
        <v>3</v>
      </c>
      <c r="BJ698" t="s">
        <v>4984</v>
      </c>
      <c r="BK698" t="s">
        <v>3</v>
      </c>
      <c r="BL698" t="s">
        <v>96</v>
      </c>
      <c r="BM698" t="s">
        <v>1</v>
      </c>
      <c r="BN698">
        <v>14800</v>
      </c>
      <c r="BO698" t="s">
        <v>1</v>
      </c>
      <c r="BP698" t="s">
        <v>1</v>
      </c>
      <c r="BQ698" t="s">
        <v>1</v>
      </c>
      <c r="BR698" t="s">
        <v>1</v>
      </c>
      <c r="BS698" t="s">
        <v>1</v>
      </c>
      <c r="BT698" t="s">
        <v>1</v>
      </c>
      <c r="BU698" t="s">
        <v>1</v>
      </c>
      <c r="BV698" t="s">
        <v>1</v>
      </c>
      <c r="BW698" t="s">
        <v>0</v>
      </c>
      <c r="BX698" t="s">
        <v>1</v>
      </c>
      <c r="BY698" t="s">
        <v>1</v>
      </c>
      <c r="BZ698" t="s">
        <v>1</v>
      </c>
      <c r="CA698" t="s">
        <v>1</v>
      </c>
      <c r="CB698" t="s">
        <v>1</v>
      </c>
      <c r="CD698" t="e" cm="1">
        <f t="array" aca="1" ref="CD698" ca="1">eConcatenar(A698:CB698,"|")</f>
        <v>#NAME?</v>
      </c>
    </row>
    <row r="699" spans="1:82" x14ac:dyDescent="0.25">
      <c r="A699" t="s">
        <v>794</v>
      </c>
      <c r="B699" t="s">
        <v>1809</v>
      </c>
      <c r="C699">
        <v>3</v>
      </c>
      <c r="D699" t="s">
        <v>2153</v>
      </c>
      <c r="E699" t="s">
        <v>2158</v>
      </c>
      <c r="F699" t="s">
        <v>2159</v>
      </c>
      <c r="G699" t="s">
        <v>2567</v>
      </c>
      <c r="H699" t="s">
        <v>2948</v>
      </c>
      <c r="I699">
        <v>14800</v>
      </c>
      <c r="J699">
        <v>0</v>
      </c>
      <c r="K699">
        <v>100</v>
      </c>
      <c r="L699">
        <v>50</v>
      </c>
      <c r="M699">
        <v>1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 t="s">
        <v>3117</v>
      </c>
      <c r="AC699" t="s">
        <v>3143</v>
      </c>
      <c r="AD699" t="s">
        <v>3762</v>
      </c>
      <c r="AE699" t="s">
        <v>4</v>
      </c>
      <c r="AF699" t="s">
        <v>1</v>
      </c>
      <c r="AG699" t="s">
        <v>1</v>
      </c>
      <c r="AH699" t="s">
        <v>4589</v>
      </c>
      <c r="AI699" t="s">
        <v>2567</v>
      </c>
      <c r="AJ699" t="s">
        <v>1</v>
      </c>
      <c r="AK699">
        <v>9332098034</v>
      </c>
      <c r="AL699" t="s">
        <v>1</v>
      </c>
      <c r="AM699" t="s">
        <v>1</v>
      </c>
      <c r="AN699" t="s">
        <v>1</v>
      </c>
      <c r="AO699" t="s">
        <v>4589</v>
      </c>
      <c r="AP699" t="s">
        <v>1</v>
      </c>
      <c r="AQ699" t="s">
        <v>2</v>
      </c>
      <c r="AR699" t="s">
        <v>1</v>
      </c>
      <c r="AS699" t="s">
        <v>1</v>
      </c>
      <c r="AT699" t="s">
        <v>1</v>
      </c>
      <c r="AU699" t="s">
        <v>1</v>
      </c>
      <c r="AV699" t="s">
        <v>1</v>
      </c>
      <c r="AW699" t="s">
        <v>9</v>
      </c>
      <c r="AX699">
        <f>Tabla1[[#This Row],[precio del paquete]]-Tabla1[[#This Row],[Saldo_Deudor]]</f>
        <v>1100</v>
      </c>
      <c r="AY699">
        <v>13700</v>
      </c>
      <c r="AZ699">
        <v>0</v>
      </c>
      <c r="BA699">
        <v>0</v>
      </c>
      <c r="BB699">
        <v>0</v>
      </c>
      <c r="BC699" t="s">
        <v>2711</v>
      </c>
      <c r="BD699" t="s">
        <v>2712</v>
      </c>
      <c r="BE699" t="s">
        <v>3</v>
      </c>
      <c r="BF699" t="s">
        <v>3</v>
      </c>
      <c r="BG699" t="s">
        <v>3</v>
      </c>
      <c r="BH699" t="s">
        <v>3</v>
      </c>
      <c r="BI699" t="s">
        <v>3</v>
      </c>
      <c r="BJ699" t="s">
        <v>4984</v>
      </c>
      <c r="BK699" t="s">
        <v>3</v>
      </c>
      <c r="BL699" t="s">
        <v>96</v>
      </c>
      <c r="BM699" t="s">
        <v>1</v>
      </c>
      <c r="BN699">
        <v>14800</v>
      </c>
      <c r="BO699" t="s">
        <v>1</v>
      </c>
      <c r="BP699" t="s">
        <v>1</v>
      </c>
      <c r="BQ699" t="s">
        <v>1</v>
      </c>
      <c r="BR699" t="s">
        <v>1</v>
      </c>
      <c r="BS699" t="s">
        <v>1</v>
      </c>
      <c r="BT699" t="s">
        <v>1</v>
      </c>
      <c r="BU699" t="s">
        <v>1</v>
      </c>
      <c r="BV699" t="s">
        <v>1</v>
      </c>
      <c r="BW699" t="s">
        <v>0</v>
      </c>
      <c r="BX699" t="s">
        <v>1</v>
      </c>
      <c r="BY699" t="s">
        <v>1</v>
      </c>
      <c r="BZ699" t="s">
        <v>1</v>
      </c>
      <c r="CA699" t="s">
        <v>1</v>
      </c>
      <c r="CB699" t="s">
        <v>1</v>
      </c>
      <c r="CD699" t="e" cm="1">
        <f t="array" aca="1" ref="CD699" ca="1">eConcatenar(A699:CB699,"|")</f>
        <v>#NAME?</v>
      </c>
    </row>
    <row r="700" spans="1:82" x14ac:dyDescent="0.25">
      <c r="A700" t="s">
        <v>795</v>
      </c>
      <c r="B700" t="s">
        <v>1810</v>
      </c>
      <c r="C700">
        <v>3</v>
      </c>
      <c r="D700" t="s">
        <v>2153</v>
      </c>
      <c r="E700" t="s">
        <v>2158</v>
      </c>
      <c r="F700" t="s">
        <v>2159</v>
      </c>
      <c r="G700" t="s">
        <v>2568</v>
      </c>
      <c r="H700" t="s">
        <v>2999</v>
      </c>
      <c r="I700">
        <v>14800</v>
      </c>
      <c r="J700">
        <v>0</v>
      </c>
      <c r="K700">
        <v>400</v>
      </c>
      <c r="L700">
        <v>50</v>
      </c>
      <c r="M700">
        <v>2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 t="s">
        <v>6</v>
      </c>
      <c r="AC700" t="s">
        <v>3866</v>
      </c>
      <c r="AD700" t="s">
        <v>3550</v>
      </c>
      <c r="AE700" t="s">
        <v>4</v>
      </c>
      <c r="AF700" t="s">
        <v>1</v>
      </c>
      <c r="AG700" t="s">
        <v>1</v>
      </c>
      <c r="AH700" t="s">
        <v>4590</v>
      </c>
      <c r="AI700" t="s">
        <v>2568</v>
      </c>
      <c r="AJ700" t="s">
        <v>1</v>
      </c>
      <c r="AK700">
        <v>9331313607</v>
      </c>
      <c r="AL700" t="s">
        <v>1</v>
      </c>
      <c r="AM700" t="s">
        <v>1</v>
      </c>
      <c r="AN700" t="s">
        <v>1</v>
      </c>
      <c r="AO700" t="s">
        <v>4590</v>
      </c>
      <c r="AP700" t="s">
        <v>1</v>
      </c>
      <c r="AQ700" t="s">
        <v>2</v>
      </c>
      <c r="AR700" t="s">
        <v>1</v>
      </c>
      <c r="AS700" t="s">
        <v>1</v>
      </c>
      <c r="AT700" t="s">
        <v>1</v>
      </c>
      <c r="AU700" t="s">
        <v>1</v>
      </c>
      <c r="AV700" t="s">
        <v>1</v>
      </c>
      <c r="AW700" t="s">
        <v>9</v>
      </c>
      <c r="AX700">
        <f>Tabla1[[#This Row],[precio del paquete]]-Tabla1[[#This Row],[Saldo_Deudor]]</f>
        <v>9900</v>
      </c>
      <c r="AY700">
        <v>4900</v>
      </c>
      <c r="AZ700">
        <v>0</v>
      </c>
      <c r="BA700">
        <v>0</v>
      </c>
      <c r="BB700">
        <v>0</v>
      </c>
      <c r="BC700" t="s">
        <v>4830</v>
      </c>
      <c r="BD700" t="s">
        <v>4906</v>
      </c>
      <c r="BE700" t="s">
        <v>3</v>
      </c>
      <c r="BF700" t="s">
        <v>3</v>
      </c>
      <c r="BG700" t="s">
        <v>3</v>
      </c>
      <c r="BH700" t="s">
        <v>3</v>
      </c>
      <c r="BI700" t="s">
        <v>3</v>
      </c>
      <c r="BJ700" t="s">
        <v>4984</v>
      </c>
      <c r="BK700" t="s">
        <v>3</v>
      </c>
      <c r="BL700" t="s">
        <v>96</v>
      </c>
      <c r="BM700" t="s">
        <v>1</v>
      </c>
      <c r="BN700">
        <v>14800</v>
      </c>
      <c r="BO700" t="s">
        <v>1</v>
      </c>
      <c r="BP700" t="s">
        <v>1</v>
      </c>
      <c r="BQ700" t="s">
        <v>1</v>
      </c>
      <c r="BR700" t="s">
        <v>1</v>
      </c>
      <c r="BS700" t="s">
        <v>1</v>
      </c>
      <c r="BT700" t="s">
        <v>1</v>
      </c>
      <c r="BU700" t="s">
        <v>1</v>
      </c>
      <c r="BV700" t="s">
        <v>1</v>
      </c>
      <c r="BW700" t="s">
        <v>0</v>
      </c>
      <c r="BX700" t="s">
        <v>1</v>
      </c>
      <c r="BY700" t="s">
        <v>1</v>
      </c>
      <c r="BZ700" t="s">
        <v>1</v>
      </c>
      <c r="CA700" t="s">
        <v>1</v>
      </c>
      <c r="CB700" t="s">
        <v>1</v>
      </c>
      <c r="CD700" t="e" cm="1">
        <f t="array" aca="1" ref="CD700" ca="1">eConcatenar(A700:CB700,"|")</f>
        <v>#NAME?</v>
      </c>
    </row>
    <row r="701" spans="1:82" x14ac:dyDescent="0.25">
      <c r="A701" t="s">
        <v>796</v>
      </c>
      <c r="B701" t="s">
        <v>1811</v>
      </c>
      <c r="C701">
        <v>3</v>
      </c>
      <c r="D701" t="s">
        <v>2153</v>
      </c>
      <c r="E701" t="s">
        <v>2158</v>
      </c>
      <c r="F701" t="s">
        <v>2159</v>
      </c>
      <c r="G701" t="s">
        <v>2568</v>
      </c>
      <c r="H701" t="s">
        <v>3000</v>
      </c>
      <c r="I701">
        <v>14800</v>
      </c>
      <c r="J701">
        <v>0</v>
      </c>
      <c r="K701">
        <v>200</v>
      </c>
      <c r="L701">
        <v>50</v>
      </c>
      <c r="M701">
        <v>1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 t="s">
        <v>3225</v>
      </c>
      <c r="AC701" t="s">
        <v>3168</v>
      </c>
      <c r="AD701" t="s">
        <v>3867</v>
      </c>
      <c r="AE701" t="s">
        <v>4</v>
      </c>
      <c r="AF701" t="s">
        <v>1</v>
      </c>
      <c r="AG701" t="s">
        <v>1</v>
      </c>
      <c r="AH701" t="s">
        <v>4591</v>
      </c>
      <c r="AI701" t="s">
        <v>2568</v>
      </c>
      <c r="AJ701" t="s">
        <v>1</v>
      </c>
      <c r="AK701">
        <v>9331215676</v>
      </c>
      <c r="AL701" t="s">
        <v>1</v>
      </c>
      <c r="AM701" t="s">
        <v>1</v>
      </c>
      <c r="AN701" t="s">
        <v>1</v>
      </c>
      <c r="AO701" t="s">
        <v>4591</v>
      </c>
      <c r="AP701" t="s">
        <v>1</v>
      </c>
      <c r="AQ701" t="s">
        <v>2</v>
      </c>
      <c r="AR701" t="s">
        <v>1</v>
      </c>
      <c r="AS701" t="s">
        <v>1</v>
      </c>
      <c r="AT701" t="s">
        <v>1</v>
      </c>
      <c r="AU701" t="s">
        <v>1</v>
      </c>
      <c r="AV701" t="s">
        <v>1</v>
      </c>
      <c r="AW701" t="s">
        <v>9</v>
      </c>
      <c r="AX701">
        <f>Tabla1[[#This Row],[precio del paquete]]-Tabla1[[#This Row],[Saldo_Deudor]]</f>
        <v>9400</v>
      </c>
      <c r="AY701">
        <v>5400</v>
      </c>
      <c r="AZ701">
        <v>0</v>
      </c>
      <c r="BA701">
        <v>0</v>
      </c>
      <c r="BB701">
        <v>0</v>
      </c>
      <c r="BC701" t="s">
        <v>4830</v>
      </c>
      <c r="BD701" t="s">
        <v>4906</v>
      </c>
      <c r="BE701" t="s">
        <v>3</v>
      </c>
      <c r="BF701" t="s">
        <v>3</v>
      </c>
      <c r="BG701" t="s">
        <v>3</v>
      </c>
      <c r="BH701" t="s">
        <v>3</v>
      </c>
      <c r="BI701" t="s">
        <v>3</v>
      </c>
      <c r="BJ701" t="s">
        <v>5009</v>
      </c>
      <c r="BK701" t="s">
        <v>3</v>
      </c>
      <c r="BL701" t="s">
        <v>96</v>
      </c>
      <c r="BM701" t="s">
        <v>1</v>
      </c>
      <c r="BN701">
        <v>14800</v>
      </c>
      <c r="BO701" t="s">
        <v>1</v>
      </c>
      <c r="BP701" t="s">
        <v>1</v>
      </c>
      <c r="BQ701" t="s">
        <v>1</v>
      </c>
      <c r="BR701" t="s">
        <v>1</v>
      </c>
      <c r="BS701" t="s">
        <v>1</v>
      </c>
      <c r="BT701" t="s">
        <v>1</v>
      </c>
      <c r="BU701" t="s">
        <v>1</v>
      </c>
      <c r="BV701" t="s">
        <v>1</v>
      </c>
      <c r="BW701" t="s">
        <v>0</v>
      </c>
      <c r="BX701" t="s">
        <v>1</v>
      </c>
      <c r="BY701" t="s">
        <v>1</v>
      </c>
      <c r="BZ701" t="s">
        <v>1</v>
      </c>
      <c r="CA701" t="s">
        <v>1</v>
      </c>
      <c r="CB701" t="s">
        <v>1</v>
      </c>
      <c r="CD701" t="e" cm="1">
        <f t="array" aca="1" ref="CD701" ca="1">eConcatenar(A701:CB701,"|")</f>
        <v>#NAME?</v>
      </c>
    </row>
    <row r="702" spans="1:82" x14ac:dyDescent="0.25">
      <c r="A702" t="s">
        <v>797</v>
      </c>
      <c r="B702" t="s">
        <v>1812</v>
      </c>
      <c r="C702">
        <v>3</v>
      </c>
      <c r="D702" t="s">
        <v>2153</v>
      </c>
      <c r="E702" t="s">
        <v>2158</v>
      </c>
      <c r="F702" t="s">
        <v>2161</v>
      </c>
      <c r="G702" t="s">
        <v>2569</v>
      </c>
      <c r="H702" t="s">
        <v>2948</v>
      </c>
      <c r="I702">
        <v>14800</v>
      </c>
      <c r="J702">
        <v>0</v>
      </c>
      <c r="K702">
        <v>100</v>
      </c>
      <c r="L702">
        <v>50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 t="s">
        <v>3656</v>
      </c>
      <c r="AC702" t="s">
        <v>3143</v>
      </c>
      <c r="AD702" t="s">
        <v>3377</v>
      </c>
      <c r="AE702" t="s">
        <v>4</v>
      </c>
      <c r="AF702" t="s">
        <v>1</v>
      </c>
      <c r="AG702" t="s">
        <v>1</v>
      </c>
      <c r="AH702" t="s">
        <v>4592</v>
      </c>
      <c r="AI702" t="s">
        <v>2569</v>
      </c>
      <c r="AJ702" t="s">
        <v>1</v>
      </c>
      <c r="AK702">
        <v>9331569969</v>
      </c>
      <c r="AL702" t="s">
        <v>1</v>
      </c>
      <c r="AM702" t="s">
        <v>1</v>
      </c>
      <c r="AN702" t="s">
        <v>1</v>
      </c>
      <c r="AO702" t="s">
        <v>4592</v>
      </c>
      <c r="AP702" t="s">
        <v>1</v>
      </c>
      <c r="AQ702" t="s">
        <v>2</v>
      </c>
      <c r="AR702" t="s">
        <v>1</v>
      </c>
      <c r="AS702" t="s">
        <v>1</v>
      </c>
      <c r="AT702" t="s">
        <v>1</v>
      </c>
      <c r="AU702" t="s">
        <v>1</v>
      </c>
      <c r="AV702" t="s">
        <v>1</v>
      </c>
      <c r="AW702" t="s">
        <v>9</v>
      </c>
      <c r="AX702">
        <f>Tabla1[[#This Row],[precio del paquete]]-Tabla1[[#This Row],[Saldo_Deudor]]</f>
        <v>1900</v>
      </c>
      <c r="AY702">
        <v>12900</v>
      </c>
      <c r="AZ702">
        <v>0</v>
      </c>
      <c r="BA702">
        <v>0</v>
      </c>
      <c r="BB702">
        <v>0</v>
      </c>
      <c r="BC702" t="s">
        <v>4829</v>
      </c>
      <c r="BD702" t="s">
        <v>4900</v>
      </c>
      <c r="BE702" t="s">
        <v>3</v>
      </c>
      <c r="BF702" t="s">
        <v>3</v>
      </c>
      <c r="BG702" t="s">
        <v>3</v>
      </c>
      <c r="BH702" t="s">
        <v>3</v>
      </c>
      <c r="BI702" t="s">
        <v>3</v>
      </c>
      <c r="BJ702" t="s">
        <v>5009</v>
      </c>
      <c r="BK702" t="s">
        <v>3</v>
      </c>
      <c r="BL702" t="s">
        <v>96</v>
      </c>
      <c r="BM702" t="s">
        <v>1</v>
      </c>
      <c r="BN702">
        <v>14800</v>
      </c>
      <c r="BO702" t="s">
        <v>1</v>
      </c>
      <c r="BP702" t="s">
        <v>1</v>
      </c>
      <c r="BQ702" t="s">
        <v>1</v>
      </c>
      <c r="BR702" t="s">
        <v>1</v>
      </c>
      <c r="BS702" t="s">
        <v>1</v>
      </c>
      <c r="BT702" t="s">
        <v>1</v>
      </c>
      <c r="BU702" t="s">
        <v>1</v>
      </c>
      <c r="BV702" t="s">
        <v>1</v>
      </c>
      <c r="BW702" t="s">
        <v>0</v>
      </c>
      <c r="BX702" t="s">
        <v>1</v>
      </c>
      <c r="BY702" t="s">
        <v>1</v>
      </c>
      <c r="BZ702" t="s">
        <v>1</v>
      </c>
      <c r="CA702" t="s">
        <v>1</v>
      </c>
      <c r="CB702" t="s">
        <v>1</v>
      </c>
      <c r="CD702" t="e" cm="1">
        <f t="array" aca="1" ref="CD702" ca="1">eConcatenar(A702:CB702,"|")</f>
        <v>#NAME?</v>
      </c>
    </row>
    <row r="703" spans="1:82" x14ac:dyDescent="0.25">
      <c r="A703" t="s">
        <v>798</v>
      </c>
      <c r="B703" t="s">
        <v>1813</v>
      </c>
      <c r="C703">
        <v>3</v>
      </c>
      <c r="D703" t="s">
        <v>2153</v>
      </c>
      <c r="E703" t="s">
        <v>2158</v>
      </c>
      <c r="F703" t="s">
        <v>2159</v>
      </c>
      <c r="G703" t="s">
        <v>2570</v>
      </c>
      <c r="H703" t="s">
        <v>2796</v>
      </c>
      <c r="I703">
        <v>14800</v>
      </c>
      <c r="J703">
        <v>0</v>
      </c>
      <c r="K703">
        <v>200</v>
      </c>
      <c r="L703">
        <v>50</v>
      </c>
      <c r="M703">
        <v>1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 t="s">
        <v>3354</v>
      </c>
      <c r="AC703" t="s">
        <v>3134</v>
      </c>
      <c r="AD703" t="s">
        <v>3868</v>
      </c>
      <c r="AE703" t="s">
        <v>4</v>
      </c>
      <c r="AF703" t="s">
        <v>1</v>
      </c>
      <c r="AG703" t="s">
        <v>1</v>
      </c>
      <c r="AH703" t="s">
        <v>4593</v>
      </c>
      <c r="AI703" t="s">
        <v>2570</v>
      </c>
      <c r="AJ703" t="s">
        <v>1</v>
      </c>
      <c r="AK703">
        <v>2331050118</v>
      </c>
      <c r="AL703" t="s">
        <v>1</v>
      </c>
      <c r="AM703" t="s">
        <v>1</v>
      </c>
      <c r="AN703" t="s">
        <v>1</v>
      </c>
      <c r="AO703" t="s">
        <v>4593</v>
      </c>
      <c r="AP703" t="s">
        <v>1</v>
      </c>
      <c r="AQ703" t="s">
        <v>2</v>
      </c>
      <c r="AR703" t="s">
        <v>1</v>
      </c>
      <c r="AS703" t="s">
        <v>1</v>
      </c>
      <c r="AT703" t="s">
        <v>1</v>
      </c>
      <c r="AU703" t="s">
        <v>1</v>
      </c>
      <c r="AV703" t="s">
        <v>1</v>
      </c>
      <c r="AW703" t="s">
        <v>9</v>
      </c>
      <c r="AX703">
        <f>Tabla1[[#This Row],[precio del paquete]]-Tabla1[[#This Row],[Saldo_Deudor]]</f>
        <v>1200</v>
      </c>
      <c r="AY703">
        <v>13600</v>
      </c>
      <c r="AZ703">
        <v>0</v>
      </c>
      <c r="BA703">
        <v>0</v>
      </c>
      <c r="BB703">
        <v>0</v>
      </c>
      <c r="BC703" t="s">
        <v>4830</v>
      </c>
      <c r="BD703" t="s">
        <v>4906</v>
      </c>
      <c r="BE703" t="s">
        <v>3</v>
      </c>
      <c r="BF703" t="s">
        <v>3</v>
      </c>
      <c r="BG703" t="s">
        <v>3</v>
      </c>
      <c r="BH703" t="s">
        <v>3</v>
      </c>
      <c r="BI703" t="s">
        <v>3</v>
      </c>
      <c r="BJ703" t="s">
        <v>4983</v>
      </c>
      <c r="BK703" t="s">
        <v>3</v>
      </c>
      <c r="BL703" t="s">
        <v>96</v>
      </c>
      <c r="BM703" t="s">
        <v>1</v>
      </c>
      <c r="BN703">
        <v>14800</v>
      </c>
      <c r="BO703" t="s">
        <v>1</v>
      </c>
      <c r="BP703" t="s">
        <v>1</v>
      </c>
      <c r="BQ703" t="s">
        <v>1</v>
      </c>
      <c r="BR703" t="s">
        <v>1</v>
      </c>
      <c r="BS703" t="s">
        <v>1</v>
      </c>
      <c r="BT703" t="s">
        <v>1</v>
      </c>
      <c r="BU703" t="s">
        <v>1</v>
      </c>
      <c r="BV703" t="s">
        <v>1</v>
      </c>
      <c r="BW703" t="s">
        <v>0</v>
      </c>
      <c r="BX703" t="s">
        <v>1</v>
      </c>
      <c r="BY703" t="s">
        <v>1</v>
      </c>
      <c r="BZ703" t="s">
        <v>1</v>
      </c>
      <c r="CA703" t="s">
        <v>1</v>
      </c>
      <c r="CB703" t="s">
        <v>1</v>
      </c>
      <c r="CD703" t="e" cm="1">
        <f t="array" aca="1" ref="CD703" ca="1">eConcatenar(A703:CB703,"|")</f>
        <v>#NAME?</v>
      </c>
    </row>
    <row r="704" spans="1:82" x14ac:dyDescent="0.25">
      <c r="A704" t="s">
        <v>799</v>
      </c>
      <c r="B704" t="s">
        <v>1814</v>
      </c>
      <c r="C704">
        <v>3</v>
      </c>
      <c r="D704" t="s">
        <v>2154</v>
      </c>
      <c r="E704" t="s">
        <v>2158</v>
      </c>
      <c r="F704" t="s">
        <v>2159</v>
      </c>
      <c r="G704" t="s">
        <v>2571</v>
      </c>
      <c r="H704" t="s">
        <v>2832</v>
      </c>
      <c r="I704">
        <v>24500</v>
      </c>
      <c r="J704">
        <v>0</v>
      </c>
      <c r="K704">
        <v>500</v>
      </c>
      <c r="L704">
        <v>50</v>
      </c>
      <c r="M704">
        <v>2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 t="s">
        <v>3547</v>
      </c>
      <c r="AC704" t="s">
        <v>3117</v>
      </c>
      <c r="AD704" t="s">
        <v>3497</v>
      </c>
      <c r="AE704" t="s">
        <v>4</v>
      </c>
      <c r="AF704" t="s">
        <v>1</v>
      </c>
      <c r="AG704" t="s">
        <v>1</v>
      </c>
      <c r="AH704" t="s">
        <v>4594</v>
      </c>
      <c r="AI704" t="s">
        <v>2571</v>
      </c>
      <c r="AJ704" t="s">
        <v>1</v>
      </c>
      <c r="AK704">
        <v>9932226006</v>
      </c>
      <c r="AL704" t="s">
        <v>1</v>
      </c>
      <c r="AM704" t="s">
        <v>1</v>
      </c>
      <c r="AN704" t="s">
        <v>1</v>
      </c>
      <c r="AO704" t="s">
        <v>4594</v>
      </c>
      <c r="AP704" t="s">
        <v>1</v>
      </c>
      <c r="AQ704" t="s">
        <v>2</v>
      </c>
      <c r="AR704" t="s">
        <v>1</v>
      </c>
      <c r="AS704" t="s">
        <v>1</v>
      </c>
      <c r="AT704" t="s">
        <v>1</v>
      </c>
      <c r="AU704" t="s">
        <v>1</v>
      </c>
      <c r="AV704" t="s">
        <v>1</v>
      </c>
      <c r="AW704" t="s">
        <v>9</v>
      </c>
      <c r="AX704">
        <f>Tabla1[[#This Row],[precio del paquete]]-Tabla1[[#This Row],[Saldo_Deudor]]</f>
        <v>2000</v>
      </c>
      <c r="AY704">
        <v>22500</v>
      </c>
      <c r="AZ704">
        <v>0</v>
      </c>
      <c r="BA704">
        <v>0</v>
      </c>
      <c r="BB704">
        <v>0</v>
      </c>
      <c r="BC704" t="s">
        <v>4830</v>
      </c>
      <c r="BD704" t="s">
        <v>4906</v>
      </c>
      <c r="BE704" t="s">
        <v>3</v>
      </c>
      <c r="BF704" t="s">
        <v>3</v>
      </c>
      <c r="BG704" t="s">
        <v>3</v>
      </c>
      <c r="BH704" t="s">
        <v>3</v>
      </c>
      <c r="BI704" t="s">
        <v>3</v>
      </c>
      <c r="BJ704" t="s">
        <v>5009</v>
      </c>
      <c r="BK704" t="s">
        <v>3</v>
      </c>
      <c r="BL704" t="s">
        <v>96</v>
      </c>
      <c r="BM704" t="s">
        <v>1</v>
      </c>
      <c r="BN704">
        <v>24500</v>
      </c>
      <c r="BO704" t="s">
        <v>1</v>
      </c>
      <c r="BP704" t="s">
        <v>1</v>
      </c>
      <c r="BQ704" t="s">
        <v>1</v>
      </c>
      <c r="BR704" t="s">
        <v>1</v>
      </c>
      <c r="BS704" t="s">
        <v>1</v>
      </c>
      <c r="BT704" t="s">
        <v>1</v>
      </c>
      <c r="BU704" t="s">
        <v>1</v>
      </c>
      <c r="BV704" t="s">
        <v>1</v>
      </c>
      <c r="BW704" t="s">
        <v>0</v>
      </c>
      <c r="BX704" t="s">
        <v>1</v>
      </c>
      <c r="BY704" t="s">
        <v>1</v>
      </c>
      <c r="BZ704" t="s">
        <v>1</v>
      </c>
      <c r="CA704" t="s">
        <v>1</v>
      </c>
      <c r="CB704" t="s">
        <v>1</v>
      </c>
      <c r="CD704" t="e" cm="1">
        <f t="array" aca="1" ref="CD704" ca="1">eConcatenar(A704:CB704,"|")</f>
        <v>#NAME?</v>
      </c>
    </row>
    <row r="705" spans="1:82" x14ac:dyDescent="0.25">
      <c r="A705" t="s">
        <v>800</v>
      </c>
      <c r="B705" t="s">
        <v>1815</v>
      </c>
      <c r="C705">
        <v>3</v>
      </c>
      <c r="D705" t="s">
        <v>2156</v>
      </c>
      <c r="E705" t="s">
        <v>2158</v>
      </c>
      <c r="F705" t="s">
        <v>2159</v>
      </c>
      <c r="G705" t="s">
        <v>2571</v>
      </c>
      <c r="H705" t="s">
        <v>3001</v>
      </c>
      <c r="I705">
        <v>19800</v>
      </c>
      <c r="J705">
        <v>0</v>
      </c>
      <c r="K705">
        <v>500</v>
      </c>
      <c r="L705">
        <v>50</v>
      </c>
      <c r="M705">
        <v>2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 t="s">
        <v>3629</v>
      </c>
      <c r="AC705" t="s">
        <v>3302</v>
      </c>
      <c r="AD705" t="s">
        <v>3739</v>
      </c>
      <c r="AE705" t="s">
        <v>4</v>
      </c>
      <c r="AF705" t="s">
        <v>1</v>
      </c>
      <c r="AG705" t="s">
        <v>1</v>
      </c>
      <c r="AH705" t="s">
        <v>4595</v>
      </c>
      <c r="AI705" t="s">
        <v>2571</v>
      </c>
      <c r="AJ705" t="s">
        <v>1</v>
      </c>
      <c r="AK705">
        <v>9331305516</v>
      </c>
      <c r="AL705" t="s">
        <v>1</v>
      </c>
      <c r="AM705" t="s">
        <v>1</v>
      </c>
      <c r="AN705" t="s">
        <v>1</v>
      </c>
      <c r="AO705" t="s">
        <v>4595</v>
      </c>
      <c r="AP705" t="s">
        <v>1</v>
      </c>
      <c r="AQ705" t="s">
        <v>2</v>
      </c>
      <c r="AR705" t="s">
        <v>1</v>
      </c>
      <c r="AS705" t="s">
        <v>1</v>
      </c>
      <c r="AT705" t="s">
        <v>1</v>
      </c>
      <c r="AU705" t="s">
        <v>1</v>
      </c>
      <c r="AV705" t="s">
        <v>1</v>
      </c>
      <c r="AW705" t="s">
        <v>9</v>
      </c>
      <c r="AX705">
        <f>Tabla1[[#This Row],[precio del paquete]]-Tabla1[[#This Row],[Saldo_Deudor]]</f>
        <v>16300</v>
      </c>
      <c r="AY705">
        <v>3500</v>
      </c>
      <c r="AZ705">
        <v>0</v>
      </c>
      <c r="BA705">
        <v>0</v>
      </c>
      <c r="BB705">
        <v>0</v>
      </c>
      <c r="BC705" t="s">
        <v>3016</v>
      </c>
      <c r="BD705" t="s">
        <v>4832</v>
      </c>
      <c r="BE705" t="s">
        <v>3</v>
      </c>
      <c r="BF705" t="s">
        <v>3</v>
      </c>
      <c r="BG705" t="s">
        <v>3</v>
      </c>
      <c r="BH705" t="s">
        <v>3</v>
      </c>
      <c r="BI705" t="s">
        <v>3</v>
      </c>
      <c r="BJ705" t="s">
        <v>5009</v>
      </c>
      <c r="BK705" t="s">
        <v>3</v>
      </c>
      <c r="BL705" t="s">
        <v>96</v>
      </c>
      <c r="BM705" t="s">
        <v>1</v>
      </c>
      <c r="BN705">
        <v>19800</v>
      </c>
      <c r="BO705" t="s">
        <v>1</v>
      </c>
      <c r="BP705" t="s">
        <v>1</v>
      </c>
      <c r="BQ705" t="s">
        <v>1</v>
      </c>
      <c r="BR705" t="s">
        <v>1</v>
      </c>
      <c r="BS705" t="s">
        <v>1</v>
      </c>
      <c r="BT705" t="s">
        <v>1</v>
      </c>
      <c r="BU705" t="s">
        <v>1</v>
      </c>
      <c r="BV705" t="s">
        <v>1</v>
      </c>
      <c r="BW705" t="s">
        <v>0</v>
      </c>
      <c r="BX705" t="s">
        <v>1</v>
      </c>
      <c r="BY705" t="s">
        <v>1</v>
      </c>
      <c r="BZ705" t="s">
        <v>1</v>
      </c>
      <c r="CA705" t="s">
        <v>1</v>
      </c>
      <c r="CB705" t="s">
        <v>1</v>
      </c>
      <c r="CD705" t="e" cm="1">
        <f t="array" aca="1" ref="CD705" ca="1">eConcatenar(A705:CB705,"|")</f>
        <v>#NAME?</v>
      </c>
    </row>
    <row r="706" spans="1:82" x14ac:dyDescent="0.25">
      <c r="A706" t="s">
        <v>801</v>
      </c>
      <c r="B706" t="s">
        <v>1816</v>
      </c>
      <c r="C706">
        <v>3</v>
      </c>
      <c r="D706" t="s">
        <v>2153</v>
      </c>
      <c r="E706" t="s">
        <v>2158</v>
      </c>
      <c r="F706" t="s">
        <v>2159</v>
      </c>
      <c r="G706" t="s">
        <v>2572</v>
      </c>
      <c r="H706" t="s">
        <v>2903</v>
      </c>
      <c r="I706">
        <v>14800</v>
      </c>
      <c r="J706">
        <v>0</v>
      </c>
      <c r="K706">
        <v>300</v>
      </c>
      <c r="L706">
        <v>50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 t="s">
        <v>3270</v>
      </c>
      <c r="AC706" t="s">
        <v>3869</v>
      </c>
      <c r="AD706" t="s">
        <v>3325</v>
      </c>
      <c r="AE706" t="s">
        <v>4</v>
      </c>
      <c r="AF706" t="s">
        <v>1</v>
      </c>
      <c r="AG706" t="s">
        <v>1</v>
      </c>
      <c r="AH706" t="s">
        <v>4596</v>
      </c>
      <c r="AI706" t="s">
        <v>2572</v>
      </c>
      <c r="AJ706" t="s">
        <v>1</v>
      </c>
      <c r="AK706">
        <v>9331188041</v>
      </c>
      <c r="AL706" t="s">
        <v>1</v>
      </c>
      <c r="AM706" t="s">
        <v>1</v>
      </c>
      <c r="AN706" t="s">
        <v>1</v>
      </c>
      <c r="AO706" t="s">
        <v>4596</v>
      </c>
      <c r="AP706" t="s">
        <v>1</v>
      </c>
      <c r="AQ706" t="s">
        <v>2</v>
      </c>
      <c r="AR706" t="s">
        <v>1</v>
      </c>
      <c r="AS706" t="s">
        <v>1</v>
      </c>
      <c r="AT706" t="s">
        <v>1</v>
      </c>
      <c r="AU706" t="s">
        <v>1</v>
      </c>
      <c r="AV706" t="s">
        <v>1</v>
      </c>
      <c r="AW706" t="s">
        <v>9</v>
      </c>
      <c r="AX706">
        <f>Tabla1[[#This Row],[precio del paquete]]-Tabla1[[#This Row],[Saldo_Deudor]]</f>
        <v>1700</v>
      </c>
      <c r="AY706">
        <v>13100</v>
      </c>
      <c r="AZ706">
        <v>0</v>
      </c>
      <c r="BA706">
        <v>0</v>
      </c>
      <c r="BB706">
        <v>0</v>
      </c>
      <c r="BC706" t="s">
        <v>2924</v>
      </c>
      <c r="BD706" t="s">
        <v>4958</v>
      </c>
      <c r="BE706" t="s">
        <v>3</v>
      </c>
      <c r="BF706" t="s">
        <v>3</v>
      </c>
      <c r="BG706" t="s">
        <v>3</v>
      </c>
      <c r="BH706" t="s">
        <v>3</v>
      </c>
      <c r="BI706" t="s">
        <v>3</v>
      </c>
      <c r="BJ706" t="s">
        <v>5009</v>
      </c>
      <c r="BK706" t="s">
        <v>3</v>
      </c>
      <c r="BL706" t="s">
        <v>96</v>
      </c>
      <c r="BM706" t="s">
        <v>1</v>
      </c>
      <c r="BN706">
        <v>14800</v>
      </c>
      <c r="BO706" t="s">
        <v>1</v>
      </c>
      <c r="BP706" t="s">
        <v>1</v>
      </c>
      <c r="BQ706" t="s">
        <v>1</v>
      </c>
      <c r="BR706" t="s">
        <v>1</v>
      </c>
      <c r="BS706" t="s">
        <v>1</v>
      </c>
      <c r="BT706" t="s">
        <v>1</v>
      </c>
      <c r="BU706" t="s">
        <v>1</v>
      </c>
      <c r="BV706" t="s">
        <v>1</v>
      </c>
      <c r="BW706" t="s">
        <v>0</v>
      </c>
      <c r="BX706" t="s">
        <v>1</v>
      </c>
      <c r="BY706" t="s">
        <v>1</v>
      </c>
      <c r="BZ706" t="s">
        <v>1</v>
      </c>
      <c r="CA706" t="s">
        <v>1</v>
      </c>
      <c r="CB706" t="s">
        <v>1</v>
      </c>
      <c r="CD706" t="e" cm="1">
        <f t="array" aca="1" ref="CD706" ca="1">eConcatenar(A706:CB706,"|")</f>
        <v>#NAME?</v>
      </c>
    </row>
    <row r="707" spans="1:82" x14ac:dyDescent="0.25">
      <c r="A707" t="s">
        <v>802</v>
      </c>
      <c r="B707" t="s">
        <v>1817</v>
      </c>
      <c r="C707">
        <v>3</v>
      </c>
      <c r="D707" t="s">
        <v>2153</v>
      </c>
      <c r="E707" t="s">
        <v>2158</v>
      </c>
      <c r="F707" t="s">
        <v>2159</v>
      </c>
      <c r="G707" t="s">
        <v>2573</v>
      </c>
      <c r="H707" t="s">
        <v>2903</v>
      </c>
      <c r="I707">
        <v>14800</v>
      </c>
      <c r="J707">
        <v>0</v>
      </c>
      <c r="K707">
        <v>200</v>
      </c>
      <c r="L707">
        <v>50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 t="s">
        <v>3202</v>
      </c>
      <c r="AC707" t="s">
        <v>3785</v>
      </c>
      <c r="AD707" t="s">
        <v>3870</v>
      </c>
      <c r="AE707" t="s">
        <v>4</v>
      </c>
      <c r="AF707" t="s">
        <v>1</v>
      </c>
      <c r="AG707" t="s">
        <v>1</v>
      </c>
      <c r="AH707" t="s">
        <v>4597</v>
      </c>
      <c r="AI707" t="s">
        <v>2573</v>
      </c>
      <c r="AJ707" t="s">
        <v>1</v>
      </c>
      <c r="AK707">
        <v>9331245449</v>
      </c>
      <c r="AL707" t="s">
        <v>1</v>
      </c>
      <c r="AM707" t="s">
        <v>1</v>
      </c>
      <c r="AN707" t="s">
        <v>1</v>
      </c>
      <c r="AO707" t="s">
        <v>4597</v>
      </c>
      <c r="AP707" t="s">
        <v>1</v>
      </c>
      <c r="AQ707" t="s">
        <v>2</v>
      </c>
      <c r="AR707" t="s">
        <v>1</v>
      </c>
      <c r="AS707" t="s">
        <v>1</v>
      </c>
      <c r="AT707" t="s">
        <v>1</v>
      </c>
      <c r="AU707" t="s">
        <v>1</v>
      </c>
      <c r="AV707" t="s">
        <v>1</v>
      </c>
      <c r="AW707" t="s">
        <v>9</v>
      </c>
      <c r="AX707">
        <f>Tabla1[[#This Row],[precio del paquete]]-Tabla1[[#This Row],[Saldo_Deudor]]</f>
        <v>3600</v>
      </c>
      <c r="AY707">
        <v>11200</v>
      </c>
      <c r="AZ707">
        <v>0</v>
      </c>
      <c r="BA707">
        <v>0</v>
      </c>
      <c r="BB707">
        <v>0</v>
      </c>
      <c r="BC707" t="s">
        <v>4830</v>
      </c>
      <c r="BD707" t="s">
        <v>4906</v>
      </c>
      <c r="BE707" t="s">
        <v>3</v>
      </c>
      <c r="BF707" t="s">
        <v>3</v>
      </c>
      <c r="BG707" t="s">
        <v>3</v>
      </c>
      <c r="BH707" t="s">
        <v>3</v>
      </c>
      <c r="BI707" t="s">
        <v>3</v>
      </c>
      <c r="BJ707" t="s">
        <v>5009</v>
      </c>
      <c r="BK707" t="s">
        <v>3</v>
      </c>
      <c r="BL707" t="s">
        <v>96</v>
      </c>
      <c r="BM707" t="s">
        <v>1</v>
      </c>
      <c r="BN707">
        <v>14800</v>
      </c>
      <c r="BO707" t="s">
        <v>1</v>
      </c>
      <c r="BP707" t="s">
        <v>1</v>
      </c>
      <c r="BQ707" t="s">
        <v>1</v>
      </c>
      <c r="BR707" t="s">
        <v>1</v>
      </c>
      <c r="BS707" t="s">
        <v>1</v>
      </c>
      <c r="BT707" t="s">
        <v>1</v>
      </c>
      <c r="BU707" t="s">
        <v>1</v>
      </c>
      <c r="BV707" t="s">
        <v>1</v>
      </c>
      <c r="BW707" t="s">
        <v>0</v>
      </c>
      <c r="BX707" t="s">
        <v>1</v>
      </c>
      <c r="BY707" t="s">
        <v>1</v>
      </c>
      <c r="BZ707" t="s">
        <v>1</v>
      </c>
      <c r="CA707" t="s">
        <v>1</v>
      </c>
      <c r="CB707" t="s">
        <v>1</v>
      </c>
      <c r="CD707" t="e" cm="1">
        <f t="array" aca="1" ref="CD707" ca="1">eConcatenar(A707:CB707,"|")</f>
        <v>#NAME?</v>
      </c>
    </row>
    <row r="708" spans="1:82" x14ac:dyDescent="0.25">
      <c r="A708" t="s">
        <v>803</v>
      </c>
      <c r="B708" t="s">
        <v>1818</v>
      </c>
      <c r="C708">
        <v>3</v>
      </c>
      <c r="D708" t="s">
        <v>2157</v>
      </c>
      <c r="E708" t="s">
        <v>2158</v>
      </c>
      <c r="F708" t="s">
        <v>2159</v>
      </c>
      <c r="G708" t="s">
        <v>2573</v>
      </c>
      <c r="H708" t="s">
        <v>3002</v>
      </c>
      <c r="I708">
        <v>12900</v>
      </c>
      <c r="J708">
        <v>0</v>
      </c>
      <c r="K708">
        <v>400</v>
      </c>
      <c r="L708">
        <v>50</v>
      </c>
      <c r="M708">
        <v>2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 t="s">
        <v>3384</v>
      </c>
      <c r="AC708" t="s">
        <v>3357</v>
      </c>
      <c r="AD708" t="s">
        <v>3871</v>
      </c>
      <c r="AE708" t="s">
        <v>4</v>
      </c>
      <c r="AF708" t="s">
        <v>1</v>
      </c>
      <c r="AG708" t="s">
        <v>1</v>
      </c>
      <c r="AH708" t="s">
        <v>4598</v>
      </c>
      <c r="AI708" t="s">
        <v>2573</v>
      </c>
      <c r="AJ708" t="s">
        <v>1</v>
      </c>
      <c r="AK708">
        <v>9331467704</v>
      </c>
      <c r="AL708" t="s">
        <v>1</v>
      </c>
      <c r="AM708" t="s">
        <v>1</v>
      </c>
      <c r="AN708" t="s">
        <v>1</v>
      </c>
      <c r="AO708" t="s">
        <v>4598</v>
      </c>
      <c r="AP708" t="s">
        <v>1</v>
      </c>
      <c r="AQ708" t="s">
        <v>2</v>
      </c>
      <c r="AR708" t="s">
        <v>1</v>
      </c>
      <c r="AS708" t="s">
        <v>1</v>
      </c>
      <c r="AT708" t="s">
        <v>1</v>
      </c>
      <c r="AU708" t="s">
        <v>1</v>
      </c>
      <c r="AV708" t="s">
        <v>1</v>
      </c>
      <c r="AW708" t="s">
        <v>9</v>
      </c>
      <c r="AX708">
        <f>Tabla1[[#This Row],[precio del paquete]]-Tabla1[[#This Row],[Saldo_Deudor]]</f>
        <v>8600</v>
      </c>
      <c r="AY708">
        <v>4300</v>
      </c>
      <c r="AZ708">
        <v>0</v>
      </c>
      <c r="BA708">
        <v>0</v>
      </c>
      <c r="BB708">
        <v>0</v>
      </c>
      <c r="BC708" t="s">
        <v>2916</v>
      </c>
      <c r="BD708" t="s">
        <v>4896</v>
      </c>
      <c r="BE708" t="s">
        <v>3</v>
      </c>
      <c r="BF708" t="s">
        <v>3</v>
      </c>
      <c r="BG708" t="s">
        <v>3</v>
      </c>
      <c r="BH708" t="s">
        <v>3</v>
      </c>
      <c r="BI708" t="s">
        <v>3</v>
      </c>
      <c r="BJ708" t="s">
        <v>5009</v>
      </c>
      <c r="BK708" t="s">
        <v>3</v>
      </c>
      <c r="BL708" t="s">
        <v>96</v>
      </c>
      <c r="BM708" t="s">
        <v>1</v>
      </c>
      <c r="BN708">
        <v>12900</v>
      </c>
      <c r="BO708" t="s">
        <v>1</v>
      </c>
      <c r="BP708" t="s">
        <v>1</v>
      </c>
      <c r="BQ708" t="s">
        <v>1</v>
      </c>
      <c r="BR708" t="s">
        <v>1</v>
      </c>
      <c r="BS708" t="s">
        <v>1</v>
      </c>
      <c r="BT708" t="s">
        <v>1</v>
      </c>
      <c r="BU708" t="s">
        <v>1</v>
      </c>
      <c r="BV708" t="s">
        <v>1</v>
      </c>
      <c r="BW708" t="s">
        <v>0</v>
      </c>
      <c r="BX708" t="s">
        <v>1</v>
      </c>
      <c r="BY708" t="s">
        <v>1</v>
      </c>
      <c r="BZ708" t="s">
        <v>1</v>
      </c>
      <c r="CA708" t="s">
        <v>1</v>
      </c>
      <c r="CB708" t="s">
        <v>1</v>
      </c>
      <c r="CD708" t="e" cm="1">
        <f t="array" aca="1" ref="CD708" ca="1">eConcatenar(A708:CB708,"|")</f>
        <v>#NAME?</v>
      </c>
    </row>
    <row r="709" spans="1:82" x14ac:dyDescent="0.25">
      <c r="A709" t="s">
        <v>804</v>
      </c>
      <c r="B709" t="s">
        <v>1819</v>
      </c>
      <c r="C709">
        <v>3</v>
      </c>
      <c r="D709" t="s">
        <v>2155</v>
      </c>
      <c r="E709" t="s">
        <v>2158</v>
      </c>
      <c r="F709" t="s">
        <v>2159</v>
      </c>
      <c r="G709" t="s">
        <v>2574</v>
      </c>
      <c r="H709" t="s">
        <v>3003</v>
      </c>
      <c r="I709">
        <v>12900</v>
      </c>
      <c r="J709">
        <v>0</v>
      </c>
      <c r="K709">
        <v>100</v>
      </c>
      <c r="L709">
        <v>50</v>
      </c>
      <c r="M709">
        <v>1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 t="s">
        <v>3352</v>
      </c>
      <c r="AC709" t="s">
        <v>3236</v>
      </c>
      <c r="AD709" t="s">
        <v>3592</v>
      </c>
      <c r="AE709" t="s">
        <v>4</v>
      </c>
      <c r="AF709" t="s">
        <v>1</v>
      </c>
      <c r="AG709" t="s">
        <v>1</v>
      </c>
      <c r="AH709" t="s">
        <v>2574</v>
      </c>
      <c r="AI709" t="s">
        <v>2574</v>
      </c>
      <c r="AJ709" t="s">
        <v>1</v>
      </c>
      <c r="AK709">
        <v>9331181257</v>
      </c>
      <c r="AL709" t="s">
        <v>1</v>
      </c>
      <c r="AM709" t="s">
        <v>1</v>
      </c>
      <c r="AN709" t="s">
        <v>1</v>
      </c>
      <c r="AO709" t="s">
        <v>2574</v>
      </c>
      <c r="AP709" t="s">
        <v>1</v>
      </c>
      <c r="AQ709" t="s">
        <v>2</v>
      </c>
      <c r="AR709" t="s">
        <v>1</v>
      </c>
      <c r="AS709" t="s">
        <v>1</v>
      </c>
      <c r="AT709" t="s">
        <v>1</v>
      </c>
      <c r="AU709" t="s">
        <v>1</v>
      </c>
      <c r="AV709" t="s">
        <v>1</v>
      </c>
      <c r="AW709" t="s">
        <v>9</v>
      </c>
      <c r="AX709">
        <f>Tabla1[[#This Row],[precio del paquete]]-Tabla1[[#This Row],[Saldo_Deudor]]</f>
        <v>3300</v>
      </c>
      <c r="AY709">
        <v>9600</v>
      </c>
      <c r="AZ709">
        <v>0</v>
      </c>
      <c r="BA709">
        <v>0</v>
      </c>
      <c r="BB709">
        <v>0</v>
      </c>
      <c r="BC709" t="s">
        <v>4830</v>
      </c>
      <c r="BD709" t="s">
        <v>4906</v>
      </c>
      <c r="BE709" t="s">
        <v>3</v>
      </c>
      <c r="BF709" t="s">
        <v>3</v>
      </c>
      <c r="BG709" t="s">
        <v>3</v>
      </c>
      <c r="BH709" t="s">
        <v>3</v>
      </c>
      <c r="BI709" t="s">
        <v>3</v>
      </c>
      <c r="BJ709" t="s">
        <v>5009</v>
      </c>
      <c r="BK709" t="s">
        <v>3</v>
      </c>
      <c r="BL709" t="s">
        <v>96</v>
      </c>
      <c r="BM709" t="s">
        <v>1</v>
      </c>
      <c r="BN709">
        <v>12900</v>
      </c>
      <c r="BO709" t="s">
        <v>1</v>
      </c>
      <c r="BP709" t="s">
        <v>1</v>
      </c>
      <c r="BQ709" t="s">
        <v>1</v>
      </c>
      <c r="BR709" t="s">
        <v>1</v>
      </c>
      <c r="BS709" t="s">
        <v>1</v>
      </c>
      <c r="BT709" t="s">
        <v>1</v>
      </c>
      <c r="BU709" t="s">
        <v>1</v>
      </c>
      <c r="BV709" t="s">
        <v>1</v>
      </c>
      <c r="BW709" t="s">
        <v>0</v>
      </c>
      <c r="BX709" t="s">
        <v>1</v>
      </c>
      <c r="BY709" t="s">
        <v>1</v>
      </c>
      <c r="BZ709" t="s">
        <v>1</v>
      </c>
      <c r="CA709" t="s">
        <v>1</v>
      </c>
      <c r="CB709" t="s">
        <v>1</v>
      </c>
      <c r="CD709" t="e" cm="1">
        <f t="array" aca="1" ref="CD709" ca="1">eConcatenar(A709:CB709,"|")</f>
        <v>#NAME?</v>
      </c>
    </row>
    <row r="710" spans="1:82" x14ac:dyDescent="0.25">
      <c r="A710" t="s">
        <v>805</v>
      </c>
      <c r="B710" t="s">
        <v>1820</v>
      </c>
      <c r="C710">
        <v>3</v>
      </c>
      <c r="D710" t="s">
        <v>2153</v>
      </c>
      <c r="E710" t="s">
        <v>2158</v>
      </c>
      <c r="F710" t="s">
        <v>2159</v>
      </c>
      <c r="G710" t="s">
        <v>2574</v>
      </c>
      <c r="H710" t="s">
        <v>3004</v>
      </c>
      <c r="I710">
        <v>14800</v>
      </c>
      <c r="J710">
        <v>0</v>
      </c>
      <c r="K710">
        <v>100</v>
      </c>
      <c r="L710">
        <v>50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 t="s">
        <v>3148</v>
      </c>
      <c r="AC710" t="s">
        <v>3132</v>
      </c>
      <c r="AD710" t="s">
        <v>3872</v>
      </c>
      <c r="AE710" t="s">
        <v>4</v>
      </c>
      <c r="AF710" t="s">
        <v>1</v>
      </c>
      <c r="AG710" t="s">
        <v>1</v>
      </c>
      <c r="AH710" t="s">
        <v>4599</v>
      </c>
      <c r="AI710" t="s">
        <v>2574</v>
      </c>
      <c r="AJ710" t="s">
        <v>1</v>
      </c>
      <c r="AK710">
        <v>9934096418</v>
      </c>
      <c r="AL710" t="s">
        <v>1</v>
      </c>
      <c r="AM710" t="s">
        <v>1</v>
      </c>
      <c r="AN710" t="s">
        <v>1</v>
      </c>
      <c r="AO710" t="s">
        <v>4599</v>
      </c>
      <c r="AP710" t="s">
        <v>1</v>
      </c>
      <c r="AQ710" t="s">
        <v>2</v>
      </c>
      <c r="AR710" t="s">
        <v>1</v>
      </c>
      <c r="AS710" t="s">
        <v>1</v>
      </c>
      <c r="AT710" t="s">
        <v>1</v>
      </c>
      <c r="AU710" t="s">
        <v>1</v>
      </c>
      <c r="AV710" t="s">
        <v>1</v>
      </c>
      <c r="AW710" t="s">
        <v>9</v>
      </c>
      <c r="AX710">
        <f>Tabla1[[#This Row],[precio del paquete]]-Tabla1[[#This Row],[Saldo_Deudor]]</f>
        <v>700</v>
      </c>
      <c r="AY710">
        <v>14100</v>
      </c>
      <c r="AZ710">
        <v>0</v>
      </c>
      <c r="BA710">
        <v>0</v>
      </c>
      <c r="BB710">
        <v>0</v>
      </c>
      <c r="BC710" t="s">
        <v>4829</v>
      </c>
      <c r="BD710" t="s">
        <v>4900</v>
      </c>
      <c r="BE710" t="s">
        <v>3</v>
      </c>
      <c r="BF710" t="s">
        <v>3</v>
      </c>
      <c r="BG710" t="s">
        <v>3</v>
      </c>
      <c r="BH710" t="s">
        <v>3</v>
      </c>
      <c r="BI710" t="s">
        <v>3</v>
      </c>
      <c r="BJ710" t="s">
        <v>4993</v>
      </c>
      <c r="BK710" t="s">
        <v>3</v>
      </c>
      <c r="BL710" t="s">
        <v>96</v>
      </c>
      <c r="BM710" t="s">
        <v>1</v>
      </c>
      <c r="BN710">
        <v>14800</v>
      </c>
      <c r="BO710" t="s">
        <v>1</v>
      </c>
      <c r="BP710" t="s">
        <v>1</v>
      </c>
      <c r="BQ710" t="s">
        <v>1</v>
      </c>
      <c r="BR710" t="s">
        <v>1</v>
      </c>
      <c r="BS710" t="s">
        <v>1</v>
      </c>
      <c r="BT710" t="s">
        <v>1</v>
      </c>
      <c r="BU710" t="s">
        <v>1</v>
      </c>
      <c r="BV710" t="s">
        <v>1</v>
      </c>
      <c r="BW710" t="s">
        <v>0</v>
      </c>
      <c r="BX710" t="s">
        <v>1</v>
      </c>
      <c r="BY710" t="s">
        <v>1</v>
      </c>
      <c r="BZ710" t="s">
        <v>1</v>
      </c>
      <c r="CA710" t="s">
        <v>1</v>
      </c>
      <c r="CB710" t="s">
        <v>1</v>
      </c>
      <c r="CD710" t="e" cm="1">
        <f t="array" aca="1" ref="CD710" ca="1">eConcatenar(A710:CB710,"|")</f>
        <v>#NAME?</v>
      </c>
    </row>
    <row r="711" spans="1:82" x14ac:dyDescent="0.25">
      <c r="A711" t="s">
        <v>806</v>
      </c>
      <c r="B711" t="s">
        <v>1821</v>
      </c>
      <c r="C711">
        <v>3</v>
      </c>
      <c r="D711" t="s">
        <v>2153</v>
      </c>
      <c r="E711" t="s">
        <v>2158</v>
      </c>
      <c r="F711" t="s">
        <v>2159</v>
      </c>
      <c r="G711" t="s">
        <v>2574</v>
      </c>
      <c r="H711" t="s">
        <v>2978</v>
      </c>
      <c r="I711">
        <v>14800</v>
      </c>
      <c r="J711">
        <v>0</v>
      </c>
      <c r="K711">
        <v>50</v>
      </c>
      <c r="L711">
        <v>50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 t="s">
        <v>3310</v>
      </c>
      <c r="AC711" t="s">
        <v>3384</v>
      </c>
      <c r="AD711" t="s">
        <v>3642</v>
      </c>
      <c r="AE711" t="s">
        <v>4</v>
      </c>
      <c r="AF711" t="s">
        <v>1</v>
      </c>
      <c r="AG711" t="s">
        <v>1</v>
      </c>
      <c r="AH711" t="s">
        <v>4600</v>
      </c>
      <c r="AI711" t="s">
        <v>2574</v>
      </c>
      <c r="AJ711" t="s">
        <v>1</v>
      </c>
      <c r="AK711">
        <v>9985771733</v>
      </c>
      <c r="AL711" t="s">
        <v>1</v>
      </c>
      <c r="AM711" t="s">
        <v>1</v>
      </c>
      <c r="AN711" t="s">
        <v>1</v>
      </c>
      <c r="AO711" t="s">
        <v>4600</v>
      </c>
      <c r="AP711" t="s">
        <v>1</v>
      </c>
      <c r="AQ711" t="s">
        <v>2</v>
      </c>
      <c r="AR711" t="s">
        <v>1</v>
      </c>
      <c r="AS711" t="s">
        <v>1</v>
      </c>
      <c r="AT711" t="s">
        <v>1</v>
      </c>
      <c r="AU711" t="s">
        <v>1</v>
      </c>
      <c r="AV711" t="s">
        <v>1</v>
      </c>
      <c r="AW711" t="s">
        <v>9</v>
      </c>
      <c r="AX711">
        <f>Tabla1[[#This Row],[precio del paquete]]-Tabla1[[#This Row],[Saldo_Deudor]]</f>
        <v>300</v>
      </c>
      <c r="AY711">
        <v>14500</v>
      </c>
      <c r="AZ711">
        <v>0</v>
      </c>
      <c r="BA711">
        <v>0</v>
      </c>
      <c r="BB711">
        <v>0</v>
      </c>
      <c r="BC711" t="s">
        <v>3005</v>
      </c>
      <c r="BD711" t="s">
        <v>2910</v>
      </c>
      <c r="BE711" t="s">
        <v>3</v>
      </c>
      <c r="BF711" t="s">
        <v>3</v>
      </c>
      <c r="BG711" t="s">
        <v>3</v>
      </c>
      <c r="BH711" t="s">
        <v>3</v>
      </c>
      <c r="BI711" t="s">
        <v>3</v>
      </c>
      <c r="BJ711" t="s">
        <v>4993</v>
      </c>
      <c r="BK711" t="s">
        <v>3</v>
      </c>
      <c r="BL711" t="s">
        <v>96</v>
      </c>
      <c r="BM711" t="s">
        <v>1</v>
      </c>
      <c r="BN711">
        <v>14800</v>
      </c>
      <c r="BO711" t="s">
        <v>1</v>
      </c>
      <c r="BP711" t="s">
        <v>1</v>
      </c>
      <c r="BQ711" t="s">
        <v>1</v>
      </c>
      <c r="BR711" t="s">
        <v>1</v>
      </c>
      <c r="BS711" t="s">
        <v>1</v>
      </c>
      <c r="BT711" t="s">
        <v>1</v>
      </c>
      <c r="BU711" t="s">
        <v>1</v>
      </c>
      <c r="BV711" t="s">
        <v>1</v>
      </c>
      <c r="BW711" t="s">
        <v>0</v>
      </c>
      <c r="BX711" t="s">
        <v>1</v>
      </c>
      <c r="BY711" t="s">
        <v>1</v>
      </c>
      <c r="BZ711" t="s">
        <v>1</v>
      </c>
      <c r="CA711" t="s">
        <v>1</v>
      </c>
      <c r="CB711" t="s">
        <v>1</v>
      </c>
      <c r="CD711" t="e" cm="1">
        <f t="array" aca="1" ref="CD711" ca="1">eConcatenar(A711:CB711,"|")</f>
        <v>#NAME?</v>
      </c>
    </row>
    <row r="712" spans="1:82" x14ac:dyDescent="0.25">
      <c r="A712" t="s">
        <v>807</v>
      </c>
      <c r="B712" t="s">
        <v>1822</v>
      </c>
      <c r="C712">
        <v>3</v>
      </c>
      <c r="D712" t="s">
        <v>2153</v>
      </c>
      <c r="E712" t="s">
        <v>2158</v>
      </c>
      <c r="F712" t="s">
        <v>2159</v>
      </c>
      <c r="G712" t="s">
        <v>2574</v>
      </c>
      <c r="H712" t="s">
        <v>3005</v>
      </c>
      <c r="I712">
        <v>14800</v>
      </c>
      <c r="J712">
        <v>0</v>
      </c>
      <c r="K712">
        <v>200</v>
      </c>
      <c r="L712">
        <v>50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 t="s">
        <v>3214</v>
      </c>
      <c r="AC712" t="s">
        <v>3177</v>
      </c>
      <c r="AD712" t="s">
        <v>3873</v>
      </c>
      <c r="AE712" t="s">
        <v>4</v>
      </c>
      <c r="AF712" t="s">
        <v>1</v>
      </c>
      <c r="AG712" t="s">
        <v>1</v>
      </c>
      <c r="AH712" t="s">
        <v>4601</v>
      </c>
      <c r="AI712" t="s">
        <v>2574</v>
      </c>
      <c r="AJ712" t="s">
        <v>1</v>
      </c>
      <c r="AK712">
        <v>9331688521</v>
      </c>
      <c r="AL712" t="s">
        <v>1</v>
      </c>
      <c r="AM712" t="s">
        <v>1</v>
      </c>
      <c r="AN712" t="s">
        <v>1</v>
      </c>
      <c r="AO712" t="s">
        <v>4601</v>
      </c>
      <c r="AP712" t="s">
        <v>1</v>
      </c>
      <c r="AQ712" t="s">
        <v>2</v>
      </c>
      <c r="AR712" t="s">
        <v>1</v>
      </c>
      <c r="AS712" t="s">
        <v>1</v>
      </c>
      <c r="AT712" t="s">
        <v>1</v>
      </c>
      <c r="AU712" t="s">
        <v>1</v>
      </c>
      <c r="AV712" t="s">
        <v>1</v>
      </c>
      <c r="AW712" t="s">
        <v>9</v>
      </c>
      <c r="AX712">
        <f>Tabla1[[#This Row],[precio del paquete]]-Tabla1[[#This Row],[Saldo_Deudor]]</f>
        <v>2700</v>
      </c>
      <c r="AY712">
        <v>12100</v>
      </c>
      <c r="AZ712">
        <v>0</v>
      </c>
      <c r="BA712">
        <v>0</v>
      </c>
      <c r="BB712">
        <v>0</v>
      </c>
      <c r="BC712" t="s">
        <v>4826</v>
      </c>
      <c r="BD712" t="s">
        <v>2706</v>
      </c>
      <c r="BE712" t="s">
        <v>3</v>
      </c>
      <c r="BF712" t="s">
        <v>3</v>
      </c>
      <c r="BG712" t="s">
        <v>3</v>
      </c>
      <c r="BH712" t="s">
        <v>3</v>
      </c>
      <c r="BI712" t="s">
        <v>3</v>
      </c>
      <c r="BJ712" t="s">
        <v>4993</v>
      </c>
      <c r="BK712" t="s">
        <v>3</v>
      </c>
      <c r="BL712" t="s">
        <v>96</v>
      </c>
      <c r="BM712" t="s">
        <v>1</v>
      </c>
      <c r="BN712">
        <v>14800</v>
      </c>
      <c r="BO712" t="s">
        <v>1</v>
      </c>
      <c r="BP712" t="s">
        <v>1</v>
      </c>
      <c r="BQ712" t="s">
        <v>1</v>
      </c>
      <c r="BR712" t="s">
        <v>1</v>
      </c>
      <c r="BS712" t="s">
        <v>1</v>
      </c>
      <c r="BT712" t="s">
        <v>1</v>
      </c>
      <c r="BU712" t="s">
        <v>1</v>
      </c>
      <c r="BV712" t="s">
        <v>1</v>
      </c>
      <c r="BW712" t="s">
        <v>0</v>
      </c>
      <c r="BX712" t="s">
        <v>1</v>
      </c>
      <c r="BY712" t="s">
        <v>1</v>
      </c>
      <c r="BZ712" t="s">
        <v>1</v>
      </c>
      <c r="CA712" t="s">
        <v>1</v>
      </c>
      <c r="CB712" t="s">
        <v>1</v>
      </c>
      <c r="CD712" t="e" cm="1">
        <f t="array" aca="1" ref="CD712" ca="1">eConcatenar(A712:CB712,"|")</f>
        <v>#NAME?</v>
      </c>
    </row>
    <row r="713" spans="1:82" x14ac:dyDescent="0.25">
      <c r="A713" t="s">
        <v>808</v>
      </c>
      <c r="B713" t="s">
        <v>1823</v>
      </c>
      <c r="C713">
        <v>3</v>
      </c>
      <c r="D713" t="s">
        <v>2153</v>
      </c>
      <c r="E713" t="s">
        <v>2158</v>
      </c>
      <c r="F713" t="s">
        <v>2159</v>
      </c>
      <c r="G713" t="s">
        <v>2574</v>
      </c>
      <c r="H713" t="s">
        <v>2904</v>
      </c>
      <c r="I713">
        <v>14800</v>
      </c>
      <c r="J713">
        <v>0</v>
      </c>
      <c r="K713">
        <v>50</v>
      </c>
      <c r="L713">
        <v>50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 t="s">
        <v>3568</v>
      </c>
      <c r="AC713" t="s">
        <v>3243</v>
      </c>
      <c r="AD713" t="s">
        <v>3212</v>
      </c>
      <c r="AE713" t="s">
        <v>4</v>
      </c>
      <c r="AF713" t="s">
        <v>1</v>
      </c>
      <c r="AG713" t="s">
        <v>1</v>
      </c>
      <c r="AH713" t="s">
        <v>4602</v>
      </c>
      <c r="AI713" t="s">
        <v>2574</v>
      </c>
      <c r="AJ713" t="s">
        <v>1</v>
      </c>
      <c r="AK713">
        <v>9331386560</v>
      </c>
      <c r="AL713" t="s">
        <v>1</v>
      </c>
      <c r="AM713" t="s">
        <v>1</v>
      </c>
      <c r="AN713" t="s">
        <v>1</v>
      </c>
      <c r="AO713" t="s">
        <v>4602</v>
      </c>
      <c r="AP713" t="s">
        <v>1</v>
      </c>
      <c r="AQ713" t="s">
        <v>2</v>
      </c>
      <c r="AR713" t="s">
        <v>1</v>
      </c>
      <c r="AS713" t="s">
        <v>1</v>
      </c>
      <c r="AT713" t="s">
        <v>1</v>
      </c>
      <c r="AU713" t="s">
        <v>1</v>
      </c>
      <c r="AV713" t="s">
        <v>1</v>
      </c>
      <c r="AW713" t="s">
        <v>9</v>
      </c>
      <c r="AX713">
        <f>Tabla1[[#This Row],[precio del paquete]]-Tabla1[[#This Row],[Saldo_Deudor]]</f>
        <v>250</v>
      </c>
      <c r="AY713">
        <v>14550</v>
      </c>
      <c r="AZ713">
        <v>0</v>
      </c>
      <c r="BA713">
        <v>0</v>
      </c>
      <c r="BB713">
        <v>0</v>
      </c>
      <c r="BC713" t="s">
        <v>2770</v>
      </c>
      <c r="BD713" t="s">
        <v>3061</v>
      </c>
      <c r="BE713" t="s">
        <v>3</v>
      </c>
      <c r="BF713" t="s">
        <v>3</v>
      </c>
      <c r="BG713" t="s">
        <v>3</v>
      </c>
      <c r="BH713" t="s">
        <v>3</v>
      </c>
      <c r="BI713" t="s">
        <v>3</v>
      </c>
      <c r="BJ713" t="s">
        <v>4993</v>
      </c>
      <c r="BK713" t="s">
        <v>3</v>
      </c>
      <c r="BL713" t="s">
        <v>96</v>
      </c>
      <c r="BM713" t="s">
        <v>1</v>
      </c>
      <c r="BN713">
        <v>14800</v>
      </c>
      <c r="BO713" t="s">
        <v>1</v>
      </c>
      <c r="BP713" t="s">
        <v>1</v>
      </c>
      <c r="BQ713" t="s">
        <v>1</v>
      </c>
      <c r="BR713" t="s">
        <v>1</v>
      </c>
      <c r="BS713" t="s">
        <v>1</v>
      </c>
      <c r="BT713" t="s">
        <v>1</v>
      </c>
      <c r="BU713" t="s">
        <v>1</v>
      </c>
      <c r="BV713" t="s">
        <v>1</v>
      </c>
      <c r="BW713" t="s">
        <v>0</v>
      </c>
      <c r="BX713" t="s">
        <v>1</v>
      </c>
      <c r="BY713" t="s">
        <v>1</v>
      </c>
      <c r="BZ713" t="s">
        <v>1</v>
      </c>
      <c r="CA713" t="s">
        <v>1</v>
      </c>
      <c r="CB713" t="s">
        <v>1</v>
      </c>
      <c r="CD713" t="e" cm="1">
        <f t="array" aca="1" ref="CD713" ca="1">eConcatenar(A713:CB713,"|")</f>
        <v>#NAME?</v>
      </c>
    </row>
    <row r="714" spans="1:82" x14ac:dyDescent="0.25">
      <c r="A714" t="s">
        <v>809</v>
      </c>
      <c r="B714" t="s">
        <v>1824</v>
      </c>
      <c r="C714">
        <v>3</v>
      </c>
      <c r="D714" t="s">
        <v>2157</v>
      </c>
      <c r="E714" t="s">
        <v>2158</v>
      </c>
      <c r="F714" t="s">
        <v>2159</v>
      </c>
      <c r="G714" t="s">
        <v>2574</v>
      </c>
      <c r="H714" t="s">
        <v>2706</v>
      </c>
      <c r="I714">
        <v>12900</v>
      </c>
      <c r="J714">
        <v>0</v>
      </c>
      <c r="K714">
        <v>100</v>
      </c>
      <c r="L714">
        <v>50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 t="s">
        <v>3193</v>
      </c>
      <c r="AC714" t="s">
        <v>3114</v>
      </c>
      <c r="AD714" t="s">
        <v>3874</v>
      </c>
      <c r="AE714" t="s">
        <v>4</v>
      </c>
      <c r="AF714" t="s">
        <v>1</v>
      </c>
      <c r="AG714" t="s">
        <v>1</v>
      </c>
      <c r="AH714" t="s">
        <v>2574</v>
      </c>
      <c r="AI714" t="s">
        <v>2574</v>
      </c>
      <c r="AJ714" t="s">
        <v>1</v>
      </c>
      <c r="AK714" t="s">
        <v>1</v>
      </c>
      <c r="AL714" t="s">
        <v>1</v>
      </c>
      <c r="AM714" t="s">
        <v>1</v>
      </c>
      <c r="AN714" t="s">
        <v>1</v>
      </c>
      <c r="AO714" t="s">
        <v>2574</v>
      </c>
      <c r="AP714" t="s">
        <v>1</v>
      </c>
      <c r="AQ714" t="s">
        <v>2</v>
      </c>
      <c r="AR714" t="s">
        <v>1</v>
      </c>
      <c r="AS714" t="s">
        <v>1</v>
      </c>
      <c r="AT714" t="s">
        <v>1</v>
      </c>
      <c r="AU714" t="s">
        <v>1</v>
      </c>
      <c r="AV714" t="s">
        <v>1</v>
      </c>
      <c r="AW714" t="s">
        <v>9</v>
      </c>
      <c r="AX714">
        <f>Tabla1[[#This Row],[precio del paquete]]-Tabla1[[#This Row],[Saldo_Deudor]]</f>
        <v>12100</v>
      </c>
      <c r="AY714">
        <v>800</v>
      </c>
      <c r="AZ714">
        <v>0</v>
      </c>
      <c r="BA714">
        <v>0</v>
      </c>
      <c r="BB714">
        <v>0</v>
      </c>
      <c r="BC714" t="s">
        <v>2711</v>
      </c>
      <c r="BD714" t="s">
        <v>2712</v>
      </c>
      <c r="BE714" t="s">
        <v>3</v>
      </c>
      <c r="BF714" t="s">
        <v>3</v>
      </c>
      <c r="BG714" t="s">
        <v>3</v>
      </c>
      <c r="BH714" t="s">
        <v>3</v>
      </c>
      <c r="BI714" t="s">
        <v>3</v>
      </c>
      <c r="BJ714" t="s">
        <v>4984</v>
      </c>
      <c r="BK714" t="s">
        <v>3</v>
      </c>
      <c r="BL714" t="s">
        <v>96</v>
      </c>
      <c r="BM714" t="s">
        <v>1</v>
      </c>
      <c r="BN714">
        <v>12900</v>
      </c>
      <c r="BO714" t="s">
        <v>1</v>
      </c>
      <c r="BP714" t="s">
        <v>1</v>
      </c>
      <c r="BQ714" t="s">
        <v>1</v>
      </c>
      <c r="BR714" t="s">
        <v>1</v>
      </c>
      <c r="BS714" t="s">
        <v>1</v>
      </c>
      <c r="BT714" t="s">
        <v>1</v>
      </c>
      <c r="BU714" t="s">
        <v>1</v>
      </c>
      <c r="BV714" t="s">
        <v>1</v>
      </c>
      <c r="BW714" t="s">
        <v>0</v>
      </c>
      <c r="BX714" t="s">
        <v>1</v>
      </c>
      <c r="BY714" t="s">
        <v>1</v>
      </c>
      <c r="BZ714" t="s">
        <v>1</v>
      </c>
      <c r="CA714" t="s">
        <v>1</v>
      </c>
      <c r="CB714" t="s">
        <v>1</v>
      </c>
      <c r="CD714" t="e" cm="1">
        <f t="array" aca="1" ref="CD714" ca="1">eConcatenar(A714:CB714,"|")</f>
        <v>#NAME?</v>
      </c>
    </row>
    <row r="715" spans="1:82" x14ac:dyDescent="0.25">
      <c r="A715" t="s">
        <v>810</v>
      </c>
      <c r="B715" t="s">
        <v>1825</v>
      </c>
      <c r="C715">
        <v>3</v>
      </c>
      <c r="D715" t="s">
        <v>2157</v>
      </c>
      <c r="E715" t="s">
        <v>2158</v>
      </c>
      <c r="F715" t="s">
        <v>2159</v>
      </c>
      <c r="G715" t="s">
        <v>2574</v>
      </c>
      <c r="H715" t="s">
        <v>2706</v>
      </c>
      <c r="I715">
        <v>12900</v>
      </c>
      <c r="J715">
        <v>0</v>
      </c>
      <c r="K715">
        <v>200</v>
      </c>
      <c r="L715">
        <v>50</v>
      </c>
      <c r="M715">
        <v>1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 t="s">
        <v>3225</v>
      </c>
      <c r="AC715" t="s">
        <v>3472</v>
      </c>
      <c r="AD715" t="s">
        <v>3677</v>
      </c>
      <c r="AE715" t="s">
        <v>4</v>
      </c>
      <c r="AF715" t="s">
        <v>1</v>
      </c>
      <c r="AG715" t="s">
        <v>1</v>
      </c>
      <c r="AH715" t="s">
        <v>2574</v>
      </c>
      <c r="AI715" t="s">
        <v>2574</v>
      </c>
      <c r="AJ715" t="s">
        <v>1</v>
      </c>
      <c r="AK715" t="s">
        <v>1</v>
      </c>
      <c r="AL715" t="s">
        <v>1</v>
      </c>
      <c r="AM715" t="s">
        <v>1</v>
      </c>
      <c r="AN715" t="s">
        <v>1</v>
      </c>
      <c r="AO715" t="s">
        <v>2574</v>
      </c>
      <c r="AP715" t="s">
        <v>1</v>
      </c>
      <c r="AQ715" t="s">
        <v>2</v>
      </c>
      <c r="AR715" t="s">
        <v>1</v>
      </c>
      <c r="AS715" t="s">
        <v>1</v>
      </c>
      <c r="AT715" t="s">
        <v>1</v>
      </c>
      <c r="AU715" t="s">
        <v>1</v>
      </c>
      <c r="AV715" t="s">
        <v>1</v>
      </c>
      <c r="AW715" t="s">
        <v>9</v>
      </c>
      <c r="AX715">
        <f>Tabla1[[#This Row],[precio del paquete]]-Tabla1[[#This Row],[Saldo_Deudor]]</f>
        <v>12600</v>
      </c>
      <c r="AY715">
        <v>300</v>
      </c>
      <c r="AZ715">
        <v>0</v>
      </c>
      <c r="BA715">
        <v>0</v>
      </c>
      <c r="BB715">
        <v>0</v>
      </c>
      <c r="BC715" t="s">
        <v>2711</v>
      </c>
      <c r="BD715" t="s">
        <v>2712</v>
      </c>
      <c r="BE715" t="s">
        <v>3</v>
      </c>
      <c r="BF715" t="s">
        <v>3</v>
      </c>
      <c r="BG715" t="s">
        <v>3</v>
      </c>
      <c r="BH715" t="s">
        <v>3</v>
      </c>
      <c r="BI715" t="s">
        <v>3</v>
      </c>
      <c r="BJ715" t="s">
        <v>4984</v>
      </c>
      <c r="BK715" t="s">
        <v>3</v>
      </c>
      <c r="BL715" t="s">
        <v>96</v>
      </c>
      <c r="BM715" t="s">
        <v>1</v>
      </c>
      <c r="BN715">
        <v>12900</v>
      </c>
      <c r="BO715" t="s">
        <v>1</v>
      </c>
      <c r="BP715" t="s">
        <v>1</v>
      </c>
      <c r="BQ715" t="s">
        <v>1</v>
      </c>
      <c r="BR715" t="s">
        <v>1</v>
      </c>
      <c r="BS715" t="s">
        <v>1</v>
      </c>
      <c r="BT715" t="s">
        <v>1</v>
      </c>
      <c r="BU715" t="s">
        <v>1</v>
      </c>
      <c r="BV715" t="s">
        <v>1</v>
      </c>
      <c r="BW715" t="s">
        <v>0</v>
      </c>
      <c r="BX715" t="s">
        <v>1</v>
      </c>
      <c r="BY715" t="s">
        <v>1</v>
      </c>
      <c r="BZ715" t="s">
        <v>1</v>
      </c>
      <c r="CA715" t="s">
        <v>1</v>
      </c>
      <c r="CB715" t="s">
        <v>1</v>
      </c>
      <c r="CD715" t="e" cm="1">
        <f t="array" aca="1" ref="CD715" ca="1">eConcatenar(A715:CB715,"|")</f>
        <v>#NAME?</v>
      </c>
    </row>
    <row r="716" spans="1:82" x14ac:dyDescent="0.25">
      <c r="A716" t="s">
        <v>811</v>
      </c>
      <c r="B716" t="s">
        <v>1826</v>
      </c>
      <c r="C716">
        <v>3</v>
      </c>
      <c r="D716" t="s">
        <v>2153</v>
      </c>
      <c r="E716" t="s">
        <v>2158</v>
      </c>
      <c r="F716" t="s">
        <v>8</v>
      </c>
      <c r="G716" t="s">
        <v>2575</v>
      </c>
      <c r="H716" t="s">
        <v>3006</v>
      </c>
      <c r="I716">
        <v>14800</v>
      </c>
      <c r="J716">
        <v>0</v>
      </c>
      <c r="K716">
        <v>200</v>
      </c>
      <c r="L716">
        <v>50</v>
      </c>
      <c r="M716">
        <v>1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 t="s">
        <v>3302</v>
      </c>
      <c r="AC716" t="s">
        <v>3280</v>
      </c>
      <c r="AD716" t="s">
        <v>3775</v>
      </c>
      <c r="AE716" t="s">
        <v>4</v>
      </c>
      <c r="AF716" t="s">
        <v>1</v>
      </c>
      <c r="AG716" t="s">
        <v>1</v>
      </c>
      <c r="AH716" t="s">
        <v>4603</v>
      </c>
      <c r="AI716" t="s">
        <v>2575</v>
      </c>
      <c r="AJ716" t="s">
        <v>1</v>
      </c>
      <c r="AK716">
        <v>9371343220</v>
      </c>
      <c r="AL716" t="s">
        <v>1</v>
      </c>
      <c r="AM716" t="s">
        <v>1</v>
      </c>
      <c r="AN716" t="s">
        <v>1</v>
      </c>
      <c r="AO716" t="s">
        <v>4603</v>
      </c>
      <c r="AP716" t="s">
        <v>1</v>
      </c>
      <c r="AQ716" t="s">
        <v>2</v>
      </c>
      <c r="AR716" t="s">
        <v>1</v>
      </c>
      <c r="AS716" t="s">
        <v>1</v>
      </c>
      <c r="AT716" t="s">
        <v>1</v>
      </c>
      <c r="AU716" t="s">
        <v>1</v>
      </c>
      <c r="AV716" t="s">
        <v>1</v>
      </c>
      <c r="AW716" t="s">
        <v>9</v>
      </c>
      <c r="AX716">
        <f>Tabla1[[#This Row],[precio del paquete]]-Tabla1[[#This Row],[Saldo_Deudor]]</f>
        <v>550</v>
      </c>
      <c r="AY716">
        <v>14250</v>
      </c>
      <c r="AZ716">
        <v>0</v>
      </c>
      <c r="BA716">
        <v>0</v>
      </c>
      <c r="BB716">
        <v>0</v>
      </c>
      <c r="BC716" t="s">
        <v>3006</v>
      </c>
      <c r="BD716" t="s">
        <v>2790</v>
      </c>
      <c r="BE716" t="s">
        <v>3</v>
      </c>
      <c r="BF716" t="s">
        <v>3</v>
      </c>
      <c r="BG716" t="s">
        <v>3</v>
      </c>
      <c r="BH716" t="s">
        <v>3</v>
      </c>
      <c r="BI716" t="s">
        <v>3</v>
      </c>
      <c r="BJ716" t="s">
        <v>4984</v>
      </c>
      <c r="BK716" t="s">
        <v>3</v>
      </c>
      <c r="BL716" t="s">
        <v>96</v>
      </c>
      <c r="BM716" t="s">
        <v>1</v>
      </c>
      <c r="BN716">
        <v>14800</v>
      </c>
      <c r="BO716" t="s">
        <v>1</v>
      </c>
      <c r="BP716" t="s">
        <v>1</v>
      </c>
      <c r="BQ716" t="s">
        <v>1</v>
      </c>
      <c r="BR716" t="s">
        <v>1</v>
      </c>
      <c r="BS716" t="s">
        <v>1</v>
      </c>
      <c r="BT716" t="s">
        <v>1</v>
      </c>
      <c r="BU716" t="s">
        <v>1</v>
      </c>
      <c r="BV716" t="s">
        <v>1</v>
      </c>
      <c r="BW716" t="s">
        <v>0</v>
      </c>
      <c r="BX716" t="s">
        <v>1</v>
      </c>
      <c r="BY716" t="s">
        <v>1</v>
      </c>
      <c r="BZ716" t="s">
        <v>1</v>
      </c>
      <c r="CA716" t="s">
        <v>1</v>
      </c>
      <c r="CB716" t="s">
        <v>1</v>
      </c>
      <c r="CD716" t="e" cm="1">
        <f t="array" aca="1" ref="CD716" ca="1">eConcatenar(A716:CB716,"|")</f>
        <v>#NAME?</v>
      </c>
    </row>
    <row r="717" spans="1:82" x14ac:dyDescent="0.25">
      <c r="A717" t="s">
        <v>812</v>
      </c>
      <c r="B717" t="s">
        <v>1827</v>
      </c>
      <c r="C717">
        <v>3</v>
      </c>
      <c r="D717" t="s">
        <v>2153</v>
      </c>
      <c r="E717" t="s">
        <v>2158</v>
      </c>
      <c r="F717" t="s">
        <v>0</v>
      </c>
      <c r="G717" t="s">
        <v>2575</v>
      </c>
      <c r="H717" t="s">
        <v>2735</v>
      </c>
      <c r="I717">
        <v>14800</v>
      </c>
      <c r="J717">
        <v>0</v>
      </c>
      <c r="K717">
        <v>100</v>
      </c>
      <c r="L717">
        <v>50</v>
      </c>
      <c r="M717">
        <v>1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 t="s">
        <v>3161</v>
      </c>
      <c r="AC717" t="s">
        <v>3143</v>
      </c>
      <c r="AD717" t="s">
        <v>3875</v>
      </c>
      <c r="AE717" t="s">
        <v>4</v>
      </c>
      <c r="AF717" t="s">
        <v>1</v>
      </c>
      <c r="AG717" t="s">
        <v>1</v>
      </c>
      <c r="AH717" t="s">
        <v>4604</v>
      </c>
      <c r="AI717" t="s">
        <v>2575</v>
      </c>
      <c r="AJ717" t="s">
        <v>1</v>
      </c>
      <c r="AK717">
        <v>9371786656</v>
      </c>
      <c r="AL717" t="s">
        <v>1</v>
      </c>
      <c r="AM717" t="s">
        <v>1</v>
      </c>
      <c r="AN717" t="s">
        <v>1</v>
      </c>
      <c r="AO717" t="s">
        <v>4604</v>
      </c>
      <c r="AP717" t="s">
        <v>1</v>
      </c>
      <c r="AQ717" t="s">
        <v>2</v>
      </c>
      <c r="AR717" t="s">
        <v>1</v>
      </c>
      <c r="AS717" t="s">
        <v>1</v>
      </c>
      <c r="AT717" t="s">
        <v>1</v>
      </c>
      <c r="AU717" t="s">
        <v>1</v>
      </c>
      <c r="AV717" t="s">
        <v>1</v>
      </c>
      <c r="AW717" t="s">
        <v>9</v>
      </c>
      <c r="AX717">
        <f>Tabla1[[#This Row],[precio del paquete]]-Tabla1[[#This Row],[Saldo_Deudor]]</f>
        <v>700</v>
      </c>
      <c r="AY717">
        <v>14100</v>
      </c>
      <c r="AZ717">
        <v>0</v>
      </c>
      <c r="BA717">
        <v>0</v>
      </c>
      <c r="BB717">
        <v>0</v>
      </c>
      <c r="BC717" t="s">
        <v>2778</v>
      </c>
      <c r="BD717" t="s">
        <v>2849</v>
      </c>
      <c r="BE717" t="s">
        <v>3</v>
      </c>
      <c r="BF717" t="s">
        <v>3</v>
      </c>
      <c r="BG717" t="s">
        <v>3</v>
      </c>
      <c r="BH717" t="s">
        <v>3</v>
      </c>
      <c r="BI717" t="s">
        <v>3</v>
      </c>
      <c r="BJ717" t="s">
        <v>4983</v>
      </c>
      <c r="BK717" t="s">
        <v>3</v>
      </c>
      <c r="BL717" t="s">
        <v>96</v>
      </c>
      <c r="BM717" t="s">
        <v>1</v>
      </c>
      <c r="BN717">
        <v>14800</v>
      </c>
      <c r="BO717" t="s">
        <v>1</v>
      </c>
      <c r="BP717" t="s">
        <v>1</v>
      </c>
      <c r="BQ717" t="s">
        <v>1</v>
      </c>
      <c r="BR717" t="s">
        <v>1</v>
      </c>
      <c r="BS717" t="s">
        <v>1</v>
      </c>
      <c r="BT717" t="s">
        <v>1</v>
      </c>
      <c r="BU717" t="s">
        <v>1</v>
      </c>
      <c r="BV717" t="s">
        <v>1</v>
      </c>
      <c r="BW717" t="s">
        <v>0</v>
      </c>
      <c r="BX717" t="s">
        <v>1</v>
      </c>
      <c r="BY717" t="s">
        <v>1</v>
      </c>
      <c r="BZ717" t="s">
        <v>1</v>
      </c>
      <c r="CA717" t="s">
        <v>1</v>
      </c>
      <c r="CB717" t="s">
        <v>1</v>
      </c>
      <c r="CD717" t="e" cm="1">
        <f t="array" aca="1" ref="CD717" ca="1">eConcatenar(A717:CB717,"|")</f>
        <v>#NAME?</v>
      </c>
    </row>
    <row r="718" spans="1:82" x14ac:dyDescent="0.25">
      <c r="A718" t="s">
        <v>813</v>
      </c>
      <c r="B718" t="s">
        <v>1828</v>
      </c>
      <c r="C718">
        <v>3</v>
      </c>
      <c r="D718" t="s">
        <v>2154</v>
      </c>
      <c r="E718" t="s">
        <v>2158</v>
      </c>
      <c r="F718" t="s">
        <v>0</v>
      </c>
      <c r="G718" t="s">
        <v>2576</v>
      </c>
      <c r="H718" t="s">
        <v>2843</v>
      </c>
      <c r="I718">
        <v>24500</v>
      </c>
      <c r="J718">
        <v>0</v>
      </c>
      <c r="K718">
        <v>100</v>
      </c>
      <c r="L718">
        <v>50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 t="s">
        <v>3412</v>
      </c>
      <c r="AC718" t="s">
        <v>3117</v>
      </c>
      <c r="AD718" t="s">
        <v>3550</v>
      </c>
      <c r="AE718" t="s">
        <v>4</v>
      </c>
      <c r="AF718" t="s">
        <v>1</v>
      </c>
      <c r="AG718" t="s">
        <v>1</v>
      </c>
      <c r="AH718" t="s">
        <v>4602</v>
      </c>
      <c r="AI718" t="s">
        <v>2576</v>
      </c>
      <c r="AJ718" t="s">
        <v>1</v>
      </c>
      <c r="AK718">
        <v>9372700578</v>
      </c>
      <c r="AL718" t="s">
        <v>1</v>
      </c>
      <c r="AM718" t="s">
        <v>1</v>
      </c>
      <c r="AN718" t="s">
        <v>1</v>
      </c>
      <c r="AO718" t="s">
        <v>4602</v>
      </c>
      <c r="AP718" t="s">
        <v>1</v>
      </c>
      <c r="AQ718" t="s">
        <v>2</v>
      </c>
      <c r="AR718" t="s">
        <v>1</v>
      </c>
      <c r="AS718" t="s">
        <v>1</v>
      </c>
      <c r="AT718" t="s">
        <v>1</v>
      </c>
      <c r="AU718" t="s">
        <v>1</v>
      </c>
      <c r="AV718" t="s">
        <v>1</v>
      </c>
      <c r="AW718" t="s">
        <v>9</v>
      </c>
      <c r="AX718">
        <f>Tabla1[[#This Row],[precio del paquete]]-Tabla1[[#This Row],[Saldo_Deudor]]</f>
        <v>800</v>
      </c>
      <c r="AY718">
        <v>23700</v>
      </c>
      <c r="AZ718">
        <v>0</v>
      </c>
      <c r="BA718">
        <v>0</v>
      </c>
      <c r="BB718">
        <v>0</v>
      </c>
      <c r="BC718" t="s">
        <v>2770</v>
      </c>
      <c r="BD718" t="s">
        <v>3061</v>
      </c>
      <c r="BE718" t="s">
        <v>3</v>
      </c>
      <c r="BF718" t="s">
        <v>3</v>
      </c>
      <c r="BG718" t="s">
        <v>3</v>
      </c>
      <c r="BH718" t="s">
        <v>3</v>
      </c>
      <c r="BI718" t="s">
        <v>3</v>
      </c>
      <c r="BJ718" t="s">
        <v>4983</v>
      </c>
      <c r="BK718" t="s">
        <v>3</v>
      </c>
      <c r="BL718" t="s">
        <v>96</v>
      </c>
      <c r="BM718" t="s">
        <v>1</v>
      </c>
      <c r="BN718">
        <v>24500</v>
      </c>
      <c r="BO718" t="s">
        <v>1</v>
      </c>
      <c r="BP718" t="s">
        <v>1</v>
      </c>
      <c r="BQ718" t="s">
        <v>1</v>
      </c>
      <c r="BR718" t="s">
        <v>1</v>
      </c>
      <c r="BS718" t="s">
        <v>1</v>
      </c>
      <c r="BT718" t="s">
        <v>1</v>
      </c>
      <c r="BU718" t="s">
        <v>1</v>
      </c>
      <c r="BV718" t="s">
        <v>1</v>
      </c>
      <c r="BW718" t="s">
        <v>0</v>
      </c>
      <c r="BX718" t="s">
        <v>1</v>
      </c>
      <c r="BY718" t="s">
        <v>1</v>
      </c>
      <c r="BZ718" t="s">
        <v>1</v>
      </c>
      <c r="CA718" t="s">
        <v>1</v>
      </c>
      <c r="CB718" t="s">
        <v>1</v>
      </c>
      <c r="CD718" t="e" cm="1">
        <f t="array" aca="1" ref="CD718" ca="1">eConcatenar(A718:CB718,"|")</f>
        <v>#NAME?</v>
      </c>
    </row>
    <row r="719" spans="1:82" x14ac:dyDescent="0.25">
      <c r="A719" t="s">
        <v>814</v>
      </c>
      <c r="B719" t="s">
        <v>1829</v>
      </c>
      <c r="C719">
        <v>3</v>
      </c>
      <c r="D719" t="s">
        <v>2157</v>
      </c>
      <c r="E719" t="s">
        <v>2158</v>
      </c>
      <c r="F719" t="s">
        <v>2162</v>
      </c>
      <c r="G719" t="s">
        <v>2577</v>
      </c>
      <c r="H719" t="s">
        <v>3007</v>
      </c>
      <c r="I719">
        <v>12900</v>
      </c>
      <c r="J719">
        <v>0</v>
      </c>
      <c r="K719">
        <v>200</v>
      </c>
      <c r="L719">
        <v>50</v>
      </c>
      <c r="M719">
        <v>1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 t="s">
        <v>3276</v>
      </c>
      <c r="AC719" t="s">
        <v>3152</v>
      </c>
      <c r="AD719" t="s">
        <v>3283</v>
      </c>
      <c r="AE719" t="s">
        <v>4</v>
      </c>
      <c r="AF719" t="s">
        <v>1</v>
      </c>
      <c r="AG719" t="s">
        <v>1</v>
      </c>
      <c r="AH719" t="s">
        <v>4605</v>
      </c>
      <c r="AI719" t="s">
        <v>2577</v>
      </c>
      <c r="AJ719" t="s">
        <v>1</v>
      </c>
      <c r="AK719">
        <v>5520114553</v>
      </c>
      <c r="AL719" t="s">
        <v>1</v>
      </c>
      <c r="AM719" t="s">
        <v>1</v>
      </c>
      <c r="AN719" t="s">
        <v>1</v>
      </c>
      <c r="AO719" t="s">
        <v>4605</v>
      </c>
      <c r="AP719" t="s">
        <v>1</v>
      </c>
      <c r="AQ719" t="s">
        <v>2</v>
      </c>
      <c r="AR719" t="s">
        <v>1</v>
      </c>
      <c r="AS719" t="s">
        <v>1</v>
      </c>
      <c r="AT719" t="s">
        <v>1</v>
      </c>
      <c r="AU719" t="s">
        <v>1</v>
      </c>
      <c r="AV719" t="s">
        <v>1</v>
      </c>
      <c r="AW719" t="s">
        <v>9</v>
      </c>
      <c r="AX719">
        <f>Tabla1[[#This Row],[precio del paquete]]-Tabla1[[#This Row],[Saldo_Deudor]]</f>
        <v>4850</v>
      </c>
      <c r="AY719">
        <v>8050</v>
      </c>
      <c r="AZ719">
        <v>0</v>
      </c>
      <c r="BA719">
        <v>0</v>
      </c>
      <c r="BB719">
        <v>0</v>
      </c>
      <c r="BC719" t="s">
        <v>3061</v>
      </c>
      <c r="BD719" t="s">
        <v>3040</v>
      </c>
      <c r="BE719" t="s">
        <v>3</v>
      </c>
      <c r="BF719" t="s">
        <v>3</v>
      </c>
      <c r="BG719" t="s">
        <v>3</v>
      </c>
      <c r="BH719" t="s">
        <v>3</v>
      </c>
      <c r="BI719" t="s">
        <v>3</v>
      </c>
      <c r="BJ719" t="s">
        <v>4994</v>
      </c>
      <c r="BK719" t="s">
        <v>3</v>
      </c>
      <c r="BL719" t="s">
        <v>96</v>
      </c>
      <c r="BM719" t="s">
        <v>1</v>
      </c>
      <c r="BN719">
        <v>12900</v>
      </c>
      <c r="BO719" t="s">
        <v>1</v>
      </c>
      <c r="BP719" t="s">
        <v>1</v>
      </c>
      <c r="BQ719" t="s">
        <v>1</v>
      </c>
      <c r="BR719" t="s">
        <v>1</v>
      </c>
      <c r="BS719" t="s">
        <v>1</v>
      </c>
      <c r="BT719" t="s">
        <v>1</v>
      </c>
      <c r="BU719" t="s">
        <v>1</v>
      </c>
      <c r="BV719" t="s">
        <v>1</v>
      </c>
      <c r="BW719" t="s">
        <v>0</v>
      </c>
      <c r="BX719" t="s">
        <v>1</v>
      </c>
      <c r="BY719" t="s">
        <v>1</v>
      </c>
      <c r="BZ719" t="s">
        <v>1</v>
      </c>
      <c r="CA719" t="s">
        <v>1</v>
      </c>
      <c r="CB719" t="s">
        <v>1</v>
      </c>
      <c r="CD719" t="e" cm="1">
        <f t="array" aca="1" ref="CD719" ca="1">eConcatenar(A719:CB719,"|")</f>
        <v>#NAME?</v>
      </c>
    </row>
    <row r="720" spans="1:82" x14ac:dyDescent="0.25">
      <c r="A720" t="s">
        <v>815</v>
      </c>
      <c r="B720" t="s">
        <v>1830</v>
      </c>
      <c r="C720">
        <v>3</v>
      </c>
      <c r="D720" t="s">
        <v>2155</v>
      </c>
      <c r="E720" t="s">
        <v>2158</v>
      </c>
      <c r="F720" t="s">
        <v>2162</v>
      </c>
      <c r="G720" t="s">
        <v>2578</v>
      </c>
      <c r="H720" t="s">
        <v>2706</v>
      </c>
      <c r="I720">
        <v>12900</v>
      </c>
      <c r="J720">
        <v>0</v>
      </c>
      <c r="K720">
        <v>100</v>
      </c>
      <c r="L720">
        <v>50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 t="s">
        <v>3132</v>
      </c>
      <c r="AC720" t="s">
        <v>5</v>
      </c>
      <c r="AD720" t="s">
        <v>3727</v>
      </c>
      <c r="AE720" t="s">
        <v>4</v>
      </c>
      <c r="AF720" t="s">
        <v>1</v>
      </c>
      <c r="AG720" t="s">
        <v>1</v>
      </c>
      <c r="AH720" t="s">
        <v>2577</v>
      </c>
      <c r="AI720" t="s">
        <v>2578</v>
      </c>
      <c r="AJ720" t="s">
        <v>1</v>
      </c>
      <c r="AK720" t="s">
        <v>1</v>
      </c>
      <c r="AL720" t="s">
        <v>1</v>
      </c>
      <c r="AM720" t="s">
        <v>1</v>
      </c>
      <c r="AN720" t="s">
        <v>1</v>
      </c>
      <c r="AO720" t="s">
        <v>2577</v>
      </c>
      <c r="AP720" t="s">
        <v>1</v>
      </c>
      <c r="AQ720" t="s">
        <v>2</v>
      </c>
      <c r="AR720" t="s">
        <v>1</v>
      </c>
      <c r="AS720" t="s">
        <v>1</v>
      </c>
      <c r="AT720" t="s">
        <v>1</v>
      </c>
      <c r="AU720" t="s">
        <v>1</v>
      </c>
      <c r="AV720" t="s">
        <v>1</v>
      </c>
      <c r="AW720" t="s">
        <v>9</v>
      </c>
      <c r="AX720">
        <f>Tabla1[[#This Row],[precio del paquete]]-Tabla1[[#This Row],[Saldo_Deudor]]</f>
        <v>6000</v>
      </c>
      <c r="AY720">
        <v>6900</v>
      </c>
      <c r="AZ720">
        <v>0</v>
      </c>
      <c r="BA720">
        <v>0</v>
      </c>
      <c r="BB720">
        <v>0</v>
      </c>
      <c r="BC720" t="s">
        <v>4869</v>
      </c>
      <c r="BD720" t="s">
        <v>4868</v>
      </c>
      <c r="BE720" t="s">
        <v>3</v>
      </c>
      <c r="BF720" t="s">
        <v>3</v>
      </c>
      <c r="BG720" t="s">
        <v>3</v>
      </c>
      <c r="BH720" t="s">
        <v>3</v>
      </c>
      <c r="BI720" t="s">
        <v>3</v>
      </c>
      <c r="BJ720" t="s">
        <v>4998</v>
      </c>
      <c r="BK720" t="s">
        <v>3</v>
      </c>
      <c r="BL720" t="s">
        <v>96</v>
      </c>
      <c r="BM720" t="s">
        <v>1</v>
      </c>
      <c r="BN720">
        <v>12900</v>
      </c>
      <c r="BO720" t="s">
        <v>1</v>
      </c>
      <c r="BP720" t="s">
        <v>1</v>
      </c>
      <c r="BQ720" t="s">
        <v>1</v>
      </c>
      <c r="BR720" t="s">
        <v>1</v>
      </c>
      <c r="BS720" t="s">
        <v>1</v>
      </c>
      <c r="BT720" t="s">
        <v>1</v>
      </c>
      <c r="BU720" t="s">
        <v>1</v>
      </c>
      <c r="BV720" t="s">
        <v>1</v>
      </c>
      <c r="BW720" t="s">
        <v>0</v>
      </c>
      <c r="BX720" t="s">
        <v>1</v>
      </c>
      <c r="BY720" t="s">
        <v>1</v>
      </c>
      <c r="BZ720" t="s">
        <v>1</v>
      </c>
      <c r="CA720" t="s">
        <v>1</v>
      </c>
      <c r="CB720" t="s">
        <v>1</v>
      </c>
      <c r="CD720" t="e" cm="1">
        <f t="array" aca="1" ref="CD720" ca="1">eConcatenar(A720:CB720,"|")</f>
        <v>#NAME?</v>
      </c>
    </row>
    <row r="721" spans="1:82" x14ac:dyDescent="0.25">
      <c r="A721" t="s">
        <v>816</v>
      </c>
      <c r="B721" t="s">
        <v>1831</v>
      </c>
      <c r="C721">
        <v>3</v>
      </c>
      <c r="D721" t="s">
        <v>2153</v>
      </c>
      <c r="E721" t="s">
        <v>2158</v>
      </c>
      <c r="F721" t="s">
        <v>2162</v>
      </c>
      <c r="G721" t="s">
        <v>2579</v>
      </c>
      <c r="H721" t="s">
        <v>2767</v>
      </c>
      <c r="I721">
        <v>14800</v>
      </c>
      <c r="J721">
        <v>0</v>
      </c>
      <c r="K721">
        <v>50</v>
      </c>
      <c r="L721">
        <v>50</v>
      </c>
      <c r="M721">
        <v>1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 t="s">
        <v>3132</v>
      </c>
      <c r="AC721" t="s">
        <v>3117</v>
      </c>
      <c r="AD721" t="s">
        <v>3497</v>
      </c>
      <c r="AE721" t="s">
        <v>4</v>
      </c>
      <c r="AF721" t="s">
        <v>1</v>
      </c>
      <c r="AG721" t="s">
        <v>1</v>
      </c>
      <c r="AH721" t="s">
        <v>4606</v>
      </c>
      <c r="AI721" t="s">
        <v>2579</v>
      </c>
      <c r="AJ721" t="s">
        <v>1</v>
      </c>
      <c r="AK721">
        <v>9331595339</v>
      </c>
      <c r="AL721" t="s">
        <v>1</v>
      </c>
      <c r="AM721" t="s">
        <v>1</v>
      </c>
      <c r="AN721" t="s">
        <v>1</v>
      </c>
      <c r="AO721" t="s">
        <v>4606</v>
      </c>
      <c r="AP721" t="s">
        <v>1</v>
      </c>
      <c r="AQ721" t="s">
        <v>2</v>
      </c>
      <c r="AR721" t="s">
        <v>1</v>
      </c>
      <c r="AS721" t="s">
        <v>1</v>
      </c>
      <c r="AT721" t="s">
        <v>1</v>
      </c>
      <c r="AU721" t="s">
        <v>1</v>
      </c>
      <c r="AV721" t="s">
        <v>1</v>
      </c>
      <c r="AW721" t="s">
        <v>9</v>
      </c>
      <c r="AX721">
        <f>Tabla1[[#This Row],[precio del paquete]]-Tabla1[[#This Row],[Saldo_Deudor]]</f>
        <v>50</v>
      </c>
      <c r="AY721">
        <v>14750</v>
      </c>
      <c r="AZ721">
        <v>0</v>
      </c>
      <c r="BA721">
        <v>0</v>
      </c>
      <c r="BB721">
        <v>0</v>
      </c>
      <c r="BC721" t="s">
        <v>2702</v>
      </c>
      <c r="BD721" t="s">
        <v>4959</v>
      </c>
      <c r="BE721" t="s">
        <v>3</v>
      </c>
      <c r="BF721" t="s">
        <v>3</v>
      </c>
      <c r="BG721" t="s">
        <v>3</v>
      </c>
      <c r="BH721" t="s">
        <v>3</v>
      </c>
      <c r="BI721" t="s">
        <v>3</v>
      </c>
      <c r="BJ721" t="s">
        <v>4998</v>
      </c>
      <c r="BK721" t="s">
        <v>3</v>
      </c>
      <c r="BL721" t="s">
        <v>96</v>
      </c>
      <c r="BM721" t="s">
        <v>1</v>
      </c>
      <c r="BN721">
        <v>14800</v>
      </c>
      <c r="BO721" t="s">
        <v>1</v>
      </c>
      <c r="BP721" t="s">
        <v>1</v>
      </c>
      <c r="BQ721" t="s">
        <v>1</v>
      </c>
      <c r="BR721" t="s">
        <v>1</v>
      </c>
      <c r="BS721" t="s">
        <v>1</v>
      </c>
      <c r="BT721" t="s">
        <v>1</v>
      </c>
      <c r="BU721" t="s">
        <v>1</v>
      </c>
      <c r="BV721" t="s">
        <v>1</v>
      </c>
      <c r="BW721" t="s">
        <v>0</v>
      </c>
      <c r="BX721" t="s">
        <v>1</v>
      </c>
      <c r="BY721" t="s">
        <v>1</v>
      </c>
      <c r="BZ721" t="s">
        <v>1</v>
      </c>
      <c r="CA721" t="s">
        <v>1</v>
      </c>
      <c r="CB721" t="s">
        <v>1</v>
      </c>
      <c r="CD721" t="e" cm="1">
        <f t="array" aca="1" ref="CD721" ca="1">eConcatenar(A721:CB721,"|")</f>
        <v>#NAME?</v>
      </c>
    </row>
    <row r="722" spans="1:82" x14ac:dyDescent="0.25">
      <c r="A722" t="s">
        <v>817</v>
      </c>
      <c r="B722" t="s">
        <v>1832</v>
      </c>
      <c r="C722">
        <v>3</v>
      </c>
      <c r="D722" t="s">
        <v>2153</v>
      </c>
      <c r="E722" t="s">
        <v>2158</v>
      </c>
      <c r="F722" t="s">
        <v>2161</v>
      </c>
      <c r="G722" t="s">
        <v>2580</v>
      </c>
      <c r="H722" t="s">
        <v>3008</v>
      </c>
      <c r="I722">
        <v>14800</v>
      </c>
      <c r="J722">
        <v>0</v>
      </c>
      <c r="K722">
        <v>200</v>
      </c>
      <c r="L722">
        <v>50</v>
      </c>
      <c r="M722">
        <v>1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 t="s">
        <v>3455</v>
      </c>
      <c r="AC722" t="s">
        <v>3238</v>
      </c>
      <c r="AD722" t="s">
        <v>3684</v>
      </c>
      <c r="AE722" t="s">
        <v>4</v>
      </c>
      <c r="AF722" t="s">
        <v>1</v>
      </c>
      <c r="AG722" t="s">
        <v>1</v>
      </c>
      <c r="AH722" t="s">
        <v>4607</v>
      </c>
      <c r="AI722" t="s">
        <v>2580</v>
      </c>
      <c r="AJ722" t="s">
        <v>1</v>
      </c>
      <c r="AK722">
        <v>9141055764</v>
      </c>
      <c r="AL722" t="s">
        <v>1</v>
      </c>
      <c r="AM722" t="s">
        <v>1</v>
      </c>
      <c r="AN722" t="s">
        <v>1</v>
      </c>
      <c r="AO722" t="s">
        <v>4607</v>
      </c>
      <c r="AP722" t="s">
        <v>1</v>
      </c>
      <c r="AQ722" t="s">
        <v>2</v>
      </c>
      <c r="AR722" t="s">
        <v>1</v>
      </c>
      <c r="AS722" t="s">
        <v>1</v>
      </c>
      <c r="AT722" t="s">
        <v>1</v>
      </c>
      <c r="AU722" t="s">
        <v>1</v>
      </c>
      <c r="AV722" t="s">
        <v>1</v>
      </c>
      <c r="AW722" t="s">
        <v>9</v>
      </c>
      <c r="AX722">
        <f>Tabla1[[#This Row],[precio del paquete]]-Tabla1[[#This Row],[Saldo_Deudor]]</f>
        <v>800</v>
      </c>
      <c r="AY722">
        <v>14000</v>
      </c>
      <c r="AZ722">
        <v>0</v>
      </c>
      <c r="BA722">
        <v>0</v>
      </c>
      <c r="BB722">
        <v>0</v>
      </c>
      <c r="BC722" t="s">
        <v>3072</v>
      </c>
      <c r="BD722" t="s">
        <v>4875</v>
      </c>
      <c r="BE722" t="s">
        <v>3</v>
      </c>
      <c r="BF722" t="s">
        <v>3</v>
      </c>
      <c r="BG722" t="s">
        <v>3</v>
      </c>
      <c r="BH722" t="s">
        <v>3</v>
      </c>
      <c r="BI722" t="s">
        <v>3</v>
      </c>
      <c r="BJ722" t="s">
        <v>4998</v>
      </c>
      <c r="BK722" t="s">
        <v>3</v>
      </c>
      <c r="BL722" t="s">
        <v>96</v>
      </c>
      <c r="BM722" t="s">
        <v>1</v>
      </c>
      <c r="BN722">
        <v>14800</v>
      </c>
      <c r="BO722" t="s">
        <v>1</v>
      </c>
      <c r="BP722" t="s">
        <v>1</v>
      </c>
      <c r="BQ722" t="s">
        <v>1</v>
      </c>
      <c r="BR722" t="s">
        <v>1</v>
      </c>
      <c r="BS722" t="s">
        <v>1</v>
      </c>
      <c r="BT722" t="s">
        <v>1</v>
      </c>
      <c r="BU722" t="s">
        <v>1</v>
      </c>
      <c r="BV722" t="s">
        <v>1</v>
      </c>
      <c r="BW722" t="s">
        <v>0</v>
      </c>
      <c r="BX722" t="s">
        <v>1</v>
      </c>
      <c r="BY722" t="s">
        <v>1</v>
      </c>
      <c r="BZ722" t="s">
        <v>1</v>
      </c>
      <c r="CA722" t="s">
        <v>1</v>
      </c>
      <c r="CB722" t="s">
        <v>1</v>
      </c>
      <c r="CD722" t="e" cm="1">
        <f t="array" aca="1" ref="CD722" ca="1">eConcatenar(A722:CB722,"|")</f>
        <v>#NAME?</v>
      </c>
    </row>
    <row r="723" spans="1:82" x14ac:dyDescent="0.25">
      <c r="A723" t="s">
        <v>818</v>
      </c>
      <c r="B723" t="s">
        <v>1833</v>
      </c>
      <c r="C723">
        <v>3</v>
      </c>
      <c r="D723" t="s">
        <v>2153</v>
      </c>
      <c r="E723" t="s">
        <v>2158</v>
      </c>
      <c r="F723" t="s">
        <v>2161</v>
      </c>
      <c r="G723" t="s">
        <v>2580</v>
      </c>
      <c r="H723" t="s">
        <v>2744</v>
      </c>
      <c r="I723">
        <v>14800</v>
      </c>
      <c r="J723">
        <v>0</v>
      </c>
      <c r="K723">
        <v>200</v>
      </c>
      <c r="L723">
        <v>50</v>
      </c>
      <c r="M723">
        <v>1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 t="s">
        <v>3455</v>
      </c>
      <c r="AC723" t="s">
        <v>3238</v>
      </c>
      <c r="AD723" t="s">
        <v>3540</v>
      </c>
      <c r="AE723" t="s">
        <v>4</v>
      </c>
      <c r="AF723" t="s">
        <v>1</v>
      </c>
      <c r="AG723" t="s">
        <v>1</v>
      </c>
      <c r="AH723" t="s">
        <v>4608</v>
      </c>
      <c r="AI723" t="s">
        <v>2580</v>
      </c>
      <c r="AJ723" t="s">
        <v>1</v>
      </c>
      <c r="AK723">
        <v>9141338141</v>
      </c>
      <c r="AL723" t="s">
        <v>1</v>
      </c>
      <c r="AM723" t="s">
        <v>1</v>
      </c>
      <c r="AN723" t="s">
        <v>1</v>
      </c>
      <c r="AO723" t="s">
        <v>4608</v>
      </c>
      <c r="AP723" t="s">
        <v>1</v>
      </c>
      <c r="AQ723" t="s">
        <v>2</v>
      </c>
      <c r="AR723" t="s">
        <v>1</v>
      </c>
      <c r="AS723" t="s">
        <v>1</v>
      </c>
      <c r="AT723" t="s">
        <v>1</v>
      </c>
      <c r="AU723" t="s">
        <v>1</v>
      </c>
      <c r="AV723" t="s">
        <v>1</v>
      </c>
      <c r="AW723" t="s">
        <v>9</v>
      </c>
      <c r="AX723">
        <f>Tabla1[[#This Row],[precio del paquete]]-Tabla1[[#This Row],[Saldo_Deudor]]</f>
        <v>1400</v>
      </c>
      <c r="AY723">
        <v>13400</v>
      </c>
      <c r="AZ723">
        <v>0</v>
      </c>
      <c r="BA723">
        <v>0</v>
      </c>
      <c r="BB723">
        <v>0</v>
      </c>
      <c r="BC723" t="s">
        <v>2905</v>
      </c>
      <c r="BD723" t="s">
        <v>3024</v>
      </c>
      <c r="BE723" t="s">
        <v>3</v>
      </c>
      <c r="BF723" t="s">
        <v>3</v>
      </c>
      <c r="BG723" t="s">
        <v>3</v>
      </c>
      <c r="BH723" t="s">
        <v>3</v>
      </c>
      <c r="BI723" t="s">
        <v>3</v>
      </c>
      <c r="BJ723" t="s">
        <v>4986</v>
      </c>
      <c r="BK723" t="s">
        <v>3</v>
      </c>
      <c r="BL723" t="s">
        <v>96</v>
      </c>
      <c r="BM723" t="s">
        <v>1</v>
      </c>
      <c r="BN723">
        <v>14800</v>
      </c>
      <c r="BO723" t="s">
        <v>1</v>
      </c>
      <c r="BP723" t="s">
        <v>1</v>
      </c>
      <c r="BQ723" t="s">
        <v>1</v>
      </c>
      <c r="BR723" t="s">
        <v>1</v>
      </c>
      <c r="BS723" t="s">
        <v>1</v>
      </c>
      <c r="BT723" t="s">
        <v>1</v>
      </c>
      <c r="BU723" t="s">
        <v>1</v>
      </c>
      <c r="BV723" t="s">
        <v>1</v>
      </c>
      <c r="BW723" t="s">
        <v>0</v>
      </c>
      <c r="BX723" t="s">
        <v>1</v>
      </c>
      <c r="BY723" t="s">
        <v>1</v>
      </c>
      <c r="BZ723" t="s">
        <v>1</v>
      </c>
      <c r="CA723" t="s">
        <v>1</v>
      </c>
      <c r="CB723" t="s">
        <v>1</v>
      </c>
      <c r="CD723" t="e" cm="1">
        <f t="array" aca="1" ref="CD723" ca="1">eConcatenar(A723:CB723,"|")</f>
        <v>#NAME?</v>
      </c>
    </row>
    <row r="724" spans="1:82" x14ac:dyDescent="0.25">
      <c r="A724" t="s">
        <v>819</v>
      </c>
      <c r="B724" t="s">
        <v>1834</v>
      </c>
      <c r="C724">
        <v>3</v>
      </c>
      <c r="D724" t="s">
        <v>2153</v>
      </c>
      <c r="E724" t="s">
        <v>2158</v>
      </c>
      <c r="F724" t="s">
        <v>2161</v>
      </c>
      <c r="G724" t="s">
        <v>2580</v>
      </c>
      <c r="H724" t="s">
        <v>3009</v>
      </c>
      <c r="I724">
        <v>14800</v>
      </c>
      <c r="J724">
        <v>0</v>
      </c>
      <c r="K724">
        <v>100</v>
      </c>
      <c r="L724">
        <v>50</v>
      </c>
      <c r="M724">
        <v>1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 t="s">
        <v>3115</v>
      </c>
      <c r="AC724" t="s">
        <v>3132</v>
      </c>
      <c r="AD724" t="s">
        <v>3780</v>
      </c>
      <c r="AE724" t="s">
        <v>4</v>
      </c>
      <c r="AF724" t="s">
        <v>1</v>
      </c>
      <c r="AG724" t="s">
        <v>1</v>
      </c>
      <c r="AH724" t="s">
        <v>4609</v>
      </c>
      <c r="AI724" t="s">
        <v>2580</v>
      </c>
      <c r="AJ724" t="s">
        <v>1</v>
      </c>
      <c r="AK724">
        <v>9141307531</v>
      </c>
      <c r="AL724" t="s">
        <v>1</v>
      </c>
      <c r="AM724" t="s">
        <v>1</v>
      </c>
      <c r="AN724" t="s">
        <v>1</v>
      </c>
      <c r="AO724" t="s">
        <v>4609</v>
      </c>
      <c r="AP724" t="s">
        <v>1</v>
      </c>
      <c r="AQ724" t="s">
        <v>2</v>
      </c>
      <c r="AR724" t="s">
        <v>1</v>
      </c>
      <c r="AS724" t="s">
        <v>1</v>
      </c>
      <c r="AT724" t="s">
        <v>1</v>
      </c>
      <c r="AU724" t="s">
        <v>1</v>
      </c>
      <c r="AV724" t="s">
        <v>1</v>
      </c>
      <c r="AW724" t="s">
        <v>9</v>
      </c>
      <c r="AX724">
        <f>Tabla1[[#This Row],[precio del paquete]]-Tabla1[[#This Row],[Saldo_Deudor]]</f>
        <v>500</v>
      </c>
      <c r="AY724">
        <v>14300</v>
      </c>
      <c r="AZ724">
        <v>0</v>
      </c>
      <c r="BA724">
        <v>0</v>
      </c>
      <c r="BB724">
        <v>0</v>
      </c>
      <c r="BC724" t="s">
        <v>4865</v>
      </c>
      <c r="BD724" t="s">
        <v>4889</v>
      </c>
      <c r="BE724" t="s">
        <v>3</v>
      </c>
      <c r="BF724" t="s">
        <v>3</v>
      </c>
      <c r="BG724" t="s">
        <v>3</v>
      </c>
      <c r="BH724" t="s">
        <v>3</v>
      </c>
      <c r="BI724" t="s">
        <v>3</v>
      </c>
      <c r="BJ724" t="s">
        <v>4986</v>
      </c>
      <c r="BK724" t="s">
        <v>3</v>
      </c>
      <c r="BL724" t="s">
        <v>96</v>
      </c>
      <c r="BM724" t="s">
        <v>1</v>
      </c>
      <c r="BN724">
        <v>14800</v>
      </c>
      <c r="BO724" t="s">
        <v>1</v>
      </c>
      <c r="BP724" t="s">
        <v>1</v>
      </c>
      <c r="BQ724" t="s">
        <v>1</v>
      </c>
      <c r="BR724" t="s">
        <v>1</v>
      </c>
      <c r="BS724" t="s">
        <v>1</v>
      </c>
      <c r="BT724" t="s">
        <v>1</v>
      </c>
      <c r="BU724" t="s">
        <v>1</v>
      </c>
      <c r="BV724" t="s">
        <v>1</v>
      </c>
      <c r="BW724" t="s">
        <v>0</v>
      </c>
      <c r="BX724" t="s">
        <v>1</v>
      </c>
      <c r="BY724" t="s">
        <v>1</v>
      </c>
      <c r="BZ724" t="s">
        <v>1</v>
      </c>
      <c r="CA724" t="s">
        <v>1</v>
      </c>
      <c r="CB724" t="s">
        <v>1</v>
      </c>
      <c r="CD724" t="e" cm="1">
        <f t="array" aca="1" ref="CD724" ca="1">eConcatenar(A724:CB724,"|")</f>
        <v>#NAME?</v>
      </c>
    </row>
    <row r="725" spans="1:82" x14ac:dyDescent="0.25">
      <c r="A725" t="s">
        <v>820</v>
      </c>
      <c r="B725" t="s">
        <v>1835</v>
      </c>
      <c r="C725">
        <v>3</v>
      </c>
      <c r="D725" t="s">
        <v>2153</v>
      </c>
      <c r="E725" t="s">
        <v>2158</v>
      </c>
      <c r="F725" t="s">
        <v>8</v>
      </c>
      <c r="G725" t="s">
        <v>2580</v>
      </c>
      <c r="H725" t="s">
        <v>2737</v>
      </c>
      <c r="I725">
        <v>14800</v>
      </c>
      <c r="J725">
        <v>0</v>
      </c>
      <c r="K725">
        <v>200</v>
      </c>
      <c r="L725">
        <v>50</v>
      </c>
      <c r="M725">
        <v>1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 t="s">
        <v>3114</v>
      </c>
      <c r="AC725" t="s">
        <v>3178</v>
      </c>
      <c r="AD725" t="s">
        <v>3876</v>
      </c>
      <c r="AE725" t="s">
        <v>4</v>
      </c>
      <c r="AF725" t="s">
        <v>1</v>
      </c>
      <c r="AG725" t="s">
        <v>1</v>
      </c>
      <c r="AH725" t="s">
        <v>4610</v>
      </c>
      <c r="AI725" t="s">
        <v>2580</v>
      </c>
      <c r="AJ725" t="s">
        <v>1</v>
      </c>
      <c r="AK725">
        <v>9842789570</v>
      </c>
      <c r="AL725" t="s">
        <v>1</v>
      </c>
      <c r="AM725" t="s">
        <v>1</v>
      </c>
      <c r="AN725" t="s">
        <v>1</v>
      </c>
      <c r="AO725" t="s">
        <v>4610</v>
      </c>
      <c r="AP725" t="s">
        <v>1</v>
      </c>
      <c r="AQ725" t="s">
        <v>2</v>
      </c>
      <c r="AR725" t="s">
        <v>1</v>
      </c>
      <c r="AS725" t="s">
        <v>1</v>
      </c>
      <c r="AT725" t="s">
        <v>1</v>
      </c>
      <c r="AU725" t="s">
        <v>1</v>
      </c>
      <c r="AV725" t="s">
        <v>1</v>
      </c>
      <c r="AW725" t="s">
        <v>9</v>
      </c>
      <c r="AX725">
        <f>Tabla1[[#This Row],[precio del paquete]]-Tabla1[[#This Row],[Saldo_Deudor]]</f>
        <v>600</v>
      </c>
      <c r="AY725">
        <v>14200</v>
      </c>
      <c r="AZ725">
        <v>0</v>
      </c>
      <c r="BA725">
        <v>0</v>
      </c>
      <c r="BB725">
        <v>0</v>
      </c>
      <c r="BC725" t="s">
        <v>3005</v>
      </c>
      <c r="BD725" t="s">
        <v>2910</v>
      </c>
      <c r="BE725" t="s">
        <v>3</v>
      </c>
      <c r="BF725" t="s">
        <v>3</v>
      </c>
      <c r="BG725" t="s">
        <v>3</v>
      </c>
      <c r="BH725" t="s">
        <v>3</v>
      </c>
      <c r="BI725" t="s">
        <v>3</v>
      </c>
      <c r="BJ725" t="s">
        <v>4986</v>
      </c>
      <c r="BK725" t="s">
        <v>3</v>
      </c>
      <c r="BL725" t="s">
        <v>96</v>
      </c>
      <c r="BM725" t="s">
        <v>1</v>
      </c>
      <c r="BN725">
        <v>14800</v>
      </c>
      <c r="BO725" t="s">
        <v>1</v>
      </c>
      <c r="BP725" t="s">
        <v>1</v>
      </c>
      <c r="BQ725" t="s">
        <v>1</v>
      </c>
      <c r="BR725" t="s">
        <v>1</v>
      </c>
      <c r="BS725" t="s">
        <v>1</v>
      </c>
      <c r="BT725" t="s">
        <v>1</v>
      </c>
      <c r="BU725" t="s">
        <v>1</v>
      </c>
      <c r="BV725" t="s">
        <v>1</v>
      </c>
      <c r="BW725" t="s">
        <v>0</v>
      </c>
      <c r="BX725" t="s">
        <v>1</v>
      </c>
      <c r="BY725" t="s">
        <v>1</v>
      </c>
      <c r="BZ725" t="s">
        <v>1</v>
      </c>
      <c r="CA725" t="s">
        <v>1</v>
      </c>
      <c r="CB725" t="s">
        <v>1</v>
      </c>
      <c r="CD725" t="e" cm="1">
        <f t="array" aca="1" ref="CD725" ca="1">eConcatenar(A725:CB725,"|")</f>
        <v>#NAME?</v>
      </c>
    </row>
    <row r="726" spans="1:82" x14ac:dyDescent="0.25">
      <c r="A726" t="s">
        <v>821</v>
      </c>
      <c r="B726" t="s">
        <v>1836</v>
      </c>
      <c r="C726">
        <v>3</v>
      </c>
      <c r="D726" t="s">
        <v>2153</v>
      </c>
      <c r="E726" t="s">
        <v>2158</v>
      </c>
      <c r="F726" t="s">
        <v>0</v>
      </c>
      <c r="G726" t="s">
        <v>2580</v>
      </c>
      <c r="H726" t="s">
        <v>2773</v>
      </c>
      <c r="I726">
        <v>14800</v>
      </c>
      <c r="J726">
        <v>0</v>
      </c>
      <c r="K726">
        <v>150</v>
      </c>
      <c r="L726">
        <v>50</v>
      </c>
      <c r="M726">
        <v>1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 t="s">
        <v>3383</v>
      </c>
      <c r="AC726" t="s">
        <v>3290</v>
      </c>
      <c r="AD726" t="s">
        <v>3707</v>
      </c>
      <c r="AE726" t="s">
        <v>4</v>
      </c>
      <c r="AF726" t="s">
        <v>1</v>
      </c>
      <c r="AG726" t="s">
        <v>1</v>
      </c>
      <c r="AH726" t="s">
        <v>4611</v>
      </c>
      <c r="AI726" t="s">
        <v>2580</v>
      </c>
      <c r="AJ726" t="s">
        <v>1</v>
      </c>
      <c r="AK726">
        <v>9141375193</v>
      </c>
      <c r="AL726" t="s">
        <v>1</v>
      </c>
      <c r="AM726" t="s">
        <v>1</v>
      </c>
      <c r="AN726" t="s">
        <v>1</v>
      </c>
      <c r="AO726" t="s">
        <v>4611</v>
      </c>
      <c r="AP726" t="s">
        <v>1</v>
      </c>
      <c r="AQ726" t="s">
        <v>2</v>
      </c>
      <c r="AR726" t="s">
        <v>1</v>
      </c>
      <c r="AS726" t="s">
        <v>1</v>
      </c>
      <c r="AT726" t="s">
        <v>1</v>
      </c>
      <c r="AU726" t="s">
        <v>1</v>
      </c>
      <c r="AV726" t="s">
        <v>1</v>
      </c>
      <c r="AW726" t="s">
        <v>9</v>
      </c>
      <c r="AX726">
        <f>Tabla1[[#This Row],[precio del paquete]]-Tabla1[[#This Row],[Saldo_Deudor]]</f>
        <v>950</v>
      </c>
      <c r="AY726">
        <v>13850</v>
      </c>
      <c r="AZ726">
        <v>0</v>
      </c>
      <c r="BA726">
        <v>0</v>
      </c>
      <c r="BB726">
        <v>0</v>
      </c>
      <c r="BC726" t="s">
        <v>3072</v>
      </c>
      <c r="BD726" t="s">
        <v>4875</v>
      </c>
      <c r="BE726" t="s">
        <v>3</v>
      </c>
      <c r="BF726" t="s">
        <v>3</v>
      </c>
      <c r="BG726" t="s">
        <v>3</v>
      </c>
      <c r="BH726" t="s">
        <v>3</v>
      </c>
      <c r="BI726" t="s">
        <v>3</v>
      </c>
      <c r="BJ726" t="s">
        <v>4983</v>
      </c>
      <c r="BK726" t="s">
        <v>3</v>
      </c>
      <c r="BL726" t="s">
        <v>96</v>
      </c>
      <c r="BM726" t="s">
        <v>1</v>
      </c>
      <c r="BN726">
        <v>14800</v>
      </c>
      <c r="BO726" t="s">
        <v>1</v>
      </c>
      <c r="BP726" t="s">
        <v>1</v>
      </c>
      <c r="BQ726" t="s">
        <v>1</v>
      </c>
      <c r="BR726" t="s">
        <v>1</v>
      </c>
      <c r="BS726" t="s">
        <v>1</v>
      </c>
      <c r="BT726" t="s">
        <v>1</v>
      </c>
      <c r="BU726" t="s">
        <v>1</v>
      </c>
      <c r="BV726" t="s">
        <v>1</v>
      </c>
      <c r="BW726" t="s">
        <v>0</v>
      </c>
      <c r="BX726" t="s">
        <v>1</v>
      </c>
      <c r="BY726" t="s">
        <v>1</v>
      </c>
      <c r="BZ726" t="s">
        <v>1</v>
      </c>
      <c r="CA726" t="s">
        <v>1</v>
      </c>
      <c r="CB726" t="s">
        <v>1</v>
      </c>
      <c r="CD726" t="e" cm="1">
        <f t="array" aca="1" ref="CD726" ca="1">eConcatenar(A726:CB726,"|")</f>
        <v>#NAME?</v>
      </c>
    </row>
    <row r="727" spans="1:82" x14ac:dyDescent="0.25">
      <c r="A727" t="s">
        <v>822</v>
      </c>
      <c r="B727" t="s">
        <v>1837</v>
      </c>
      <c r="C727">
        <v>3</v>
      </c>
      <c r="D727" t="s">
        <v>2153</v>
      </c>
      <c r="E727" t="s">
        <v>10</v>
      </c>
      <c r="F727" t="s">
        <v>95</v>
      </c>
      <c r="G727" t="s">
        <v>2581</v>
      </c>
      <c r="H727" t="s">
        <v>2745</v>
      </c>
      <c r="I727">
        <v>14800</v>
      </c>
      <c r="J727">
        <v>0</v>
      </c>
      <c r="K727">
        <v>500</v>
      </c>
      <c r="L727">
        <v>50</v>
      </c>
      <c r="M727">
        <v>2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 t="s">
        <v>3236</v>
      </c>
      <c r="AC727" t="s">
        <v>3117</v>
      </c>
      <c r="AD727" t="s">
        <v>3877</v>
      </c>
      <c r="AE727" t="s">
        <v>4</v>
      </c>
      <c r="AF727" t="s">
        <v>1</v>
      </c>
      <c r="AG727" t="s">
        <v>1</v>
      </c>
      <c r="AH727" t="s">
        <v>4612</v>
      </c>
      <c r="AI727" t="s">
        <v>2581</v>
      </c>
      <c r="AJ727" t="s">
        <v>1</v>
      </c>
      <c r="AK727">
        <v>9141237809</v>
      </c>
      <c r="AL727" t="s">
        <v>1</v>
      </c>
      <c r="AM727" t="s">
        <v>1</v>
      </c>
      <c r="AN727" t="s">
        <v>1</v>
      </c>
      <c r="AO727" t="s">
        <v>4612</v>
      </c>
      <c r="AP727" t="s">
        <v>1</v>
      </c>
      <c r="AQ727" t="s">
        <v>2</v>
      </c>
      <c r="AR727" t="s">
        <v>1</v>
      </c>
      <c r="AS727" t="s">
        <v>1</v>
      </c>
      <c r="AT727" t="s">
        <v>1</v>
      </c>
      <c r="AU727" t="s">
        <v>1</v>
      </c>
      <c r="AV727" t="s">
        <v>1</v>
      </c>
      <c r="AW727" t="s">
        <v>9</v>
      </c>
      <c r="AX727">
        <f>Tabla1[[#This Row],[precio del paquete]]-Tabla1[[#This Row],[Saldo_Deudor]]</f>
        <v>1300</v>
      </c>
      <c r="AY727">
        <v>13500</v>
      </c>
      <c r="AZ727">
        <v>0</v>
      </c>
      <c r="BA727">
        <v>0</v>
      </c>
      <c r="BB727">
        <v>0</v>
      </c>
      <c r="BC727" t="s">
        <v>2874</v>
      </c>
      <c r="BD727" t="s">
        <v>4932</v>
      </c>
      <c r="BE727" t="s">
        <v>3</v>
      </c>
      <c r="BF727" t="s">
        <v>3</v>
      </c>
      <c r="BG727" t="s">
        <v>3</v>
      </c>
      <c r="BH727" t="s">
        <v>3</v>
      </c>
      <c r="BI727" t="s">
        <v>3</v>
      </c>
      <c r="BJ727" t="s">
        <v>4983</v>
      </c>
      <c r="BK727" t="s">
        <v>3</v>
      </c>
      <c r="BL727" t="s">
        <v>96</v>
      </c>
      <c r="BM727" t="s">
        <v>1</v>
      </c>
      <c r="BN727">
        <v>14800</v>
      </c>
      <c r="BO727" t="s">
        <v>1</v>
      </c>
      <c r="BP727" t="s">
        <v>1</v>
      </c>
      <c r="BQ727" t="s">
        <v>1</v>
      </c>
      <c r="BR727" t="s">
        <v>1</v>
      </c>
      <c r="BS727" t="s">
        <v>1</v>
      </c>
      <c r="BT727" t="s">
        <v>1</v>
      </c>
      <c r="BU727" t="s">
        <v>1</v>
      </c>
      <c r="BV727" t="s">
        <v>1</v>
      </c>
      <c r="BW727" t="s">
        <v>0</v>
      </c>
      <c r="BX727" t="s">
        <v>1</v>
      </c>
      <c r="BY727" t="s">
        <v>1</v>
      </c>
      <c r="BZ727" t="s">
        <v>1</v>
      </c>
      <c r="CA727" t="s">
        <v>1</v>
      </c>
      <c r="CB727" t="s">
        <v>1</v>
      </c>
      <c r="CD727" t="e" cm="1">
        <f t="array" aca="1" ref="CD727" ca="1">eConcatenar(A727:CB727,"|")</f>
        <v>#NAME?</v>
      </c>
    </row>
    <row r="728" spans="1:82" x14ac:dyDescent="0.25">
      <c r="A728" t="s">
        <v>823</v>
      </c>
      <c r="B728" t="s">
        <v>1838</v>
      </c>
      <c r="C728">
        <v>3</v>
      </c>
      <c r="D728" t="s">
        <v>2153</v>
      </c>
      <c r="E728" t="s">
        <v>10</v>
      </c>
      <c r="F728" t="s">
        <v>95</v>
      </c>
      <c r="G728" t="s">
        <v>2581</v>
      </c>
      <c r="H728" t="s">
        <v>2773</v>
      </c>
      <c r="I728">
        <v>14800</v>
      </c>
      <c r="J728">
        <v>0</v>
      </c>
      <c r="K728">
        <v>100</v>
      </c>
      <c r="L728">
        <v>50</v>
      </c>
      <c r="M728">
        <v>2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 t="s">
        <v>3117</v>
      </c>
      <c r="AC728" t="s">
        <v>3161</v>
      </c>
      <c r="AD728" t="s">
        <v>3878</v>
      </c>
      <c r="AE728" t="s">
        <v>4</v>
      </c>
      <c r="AF728" t="s">
        <v>1</v>
      </c>
      <c r="AG728" t="s">
        <v>1</v>
      </c>
      <c r="AH728" t="s">
        <v>4360</v>
      </c>
      <c r="AI728" t="s">
        <v>2581</v>
      </c>
      <c r="AJ728" t="s">
        <v>1</v>
      </c>
      <c r="AK728">
        <v>9371268479</v>
      </c>
      <c r="AL728" t="s">
        <v>1</v>
      </c>
      <c r="AM728" t="s">
        <v>1</v>
      </c>
      <c r="AN728" t="s">
        <v>1</v>
      </c>
      <c r="AO728" t="s">
        <v>4360</v>
      </c>
      <c r="AP728" t="s">
        <v>1</v>
      </c>
      <c r="AQ728" t="s">
        <v>2</v>
      </c>
      <c r="AR728" t="s">
        <v>1</v>
      </c>
      <c r="AS728" t="s">
        <v>1</v>
      </c>
      <c r="AT728" t="s">
        <v>1</v>
      </c>
      <c r="AU728" t="s">
        <v>1</v>
      </c>
      <c r="AV728" t="s">
        <v>1</v>
      </c>
      <c r="AW728" t="s">
        <v>9</v>
      </c>
      <c r="AX728">
        <f>Tabla1[[#This Row],[precio del paquete]]-Tabla1[[#This Row],[Saldo_Deudor]]</f>
        <v>1100</v>
      </c>
      <c r="AY728">
        <v>13700</v>
      </c>
      <c r="AZ728">
        <v>0</v>
      </c>
      <c r="BA728">
        <v>0</v>
      </c>
      <c r="BB728">
        <v>0</v>
      </c>
      <c r="BC728" t="s">
        <v>2874</v>
      </c>
      <c r="BD728" t="s">
        <v>4932</v>
      </c>
      <c r="BE728" t="s">
        <v>3</v>
      </c>
      <c r="BF728" t="s">
        <v>3</v>
      </c>
      <c r="BG728" t="s">
        <v>3</v>
      </c>
      <c r="BH728" t="s">
        <v>3</v>
      </c>
      <c r="BI728" t="s">
        <v>3</v>
      </c>
      <c r="BJ728" t="s">
        <v>4983</v>
      </c>
      <c r="BK728" t="s">
        <v>3</v>
      </c>
      <c r="BL728" t="s">
        <v>96</v>
      </c>
      <c r="BM728" t="s">
        <v>1</v>
      </c>
      <c r="BN728">
        <v>14800</v>
      </c>
      <c r="BO728" t="s">
        <v>1</v>
      </c>
      <c r="BP728" t="s">
        <v>1</v>
      </c>
      <c r="BQ728" t="s">
        <v>1</v>
      </c>
      <c r="BR728" t="s">
        <v>1</v>
      </c>
      <c r="BS728" t="s">
        <v>1</v>
      </c>
      <c r="BT728" t="s">
        <v>1</v>
      </c>
      <c r="BU728" t="s">
        <v>1</v>
      </c>
      <c r="BV728" t="s">
        <v>1</v>
      </c>
      <c r="BW728" t="s">
        <v>0</v>
      </c>
      <c r="BX728" t="s">
        <v>1</v>
      </c>
      <c r="BY728" t="s">
        <v>1</v>
      </c>
      <c r="BZ728" t="s">
        <v>1</v>
      </c>
      <c r="CA728" t="s">
        <v>1</v>
      </c>
      <c r="CB728" t="s">
        <v>1</v>
      </c>
      <c r="CD728" t="e" cm="1">
        <f t="array" aca="1" ref="CD728" ca="1">eConcatenar(A728:CB728,"|")</f>
        <v>#NAME?</v>
      </c>
    </row>
    <row r="729" spans="1:82" x14ac:dyDescent="0.25">
      <c r="A729" t="s">
        <v>824</v>
      </c>
      <c r="B729" t="s">
        <v>1839</v>
      </c>
      <c r="C729">
        <v>3</v>
      </c>
      <c r="D729" t="s">
        <v>2153</v>
      </c>
      <c r="E729" t="s">
        <v>2158</v>
      </c>
      <c r="F729" t="s">
        <v>0</v>
      </c>
      <c r="G729" t="s">
        <v>2582</v>
      </c>
      <c r="H729" t="s">
        <v>2779</v>
      </c>
      <c r="I729">
        <v>14800</v>
      </c>
      <c r="J729">
        <v>0</v>
      </c>
      <c r="K729">
        <v>200</v>
      </c>
      <c r="L729">
        <v>50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 t="s">
        <v>3879</v>
      </c>
      <c r="AC729" t="s">
        <v>3117</v>
      </c>
      <c r="AD729" t="s">
        <v>3624</v>
      </c>
      <c r="AE729" t="s">
        <v>4</v>
      </c>
      <c r="AF729" t="s">
        <v>1</v>
      </c>
      <c r="AG729" t="s">
        <v>1</v>
      </c>
      <c r="AH729" t="s">
        <v>4613</v>
      </c>
      <c r="AI729" t="s">
        <v>2582</v>
      </c>
      <c r="AJ729" t="s">
        <v>1</v>
      </c>
      <c r="AK729">
        <v>9932258785</v>
      </c>
      <c r="AL729" t="s">
        <v>1</v>
      </c>
      <c r="AM729" t="s">
        <v>1</v>
      </c>
      <c r="AN729" t="s">
        <v>1</v>
      </c>
      <c r="AO729" t="s">
        <v>4613</v>
      </c>
      <c r="AP729" t="s">
        <v>1</v>
      </c>
      <c r="AQ729" t="s">
        <v>2</v>
      </c>
      <c r="AR729" t="s">
        <v>1</v>
      </c>
      <c r="AS729" t="s">
        <v>1</v>
      </c>
      <c r="AT729" t="s">
        <v>1</v>
      </c>
      <c r="AU729" t="s">
        <v>1</v>
      </c>
      <c r="AV729" t="s">
        <v>1</v>
      </c>
      <c r="AW729" t="s">
        <v>9</v>
      </c>
      <c r="AX729">
        <f>Tabla1[[#This Row],[precio del paquete]]-Tabla1[[#This Row],[Saldo_Deudor]]</f>
        <v>300</v>
      </c>
      <c r="AY729">
        <v>14500</v>
      </c>
      <c r="AZ729">
        <v>0</v>
      </c>
      <c r="BA729">
        <v>0</v>
      </c>
      <c r="BB729">
        <v>0</v>
      </c>
      <c r="BC729" t="s">
        <v>2699</v>
      </c>
      <c r="BD729" t="s">
        <v>4854</v>
      </c>
      <c r="BE729" t="s">
        <v>3</v>
      </c>
      <c r="BF729" t="s">
        <v>3</v>
      </c>
      <c r="BG729" t="s">
        <v>3</v>
      </c>
      <c r="BH729" t="s">
        <v>3</v>
      </c>
      <c r="BI729" t="s">
        <v>3</v>
      </c>
      <c r="BJ729" t="s">
        <v>4983</v>
      </c>
      <c r="BK729" t="s">
        <v>3</v>
      </c>
      <c r="BL729" t="s">
        <v>96</v>
      </c>
      <c r="BM729" t="s">
        <v>1</v>
      </c>
      <c r="BN729">
        <v>14800</v>
      </c>
      <c r="BO729" t="s">
        <v>1</v>
      </c>
      <c r="BP729" t="s">
        <v>1</v>
      </c>
      <c r="BQ729" t="s">
        <v>1</v>
      </c>
      <c r="BR729" t="s">
        <v>1</v>
      </c>
      <c r="BS729" t="s">
        <v>1</v>
      </c>
      <c r="BT729" t="s">
        <v>1</v>
      </c>
      <c r="BU729" t="s">
        <v>1</v>
      </c>
      <c r="BV729" t="s">
        <v>1</v>
      </c>
      <c r="BW729" t="s">
        <v>0</v>
      </c>
      <c r="BX729" t="s">
        <v>1</v>
      </c>
      <c r="BY729" t="s">
        <v>1</v>
      </c>
      <c r="BZ729" t="s">
        <v>1</v>
      </c>
      <c r="CA729" t="s">
        <v>1</v>
      </c>
      <c r="CB729" t="s">
        <v>1</v>
      </c>
      <c r="CD729" t="e" cm="1">
        <f t="array" aca="1" ref="CD729" ca="1">eConcatenar(A729:CB729,"|")</f>
        <v>#NAME?</v>
      </c>
    </row>
    <row r="730" spans="1:82" x14ac:dyDescent="0.25">
      <c r="A730" t="s">
        <v>825</v>
      </c>
      <c r="B730" t="s">
        <v>1840</v>
      </c>
      <c r="C730">
        <v>3</v>
      </c>
      <c r="D730" t="s">
        <v>2153</v>
      </c>
      <c r="E730" t="s">
        <v>2158</v>
      </c>
      <c r="F730" t="s">
        <v>0</v>
      </c>
      <c r="G730" t="s">
        <v>2583</v>
      </c>
      <c r="H730" t="s">
        <v>2916</v>
      </c>
      <c r="I730">
        <v>14800</v>
      </c>
      <c r="J730">
        <v>0</v>
      </c>
      <c r="K730">
        <v>100</v>
      </c>
      <c r="L730">
        <v>50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 t="s">
        <v>5</v>
      </c>
      <c r="AC730" t="s">
        <v>3880</v>
      </c>
      <c r="AD730" t="s">
        <v>3881</v>
      </c>
      <c r="AE730" t="s">
        <v>4</v>
      </c>
      <c r="AF730" t="s">
        <v>1</v>
      </c>
      <c r="AG730" t="s">
        <v>1</v>
      </c>
      <c r="AH730" t="s">
        <v>4614</v>
      </c>
      <c r="AI730" t="s">
        <v>2583</v>
      </c>
      <c r="AJ730" t="s">
        <v>1</v>
      </c>
      <c r="AK730">
        <v>9371838472</v>
      </c>
      <c r="AL730" t="s">
        <v>1</v>
      </c>
      <c r="AM730" t="s">
        <v>1</v>
      </c>
      <c r="AN730" t="s">
        <v>1</v>
      </c>
      <c r="AO730" t="s">
        <v>4614</v>
      </c>
      <c r="AP730" t="s">
        <v>1</v>
      </c>
      <c r="AQ730" t="s">
        <v>2</v>
      </c>
      <c r="AR730" t="s">
        <v>1</v>
      </c>
      <c r="AS730" t="s">
        <v>1</v>
      </c>
      <c r="AT730" t="s">
        <v>1</v>
      </c>
      <c r="AU730" t="s">
        <v>1</v>
      </c>
      <c r="AV730" t="s">
        <v>1</v>
      </c>
      <c r="AW730" t="s">
        <v>9</v>
      </c>
      <c r="AX730">
        <f>Tabla1[[#This Row],[precio del paquete]]-Tabla1[[#This Row],[Saldo_Deudor]]</f>
        <v>400</v>
      </c>
      <c r="AY730">
        <v>14400</v>
      </c>
      <c r="AZ730">
        <v>0</v>
      </c>
      <c r="BA730">
        <v>0</v>
      </c>
      <c r="BB730">
        <v>0</v>
      </c>
      <c r="BC730" t="s">
        <v>4841</v>
      </c>
      <c r="BD730" t="s">
        <v>4926</v>
      </c>
      <c r="BE730" t="s">
        <v>3</v>
      </c>
      <c r="BF730" t="s">
        <v>3</v>
      </c>
      <c r="BG730" t="s">
        <v>3</v>
      </c>
      <c r="BH730" t="s">
        <v>3</v>
      </c>
      <c r="BI730" t="s">
        <v>3</v>
      </c>
      <c r="BJ730" t="s">
        <v>4994</v>
      </c>
      <c r="BK730" t="s">
        <v>3</v>
      </c>
      <c r="BL730" t="s">
        <v>96</v>
      </c>
      <c r="BM730" t="s">
        <v>1</v>
      </c>
      <c r="BN730">
        <v>14800</v>
      </c>
      <c r="BO730" t="s">
        <v>1</v>
      </c>
      <c r="BP730" t="s">
        <v>1</v>
      </c>
      <c r="BQ730" t="s">
        <v>1</v>
      </c>
      <c r="BR730" t="s">
        <v>1</v>
      </c>
      <c r="BS730" t="s">
        <v>1</v>
      </c>
      <c r="BT730" t="s">
        <v>1</v>
      </c>
      <c r="BU730" t="s">
        <v>1</v>
      </c>
      <c r="BV730" t="s">
        <v>1</v>
      </c>
      <c r="BW730" t="s">
        <v>0</v>
      </c>
      <c r="BX730" t="s">
        <v>1</v>
      </c>
      <c r="BY730" t="s">
        <v>1</v>
      </c>
      <c r="BZ730" t="s">
        <v>1</v>
      </c>
      <c r="CA730" t="s">
        <v>1</v>
      </c>
      <c r="CB730" t="s">
        <v>1</v>
      </c>
      <c r="CD730" t="e" cm="1">
        <f t="array" aca="1" ref="CD730" ca="1">eConcatenar(A730:CB730,"|")</f>
        <v>#NAME?</v>
      </c>
    </row>
    <row r="731" spans="1:82" x14ac:dyDescent="0.25">
      <c r="A731" t="s">
        <v>826</v>
      </c>
      <c r="B731" t="s">
        <v>1841</v>
      </c>
      <c r="C731">
        <v>3</v>
      </c>
      <c r="D731" t="s">
        <v>2155</v>
      </c>
      <c r="E731" t="s">
        <v>2158</v>
      </c>
      <c r="F731" t="s">
        <v>0</v>
      </c>
      <c r="G731" t="s">
        <v>2584</v>
      </c>
      <c r="H731" t="s">
        <v>3010</v>
      </c>
      <c r="I731">
        <v>12900</v>
      </c>
      <c r="J731">
        <v>0</v>
      </c>
      <c r="K731">
        <v>200</v>
      </c>
      <c r="L731">
        <v>50</v>
      </c>
      <c r="M731">
        <v>1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 t="s">
        <v>3132</v>
      </c>
      <c r="AC731" t="s">
        <v>3302</v>
      </c>
      <c r="AD731" t="s">
        <v>3882</v>
      </c>
      <c r="AE731" t="s">
        <v>4</v>
      </c>
      <c r="AF731" t="s">
        <v>1</v>
      </c>
      <c r="AG731" t="s">
        <v>1</v>
      </c>
      <c r="AH731" t="s">
        <v>4615</v>
      </c>
      <c r="AI731" t="s">
        <v>2584</v>
      </c>
      <c r="AJ731" t="s">
        <v>1</v>
      </c>
      <c r="AK731">
        <v>9372721305</v>
      </c>
      <c r="AL731" t="s">
        <v>1</v>
      </c>
      <c r="AM731" t="s">
        <v>1</v>
      </c>
      <c r="AN731" t="s">
        <v>1</v>
      </c>
      <c r="AO731" t="s">
        <v>4615</v>
      </c>
      <c r="AP731" t="s">
        <v>1</v>
      </c>
      <c r="AQ731" t="s">
        <v>2</v>
      </c>
      <c r="AR731" t="s">
        <v>1</v>
      </c>
      <c r="AS731" t="s">
        <v>1</v>
      </c>
      <c r="AT731" t="s">
        <v>1</v>
      </c>
      <c r="AU731" t="s">
        <v>1</v>
      </c>
      <c r="AV731" t="s">
        <v>1</v>
      </c>
      <c r="AW731" t="s">
        <v>9</v>
      </c>
      <c r="AX731">
        <f>Tabla1[[#This Row],[precio del paquete]]-Tabla1[[#This Row],[Saldo_Deudor]]</f>
        <v>3800</v>
      </c>
      <c r="AY731">
        <v>9100</v>
      </c>
      <c r="AZ731">
        <v>0</v>
      </c>
      <c r="BA731">
        <v>0</v>
      </c>
      <c r="BB731">
        <v>0</v>
      </c>
      <c r="BC731" t="s">
        <v>3072</v>
      </c>
      <c r="BD731" t="s">
        <v>4875</v>
      </c>
      <c r="BE731" t="s">
        <v>3</v>
      </c>
      <c r="BF731" t="s">
        <v>3</v>
      </c>
      <c r="BG731" t="s">
        <v>3</v>
      </c>
      <c r="BH731" t="s">
        <v>3</v>
      </c>
      <c r="BI731" t="s">
        <v>3</v>
      </c>
      <c r="BJ731" t="s">
        <v>4987</v>
      </c>
      <c r="BK731" t="s">
        <v>3</v>
      </c>
      <c r="BL731" t="s">
        <v>96</v>
      </c>
      <c r="BM731" t="s">
        <v>1</v>
      </c>
      <c r="BN731">
        <v>12900</v>
      </c>
      <c r="BO731" t="s">
        <v>1</v>
      </c>
      <c r="BP731" t="s">
        <v>1</v>
      </c>
      <c r="BQ731" t="s">
        <v>1</v>
      </c>
      <c r="BR731" t="s">
        <v>1</v>
      </c>
      <c r="BS731" t="s">
        <v>1</v>
      </c>
      <c r="BT731" t="s">
        <v>1</v>
      </c>
      <c r="BU731" t="s">
        <v>1</v>
      </c>
      <c r="BV731" t="s">
        <v>1</v>
      </c>
      <c r="BW731" t="s">
        <v>0</v>
      </c>
      <c r="BX731" t="s">
        <v>1</v>
      </c>
      <c r="BY731" t="s">
        <v>1</v>
      </c>
      <c r="BZ731" t="s">
        <v>1</v>
      </c>
      <c r="CA731" t="s">
        <v>1</v>
      </c>
      <c r="CB731" t="s">
        <v>1</v>
      </c>
      <c r="CD731" t="e" cm="1">
        <f t="array" aca="1" ref="CD731" ca="1">eConcatenar(A731:CB731,"|")</f>
        <v>#NAME?</v>
      </c>
    </row>
    <row r="732" spans="1:82" x14ac:dyDescent="0.25">
      <c r="A732" t="s">
        <v>827</v>
      </c>
      <c r="B732" t="s">
        <v>1842</v>
      </c>
      <c r="C732">
        <v>3</v>
      </c>
      <c r="D732" t="s">
        <v>2153</v>
      </c>
      <c r="E732" t="s">
        <v>2158</v>
      </c>
      <c r="F732" t="s">
        <v>0</v>
      </c>
      <c r="G732" t="s">
        <v>2585</v>
      </c>
      <c r="H732" t="s">
        <v>2866</v>
      </c>
      <c r="I732">
        <v>14800</v>
      </c>
      <c r="J732">
        <v>0</v>
      </c>
      <c r="K732">
        <v>100</v>
      </c>
      <c r="L732">
        <v>50</v>
      </c>
      <c r="M732">
        <v>2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 t="s">
        <v>3883</v>
      </c>
      <c r="AC732" t="s">
        <v>3137</v>
      </c>
      <c r="AD732" t="s">
        <v>3884</v>
      </c>
      <c r="AE732" t="s">
        <v>4</v>
      </c>
      <c r="AF732" t="s">
        <v>1</v>
      </c>
      <c r="AG732" t="s">
        <v>1</v>
      </c>
      <c r="AH732" t="s">
        <v>4616</v>
      </c>
      <c r="AI732" t="s">
        <v>2585</v>
      </c>
      <c r="AJ732" t="s">
        <v>1</v>
      </c>
      <c r="AK732">
        <v>9371180934</v>
      </c>
      <c r="AL732" t="s">
        <v>1</v>
      </c>
      <c r="AM732" t="s">
        <v>1</v>
      </c>
      <c r="AN732" t="s">
        <v>1</v>
      </c>
      <c r="AO732" t="s">
        <v>4616</v>
      </c>
      <c r="AP732" t="s">
        <v>1</v>
      </c>
      <c r="AQ732" t="s">
        <v>2</v>
      </c>
      <c r="AR732" t="s">
        <v>1</v>
      </c>
      <c r="AS732" t="s">
        <v>1</v>
      </c>
      <c r="AT732" t="s">
        <v>1</v>
      </c>
      <c r="AU732" t="s">
        <v>1</v>
      </c>
      <c r="AV732" t="s">
        <v>1</v>
      </c>
      <c r="AW732" t="s">
        <v>9</v>
      </c>
      <c r="AX732">
        <f>Tabla1[[#This Row],[precio del paquete]]-Tabla1[[#This Row],[Saldo_Deudor]]</f>
        <v>1400</v>
      </c>
      <c r="AY732">
        <v>13400</v>
      </c>
      <c r="AZ732">
        <v>0</v>
      </c>
      <c r="BA732">
        <v>0</v>
      </c>
      <c r="BB732">
        <v>0</v>
      </c>
      <c r="BC732" t="s">
        <v>2982</v>
      </c>
      <c r="BD732" t="s">
        <v>4872</v>
      </c>
      <c r="BE732" t="s">
        <v>3</v>
      </c>
      <c r="BF732" t="s">
        <v>3</v>
      </c>
      <c r="BG732" t="s">
        <v>3</v>
      </c>
      <c r="BH732" t="s">
        <v>3</v>
      </c>
      <c r="BI732" t="s">
        <v>3</v>
      </c>
      <c r="BJ732" t="s">
        <v>4983</v>
      </c>
      <c r="BK732" t="s">
        <v>3</v>
      </c>
      <c r="BL732" t="s">
        <v>96</v>
      </c>
      <c r="BM732" t="s">
        <v>1</v>
      </c>
      <c r="BN732">
        <v>14800</v>
      </c>
      <c r="BO732" t="s">
        <v>1</v>
      </c>
      <c r="BP732" t="s">
        <v>1</v>
      </c>
      <c r="BQ732" t="s">
        <v>1</v>
      </c>
      <c r="BR732" t="s">
        <v>1</v>
      </c>
      <c r="BS732" t="s">
        <v>1</v>
      </c>
      <c r="BT732" t="s">
        <v>1</v>
      </c>
      <c r="BU732" t="s">
        <v>1</v>
      </c>
      <c r="BV732" t="s">
        <v>1</v>
      </c>
      <c r="BW732" t="s">
        <v>0</v>
      </c>
      <c r="BX732" t="s">
        <v>1</v>
      </c>
      <c r="BY732" t="s">
        <v>1</v>
      </c>
      <c r="BZ732" t="s">
        <v>1</v>
      </c>
      <c r="CA732" t="s">
        <v>1</v>
      </c>
      <c r="CB732" t="s">
        <v>1</v>
      </c>
      <c r="CD732" t="e" cm="1">
        <f t="array" aca="1" ref="CD732" ca="1">eConcatenar(A732:CB732,"|")</f>
        <v>#NAME?</v>
      </c>
    </row>
    <row r="733" spans="1:82" x14ac:dyDescent="0.25">
      <c r="A733" t="s">
        <v>828</v>
      </c>
      <c r="B733" t="s">
        <v>1843</v>
      </c>
      <c r="C733">
        <v>3</v>
      </c>
      <c r="D733" t="s">
        <v>2157</v>
      </c>
      <c r="E733" t="s">
        <v>2158</v>
      </c>
      <c r="F733" t="s">
        <v>2159</v>
      </c>
      <c r="G733" t="s">
        <v>2586</v>
      </c>
      <c r="H733" t="s">
        <v>3011</v>
      </c>
      <c r="I733">
        <v>11900</v>
      </c>
      <c r="J733">
        <v>0</v>
      </c>
      <c r="K733">
        <v>200</v>
      </c>
      <c r="L733">
        <v>50</v>
      </c>
      <c r="M733">
        <v>1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 t="s">
        <v>3214</v>
      </c>
      <c r="AC733" t="s">
        <v>3114</v>
      </c>
      <c r="AD733" t="s">
        <v>3885</v>
      </c>
      <c r="AE733" t="s">
        <v>4</v>
      </c>
      <c r="AF733" t="s">
        <v>1</v>
      </c>
      <c r="AG733" t="s">
        <v>1</v>
      </c>
      <c r="AH733" t="s">
        <v>2586</v>
      </c>
      <c r="AI733" t="s">
        <v>2586</v>
      </c>
      <c r="AJ733" t="s">
        <v>1</v>
      </c>
      <c r="AK733">
        <v>9331514391</v>
      </c>
      <c r="AL733" t="s">
        <v>1</v>
      </c>
      <c r="AM733" t="s">
        <v>1</v>
      </c>
      <c r="AN733" t="s">
        <v>1</v>
      </c>
      <c r="AO733" t="s">
        <v>2586</v>
      </c>
      <c r="AP733" t="s">
        <v>1</v>
      </c>
      <c r="AQ733" t="s">
        <v>2</v>
      </c>
      <c r="AR733" t="s">
        <v>1</v>
      </c>
      <c r="AS733" t="s">
        <v>1</v>
      </c>
      <c r="AT733" t="s">
        <v>1</v>
      </c>
      <c r="AU733" t="s">
        <v>1</v>
      </c>
      <c r="AV733" t="s">
        <v>1</v>
      </c>
      <c r="AW733" t="s">
        <v>9</v>
      </c>
      <c r="AX733">
        <f>Tabla1[[#This Row],[precio del paquete]]-Tabla1[[#This Row],[Saldo_Deudor]]</f>
        <v>11600</v>
      </c>
      <c r="AY733">
        <v>300</v>
      </c>
      <c r="AZ733">
        <v>0</v>
      </c>
      <c r="BA733">
        <v>0</v>
      </c>
      <c r="BB733">
        <v>0</v>
      </c>
      <c r="BC733" t="s">
        <v>2922</v>
      </c>
      <c r="BD733" t="s">
        <v>2714</v>
      </c>
      <c r="BE733" t="s">
        <v>3</v>
      </c>
      <c r="BF733" t="s">
        <v>3</v>
      </c>
      <c r="BG733" t="s">
        <v>3</v>
      </c>
      <c r="BH733" t="s">
        <v>3</v>
      </c>
      <c r="BI733" t="s">
        <v>3</v>
      </c>
      <c r="BJ733" t="s">
        <v>4982</v>
      </c>
      <c r="BK733" t="s">
        <v>3</v>
      </c>
      <c r="BL733" t="s">
        <v>96</v>
      </c>
      <c r="BM733" t="s">
        <v>1</v>
      </c>
      <c r="BN733">
        <v>11900</v>
      </c>
      <c r="BO733" t="s">
        <v>1</v>
      </c>
      <c r="BP733" t="s">
        <v>1</v>
      </c>
      <c r="BQ733" t="s">
        <v>1</v>
      </c>
      <c r="BR733" t="s">
        <v>1</v>
      </c>
      <c r="BS733" t="s">
        <v>1</v>
      </c>
      <c r="BT733" t="s">
        <v>1</v>
      </c>
      <c r="BU733" t="s">
        <v>1</v>
      </c>
      <c r="BV733" t="s">
        <v>1</v>
      </c>
      <c r="BW733" t="s">
        <v>0</v>
      </c>
      <c r="BX733" t="s">
        <v>1</v>
      </c>
      <c r="BY733" t="s">
        <v>1</v>
      </c>
      <c r="BZ733" t="s">
        <v>1</v>
      </c>
      <c r="CA733" t="s">
        <v>1</v>
      </c>
      <c r="CB733" t="s">
        <v>1</v>
      </c>
      <c r="CD733" t="e" cm="1">
        <f t="array" aca="1" ref="CD733" ca="1">eConcatenar(A733:CB733,"|")</f>
        <v>#NAME?</v>
      </c>
    </row>
    <row r="734" spans="1:82" x14ac:dyDescent="0.25">
      <c r="A734" t="s">
        <v>829</v>
      </c>
      <c r="B734" t="s">
        <v>1844</v>
      </c>
      <c r="C734">
        <v>3</v>
      </c>
      <c r="D734" t="s">
        <v>2153</v>
      </c>
      <c r="E734" t="s">
        <v>2158</v>
      </c>
      <c r="F734" t="s">
        <v>2159</v>
      </c>
      <c r="G734" t="s">
        <v>2586</v>
      </c>
      <c r="H734" t="s">
        <v>2759</v>
      </c>
      <c r="I734">
        <v>14800</v>
      </c>
      <c r="J734">
        <v>0</v>
      </c>
      <c r="K734">
        <v>100</v>
      </c>
      <c r="L734">
        <v>50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 t="s">
        <v>3127</v>
      </c>
      <c r="AD734" t="s">
        <v>3886</v>
      </c>
      <c r="AE734" t="s">
        <v>4</v>
      </c>
      <c r="AF734" t="s">
        <v>1</v>
      </c>
      <c r="AG734" t="s">
        <v>1</v>
      </c>
      <c r="AH734" t="s">
        <v>4617</v>
      </c>
      <c r="AI734" t="s">
        <v>2586</v>
      </c>
      <c r="AJ734" t="s">
        <v>1</v>
      </c>
      <c r="AK734">
        <v>9331342152</v>
      </c>
      <c r="AL734" t="s">
        <v>1</v>
      </c>
      <c r="AM734" t="s">
        <v>1</v>
      </c>
      <c r="AN734" t="s">
        <v>1</v>
      </c>
      <c r="AO734" t="s">
        <v>4617</v>
      </c>
      <c r="AP734" t="s">
        <v>1</v>
      </c>
      <c r="AQ734" t="s">
        <v>2</v>
      </c>
      <c r="AR734" t="s">
        <v>1</v>
      </c>
      <c r="AS734" t="s">
        <v>1</v>
      </c>
      <c r="AT734" t="s">
        <v>1</v>
      </c>
      <c r="AU734" t="s">
        <v>1</v>
      </c>
      <c r="AV734" t="s">
        <v>1</v>
      </c>
      <c r="AW734" t="s">
        <v>9</v>
      </c>
      <c r="AX734">
        <f>Tabla1[[#This Row],[precio del paquete]]-Tabla1[[#This Row],[Saldo_Deudor]]</f>
        <v>8000</v>
      </c>
      <c r="AY734">
        <v>6800</v>
      </c>
      <c r="AZ734">
        <v>0</v>
      </c>
      <c r="BA734">
        <v>0</v>
      </c>
      <c r="BB734">
        <v>0</v>
      </c>
      <c r="BC734" t="s">
        <v>2905</v>
      </c>
      <c r="BD734" t="s">
        <v>3024</v>
      </c>
      <c r="BE734" t="s">
        <v>3</v>
      </c>
      <c r="BF734" t="s">
        <v>3</v>
      </c>
      <c r="BG734" t="s">
        <v>3</v>
      </c>
      <c r="BH734" t="s">
        <v>3</v>
      </c>
      <c r="BI734" t="s">
        <v>3</v>
      </c>
      <c r="BJ734" t="s">
        <v>4993</v>
      </c>
      <c r="BK734" t="s">
        <v>3</v>
      </c>
      <c r="BL734" t="s">
        <v>96</v>
      </c>
      <c r="BM734" t="s">
        <v>1</v>
      </c>
      <c r="BN734">
        <v>14800</v>
      </c>
      <c r="BO734" t="s">
        <v>1</v>
      </c>
      <c r="BP734" t="s">
        <v>1</v>
      </c>
      <c r="BQ734" t="s">
        <v>1</v>
      </c>
      <c r="BR734" t="s">
        <v>1</v>
      </c>
      <c r="BS734" t="s">
        <v>1</v>
      </c>
      <c r="BT734" t="s">
        <v>1</v>
      </c>
      <c r="BU734" t="s">
        <v>1</v>
      </c>
      <c r="BV734" t="s">
        <v>1</v>
      </c>
      <c r="BW734" t="s">
        <v>0</v>
      </c>
      <c r="BX734" t="s">
        <v>1</v>
      </c>
      <c r="BY734" t="s">
        <v>1</v>
      </c>
      <c r="BZ734" t="s">
        <v>1</v>
      </c>
      <c r="CA734" t="s">
        <v>1</v>
      </c>
      <c r="CB734" t="s">
        <v>1</v>
      </c>
      <c r="CD734" t="e" cm="1">
        <f t="array" aca="1" ref="CD734" ca="1">eConcatenar(A734:CB734,"|")</f>
        <v>#NAME?</v>
      </c>
    </row>
    <row r="735" spans="1:82" x14ac:dyDescent="0.25">
      <c r="A735" t="s">
        <v>830</v>
      </c>
      <c r="B735" t="s">
        <v>1845</v>
      </c>
      <c r="C735">
        <v>3</v>
      </c>
      <c r="D735" t="s">
        <v>2154</v>
      </c>
      <c r="E735" t="s">
        <v>2158</v>
      </c>
      <c r="F735" t="s">
        <v>2159</v>
      </c>
      <c r="G735" t="s">
        <v>2586</v>
      </c>
      <c r="H735" t="s">
        <v>2871</v>
      </c>
      <c r="I735">
        <v>24500</v>
      </c>
      <c r="J735">
        <v>0</v>
      </c>
      <c r="K735">
        <v>200</v>
      </c>
      <c r="L735">
        <v>50</v>
      </c>
      <c r="M735">
        <v>1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 t="s">
        <v>3214</v>
      </c>
      <c r="AC735" t="s">
        <v>3214</v>
      </c>
      <c r="AD735" t="s">
        <v>3887</v>
      </c>
      <c r="AE735" t="s">
        <v>4</v>
      </c>
      <c r="AF735" t="s">
        <v>1</v>
      </c>
      <c r="AG735" t="s">
        <v>1</v>
      </c>
      <c r="AH735" t="s">
        <v>4452</v>
      </c>
      <c r="AI735" t="s">
        <v>2586</v>
      </c>
      <c r="AJ735" t="s">
        <v>1</v>
      </c>
      <c r="AK735">
        <v>9331058935</v>
      </c>
      <c r="AL735" t="s">
        <v>1</v>
      </c>
      <c r="AM735" t="s">
        <v>1</v>
      </c>
      <c r="AN735" t="s">
        <v>1</v>
      </c>
      <c r="AO735" t="s">
        <v>4452</v>
      </c>
      <c r="AP735" t="s">
        <v>1</v>
      </c>
      <c r="AQ735" t="s">
        <v>2</v>
      </c>
      <c r="AR735" t="s">
        <v>1</v>
      </c>
      <c r="AS735" t="s">
        <v>1</v>
      </c>
      <c r="AT735" t="s">
        <v>1</v>
      </c>
      <c r="AU735" t="s">
        <v>1</v>
      </c>
      <c r="AV735" t="s">
        <v>1</v>
      </c>
      <c r="AW735" t="s">
        <v>9</v>
      </c>
      <c r="AX735">
        <f>Tabla1[[#This Row],[precio del paquete]]-Tabla1[[#This Row],[Saldo_Deudor]]</f>
        <v>700</v>
      </c>
      <c r="AY735">
        <v>23800</v>
      </c>
      <c r="AZ735">
        <v>0</v>
      </c>
      <c r="BA735">
        <v>0</v>
      </c>
      <c r="BB735">
        <v>0</v>
      </c>
      <c r="BC735" t="s">
        <v>3061</v>
      </c>
      <c r="BD735" t="s">
        <v>3040</v>
      </c>
      <c r="BE735" t="s">
        <v>3</v>
      </c>
      <c r="BF735" t="s">
        <v>3</v>
      </c>
      <c r="BG735" t="s">
        <v>3</v>
      </c>
      <c r="BH735" t="s">
        <v>3</v>
      </c>
      <c r="BI735" t="s">
        <v>3</v>
      </c>
      <c r="BJ735" t="s">
        <v>4993</v>
      </c>
      <c r="BK735" t="s">
        <v>3</v>
      </c>
      <c r="BL735" t="s">
        <v>96</v>
      </c>
      <c r="BM735" t="s">
        <v>1</v>
      </c>
      <c r="BN735">
        <v>24500</v>
      </c>
      <c r="BO735" t="s">
        <v>1</v>
      </c>
      <c r="BP735" t="s">
        <v>1</v>
      </c>
      <c r="BQ735" t="s">
        <v>1</v>
      </c>
      <c r="BR735" t="s">
        <v>1</v>
      </c>
      <c r="BS735" t="s">
        <v>1</v>
      </c>
      <c r="BT735" t="s">
        <v>1</v>
      </c>
      <c r="BU735" t="s">
        <v>1</v>
      </c>
      <c r="BV735" t="s">
        <v>1</v>
      </c>
      <c r="BW735" t="s">
        <v>0</v>
      </c>
      <c r="BX735" t="s">
        <v>1</v>
      </c>
      <c r="BY735" t="s">
        <v>1</v>
      </c>
      <c r="BZ735" t="s">
        <v>1</v>
      </c>
      <c r="CA735" t="s">
        <v>1</v>
      </c>
      <c r="CB735" t="s">
        <v>1</v>
      </c>
      <c r="CD735" t="e" cm="1">
        <f t="array" aca="1" ref="CD735" ca="1">eConcatenar(A735:CB735,"|")</f>
        <v>#NAME?</v>
      </c>
    </row>
    <row r="736" spans="1:82" x14ac:dyDescent="0.25">
      <c r="A736" t="s">
        <v>831</v>
      </c>
      <c r="B736" t="s">
        <v>1846</v>
      </c>
      <c r="C736">
        <v>3</v>
      </c>
      <c r="D736" t="s">
        <v>2153</v>
      </c>
      <c r="E736" t="s">
        <v>2158</v>
      </c>
      <c r="F736" t="s">
        <v>2159</v>
      </c>
      <c r="G736" t="s">
        <v>2586</v>
      </c>
      <c r="H736" t="s">
        <v>2803</v>
      </c>
      <c r="I736">
        <v>14800</v>
      </c>
      <c r="J736">
        <v>0</v>
      </c>
      <c r="K736">
        <v>50</v>
      </c>
      <c r="L736">
        <v>50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 t="s">
        <v>3246</v>
      </c>
      <c r="AC736" t="s">
        <v>3544</v>
      </c>
      <c r="AD736" t="s">
        <v>3888</v>
      </c>
      <c r="AE736" t="s">
        <v>4</v>
      </c>
      <c r="AF736" t="s">
        <v>1</v>
      </c>
      <c r="AG736" t="s">
        <v>1</v>
      </c>
      <c r="AH736" t="s">
        <v>4452</v>
      </c>
      <c r="AI736" t="s">
        <v>2586</v>
      </c>
      <c r="AJ736" t="s">
        <v>1</v>
      </c>
      <c r="AK736">
        <v>9331240952</v>
      </c>
      <c r="AL736" t="s">
        <v>1</v>
      </c>
      <c r="AM736" t="s">
        <v>1</v>
      </c>
      <c r="AN736" t="s">
        <v>1</v>
      </c>
      <c r="AO736" t="s">
        <v>4452</v>
      </c>
      <c r="AP736" t="s">
        <v>1</v>
      </c>
      <c r="AQ736" t="s">
        <v>2</v>
      </c>
      <c r="AR736" t="s">
        <v>1</v>
      </c>
      <c r="AS736" t="s">
        <v>1</v>
      </c>
      <c r="AT736" t="s">
        <v>1</v>
      </c>
      <c r="AU736" t="s">
        <v>1</v>
      </c>
      <c r="AV736" t="s">
        <v>1</v>
      </c>
      <c r="AW736" t="s">
        <v>9</v>
      </c>
      <c r="AX736">
        <f>Tabla1[[#This Row],[precio del paquete]]-Tabla1[[#This Row],[Saldo_Deudor]]</f>
        <v>50</v>
      </c>
      <c r="AY736">
        <v>14750</v>
      </c>
      <c r="AZ736">
        <v>0</v>
      </c>
      <c r="BA736">
        <v>0</v>
      </c>
      <c r="BB736">
        <v>0</v>
      </c>
      <c r="BC736" t="s">
        <v>2974</v>
      </c>
      <c r="BD736" t="s">
        <v>4871</v>
      </c>
      <c r="BE736" t="s">
        <v>3</v>
      </c>
      <c r="BF736" t="s">
        <v>3</v>
      </c>
      <c r="BG736" t="s">
        <v>3</v>
      </c>
      <c r="BH736" t="s">
        <v>3</v>
      </c>
      <c r="BI736" t="s">
        <v>3</v>
      </c>
      <c r="BJ736" t="s">
        <v>4991</v>
      </c>
      <c r="BK736" t="s">
        <v>3</v>
      </c>
      <c r="BL736" t="s">
        <v>96</v>
      </c>
      <c r="BM736" t="s">
        <v>1</v>
      </c>
      <c r="BN736">
        <v>14800</v>
      </c>
      <c r="BO736" t="s">
        <v>1</v>
      </c>
      <c r="BP736" t="s">
        <v>1</v>
      </c>
      <c r="BQ736" t="s">
        <v>1</v>
      </c>
      <c r="BR736" t="s">
        <v>1</v>
      </c>
      <c r="BS736" t="s">
        <v>1</v>
      </c>
      <c r="BT736" t="s">
        <v>1</v>
      </c>
      <c r="BU736" t="s">
        <v>1</v>
      </c>
      <c r="BV736" t="s">
        <v>1</v>
      </c>
      <c r="BW736" t="s">
        <v>0</v>
      </c>
      <c r="BX736" t="s">
        <v>1</v>
      </c>
      <c r="BY736" t="s">
        <v>1</v>
      </c>
      <c r="BZ736" t="s">
        <v>1</v>
      </c>
      <c r="CA736" t="s">
        <v>1</v>
      </c>
      <c r="CB736" t="s">
        <v>1</v>
      </c>
      <c r="CD736" t="e" cm="1">
        <f t="array" aca="1" ref="CD736" ca="1">eConcatenar(A736:CB736,"|")</f>
        <v>#NAME?</v>
      </c>
    </row>
    <row r="737" spans="1:82" x14ac:dyDescent="0.25">
      <c r="A737" t="s">
        <v>832</v>
      </c>
      <c r="B737" t="s">
        <v>1847</v>
      </c>
      <c r="C737">
        <v>3</v>
      </c>
      <c r="D737" t="s">
        <v>2157</v>
      </c>
      <c r="E737" t="s">
        <v>2158</v>
      </c>
      <c r="F737" t="s">
        <v>2159</v>
      </c>
      <c r="G737" t="s">
        <v>2586</v>
      </c>
      <c r="H737" t="s">
        <v>2706</v>
      </c>
      <c r="I737">
        <v>12900</v>
      </c>
      <c r="J737">
        <v>0</v>
      </c>
      <c r="K737">
        <v>100</v>
      </c>
      <c r="L737">
        <v>50</v>
      </c>
      <c r="M737">
        <v>1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 t="s">
        <v>3889</v>
      </c>
      <c r="AC737" t="s">
        <v>3178</v>
      </c>
      <c r="AD737" t="s">
        <v>3890</v>
      </c>
      <c r="AE737" t="s">
        <v>4</v>
      </c>
      <c r="AF737" t="s">
        <v>1</v>
      </c>
      <c r="AG737" t="s">
        <v>1</v>
      </c>
      <c r="AH737" t="s">
        <v>4618</v>
      </c>
      <c r="AI737" t="s">
        <v>2586</v>
      </c>
      <c r="AJ737" t="s">
        <v>1</v>
      </c>
      <c r="AK737">
        <v>9331891014</v>
      </c>
      <c r="AL737" t="s">
        <v>1</v>
      </c>
      <c r="AM737" t="s">
        <v>1</v>
      </c>
      <c r="AN737" t="s">
        <v>1</v>
      </c>
      <c r="AO737" t="s">
        <v>4618</v>
      </c>
      <c r="AP737" t="s">
        <v>1</v>
      </c>
      <c r="AQ737" t="s">
        <v>2</v>
      </c>
      <c r="AR737" t="s">
        <v>1</v>
      </c>
      <c r="AS737" t="s">
        <v>1</v>
      </c>
      <c r="AT737" t="s">
        <v>1</v>
      </c>
      <c r="AU737" t="s">
        <v>1</v>
      </c>
      <c r="AV737" t="s">
        <v>1</v>
      </c>
      <c r="AW737" t="s">
        <v>9</v>
      </c>
      <c r="AX737">
        <f>Tabla1[[#This Row],[precio del paquete]]-Tabla1[[#This Row],[Saldo_Deudor]]</f>
        <v>12200</v>
      </c>
      <c r="AY737">
        <v>700</v>
      </c>
      <c r="AZ737">
        <v>0</v>
      </c>
      <c r="BA737">
        <v>0</v>
      </c>
      <c r="BB737">
        <v>0</v>
      </c>
      <c r="BC737" t="s">
        <v>2711</v>
      </c>
      <c r="BD737" t="s">
        <v>2712</v>
      </c>
      <c r="BE737" t="s">
        <v>3</v>
      </c>
      <c r="BF737" t="s">
        <v>3</v>
      </c>
      <c r="BG737" t="s">
        <v>3</v>
      </c>
      <c r="BH737" t="s">
        <v>3</v>
      </c>
      <c r="BI737" t="s">
        <v>3</v>
      </c>
      <c r="BJ737" t="s">
        <v>4984</v>
      </c>
      <c r="BK737" t="s">
        <v>3</v>
      </c>
      <c r="BL737" t="s">
        <v>96</v>
      </c>
      <c r="BM737" t="s">
        <v>1</v>
      </c>
      <c r="BN737">
        <v>12900</v>
      </c>
      <c r="BO737" t="s">
        <v>1</v>
      </c>
      <c r="BP737" t="s">
        <v>1</v>
      </c>
      <c r="BQ737" t="s">
        <v>1</v>
      </c>
      <c r="BR737" t="s">
        <v>1</v>
      </c>
      <c r="BS737" t="s">
        <v>1</v>
      </c>
      <c r="BT737" t="s">
        <v>1</v>
      </c>
      <c r="BU737" t="s">
        <v>1</v>
      </c>
      <c r="BV737" t="s">
        <v>1</v>
      </c>
      <c r="BW737" t="s">
        <v>0</v>
      </c>
      <c r="BX737" t="s">
        <v>1</v>
      </c>
      <c r="BY737" t="s">
        <v>1</v>
      </c>
      <c r="BZ737" t="s">
        <v>1</v>
      </c>
      <c r="CA737" t="s">
        <v>1</v>
      </c>
      <c r="CB737" t="s">
        <v>1</v>
      </c>
      <c r="CD737" t="e" cm="1">
        <f t="array" aca="1" ref="CD737" ca="1">eConcatenar(A737:CB737,"|")</f>
        <v>#NAME?</v>
      </c>
    </row>
    <row r="738" spans="1:82" x14ac:dyDescent="0.25">
      <c r="A738" t="s">
        <v>833</v>
      </c>
      <c r="B738" t="s">
        <v>1848</v>
      </c>
      <c r="C738">
        <v>3</v>
      </c>
      <c r="D738" t="s">
        <v>2154</v>
      </c>
      <c r="E738" t="s">
        <v>2158</v>
      </c>
      <c r="F738" t="s">
        <v>2159</v>
      </c>
      <c r="G738" t="s">
        <v>2586</v>
      </c>
      <c r="H738" t="s">
        <v>2729</v>
      </c>
      <c r="I738">
        <v>24500</v>
      </c>
      <c r="J738">
        <v>0</v>
      </c>
      <c r="K738">
        <v>100</v>
      </c>
      <c r="L738">
        <v>50</v>
      </c>
      <c r="M738">
        <v>1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 t="s">
        <v>3157</v>
      </c>
      <c r="AC738" t="s">
        <v>3227</v>
      </c>
      <c r="AD738" t="s">
        <v>3891</v>
      </c>
      <c r="AE738" t="s">
        <v>4</v>
      </c>
      <c r="AF738" t="s">
        <v>1</v>
      </c>
      <c r="AG738" t="s">
        <v>1</v>
      </c>
      <c r="AH738" t="s">
        <v>4619</v>
      </c>
      <c r="AI738" t="s">
        <v>2586</v>
      </c>
      <c r="AJ738" t="s">
        <v>1</v>
      </c>
      <c r="AK738">
        <v>9331250347</v>
      </c>
      <c r="AL738" t="s">
        <v>1</v>
      </c>
      <c r="AM738" t="s">
        <v>1</v>
      </c>
      <c r="AN738" t="s">
        <v>1</v>
      </c>
      <c r="AO738" t="s">
        <v>4619</v>
      </c>
      <c r="AP738" t="s">
        <v>1</v>
      </c>
      <c r="AQ738" t="s">
        <v>2</v>
      </c>
      <c r="AR738" t="s">
        <v>1</v>
      </c>
      <c r="AS738" t="s">
        <v>1</v>
      </c>
      <c r="AT738" t="s">
        <v>1</v>
      </c>
      <c r="AU738" t="s">
        <v>1</v>
      </c>
      <c r="AV738" t="s">
        <v>1</v>
      </c>
      <c r="AW738" t="s">
        <v>9</v>
      </c>
      <c r="AX738">
        <f>Tabla1[[#This Row],[precio del paquete]]-Tabla1[[#This Row],[Saldo_Deudor]]</f>
        <v>500</v>
      </c>
      <c r="AY738">
        <v>24000</v>
      </c>
      <c r="AZ738">
        <v>0</v>
      </c>
      <c r="BA738">
        <v>0</v>
      </c>
      <c r="BB738">
        <v>0</v>
      </c>
      <c r="BC738" t="s">
        <v>3078</v>
      </c>
      <c r="BD738" t="s">
        <v>4827</v>
      </c>
      <c r="BE738" t="s">
        <v>3</v>
      </c>
      <c r="BF738" t="s">
        <v>3</v>
      </c>
      <c r="BG738" t="s">
        <v>3</v>
      </c>
      <c r="BH738" t="s">
        <v>3</v>
      </c>
      <c r="BI738" t="s">
        <v>3</v>
      </c>
      <c r="BJ738" t="s">
        <v>4984</v>
      </c>
      <c r="BK738" t="s">
        <v>3</v>
      </c>
      <c r="BL738" t="s">
        <v>96</v>
      </c>
      <c r="BM738" t="s">
        <v>1</v>
      </c>
      <c r="BN738">
        <v>24500</v>
      </c>
      <c r="BO738" t="s">
        <v>1</v>
      </c>
      <c r="BP738" t="s">
        <v>1</v>
      </c>
      <c r="BQ738" t="s">
        <v>1</v>
      </c>
      <c r="BR738" t="s">
        <v>1</v>
      </c>
      <c r="BS738" t="s">
        <v>1</v>
      </c>
      <c r="BT738" t="s">
        <v>1</v>
      </c>
      <c r="BU738" t="s">
        <v>1</v>
      </c>
      <c r="BV738" t="s">
        <v>1</v>
      </c>
      <c r="BW738" t="s">
        <v>0</v>
      </c>
      <c r="BX738" t="s">
        <v>1</v>
      </c>
      <c r="BY738" t="s">
        <v>1</v>
      </c>
      <c r="BZ738" t="s">
        <v>1</v>
      </c>
      <c r="CA738" t="s">
        <v>1</v>
      </c>
      <c r="CB738" t="s">
        <v>1</v>
      </c>
      <c r="CD738" t="e" cm="1">
        <f t="array" aca="1" ref="CD738" ca="1">eConcatenar(A738:CB738,"|")</f>
        <v>#NAME?</v>
      </c>
    </row>
    <row r="739" spans="1:82" x14ac:dyDescent="0.25">
      <c r="A739" t="s">
        <v>834</v>
      </c>
      <c r="B739" t="s">
        <v>1849</v>
      </c>
      <c r="C739">
        <v>3</v>
      </c>
      <c r="D739" t="s">
        <v>2153</v>
      </c>
      <c r="E739" t="s">
        <v>2158</v>
      </c>
      <c r="F739" t="s">
        <v>2159</v>
      </c>
      <c r="G739" t="s">
        <v>2586</v>
      </c>
      <c r="H739" t="s">
        <v>2706</v>
      </c>
      <c r="I739">
        <v>14800</v>
      </c>
      <c r="J739">
        <v>0</v>
      </c>
      <c r="K739">
        <v>100</v>
      </c>
      <c r="L739">
        <v>50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 t="s">
        <v>3115</v>
      </c>
      <c r="AC739" t="s">
        <v>5</v>
      </c>
      <c r="AD739" t="s">
        <v>3189</v>
      </c>
      <c r="AE739" t="s">
        <v>4</v>
      </c>
      <c r="AF739" t="s">
        <v>1</v>
      </c>
      <c r="AG739" t="s">
        <v>1</v>
      </c>
      <c r="AH739" t="s">
        <v>2586</v>
      </c>
      <c r="AI739" t="s">
        <v>2586</v>
      </c>
      <c r="AJ739" t="s">
        <v>1</v>
      </c>
      <c r="AK739">
        <v>9331556061</v>
      </c>
      <c r="AL739" t="s">
        <v>1</v>
      </c>
      <c r="AM739" t="s">
        <v>1</v>
      </c>
      <c r="AN739" t="s">
        <v>1</v>
      </c>
      <c r="AO739" t="s">
        <v>2586</v>
      </c>
      <c r="AP739" t="s">
        <v>1</v>
      </c>
      <c r="AQ739" t="s">
        <v>2</v>
      </c>
      <c r="AR739" t="s">
        <v>1</v>
      </c>
      <c r="AS739" t="s">
        <v>1</v>
      </c>
      <c r="AT739" t="s">
        <v>1</v>
      </c>
      <c r="AU739" t="s">
        <v>1</v>
      </c>
      <c r="AV739" t="s">
        <v>1</v>
      </c>
      <c r="AW739" t="s">
        <v>9</v>
      </c>
      <c r="AX739">
        <f>Tabla1[[#This Row],[precio del paquete]]-Tabla1[[#This Row],[Saldo_Deudor]]</f>
        <v>6800</v>
      </c>
      <c r="AY739">
        <v>8000</v>
      </c>
      <c r="AZ739">
        <v>0</v>
      </c>
      <c r="BA739">
        <v>0</v>
      </c>
      <c r="BB739">
        <v>0</v>
      </c>
      <c r="BC739" t="s">
        <v>2711</v>
      </c>
      <c r="BD739" t="s">
        <v>2712</v>
      </c>
      <c r="BE739" t="s">
        <v>3</v>
      </c>
      <c r="BF739" t="s">
        <v>3</v>
      </c>
      <c r="BG739" t="s">
        <v>3</v>
      </c>
      <c r="BH739" t="s">
        <v>3</v>
      </c>
      <c r="BI739" t="s">
        <v>3</v>
      </c>
      <c r="BJ739" t="s">
        <v>4984</v>
      </c>
      <c r="BK739" t="s">
        <v>3</v>
      </c>
      <c r="BL739" t="s">
        <v>96</v>
      </c>
      <c r="BM739" t="s">
        <v>1</v>
      </c>
      <c r="BN739">
        <v>14800</v>
      </c>
      <c r="BO739" t="s">
        <v>1</v>
      </c>
      <c r="BP739" t="s">
        <v>1</v>
      </c>
      <c r="BQ739" t="s">
        <v>1</v>
      </c>
      <c r="BR739" t="s">
        <v>1</v>
      </c>
      <c r="BS739" t="s">
        <v>1</v>
      </c>
      <c r="BT739" t="s">
        <v>1</v>
      </c>
      <c r="BU739" t="s">
        <v>1</v>
      </c>
      <c r="BV739" t="s">
        <v>1</v>
      </c>
      <c r="BW739" t="s">
        <v>0</v>
      </c>
      <c r="BX739" t="s">
        <v>1</v>
      </c>
      <c r="BY739" t="s">
        <v>1</v>
      </c>
      <c r="BZ739" t="s">
        <v>1</v>
      </c>
      <c r="CA739" t="s">
        <v>1</v>
      </c>
      <c r="CB739" t="s">
        <v>1</v>
      </c>
      <c r="CD739" t="e" cm="1">
        <f t="array" aca="1" ref="CD739" ca="1">eConcatenar(A739:CB739,"|")</f>
        <v>#NAME?</v>
      </c>
    </row>
    <row r="740" spans="1:82" x14ac:dyDescent="0.25">
      <c r="A740" t="s">
        <v>835</v>
      </c>
      <c r="B740" t="s">
        <v>1850</v>
      </c>
      <c r="C740">
        <v>3</v>
      </c>
      <c r="D740" t="s">
        <v>2153</v>
      </c>
      <c r="E740" t="s">
        <v>2158</v>
      </c>
      <c r="F740" t="s">
        <v>2159</v>
      </c>
      <c r="G740" t="s">
        <v>2586</v>
      </c>
      <c r="H740" t="s">
        <v>3012</v>
      </c>
      <c r="I740">
        <v>14800</v>
      </c>
      <c r="J740">
        <v>0</v>
      </c>
      <c r="K740">
        <v>100</v>
      </c>
      <c r="L740">
        <v>50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 t="s">
        <v>3114</v>
      </c>
      <c r="AC740" t="s">
        <v>3115</v>
      </c>
      <c r="AD740" t="s">
        <v>3721</v>
      </c>
      <c r="AE740" t="s">
        <v>4</v>
      </c>
      <c r="AF740" t="s">
        <v>1</v>
      </c>
      <c r="AG740" t="s">
        <v>1</v>
      </c>
      <c r="AH740" t="s">
        <v>2586</v>
      </c>
      <c r="AI740" t="s">
        <v>2586</v>
      </c>
      <c r="AJ740" t="s">
        <v>1</v>
      </c>
      <c r="AK740">
        <v>9331066332</v>
      </c>
      <c r="AL740" t="s">
        <v>1</v>
      </c>
      <c r="AM740" t="s">
        <v>1</v>
      </c>
      <c r="AN740" t="s">
        <v>1</v>
      </c>
      <c r="AO740" t="s">
        <v>2586</v>
      </c>
      <c r="AP740" t="s">
        <v>1</v>
      </c>
      <c r="AQ740" t="s">
        <v>2</v>
      </c>
      <c r="AR740" t="s">
        <v>1</v>
      </c>
      <c r="AS740" t="s">
        <v>1</v>
      </c>
      <c r="AT740" t="s">
        <v>1</v>
      </c>
      <c r="AU740" t="s">
        <v>1</v>
      </c>
      <c r="AV740" t="s">
        <v>1</v>
      </c>
      <c r="AW740" t="s">
        <v>9</v>
      </c>
      <c r="AX740">
        <f>Tabla1[[#This Row],[precio del paquete]]-Tabla1[[#This Row],[Saldo_Deudor]]</f>
        <v>9300</v>
      </c>
      <c r="AY740">
        <v>5500</v>
      </c>
      <c r="AZ740">
        <v>0</v>
      </c>
      <c r="BA740">
        <v>0</v>
      </c>
      <c r="BB740">
        <v>0</v>
      </c>
      <c r="BC740" t="s">
        <v>2711</v>
      </c>
      <c r="BD740" t="s">
        <v>2712</v>
      </c>
      <c r="BE740" t="s">
        <v>3</v>
      </c>
      <c r="BF740" t="s">
        <v>3</v>
      </c>
      <c r="BG740" t="s">
        <v>3</v>
      </c>
      <c r="BH740" t="s">
        <v>3</v>
      </c>
      <c r="BI740" t="s">
        <v>3</v>
      </c>
      <c r="BJ740" t="s">
        <v>4984</v>
      </c>
      <c r="BK740" t="s">
        <v>3</v>
      </c>
      <c r="BL740" t="s">
        <v>96</v>
      </c>
      <c r="BM740" t="s">
        <v>1</v>
      </c>
      <c r="BN740">
        <v>14800</v>
      </c>
      <c r="BO740" t="s">
        <v>1</v>
      </c>
      <c r="BP740" t="s">
        <v>1</v>
      </c>
      <c r="BQ740" t="s">
        <v>1</v>
      </c>
      <c r="BR740" t="s">
        <v>1</v>
      </c>
      <c r="BS740" t="s">
        <v>1</v>
      </c>
      <c r="BT740" t="s">
        <v>1</v>
      </c>
      <c r="BU740" t="s">
        <v>1</v>
      </c>
      <c r="BV740" t="s">
        <v>1</v>
      </c>
      <c r="BW740" t="s">
        <v>0</v>
      </c>
      <c r="BX740" t="s">
        <v>1</v>
      </c>
      <c r="BY740" t="s">
        <v>1</v>
      </c>
      <c r="BZ740" t="s">
        <v>1</v>
      </c>
      <c r="CA740" t="s">
        <v>1</v>
      </c>
      <c r="CB740" t="s">
        <v>1</v>
      </c>
      <c r="CD740" t="e" cm="1">
        <f t="array" aca="1" ref="CD740" ca="1">eConcatenar(A740:CB740,"|")</f>
        <v>#NAME?</v>
      </c>
    </row>
    <row r="741" spans="1:82" x14ac:dyDescent="0.25">
      <c r="A741" t="s">
        <v>836</v>
      </c>
      <c r="B741" t="s">
        <v>1851</v>
      </c>
      <c r="C741">
        <v>3</v>
      </c>
      <c r="D741" t="s">
        <v>2157</v>
      </c>
      <c r="E741" t="s">
        <v>2158</v>
      </c>
      <c r="F741" t="s">
        <v>2159</v>
      </c>
      <c r="G741" t="s">
        <v>2586</v>
      </c>
      <c r="H741" t="s">
        <v>2706</v>
      </c>
      <c r="I741">
        <v>12900</v>
      </c>
      <c r="J741">
        <v>0</v>
      </c>
      <c r="K741">
        <v>100</v>
      </c>
      <c r="L741">
        <v>50</v>
      </c>
      <c r="M741">
        <v>1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 t="s">
        <v>3155</v>
      </c>
      <c r="AC741" t="s">
        <v>3379</v>
      </c>
      <c r="AD741" t="s">
        <v>3892</v>
      </c>
      <c r="AE741" t="s">
        <v>4</v>
      </c>
      <c r="AF741" t="s">
        <v>1</v>
      </c>
      <c r="AG741" t="s">
        <v>1</v>
      </c>
      <c r="AH741" t="s">
        <v>2586</v>
      </c>
      <c r="AI741" t="s">
        <v>2586</v>
      </c>
      <c r="AJ741" t="s">
        <v>1</v>
      </c>
      <c r="AK741">
        <v>9331634472</v>
      </c>
      <c r="AL741" t="s">
        <v>1</v>
      </c>
      <c r="AM741" t="s">
        <v>1</v>
      </c>
      <c r="AN741" t="s">
        <v>1</v>
      </c>
      <c r="AO741" t="s">
        <v>2586</v>
      </c>
      <c r="AP741" t="s">
        <v>1</v>
      </c>
      <c r="AQ741" t="s">
        <v>2</v>
      </c>
      <c r="AR741" t="s">
        <v>1</v>
      </c>
      <c r="AS741" t="s">
        <v>1</v>
      </c>
      <c r="AT741" t="s">
        <v>1</v>
      </c>
      <c r="AU741" t="s">
        <v>1</v>
      </c>
      <c r="AV741" t="s">
        <v>1</v>
      </c>
      <c r="AW741" t="s">
        <v>9</v>
      </c>
      <c r="AX741">
        <f>Tabla1[[#This Row],[precio del paquete]]-Tabla1[[#This Row],[Saldo_Deudor]]</f>
        <v>10300</v>
      </c>
      <c r="AY741">
        <v>2600</v>
      </c>
      <c r="AZ741">
        <v>0</v>
      </c>
      <c r="BA741">
        <v>0</v>
      </c>
      <c r="BB741">
        <v>0</v>
      </c>
      <c r="BC741" t="s">
        <v>2711</v>
      </c>
      <c r="BD741" t="s">
        <v>2712</v>
      </c>
      <c r="BE741" t="s">
        <v>3</v>
      </c>
      <c r="BF741" t="s">
        <v>3</v>
      </c>
      <c r="BG741" t="s">
        <v>3</v>
      </c>
      <c r="BH741" t="s">
        <v>3</v>
      </c>
      <c r="BI741" t="s">
        <v>3</v>
      </c>
      <c r="BJ741" t="s">
        <v>4984</v>
      </c>
      <c r="BK741" t="s">
        <v>3</v>
      </c>
      <c r="BL741" t="s">
        <v>96</v>
      </c>
      <c r="BM741" t="s">
        <v>1</v>
      </c>
      <c r="BN741">
        <v>12900</v>
      </c>
      <c r="BO741" t="s">
        <v>1</v>
      </c>
      <c r="BP741" t="s">
        <v>1</v>
      </c>
      <c r="BQ741" t="s">
        <v>1</v>
      </c>
      <c r="BR741" t="s">
        <v>1</v>
      </c>
      <c r="BS741" t="s">
        <v>1</v>
      </c>
      <c r="BT741" t="s">
        <v>1</v>
      </c>
      <c r="BU741" t="s">
        <v>1</v>
      </c>
      <c r="BV741" t="s">
        <v>1</v>
      </c>
      <c r="BW741" t="s">
        <v>0</v>
      </c>
      <c r="BX741" t="s">
        <v>1</v>
      </c>
      <c r="BY741" t="s">
        <v>1</v>
      </c>
      <c r="BZ741" t="s">
        <v>1</v>
      </c>
      <c r="CA741" t="s">
        <v>1</v>
      </c>
      <c r="CB741" t="s">
        <v>1</v>
      </c>
      <c r="CD741" t="e" cm="1">
        <f t="array" aca="1" ref="CD741" ca="1">eConcatenar(A741:CB741,"|")</f>
        <v>#NAME?</v>
      </c>
    </row>
    <row r="742" spans="1:82" x14ac:dyDescent="0.25">
      <c r="A742" t="s">
        <v>837</v>
      </c>
      <c r="B742" t="s">
        <v>1852</v>
      </c>
      <c r="C742">
        <v>3</v>
      </c>
      <c r="D742" t="s">
        <v>2154</v>
      </c>
      <c r="E742" t="s">
        <v>10</v>
      </c>
      <c r="F742" t="s">
        <v>2159</v>
      </c>
      <c r="G742" t="s">
        <v>2587</v>
      </c>
      <c r="H742" t="s">
        <v>2927</v>
      </c>
      <c r="I742">
        <v>24500</v>
      </c>
      <c r="J742">
        <v>0</v>
      </c>
      <c r="K742">
        <v>500</v>
      </c>
      <c r="L742">
        <v>50</v>
      </c>
      <c r="M742">
        <v>2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 t="s">
        <v>3178</v>
      </c>
      <c r="AC742" t="s">
        <v>3227</v>
      </c>
      <c r="AD742" t="s">
        <v>3893</v>
      </c>
      <c r="AE742" t="s">
        <v>4</v>
      </c>
      <c r="AF742" t="s">
        <v>1</v>
      </c>
      <c r="AG742" t="s">
        <v>1</v>
      </c>
      <c r="AH742" t="s">
        <v>4620</v>
      </c>
      <c r="AI742" t="s">
        <v>2587</v>
      </c>
      <c r="AJ742" t="s">
        <v>1</v>
      </c>
      <c r="AK742">
        <v>9331251833</v>
      </c>
      <c r="AL742" t="s">
        <v>1</v>
      </c>
      <c r="AM742" t="s">
        <v>1</v>
      </c>
      <c r="AN742" t="s">
        <v>1</v>
      </c>
      <c r="AO742" t="s">
        <v>4620</v>
      </c>
      <c r="AP742" t="s">
        <v>1</v>
      </c>
      <c r="AQ742" t="s">
        <v>2</v>
      </c>
      <c r="AR742" t="s">
        <v>1</v>
      </c>
      <c r="AS742" t="s">
        <v>1</v>
      </c>
      <c r="AT742" t="s">
        <v>1</v>
      </c>
      <c r="AU742" t="s">
        <v>1</v>
      </c>
      <c r="AV742" t="s">
        <v>1</v>
      </c>
      <c r="AW742" t="s">
        <v>9</v>
      </c>
      <c r="AX742">
        <f>Tabla1[[#This Row],[precio del paquete]]-Tabla1[[#This Row],[Saldo_Deudor]]</f>
        <v>500</v>
      </c>
      <c r="AY742">
        <v>24000</v>
      </c>
      <c r="AZ742">
        <v>0</v>
      </c>
      <c r="BA742">
        <v>0</v>
      </c>
      <c r="BB742">
        <v>0</v>
      </c>
      <c r="BC742" t="s">
        <v>2831</v>
      </c>
      <c r="BD742" t="s">
        <v>2774</v>
      </c>
      <c r="BE742" t="s">
        <v>3</v>
      </c>
      <c r="BF742" t="s">
        <v>3</v>
      </c>
      <c r="BG742" t="s">
        <v>3</v>
      </c>
      <c r="BH742" t="s">
        <v>3</v>
      </c>
      <c r="BI742" t="s">
        <v>3</v>
      </c>
      <c r="BJ742" t="s">
        <v>4984</v>
      </c>
      <c r="BK742" t="s">
        <v>3</v>
      </c>
      <c r="BL742" t="s">
        <v>96</v>
      </c>
      <c r="BM742" t="s">
        <v>1</v>
      </c>
      <c r="BN742">
        <v>24500</v>
      </c>
      <c r="BO742" t="s">
        <v>1</v>
      </c>
      <c r="BP742" t="s">
        <v>1</v>
      </c>
      <c r="BQ742" t="s">
        <v>1</v>
      </c>
      <c r="BR742" t="s">
        <v>1</v>
      </c>
      <c r="BS742" t="s">
        <v>1</v>
      </c>
      <c r="BT742" t="s">
        <v>1</v>
      </c>
      <c r="BU742" t="s">
        <v>1</v>
      </c>
      <c r="BV742" t="s">
        <v>1</v>
      </c>
      <c r="BW742" t="s">
        <v>0</v>
      </c>
      <c r="BX742" t="s">
        <v>1</v>
      </c>
      <c r="BY742" t="s">
        <v>1</v>
      </c>
      <c r="BZ742" t="s">
        <v>1</v>
      </c>
      <c r="CA742" t="s">
        <v>1</v>
      </c>
      <c r="CB742" t="s">
        <v>1</v>
      </c>
      <c r="CD742" t="e" cm="1">
        <f t="array" aca="1" ref="CD742" ca="1">eConcatenar(A742:CB742,"|")</f>
        <v>#NAME?</v>
      </c>
    </row>
    <row r="743" spans="1:82" x14ac:dyDescent="0.25">
      <c r="A743" t="s">
        <v>838</v>
      </c>
      <c r="B743" t="s">
        <v>1853</v>
      </c>
      <c r="C743">
        <v>3</v>
      </c>
      <c r="D743" t="s">
        <v>2153</v>
      </c>
      <c r="E743" t="s">
        <v>2158</v>
      </c>
      <c r="F743" t="s">
        <v>2159</v>
      </c>
      <c r="G743" t="s">
        <v>2588</v>
      </c>
      <c r="H743" t="s">
        <v>2804</v>
      </c>
      <c r="I743">
        <v>14800</v>
      </c>
      <c r="J743">
        <v>0</v>
      </c>
      <c r="K743">
        <v>250</v>
      </c>
      <c r="L743">
        <v>50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 t="s">
        <v>3280</v>
      </c>
      <c r="AC743" t="s">
        <v>3246</v>
      </c>
      <c r="AD743" t="s">
        <v>3894</v>
      </c>
      <c r="AE743" t="s">
        <v>4</v>
      </c>
      <c r="AF743" t="s">
        <v>1</v>
      </c>
      <c r="AG743" t="s">
        <v>1</v>
      </c>
      <c r="AH743" t="s">
        <v>4621</v>
      </c>
      <c r="AI743" t="s">
        <v>2588</v>
      </c>
      <c r="AJ743" t="s">
        <v>1</v>
      </c>
      <c r="AK743">
        <v>9331112994</v>
      </c>
      <c r="AL743" t="s">
        <v>1</v>
      </c>
      <c r="AM743" t="s">
        <v>1</v>
      </c>
      <c r="AN743" t="s">
        <v>1</v>
      </c>
      <c r="AO743" t="s">
        <v>4621</v>
      </c>
      <c r="AP743" t="s">
        <v>1</v>
      </c>
      <c r="AQ743" t="s">
        <v>2</v>
      </c>
      <c r="AR743" t="s">
        <v>1</v>
      </c>
      <c r="AS743" t="s">
        <v>1</v>
      </c>
      <c r="AT743" t="s">
        <v>1</v>
      </c>
      <c r="AU743" t="s">
        <v>1</v>
      </c>
      <c r="AV743" t="s">
        <v>1</v>
      </c>
      <c r="AW743" t="s">
        <v>9</v>
      </c>
      <c r="AX743">
        <f>Tabla1[[#This Row],[precio del paquete]]-Tabla1[[#This Row],[Saldo_Deudor]]</f>
        <v>550</v>
      </c>
      <c r="AY743">
        <v>14250</v>
      </c>
      <c r="AZ743">
        <v>0</v>
      </c>
      <c r="BA743">
        <v>0</v>
      </c>
      <c r="BB743">
        <v>0</v>
      </c>
      <c r="BC743" t="s">
        <v>3102</v>
      </c>
      <c r="BD743" t="s">
        <v>4897</v>
      </c>
      <c r="BE743" t="s">
        <v>3</v>
      </c>
      <c r="BF743" t="s">
        <v>3</v>
      </c>
      <c r="BG743" t="s">
        <v>3</v>
      </c>
      <c r="BH743" t="s">
        <v>3</v>
      </c>
      <c r="BI743" t="s">
        <v>3</v>
      </c>
      <c r="BJ743" t="s">
        <v>4993</v>
      </c>
      <c r="BK743" t="s">
        <v>3</v>
      </c>
      <c r="BL743" t="s">
        <v>96</v>
      </c>
      <c r="BM743" t="s">
        <v>1</v>
      </c>
      <c r="BN743">
        <v>14800</v>
      </c>
      <c r="BO743" t="s">
        <v>1</v>
      </c>
      <c r="BP743" t="s">
        <v>1</v>
      </c>
      <c r="BQ743" t="s">
        <v>1</v>
      </c>
      <c r="BR743" t="s">
        <v>1</v>
      </c>
      <c r="BS743" t="s">
        <v>1</v>
      </c>
      <c r="BT743" t="s">
        <v>1</v>
      </c>
      <c r="BU743" t="s">
        <v>1</v>
      </c>
      <c r="BV743" t="s">
        <v>1</v>
      </c>
      <c r="BW743" t="s">
        <v>0</v>
      </c>
      <c r="BX743" t="s">
        <v>1</v>
      </c>
      <c r="BY743" t="s">
        <v>1</v>
      </c>
      <c r="BZ743" t="s">
        <v>1</v>
      </c>
      <c r="CA743" t="s">
        <v>1</v>
      </c>
      <c r="CB743" t="s">
        <v>1</v>
      </c>
      <c r="CD743" t="e" cm="1">
        <f t="array" aca="1" ref="CD743" ca="1">eConcatenar(A743:CB743,"|")</f>
        <v>#NAME?</v>
      </c>
    </row>
    <row r="744" spans="1:82" x14ac:dyDescent="0.25">
      <c r="A744" t="s">
        <v>839</v>
      </c>
      <c r="B744" t="s">
        <v>1854</v>
      </c>
      <c r="C744">
        <v>3</v>
      </c>
      <c r="D744" t="s">
        <v>2153</v>
      </c>
      <c r="E744" t="s">
        <v>2158</v>
      </c>
      <c r="F744" t="s">
        <v>2159</v>
      </c>
      <c r="G744" t="s">
        <v>2588</v>
      </c>
      <c r="H744" t="s">
        <v>3013</v>
      </c>
      <c r="I744">
        <v>14800</v>
      </c>
      <c r="J744">
        <v>0</v>
      </c>
      <c r="K744">
        <v>500</v>
      </c>
      <c r="L744">
        <v>50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 t="s">
        <v>3280</v>
      </c>
      <c r="AC744" t="s">
        <v>3246</v>
      </c>
      <c r="AD744" t="s">
        <v>3156</v>
      </c>
      <c r="AE744" t="s">
        <v>4</v>
      </c>
      <c r="AF744" t="s">
        <v>1</v>
      </c>
      <c r="AG744" t="s">
        <v>1</v>
      </c>
      <c r="AH744" t="s">
        <v>4622</v>
      </c>
      <c r="AI744" t="s">
        <v>2588</v>
      </c>
      <c r="AJ744" t="s">
        <v>1</v>
      </c>
      <c r="AK744">
        <v>9331648894</v>
      </c>
      <c r="AL744" t="s">
        <v>1</v>
      </c>
      <c r="AM744" t="s">
        <v>1</v>
      </c>
      <c r="AN744" t="s">
        <v>1</v>
      </c>
      <c r="AO744" t="s">
        <v>4622</v>
      </c>
      <c r="AP744" t="s">
        <v>1</v>
      </c>
      <c r="AQ744" t="s">
        <v>2</v>
      </c>
      <c r="AR744" t="s">
        <v>1</v>
      </c>
      <c r="AS744" t="s">
        <v>1</v>
      </c>
      <c r="AT744" t="s">
        <v>1</v>
      </c>
      <c r="AU744" t="s">
        <v>1</v>
      </c>
      <c r="AV744" t="s">
        <v>1</v>
      </c>
      <c r="AW744" t="s">
        <v>9</v>
      </c>
      <c r="AX744">
        <f>Tabla1[[#This Row],[precio del paquete]]-Tabla1[[#This Row],[Saldo_Deudor]]</f>
        <v>800</v>
      </c>
      <c r="AY744">
        <v>14000</v>
      </c>
      <c r="AZ744">
        <v>0</v>
      </c>
      <c r="BA744">
        <v>0</v>
      </c>
      <c r="BB744">
        <v>0</v>
      </c>
      <c r="BC744" t="s">
        <v>3102</v>
      </c>
      <c r="BD744" t="s">
        <v>4897</v>
      </c>
      <c r="BE744" t="s">
        <v>3</v>
      </c>
      <c r="BF744" t="s">
        <v>3</v>
      </c>
      <c r="BG744" t="s">
        <v>3</v>
      </c>
      <c r="BH744" t="s">
        <v>3</v>
      </c>
      <c r="BI744" t="s">
        <v>3</v>
      </c>
      <c r="BJ744" t="s">
        <v>5007</v>
      </c>
      <c r="BK744" t="s">
        <v>3</v>
      </c>
      <c r="BL744" t="s">
        <v>96</v>
      </c>
      <c r="BM744" t="s">
        <v>1</v>
      </c>
      <c r="BN744">
        <v>14800</v>
      </c>
      <c r="BO744" t="s">
        <v>1</v>
      </c>
      <c r="BP744" t="s">
        <v>1</v>
      </c>
      <c r="BQ744" t="s">
        <v>1</v>
      </c>
      <c r="BR744" t="s">
        <v>1</v>
      </c>
      <c r="BS744" t="s">
        <v>1</v>
      </c>
      <c r="BT744" t="s">
        <v>1</v>
      </c>
      <c r="BU744" t="s">
        <v>1</v>
      </c>
      <c r="BV744" t="s">
        <v>1</v>
      </c>
      <c r="BW744" t="s">
        <v>0</v>
      </c>
      <c r="BX744" t="s">
        <v>1</v>
      </c>
      <c r="BY744" t="s">
        <v>1</v>
      </c>
      <c r="BZ744" t="s">
        <v>1</v>
      </c>
      <c r="CA744" t="s">
        <v>1</v>
      </c>
      <c r="CB744" t="s">
        <v>1</v>
      </c>
      <c r="CD744" t="e" cm="1">
        <f t="array" aca="1" ref="CD744" ca="1">eConcatenar(A744:CB744,"|")</f>
        <v>#NAME?</v>
      </c>
    </row>
    <row r="745" spans="1:82" x14ac:dyDescent="0.25">
      <c r="A745" t="s">
        <v>840</v>
      </c>
      <c r="B745" t="s">
        <v>1855</v>
      </c>
      <c r="C745">
        <v>3</v>
      </c>
      <c r="D745" t="s">
        <v>2153</v>
      </c>
      <c r="E745" t="s">
        <v>2158</v>
      </c>
      <c r="F745" t="s">
        <v>2159</v>
      </c>
      <c r="G745" t="s">
        <v>2588</v>
      </c>
      <c r="H745" t="s">
        <v>3013</v>
      </c>
      <c r="I745">
        <v>14800</v>
      </c>
      <c r="J745">
        <v>0</v>
      </c>
      <c r="K745">
        <v>500</v>
      </c>
      <c r="L745">
        <v>50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 t="s">
        <v>3686</v>
      </c>
      <c r="AC745" t="s">
        <v>3895</v>
      </c>
      <c r="AD745" t="s">
        <v>3896</v>
      </c>
      <c r="AE745" t="s">
        <v>4</v>
      </c>
      <c r="AF745" t="s">
        <v>1</v>
      </c>
      <c r="AG745" t="s">
        <v>1</v>
      </c>
      <c r="AH745" t="s">
        <v>4623</v>
      </c>
      <c r="AI745" t="s">
        <v>2588</v>
      </c>
      <c r="AJ745" t="s">
        <v>1</v>
      </c>
      <c r="AK745">
        <v>9331195223</v>
      </c>
      <c r="AL745" t="s">
        <v>1</v>
      </c>
      <c r="AM745" t="s">
        <v>1</v>
      </c>
      <c r="AN745" t="s">
        <v>1</v>
      </c>
      <c r="AO745" t="s">
        <v>4623</v>
      </c>
      <c r="AP745" t="s">
        <v>1</v>
      </c>
      <c r="AQ745" t="s">
        <v>2</v>
      </c>
      <c r="AR745" t="s">
        <v>1</v>
      </c>
      <c r="AS745" t="s">
        <v>1</v>
      </c>
      <c r="AT745" t="s">
        <v>1</v>
      </c>
      <c r="AU745" t="s">
        <v>1</v>
      </c>
      <c r="AV745" t="s">
        <v>1</v>
      </c>
      <c r="AW745" t="s">
        <v>9</v>
      </c>
      <c r="AX745">
        <f>Tabla1[[#This Row],[precio del paquete]]-Tabla1[[#This Row],[Saldo_Deudor]]</f>
        <v>700</v>
      </c>
      <c r="AY745">
        <v>14100</v>
      </c>
      <c r="AZ745">
        <v>0</v>
      </c>
      <c r="BA745">
        <v>0</v>
      </c>
      <c r="BB745">
        <v>0</v>
      </c>
      <c r="BC745" t="s">
        <v>3102</v>
      </c>
      <c r="BD745" t="s">
        <v>4897</v>
      </c>
      <c r="BE745" t="s">
        <v>3</v>
      </c>
      <c r="BF745" t="s">
        <v>3</v>
      </c>
      <c r="BG745" t="s">
        <v>3</v>
      </c>
      <c r="BH745" t="s">
        <v>3</v>
      </c>
      <c r="BI745" t="s">
        <v>3</v>
      </c>
      <c r="BJ745" t="s">
        <v>5007</v>
      </c>
      <c r="BK745" t="s">
        <v>3</v>
      </c>
      <c r="BL745" t="s">
        <v>96</v>
      </c>
      <c r="BM745" t="s">
        <v>1</v>
      </c>
      <c r="BN745">
        <v>14800</v>
      </c>
      <c r="BO745" t="s">
        <v>1</v>
      </c>
      <c r="BP745" t="s">
        <v>1</v>
      </c>
      <c r="BQ745" t="s">
        <v>1</v>
      </c>
      <c r="BR745" t="s">
        <v>1</v>
      </c>
      <c r="BS745" t="s">
        <v>1</v>
      </c>
      <c r="BT745" t="s">
        <v>1</v>
      </c>
      <c r="BU745" t="s">
        <v>1</v>
      </c>
      <c r="BV745" t="s">
        <v>1</v>
      </c>
      <c r="BW745" t="s">
        <v>0</v>
      </c>
      <c r="BX745" t="s">
        <v>1</v>
      </c>
      <c r="BY745" t="s">
        <v>1</v>
      </c>
      <c r="BZ745" t="s">
        <v>1</v>
      </c>
      <c r="CA745" t="s">
        <v>1</v>
      </c>
      <c r="CB745" t="s">
        <v>1</v>
      </c>
      <c r="CD745" t="e" cm="1">
        <f t="array" aca="1" ref="CD745" ca="1">eConcatenar(A745:CB745,"|")</f>
        <v>#NAME?</v>
      </c>
    </row>
    <row r="746" spans="1:82" x14ac:dyDescent="0.25">
      <c r="A746" t="s">
        <v>841</v>
      </c>
      <c r="B746" t="s">
        <v>1856</v>
      </c>
      <c r="C746">
        <v>3</v>
      </c>
      <c r="D746" t="s">
        <v>2153</v>
      </c>
      <c r="E746" t="s">
        <v>2158</v>
      </c>
      <c r="F746" t="s">
        <v>2159</v>
      </c>
      <c r="G746" t="s">
        <v>2588</v>
      </c>
      <c r="H746" t="s">
        <v>2727</v>
      </c>
      <c r="I746">
        <v>14800</v>
      </c>
      <c r="J746">
        <v>0</v>
      </c>
      <c r="K746">
        <v>100</v>
      </c>
      <c r="L746">
        <v>50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 t="s">
        <v>3298</v>
      </c>
      <c r="AC746" t="s">
        <v>3115</v>
      </c>
      <c r="AD746" t="s">
        <v>3897</v>
      </c>
      <c r="AE746" t="s">
        <v>4</v>
      </c>
      <c r="AF746" t="s">
        <v>1</v>
      </c>
      <c r="AG746" t="s">
        <v>1</v>
      </c>
      <c r="AH746" t="s">
        <v>4624</v>
      </c>
      <c r="AI746" t="s">
        <v>2588</v>
      </c>
      <c r="AJ746" t="s">
        <v>1</v>
      </c>
      <c r="AK746">
        <v>9331193223</v>
      </c>
      <c r="AL746" t="s">
        <v>1</v>
      </c>
      <c r="AM746" t="s">
        <v>1</v>
      </c>
      <c r="AN746" t="s">
        <v>1</v>
      </c>
      <c r="AO746" t="s">
        <v>4624</v>
      </c>
      <c r="AP746" t="s">
        <v>1</v>
      </c>
      <c r="AQ746" t="s">
        <v>2</v>
      </c>
      <c r="AR746" t="s">
        <v>1</v>
      </c>
      <c r="AS746" t="s">
        <v>1</v>
      </c>
      <c r="AT746" t="s">
        <v>1</v>
      </c>
      <c r="AU746" t="s">
        <v>1</v>
      </c>
      <c r="AV746" t="s">
        <v>1</v>
      </c>
      <c r="AW746" t="s">
        <v>9</v>
      </c>
      <c r="AX746">
        <f>Tabla1[[#This Row],[precio del paquete]]-Tabla1[[#This Row],[Saldo_Deudor]]</f>
        <v>1250</v>
      </c>
      <c r="AY746">
        <v>13550</v>
      </c>
      <c r="AZ746">
        <v>0</v>
      </c>
      <c r="BA746">
        <v>0</v>
      </c>
      <c r="BB746">
        <v>0</v>
      </c>
      <c r="BC746" t="s">
        <v>3102</v>
      </c>
      <c r="BD746" t="s">
        <v>4897</v>
      </c>
      <c r="BE746" t="s">
        <v>3</v>
      </c>
      <c r="BF746" t="s">
        <v>3</v>
      </c>
      <c r="BG746" t="s">
        <v>3</v>
      </c>
      <c r="BH746" t="s">
        <v>3</v>
      </c>
      <c r="BI746" t="s">
        <v>3</v>
      </c>
      <c r="BJ746" t="s">
        <v>5007</v>
      </c>
      <c r="BK746" t="s">
        <v>3</v>
      </c>
      <c r="BL746" t="s">
        <v>96</v>
      </c>
      <c r="BM746" t="s">
        <v>1</v>
      </c>
      <c r="BN746">
        <v>14800</v>
      </c>
      <c r="BO746" t="s">
        <v>1</v>
      </c>
      <c r="BP746" t="s">
        <v>1</v>
      </c>
      <c r="BQ746" t="s">
        <v>1</v>
      </c>
      <c r="BR746" t="s">
        <v>1</v>
      </c>
      <c r="BS746" t="s">
        <v>1</v>
      </c>
      <c r="BT746" t="s">
        <v>1</v>
      </c>
      <c r="BU746" t="s">
        <v>1</v>
      </c>
      <c r="BV746" t="s">
        <v>1</v>
      </c>
      <c r="BW746" t="s">
        <v>0</v>
      </c>
      <c r="BX746" t="s">
        <v>1</v>
      </c>
      <c r="BY746" t="s">
        <v>1</v>
      </c>
      <c r="BZ746" t="s">
        <v>1</v>
      </c>
      <c r="CA746" t="s">
        <v>1</v>
      </c>
      <c r="CB746" t="s">
        <v>1</v>
      </c>
      <c r="CD746" t="e" cm="1">
        <f t="array" aca="1" ref="CD746" ca="1">eConcatenar(A746:CB746,"|")</f>
        <v>#NAME?</v>
      </c>
    </row>
    <row r="747" spans="1:82" x14ac:dyDescent="0.25">
      <c r="A747" t="s">
        <v>842</v>
      </c>
      <c r="B747" t="s">
        <v>1857</v>
      </c>
      <c r="C747">
        <v>3</v>
      </c>
      <c r="D747" t="s">
        <v>2153</v>
      </c>
      <c r="E747" t="s">
        <v>2158</v>
      </c>
      <c r="F747" t="s">
        <v>2159</v>
      </c>
      <c r="G747" t="s">
        <v>2588</v>
      </c>
      <c r="H747" t="s">
        <v>2729</v>
      </c>
      <c r="I747">
        <v>14800</v>
      </c>
      <c r="J747">
        <v>0</v>
      </c>
      <c r="K747">
        <v>200</v>
      </c>
      <c r="L747">
        <v>50</v>
      </c>
      <c r="M747">
        <v>1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 t="s">
        <v>3472</v>
      </c>
      <c r="AC747" t="s">
        <v>3155</v>
      </c>
      <c r="AD747" t="s">
        <v>3898</v>
      </c>
      <c r="AE747" t="s">
        <v>4</v>
      </c>
      <c r="AF747" t="s">
        <v>1</v>
      </c>
      <c r="AG747" t="s">
        <v>1</v>
      </c>
      <c r="AH747" t="s">
        <v>4625</v>
      </c>
      <c r="AI747" t="s">
        <v>2588</v>
      </c>
      <c r="AJ747" t="s">
        <v>1</v>
      </c>
      <c r="AK747">
        <v>9331573036</v>
      </c>
      <c r="AL747" t="s">
        <v>1</v>
      </c>
      <c r="AM747" t="s">
        <v>1</v>
      </c>
      <c r="AN747" t="s">
        <v>1</v>
      </c>
      <c r="AO747" t="s">
        <v>4625</v>
      </c>
      <c r="AP747" t="s">
        <v>1</v>
      </c>
      <c r="AQ747" t="s">
        <v>2</v>
      </c>
      <c r="AR747" t="s">
        <v>1</v>
      </c>
      <c r="AS747" t="s">
        <v>1</v>
      </c>
      <c r="AT747" t="s">
        <v>1</v>
      </c>
      <c r="AU747" t="s">
        <v>1</v>
      </c>
      <c r="AV747" t="s">
        <v>1</v>
      </c>
      <c r="AW747" t="s">
        <v>9</v>
      </c>
      <c r="AX747">
        <f>Tabla1[[#This Row],[precio del paquete]]-Tabla1[[#This Row],[Saldo_Deudor]]</f>
        <v>1000</v>
      </c>
      <c r="AY747">
        <v>13800</v>
      </c>
      <c r="AZ747">
        <v>0</v>
      </c>
      <c r="BA747">
        <v>0</v>
      </c>
      <c r="BB747">
        <v>0</v>
      </c>
      <c r="BC747" t="s">
        <v>3102</v>
      </c>
      <c r="BD747" t="s">
        <v>4897</v>
      </c>
      <c r="BE747" t="s">
        <v>3</v>
      </c>
      <c r="BF747" t="s">
        <v>3</v>
      </c>
      <c r="BG747" t="s">
        <v>3</v>
      </c>
      <c r="BH747" t="s">
        <v>3</v>
      </c>
      <c r="BI747" t="s">
        <v>3</v>
      </c>
      <c r="BJ747" t="s">
        <v>5007</v>
      </c>
      <c r="BK747" t="s">
        <v>3</v>
      </c>
      <c r="BL747" t="s">
        <v>96</v>
      </c>
      <c r="BM747" t="s">
        <v>1</v>
      </c>
      <c r="BN747">
        <v>14800</v>
      </c>
      <c r="BO747" t="s">
        <v>1</v>
      </c>
      <c r="BP747" t="s">
        <v>1</v>
      </c>
      <c r="BQ747" t="s">
        <v>1</v>
      </c>
      <c r="BR747" t="s">
        <v>1</v>
      </c>
      <c r="BS747" t="s">
        <v>1</v>
      </c>
      <c r="BT747" t="s">
        <v>1</v>
      </c>
      <c r="BU747" t="s">
        <v>1</v>
      </c>
      <c r="BV747" t="s">
        <v>1</v>
      </c>
      <c r="BW747" t="s">
        <v>0</v>
      </c>
      <c r="BX747" t="s">
        <v>1</v>
      </c>
      <c r="BY747" t="s">
        <v>1</v>
      </c>
      <c r="BZ747" t="s">
        <v>1</v>
      </c>
      <c r="CA747" t="s">
        <v>1</v>
      </c>
      <c r="CB747" t="s">
        <v>1</v>
      </c>
      <c r="CD747" t="e" cm="1">
        <f t="array" aca="1" ref="CD747" ca="1">eConcatenar(A747:CB747,"|")</f>
        <v>#NAME?</v>
      </c>
    </row>
    <row r="748" spans="1:82" x14ac:dyDescent="0.25">
      <c r="A748" t="s">
        <v>843</v>
      </c>
      <c r="B748" t="s">
        <v>1858</v>
      </c>
      <c r="C748">
        <v>3</v>
      </c>
      <c r="D748" t="s">
        <v>2157</v>
      </c>
      <c r="E748" t="s">
        <v>2158</v>
      </c>
      <c r="F748" t="s">
        <v>2159</v>
      </c>
      <c r="G748" t="s">
        <v>2588</v>
      </c>
      <c r="H748" t="s">
        <v>3014</v>
      </c>
      <c r="I748">
        <v>12900</v>
      </c>
      <c r="J748">
        <v>0</v>
      </c>
      <c r="K748">
        <v>200</v>
      </c>
      <c r="L748">
        <v>50</v>
      </c>
      <c r="M748">
        <v>1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 t="s">
        <v>3214</v>
      </c>
      <c r="AC748" t="s">
        <v>3152</v>
      </c>
      <c r="AD748" t="s">
        <v>3565</v>
      </c>
      <c r="AE748" t="s">
        <v>4</v>
      </c>
      <c r="AF748" t="s">
        <v>1</v>
      </c>
      <c r="AG748" t="s">
        <v>1</v>
      </c>
      <c r="AH748" t="s">
        <v>4626</v>
      </c>
      <c r="AI748" t="s">
        <v>2588</v>
      </c>
      <c r="AJ748" t="s">
        <v>1</v>
      </c>
      <c r="AK748">
        <v>9333273898</v>
      </c>
      <c r="AL748" t="s">
        <v>1</v>
      </c>
      <c r="AM748" t="s">
        <v>1</v>
      </c>
      <c r="AN748" t="s">
        <v>1</v>
      </c>
      <c r="AO748" t="s">
        <v>4626</v>
      </c>
      <c r="AP748" t="s">
        <v>1</v>
      </c>
      <c r="AQ748" t="s">
        <v>2</v>
      </c>
      <c r="AR748" t="s">
        <v>1</v>
      </c>
      <c r="AS748" t="s">
        <v>1</v>
      </c>
      <c r="AT748" t="s">
        <v>1</v>
      </c>
      <c r="AU748" t="s">
        <v>1</v>
      </c>
      <c r="AV748" t="s">
        <v>1</v>
      </c>
      <c r="AW748" t="s">
        <v>9</v>
      </c>
      <c r="AX748">
        <f>Tabla1[[#This Row],[precio del paquete]]-Tabla1[[#This Row],[Saldo_Deudor]]</f>
        <v>11400</v>
      </c>
      <c r="AY748">
        <v>1500</v>
      </c>
      <c r="AZ748">
        <v>0</v>
      </c>
      <c r="BA748">
        <v>0</v>
      </c>
      <c r="BB748">
        <v>0</v>
      </c>
      <c r="BC748" t="s">
        <v>3102</v>
      </c>
      <c r="BD748" t="s">
        <v>4897</v>
      </c>
      <c r="BE748" t="s">
        <v>3</v>
      </c>
      <c r="BF748" t="s">
        <v>3</v>
      </c>
      <c r="BG748" t="s">
        <v>3</v>
      </c>
      <c r="BH748" t="s">
        <v>3</v>
      </c>
      <c r="BI748" t="s">
        <v>3</v>
      </c>
      <c r="BJ748" t="s">
        <v>5007</v>
      </c>
      <c r="BK748" t="s">
        <v>3</v>
      </c>
      <c r="BL748" t="s">
        <v>96</v>
      </c>
      <c r="BM748" t="s">
        <v>1</v>
      </c>
      <c r="BN748">
        <v>12900</v>
      </c>
      <c r="BO748" t="s">
        <v>1</v>
      </c>
      <c r="BP748" t="s">
        <v>1</v>
      </c>
      <c r="BQ748" t="s">
        <v>1</v>
      </c>
      <c r="BR748" t="s">
        <v>1</v>
      </c>
      <c r="BS748" t="s">
        <v>1</v>
      </c>
      <c r="BT748" t="s">
        <v>1</v>
      </c>
      <c r="BU748" t="s">
        <v>1</v>
      </c>
      <c r="BV748" t="s">
        <v>1</v>
      </c>
      <c r="BW748" t="s">
        <v>0</v>
      </c>
      <c r="BX748" t="s">
        <v>1</v>
      </c>
      <c r="BY748" t="s">
        <v>1</v>
      </c>
      <c r="BZ748" t="s">
        <v>1</v>
      </c>
      <c r="CA748" t="s">
        <v>1</v>
      </c>
      <c r="CB748" t="s">
        <v>1</v>
      </c>
      <c r="CD748" t="e" cm="1">
        <f t="array" aca="1" ref="CD748" ca="1">eConcatenar(A748:CB748,"|")</f>
        <v>#NAME?</v>
      </c>
    </row>
    <row r="749" spans="1:82" x14ac:dyDescent="0.25">
      <c r="A749" t="s">
        <v>844</v>
      </c>
      <c r="B749" t="s">
        <v>1859</v>
      </c>
      <c r="C749">
        <v>3</v>
      </c>
      <c r="D749" t="s">
        <v>2153</v>
      </c>
      <c r="E749" t="s">
        <v>2158</v>
      </c>
      <c r="F749" t="s">
        <v>2159</v>
      </c>
      <c r="G749" t="s">
        <v>2588</v>
      </c>
      <c r="H749" t="s">
        <v>3015</v>
      </c>
      <c r="I749">
        <v>14800</v>
      </c>
      <c r="J749">
        <v>0</v>
      </c>
      <c r="K749">
        <v>200</v>
      </c>
      <c r="L749">
        <v>50</v>
      </c>
      <c r="M749">
        <v>2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 t="s">
        <v>3290</v>
      </c>
      <c r="AC749" t="s">
        <v>3177</v>
      </c>
      <c r="AD749" t="s">
        <v>3790</v>
      </c>
      <c r="AE749" t="s">
        <v>4</v>
      </c>
      <c r="AF749" t="s">
        <v>1</v>
      </c>
      <c r="AG749" t="s">
        <v>1</v>
      </c>
      <c r="AH749" t="s">
        <v>4627</v>
      </c>
      <c r="AI749" t="s">
        <v>2588</v>
      </c>
      <c r="AJ749" t="s">
        <v>1</v>
      </c>
      <c r="AK749">
        <v>9331114264</v>
      </c>
      <c r="AL749" t="s">
        <v>1</v>
      </c>
      <c r="AM749" t="s">
        <v>1</v>
      </c>
      <c r="AN749" t="s">
        <v>1</v>
      </c>
      <c r="AO749" t="s">
        <v>4627</v>
      </c>
      <c r="AP749" t="s">
        <v>1</v>
      </c>
      <c r="AQ749" t="s">
        <v>2</v>
      </c>
      <c r="AR749" t="s">
        <v>1</v>
      </c>
      <c r="AS749" t="s">
        <v>1</v>
      </c>
      <c r="AT749" t="s">
        <v>1</v>
      </c>
      <c r="AU749" t="s">
        <v>1</v>
      </c>
      <c r="AV749" t="s">
        <v>1</v>
      </c>
      <c r="AW749" t="s">
        <v>9</v>
      </c>
      <c r="AX749">
        <f>Tabla1[[#This Row],[precio del paquete]]-Tabla1[[#This Row],[Saldo_Deudor]]</f>
        <v>6400</v>
      </c>
      <c r="AY749">
        <v>8400</v>
      </c>
      <c r="AZ749">
        <v>0</v>
      </c>
      <c r="BA749">
        <v>0</v>
      </c>
      <c r="BB749">
        <v>0</v>
      </c>
      <c r="BC749" t="s">
        <v>4828</v>
      </c>
      <c r="BD749" t="s">
        <v>3098</v>
      </c>
      <c r="BE749" t="s">
        <v>3</v>
      </c>
      <c r="BF749" t="s">
        <v>3</v>
      </c>
      <c r="BG749" t="s">
        <v>3</v>
      </c>
      <c r="BH749" t="s">
        <v>3</v>
      </c>
      <c r="BI749" t="s">
        <v>3</v>
      </c>
      <c r="BJ749" t="s">
        <v>5007</v>
      </c>
      <c r="BK749" t="s">
        <v>3</v>
      </c>
      <c r="BL749" t="s">
        <v>96</v>
      </c>
      <c r="BM749" t="s">
        <v>1</v>
      </c>
      <c r="BN749">
        <v>14800</v>
      </c>
      <c r="BO749" t="s">
        <v>1</v>
      </c>
      <c r="BP749" t="s">
        <v>1</v>
      </c>
      <c r="BQ749" t="s">
        <v>1</v>
      </c>
      <c r="BR749" t="s">
        <v>1</v>
      </c>
      <c r="BS749" t="s">
        <v>1</v>
      </c>
      <c r="BT749" t="s">
        <v>1</v>
      </c>
      <c r="BU749" t="s">
        <v>1</v>
      </c>
      <c r="BV749" t="s">
        <v>1</v>
      </c>
      <c r="BW749" t="s">
        <v>0</v>
      </c>
      <c r="BX749" t="s">
        <v>1</v>
      </c>
      <c r="BY749" t="s">
        <v>1</v>
      </c>
      <c r="BZ749" t="s">
        <v>1</v>
      </c>
      <c r="CA749" t="s">
        <v>1</v>
      </c>
      <c r="CB749" t="s">
        <v>1</v>
      </c>
      <c r="CD749" t="e" cm="1">
        <f t="array" aca="1" ref="CD749" ca="1">eConcatenar(A749:CB749,"|")</f>
        <v>#NAME?</v>
      </c>
    </row>
    <row r="750" spans="1:82" x14ac:dyDescent="0.25">
      <c r="A750" t="s">
        <v>845</v>
      </c>
      <c r="B750" t="s">
        <v>1860</v>
      </c>
      <c r="C750">
        <v>3</v>
      </c>
      <c r="D750" t="s">
        <v>2153</v>
      </c>
      <c r="E750" t="s">
        <v>2158</v>
      </c>
      <c r="F750" t="s">
        <v>2159</v>
      </c>
      <c r="G750" t="s">
        <v>2588</v>
      </c>
      <c r="H750" t="s">
        <v>3013</v>
      </c>
      <c r="I750">
        <v>14800</v>
      </c>
      <c r="J750">
        <v>0</v>
      </c>
      <c r="K750">
        <v>200</v>
      </c>
      <c r="L750">
        <v>50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 t="s">
        <v>3137</v>
      </c>
      <c r="AC750" t="s">
        <v>3162</v>
      </c>
      <c r="AD750" t="s">
        <v>3120</v>
      </c>
      <c r="AE750" t="s">
        <v>4</v>
      </c>
      <c r="AF750" t="s">
        <v>1</v>
      </c>
      <c r="AG750" t="s">
        <v>1</v>
      </c>
      <c r="AH750" t="s">
        <v>4628</v>
      </c>
      <c r="AI750" t="s">
        <v>2588</v>
      </c>
      <c r="AJ750" t="s">
        <v>1</v>
      </c>
      <c r="AK750">
        <v>9331453447</v>
      </c>
      <c r="AL750" t="s">
        <v>1</v>
      </c>
      <c r="AM750" t="s">
        <v>1</v>
      </c>
      <c r="AN750" t="s">
        <v>1</v>
      </c>
      <c r="AO750" t="s">
        <v>4628</v>
      </c>
      <c r="AP750" t="s">
        <v>1</v>
      </c>
      <c r="AQ750" t="s">
        <v>2</v>
      </c>
      <c r="AR750" t="s">
        <v>1</v>
      </c>
      <c r="AS750" t="s">
        <v>1</v>
      </c>
      <c r="AT750" t="s">
        <v>1</v>
      </c>
      <c r="AU750" t="s">
        <v>1</v>
      </c>
      <c r="AV750" t="s">
        <v>1</v>
      </c>
      <c r="AW750" t="s">
        <v>9</v>
      </c>
      <c r="AX750">
        <f>Tabla1[[#This Row],[precio del paquete]]-Tabla1[[#This Row],[Saldo_Deudor]]</f>
        <v>300</v>
      </c>
      <c r="AY750">
        <v>14500</v>
      </c>
      <c r="AZ750">
        <v>0</v>
      </c>
      <c r="BA750">
        <v>0</v>
      </c>
      <c r="BB750">
        <v>0</v>
      </c>
      <c r="BC750" t="s">
        <v>3072</v>
      </c>
      <c r="BD750" t="s">
        <v>4875</v>
      </c>
      <c r="BE750" t="s">
        <v>3</v>
      </c>
      <c r="BF750" t="s">
        <v>3</v>
      </c>
      <c r="BG750" t="s">
        <v>3</v>
      </c>
      <c r="BH750" t="s">
        <v>3</v>
      </c>
      <c r="BI750" t="s">
        <v>3</v>
      </c>
      <c r="BJ750" t="s">
        <v>5009</v>
      </c>
      <c r="BK750" t="s">
        <v>3</v>
      </c>
      <c r="BL750" t="s">
        <v>96</v>
      </c>
      <c r="BM750" t="s">
        <v>1</v>
      </c>
      <c r="BN750">
        <v>14800</v>
      </c>
      <c r="BO750" t="s">
        <v>1</v>
      </c>
      <c r="BP750" t="s">
        <v>1</v>
      </c>
      <c r="BQ750" t="s">
        <v>1</v>
      </c>
      <c r="BR750" t="s">
        <v>1</v>
      </c>
      <c r="BS750" t="s">
        <v>1</v>
      </c>
      <c r="BT750" t="s">
        <v>1</v>
      </c>
      <c r="BU750" t="s">
        <v>1</v>
      </c>
      <c r="BV750" t="s">
        <v>1</v>
      </c>
      <c r="BW750" t="s">
        <v>0</v>
      </c>
      <c r="BX750" t="s">
        <v>1</v>
      </c>
      <c r="BY750" t="s">
        <v>1</v>
      </c>
      <c r="BZ750" t="s">
        <v>1</v>
      </c>
      <c r="CA750" t="s">
        <v>1</v>
      </c>
      <c r="CB750" t="s">
        <v>1</v>
      </c>
      <c r="CD750" t="e" cm="1">
        <f t="array" aca="1" ref="CD750" ca="1">eConcatenar(A750:CB750,"|")</f>
        <v>#NAME?</v>
      </c>
    </row>
    <row r="751" spans="1:82" x14ac:dyDescent="0.25">
      <c r="A751" t="s">
        <v>846</v>
      </c>
      <c r="B751" t="s">
        <v>1861</v>
      </c>
      <c r="C751">
        <v>3</v>
      </c>
      <c r="D751" t="s">
        <v>2153</v>
      </c>
      <c r="E751" t="s">
        <v>2158</v>
      </c>
      <c r="F751" t="s">
        <v>0</v>
      </c>
      <c r="G751" t="s">
        <v>2589</v>
      </c>
      <c r="H751" t="s">
        <v>2735</v>
      </c>
      <c r="I751">
        <v>14800</v>
      </c>
      <c r="J751">
        <v>0</v>
      </c>
      <c r="K751">
        <v>400</v>
      </c>
      <c r="L751">
        <v>50</v>
      </c>
      <c r="M751">
        <v>2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 t="s">
        <v>3232</v>
      </c>
      <c r="AC751" t="s">
        <v>3178</v>
      </c>
      <c r="AD751" t="s">
        <v>3528</v>
      </c>
      <c r="AE751" t="s">
        <v>4</v>
      </c>
      <c r="AF751" t="s">
        <v>1</v>
      </c>
      <c r="AG751" t="s">
        <v>1</v>
      </c>
      <c r="AH751" t="s">
        <v>4629</v>
      </c>
      <c r="AI751" t="s">
        <v>2589</v>
      </c>
      <c r="AJ751" t="s">
        <v>1</v>
      </c>
      <c r="AK751">
        <v>9371622959</v>
      </c>
      <c r="AL751" t="s">
        <v>1</v>
      </c>
      <c r="AM751" t="s">
        <v>1</v>
      </c>
      <c r="AN751" t="s">
        <v>1</v>
      </c>
      <c r="AO751" t="s">
        <v>4629</v>
      </c>
      <c r="AP751" t="s">
        <v>1</v>
      </c>
      <c r="AQ751" t="s">
        <v>2</v>
      </c>
      <c r="AR751" t="s">
        <v>1</v>
      </c>
      <c r="AS751" t="s">
        <v>1</v>
      </c>
      <c r="AT751" t="s">
        <v>1</v>
      </c>
      <c r="AU751" t="s">
        <v>1</v>
      </c>
      <c r="AV751" t="s">
        <v>1</v>
      </c>
      <c r="AW751" t="s">
        <v>9</v>
      </c>
      <c r="AX751">
        <f>Tabla1[[#This Row],[precio del paquete]]-Tabla1[[#This Row],[Saldo_Deudor]]</f>
        <v>1200</v>
      </c>
      <c r="AY751">
        <v>13600</v>
      </c>
      <c r="AZ751">
        <v>0</v>
      </c>
      <c r="BA751">
        <v>0</v>
      </c>
      <c r="BB751">
        <v>0</v>
      </c>
      <c r="BC751" t="s">
        <v>2906</v>
      </c>
      <c r="BD751" t="s">
        <v>4898</v>
      </c>
      <c r="BE751" t="s">
        <v>3</v>
      </c>
      <c r="BF751" t="s">
        <v>3</v>
      </c>
      <c r="BG751" t="s">
        <v>3</v>
      </c>
      <c r="BH751" t="s">
        <v>3</v>
      </c>
      <c r="BI751" t="s">
        <v>3</v>
      </c>
      <c r="BJ751" t="s">
        <v>5007</v>
      </c>
      <c r="BK751" t="s">
        <v>3</v>
      </c>
      <c r="BL751" t="s">
        <v>96</v>
      </c>
      <c r="BM751" t="s">
        <v>1</v>
      </c>
      <c r="BN751">
        <v>14800</v>
      </c>
      <c r="BO751" t="s">
        <v>1</v>
      </c>
      <c r="BP751" t="s">
        <v>1</v>
      </c>
      <c r="BQ751" t="s">
        <v>1</v>
      </c>
      <c r="BR751" t="s">
        <v>1</v>
      </c>
      <c r="BS751" t="s">
        <v>1</v>
      </c>
      <c r="BT751" t="s">
        <v>1</v>
      </c>
      <c r="BU751" t="s">
        <v>1</v>
      </c>
      <c r="BV751" t="s">
        <v>1</v>
      </c>
      <c r="BW751" t="s">
        <v>0</v>
      </c>
      <c r="BX751" t="s">
        <v>1</v>
      </c>
      <c r="BY751" t="s">
        <v>1</v>
      </c>
      <c r="BZ751" t="s">
        <v>1</v>
      </c>
      <c r="CA751" t="s">
        <v>1</v>
      </c>
      <c r="CB751" t="s">
        <v>1</v>
      </c>
      <c r="CD751" t="e" cm="1">
        <f t="array" aca="1" ref="CD751" ca="1">eConcatenar(A751:CB751,"|")</f>
        <v>#NAME?</v>
      </c>
    </row>
    <row r="752" spans="1:82" x14ac:dyDescent="0.25">
      <c r="A752" t="s">
        <v>847</v>
      </c>
      <c r="B752" t="s">
        <v>1862</v>
      </c>
      <c r="C752">
        <v>3</v>
      </c>
      <c r="D752" t="s">
        <v>2153</v>
      </c>
      <c r="E752" t="s">
        <v>2158</v>
      </c>
      <c r="F752" t="s">
        <v>0</v>
      </c>
      <c r="G752" t="s">
        <v>2589</v>
      </c>
      <c r="H752" t="s">
        <v>2767</v>
      </c>
      <c r="I752">
        <v>14800</v>
      </c>
      <c r="J752">
        <v>0</v>
      </c>
      <c r="K752">
        <v>300</v>
      </c>
      <c r="L752">
        <v>50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 t="s">
        <v>3423</v>
      </c>
      <c r="AC752" t="s">
        <v>3899</v>
      </c>
      <c r="AD752" t="s">
        <v>3900</v>
      </c>
      <c r="AE752" t="s">
        <v>4</v>
      </c>
      <c r="AF752" t="s">
        <v>1</v>
      </c>
      <c r="AG752" t="s">
        <v>1</v>
      </c>
      <c r="AH752" t="s">
        <v>4630</v>
      </c>
      <c r="AI752" t="s">
        <v>2589</v>
      </c>
      <c r="AJ752" t="s">
        <v>1</v>
      </c>
      <c r="AK752">
        <v>9371428319</v>
      </c>
      <c r="AL752" t="s">
        <v>1</v>
      </c>
      <c r="AM752" t="s">
        <v>1</v>
      </c>
      <c r="AN752" t="s">
        <v>1</v>
      </c>
      <c r="AO752" t="s">
        <v>4630</v>
      </c>
      <c r="AP752" t="s">
        <v>1</v>
      </c>
      <c r="AQ752" t="s">
        <v>2</v>
      </c>
      <c r="AR752" t="s">
        <v>1</v>
      </c>
      <c r="AS752" t="s">
        <v>1</v>
      </c>
      <c r="AT752" t="s">
        <v>1</v>
      </c>
      <c r="AU752" t="s">
        <v>1</v>
      </c>
      <c r="AV752" t="s">
        <v>1</v>
      </c>
      <c r="AW752" t="s">
        <v>9</v>
      </c>
      <c r="AX752">
        <f>Tabla1[[#This Row],[precio del paquete]]-Tabla1[[#This Row],[Saldo_Deudor]]</f>
        <v>1200</v>
      </c>
      <c r="AY752">
        <v>13600</v>
      </c>
      <c r="AZ752">
        <v>0</v>
      </c>
      <c r="BA752">
        <v>0</v>
      </c>
      <c r="BB752">
        <v>0</v>
      </c>
      <c r="BC752" t="s">
        <v>2711</v>
      </c>
      <c r="BD752" t="s">
        <v>2712</v>
      </c>
      <c r="BE752" t="s">
        <v>3</v>
      </c>
      <c r="BF752" t="s">
        <v>3</v>
      </c>
      <c r="BG752" t="s">
        <v>3</v>
      </c>
      <c r="BH752" t="s">
        <v>3</v>
      </c>
      <c r="BI752" t="s">
        <v>3</v>
      </c>
      <c r="BJ752" t="s">
        <v>4995</v>
      </c>
      <c r="BK752" t="s">
        <v>3</v>
      </c>
      <c r="BL752" t="s">
        <v>96</v>
      </c>
      <c r="BM752" t="s">
        <v>1</v>
      </c>
      <c r="BN752">
        <v>14800</v>
      </c>
      <c r="BO752" t="s">
        <v>1</v>
      </c>
      <c r="BP752" t="s">
        <v>1</v>
      </c>
      <c r="BQ752" t="s">
        <v>1</v>
      </c>
      <c r="BR752" t="s">
        <v>1</v>
      </c>
      <c r="BS752" t="s">
        <v>1</v>
      </c>
      <c r="BT752" t="s">
        <v>1</v>
      </c>
      <c r="BU752" t="s">
        <v>1</v>
      </c>
      <c r="BV752" t="s">
        <v>1</v>
      </c>
      <c r="BW752" t="s">
        <v>0</v>
      </c>
      <c r="BX752" t="s">
        <v>1</v>
      </c>
      <c r="BY752" t="s">
        <v>1</v>
      </c>
      <c r="BZ752" t="s">
        <v>1</v>
      </c>
      <c r="CA752" t="s">
        <v>1</v>
      </c>
      <c r="CB752" t="s">
        <v>1</v>
      </c>
      <c r="CD752" t="e" cm="1">
        <f t="array" aca="1" ref="CD752" ca="1">eConcatenar(A752:CB752,"|")</f>
        <v>#NAME?</v>
      </c>
    </row>
    <row r="753" spans="1:82" x14ac:dyDescent="0.25">
      <c r="A753" t="s">
        <v>848</v>
      </c>
      <c r="B753" t="s">
        <v>1863</v>
      </c>
      <c r="C753">
        <v>3</v>
      </c>
      <c r="D753" t="s">
        <v>2154</v>
      </c>
      <c r="E753" t="s">
        <v>2158</v>
      </c>
      <c r="F753" t="s">
        <v>2162</v>
      </c>
      <c r="G753" t="s">
        <v>2590</v>
      </c>
      <c r="H753" t="s">
        <v>2732</v>
      </c>
      <c r="I753">
        <v>24500</v>
      </c>
      <c r="J753">
        <v>0</v>
      </c>
      <c r="K753">
        <v>50</v>
      </c>
      <c r="L753">
        <v>50</v>
      </c>
      <c r="M753">
        <v>1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 t="s">
        <v>3131</v>
      </c>
      <c r="AC753" t="s">
        <v>6</v>
      </c>
      <c r="AD753" t="s">
        <v>3901</v>
      </c>
      <c r="AE753" t="s">
        <v>4</v>
      </c>
      <c r="AF753" t="s">
        <v>1</v>
      </c>
      <c r="AG753" t="s">
        <v>1</v>
      </c>
      <c r="AH753" t="s">
        <v>4631</v>
      </c>
      <c r="AI753" t="s">
        <v>2590</v>
      </c>
      <c r="AJ753" t="s">
        <v>1</v>
      </c>
      <c r="AK753">
        <v>9331375670</v>
      </c>
      <c r="AL753" t="s">
        <v>1</v>
      </c>
      <c r="AM753" t="s">
        <v>1</v>
      </c>
      <c r="AN753" t="s">
        <v>1</v>
      </c>
      <c r="AO753" t="s">
        <v>4631</v>
      </c>
      <c r="AP753" t="s">
        <v>1</v>
      </c>
      <c r="AQ753" t="s">
        <v>2</v>
      </c>
      <c r="AR753" t="s">
        <v>1</v>
      </c>
      <c r="AS753" t="s">
        <v>1</v>
      </c>
      <c r="AT753" t="s">
        <v>1</v>
      </c>
      <c r="AU753" t="s">
        <v>1</v>
      </c>
      <c r="AV753" t="s">
        <v>1</v>
      </c>
      <c r="AW753" t="s">
        <v>9</v>
      </c>
      <c r="AX753">
        <f>Tabla1[[#This Row],[precio del paquete]]-Tabla1[[#This Row],[Saldo_Deudor]]</f>
        <v>450</v>
      </c>
      <c r="AY753">
        <v>24050</v>
      </c>
      <c r="AZ753">
        <v>0</v>
      </c>
      <c r="BA753">
        <v>0</v>
      </c>
      <c r="BB753">
        <v>0</v>
      </c>
      <c r="BC753" t="s">
        <v>4842</v>
      </c>
      <c r="BD753" t="s">
        <v>4878</v>
      </c>
      <c r="BE753" t="s">
        <v>3</v>
      </c>
      <c r="BF753" t="s">
        <v>3</v>
      </c>
      <c r="BG753" t="s">
        <v>3</v>
      </c>
      <c r="BH753" t="s">
        <v>3</v>
      </c>
      <c r="BI753" t="s">
        <v>3</v>
      </c>
      <c r="BJ753" t="s">
        <v>4994</v>
      </c>
      <c r="BK753" t="s">
        <v>3</v>
      </c>
      <c r="BL753" t="s">
        <v>96</v>
      </c>
      <c r="BM753" t="s">
        <v>1</v>
      </c>
      <c r="BN753">
        <v>24500</v>
      </c>
      <c r="BO753" t="s">
        <v>1</v>
      </c>
      <c r="BP753" t="s">
        <v>1</v>
      </c>
      <c r="BQ753" t="s">
        <v>1</v>
      </c>
      <c r="BR753" t="s">
        <v>1</v>
      </c>
      <c r="BS753" t="s">
        <v>1</v>
      </c>
      <c r="BT753" t="s">
        <v>1</v>
      </c>
      <c r="BU753" t="s">
        <v>1</v>
      </c>
      <c r="BV753" t="s">
        <v>1</v>
      </c>
      <c r="BW753" t="s">
        <v>0</v>
      </c>
      <c r="BX753" t="s">
        <v>1</v>
      </c>
      <c r="BY753" t="s">
        <v>1</v>
      </c>
      <c r="BZ753" t="s">
        <v>1</v>
      </c>
      <c r="CA753" t="s">
        <v>1</v>
      </c>
      <c r="CB753" t="s">
        <v>1</v>
      </c>
      <c r="CD753" t="e" cm="1">
        <f t="array" aca="1" ref="CD753" ca="1">eConcatenar(A753:CB753,"|")</f>
        <v>#NAME?</v>
      </c>
    </row>
    <row r="754" spans="1:82" x14ac:dyDescent="0.25">
      <c r="A754" t="s">
        <v>849</v>
      </c>
      <c r="B754" t="s">
        <v>1864</v>
      </c>
      <c r="C754">
        <v>3</v>
      </c>
      <c r="D754" t="s">
        <v>2153</v>
      </c>
      <c r="E754" t="s">
        <v>2158</v>
      </c>
      <c r="F754" t="s">
        <v>2162</v>
      </c>
      <c r="G754" t="s">
        <v>2590</v>
      </c>
      <c r="H754" t="s">
        <v>2906</v>
      </c>
      <c r="I754">
        <v>14800</v>
      </c>
      <c r="J754">
        <v>0</v>
      </c>
      <c r="K754">
        <v>100</v>
      </c>
      <c r="L754">
        <v>50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 t="s">
        <v>3902</v>
      </c>
      <c r="AC754" t="s">
        <v>3155</v>
      </c>
      <c r="AD754" t="s">
        <v>3269</v>
      </c>
      <c r="AE754" t="s">
        <v>4</v>
      </c>
      <c r="AF754" t="s">
        <v>1</v>
      </c>
      <c r="AG754" t="s">
        <v>1</v>
      </c>
      <c r="AH754" t="s">
        <v>4632</v>
      </c>
      <c r="AI754" t="s">
        <v>2590</v>
      </c>
      <c r="AJ754" t="s">
        <v>1</v>
      </c>
      <c r="AK754">
        <v>9932279136</v>
      </c>
      <c r="AL754" t="s">
        <v>1</v>
      </c>
      <c r="AM754" t="s">
        <v>1</v>
      </c>
      <c r="AN754" t="s">
        <v>1</v>
      </c>
      <c r="AO754" t="s">
        <v>4632</v>
      </c>
      <c r="AP754" t="s">
        <v>1</v>
      </c>
      <c r="AQ754" t="s">
        <v>2</v>
      </c>
      <c r="AR754" t="s">
        <v>1</v>
      </c>
      <c r="AS754" t="s">
        <v>1</v>
      </c>
      <c r="AT754" t="s">
        <v>1</v>
      </c>
      <c r="AU754" t="s">
        <v>1</v>
      </c>
      <c r="AV754" t="s">
        <v>1</v>
      </c>
      <c r="AW754" t="s">
        <v>9</v>
      </c>
      <c r="AX754">
        <f>Tabla1[[#This Row],[precio del paquete]]-Tabla1[[#This Row],[Saldo_Deudor]]</f>
        <v>300</v>
      </c>
      <c r="AY754">
        <v>14500</v>
      </c>
      <c r="AZ754">
        <v>0</v>
      </c>
      <c r="BA754">
        <v>0</v>
      </c>
      <c r="BB754">
        <v>0</v>
      </c>
      <c r="BC754" t="s">
        <v>2711</v>
      </c>
      <c r="BD754" t="s">
        <v>2712</v>
      </c>
      <c r="BE754" t="s">
        <v>3</v>
      </c>
      <c r="BF754" t="s">
        <v>3</v>
      </c>
      <c r="BG754" t="s">
        <v>3</v>
      </c>
      <c r="BH754" t="s">
        <v>3</v>
      </c>
      <c r="BI754" t="s">
        <v>3</v>
      </c>
      <c r="BJ754" t="s">
        <v>4998</v>
      </c>
      <c r="BK754" t="s">
        <v>3</v>
      </c>
      <c r="BL754" t="s">
        <v>96</v>
      </c>
      <c r="BM754" t="s">
        <v>1</v>
      </c>
      <c r="BN754">
        <v>14800</v>
      </c>
      <c r="BO754" t="s">
        <v>1</v>
      </c>
      <c r="BP754" t="s">
        <v>1</v>
      </c>
      <c r="BQ754" t="s">
        <v>1</v>
      </c>
      <c r="BR754" t="s">
        <v>1</v>
      </c>
      <c r="BS754" t="s">
        <v>1</v>
      </c>
      <c r="BT754" t="s">
        <v>1</v>
      </c>
      <c r="BU754" t="s">
        <v>1</v>
      </c>
      <c r="BV754" t="s">
        <v>1</v>
      </c>
      <c r="BW754" t="s">
        <v>0</v>
      </c>
      <c r="BX754" t="s">
        <v>1</v>
      </c>
      <c r="BY754" t="s">
        <v>1</v>
      </c>
      <c r="BZ754" t="s">
        <v>1</v>
      </c>
      <c r="CA754" t="s">
        <v>1</v>
      </c>
      <c r="CB754" t="s">
        <v>1</v>
      </c>
      <c r="CD754" t="e" cm="1">
        <f t="array" aca="1" ref="CD754" ca="1">eConcatenar(A754:CB754,"|")</f>
        <v>#NAME?</v>
      </c>
    </row>
    <row r="755" spans="1:82" x14ac:dyDescent="0.25">
      <c r="A755" t="s">
        <v>850</v>
      </c>
      <c r="B755" t="s">
        <v>1865</v>
      </c>
      <c r="C755">
        <v>3</v>
      </c>
      <c r="D755" t="s">
        <v>2153</v>
      </c>
      <c r="E755" t="s">
        <v>2158</v>
      </c>
      <c r="F755" t="s">
        <v>2162</v>
      </c>
      <c r="G755" t="s">
        <v>2590</v>
      </c>
      <c r="H755" t="s">
        <v>2843</v>
      </c>
      <c r="I755">
        <v>14800</v>
      </c>
      <c r="J755">
        <v>0</v>
      </c>
      <c r="K755">
        <v>100</v>
      </c>
      <c r="L755">
        <v>50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 t="s">
        <v>3214</v>
      </c>
      <c r="AC755" t="s">
        <v>3582</v>
      </c>
      <c r="AD755" t="s">
        <v>3900</v>
      </c>
      <c r="AE755" t="s">
        <v>4</v>
      </c>
      <c r="AF755" t="s">
        <v>1</v>
      </c>
      <c r="AG755" t="s">
        <v>1</v>
      </c>
      <c r="AH755" t="s">
        <v>4120</v>
      </c>
      <c r="AI755" t="s">
        <v>2590</v>
      </c>
      <c r="AJ755" t="s">
        <v>1</v>
      </c>
      <c r="AK755">
        <v>9933042549</v>
      </c>
      <c r="AL755" t="s">
        <v>1</v>
      </c>
      <c r="AM755" t="s">
        <v>1</v>
      </c>
      <c r="AN755" t="s">
        <v>1</v>
      </c>
      <c r="AO755" t="s">
        <v>4120</v>
      </c>
      <c r="AP755" t="s">
        <v>1</v>
      </c>
      <c r="AQ755" t="s">
        <v>2</v>
      </c>
      <c r="AR755" t="s">
        <v>1</v>
      </c>
      <c r="AS755" t="s">
        <v>1</v>
      </c>
      <c r="AT755" t="s">
        <v>1</v>
      </c>
      <c r="AU755" t="s">
        <v>1</v>
      </c>
      <c r="AV755" t="s">
        <v>1</v>
      </c>
      <c r="AW755" t="s">
        <v>9</v>
      </c>
      <c r="AX755">
        <f>Tabla1[[#This Row],[precio del paquete]]-Tabla1[[#This Row],[Saldo_Deudor]]</f>
        <v>1200</v>
      </c>
      <c r="AY755">
        <v>13600</v>
      </c>
      <c r="AZ755">
        <v>0</v>
      </c>
      <c r="BA755">
        <v>0</v>
      </c>
      <c r="BB755">
        <v>0</v>
      </c>
      <c r="BC755" t="s">
        <v>3024</v>
      </c>
      <c r="BD755" t="s">
        <v>4830</v>
      </c>
      <c r="BE755" t="s">
        <v>3</v>
      </c>
      <c r="BF755" t="s">
        <v>3</v>
      </c>
      <c r="BG755" t="s">
        <v>3</v>
      </c>
      <c r="BH755" t="s">
        <v>3</v>
      </c>
      <c r="BI755" t="s">
        <v>3</v>
      </c>
      <c r="BJ755" t="s">
        <v>4998</v>
      </c>
      <c r="BK755" t="s">
        <v>3</v>
      </c>
      <c r="BL755" t="s">
        <v>96</v>
      </c>
      <c r="BM755" t="s">
        <v>1</v>
      </c>
      <c r="BN755">
        <v>14800</v>
      </c>
      <c r="BO755" t="s">
        <v>1</v>
      </c>
      <c r="BP755" t="s">
        <v>1</v>
      </c>
      <c r="BQ755" t="s">
        <v>1</v>
      </c>
      <c r="BR755" t="s">
        <v>1</v>
      </c>
      <c r="BS755" t="s">
        <v>1</v>
      </c>
      <c r="BT755" t="s">
        <v>1</v>
      </c>
      <c r="BU755" t="s">
        <v>1</v>
      </c>
      <c r="BV755" t="s">
        <v>1</v>
      </c>
      <c r="BW755" t="s">
        <v>0</v>
      </c>
      <c r="BX755" t="s">
        <v>1</v>
      </c>
      <c r="BY755" t="s">
        <v>1</v>
      </c>
      <c r="BZ755" t="s">
        <v>1</v>
      </c>
      <c r="CA755" t="s">
        <v>1</v>
      </c>
      <c r="CB755" t="s">
        <v>1</v>
      </c>
      <c r="CD755" t="e" cm="1">
        <f t="array" aca="1" ref="CD755" ca="1">eConcatenar(A755:CB755,"|")</f>
        <v>#NAME?</v>
      </c>
    </row>
    <row r="756" spans="1:82" x14ac:dyDescent="0.25">
      <c r="A756" t="s">
        <v>851</v>
      </c>
      <c r="B756" t="s">
        <v>1866</v>
      </c>
      <c r="C756">
        <v>3</v>
      </c>
      <c r="D756" t="s">
        <v>3107</v>
      </c>
      <c r="E756" t="s">
        <v>2158</v>
      </c>
      <c r="F756" t="s">
        <v>2162</v>
      </c>
      <c r="G756" t="s">
        <v>2590</v>
      </c>
      <c r="H756" t="s">
        <v>2843</v>
      </c>
      <c r="I756">
        <v>35000</v>
      </c>
      <c r="J756">
        <v>0</v>
      </c>
      <c r="K756">
        <v>500</v>
      </c>
      <c r="L756">
        <v>50</v>
      </c>
      <c r="M756">
        <v>1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 t="s">
        <v>3373</v>
      </c>
      <c r="AC756" t="s">
        <v>3315</v>
      </c>
      <c r="AD756" t="s">
        <v>3645</v>
      </c>
      <c r="AE756" t="s">
        <v>4</v>
      </c>
      <c r="AF756" t="s">
        <v>1</v>
      </c>
      <c r="AG756" t="s">
        <v>1</v>
      </c>
      <c r="AH756" t="s">
        <v>4633</v>
      </c>
      <c r="AI756" t="s">
        <v>2590</v>
      </c>
      <c r="AJ756" t="s">
        <v>1</v>
      </c>
      <c r="AK756">
        <v>9331649175</v>
      </c>
      <c r="AL756" t="s">
        <v>1</v>
      </c>
      <c r="AM756" t="s">
        <v>1</v>
      </c>
      <c r="AN756" t="s">
        <v>1</v>
      </c>
      <c r="AO756" t="s">
        <v>4633</v>
      </c>
      <c r="AP756" t="s">
        <v>1</v>
      </c>
      <c r="AQ756" t="s">
        <v>2</v>
      </c>
      <c r="AR756" t="s">
        <v>1</v>
      </c>
      <c r="AS756" t="s">
        <v>1</v>
      </c>
      <c r="AT756" t="s">
        <v>1</v>
      </c>
      <c r="AU756" t="s">
        <v>1</v>
      </c>
      <c r="AV756" t="s">
        <v>1</v>
      </c>
      <c r="AW756" t="s">
        <v>9</v>
      </c>
      <c r="AX756">
        <f>Tabla1[[#This Row],[precio del paquete]]-Tabla1[[#This Row],[Saldo_Deudor]]</f>
        <v>2500</v>
      </c>
      <c r="AY756">
        <v>32500</v>
      </c>
      <c r="AZ756">
        <v>0</v>
      </c>
      <c r="BA756">
        <v>0</v>
      </c>
      <c r="BB756">
        <v>0</v>
      </c>
      <c r="BC756" t="s">
        <v>4830</v>
      </c>
      <c r="BD756" t="s">
        <v>4906</v>
      </c>
      <c r="BE756" t="s">
        <v>3</v>
      </c>
      <c r="BF756" t="s">
        <v>3</v>
      </c>
      <c r="BG756" t="s">
        <v>3</v>
      </c>
      <c r="BH756" t="s">
        <v>3</v>
      </c>
      <c r="BI756" t="s">
        <v>3</v>
      </c>
      <c r="BJ756" t="s">
        <v>5000</v>
      </c>
      <c r="BK756" t="s">
        <v>3</v>
      </c>
      <c r="BL756" t="s">
        <v>96</v>
      </c>
      <c r="BM756" t="s">
        <v>1</v>
      </c>
      <c r="BN756">
        <v>35000</v>
      </c>
      <c r="BO756" t="s">
        <v>1</v>
      </c>
      <c r="BP756" t="s">
        <v>1</v>
      </c>
      <c r="BQ756" t="s">
        <v>1</v>
      </c>
      <c r="BR756" t="s">
        <v>1</v>
      </c>
      <c r="BS756" t="s">
        <v>1</v>
      </c>
      <c r="BT756" t="s">
        <v>1</v>
      </c>
      <c r="BU756" t="s">
        <v>1</v>
      </c>
      <c r="BV756" t="s">
        <v>1</v>
      </c>
      <c r="BW756" t="s">
        <v>0</v>
      </c>
      <c r="BX756" t="s">
        <v>1</v>
      </c>
      <c r="BY756" t="s">
        <v>1</v>
      </c>
      <c r="BZ756" t="s">
        <v>1</v>
      </c>
      <c r="CA756" t="s">
        <v>1</v>
      </c>
      <c r="CB756" t="s">
        <v>1</v>
      </c>
      <c r="CD756" t="e" cm="1">
        <f t="array" aca="1" ref="CD756" ca="1">eConcatenar(A756:CB756,"|")</f>
        <v>#NAME?</v>
      </c>
    </row>
    <row r="757" spans="1:82" x14ac:dyDescent="0.25">
      <c r="A757" t="s">
        <v>852</v>
      </c>
      <c r="B757" t="s">
        <v>1867</v>
      </c>
      <c r="C757">
        <v>3</v>
      </c>
      <c r="D757" t="s">
        <v>2153</v>
      </c>
      <c r="E757" t="s">
        <v>2158</v>
      </c>
      <c r="F757" t="s">
        <v>2162</v>
      </c>
      <c r="G757" t="s">
        <v>2590</v>
      </c>
      <c r="H757" t="s">
        <v>3016</v>
      </c>
      <c r="I757">
        <v>14800</v>
      </c>
      <c r="J757">
        <v>0</v>
      </c>
      <c r="K757">
        <v>400</v>
      </c>
      <c r="L757">
        <v>50</v>
      </c>
      <c r="M757">
        <v>2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 t="s">
        <v>3137</v>
      </c>
      <c r="AC757" t="s">
        <v>3114</v>
      </c>
      <c r="AD757" t="s">
        <v>3903</v>
      </c>
      <c r="AE757" t="s">
        <v>4</v>
      </c>
      <c r="AF757" t="s">
        <v>1</v>
      </c>
      <c r="AG757" t="s">
        <v>1</v>
      </c>
      <c r="AH757" t="s">
        <v>4634</v>
      </c>
      <c r="AI757" t="s">
        <v>2590</v>
      </c>
      <c r="AJ757" t="s">
        <v>1</v>
      </c>
      <c r="AK757">
        <v>9331515611</v>
      </c>
      <c r="AL757" t="s">
        <v>1</v>
      </c>
      <c r="AM757" t="s">
        <v>1</v>
      </c>
      <c r="AN757" t="s">
        <v>1</v>
      </c>
      <c r="AO757" t="s">
        <v>4634</v>
      </c>
      <c r="AP757" t="s">
        <v>1</v>
      </c>
      <c r="AQ757" t="s">
        <v>2</v>
      </c>
      <c r="AR757" t="s">
        <v>1</v>
      </c>
      <c r="AS757" t="s">
        <v>1</v>
      </c>
      <c r="AT757" t="s">
        <v>1</v>
      </c>
      <c r="AU757" t="s">
        <v>1</v>
      </c>
      <c r="AV757" t="s">
        <v>1</v>
      </c>
      <c r="AW757" t="s">
        <v>9</v>
      </c>
      <c r="AX757">
        <f>Tabla1[[#This Row],[precio del paquete]]-Tabla1[[#This Row],[Saldo_Deudor]]</f>
        <v>600</v>
      </c>
      <c r="AY757">
        <v>14200</v>
      </c>
      <c r="AZ757">
        <v>0</v>
      </c>
      <c r="BA757">
        <v>0</v>
      </c>
      <c r="BB757">
        <v>0</v>
      </c>
      <c r="BC757" t="s">
        <v>3016</v>
      </c>
      <c r="BD757" t="s">
        <v>4832</v>
      </c>
      <c r="BE757" t="s">
        <v>3</v>
      </c>
      <c r="BF757" t="s">
        <v>3</v>
      </c>
      <c r="BG757" t="s">
        <v>3</v>
      </c>
      <c r="BH757" t="s">
        <v>3</v>
      </c>
      <c r="BI757" t="s">
        <v>3</v>
      </c>
      <c r="BJ757" t="s">
        <v>5000</v>
      </c>
      <c r="BK757" t="s">
        <v>3</v>
      </c>
      <c r="BL757" t="s">
        <v>96</v>
      </c>
      <c r="BM757" t="s">
        <v>1</v>
      </c>
      <c r="BN757">
        <v>14800</v>
      </c>
      <c r="BO757" t="s">
        <v>1</v>
      </c>
      <c r="BP757" t="s">
        <v>1</v>
      </c>
      <c r="BQ757" t="s">
        <v>1</v>
      </c>
      <c r="BR757" t="s">
        <v>1</v>
      </c>
      <c r="BS757" t="s">
        <v>1</v>
      </c>
      <c r="BT757" t="s">
        <v>1</v>
      </c>
      <c r="BU757" t="s">
        <v>1</v>
      </c>
      <c r="BV757" t="s">
        <v>1</v>
      </c>
      <c r="BW757" t="s">
        <v>0</v>
      </c>
      <c r="BX757" t="s">
        <v>1</v>
      </c>
      <c r="BY757" t="s">
        <v>1</v>
      </c>
      <c r="BZ757" t="s">
        <v>1</v>
      </c>
      <c r="CA757" t="s">
        <v>1</v>
      </c>
      <c r="CB757" t="s">
        <v>1</v>
      </c>
      <c r="CD757" t="e" cm="1">
        <f t="array" aca="1" ref="CD757" ca="1">eConcatenar(A757:CB757,"|")</f>
        <v>#NAME?</v>
      </c>
    </row>
    <row r="758" spans="1:82" x14ac:dyDescent="0.25">
      <c r="A758" t="s">
        <v>853</v>
      </c>
      <c r="B758" t="s">
        <v>1868</v>
      </c>
      <c r="C758">
        <v>3</v>
      </c>
      <c r="D758" t="s">
        <v>2155</v>
      </c>
      <c r="E758" t="s">
        <v>2158</v>
      </c>
      <c r="F758" t="s">
        <v>2162</v>
      </c>
      <c r="G758" t="s">
        <v>2591</v>
      </c>
      <c r="H758" t="s">
        <v>3017</v>
      </c>
      <c r="I758">
        <v>12900</v>
      </c>
      <c r="J758">
        <v>0</v>
      </c>
      <c r="K758">
        <v>200</v>
      </c>
      <c r="L758">
        <v>50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 t="s">
        <v>3155</v>
      </c>
      <c r="AC758" t="s">
        <v>3904</v>
      </c>
      <c r="AD758" t="s">
        <v>3905</v>
      </c>
      <c r="AE758" t="s">
        <v>4</v>
      </c>
      <c r="AF758" t="s">
        <v>1</v>
      </c>
      <c r="AG758" t="s">
        <v>1</v>
      </c>
      <c r="AH758" t="s">
        <v>4635</v>
      </c>
      <c r="AI758" t="s">
        <v>2591</v>
      </c>
      <c r="AJ758" t="s">
        <v>1</v>
      </c>
      <c r="AK758">
        <v>9331364871</v>
      </c>
      <c r="AL758" t="s">
        <v>1</v>
      </c>
      <c r="AM758" t="s">
        <v>1</v>
      </c>
      <c r="AN758" t="s">
        <v>1</v>
      </c>
      <c r="AO758" t="s">
        <v>4635</v>
      </c>
      <c r="AP758" t="s">
        <v>1</v>
      </c>
      <c r="AQ758" t="s">
        <v>2</v>
      </c>
      <c r="AR758" t="s">
        <v>1</v>
      </c>
      <c r="AS758" t="s">
        <v>1</v>
      </c>
      <c r="AT758" t="s">
        <v>1</v>
      </c>
      <c r="AU758" t="s">
        <v>1</v>
      </c>
      <c r="AV758" t="s">
        <v>1</v>
      </c>
      <c r="AW758" t="s">
        <v>9</v>
      </c>
      <c r="AX758">
        <f>Tabla1[[#This Row],[precio del paquete]]-Tabla1[[#This Row],[Saldo_Deudor]]</f>
        <v>880</v>
      </c>
      <c r="AY758">
        <v>12020</v>
      </c>
      <c r="AZ758">
        <v>0</v>
      </c>
      <c r="BA758">
        <v>0</v>
      </c>
      <c r="BB758">
        <v>0</v>
      </c>
      <c r="BC758" t="s">
        <v>4871</v>
      </c>
      <c r="BD758" t="s">
        <v>4845</v>
      </c>
      <c r="BE758" t="s">
        <v>3</v>
      </c>
      <c r="BF758" t="s">
        <v>3</v>
      </c>
      <c r="BG758" t="s">
        <v>3</v>
      </c>
      <c r="BH758" t="s">
        <v>3</v>
      </c>
      <c r="BI758" t="s">
        <v>3</v>
      </c>
      <c r="BJ758" t="s">
        <v>5000</v>
      </c>
      <c r="BK758" t="s">
        <v>3</v>
      </c>
      <c r="BL758" t="s">
        <v>96</v>
      </c>
      <c r="BM758" t="s">
        <v>1</v>
      </c>
      <c r="BN758">
        <v>12900</v>
      </c>
      <c r="BO758" t="s">
        <v>1</v>
      </c>
      <c r="BP758" t="s">
        <v>1</v>
      </c>
      <c r="BQ758" t="s">
        <v>1</v>
      </c>
      <c r="BR758" t="s">
        <v>1</v>
      </c>
      <c r="BS758" t="s">
        <v>1</v>
      </c>
      <c r="BT758" t="s">
        <v>1</v>
      </c>
      <c r="BU758" t="s">
        <v>1</v>
      </c>
      <c r="BV758" t="s">
        <v>1</v>
      </c>
      <c r="BW758" t="s">
        <v>0</v>
      </c>
      <c r="BX758" t="s">
        <v>1</v>
      </c>
      <c r="BY758" t="s">
        <v>1</v>
      </c>
      <c r="BZ758" t="s">
        <v>1</v>
      </c>
      <c r="CA758" t="s">
        <v>1</v>
      </c>
      <c r="CB758" t="s">
        <v>1</v>
      </c>
      <c r="CD758" t="e" cm="1">
        <f t="array" aca="1" ref="CD758" ca="1">eConcatenar(A758:CB758,"|")</f>
        <v>#NAME?</v>
      </c>
    </row>
    <row r="759" spans="1:82" x14ac:dyDescent="0.25">
      <c r="A759" t="s">
        <v>854</v>
      </c>
      <c r="B759" t="s">
        <v>1869</v>
      </c>
      <c r="C759">
        <v>3</v>
      </c>
      <c r="D759" t="s">
        <v>2155</v>
      </c>
      <c r="E759" t="s">
        <v>2158</v>
      </c>
      <c r="F759" t="s">
        <v>2159</v>
      </c>
      <c r="G759" t="s">
        <v>2592</v>
      </c>
      <c r="H759" t="s">
        <v>2706</v>
      </c>
      <c r="I759">
        <v>12900</v>
      </c>
      <c r="J759">
        <v>0</v>
      </c>
      <c r="K759">
        <v>100</v>
      </c>
      <c r="L759">
        <v>50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 t="s">
        <v>3195</v>
      </c>
      <c r="AC759" t="s">
        <v>3148</v>
      </c>
      <c r="AD759" t="s">
        <v>3717</v>
      </c>
      <c r="AE759" t="s">
        <v>4</v>
      </c>
      <c r="AF759" t="s">
        <v>1</v>
      </c>
      <c r="AG759" t="s">
        <v>1</v>
      </c>
      <c r="AH759" t="s">
        <v>2592</v>
      </c>
      <c r="AI759" t="s">
        <v>2592</v>
      </c>
      <c r="AJ759" t="s">
        <v>1</v>
      </c>
      <c r="AK759">
        <v>9331521439</v>
      </c>
      <c r="AL759" t="s">
        <v>1</v>
      </c>
      <c r="AM759" t="s">
        <v>1</v>
      </c>
      <c r="AN759" t="s">
        <v>1</v>
      </c>
      <c r="AO759" t="s">
        <v>2592</v>
      </c>
      <c r="AP759" t="s">
        <v>1</v>
      </c>
      <c r="AQ759" t="s">
        <v>2</v>
      </c>
      <c r="AR759" t="s">
        <v>1</v>
      </c>
      <c r="AS759" t="s">
        <v>1</v>
      </c>
      <c r="AT759" t="s">
        <v>1</v>
      </c>
      <c r="AU759" t="s">
        <v>1</v>
      </c>
      <c r="AV759" t="s">
        <v>1</v>
      </c>
      <c r="AW759" t="s">
        <v>9</v>
      </c>
      <c r="AX759">
        <f>Tabla1[[#This Row],[precio del paquete]]-Tabla1[[#This Row],[Saldo_Deudor]]</f>
        <v>1150</v>
      </c>
      <c r="AY759">
        <v>11750</v>
      </c>
      <c r="AZ759">
        <v>0</v>
      </c>
      <c r="BA759">
        <v>0</v>
      </c>
      <c r="BB759">
        <v>0</v>
      </c>
      <c r="BC759" t="s">
        <v>4830</v>
      </c>
      <c r="BD759" t="s">
        <v>4906</v>
      </c>
      <c r="BE759" t="s">
        <v>3</v>
      </c>
      <c r="BF759" t="s">
        <v>3</v>
      </c>
      <c r="BG759" t="s">
        <v>3</v>
      </c>
      <c r="BH759" t="s">
        <v>3</v>
      </c>
      <c r="BI759" t="s">
        <v>3</v>
      </c>
      <c r="BJ759" t="s">
        <v>4990</v>
      </c>
      <c r="BK759" t="s">
        <v>3</v>
      </c>
      <c r="BL759" t="s">
        <v>96</v>
      </c>
      <c r="BM759" t="s">
        <v>1</v>
      </c>
      <c r="BN759">
        <v>12900</v>
      </c>
      <c r="BO759" t="s">
        <v>1</v>
      </c>
      <c r="BP759" t="s">
        <v>1</v>
      </c>
      <c r="BQ759" t="s">
        <v>1</v>
      </c>
      <c r="BR759" t="s">
        <v>1</v>
      </c>
      <c r="BS759" t="s">
        <v>1</v>
      </c>
      <c r="BT759" t="s">
        <v>1</v>
      </c>
      <c r="BU759" t="s">
        <v>1</v>
      </c>
      <c r="BV759" t="s">
        <v>1</v>
      </c>
      <c r="BW759" t="s">
        <v>0</v>
      </c>
      <c r="BX759" t="s">
        <v>1</v>
      </c>
      <c r="BY759" t="s">
        <v>1</v>
      </c>
      <c r="BZ759" t="s">
        <v>1</v>
      </c>
      <c r="CA759" t="s">
        <v>1</v>
      </c>
      <c r="CB759" t="s">
        <v>1</v>
      </c>
      <c r="CD759" t="e" cm="1">
        <f t="array" aca="1" ref="CD759" ca="1">eConcatenar(A759:CB759,"|")</f>
        <v>#NAME?</v>
      </c>
    </row>
    <row r="760" spans="1:82" x14ac:dyDescent="0.25">
      <c r="A760" t="s">
        <v>855</v>
      </c>
      <c r="B760" t="s">
        <v>1870</v>
      </c>
      <c r="C760">
        <v>3</v>
      </c>
      <c r="D760" t="s">
        <v>2153</v>
      </c>
      <c r="E760" t="s">
        <v>2158</v>
      </c>
      <c r="F760" t="s">
        <v>2159</v>
      </c>
      <c r="G760" t="s">
        <v>2592</v>
      </c>
      <c r="H760" t="s">
        <v>2779</v>
      </c>
      <c r="I760">
        <v>14800</v>
      </c>
      <c r="J760">
        <v>0</v>
      </c>
      <c r="K760">
        <v>400</v>
      </c>
      <c r="L760">
        <v>50</v>
      </c>
      <c r="M760">
        <v>2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 t="s">
        <v>3159</v>
      </c>
      <c r="AC760" t="s">
        <v>3470</v>
      </c>
      <c r="AD760" t="s">
        <v>3741</v>
      </c>
      <c r="AE760" t="s">
        <v>4</v>
      </c>
      <c r="AF760" t="s">
        <v>1</v>
      </c>
      <c r="AG760" t="s">
        <v>1</v>
      </c>
      <c r="AH760" t="s">
        <v>4636</v>
      </c>
      <c r="AI760" t="s">
        <v>2592</v>
      </c>
      <c r="AJ760" t="s">
        <v>1</v>
      </c>
      <c r="AK760">
        <v>9333259856</v>
      </c>
      <c r="AL760" t="s">
        <v>1</v>
      </c>
      <c r="AM760" t="s">
        <v>1</v>
      </c>
      <c r="AN760" t="s">
        <v>1</v>
      </c>
      <c r="AO760" t="s">
        <v>4636</v>
      </c>
      <c r="AP760" t="s">
        <v>1</v>
      </c>
      <c r="AQ760" t="s">
        <v>2</v>
      </c>
      <c r="AR760" t="s">
        <v>1</v>
      </c>
      <c r="AS760" t="s">
        <v>1</v>
      </c>
      <c r="AT760" t="s">
        <v>1</v>
      </c>
      <c r="AU760" t="s">
        <v>1</v>
      </c>
      <c r="AV760" t="s">
        <v>1</v>
      </c>
      <c r="AW760" t="s">
        <v>9</v>
      </c>
      <c r="AX760">
        <f>Tabla1[[#This Row],[precio del paquete]]-Tabla1[[#This Row],[Saldo_Deudor]]</f>
        <v>400</v>
      </c>
      <c r="AY760">
        <v>14400</v>
      </c>
      <c r="AZ760">
        <v>0</v>
      </c>
      <c r="BA760">
        <v>0</v>
      </c>
      <c r="BB760">
        <v>0</v>
      </c>
      <c r="BC760" t="s">
        <v>2925</v>
      </c>
      <c r="BD760" t="s">
        <v>3078</v>
      </c>
      <c r="BE760" t="s">
        <v>3</v>
      </c>
      <c r="BF760" t="s">
        <v>3</v>
      </c>
      <c r="BG760" t="s">
        <v>3</v>
      </c>
      <c r="BH760" t="s">
        <v>3</v>
      </c>
      <c r="BI760" t="s">
        <v>3</v>
      </c>
      <c r="BJ760" t="s">
        <v>4993</v>
      </c>
      <c r="BK760" t="s">
        <v>3</v>
      </c>
      <c r="BL760" t="s">
        <v>96</v>
      </c>
      <c r="BM760" t="s">
        <v>1</v>
      </c>
      <c r="BN760">
        <v>14800</v>
      </c>
      <c r="BO760" t="s">
        <v>1</v>
      </c>
      <c r="BP760" t="s">
        <v>1</v>
      </c>
      <c r="BQ760" t="s">
        <v>1</v>
      </c>
      <c r="BR760" t="s">
        <v>1</v>
      </c>
      <c r="BS760" t="s">
        <v>1</v>
      </c>
      <c r="BT760" t="s">
        <v>1</v>
      </c>
      <c r="BU760" t="s">
        <v>1</v>
      </c>
      <c r="BV760" t="s">
        <v>1</v>
      </c>
      <c r="BW760" t="s">
        <v>0</v>
      </c>
      <c r="BX760" t="s">
        <v>1</v>
      </c>
      <c r="BY760" t="s">
        <v>1</v>
      </c>
      <c r="BZ760" t="s">
        <v>1</v>
      </c>
      <c r="CA760" t="s">
        <v>1</v>
      </c>
      <c r="CB760" t="s">
        <v>1</v>
      </c>
      <c r="CD760" t="e" cm="1">
        <f t="array" aca="1" ref="CD760" ca="1">eConcatenar(A760:CB760,"|")</f>
        <v>#NAME?</v>
      </c>
    </row>
    <row r="761" spans="1:82" x14ac:dyDescent="0.25">
      <c r="A761" t="s">
        <v>856</v>
      </c>
      <c r="B761" t="s">
        <v>1871</v>
      </c>
      <c r="C761">
        <v>3</v>
      </c>
      <c r="D761" t="s">
        <v>2153</v>
      </c>
      <c r="E761" t="s">
        <v>2158</v>
      </c>
      <c r="F761" t="s">
        <v>2159</v>
      </c>
      <c r="G761" t="s">
        <v>2592</v>
      </c>
      <c r="H761" t="s">
        <v>2903</v>
      </c>
      <c r="I761">
        <v>14800</v>
      </c>
      <c r="J761">
        <v>0</v>
      </c>
      <c r="K761">
        <v>50</v>
      </c>
      <c r="L761">
        <v>50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 t="s">
        <v>3195</v>
      </c>
      <c r="AC761" t="s">
        <v>3906</v>
      </c>
      <c r="AD761" t="s">
        <v>3907</v>
      </c>
      <c r="AE761" t="s">
        <v>4</v>
      </c>
      <c r="AF761" t="s">
        <v>1</v>
      </c>
      <c r="AG761" t="s">
        <v>1</v>
      </c>
      <c r="AH761" t="s">
        <v>4637</v>
      </c>
      <c r="AI761" t="s">
        <v>2592</v>
      </c>
      <c r="AJ761" t="s">
        <v>1</v>
      </c>
      <c r="AK761">
        <v>9331296696</v>
      </c>
      <c r="AL761" t="s">
        <v>1</v>
      </c>
      <c r="AM761" t="s">
        <v>1</v>
      </c>
      <c r="AN761" t="s">
        <v>1</v>
      </c>
      <c r="AO761" t="s">
        <v>4637</v>
      </c>
      <c r="AP761" t="s">
        <v>1</v>
      </c>
      <c r="AQ761" t="s">
        <v>2</v>
      </c>
      <c r="AR761" t="s">
        <v>1</v>
      </c>
      <c r="AS761" t="s">
        <v>1</v>
      </c>
      <c r="AT761" t="s">
        <v>1</v>
      </c>
      <c r="AU761" t="s">
        <v>1</v>
      </c>
      <c r="AV761" t="s">
        <v>1</v>
      </c>
      <c r="AW761" t="s">
        <v>9</v>
      </c>
      <c r="AX761">
        <f>Tabla1[[#This Row],[precio del paquete]]-Tabla1[[#This Row],[Saldo_Deudor]]</f>
        <v>650</v>
      </c>
      <c r="AY761">
        <v>14150</v>
      </c>
      <c r="AZ761">
        <v>0</v>
      </c>
      <c r="BA761">
        <v>0</v>
      </c>
      <c r="BB761">
        <v>0</v>
      </c>
      <c r="BC761" t="s">
        <v>4828</v>
      </c>
      <c r="BD761" t="s">
        <v>3098</v>
      </c>
      <c r="BE761" t="s">
        <v>3</v>
      </c>
      <c r="BF761" t="s">
        <v>3</v>
      </c>
      <c r="BG761" t="s">
        <v>3</v>
      </c>
      <c r="BH761" t="s">
        <v>3</v>
      </c>
      <c r="BI761" t="s">
        <v>3</v>
      </c>
      <c r="BJ761" t="s">
        <v>5008</v>
      </c>
      <c r="BK761" t="s">
        <v>3</v>
      </c>
      <c r="BL761" t="s">
        <v>96</v>
      </c>
      <c r="BM761" t="s">
        <v>1</v>
      </c>
      <c r="BN761">
        <v>14800</v>
      </c>
      <c r="BO761" t="s">
        <v>1</v>
      </c>
      <c r="BP761" t="s">
        <v>1</v>
      </c>
      <c r="BQ761" t="s">
        <v>1</v>
      </c>
      <c r="BR761" t="s">
        <v>1</v>
      </c>
      <c r="BS761" t="s">
        <v>1</v>
      </c>
      <c r="BT761" t="s">
        <v>1</v>
      </c>
      <c r="BU761" t="s">
        <v>1</v>
      </c>
      <c r="BV761" t="s">
        <v>1</v>
      </c>
      <c r="BW761" t="s">
        <v>0</v>
      </c>
      <c r="BX761" t="s">
        <v>1</v>
      </c>
      <c r="BY761" t="s">
        <v>1</v>
      </c>
      <c r="BZ761" t="s">
        <v>1</v>
      </c>
      <c r="CA761" t="s">
        <v>1</v>
      </c>
      <c r="CB761" t="s">
        <v>1</v>
      </c>
      <c r="CD761" t="e" cm="1">
        <f t="array" aca="1" ref="CD761" ca="1">eConcatenar(A761:CB761,"|")</f>
        <v>#NAME?</v>
      </c>
    </row>
    <row r="762" spans="1:82" x14ac:dyDescent="0.25">
      <c r="A762" t="s">
        <v>857</v>
      </c>
      <c r="B762" t="s">
        <v>1872</v>
      </c>
      <c r="C762">
        <v>3</v>
      </c>
      <c r="D762" t="s">
        <v>2153</v>
      </c>
      <c r="E762" t="s">
        <v>2158</v>
      </c>
      <c r="F762" t="s">
        <v>2159</v>
      </c>
      <c r="G762" t="s">
        <v>2592</v>
      </c>
      <c r="H762" t="s">
        <v>2927</v>
      </c>
      <c r="I762">
        <v>14800</v>
      </c>
      <c r="J762">
        <v>0</v>
      </c>
      <c r="K762">
        <v>200</v>
      </c>
      <c r="L762">
        <v>50</v>
      </c>
      <c r="M762">
        <v>1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 t="s">
        <v>3908</v>
      </c>
      <c r="AC762" t="s">
        <v>3909</v>
      </c>
      <c r="AD762" t="s">
        <v>3910</v>
      </c>
      <c r="AE762" t="s">
        <v>4</v>
      </c>
      <c r="AF762" t="s">
        <v>1</v>
      </c>
      <c r="AG762" t="s">
        <v>1</v>
      </c>
      <c r="AH762" t="s">
        <v>4600</v>
      </c>
      <c r="AI762" t="s">
        <v>2592</v>
      </c>
      <c r="AJ762" t="s">
        <v>1</v>
      </c>
      <c r="AK762">
        <v>9331224738</v>
      </c>
      <c r="AL762" t="s">
        <v>1</v>
      </c>
      <c r="AM762" t="s">
        <v>1</v>
      </c>
      <c r="AN762" t="s">
        <v>1</v>
      </c>
      <c r="AO762" t="s">
        <v>4600</v>
      </c>
      <c r="AP762" t="s">
        <v>1</v>
      </c>
      <c r="AQ762" t="s">
        <v>2</v>
      </c>
      <c r="AR762" t="s">
        <v>1</v>
      </c>
      <c r="AS762" t="s">
        <v>1</v>
      </c>
      <c r="AT762" t="s">
        <v>1</v>
      </c>
      <c r="AU762" t="s">
        <v>1</v>
      </c>
      <c r="AV762" t="s">
        <v>1</v>
      </c>
      <c r="AW762" t="s">
        <v>9</v>
      </c>
      <c r="AX762">
        <f>Tabla1[[#This Row],[precio del paquete]]-Tabla1[[#This Row],[Saldo_Deudor]]</f>
        <v>400</v>
      </c>
      <c r="AY762">
        <v>14400</v>
      </c>
      <c r="AZ762">
        <v>0</v>
      </c>
      <c r="BA762">
        <v>0</v>
      </c>
      <c r="BB762">
        <v>0</v>
      </c>
      <c r="BC762" t="s">
        <v>4847</v>
      </c>
      <c r="BD762" t="s">
        <v>4826</v>
      </c>
      <c r="BE762" t="s">
        <v>3</v>
      </c>
      <c r="BF762" t="s">
        <v>3</v>
      </c>
      <c r="BG762" t="s">
        <v>3</v>
      </c>
      <c r="BH762" t="s">
        <v>3</v>
      </c>
      <c r="BI762" t="s">
        <v>3</v>
      </c>
      <c r="BJ762" t="s">
        <v>4993</v>
      </c>
      <c r="BK762" t="s">
        <v>3</v>
      </c>
      <c r="BL762" t="s">
        <v>96</v>
      </c>
      <c r="BM762" t="s">
        <v>1</v>
      </c>
      <c r="BN762">
        <v>14800</v>
      </c>
      <c r="BO762" t="s">
        <v>1</v>
      </c>
      <c r="BP762" t="s">
        <v>1</v>
      </c>
      <c r="BQ762" t="s">
        <v>1</v>
      </c>
      <c r="BR762" t="s">
        <v>1</v>
      </c>
      <c r="BS762" t="s">
        <v>1</v>
      </c>
      <c r="BT762" t="s">
        <v>1</v>
      </c>
      <c r="BU762" t="s">
        <v>1</v>
      </c>
      <c r="BV762" t="s">
        <v>1</v>
      </c>
      <c r="BW762" t="s">
        <v>0</v>
      </c>
      <c r="BX762" t="s">
        <v>1</v>
      </c>
      <c r="BY762" t="s">
        <v>1</v>
      </c>
      <c r="BZ762" t="s">
        <v>1</v>
      </c>
      <c r="CA762" t="s">
        <v>1</v>
      </c>
      <c r="CB762" t="s">
        <v>1</v>
      </c>
      <c r="CD762" t="e" cm="1">
        <f t="array" aca="1" ref="CD762" ca="1">eConcatenar(A762:CB762,"|")</f>
        <v>#NAME?</v>
      </c>
    </row>
    <row r="763" spans="1:82" x14ac:dyDescent="0.25">
      <c r="A763" t="s">
        <v>858</v>
      </c>
      <c r="B763" t="s">
        <v>1873</v>
      </c>
      <c r="C763">
        <v>3</v>
      </c>
      <c r="D763" t="s">
        <v>2153</v>
      </c>
      <c r="E763" t="s">
        <v>2158</v>
      </c>
      <c r="F763" t="s">
        <v>2159</v>
      </c>
      <c r="G763" t="s">
        <v>2592</v>
      </c>
      <c r="H763" t="s">
        <v>2803</v>
      </c>
      <c r="I763">
        <v>14800</v>
      </c>
      <c r="J763">
        <v>0</v>
      </c>
      <c r="K763">
        <v>500</v>
      </c>
      <c r="L763">
        <v>50</v>
      </c>
      <c r="M763">
        <v>1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 t="s">
        <v>3911</v>
      </c>
      <c r="AC763" t="s">
        <v>3152</v>
      </c>
      <c r="AD763" t="s">
        <v>3912</v>
      </c>
      <c r="AE763" t="s">
        <v>4</v>
      </c>
      <c r="AF763" t="s">
        <v>1</v>
      </c>
      <c r="AG763" t="s">
        <v>1</v>
      </c>
      <c r="AH763" t="s">
        <v>4414</v>
      </c>
      <c r="AI763" t="s">
        <v>2592</v>
      </c>
      <c r="AJ763" t="s">
        <v>1</v>
      </c>
      <c r="AK763">
        <v>9331218843</v>
      </c>
      <c r="AL763" t="s">
        <v>1</v>
      </c>
      <c r="AM763" t="s">
        <v>1</v>
      </c>
      <c r="AN763" t="s">
        <v>1</v>
      </c>
      <c r="AO763" t="s">
        <v>4414</v>
      </c>
      <c r="AP763" t="s">
        <v>1</v>
      </c>
      <c r="AQ763" t="s">
        <v>2</v>
      </c>
      <c r="AR763" t="s">
        <v>1</v>
      </c>
      <c r="AS763" t="s">
        <v>1</v>
      </c>
      <c r="AT763" t="s">
        <v>1</v>
      </c>
      <c r="AU763" t="s">
        <v>1</v>
      </c>
      <c r="AV763" t="s">
        <v>1</v>
      </c>
      <c r="AW763" t="s">
        <v>9</v>
      </c>
      <c r="AX763">
        <f>Tabla1[[#This Row],[precio del paquete]]-Tabla1[[#This Row],[Saldo_Deudor]]</f>
        <v>3900</v>
      </c>
      <c r="AY763">
        <v>10900</v>
      </c>
      <c r="AZ763">
        <v>0</v>
      </c>
      <c r="BA763">
        <v>0</v>
      </c>
      <c r="BB763">
        <v>0</v>
      </c>
      <c r="BC763" t="s">
        <v>2974</v>
      </c>
      <c r="BD763" t="s">
        <v>4871</v>
      </c>
      <c r="BE763" t="s">
        <v>3</v>
      </c>
      <c r="BF763" t="s">
        <v>3</v>
      </c>
      <c r="BG763" t="s">
        <v>3</v>
      </c>
      <c r="BH763" t="s">
        <v>3</v>
      </c>
      <c r="BI763" t="s">
        <v>3</v>
      </c>
      <c r="BJ763" t="s">
        <v>4993</v>
      </c>
      <c r="BK763" t="s">
        <v>3</v>
      </c>
      <c r="BL763" t="s">
        <v>96</v>
      </c>
      <c r="BM763" t="s">
        <v>1</v>
      </c>
      <c r="BN763">
        <v>14800</v>
      </c>
      <c r="BO763" t="s">
        <v>1</v>
      </c>
      <c r="BP763" t="s">
        <v>1</v>
      </c>
      <c r="BQ763" t="s">
        <v>1</v>
      </c>
      <c r="BR763" t="s">
        <v>1</v>
      </c>
      <c r="BS763" t="s">
        <v>1</v>
      </c>
      <c r="BT763" t="s">
        <v>1</v>
      </c>
      <c r="BU763" t="s">
        <v>1</v>
      </c>
      <c r="BV763" t="s">
        <v>1</v>
      </c>
      <c r="BW763" t="s">
        <v>0</v>
      </c>
      <c r="BX763" t="s">
        <v>1</v>
      </c>
      <c r="BY763" t="s">
        <v>1</v>
      </c>
      <c r="BZ763" t="s">
        <v>1</v>
      </c>
      <c r="CA763" t="s">
        <v>1</v>
      </c>
      <c r="CB763" t="s">
        <v>1</v>
      </c>
      <c r="CD763" t="e" cm="1">
        <f t="array" aca="1" ref="CD763" ca="1">eConcatenar(A763:CB763,"|")</f>
        <v>#NAME?</v>
      </c>
    </row>
    <row r="764" spans="1:82" x14ac:dyDescent="0.25">
      <c r="A764" t="s">
        <v>859</v>
      </c>
      <c r="B764" t="s">
        <v>1874</v>
      </c>
      <c r="C764">
        <v>3</v>
      </c>
      <c r="D764" t="s">
        <v>2153</v>
      </c>
      <c r="E764" t="s">
        <v>2158</v>
      </c>
      <c r="F764" t="s">
        <v>2162</v>
      </c>
      <c r="G764" t="s">
        <v>2593</v>
      </c>
      <c r="H764" t="s">
        <v>2906</v>
      </c>
      <c r="I764">
        <v>14800</v>
      </c>
      <c r="J764">
        <v>0</v>
      </c>
      <c r="K764">
        <v>50</v>
      </c>
      <c r="L764">
        <v>50</v>
      </c>
      <c r="M764">
        <v>2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 t="s">
        <v>3913</v>
      </c>
      <c r="AC764" t="s">
        <v>3914</v>
      </c>
      <c r="AD764" t="s">
        <v>3915</v>
      </c>
      <c r="AE764" t="s">
        <v>4</v>
      </c>
      <c r="AF764" t="s">
        <v>1</v>
      </c>
      <c r="AG764" t="s">
        <v>1</v>
      </c>
      <c r="AH764" t="s">
        <v>4638</v>
      </c>
      <c r="AI764" t="s">
        <v>2593</v>
      </c>
      <c r="AJ764" t="s">
        <v>1</v>
      </c>
      <c r="AK764">
        <v>9331138472</v>
      </c>
      <c r="AL764" t="s">
        <v>1</v>
      </c>
      <c r="AM764" t="s">
        <v>1</v>
      </c>
      <c r="AN764" t="s">
        <v>1</v>
      </c>
      <c r="AO764" t="s">
        <v>4638</v>
      </c>
      <c r="AP764" t="s">
        <v>1</v>
      </c>
      <c r="AQ764" t="s">
        <v>2</v>
      </c>
      <c r="AR764" t="s">
        <v>1</v>
      </c>
      <c r="AS764" t="s">
        <v>1</v>
      </c>
      <c r="AT764" t="s">
        <v>1</v>
      </c>
      <c r="AU764" t="s">
        <v>1</v>
      </c>
      <c r="AV764" t="s">
        <v>1</v>
      </c>
      <c r="AW764" t="s">
        <v>9</v>
      </c>
      <c r="AX764">
        <f>Tabla1[[#This Row],[precio del paquete]]-Tabla1[[#This Row],[Saldo_Deudor]]</f>
        <v>50</v>
      </c>
      <c r="AY764">
        <v>14750</v>
      </c>
      <c r="AZ764">
        <v>0</v>
      </c>
      <c r="BA764">
        <v>0</v>
      </c>
      <c r="BB764">
        <v>0</v>
      </c>
      <c r="BC764" t="s">
        <v>2906</v>
      </c>
      <c r="BD764" t="s">
        <v>4898</v>
      </c>
      <c r="BE764" t="s">
        <v>3</v>
      </c>
      <c r="BF764" t="s">
        <v>3</v>
      </c>
      <c r="BG764" t="s">
        <v>3</v>
      </c>
      <c r="BH764" t="s">
        <v>3</v>
      </c>
      <c r="BI764" t="s">
        <v>3</v>
      </c>
      <c r="BJ764" t="s">
        <v>4984</v>
      </c>
      <c r="BK764" t="s">
        <v>3</v>
      </c>
      <c r="BL764" t="s">
        <v>96</v>
      </c>
      <c r="BM764" t="s">
        <v>1</v>
      </c>
      <c r="BN764">
        <v>14800</v>
      </c>
      <c r="BO764" t="s">
        <v>1</v>
      </c>
      <c r="BP764" t="s">
        <v>1</v>
      </c>
      <c r="BQ764" t="s">
        <v>1</v>
      </c>
      <c r="BR764" t="s">
        <v>1</v>
      </c>
      <c r="BS764" t="s">
        <v>1</v>
      </c>
      <c r="BT764" t="s">
        <v>1</v>
      </c>
      <c r="BU764" t="s">
        <v>1</v>
      </c>
      <c r="BV764" t="s">
        <v>1</v>
      </c>
      <c r="BW764" t="s">
        <v>0</v>
      </c>
      <c r="BX764" t="s">
        <v>1</v>
      </c>
      <c r="BY764" t="s">
        <v>1</v>
      </c>
      <c r="BZ764" t="s">
        <v>1</v>
      </c>
      <c r="CA764" t="s">
        <v>1</v>
      </c>
      <c r="CB764" t="s">
        <v>1</v>
      </c>
      <c r="CD764" t="e" cm="1">
        <f t="array" aca="1" ref="CD764" ca="1">eConcatenar(A764:CB764,"|")</f>
        <v>#NAME?</v>
      </c>
    </row>
    <row r="765" spans="1:82" x14ac:dyDescent="0.25">
      <c r="A765" t="s">
        <v>860</v>
      </c>
      <c r="B765" t="s">
        <v>1875</v>
      </c>
      <c r="C765">
        <v>3</v>
      </c>
      <c r="D765" t="s">
        <v>2153</v>
      </c>
      <c r="E765" t="s">
        <v>2158</v>
      </c>
      <c r="F765" t="s">
        <v>0</v>
      </c>
      <c r="G765" t="s">
        <v>1</v>
      </c>
      <c r="H765" t="s">
        <v>3018</v>
      </c>
      <c r="I765">
        <v>14800</v>
      </c>
      <c r="J765">
        <v>0</v>
      </c>
      <c r="K765">
        <v>100</v>
      </c>
      <c r="L765">
        <v>50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 t="s">
        <v>3152</v>
      </c>
      <c r="AC765" t="s">
        <v>3186</v>
      </c>
      <c r="AD765" t="s">
        <v>3916</v>
      </c>
      <c r="AE765" t="s">
        <v>4</v>
      </c>
      <c r="AF765" t="s">
        <v>1</v>
      </c>
      <c r="AG765" t="s">
        <v>1</v>
      </c>
      <c r="AH765" t="s">
        <v>4639</v>
      </c>
      <c r="AI765" t="s">
        <v>1</v>
      </c>
      <c r="AJ765" t="s">
        <v>1</v>
      </c>
      <c r="AK765">
        <v>9331193031</v>
      </c>
      <c r="AL765" t="s">
        <v>1</v>
      </c>
      <c r="AM765" t="s">
        <v>1</v>
      </c>
      <c r="AN765" t="s">
        <v>1</v>
      </c>
      <c r="AO765" t="s">
        <v>4639</v>
      </c>
      <c r="AP765" t="s">
        <v>1</v>
      </c>
      <c r="AQ765" t="s">
        <v>2</v>
      </c>
      <c r="AR765" t="s">
        <v>1</v>
      </c>
      <c r="AS765" t="s">
        <v>1</v>
      </c>
      <c r="AT765" t="s">
        <v>1</v>
      </c>
      <c r="AU765" t="s">
        <v>1</v>
      </c>
      <c r="AV765" t="s">
        <v>1</v>
      </c>
      <c r="AW765" t="s">
        <v>9</v>
      </c>
      <c r="AX765">
        <f>Tabla1[[#This Row],[precio del paquete]]-Tabla1[[#This Row],[Saldo_Deudor]]</f>
        <v>13400</v>
      </c>
      <c r="AY765">
        <v>1400</v>
      </c>
      <c r="AZ765">
        <v>0</v>
      </c>
      <c r="BA765">
        <v>0</v>
      </c>
      <c r="BB765">
        <v>0</v>
      </c>
      <c r="BC765" t="s">
        <v>4854</v>
      </c>
      <c r="BD765" t="s">
        <v>2839</v>
      </c>
      <c r="BE765" t="s">
        <v>3</v>
      </c>
      <c r="BF765" t="s">
        <v>3</v>
      </c>
      <c r="BG765" t="s">
        <v>3</v>
      </c>
      <c r="BH765" t="s">
        <v>3</v>
      </c>
      <c r="BI765" t="s">
        <v>3</v>
      </c>
      <c r="BJ765" t="s">
        <v>4998</v>
      </c>
      <c r="BK765" t="s">
        <v>3</v>
      </c>
      <c r="BL765" t="s">
        <v>96</v>
      </c>
      <c r="BM765" t="s">
        <v>1</v>
      </c>
      <c r="BN765">
        <v>14800</v>
      </c>
      <c r="BO765" t="s">
        <v>1</v>
      </c>
      <c r="BP765" t="s">
        <v>1</v>
      </c>
      <c r="BQ765" t="s">
        <v>1</v>
      </c>
      <c r="BR765" t="s">
        <v>1</v>
      </c>
      <c r="BS765" t="s">
        <v>1</v>
      </c>
      <c r="BT765" t="s">
        <v>1</v>
      </c>
      <c r="BU765" t="s">
        <v>1</v>
      </c>
      <c r="BV765" t="s">
        <v>1</v>
      </c>
      <c r="BW765" t="s">
        <v>0</v>
      </c>
      <c r="BX765" t="s">
        <v>1</v>
      </c>
      <c r="BY765" t="s">
        <v>1</v>
      </c>
      <c r="BZ765" t="s">
        <v>1</v>
      </c>
      <c r="CA765" t="s">
        <v>1</v>
      </c>
      <c r="CB765" t="s">
        <v>1</v>
      </c>
      <c r="CD765" t="e" cm="1">
        <f t="array" aca="1" ref="CD765" ca="1">eConcatenar(A765:CB765,"|")</f>
        <v>#NAME?</v>
      </c>
    </row>
    <row r="766" spans="1:82" x14ac:dyDescent="0.25">
      <c r="A766" t="s">
        <v>861</v>
      </c>
      <c r="B766" t="s">
        <v>1876</v>
      </c>
      <c r="C766">
        <v>3</v>
      </c>
      <c r="D766" t="s">
        <v>2155</v>
      </c>
      <c r="E766" t="s">
        <v>2158</v>
      </c>
      <c r="F766" t="s">
        <v>2159</v>
      </c>
      <c r="G766" t="s">
        <v>1</v>
      </c>
      <c r="H766" t="s">
        <v>2706</v>
      </c>
      <c r="I766">
        <v>12900</v>
      </c>
      <c r="J766">
        <v>0</v>
      </c>
      <c r="K766">
        <v>100</v>
      </c>
      <c r="L766">
        <v>50</v>
      </c>
      <c r="M766">
        <v>1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 t="s">
        <v>3114</v>
      </c>
      <c r="AC766" t="s">
        <v>3352</v>
      </c>
      <c r="AD766" t="s">
        <v>3917</v>
      </c>
      <c r="AE766" t="s">
        <v>4</v>
      </c>
      <c r="AF766" t="s">
        <v>1</v>
      </c>
      <c r="AG766" t="s">
        <v>1</v>
      </c>
      <c r="AH766" t="s">
        <v>1</v>
      </c>
      <c r="AI766" t="s">
        <v>1</v>
      </c>
      <c r="AJ766" t="s">
        <v>1</v>
      </c>
      <c r="AK766" t="s">
        <v>1</v>
      </c>
      <c r="AL766" t="s">
        <v>1</v>
      </c>
      <c r="AM766" t="s">
        <v>1</v>
      </c>
      <c r="AN766" t="s">
        <v>1</v>
      </c>
      <c r="AO766" t="s">
        <v>1</v>
      </c>
      <c r="AP766" t="s">
        <v>1</v>
      </c>
      <c r="AQ766" t="s">
        <v>2</v>
      </c>
      <c r="AR766" t="s">
        <v>1</v>
      </c>
      <c r="AS766" t="s">
        <v>1</v>
      </c>
      <c r="AT766" t="s">
        <v>1</v>
      </c>
      <c r="AU766" t="s">
        <v>1</v>
      </c>
      <c r="AV766" t="s">
        <v>1</v>
      </c>
      <c r="AW766" t="s">
        <v>9</v>
      </c>
      <c r="AX766">
        <f>Tabla1[[#This Row],[precio del paquete]]-Tabla1[[#This Row],[Saldo_Deudor]]</f>
        <v>10300</v>
      </c>
      <c r="AY766">
        <v>2600</v>
      </c>
      <c r="AZ766">
        <v>0</v>
      </c>
      <c r="BA766">
        <v>0</v>
      </c>
      <c r="BB766">
        <v>0</v>
      </c>
      <c r="BC766" t="s">
        <v>4826</v>
      </c>
      <c r="BD766" t="s">
        <v>2706</v>
      </c>
      <c r="BE766" t="s">
        <v>3</v>
      </c>
      <c r="BF766" t="s">
        <v>3</v>
      </c>
      <c r="BG766" t="s">
        <v>3</v>
      </c>
      <c r="BH766" t="s">
        <v>3</v>
      </c>
      <c r="BI766" t="s">
        <v>3</v>
      </c>
      <c r="BJ766" t="s">
        <v>4987</v>
      </c>
      <c r="BK766" t="s">
        <v>3</v>
      </c>
      <c r="BL766" t="s">
        <v>96</v>
      </c>
      <c r="BM766" t="s">
        <v>1</v>
      </c>
      <c r="BN766">
        <v>12900</v>
      </c>
      <c r="BO766" t="s">
        <v>1</v>
      </c>
      <c r="BP766" t="s">
        <v>1</v>
      </c>
      <c r="BQ766" t="s">
        <v>1</v>
      </c>
      <c r="BR766" t="s">
        <v>1</v>
      </c>
      <c r="BS766" t="s">
        <v>1</v>
      </c>
      <c r="BT766" t="s">
        <v>1</v>
      </c>
      <c r="BU766" t="s">
        <v>1</v>
      </c>
      <c r="BV766" t="s">
        <v>1</v>
      </c>
      <c r="BW766" t="s">
        <v>0</v>
      </c>
      <c r="BX766" t="s">
        <v>1</v>
      </c>
      <c r="BY766" t="s">
        <v>1</v>
      </c>
      <c r="BZ766" t="s">
        <v>1</v>
      </c>
      <c r="CA766" t="s">
        <v>1</v>
      </c>
      <c r="CB766" t="s">
        <v>1</v>
      </c>
      <c r="CD766" t="e" cm="1">
        <f t="array" aca="1" ref="CD766" ca="1">eConcatenar(A766:CB766,"|")</f>
        <v>#NAME?</v>
      </c>
    </row>
    <row r="767" spans="1:82" x14ac:dyDescent="0.25">
      <c r="A767" t="s">
        <v>862</v>
      </c>
      <c r="B767" t="s">
        <v>1877</v>
      </c>
      <c r="C767">
        <v>3</v>
      </c>
      <c r="D767" t="s">
        <v>2153</v>
      </c>
      <c r="E767" t="s">
        <v>2158</v>
      </c>
      <c r="F767" t="s">
        <v>2162</v>
      </c>
      <c r="G767" t="s">
        <v>2594</v>
      </c>
      <c r="H767" t="s">
        <v>2763</v>
      </c>
      <c r="I767">
        <v>14800</v>
      </c>
      <c r="J767">
        <v>0</v>
      </c>
      <c r="K767">
        <v>100</v>
      </c>
      <c r="L767">
        <v>50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 t="s">
        <v>3132</v>
      </c>
      <c r="AC767" t="s">
        <v>3630</v>
      </c>
      <c r="AD767" t="s">
        <v>3918</v>
      </c>
      <c r="AE767" t="s">
        <v>4</v>
      </c>
      <c r="AF767" t="s">
        <v>1</v>
      </c>
      <c r="AG767" t="s">
        <v>1</v>
      </c>
      <c r="AH767" t="s">
        <v>4640</v>
      </c>
      <c r="AI767" t="s">
        <v>2594</v>
      </c>
      <c r="AJ767" t="s">
        <v>1</v>
      </c>
      <c r="AK767">
        <v>9141230163</v>
      </c>
      <c r="AL767" t="s">
        <v>1</v>
      </c>
      <c r="AM767" t="s">
        <v>1</v>
      </c>
      <c r="AN767" t="s">
        <v>1</v>
      </c>
      <c r="AO767" t="s">
        <v>4640</v>
      </c>
      <c r="AP767" t="s">
        <v>1</v>
      </c>
      <c r="AQ767" t="s">
        <v>2</v>
      </c>
      <c r="AR767" t="s">
        <v>1</v>
      </c>
      <c r="AS767" t="s">
        <v>1</v>
      </c>
      <c r="AT767" t="s">
        <v>1</v>
      </c>
      <c r="AU767" t="s">
        <v>1</v>
      </c>
      <c r="AV767" t="s">
        <v>1</v>
      </c>
      <c r="AW767" t="s">
        <v>9</v>
      </c>
      <c r="AX767">
        <f>Tabla1[[#This Row],[precio del paquete]]-Tabla1[[#This Row],[Saldo_Deudor]]</f>
        <v>1100</v>
      </c>
      <c r="AY767">
        <v>13700</v>
      </c>
      <c r="AZ767">
        <v>0</v>
      </c>
      <c r="BA767">
        <v>0</v>
      </c>
      <c r="BB767">
        <v>0</v>
      </c>
      <c r="BC767" t="s">
        <v>4872</v>
      </c>
      <c r="BD767" t="s">
        <v>4960</v>
      </c>
      <c r="BE767" t="s">
        <v>3</v>
      </c>
      <c r="BF767" t="s">
        <v>3</v>
      </c>
      <c r="BG767" t="s">
        <v>3</v>
      </c>
      <c r="BH767" t="s">
        <v>3</v>
      </c>
      <c r="BI767" t="s">
        <v>3</v>
      </c>
      <c r="BJ767" t="s">
        <v>4993</v>
      </c>
      <c r="BK767" t="s">
        <v>3</v>
      </c>
      <c r="BL767" t="s">
        <v>96</v>
      </c>
      <c r="BM767" t="s">
        <v>1</v>
      </c>
      <c r="BN767">
        <v>14800</v>
      </c>
      <c r="BO767" t="s">
        <v>1</v>
      </c>
      <c r="BP767" t="s">
        <v>1</v>
      </c>
      <c r="BQ767" t="s">
        <v>1</v>
      </c>
      <c r="BR767" t="s">
        <v>1</v>
      </c>
      <c r="BS767" t="s">
        <v>1</v>
      </c>
      <c r="BT767" t="s">
        <v>1</v>
      </c>
      <c r="BU767" t="s">
        <v>1</v>
      </c>
      <c r="BV767" t="s">
        <v>1</v>
      </c>
      <c r="BW767" t="s">
        <v>0</v>
      </c>
      <c r="BX767" t="s">
        <v>1</v>
      </c>
      <c r="BY767" t="s">
        <v>1</v>
      </c>
      <c r="BZ767" t="s">
        <v>1</v>
      </c>
      <c r="CA767" t="s">
        <v>1</v>
      </c>
      <c r="CB767" t="s">
        <v>1</v>
      </c>
      <c r="CD767" t="e" cm="1">
        <f t="array" aca="1" ref="CD767" ca="1">eConcatenar(A767:CB767,"|")</f>
        <v>#NAME?</v>
      </c>
    </row>
    <row r="768" spans="1:82" x14ac:dyDescent="0.25">
      <c r="A768" t="s">
        <v>863</v>
      </c>
      <c r="B768" t="s">
        <v>1878</v>
      </c>
      <c r="C768">
        <v>3</v>
      </c>
      <c r="D768" t="s">
        <v>3105</v>
      </c>
      <c r="E768" t="s">
        <v>2158</v>
      </c>
      <c r="F768" t="s">
        <v>2162</v>
      </c>
      <c r="G768" t="s">
        <v>2595</v>
      </c>
      <c r="H768" t="s">
        <v>2763</v>
      </c>
      <c r="I768">
        <v>14800</v>
      </c>
      <c r="J768">
        <v>0</v>
      </c>
      <c r="K768">
        <v>100</v>
      </c>
      <c r="L768">
        <v>50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 t="s">
        <v>3132</v>
      </c>
      <c r="AC768" t="s">
        <v>3919</v>
      </c>
      <c r="AD768" t="s">
        <v>3920</v>
      </c>
      <c r="AE768" t="s">
        <v>4</v>
      </c>
      <c r="AF768" t="s">
        <v>1</v>
      </c>
      <c r="AG768" t="s">
        <v>1</v>
      </c>
      <c r="AH768" t="s">
        <v>2595</v>
      </c>
      <c r="AI768" t="s">
        <v>2595</v>
      </c>
      <c r="AJ768" t="s">
        <v>1</v>
      </c>
      <c r="AK768">
        <v>99334551060</v>
      </c>
      <c r="AL768" t="s">
        <v>1</v>
      </c>
      <c r="AM768" t="s">
        <v>1</v>
      </c>
      <c r="AN768" t="s">
        <v>1</v>
      </c>
      <c r="AO768" t="s">
        <v>2595</v>
      </c>
      <c r="AP768" t="s">
        <v>1</v>
      </c>
      <c r="AQ768" t="s">
        <v>2</v>
      </c>
      <c r="AR768" t="s">
        <v>1</v>
      </c>
      <c r="AS768" t="s">
        <v>1</v>
      </c>
      <c r="AT768" t="s">
        <v>1</v>
      </c>
      <c r="AU768" t="s">
        <v>1</v>
      </c>
      <c r="AV768" t="s">
        <v>1</v>
      </c>
      <c r="AW768" t="s">
        <v>9</v>
      </c>
      <c r="AX768">
        <f>Tabla1[[#This Row],[precio del paquete]]-Tabla1[[#This Row],[Saldo_Deudor]]</f>
        <v>1500</v>
      </c>
      <c r="AY768">
        <v>13300</v>
      </c>
      <c r="AZ768">
        <v>0</v>
      </c>
      <c r="BA768">
        <v>0</v>
      </c>
      <c r="BB768">
        <v>0</v>
      </c>
      <c r="BC768" t="s">
        <v>2711</v>
      </c>
      <c r="BD768" t="s">
        <v>2712</v>
      </c>
      <c r="BE768" t="s">
        <v>3</v>
      </c>
      <c r="BF768" t="s">
        <v>3</v>
      </c>
      <c r="BG768" t="s">
        <v>3</v>
      </c>
      <c r="BH768" t="s">
        <v>3</v>
      </c>
      <c r="BI768" t="s">
        <v>3</v>
      </c>
      <c r="BJ768" t="s">
        <v>4997</v>
      </c>
      <c r="BK768" t="s">
        <v>3</v>
      </c>
      <c r="BL768" t="s">
        <v>96</v>
      </c>
      <c r="BM768" t="s">
        <v>1</v>
      </c>
      <c r="BN768">
        <v>14800</v>
      </c>
      <c r="BO768" t="s">
        <v>1</v>
      </c>
      <c r="BP768" t="s">
        <v>1</v>
      </c>
      <c r="BQ768" t="s">
        <v>1</v>
      </c>
      <c r="BR768" t="s">
        <v>1</v>
      </c>
      <c r="BS768" t="s">
        <v>1</v>
      </c>
      <c r="BT768" t="s">
        <v>1</v>
      </c>
      <c r="BU768" t="s">
        <v>1</v>
      </c>
      <c r="BV768" t="s">
        <v>1</v>
      </c>
      <c r="BW768" t="s">
        <v>0</v>
      </c>
      <c r="BX768" t="s">
        <v>1</v>
      </c>
      <c r="BY768" t="s">
        <v>1</v>
      </c>
      <c r="BZ768" t="s">
        <v>1</v>
      </c>
      <c r="CA768" t="s">
        <v>1</v>
      </c>
      <c r="CB768" t="s">
        <v>1</v>
      </c>
      <c r="CD768" t="e" cm="1">
        <f t="array" aca="1" ref="CD768" ca="1">eConcatenar(A768:CB768,"|")</f>
        <v>#NAME?</v>
      </c>
    </row>
    <row r="769" spans="1:82" x14ac:dyDescent="0.25">
      <c r="A769" t="s">
        <v>864</v>
      </c>
      <c r="B769" t="s">
        <v>1879</v>
      </c>
      <c r="C769">
        <v>3</v>
      </c>
      <c r="D769" t="s">
        <v>2153</v>
      </c>
      <c r="E769" t="s">
        <v>2158</v>
      </c>
      <c r="F769" t="s">
        <v>2162</v>
      </c>
      <c r="G769" t="s">
        <v>2596</v>
      </c>
      <c r="H769" t="s">
        <v>3019</v>
      </c>
      <c r="I769">
        <v>14800</v>
      </c>
      <c r="J769">
        <v>0</v>
      </c>
      <c r="K769">
        <v>100</v>
      </c>
      <c r="L769">
        <v>50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 t="s">
        <v>3132</v>
      </c>
      <c r="AC769" t="s">
        <v>3630</v>
      </c>
      <c r="AD769" t="s">
        <v>3483</v>
      </c>
      <c r="AE769" t="s">
        <v>4</v>
      </c>
      <c r="AF769" t="s">
        <v>1</v>
      </c>
      <c r="AG769" t="s">
        <v>1</v>
      </c>
      <c r="AH769" t="s">
        <v>2595</v>
      </c>
      <c r="AI769" t="s">
        <v>2596</v>
      </c>
      <c r="AJ769" t="s">
        <v>1</v>
      </c>
      <c r="AK769">
        <v>9141066625</v>
      </c>
      <c r="AL769" t="s">
        <v>1</v>
      </c>
      <c r="AM769" t="s">
        <v>1</v>
      </c>
      <c r="AN769" t="s">
        <v>1</v>
      </c>
      <c r="AO769" t="s">
        <v>2595</v>
      </c>
      <c r="AP769" t="s">
        <v>1</v>
      </c>
      <c r="AQ769" t="s">
        <v>2</v>
      </c>
      <c r="AR769" t="s">
        <v>1</v>
      </c>
      <c r="AS769" t="s">
        <v>1</v>
      </c>
      <c r="AT769" t="s">
        <v>1</v>
      </c>
      <c r="AU769" t="s">
        <v>1</v>
      </c>
      <c r="AV769" t="s">
        <v>1</v>
      </c>
      <c r="AW769" t="s">
        <v>9</v>
      </c>
      <c r="AX769">
        <f>Tabla1[[#This Row],[precio del paquete]]-Tabla1[[#This Row],[Saldo_Deudor]]</f>
        <v>1000</v>
      </c>
      <c r="AY769">
        <v>13800</v>
      </c>
      <c r="AZ769">
        <v>0</v>
      </c>
      <c r="BA769">
        <v>0</v>
      </c>
      <c r="BB769">
        <v>0</v>
      </c>
      <c r="BC769" t="s">
        <v>2924</v>
      </c>
      <c r="BD769" t="s">
        <v>4958</v>
      </c>
      <c r="BE769" t="s">
        <v>3</v>
      </c>
      <c r="BF769" t="s">
        <v>3</v>
      </c>
      <c r="BG769" t="s">
        <v>3</v>
      </c>
      <c r="BH769" t="s">
        <v>3</v>
      </c>
      <c r="BI769" t="s">
        <v>3</v>
      </c>
      <c r="BJ769" t="s">
        <v>4997</v>
      </c>
      <c r="BK769" t="s">
        <v>3</v>
      </c>
      <c r="BL769" t="s">
        <v>96</v>
      </c>
      <c r="BM769" t="s">
        <v>1</v>
      </c>
      <c r="BN769">
        <v>14800</v>
      </c>
      <c r="BO769" t="s">
        <v>1</v>
      </c>
      <c r="BP769" t="s">
        <v>1</v>
      </c>
      <c r="BQ769" t="s">
        <v>1</v>
      </c>
      <c r="BR769" t="s">
        <v>1</v>
      </c>
      <c r="BS769" t="s">
        <v>1</v>
      </c>
      <c r="BT769" t="s">
        <v>1</v>
      </c>
      <c r="BU769" t="s">
        <v>1</v>
      </c>
      <c r="BV769" t="s">
        <v>1</v>
      </c>
      <c r="BW769" t="s">
        <v>0</v>
      </c>
      <c r="BX769" t="s">
        <v>1</v>
      </c>
      <c r="BY769" t="s">
        <v>1</v>
      </c>
      <c r="BZ769" t="s">
        <v>1</v>
      </c>
      <c r="CA769" t="s">
        <v>1</v>
      </c>
      <c r="CB769" t="s">
        <v>1</v>
      </c>
      <c r="CD769" t="e" cm="1">
        <f t="array" aca="1" ref="CD769" ca="1">eConcatenar(A769:CB769,"|")</f>
        <v>#NAME?</v>
      </c>
    </row>
    <row r="770" spans="1:82" x14ac:dyDescent="0.25">
      <c r="A770" t="s">
        <v>865</v>
      </c>
      <c r="B770" t="s">
        <v>1880</v>
      </c>
      <c r="C770">
        <v>3</v>
      </c>
      <c r="D770" t="s">
        <v>2155</v>
      </c>
      <c r="E770" t="s">
        <v>2158</v>
      </c>
      <c r="F770" t="s">
        <v>2159</v>
      </c>
      <c r="G770" t="s">
        <v>2597</v>
      </c>
      <c r="H770" t="s">
        <v>2827</v>
      </c>
      <c r="I770">
        <v>12900</v>
      </c>
      <c r="J770">
        <v>0</v>
      </c>
      <c r="K770">
        <v>100</v>
      </c>
      <c r="L770">
        <v>50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 t="s">
        <v>3155</v>
      </c>
      <c r="AC770" t="s">
        <v>3152</v>
      </c>
      <c r="AD770" t="s">
        <v>3921</v>
      </c>
      <c r="AE770" t="s">
        <v>4</v>
      </c>
      <c r="AF770" t="s">
        <v>1</v>
      </c>
      <c r="AG770" t="s">
        <v>1</v>
      </c>
      <c r="AH770" t="s">
        <v>4641</v>
      </c>
      <c r="AI770" t="s">
        <v>2597</v>
      </c>
      <c r="AJ770" t="s">
        <v>1</v>
      </c>
      <c r="AK770">
        <v>9331521231</v>
      </c>
      <c r="AL770" t="s">
        <v>1</v>
      </c>
      <c r="AM770" t="s">
        <v>1</v>
      </c>
      <c r="AN770" t="s">
        <v>1</v>
      </c>
      <c r="AO770" t="s">
        <v>4641</v>
      </c>
      <c r="AP770" t="s">
        <v>1</v>
      </c>
      <c r="AQ770" t="s">
        <v>2</v>
      </c>
      <c r="AR770" t="s">
        <v>1</v>
      </c>
      <c r="AS770" t="s">
        <v>1</v>
      </c>
      <c r="AT770" t="s">
        <v>1</v>
      </c>
      <c r="AU770" t="s">
        <v>1</v>
      </c>
      <c r="AV770" t="s">
        <v>1</v>
      </c>
      <c r="AW770" t="s">
        <v>9</v>
      </c>
      <c r="AX770">
        <f>Tabla1[[#This Row],[precio del paquete]]-Tabla1[[#This Row],[Saldo_Deudor]]</f>
        <v>2300</v>
      </c>
      <c r="AY770">
        <v>10600</v>
      </c>
      <c r="AZ770">
        <v>0</v>
      </c>
      <c r="BA770">
        <v>0</v>
      </c>
      <c r="BB770">
        <v>0</v>
      </c>
      <c r="BC770" t="s">
        <v>2704</v>
      </c>
      <c r="BD770" t="s">
        <v>2869</v>
      </c>
      <c r="BE770" t="s">
        <v>3</v>
      </c>
      <c r="BF770" t="s">
        <v>3</v>
      </c>
      <c r="BG770" t="s">
        <v>3</v>
      </c>
      <c r="BH770" t="s">
        <v>3</v>
      </c>
      <c r="BI770" t="s">
        <v>3</v>
      </c>
      <c r="BJ770" t="s">
        <v>4997</v>
      </c>
      <c r="BK770" t="s">
        <v>3</v>
      </c>
      <c r="BL770" t="s">
        <v>96</v>
      </c>
      <c r="BM770" t="s">
        <v>1</v>
      </c>
      <c r="BN770">
        <v>12900</v>
      </c>
      <c r="BO770" t="s">
        <v>1</v>
      </c>
      <c r="BP770" t="s">
        <v>1</v>
      </c>
      <c r="BQ770" t="s">
        <v>1</v>
      </c>
      <c r="BR770" t="s">
        <v>1</v>
      </c>
      <c r="BS770" t="s">
        <v>1</v>
      </c>
      <c r="BT770" t="s">
        <v>1</v>
      </c>
      <c r="BU770" t="s">
        <v>1</v>
      </c>
      <c r="BV770" t="s">
        <v>1</v>
      </c>
      <c r="BW770" t="s">
        <v>0</v>
      </c>
      <c r="BX770" t="s">
        <v>1</v>
      </c>
      <c r="BY770" t="s">
        <v>1</v>
      </c>
      <c r="BZ770" t="s">
        <v>1</v>
      </c>
      <c r="CA770" t="s">
        <v>1</v>
      </c>
      <c r="CB770" t="s">
        <v>1</v>
      </c>
      <c r="CD770" t="e" cm="1">
        <f t="array" aca="1" ref="CD770" ca="1">eConcatenar(A770:CB770,"|")</f>
        <v>#NAME?</v>
      </c>
    </row>
    <row r="771" spans="1:82" x14ac:dyDescent="0.25">
      <c r="A771" t="s">
        <v>866</v>
      </c>
      <c r="B771" t="s">
        <v>1881</v>
      </c>
      <c r="C771">
        <v>3</v>
      </c>
      <c r="D771" t="s">
        <v>2153</v>
      </c>
      <c r="E771" t="s">
        <v>2158</v>
      </c>
      <c r="F771" t="s">
        <v>0</v>
      </c>
      <c r="G771" t="s">
        <v>2598</v>
      </c>
      <c r="H771" t="s">
        <v>2912</v>
      </c>
      <c r="I771">
        <v>14800</v>
      </c>
      <c r="J771">
        <v>0</v>
      </c>
      <c r="K771">
        <v>100</v>
      </c>
      <c r="L771">
        <v>50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 t="s">
        <v>3178</v>
      </c>
      <c r="AC771" t="s">
        <v>3117</v>
      </c>
      <c r="AD771" t="s">
        <v>3922</v>
      </c>
      <c r="AE771" t="s">
        <v>4</v>
      </c>
      <c r="AF771" t="s">
        <v>1</v>
      </c>
      <c r="AG771" t="s">
        <v>1</v>
      </c>
      <c r="AH771" t="s">
        <v>2598</v>
      </c>
      <c r="AI771" t="s">
        <v>2598</v>
      </c>
      <c r="AJ771" t="s">
        <v>1</v>
      </c>
      <c r="AK771">
        <v>9371708012</v>
      </c>
      <c r="AL771" t="s">
        <v>1</v>
      </c>
      <c r="AM771" t="s">
        <v>1</v>
      </c>
      <c r="AN771" t="s">
        <v>1</v>
      </c>
      <c r="AO771" t="s">
        <v>2598</v>
      </c>
      <c r="AP771" t="s">
        <v>1</v>
      </c>
      <c r="AQ771" t="s">
        <v>2</v>
      </c>
      <c r="AR771" t="s">
        <v>1</v>
      </c>
      <c r="AS771" t="s">
        <v>1</v>
      </c>
      <c r="AT771" t="s">
        <v>1</v>
      </c>
      <c r="AU771" t="s">
        <v>1</v>
      </c>
      <c r="AV771" t="s">
        <v>1</v>
      </c>
      <c r="AW771" t="s">
        <v>9</v>
      </c>
      <c r="AX771">
        <f>Tabla1[[#This Row],[precio del paquete]]-Tabla1[[#This Row],[Saldo_Deudor]]</f>
        <v>500</v>
      </c>
      <c r="AY771">
        <v>14300</v>
      </c>
      <c r="AZ771">
        <v>0</v>
      </c>
      <c r="BA771">
        <v>0</v>
      </c>
      <c r="BB771">
        <v>0</v>
      </c>
      <c r="BC771" t="s">
        <v>2755</v>
      </c>
      <c r="BD771" t="s">
        <v>4905</v>
      </c>
      <c r="BE771" t="s">
        <v>3</v>
      </c>
      <c r="BF771" t="s">
        <v>3</v>
      </c>
      <c r="BG771" t="s">
        <v>3</v>
      </c>
      <c r="BH771" t="s">
        <v>3</v>
      </c>
      <c r="BI771" t="s">
        <v>3</v>
      </c>
      <c r="BJ771" t="s">
        <v>5002</v>
      </c>
      <c r="BK771" t="s">
        <v>3</v>
      </c>
      <c r="BL771" t="s">
        <v>96</v>
      </c>
      <c r="BM771" t="s">
        <v>1</v>
      </c>
      <c r="BN771">
        <v>14800</v>
      </c>
      <c r="BO771" t="s">
        <v>1</v>
      </c>
      <c r="BP771" t="s">
        <v>1</v>
      </c>
      <c r="BQ771" t="s">
        <v>1</v>
      </c>
      <c r="BR771" t="s">
        <v>1</v>
      </c>
      <c r="BS771" t="s">
        <v>1</v>
      </c>
      <c r="BT771" t="s">
        <v>1</v>
      </c>
      <c r="BU771" t="s">
        <v>1</v>
      </c>
      <c r="BV771" t="s">
        <v>1</v>
      </c>
      <c r="BW771" t="s">
        <v>0</v>
      </c>
      <c r="BX771" t="s">
        <v>1</v>
      </c>
      <c r="BY771" t="s">
        <v>1</v>
      </c>
      <c r="BZ771" t="s">
        <v>1</v>
      </c>
      <c r="CA771" t="s">
        <v>1</v>
      </c>
      <c r="CB771" t="s">
        <v>1</v>
      </c>
      <c r="CD771" t="e" cm="1">
        <f t="array" aca="1" ref="CD771" ca="1">eConcatenar(A771:CB771,"|")</f>
        <v>#NAME?</v>
      </c>
    </row>
    <row r="772" spans="1:82" x14ac:dyDescent="0.25">
      <c r="A772" t="s">
        <v>867</v>
      </c>
      <c r="B772" t="s">
        <v>1882</v>
      </c>
      <c r="C772">
        <v>3</v>
      </c>
      <c r="D772" t="s">
        <v>2153</v>
      </c>
      <c r="E772" t="s">
        <v>2158</v>
      </c>
      <c r="F772" t="s">
        <v>2162</v>
      </c>
      <c r="G772" t="s">
        <v>2599</v>
      </c>
      <c r="H772" t="s">
        <v>3020</v>
      </c>
      <c r="I772">
        <v>14800</v>
      </c>
      <c r="J772">
        <v>0</v>
      </c>
      <c r="K772">
        <v>200</v>
      </c>
      <c r="L772">
        <v>50</v>
      </c>
      <c r="M772">
        <v>1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 t="s">
        <v>3470</v>
      </c>
      <c r="AC772" t="s">
        <v>3276</v>
      </c>
      <c r="AD772" t="s">
        <v>3923</v>
      </c>
      <c r="AE772" t="s">
        <v>4</v>
      </c>
      <c r="AF772" t="s">
        <v>1</v>
      </c>
      <c r="AG772" t="s">
        <v>1</v>
      </c>
      <c r="AH772" t="s">
        <v>4097</v>
      </c>
      <c r="AI772" t="s">
        <v>2599</v>
      </c>
      <c r="AJ772" t="s">
        <v>1</v>
      </c>
      <c r="AK772">
        <v>9331633108</v>
      </c>
      <c r="AL772" t="s">
        <v>1</v>
      </c>
      <c r="AM772" t="s">
        <v>1</v>
      </c>
      <c r="AN772" t="s">
        <v>1</v>
      </c>
      <c r="AO772" t="s">
        <v>4097</v>
      </c>
      <c r="AP772" t="s">
        <v>1</v>
      </c>
      <c r="AQ772" t="s">
        <v>2</v>
      </c>
      <c r="AR772" t="s">
        <v>1</v>
      </c>
      <c r="AS772" t="s">
        <v>1</v>
      </c>
      <c r="AT772" t="s">
        <v>1</v>
      </c>
      <c r="AU772" t="s">
        <v>1</v>
      </c>
      <c r="AV772" t="s">
        <v>1</v>
      </c>
      <c r="AW772" t="s">
        <v>9</v>
      </c>
      <c r="AX772">
        <f>Tabla1[[#This Row],[precio del paquete]]-Tabla1[[#This Row],[Saldo_Deudor]]</f>
        <v>1500</v>
      </c>
      <c r="AY772">
        <v>13300</v>
      </c>
      <c r="AZ772">
        <v>0</v>
      </c>
      <c r="BA772">
        <v>0</v>
      </c>
      <c r="BB772">
        <v>0</v>
      </c>
      <c r="BC772" t="s">
        <v>2925</v>
      </c>
      <c r="BD772" t="s">
        <v>3078</v>
      </c>
      <c r="BE772" t="s">
        <v>3</v>
      </c>
      <c r="BF772" t="s">
        <v>3</v>
      </c>
      <c r="BG772" t="s">
        <v>3</v>
      </c>
      <c r="BH772" t="s">
        <v>3</v>
      </c>
      <c r="BI772" t="s">
        <v>3</v>
      </c>
      <c r="BJ772" t="s">
        <v>4982</v>
      </c>
      <c r="BK772" t="s">
        <v>3</v>
      </c>
      <c r="BL772" t="s">
        <v>96</v>
      </c>
      <c r="BM772" t="s">
        <v>1</v>
      </c>
      <c r="BN772">
        <v>14800</v>
      </c>
      <c r="BO772" t="s">
        <v>1</v>
      </c>
      <c r="BP772" t="s">
        <v>1</v>
      </c>
      <c r="BQ772" t="s">
        <v>1</v>
      </c>
      <c r="BR772" t="s">
        <v>1</v>
      </c>
      <c r="BS772" t="s">
        <v>1</v>
      </c>
      <c r="BT772" t="s">
        <v>1</v>
      </c>
      <c r="BU772" t="s">
        <v>1</v>
      </c>
      <c r="BV772" t="s">
        <v>1</v>
      </c>
      <c r="BW772" t="s">
        <v>0</v>
      </c>
      <c r="BX772" t="s">
        <v>1</v>
      </c>
      <c r="BY772" t="s">
        <v>1</v>
      </c>
      <c r="BZ772" t="s">
        <v>1</v>
      </c>
      <c r="CA772" t="s">
        <v>1</v>
      </c>
      <c r="CB772" t="s">
        <v>1</v>
      </c>
      <c r="CD772" t="e" cm="1">
        <f t="array" aca="1" ref="CD772" ca="1">eConcatenar(A772:CB772,"|")</f>
        <v>#NAME?</v>
      </c>
    </row>
    <row r="773" spans="1:82" x14ac:dyDescent="0.25">
      <c r="A773" t="s">
        <v>868</v>
      </c>
      <c r="B773" t="s">
        <v>1883</v>
      </c>
      <c r="C773">
        <v>3</v>
      </c>
      <c r="D773" t="s">
        <v>2153</v>
      </c>
      <c r="E773" t="s">
        <v>2158</v>
      </c>
      <c r="F773" t="s">
        <v>2159</v>
      </c>
      <c r="G773" t="s">
        <v>2599</v>
      </c>
      <c r="H773" t="s">
        <v>2982</v>
      </c>
      <c r="I773">
        <v>14800</v>
      </c>
      <c r="J773">
        <v>0</v>
      </c>
      <c r="K773">
        <v>200</v>
      </c>
      <c r="L773">
        <v>50</v>
      </c>
      <c r="M773">
        <v>1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 t="s">
        <v>3367</v>
      </c>
      <c r="AC773" t="s">
        <v>3295</v>
      </c>
      <c r="AD773" t="s">
        <v>3924</v>
      </c>
      <c r="AE773" t="s">
        <v>4</v>
      </c>
      <c r="AF773" t="s">
        <v>1</v>
      </c>
      <c r="AG773" t="s">
        <v>1</v>
      </c>
      <c r="AH773" t="s">
        <v>4642</v>
      </c>
      <c r="AI773" t="s">
        <v>2599</v>
      </c>
      <c r="AJ773" t="s">
        <v>1</v>
      </c>
      <c r="AK773">
        <v>9331544660</v>
      </c>
      <c r="AL773" t="s">
        <v>1</v>
      </c>
      <c r="AM773" t="s">
        <v>1</v>
      </c>
      <c r="AN773" t="s">
        <v>1</v>
      </c>
      <c r="AO773" t="s">
        <v>4642</v>
      </c>
      <c r="AP773" t="s">
        <v>1</v>
      </c>
      <c r="AQ773" t="s">
        <v>2</v>
      </c>
      <c r="AR773" t="s">
        <v>1</v>
      </c>
      <c r="AS773" t="s">
        <v>1</v>
      </c>
      <c r="AT773" t="s">
        <v>1</v>
      </c>
      <c r="AU773" t="s">
        <v>1</v>
      </c>
      <c r="AV773" t="s">
        <v>1</v>
      </c>
      <c r="AW773" t="s">
        <v>9</v>
      </c>
      <c r="AX773">
        <f>Tabla1[[#This Row],[precio del paquete]]-Tabla1[[#This Row],[Saldo_Deudor]]</f>
        <v>400</v>
      </c>
      <c r="AY773">
        <v>14400</v>
      </c>
      <c r="AZ773">
        <v>0</v>
      </c>
      <c r="BA773">
        <v>0</v>
      </c>
      <c r="BB773">
        <v>0</v>
      </c>
      <c r="BC773" t="s">
        <v>2925</v>
      </c>
      <c r="BD773" t="s">
        <v>3078</v>
      </c>
      <c r="BE773" t="s">
        <v>3</v>
      </c>
      <c r="BF773" t="s">
        <v>3</v>
      </c>
      <c r="BG773" t="s">
        <v>3</v>
      </c>
      <c r="BH773" t="s">
        <v>3</v>
      </c>
      <c r="BI773" t="s">
        <v>3</v>
      </c>
      <c r="BJ773" t="s">
        <v>5002</v>
      </c>
      <c r="BK773" t="s">
        <v>3</v>
      </c>
      <c r="BL773" t="s">
        <v>96</v>
      </c>
      <c r="BM773" t="s">
        <v>1</v>
      </c>
      <c r="BN773">
        <v>14800</v>
      </c>
      <c r="BO773" t="s">
        <v>1</v>
      </c>
      <c r="BP773" t="s">
        <v>1</v>
      </c>
      <c r="BQ773" t="s">
        <v>1</v>
      </c>
      <c r="BR773" t="s">
        <v>1</v>
      </c>
      <c r="BS773" t="s">
        <v>1</v>
      </c>
      <c r="BT773" t="s">
        <v>1</v>
      </c>
      <c r="BU773" t="s">
        <v>1</v>
      </c>
      <c r="BV773" t="s">
        <v>1</v>
      </c>
      <c r="BW773" t="s">
        <v>0</v>
      </c>
      <c r="BX773" t="s">
        <v>1</v>
      </c>
      <c r="BY773" t="s">
        <v>1</v>
      </c>
      <c r="BZ773" t="s">
        <v>1</v>
      </c>
      <c r="CA773" t="s">
        <v>1</v>
      </c>
      <c r="CB773" t="s">
        <v>1</v>
      </c>
      <c r="CD773" t="e" cm="1">
        <f t="array" aca="1" ref="CD773" ca="1">eConcatenar(A773:CB773,"|")</f>
        <v>#NAME?</v>
      </c>
    </row>
    <row r="774" spans="1:82" x14ac:dyDescent="0.25">
      <c r="A774" t="s">
        <v>869</v>
      </c>
      <c r="B774" t="s">
        <v>1884</v>
      </c>
      <c r="C774">
        <v>3</v>
      </c>
      <c r="D774" t="s">
        <v>2153</v>
      </c>
      <c r="E774" t="s">
        <v>2158</v>
      </c>
      <c r="F774" t="s">
        <v>2159</v>
      </c>
      <c r="G774" t="s">
        <v>2599</v>
      </c>
      <c r="H774" t="s">
        <v>2807</v>
      </c>
      <c r="I774">
        <v>14800</v>
      </c>
      <c r="J774">
        <v>0</v>
      </c>
      <c r="K774">
        <v>50</v>
      </c>
      <c r="L774">
        <v>50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 t="s">
        <v>3157</v>
      </c>
      <c r="AC774" t="s">
        <v>3236</v>
      </c>
      <c r="AD774" t="s">
        <v>3925</v>
      </c>
      <c r="AE774" t="s">
        <v>4</v>
      </c>
      <c r="AF774" t="s">
        <v>1</v>
      </c>
      <c r="AG774" t="s">
        <v>1</v>
      </c>
      <c r="AH774" t="s">
        <v>2207</v>
      </c>
      <c r="AI774" t="s">
        <v>2599</v>
      </c>
      <c r="AJ774" t="s">
        <v>1</v>
      </c>
      <c r="AK774">
        <v>9333292845</v>
      </c>
      <c r="AL774" t="s">
        <v>1</v>
      </c>
      <c r="AM774" t="s">
        <v>1</v>
      </c>
      <c r="AN774" t="s">
        <v>1</v>
      </c>
      <c r="AO774" t="s">
        <v>2207</v>
      </c>
      <c r="AP774" t="s">
        <v>1</v>
      </c>
      <c r="AQ774" t="s">
        <v>2</v>
      </c>
      <c r="AR774" t="s">
        <v>1</v>
      </c>
      <c r="AS774" t="s">
        <v>1</v>
      </c>
      <c r="AT774" t="s">
        <v>1</v>
      </c>
      <c r="AU774" t="s">
        <v>1</v>
      </c>
      <c r="AV774" t="s">
        <v>1</v>
      </c>
      <c r="AW774" t="s">
        <v>9</v>
      </c>
      <c r="AX774">
        <f>Tabla1[[#This Row],[precio del paquete]]-Tabla1[[#This Row],[Saldo_Deudor]]</f>
        <v>1250</v>
      </c>
      <c r="AY774">
        <v>13550</v>
      </c>
      <c r="AZ774">
        <v>0</v>
      </c>
      <c r="BA774">
        <v>0</v>
      </c>
      <c r="BB774">
        <v>0</v>
      </c>
      <c r="BC774" t="s">
        <v>2925</v>
      </c>
      <c r="BD774" t="s">
        <v>3078</v>
      </c>
      <c r="BE774" t="s">
        <v>3</v>
      </c>
      <c r="BF774" t="s">
        <v>3</v>
      </c>
      <c r="BG774" t="s">
        <v>3</v>
      </c>
      <c r="BH774" t="s">
        <v>3</v>
      </c>
      <c r="BI774" t="s">
        <v>3</v>
      </c>
      <c r="BJ774" t="s">
        <v>5002</v>
      </c>
      <c r="BK774" t="s">
        <v>3</v>
      </c>
      <c r="BL774" t="s">
        <v>96</v>
      </c>
      <c r="BM774" t="s">
        <v>1</v>
      </c>
      <c r="BN774">
        <v>14800</v>
      </c>
      <c r="BO774" t="s">
        <v>1</v>
      </c>
      <c r="BP774" t="s">
        <v>1</v>
      </c>
      <c r="BQ774" t="s">
        <v>1</v>
      </c>
      <c r="BR774" t="s">
        <v>1</v>
      </c>
      <c r="BS774" t="s">
        <v>1</v>
      </c>
      <c r="BT774" t="s">
        <v>1</v>
      </c>
      <c r="BU774" t="s">
        <v>1</v>
      </c>
      <c r="BV774" t="s">
        <v>1</v>
      </c>
      <c r="BW774" t="s">
        <v>0</v>
      </c>
      <c r="BX774" t="s">
        <v>1</v>
      </c>
      <c r="BY774" t="s">
        <v>1</v>
      </c>
      <c r="BZ774" t="s">
        <v>1</v>
      </c>
      <c r="CA774" t="s">
        <v>1</v>
      </c>
      <c r="CB774" t="s">
        <v>1</v>
      </c>
      <c r="CD774" t="e" cm="1">
        <f t="array" aca="1" ref="CD774" ca="1">eConcatenar(A774:CB774,"|")</f>
        <v>#NAME?</v>
      </c>
    </row>
    <row r="775" spans="1:82" x14ac:dyDescent="0.25">
      <c r="A775" t="s">
        <v>870</v>
      </c>
      <c r="B775" t="s">
        <v>1885</v>
      </c>
      <c r="C775">
        <v>3</v>
      </c>
      <c r="D775" t="s">
        <v>2153</v>
      </c>
      <c r="E775" t="s">
        <v>10</v>
      </c>
      <c r="F775" t="s">
        <v>2162</v>
      </c>
      <c r="G775" t="s">
        <v>2600</v>
      </c>
      <c r="H775" t="s">
        <v>2832</v>
      </c>
      <c r="I775">
        <v>14800</v>
      </c>
      <c r="J775">
        <v>0</v>
      </c>
      <c r="K775">
        <v>100</v>
      </c>
      <c r="L775">
        <v>50</v>
      </c>
      <c r="M775">
        <v>2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 t="s">
        <v>3157</v>
      </c>
      <c r="AC775" t="s">
        <v>3236</v>
      </c>
      <c r="AD775" t="s">
        <v>3421</v>
      </c>
      <c r="AE775" t="s">
        <v>4</v>
      </c>
      <c r="AF775" t="s">
        <v>1</v>
      </c>
      <c r="AG775" t="s">
        <v>1</v>
      </c>
      <c r="AH775" t="s">
        <v>4360</v>
      </c>
      <c r="AI775" t="s">
        <v>2600</v>
      </c>
      <c r="AJ775" t="s">
        <v>1</v>
      </c>
      <c r="AK775">
        <v>9331074015</v>
      </c>
      <c r="AL775" t="s">
        <v>1</v>
      </c>
      <c r="AM775" t="s">
        <v>1</v>
      </c>
      <c r="AN775" t="s">
        <v>1</v>
      </c>
      <c r="AO775" t="s">
        <v>4360</v>
      </c>
      <c r="AP775" t="s">
        <v>1</v>
      </c>
      <c r="AQ775" t="s">
        <v>2</v>
      </c>
      <c r="AR775" t="s">
        <v>1</v>
      </c>
      <c r="AS775" t="s">
        <v>1</v>
      </c>
      <c r="AT775" t="s">
        <v>1</v>
      </c>
      <c r="AU775" t="s">
        <v>1</v>
      </c>
      <c r="AV775" t="s">
        <v>1</v>
      </c>
      <c r="AW775" t="s">
        <v>9</v>
      </c>
      <c r="AX775">
        <f>Tabla1[[#This Row],[precio del paquete]]-Tabla1[[#This Row],[Saldo_Deudor]]</f>
        <v>1100</v>
      </c>
      <c r="AY775">
        <v>13700</v>
      </c>
      <c r="AZ775">
        <v>0</v>
      </c>
      <c r="BA775">
        <v>0</v>
      </c>
      <c r="BB775">
        <v>0</v>
      </c>
      <c r="BC775" t="s">
        <v>2714</v>
      </c>
      <c r="BD775" t="s">
        <v>2958</v>
      </c>
      <c r="BE775" t="s">
        <v>3</v>
      </c>
      <c r="BF775" t="s">
        <v>3</v>
      </c>
      <c r="BG775" t="s">
        <v>3</v>
      </c>
      <c r="BH775" t="s">
        <v>3</v>
      </c>
      <c r="BI775" t="s">
        <v>3</v>
      </c>
      <c r="BJ775" t="s">
        <v>5002</v>
      </c>
      <c r="BK775" t="s">
        <v>3</v>
      </c>
      <c r="BL775" t="s">
        <v>96</v>
      </c>
      <c r="BM775" t="s">
        <v>1</v>
      </c>
      <c r="BN775">
        <v>14800</v>
      </c>
      <c r="BO775" t="s">
        <v>1</v>
      </c>
      <c r="BP775" t="s">
        <v>1</v>
      </c>
      <c r="BQ775" t="s">
        <v>1</v>
      </c>
      <c r="BR775" t="s">
        <v>1</v>
      </c>
      <c r="BS775" t="s">
        <v>1</v>
      </c>
      <c r="BT775" t="s">
        <v>1</v>
      </c>
      <c r="BU775" t="s">
        <v>1</v>
      </c>
      <c r="BV775" t="s">
        <v>1</v>
      </c>
      <c r="BW775" t="s">
        <v>0</v>
      </c>
      <c r="BX775" t="s">
        <v>1</v>
      </c>
      <c r="BY775" t="s">
        <v>1</v>
      </c>
      <c r="BZ775" t="s">
        <v>1</v>
      </c>
      <c r="CA775" t="s">
        <v>1</v>
      </c>
      <c r="CB775" t="s">
        <v>1</v>
      </c>
      <c r="CD775" t="e" cm="1">
        <f t="array" aca="1" ref="CD775" ca="1">eConcatenar(A775:CB775,"|")</f>
        <v>#NAME?</v>
      </c>
    </row>
    <row r="776" spans="1:82" x14ac:dyDescent="0.25">
      <c r="A776" t="s">
        <v>871</v>
      </c>
      <c r="B776" t="s">
        <v>1886</v>
      </c>
      <c r="C776">
        <v>3</v>
      </c>
      <c r="D776" t="s">
        <v>2155</v>
      </c>
      <c r="E776" t="s">
        <v>2158</v>
      </c>
      <c r="F776" t="s">
        <v>2159</v>
      </c>
      <c r="G776" t="s">
        <v>2601</v>
      </c>
      <c r="H776" t="s">
        <v>3021</v>
      </c>
      <c r="I776">
        <v>12900</v>
      </c>
      <c r="J776">
        <v>0</v>
      </c>
      <c r="K776">
        <v>100</v>
      </c>
      <c r="L776">
        <v>50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 t="s">
        <v>3115</v>
      </c>
      <c r="AC776" t="s">
        <v>6</v>
      </c>
      <c r="AD776" t="s">
        <v>3926</v>
      </c>
      <c r="AE776" t="s">
        <v>4</v>
      </c>
      <c r="AF776" t="s">
        <v>1</v>
      </c>
      <c r="AG776" t="s">
        <v>1</v>
      </c>
      <c r="AH776" t="s">
        <v>4643</v>
      </c>
      <c r="AI776" t="s">
        <v>2601</v>
      </c>
      <c r="AJ776" t="s">
        <v>1</v>
      </c>
      <c r="AK776">
        <v>933103382</v>
      </c>
      <c r="AL776" t="s">
        <v>1</v>
      </c>
      <c r="AM776" t="s">
        <v>1</v>
      </c>
      <c r="AN776" t="s">
        <v>1</v>
      </c>
      <c r="AO776" t="s">
        <v>4643</v>
      </c>
      <c r="AP776" t="s">
        <v>1</v>
      </c>
      <c r="AQ776" t="s">
        <v>2</v>
      </c>
      <c r="AR776" t="s">
        <v>1</v>
      </c>
      <c r="AS776" t="s">
        <v>1</v>
      </c>
      <c r="AT776" t="s">
        <v>1</v>
      </c>
      <c r="AU776" t="s">
        <v>1</v>
      </c>
      <c r="AV776" t="s">
        <v>1</v>
      </c>
      <c r="AW776" t="s">
        <v>9</v>
      </c>
      <c r="AX776">
        <f>Tabla1[[#This Row],[precio del paquete]]-Tabla1[[#This Row],[Saldo_Deudor]]</f>
        <v>4550</v>
      </c>
      <c r="AY776">
        <v>8350</v>
      </c>
      <c r="AZ776">
        <v>0</v>
      </c>
      <c r="BA776">
        <v>0</v>
      </c>
      <c r="BB776">
        <v>0</v>
      </c>
      <c r="BC776" t="s">
        <v>2807</v>
      </c>
      <c r="BD776" t="s">
        <v>3104</v>
      </c>
      <c r="BE776" t="s">
        <v>3</v>
      </c>
      <c r="BF776" t="s">
        <v>3</v>
      </c>
      <c r="BG776" t="s">
        <v>3</v>
      </c>
      <c r="BH776" t="s">
        <v>3</v>
      </c>
      <c r="BI776" t="s">
        <v>3</v>
      </c>
      <c r="BJ776" t="s">
        <v>5002</v>
      </c>
      <c r="BK776" t="s">
        <v>3</v>
      </c>
      <c r="BL776" t="s">
        <v>96</v>
      </c>
      <c r="BM776" t="s">
        <v>1</v>
      </c>
      <c r="BN776">
        <v>12900</v>
      </c>
      <c r="BO776" t="s">
        <v>1</v>
      </c>
      <c r="BP776" t="s">
        <v>1</v>
      </c>
      <c r="BQ776" t="s">
        <v>1</v>
      </c>
      <c r="BR776" t="s">
        <v>1</v>
      </c>
      <c r="BS776" t="s">
        <v>1</v>
      </c>
      <c r="BT776" t="s">
        <v>1</v>
      </c>
      <c r="BU776" t="s">
        <v>1</v>
      </c>
      <c r="BV776" t="s">
        <v>1</v>
      </c>
      <c r="BW776" t="s">
        <v>0</v>
      </c>
      <c r="BX776" t="s">
        <v>1</v>
      </c>
      <c r="BY776" t="s">
        <v>1</v>
      </c>
      <c r="BZ776" t="s">
        <v>1</v>
      </c>
      <c r="CA776" t="s">
        <v>1</v>
      </c>
      <c r="CB776" t="s">
        <v>1</v>
      </c>
      <c r="CD776" t="e" cm="1">
        <f t="array" aca="1" ref="CD776" ca="1">eConcatenar(A776:CB776,"|")</f>
        <v>#NAME?</v>
      </c>
    </row>
    <row r="777" spans="1:82" x14ac:dyDescent="0.25">
      <c r="A777" t="s">
        <v>872</v>
      </c>
      <c r="B777" t="s">
        <v>1887</v>
      </c>
      <c r="C777">
        <v>3</v>
      </c>
      <c r="D777" t="s">
        <v>2155</v>
      </c>
      <c r="E777" t="s">
        <v>2158</v>
      </c>
      <c r="F777" t="s">
        <v>2159</v>
      </c>
      <c r="G777" t="s">
        <v>2601</v>
      </c>
      <c r="H777" t="s">
        <v>3021</v>
      </c>
      <c r="I777">
        <v>12900</v>
      </c>
      <c r="J777">
        <v>0</v>
      </c>
      <c r="K777">
        <v>100</v>
      </c>
      <c r="L777">
        <v>50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 t="s">
        <v>6</v>
      </c>
      <c r="AC777" t="s">
        <v>3927</v>
      </c>
      <c r="AD777" t="s">
        <v>3250</v>
      </c>
      <c r="AE777" t="s">
        <v>4</v>
      </c>
      <c r="AF777" t="s">
        <v>1</v>
      </c>
      <c r="AG777" t="s">
        <v>1</v>
      </c>
      <c r="AH777" t="s">
        <v>4643</v>
      </c>
      <c r="AI777" t="s">
        <v>2601</v>
      </c>
      <c r="AJ777" t="s">
        <v>1</v>
      </c>
      <c r="AK777">
        <v>9331033802</v>
      </c>
      <c r="AL777" t="s">
        <v>1</v>
      </c>
      <c r="AM777" t="s">
        <v>1</v>
      </c>
      <c r="AN777" t="s">
        <v>1</v>
      </c>
      <c r="AO777" t="s">
        <v>4643</v>
      </c>
      <c r="AP777" t="s">
        <v>1</v>
      </c>
      <c r="AQ777" t="s">
        <v>2</v>
      </c>
      <c r="AR777" t="s">
        <v>1</v>
      </c>
      <c r="AS777" t="s">
        <v>1</v>
      </c>
      <c r="AT777" t="s">
        <v>1</v>
      </c>
      <c r="AU777" t="s">
        <v>1</v>
      </c>
      <c r="AV777" t="s">
        <v>1</v>
      </c>
      <c r="AW777" t="s">
        <v>9</v>
      </c>
      <c r="AX777">
        <f>Tabla1[[#This Row],[precio del paquete]]-Tabla1[[#This Row],[Saldo_Deudor]]</f>
        <v>4200</v>
      </c>
      <c r="AY777">
        <v>8700</v>
      </c>
      <c r="AZ777">
        <v>0</v>
      </c>
      <c r="BA777">
        <v>0</v>
      </c>
      <c r="BB777">
        <v>0</v>
      </c>
      <c r="BC777" t="s">
        <v>2701</v>
      </c>
      <c r="BD777" t="s">
        <v>4961</v>
      </c>
      <c r="BE777" t="s">
        <v>3</v>
      </c>
      <c r="BF777" t="s">
        <v>3</v>
      </c>
      <c r="BG777" t="s">
        <v>3</v>
      </c>
      <c r="BH777" t="s">
        <v>3</v>
      </c>
      <c r="BI777" t="s">
        <v>3</v>
      </c>
      <c r="BJ777" t="s">
        <v>5002</v>
      </c>
      <c r="BK777" t="s">
        <v>3</v>
      </c>
      <c r="BL777" t="s">
        <v>96</v>
      </c>
      <c r="BM777" t="s">
        <v>1</v>
      </c>
      <c r="BN777">
        <v>12900</v>
      </c>
      <c r="BO777" t="s">
        <v>1</v>
      </c>
      <c r="BP777" t="s">
        <v>1</v>
      </c>
      <c r="BQ777" t="s">
        <v>1</v>
      </c>
      <c r="BR777" t="s">
        <v>1</v>
      </c>
      <c r="BS777" t="s">
        <v>1</v>
      </c>
      <c r="BT777" t="s">
        <v>1</v>
      </c>
      <c r="BU777" t="s">
        <v>1</v>
      </c>
      <c r="BV777" t="s">
        <v>1</v>
      </c>
      <c r="BW777" t="s">
        <v>0</v>
      </c>
      <c r="BX777" t="s">
        <v>1</v>
      </c>
      <c r="BY777" t="s">
        <v>1</v>
      </c>
      <c r="BZ777" t="s">
        <v>1</v>
      </c>
      <c r="CA777" t="s">
        <v>1</v>
      </c>
      <c r="CB777" t="s">
        <v>1</v>
      </c>
      <c r="CD777" t="e" cm="1">
        <f t="array" aca="1" ref="CD777" ca="1">eConcatenar(A777:CB777,"|")</f>
        <v>#NAME?</v>
      </c>
    </row>
    <row r="778" spans="1:82" x14ac:dyDescent="0.25">
      <c r="A778" t="s">
        <v>873</v>
      </c>
      <c r="B778" t="s">
        <v>1888</v>
      </c>
      <c r="C778">
        <v>3</v>
      </c>
      <c r="D778" t="s">
        <v>2153</v>
      </c>
      <c r="E778" t="s">
        <v>10</v>
      </c>
      <c r="F778" t="s">
        <v>94</v>
      </c>
      <c r="G778" t="s">
        <v>2602</v>
      </c>
      <c r="H778" t="s">
        <v>2730</v>
      </c>
      <c r="I778">
        <v>14800</v>
      </c>
      <c r="J778">
        <v>0</v>
      </c>
      <c r="K778">
        <v>100</v>
      </c>
      <c r="L778">
        <v>50</v>
      </c>
      <c r="M778">
        <v>2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 t="s">
        <v>3152</v>
      </c>
      <c r="AC778" t="s">
        <v>3132</v>
      </c>
      <c r="AD778" t="s">
        <v>3928</v>
      </c>
      <c r="AE778" t="s">
        <v>4</v>
      </c>
      <c r="AF778" t="s">
        <v>1</v>
      </c>
      <c r="AG778" t="s">
        <v>1</v>
      </c>
      <c r="AH778" t="s">
        <v>4644</v>
      </c>
      <c r="AI778" t="s">
        <v>2602</v>
      </c>
      <c r="AJ778" t="s">
        <v>1</v>
      </c>
      <c r="AK778">
        <v>9332081521</v>
      </c>
      <c r="AL778" t="s">
        <v>1</v>
      </c>
      <c r="AM778" t="s">
        <v>1</v>
      </c>
      <c r="AN778" t="s">
        <v>1</v>
      </c>
      <c r="AO778" t="s">
        <v>4644</v>
      </c>
      <c r="AP778" t="s">
        <v>1</v>
      </c>
      <c r="AQ778" t="s">
        <v>2</v>
      </c>
      <c r="AR778" t="s">
        <v>1</v>
      </c>
      <c r="AS778" t="s">
        <v>1</v>
      </c>
      <c r="AT778" t="s">
        <v>1</v>
      </c>
      <c r="AU778" t="s">
        <v>1</v>
      </c>
      <c r="AV778" t="s">
        <v>1</v>
      </c>
      <c r="AW778" t="s">
        <v>9</v>
      </c>
      <c r="AX778">
        <f>Tabla1[[#This Row],[precio del paquete]]-Tabla1[[#This Row],[Saldo_Deudor]]</f>
        <v>900</v>
      </c>
      <c r="AY778">
        <v>13900</v>
      </c>
      <c r="AZ778">
        <v>0</v>
      </c>
      <c r="BA778">
        <v>0</v>
      </c>
      <c r="BB778">
        <v>0</v>
      </c>
      <c r="BC778" t="s">
        <v>2803</v>
      </c>
      <c r="BD778" t="s">
        <v>4922</v>
      </c>
      <c r="BE778" t="s">
        <v>3</v>
      </c>
      <c r="BF778" t="s">
        <v>3</v>
      </c>
      <c r="BG778" t="s">
        <v>3</v>
      </c>
      <c r="BH778" t="s">
        <v>3</v>
      </c>
      <c r="BI778" t="s">
        <v>3</v>
      </c>
      <c r="BJ778" t="s">
        <v>5002</v>
      </c>
      <c r="BK778" t="s">
        <v>3</v>
      </c>
      <c r="BL778" t="s">
        <v>96</v>
      </c>
      <c r="BM778" t="s">
        <v>1</v>
      </c>
      <c r="BN778">
        <v>14800</v>
      </c>
      <c r="BO778" t="s">
        <v>1</v>
      </c>
      <c r="BP778" t="s">
        <v>1</v>
      </c>
      <c r="BQ778" t="s">
        <v>1</v>
      </c>
      <c r="BR778" t="s">
        <v>1</v>
      </c>
      <c r="BS778" t="s">
        <v>1</v>
      </c>
      <c r="BT778" t="s">
        <v>1</v>
      </c>
      <c r="BU778" t="s">
        <v>1</v>
      </c>
      <c r="BV778" t="s">
        <v>1</v>
      </c>
      <c r="BW778" t="s">
        <v>0</v>
      </c>
      <c r="BX778" t="s">
        <v>1</v>
      </c>
      <c r="BY778" t="s">
        <v>1</v>
      </c>
      <c r="BZ778" t="s">
        <v>1</v>
      </c>
      <c r="CA778" t="s">
        <v>1</v>
      </c>
      <c r="CB778" t="s">
        <v>1</v>
      </c>
      <c r="CD778" t="e" cm="1">
        <f t="array" aca="1" ref="CD778" ca="1">eConcatenar(A778:CB778,"|")</f>
        <v>#NAME?</v>
      </c>
    </row>
    <row r="779" spans="1:82" x14ac:dyDescent="0.25">
      <c r="A779" t="s">
        <v>874</v>
      </c>
      <c r="B779" t="s">
        <v>1889</v>
      </c>
      <c r="C779">
        <v>3</v>
      </c>
      <c r="D779" t="s">
        <v>2153</v>
      </c>
      <c r="E779" t="s">
        <v>2158</v>
      </c>
      <c r="F779" t="s">
        <v>2159</v>
      </c>
      <c r="G779" t="s">
        <v>2603</v>
      </c>
      <c r="H779" t="s">
        <v>2906</v>
      </c>
      <c r="I779">
        <v>14800</v>
      </c>
      <c r="J779">
        <v>0</v>
      </c>
      <c r="K779">
        <v>100</v>
      </c>
      <c r="L779">
        <v>50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 t="s">
        <v>3132</v>
      </c>
      <c r="AC779" t="s">
        <v>3122</v>
      </c>
      <c r="AD779" t="s">
        <v>3625</v>
      </c>
      <c r="AE779" t="s">
        <v>4</v>
      </c>
      <c r="AF779" t="s">
        <v>1</v>
      </c>
      <c r="AG779" t="s">
        <v>1</v>
      </c>
      <c r="AH779" t="s">
        <v>4392</v>
      </c>
      <c r="AI779" t="s">
        <v>2603</v>
      </c>
      <c r="AJ779" t="s">
        <v>1</v>
      </c>
      <c r="AK779" t="s">
        <v>1</v>
      </c>
      <c r="AL779" t="s">
        <v>1</v>
      </c>
      <c r="AM779" t="s">
        <v>1</v>
      </c>
      <c r="AN779" t="s">
        <v>1</v>
      </c>
      <c r="AO779" t="s">
        <v>4392</v>
      </c>
      <c r="AP779" t="s">
        <v>1</v>
      </c>
      <c r="AQ779" t="s">
        <v>2</v>
      </c>
      <c r="AR779" t="s">
        <v>1</v>
      </c>
      <c r="AS779" t="s">
        <v>1</v>
      </c>
      <c r="AT779" t="s">
        <v>1</v>
      </c>
      <c r="AU779" t="s">
        <v>1</v>
      </c>
      <c r="AV779" t="s">
        <v>1</v>
      </c>
      <c r="AW779" t="s">
        <v>9</v>
      </c>
      <c r="AX779">
        <f>Tabla1[[#This Row],[precio del paquete]]-Tabla1[[#This Row],[Saldo_Deudor]]</f>
        <v>100</v>
      </c>
      <c r="AY779">
        <v>14700</v>
      </c>
      <c r="AZ779">
        <v>0</v>
      </c>
      <c r="BA779">
        <v>0</v>
      </c>
      <c r="BB779">
        <v>0</v>
      </c>
      <c r="BC779" t="s">
        <v>4847</v>
      </c>
      <c r="BD779" t="s">
        <v>4826</v>
      </c>
      <c r="BE779" t="s">
        <v>3</v>
      </c>
      <c r="BF779" t="s">
        <v>3</v>
      </c>
      <c r="BG779" t="s">
        <v>3</v>
      </c>
      <c r="BH779" t="s">
        <v>3</v>
      </c>
      <c r="BI779" t="s">
        <v>3</v>
      </c>
      <c r="BJ779" t="s">
        <v>5002</v>
      </c>
      <c r="BK779" t="s">
        <v>3</v>
      </c>
      <c r="BL779" t="s">
        <v>96</v>
      </c>
      <c r="BM779" t="s">
        <v>1</v>
      </c>
      <c r="BN779">
        <v>14800</v>
      </c>
      <c r="BO779" t="s">
        <v>1</v>
      </c>
      <c r="BP779" t="s">
        <v>1</v>
      </c>
      <c r="BQ779" t="s">
        <v>1</v>
      </c>
      <c r="BR779" t="s">
        <v>1</v>
      </c>
      <c r="BS779" t="s">
        <v>1</v>
      </c>
      <c r="BT779" t="s">
        <v>1</v>
      </c>
      <c r="BU779" t="s">
        <v>1</v>
      </c>
      <c r="BV779" t="s">
        <v>1</v>
      </c>
      <c r="BW779" t="s">
        <v>0</v>
      </c>
      <c r="BX779" t="s">
        <v>1</v>
      </c>
      <c r="BY779" t="s">
        <v>1</v>
      </c>
      <c r="BZ779" t="s">
        <v>1</v>
      </c>
      <c r="CA779" t="s">
        <v>1</v>
      </c>
      <c r="CB779" t="s">
        <v>1</v>
      </c>
      <c r="CD779" t="e" cm="1">
        <f t="array" aca="1" ref="CD779" ca="1">eConcatenar(A779:CB779,"|")</f>
        <v>#NAME?</v>
      </c>
    </row>
    <row r="780" spans="1:82" x14ac:dyDescent="0.25">
      <c r="A780" t="s">
        <v>875</v>
      </c>
      <c r="B780" t="s">
        <v>1890</v>
      </c>
      <c r="C780">
        <v>3</v>
      </c>
      <c r="D780" t="s">
        <v>2153</v>
      </c>
      <c r="E780" t="s">
        <v>10</v>
      </c>
      <c r="F780" t="s">
        <v>2162</v>
      </c>
      <c r="G780" t="s">
        <v>2604</v>
      </c>
      <c r="H780" t="s">
        <v>3022</v>
      </c>
      <c r="I780">
        <v>14800</v>
      </c>
      <c r="J780">
        <v>0</v>
      </c>
      <c r="K780">
        <v>200</v>
      </c>
      <c r="L780">
        <v>50</v>
      </c>
      <c r="M780">
        <v>2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 t="s">
        <v>3119</v>
      </c>
      <c r="AC780" t="s">
        <v>3399</v>
      </c>
      <c r="AD780" t="s">
        <v>3413</v>
      </c>
      <c r="AE780" t="s">
        <v>4</v>
      </c>
      <c r="AF780" t="s">
        <v>1</v>
      </c>
      <c r="AG780" t="s">
        <v>1</v>
      </c>
      <c r="AH780" t="s">
        <v>4644</v>
      </c>
      <c r="AI780" t="s">
        <v>2604</v>
      </c>
      <c r="AJ780" t="s">
        <v>1</v>
      </c>
      <c r="AK780">
        <v>9332090476</v>
      </c>
      <c r="AL780" t="s">
        <v>1</v>
      </c>
      <c r="AM780" t="s">
        <v>1</v>
      </c>
      <c r="AN780" t="s">
        <v>1</v>
      </c>
      <c r="AO780" t="s">
        <v>4644</v>
      </c>
      <c r="AP780" t="s">
        <v>1</v>
      </c>
      <c r="AQ780" t="s">
        <v>2</v>
      </c>
      <c r="AR780" t="s">
        <v>1</v>
      </c>
      <c r="AS780" t="s">
        <v>1</v>
      </c>
      <c r="AT780" t="s">
        <v>1</v>
      </c>
      <c r="AU780" t="s">
        <v>1</v>
      </c>
      <c r="AV780" t="s">
        <v>1</v>
      </c>
      <c r="AW780" t="s">
        <v>9</v>
      </c>
      <c r="AX780">
        <f>Tabla1[[#This Row],[precio del paquete]]-Tabla1[[#This Row],[Saldo_Deudor]]</f>
        <v>500</v>
      </c>
      <c r="AY780">
        <v>14300</v>
      </c>
      <c r="AZ780">
        <v>0</v>
      </c>
      <c r="BA780">
        <v>0</v>
      </c>
      <c r="BB780">
        <v>0</v>
      </c>
      <c r="BC780" t="s">
        <v>3036</v>
      </c>
      <c r="BD780" t="s">
        <v>3095</v>
      </c>
      <c r="BE780" t="s">
        <v>3</v>
      </c>
      <c r="BF780" t="s">
        <v>3</v>
      </c>
      <c r="BG780" t="s">
        <v>3</v>
      </c>
      <c r="BH780" t="s">
        <v>3</v>
      </c>
      <c r="BI780" t="s">
        <v>3</v>
      </c>
      <c r="BJ780" t="s">
        <v>5002</v>
      </c>
      <c r="BK780" t="s">
        <v>3</v>
      </c>
      <c r="BL780" t="s">
        <v>96</v>
      </c>
      <c r="BM780" t="s">
        <v>1</v>
      </c>
      <c r="BN780">
        <v>14800</v>
      </c>
      <c r="BO780" t="s">
        <v>1</v>
      </c>
      <c r="BP780" t="s">
        <v>1</v>
      </c>
      <c r="BQ780" t="s">
        <v>1</v>
      </c>
      <c r="BR780" t="s">
        <v>1</v>
      </c>
      <c r="BS780" t="s">
        <v>1</v>
      </c>
      <c r="BT780" t="s">
        <v>1</v>
      </c>
      <c r="BU780" t="s">
        <v>1</v>
      </c>
      <c r="BV780" t="s">
        <v>1</v>
      </c>
      <c r="BW780" t="s">
        <v>0</v>
      </c>
      <c r="BX780" t="s">
        <v>1</v>
      </c>
      <c r="BY780" t="s">
        <v>1</v>
      </c>
      <c r="BZ780" t="s">
        <v>1</v>
      </c>
      <c r="CA780" t="s">
        <v>1</v>
      </c>
      <c r="CB780" t="s">
        <v>1</v>
      </c>
      <c r="CD780" t="e" cm="1">
        <f t="array" aca="1" ref="CD780" ca="1">eConcatenar(A780:CB780,"|")</f>
        <v>#NAME?</v>
      </c>
    </row>
    <row r="781" spans="1:82" x14ac:dyDescent="0.25">
      <c r="A781" t="s">
        <v>876</v>
      </c>
      <c r="B781" t="s">
        <v>1891</v>
      </c>
      <c r="C781">
        <v>3</v>
      </c>
      <c r="D781" t="s">
        <v>2153</v>
      </c>
      <c r="E781" t="s">
        <v>2158</v>
      </c>
      <c r="F781" t="s">
        <v>2159</v>
      </c>
      <c r="G781" t="s">
        <v>2605</v>
      </c>
      <c r="H781" t="s">
        <v>3023</v>
      </c>
      <c r="I781">
        <v>14800</v>
      </c>
      <c r="J781">
        <v>0</v>
      </c>
      <c r="K781">
        <v>200</v>
      </c>
      <c r="L781">
        <v>50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 t="s">
        <v>3240</v>
      </c>
      <c r="AC781" t="s">
        <v>3225</v>
      </c>
      <c r="AD781" t="s">
        <v>3190</v>
      </c>
      <c r="AE781" t="s">
        <v>4</v>
      </c>
      <c r="AF781" t="s">
        <v>1</v>
      </c>
      <c r="AG781" t="s">
        <v>1</v>
      </c>
      <c r="AH781" t="s">
        <v>4252</v>
      </c>
      <c r="AI781" t="s">
        <v>2605</v>
      </c>
      <c r="AJ781" t="s">
        <v>1</v>
      </c>
      <c r="AK781">
        <v>9331074144</v>
      </c>
      <c r="AL781" t="s">
        <v>1</v>
      </c>
      <c r="AM781" t="s">
        <v>1</v>
      </c>
      <c r="AN781" t="s">
        <v>1</v>
      </c>
      <c r="AO781" t="s">
        <v>4252</v>
      </c>
      <c r="AP781" t="s">
        <v>1</v>
      </c>
      <c r="AQ781" t="s">
        <v>2</v>
      </c>
      <c r="AR781" t="s">
        <v>1</v>
      </c>
      <c r="AS781" t="s">
        <v>1</v>
      </c>
      <c r="AT781" t="s">
        <v>1</v>
      </c>
      <c r="AU781" t="s">
        <v>1</v>
      </c>
      <c r="AV781" t="s">
        <v>1</v>
      </c>
      <c r="AW781" t="s">
        <v>9</v>
      </c>
      <c r="AX781">
        <f>Tabla1[[#This Row],[precio del paquete]]-Tabla1[[#This Row],[Saldo_Deudor]]</f>
        <v>1600</v>
      </c>
      <c r="AY781">
        <v>13200</v>
      </c>
      <c r="AZ781">
        <v>0</v>
      </c>
      <c r="BA781">
        <v>0</v>
      </c>
      <c r="BB781">
        <v>0</v>
      </c>
      <c r="BC781" t="s">
        <v>4826</v>
      </c>
      <c r="BD781" t="s">
        <v>2706</v>
      </c>
      <c r="BE781" t="s">
        <v>3</v>
      </c>
      <c r="BF781" t="s">
        <v>3</v>
      </c>
      <c r="BG781" t="s">
        <v>3</v>
      </c>
      <c r="BH781" t="s">
        <v>3</v>
      </c>
      <c r="BI781" t="s">
        <v>3</v>
      </c>
      <c r="BJ781" t="s">
        <v>5002</v>
      </c>
      <c r="BK781" t="s">
        <v>3</v>
      </c>
      <c r="BL781" t="s">
        <v>96</v>
      </c>
      <c r="BM781" t="s">
        <v>1</v>
      </c>
      <c r="BN781">
        <v>14800</v>
      </c>
      <c r="BO781" t="s">
        <v>1</v>
      </c>
      <c r="BP781" t="s">
        <v>1</v>
      </c>
      <c r="BQ781" t="s">
        <v>1</v>
      </c>
      <c r="BR781" t="s">
        <v>1</v>
      </c>
      <c r="BS781" t="s">
        <v>1</v>
      </c>
      <c r="BT781" t="s">
        <v>1</v>
      </c>
      <c r="BU781" t="s">
        <v>1</v>
      </c>
      <c r="BV781" t="s">
        <v>1</v>
      </c>
      <c r="BW781" t="s">
        <v>0</v>
      </c>
      <c r="BX781" t="s">
        <v>1</v>
      </c>
      <c r="BY781" t="s">
        <v>1</v>
      </c>
      <c r="BZ781" t="s">
        <v>1</v>
      </c>
      <c r="CA781" t="s">
        <v>1</v>
      </c>
      <c r="CB781" t="s">
        <v>1</v>
      </c>
      <c r="CD781" t="e" cm="1">
        <f t="array" aca="1" ref="CD781" ca="1">eConcatenar(A781:CB781,"|")</f>
        <v>#NAME?</v>
      </c>
    </row>
    <row r="782" spans="1:82" x14ac:dyDescent="0.25">
      <c r="A782" t="s">
        <v>877</v>
      </c>
      <c r="B782" t="s">
        <v>1894</v>
      </c>
      <c r="C782">
        <v>3</v>
      </c>
      <c r="D782" t="s">
        <v>3107</v>
      </c>
      <c r="E782" t="s">
        <v>2158</v>
      </c>
      <c r="F782" t="s">
        <v>2159</v>
      </c>
      <c r="G782" t="s">
        <v>2469</v>
      </c>
      <c r="H782" t="s">
        <v>2941</v>
      </c>
      <c r="I782">
        <v>35000</v>
      </c>
      <c r="J782">
        <v>0</v>
      </c>
      <c r="K782">
        <v>500</v>
      </c>
      <c r="L782">
        <v>50</v>
      </c>
      <c r="M782">
        <v>2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 t="s">
        <v>3117</v>
      </c>
      <c r="AC782" t="s">
        <v>3143</v>
      </c>
      <c r="AD782" t="s">
        <v>3734</v>
      </c>
      <c r="AE782" t="s">
        <v>4</v>
      </c>
      <c r="AF782" t="s">
        <v>1</v>
      </c>
      <c r="AG782" t="s">
        <v>1</v>
      </c>
      <c r="AH782" t="s">
        <v>4645</v>
      </c>
      <c r="AI782" t="s">
        <v>2469</v>
      </c>
      <c r="AJ782" t="s">
        <v>1</v>
      </c>
      <c r="AK782">
        <v>9331189805</v>
      </c>
      <c r="AL782" t="s">
        <v>1</v>
      </c>
      <c r="AM782" t="s">
        <v>1</v>
      </c>
      <c r="AN782" t="s">
        <v>1</v>
      </c>
      <c r="AO782" t="s">
        <v>4645</v>
      </c>
      <c r="AP782" t="s">
        <v>1</v>
      </c>
      <c r="AQ782" t="s">
        <v>2</v>
      </c>
      <c r="AR782" t="s">
        <v>1</v>
      </c>
      <c r="AS782" t="s">
        <v>1</v>
      </c>
      <c r="AT782" t="s">
        <v>1</v>
      </c>
      <c r="AU782" t="s">
        <v>1</v>
      </c>
      <c r="AV782" t="s">
        <v>1</v>
      </c>
      <c r="AW782" t="s">
        <v>9</v>
      </c>
      <c r="AX782">
        <f>Tabla1[[#This Row],[precio del paquete]]-Tabla1[[#This Row],[Saldo_Deudor]]</f>
        <v>3000</v>
      </c>
      <c r="AY782">
        <v>32000</v>
      </c>
      <c r="AZ782">
        <v>0</v>
      </c>
      <c r="BA782">
        <v>0</v>
      </c>
      <c r="BB782">
        <v>0</v>
      </c>
      <c r="BC782" t="s">
        <v>4834</v>
      </c>
      <c r="BD782" t="s">
        <v>4915</v>
      </c>
      <c r="BE782" t="s">
        <v>3</v>
      </c>
      <c r="BF782" t="s">
        <v>3</v>
      </c>
      <c r="BG782" t="s">
        <v>3</v>
      </c>
      <c r="BH782" t="s">
        <v>3</v>
      </c>
      <c r="BI782" t="s">
        <v>3</v>
      </c>
      <c r="BJ782" t="s">
        <v>4997</v>
      </c>
      <c r="BK782" t="s">
        <v>3</v>
      </c>
      <c r="BL782" t="s">
        <v>96</v>
      </c>
      <c r="BM782" t="s">
        <v>1</v>
      </c>
      <c r="BN782">
        <v>35000</v>
      </c>
      <c r="BO782" t="s">
        <v>1</v>
      </c>
      <c r="BP782" t="s">
        <v>1</v>
      </c>
      <c r="BQ782" t="s">
        <v>1</v>
      </c>
      <c r="BR782" t="s">
        <v>1</v>
      </c>
      <c r="BS782" t="s">
        <v>1</v>
      </c>
      <c r="BT782" t="s">
        <v>1</v>
      </c>
      <c r="BU782" t="s">
        <v>1</v>
      </c>
      <c r="BV782" t="s">
        <v>1</v>
      </c>
      <c r="BW782" t="s">
        <v>0</v>
      </c>
      <c r="BX782" t="s">
        <v>1</v>
      </c>
      <c r="BY782" t="s">
        <v>1</v>
      </c>
      <c r="BZ782" t="s">
        <v>1</v>
      </c>
      <c r="CA782" t="s">
        <v>1</v>
      </c>
      <c r="CB782" t="s">
        <v>1</v>
      </c>
      <c r="CD782" t="e" cm="1">
        <f t="array" aca="1" ref="CD782" ca="1">eConcatenar(A782:CB782,"|")</f>
        <v>#NAME?</v>
      </c>
    </row>
    <row r="783" spans="1:82" x14ac:dyDescent="0.25">
      <c r="A783" t="s">
        <v>878</v>
      </c>
      <c r="B783" t="s">
        <v>1895</v>
      </c>
      <c r="C783">
        <v>3</v>
      </c>
      <c r="D783" t="s">
        <v>2157</v>
      </c>
      <c r="E783" t="s">
        <v>2158</v>
      </c>
      <c r="F783" t="s">
        <v>2162</v>
      </c>
      <c r="G783" t="s">
        <v>2607</v>
      </c>
      <c r="H783" t="s">
        <v>2751</v>
      </c>
      <c r="I783">
        <v>12900</v>
      </c>
      <c r="J783">
        <v>0</v>
      </c>
      <c r="K783">
        <v>100</v>
      </c>
      <c r="L783">
        <v>50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 t="s">
        <v>3137</v>
      </c>
      <c r="AC783" t="s">
        <v>3203</v>
      </c>
      <c r="AD783" t="s">
        <v>3692</v>
      </c>
      <c r="AE783" t="s">
        <v>4</v>
      </c>
      <c r="AF783" t="s">
        <v>1</v>
      </c>
      <c r="AG783" t="s">
        <v>1</v>
      </c>
      <c r="AH783" t="s">
        <v>4646</v>
      </c>
      <c r="AI783" t="s">
        <v>2607</v>
      </c>
      <c r="AJ783" t="s">
        <v>1</v>
      </c>
      <c r="AK783" t="s">
        <v>1</v>
      </c>
      <c r="AL783" t="s">
        <v>1</v>
      </c>
      <c r="AM783" t="s">
        <v>1</v>
      </c>
      <c r="AN783" t="s">
        <v>1</v>
      </c>
      <c r="AO783" t="s">
        <v>4646</v>
      </c>
      <c r="AP783" t="s">
        <v>1</v>
      </c>
      <c r="AQ783" t="s">
        <v>2</v>
      </c>
      <c r="AR783" t="s">
        <v>1</v>
      </c>
      <c r="AS783" t="s">
        <v>1</v>
      </c>
      <c r="AT783" t="s">
        <v>1</v>
      </c>
      <c r="AU783" t="s">
        <v>1</v>
      </c>
      <c r="AV783" t="s">
        <v>1</v>
      </c>
      <c r="AW783" t="s">
        <v>9</v>
      </c>
      <c r="AX783">
        <f>Tabla1[[#This Row],[precio del paquete]]-Tabla1[[#This Row],[Saldo_Deudor]]</f>
        <v>7200</v>
      </c>
      <c r="AY783">
        <v>5700</v>
      </c>
      <c r="AZ783">
        <v>0</v>
      </c>
      <c r="BA783">
        <v>0</v>
      </c>
      <c r="BB783">
        <v>0</v>
      </c>
      <c r="BC783" t="s">
        <v>2724</v>
      </c>
      <c r="BD783" t="s">
        <v>2837</v>
      </c>
      <c r="BE783" t="s">
        <v>3</v>
      </c>
      <c r="BF783" t="s">
        <v>3</v>
      </c>
      <c r="BG783" t="s">
        <v>3</v>
      </c>
      <c r="BH783" t="s">
        <v>3</v>
      </c>
      <c r="BI783" t="s">
        <v>3</v>
      </c>
      <c r="BJ783" t="s">
        <v>4998</v>
      </c>
      <c r="BK783" t="s">
        <v>3</v>
      </c>
      <c r="BL783" t="s">
        <v>96</v>
      </c>
      <c r="BM783" t="s">
        <v>1</v>
      </c>
      <c r="BN783">
        <v>12900</v>
      </c>
      <c r="BO783" t="s">
        <v>1</v>
      </c>
      <c r="BP783" t="s">
        <v>1</v>
      </c>
      <c r="BQ783" t="s">
        <v>1</v>
      </c>
      <c r="BR783" t="s">
        <v>1</v>
      </c>
      <c r="BS783" t="s">
        <v>1</v>
      </c>
      <c r="BT783" t="s">
        <v>1</v>
      </c>
      <c r="BU783" t="s">
        <v>1</v>
      </c>
      <c r="BV783" t="s">
        <v>1</v>
      </c>
      <c r="BW783" t="s">
        <v>0</v>
      </c>
      <c r="BX783" t="s">
        <v>1</v>
      </c>
      <c r="BY783" t="s">
        <v>1</v>
      </c>
      <c r="BZ783" t="s">
        <v>1</v>
      </c>
      <c r="CA783" t="s">
        <v>1</v>
      </c>
      <c r="CB783" t="s">
        <v>1</v>
      </c>
      <c r="CD783" t="e" cm="1">
        <f t="array" aca="1" ref="CD783" ca="1">eConcatenar(A783:CB783,"|")</f>
        <v>#NAME?</v>
      </c>
    </row>
    <row r="784" spans="1:82" x14ac:dyDescent="0.25">
      <c r="A784" t="s">
        <v>879</v>
      </c>
      <c r="B784" t="s">
        <v>1896</v>
      </c>
      <c r="C784">
        <v>3</v>
      </c>
      <c r="D784" t="s">
        <v>2157</v>
      </c>
      <c r="E784" t="s">
        <v>2158</v>
      </c>
      <c r="F784" t="s">
        <v>2162</v>
      </c>
      <c r="G784" t="s">
        <v>2608</v>
      </c>
      <c r="H784" t="s">
        <v>3025</v>
      </c>
      <c r="I784">
        <v>11500</v>
      </c>
      <c r="J784">
        <v>0</v>
      </c>
      <c r="K784">
        <v>100</v>
      </c>
      <c r="L784">
        <v>50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 t="s">
        <v>3141</v>
      </c>
      <c r="AC784" t="s">
        <v>3114</v>
      </c>
      <c r="AD784" t="s">
        <v>3929</v>
      </c>
      <c r="AE784" t="s">
        <v>4</v>
      </c>
      <c r="AF784" t="s">
        <v>1</v>
      </c>
      <c r="AG784" t="s">
        <v>1</v>
      </c>
      <c r="AH784" t="s">
        <v>4505</v>
      </c>
      <c r="AI784" t="s">
        <v>2608</v>
      </c>
      <c r="AJ784" t="s">
        <v>1</v>
      </c>
      <c r="AK784" t="s">
        <v>1</v>
      </c>
      <c r="AL784" t="s">
        <v>1</v>
      </c>
      <c r="AM784" t="s">
        <v>1</v>
      </c>
      <c r="AN784" t="s">
        <v>1</v>
      </c>
      <c r="AO784" t="s">
        <v>4505</v>
      </c>
      <c r="AP784" t="s">
        <v>1</v>
      </c>
      <c r="AQ784" t="s">
        <v>2</v>
      </c>
      <c r="AR784" t="s">
        <v>1</v>
      </c>
      <c r="AS784" t="s">
        <v>1</v>
      </c>
      <c r="AT784" t="s">
        <v>1</v>
      </c>
      <c r="AU784" t="s">
        <v>1</v>
      </c>
      <c r="AV784" t="s">
        <v>1</v>
      </c>
      <c r="AW784" t="s">
        <v>9</v>
      </c>
      <c r="AX784">
        <f>Tabla1[[#This Row],[precio del paquete]]-Tabla1[[#This Row],[Saldo_Deudor]]</f>
        <v>10400</v>
      </c>
      <c r="AY784">
        <v>1100</v>
      </c>
      <c r="AZ784">
        <v>0</v>
      </c>
      <c r="BA784">
        <v>0</v>
      </c>
      <c r="BB784">
        <v>0</v>
      </c>
      <c r="BC784" t="s">
        <v>4834</v>
      </c>
      <c r="BD784" t="s">
        <v>4915</v>
      </c>
      <c r="BE784" t="s">
        <v>3</v>
      </c>
      <c r="BF784" t="s">
        <v>3</v>
      </c>
      <c r="BG784" t="s">
        <v>3</v>
      </c>
      <c r="BH784" t="s">
        <v>3</v>
      </c>
      <c r="BI784" t="s">
        <v>3</v>
      </c>
      <c r="BJ784" t="s">
        <v>4998</v>
      </c>
      <c r="BK784" t="s">
        <v>3</v>
      </c>
      <c r="BL784" t="s">
        <v>96</v>
      </c>
      <c r="BM784" t="s">
        <v>1</v>
      </c>
      <c r="BN784">
        <v>11500</v>
      </c>
      <c r="BO784" t="s">
        <v>1</v>
      </c>
      <c r="BP784" t="s">
        <v>1</v>
      </c>
      <c r="BQ784" t="s">
        <v>1</v>
      </c>
      <c r="BR784" t="s">
        <v>1</v>
      </c>
      <c r="BS784" t="s">
        <v>1</v>
      </c>
      <c r="BT784" t="s">
        <v>1</v>
      </c>
      <c r="BU784" t="s">
        <v>1</v>
      </c>
      <c r="BV784" t="s">
        <v>1</v>
      </c>
      <c r="BW784" t="s">
        <v>0</v>
      </c>
      <c r="BX784" t="s">
        <v>1</v>
      </c>
      <c r="BY784" t="s">
        <v>1</v>
      </c>
      <c r="BZ784" t="s">
        <v>1</v>
      </c>
      <c r="CA784" t="s">
        <v>1</v>
      </c>
      <c r="CB784" t="s">
        <v>1</v>
      </c>
      <c r="CD784" t="e" cm="1">
        <f t="array" aca="1" ref="CD784" ca="1">eConcatenar(A784:CB784,"|")</f>
        <v>#NAME?</v>
      </c>
    </row>
    <row r="785" spans="1:82" x14ac:dyDescent="0.25">
      <c r="A785" t="s">
        <v>880</v>
      </c>
      <c r="B785" t="s">
        <v>1897</v>
      </c>
      <c r="C785">
        <v>3</v>
      </c>
      <c r="D785" t="s">
        <v>2157</v>
      </c>
      <c r="E785" t="s">
        <v>2158</v>
      </c>
      <c r="F785" t="s">
        <v>0</v>
      </c>
      <c r="G785" t="s">
        <v>2609</v>
      </c>
      <c r="H785" t="s">
        <v>3026</v>
      </c>
      <c r="I785">
        <v>12900</v>
      </c>
      <c r="J785">
        <v>0</v>
      </c>
      <c r="K785">
        <v>200</v>
      </c>
      <c r="L785">
        <v>50</v>
      </c>
      <c r="M785">
        <v>1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 t="s">
        <v>3236</v>
      </c>
      <c r="AC785" t="s">
        <v>3135</v>
      </c>
      <c r="AD785" t="s">
        <v>3930</v>
      </c>
      <c r="AE785" t="s">
        <v>4</v>
      </c>
      <c r="AF785" t="s">
        <v>1</v>
      </c>
      <c r="AG785" t="s">
        <v>1</v>
      </c>
      <c r="AH785" t="s">
        <v>2609</v>
      </c>
      <c r="AI785" t="s">
        <v>2609</v>
      </c>
      <c r="AJ785" t="s">
        <v>1</v>
      </c>
      <c r="AK785" t="s">
        <v>1</v>
      </c>
      <c r="AL785" t="s">
        <v>1</v>
      </c>
      <c r="AM785" t="s">
        <v>1</v>
      </c>
      <c r="AN785" t="s">
        <v>1</v>
      </c>
      <c r="AO785" t="s">
        <v>2609</v>
      </c>
      <c r="AP785" t="s">
        <v>1</v>
      </c>
      <c r="AQ785" t="s">
        <v>2</v>
      </c>
      <c r="AR785" t="s">
        <v>1</v>
      </c>
      <c r="AS785" t="s">
        <v>1</v>
      </c>
      <c r="AT785" t="s">
        <v>1</v>
      </c>
      <c r="AU785" t="s">
        <v>1</v>
      </c>
      <c r="AV785" t="s">
        <v>1</v>
      </c>
      <c r="AW785" t="s">
        <v>9</v>
      </c>
      <c r="AX785">
        <f>Tabla1[[#This Row],[precio del paquete]]-Tabla1[[#This Row],[Saldo_Deudor]]</f>
        <v>7450</v>
      </c>
      <c r="AY785">
        <v>5450</v>
      </c>
      <c r="AZ785">
        <v>0</v>
      </c>
      <c r="BA785">
        <v>0</v>
      </c>
      <c r="BB785">
        <v>0</v>
      </c>
      <c r="BC785" t="s">
        <v>4873</v>
      </c>
      <c r="BD785" t="s">
        <v>4962</v>
      </c>
      <c r="BE785" t="s">
        <v>3</v>
      </c>
      <c r="BF785" t="s">
        <v>3</v>
      </c>
      <c r="BG785" t="s">
        <v>3</v>
      </c>
      <c r="BH785" t="s">
        <v>3</v>
      </c>
      <c r="BI785" t="s">
        <v>3</v>
      </c>
      <c r="BJ785" t="s">
        <v>4998</v>
      </c>
      <c r="BK785" t="s">
        <v>3</v>
      </c>
      <c r="BL785" t="s">
        <v>96</v>
      </c>
      <c r="BM785" t="s">
        <v>1</v>
      </c>
      <c r="BN785">
        <v>12900</v>
      </c>
      <c r="BO785" t="s">
        <v>1</v>
      </c>
      <c r="BP785" t="s">
        <v>1</v>
      </c>
      <c r="BQ785" t="s">
        <v>1</v>
      </c>
      <c r="BR785" t="s">
        <v>1</v>
      </c>
      <c r="BS785" t="s">
        <v>1</v>
      </c>
      <c r="BT785" t="s">
        <v>1</v>
      </c>
      <c r="BU785" t="s">
        <v>1</v>
      </c>
      <c r="BV785" t="s">
        <v>1</v>
      </c>
      <c r="BW785" t="s">
        <v>0</v>
      </c>
      <c r="BX785" t="s">
        <v>1</v>
      </c>
      <c r="BY785" t="s">
        <v>1</v>
      </c>
      <c r="BZ785" t="s">
        <v>1</v>
      </c>
      <c r="CA785" t="s">
        <v>1</v>
      </c>
      <c r="CB785" t="s">
        <v>1</v>
      </c>
      <c r="CD785" t="e" cm="1">
        <f t="array" aca="1" ref="CD785" ca="1">eConcatenar(A785:CB785,"|")</f>
        <v>#NAME?</v>
      </c>
    </row>
    <row r="786" spans="1:82" x14ac:dyDescent="0.25">
      <c r="A786" t="s">
        <v>881</v>
      </c>
      <c r="B786" t="s">
        <v>1898</v>
      </c>
      <c r="C786">
        <v>3</v>
      </c>
      <c r="D786" t="s">
        <v>2157</v>
      </c>
      <c r="E786" t="s">
        <v>2158</v>
      </c>
      <c r="F786" t="s">
        <v>0</v>
      </c>
      <c r="G786" t="s">
        <v>2609</v>
      </c>
      <c r="H786" t="s">
        <v>3027</v>
      </c>
      <c r="I786">
        <v>12900</v>
      </c>
      <c r="J786">
        <v>0</v>
      </c>
      <c r="K786">
        <v>200</v>
      </c>
      <c r="L786">
        <v>50</v>
      </c>
      <c r="M786">
        <v>1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 t="s">
        <v>3214</v>
      </c>
      <c r="AC786" t="s">
        <v>3177</v>
      </c>
      <c r="AD786" t="s">
        <v>3931</v>
      </c>
      <c r="AE786" t="s">
        <v>4</v>
      </c>
      <c r="AF786" t="s">
        <v>1</v>
      </c>
      <c r="AG786" t="s">
        <v>1</v>
      </c>
      <c r="AH786" t="s">
        <v>2207</v>
      </c>
      <c r="AI786" t="s">
        <v>2609</v>
      </c>
      <c r="AJ786" t="s">
        <v>1</v>
      </c>
      <c r="AK786">
        <v>9371283959</v>
      </c>
      <c r="AL786" t="s">
        <v>1</v>
      </c>
      <c r="AM786" t="s">
        <v>1</v>
      </c>
      <c r="AN786" t="s">
        <v>1</v>
      </c>
      <c r="AO786" t="s">
        <v>2207</v>
      </c>
      <c r="AP786" t="s">
        <v>1</v>
      </c>
      <c r="AQ786" t="s">
        <v>2</v>
      </c>
      <c r="AR786" t="s">
        <v>1</v>
      </c>
      <c r="AS786" t="s">
        <v>1</v>
      </c>
      <c r="AT786" t="s">
        <v>1</v>
      </c>
      <c r="AU786" t="s">
        <v>1</v>
      </c>
      <c r="AV786" t="s">
        <v>1</v>
      </c>
      <c r="AW786" t="s">
        <v>9</v>
      </c>
      <c r="AX786">
        <f>Tabla1[[#This Row],[precio del paquete]]-Tabla1[[#This Row],[Saldo_Deudor]]</f>
        <v>12100</v>
      </c>
      <c r="AY786">
        <v>800</v>
      </c>
      <c r="AZ786">
        <v>0</v>
      </c>
      <c r="BA786">
        <v>0</v>
      </c>
      <c r="BB786">
        <v>0</v>
      </c>
      <c r="BC786" t="s">
        <v>4873</v>
      </c>
      <c r="BD786" t="s">
        <v>4962</v>
      </c>
      <c r="BE786" t="s">
        <v>3</v>
      </c>
      <c r="BF786" t="s">
        <v>3</v>
      </c>
      <c r="BG786" t="s">
        <v>3</v>
      </c>
      <c r="BH786" t="s">
        <v>3</v>
      </c>
      <c r="BI786" t="s">
        <v>3</v>
      </c>
      <c r="BJ786" t="s">
        <v>4982</v>
      </c>
      <c r="BK786" t="s">
        <v>3</v>
      </c>
      <c r="BL786" t="s">
        <v>96</v>
      </c>
      <c r="BM786" t="s">
        <v>1</v>
      </c>
      <c r="BN786">
        <v>12900</v>
      </c>
      <c r="BO786" t="s">
        <v>1</v>
      </c>
      <c r="BP786" t="s">
        <v>1</v>
      </c>
      <c r="BQ786" t="s">
        <v>1</v>
      </c>
      <c r="BR786" t="s">
        <v>1</v>
      </c>
      <c r="BS786" t="s">
        <v>1</v>
      </c>
      <c r="BT786" t="s">
        <v>1</v>
      </c>
      <c r="BU786" t="s">
        <v>1</v>
      </c>
      <c r="BV786" t="s">
        <v>1</v>
      </c>
      <c r="BW786" t="s">
        <v>0</v>
      </c>
      <c r="BX786" t="s">
        <v>1</v>
      </c>
      <c r="BY786" t="s">
        <v>1</v>
      </c>
      <c r="BZ786" t="s">
        <v>1</v>
      </c>
      <c r="CA786" t="s">
        <v>1</v>
      </c>
      <c r="CB786" t="s">
        <v>1</v>
      </c>
      <c r="CD786" t="e" cm="1">
        <f t="array" aca="1" ref="CD786" ca="1">eConcatenar(A786:CB786,"|")</f>
        <v>#NAME?</v>
      </c>
    </row>
    <row r="787" spans="1:82" x14ac:dyDescent="0.25">
      <c r="A787" t="s">
        <v>882</v>
      </c>
      <c r="B787" t="s">
        <v>1899</v>
      </c>
      <c r="C787">
        <v>3</v>
      </c>
      <c r="D787" t="s">
        <v>2153</v>
      </c>
      <c r="E787" t="s">
        <v>2158</v>
      </c>
      <c r="F787" t="s">
        <v>2162</v>
      </c>
      <c r="G787" t="s">
        <v>2610</v>
      </c>
      <c r="H787" t="s">
        <v>2875</v>
      </c>
      <c r="I787">
        <v>14800</v>
      </c>
      <c r="J787">
        <v>0</v>
      </c>
      <c r="K787">
        <v>100</v>
      </c>
      <c r="L787">
        <v>50</v>
      </c>
      <c r="M787">
        <v>2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 t="s">
        <v>3423</v>
      </c>
      <c r="AC787" t="s">
        <v>3119</v>
      </c>
      <c r="AD787" t="s">
        <v>3677</v>
      </c>
      <c r="AE787" t="s">
        <v>4</v>
      </c>
      <c r="AF787" t="s">
        <v>1</v>
      </c>
      <c r="AG787" t="s">
        <v>1</v>
      </c>
      <c r="AH787" t="s">
        <v>4647</v>
      </c>
      <c r="AI787" t="s">
        <v>2610</v>
      </c>
      <c r="AJ787" t="s">
        <v>1</v>
      </c>
      <c r="AK787">
        <v>9331513327</v>
      </c>
      <c r="AL787" t="s">
        <v>1</v>
      </c>
      <c r="AM787" t="s">
        <v>1</v>
      </c>
      <c r="AN787" t="s">
        <v>1</v>
      </c>
      <c r="AO787" t="s">
        <v>4647</v>
      </c>
      <c r="AP787" t="s">
        <v>1</v>
      </c>
      <c r="AQ787" t="s">
        <v>2</v>
      </c>
      <c r="AR787" t="s">
        <v>1</v>
      </c>
      <c r="AS787" t="s">
        <v>1</v>
      </c>
      <c r="AT787" t="s">
        <v>1</v>
      </c>
      <c r="AU787" t="s">
        <v>1</v>
      </c>
      <c r="AV787" t="s">
        <v>1</v>
      </c>
      <c r="AW787" t="s">
        <v>9</v>
      </c>
      <c r="AX787">
        <f>Tabla1[[#This Row],[precio del paquete]]-Tabla1[[#This Row],[Saldo_Deudor]]</f>
        <v>2100</v>
      </c>
      <c r="AY787">
        <v>12700</v>
      </c>
      <c r="AZ787">
        <v>0</v>
      </c>
      <c r="BA787">
        <v>0</v>
      </c>
      <c r="BB787">
        <v>0</v>
      </c>
      <c r="BC787" t="s">
        <v>4874</v>
      </c>
      <c r="BD787" t="s">
        <v>4963</v>
      </c>
      <c r="BE787" t="s">
        <v>3</v>
      </c>
      <c r="BF787" t="s">
        <v>3</v>
      </c>
      <c r="BG787" t="s">
        <v>3</v>
      </c>
      <c r="BH787" t="s">
        <v>3</v>
      </c>
      <c r="BI787" t="s">
        <v>3</v>
      </c>
      <c r="BJ787" t="s">
        <v>4982</v>
      </c>
      <c r="BK787" t="s">
        <v>3</v>
      </c>
      <c r="BL787" t="s">
        <v>96</v>
      </c>
      <c r="BM787" t="s">
        <v>1</v>
      </c>
      <c r="BN787">
        <v>14800</v>
      </c>
      <c r="BO787" t="s">
        <v>1</v>
      </c>
      <c r="BP787" t="s">
        <v>1</v>
      </c>
      <c r="BQ787" t="s">
        <v>1</v>
      </c>
      <c r="BR787" t="s">
        <v>1</v>
      </c>
      <c r="BS787" t="s">
        <v>1</v>
      </c>
      <c r="BT787" t="s">
        <v>1</v>
      </c>
      <c r="BU787" t="s">
        <v>1</v>
      </c>
      <c r="BV787" t="s">
        <v>1</v>
      </c>
      <c r="BW787" t="s">
        <v>0</v>
      </c>
      <c r="BX787" t="s">
        <v>1</v>
      </c>
      <c r="BY787" t="s">
        <v>1</v>
      </c>
      <c r="BZ787" t="s">
        <v>1</v>
      </c>
      <c r="CA787" t="s">
        <v>1</v>
      </c>
      <c r="CB787" t="s">
        <v>1</v>
      </c>
      <c r="CD787" t="e" cm="1">
        <f t="array" aca="1" ref="CD787" ca="1">eConcatenar(A787:CB787,"|")</f>
        <v>#NAME?</v>
      </c>
    </row>
    <row r="788" spans="1:82" x14ac:dyDescent="0.25">
      <c r="A788" t="s">
        <v>883</v>
      </c>
      <c r="B788" t="s">
        <v>1900</v>
      </c>
      <c r="C788">
        <v>3</v>
      </c>
      <c r="D788" t="s">
        <v>2155</v>
      </c>
      <c r="E788" t="s">
        <v>2158</v>
      </c>
      <c r="F788" t="s">
        <v>2162</v>
      </c>
      <c r="G788" t="s">
        <v>2611</v>
      </c>
      <c r="H788" t="s">
        <v>3028</v>
      </c>
      <c r="I788">
        <v>12900</v>
      </c>
      <c r="J788">
        <v>0</v>
      </c>
      <c r="K788">
        <v>100</v>
      </c>
      <c r="L788">
        <v>50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 t="s">
        <v>3383</v>
      </c>
      <c r="AC788" t="s">
        <v>3115</v>
      </c>
      <c r="AD788" t="s">
        <v>3495</v>
      </c>
      <c r="AE788" t="s">
        <v>4</v>
      </c>
      <c r="AF788" t="s">
        <v>1</v>
      </c>
      <c r="AG788" t="s">
        <v>1</v>
      </c>
      <c r="AH788" t="s">
        <v>4648</v>
      </c>
      <c r="AI788" t="s">
        <v>2611</v>
      </c>
      <c r="AJ788" t="s">
        <v>1</v>
      </c>
      <c r="AK788">
        <v>9333034108</v>
      </c>
      <c r="AL788" t="s">
        <v>1</v>
      </c>
      <c r="AM788" t="s">
        <v>1</v>
      </c>
      <c r="AN788" t="s">
        <v>1</v>
      </c>
      <c r="AO788" t="s">
        <v>4648</v>
      </c>
      <c r="AP788" t="s">
        <v>1</v>
      </c>
      <c r="AQ788" t="s">
        <v>2</v>
      </c>
      <c r="AR788" t="s">
        <v>1</v>
      </c>
      <c r="AS788" t="s">
        <v>1</v>
      </c>
      <c r="AT788" t="s">
        <v>1</v>
      </c>
      <c r="AU788" t="s">
        <v>1</v>
      </c>
      <c r="AV788" t="s">
        <v>1</v>
      </c>
      <c r="AW788" t="s">
        <v>9</v>
      </c>
      <c r="AX788">
        <f>Tabla1[[#This Row],[precio del paquete]]-Tabla1[[#This Row],[Saldo_Deudor]]</f>
        <v>2000</v>
      </c>
      <c r="AY788">
        <v>10900</v>
      </c>
      <c r="AZ788">
        <v>0</v>
      </c>
      <c r="BA788">
        <v>0</v>
      </c>
      <c r="BB788">
        <v>0</v>
      </c>
      <c r="BC788" t="s">
        <v>4874</v>
      </c>
      <c r="BD788" t="s">
        <v>4963</v>
      </c>
      <c r="BE788" t="s">
        <v>3</v>
      </c>
      <c r="BF788" t="s">
        <v>3</v>
      </c>
      <c r="BG788" t="s">
        <v>3</v>
      </c>
      <c r="BH788" t="s">
        <v>3</v>
      </c>
      <c r="BI788" t="s">
        <v>3</v>
      </c>
      <c r="BJ788" t="s">
        <v>5002</v>
      </c>
      <c r="BK788" t="s">
        <v>3</v>
      </c>
      <c r="BL788" t="s">
        <v>96</v>
      </c>
      <c r="BM788" t="s">
        <v>1</v>
      </c>
      <c r="BN788">
        <v>12900</v>
      </c>
      <c r="BO788" t="s">
        <v>1</v>
      </c>
      <c r="BP788" t="s">
        <v>1</v>
      </c>
      <c r="BQ788" t="s">
        <v>1</v>
      </c>
      <c r="BR788" t="s">
        <v>1</v>
      </c>
      <c r="BS788" t="s">
        <v>1</v>
      </c>
      <c r="BT788" t="s">
        <v>1</v>
      </c>
      <c r="BU788" t="s">
        <v>1</v>
      </c>
      <c r="BV788" t="s">
        <v>1</v>
      </c>
      <c r="BW788" t="s">
        <v>0</v>
      </c>
      <c r="BX788" t="s">
        <v>1</v>
      </c>
      <c r="BY788" t="s">
        <v>1</v>
      </c>
      <c r="BZ788" t="s">
        <v>1</v>
      </c>
      <c r="CA788" t="s">
        <v>1</v>
      </c>
      <c r="CB788" t="s">
        <v>1</v>
      </c>
      <c r="CD788" t="e" cm="1">
        <f t="array" aca="1" ref="CD788" ca="1">eConcatenar(A788:CB788,"|")</f>
        <v>#NAME?</v>
      </c>
    </row>
    <row r="789" spans="1:82" x14ac:dyDescent="0.25">
      <c r="A789" t="s">
        <v>884</v>
      </c>
      <c r="B789" t="s">
        <v>1901</v>
      </c>
      <c r="C789">
        <v>3</v>
      </c>
      <c r="D789" t="s">
        <v>2153</v>
      </c>
      <c r="E789" t="s">
        <v>2158</v>
      </c>
      <c r="F789" t="s">
        <v>2162</v>
      </c>
      <c r="G789" t="s">
        <v>2497</v>
      </c>
      <c r="H789" t="s">
        <v>2871</v>
      </c>
      <c r="I789">
        <v>14800</v>
      </c>
      <c r="J789">
        <v>0</v>
      </c>
      <c r="K789">
        <v>500</v>
      </c>
      <c r="L789">
        <v>50</v>
      </c>
      <c r="M789">
        <v>2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 t="s">
        <v>3553</v>
      </c>
      <c r="AC789" t="s">
        <v>3155</v>
      </c>
      <c r="AD789" t="s">
        <v>3932</v>
      </c>
      <c r="AE789" t="s">
        <v>4</v>
      </c>
      <c r="AF789" t="s">
        <v>1</v>
      </c>
      <c r="AG789" t="s">
        <v>1</v>
      </c>
      <c r="AH789" t="s">
        <v>2497</v>
      </c>
      <c r="AI789" t="s">
        <v>2497</v>
      </c>
      <c r="AJ789" t="s">
        <v>1</v>
      </c>
      <c r="AK789">
        <v>9331523507</v>
      </c>
      <c r="AL789" t="s">
        <v>1</v>
      </c>
      <c r="AM789" t="s">
        <v>1</v>
      </c>
      <c r="AN789" t="s">
        <v>1</v>
      </c>
      <c r="AO789" t="s">
        <v>2497</v>
      </c>
      <c r="AP789" t="s">
        <v>1</v>
      </c>
      <c r="AQ789" t="s">
        <v>2</v>
      </c>
      <c r="AR789" t="s">
        <v>1</v>
      </c>
      <c r="AS789" t="s">
        <v>1</v>
      </c>
      <c r="AT789" t="s">
        <v>1</v>
      </c>
      <c r="AU789" t="s">
        <v>1</v>
      </c>
      <c r="AV789" t="s">
        <v>1</v>
      </c>
      <c r="AW789" t="s">
        <v>9</v>
      </c>
      <c r="AX789">
        <f>Tabla1[[#This Row],[precio del paquete]]-Tabla1[[#This Row],[Saldo_Deudor]]</f>
        <v>500</v>
      </c>
      <c r="AY789">
        <v>14300</v>
      </c>
      <c r="AZ789">
        <v>0</v>
      </c>
      <c r="BA789">
        <v>0</v>
      </c>
      <c r="BB789">
        <v>0</v>
      </c>
      <c r="BC789" t="s">
        <v>2871</v>
      </c>
      <c r="BD789" t="s">
        <v>4964</v>
      </c>
      <c r="BE789" t="s">
        <v>3</v>
      </c>
      <c r="BF789" t="s">
        <v>3</v>
      </c>
      <c r="BG789" t="s">
        <v>3</v>
      </c>
      <c r="BH789" t="s">
        <v>3</v>
      </c>
      <c r="BI789" t="s">
        <v>3</v>
      </c>
      <c r="BJ789" t="s">
        <v>5002</v>
      </c>
      <c r="BK789" t="s">
        <v>3</v>
      </c>
      <c r="BL789" t="s">
        <v>96</v>
      </c>
      <c r="BM789" t="s">
        <v>1</v>
      </c>
      <c r="BN789">
        <v>14800</v>
      </c>
      <c r="BO789" t="s">
        <v>1</v>
      </c>
      <c r="BP789" t="s">
        <v>1</v>
      </c>
      <c r="BQ789" t="s">
        <v>1</v>
      </c>
      <c r="BR789" t="s">
        <v>1</v>
      </c>
      <c r="BS789" t="s">
        <v>1</v>
      </c>
      <c r="BT789" t="s">
        <v>1</v>
      </c>
      <c r="BU789" t="s">
        <v>1</v>
      </c>
      <c r="BV789" t="s">
        <v>1</v>
      </c>
      <c r="BW789" t="s">
        <v>0</v>
      </c>
      <c r="BX789" t="s">
        <v>1</v>
      </c>
      <c r="BY789" t="s">
        <v>1</v>
      </c>
      <c r="BZ789" t="s">
        <v>1</v>
      </c>
      <c r="CA789" t="s">
        <v>1</v>
      </c>
      <c r="CB789" t="s">
        <v>1</v>
      </c>
      <c r="CD789" t="e" cm="1">
        <f t="array" aca="1" ref="CD789" ca="1">eConcatenar(A789:CB789,"|")</f>
        <v>#NAME?</v>
      </c>
    </row>
    <row r="790" spans="1:82" x14ac:dyDescent="0.25">
      <c r="A790" t="s">
        <v>885</v>
      </c>
      <c r="B790" t="s">
        <v>1902</v>
      </c>
      <c r="C790">
        <v>3</v>
      </c>
      <c r="D790" t="s">
        <v>2154</v>
      </c>
      <c r="E790" t="s">
        <v>2158</v>
      </c>
      <c r="F790" t="s">
        <v>2162</v>
      </c>
      <c r="G790" t="s">
        <v>2519</v>
      </c>
      <c r="H790" t="s">
        <v>2739</v>
      </c>
      <c r="I790">
        <v>24500</v>
      </c>
      <c r="J790">
        <v>0</v>
      </c>
      <c r="K790">
        <v>600</v>
      </c>
      <c r="L790">
        <v>50</v>
      </c>
      <c r="M790">
        <v>2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 t="s">
        <v>3933</v>
      </c>
      <c r="AC790" t="s">
        <v>3354</v>
      </c>
      <c r="AD790" t="s">
        <v>3497</v>
      </c>
      <c r="AE790" t="s">
        <v>4</v>
      </c>
      <c r="AF790" t="s">
        <v>1</v>
      </c>
      <c r="AG790" t="s">
        <v>1</v>
      </c>
      <c r="AH790" t="s">
        <v>4649</v>
      </c>
      <c r="AI790" t="s">
        <v>2519</v>
      </c>
      <c r="AJ790" t="s">
        <v>1</v>
      </c>
      <c r="AK790">
        <v>9331567844</v>
      </c>
      <c r="AL790" t="s">
        <v>1</v>
      </c>
      <c r="AM790" t="s">
        <v>1</v>
      </c>
      <c r="AN790" t="s">
        <v>1</v>
      </c>
      <c r="AO790" t="s">
        <v>4649</v>
      </c>
      <c r="AP790" t="s">
        <v>1</v>
      </c>
      <c r="AQ790" t="s">
        <v>2</v>
      </c>
      <c r="AR790" t="s">
        <v>1</v>
      </c>
      <c r="AS790" t="s">
        <v>1</v>
      </c>
      <c r="AT790" t="s">
        <v>1</v>
      </c>
      <c r="AU790" t="s">
        <v>1</v>
      </c>
      <c r="AV790" t="s">
        <v>1</v>
      </c>
      <c r="AW790" t="s">
        <v>9</v>
      </c>
      <c r="AX790">
        <f>Tabla1[[#This Row],[precio del paquete]]-Tabla1[[#This Row],[Saldo_Deudor]]</f>
        <v>600</v>
      </c>
      <c r="AY790">
        <v>23900</v>
      </c>
      <c r="AZ790">
        <v>0</v>
      </c>
      <c r="BA790">
        <v>0</v>
      </c>
      <c r="BB790">
        <v>0</v>
      </c>
      <c r="BC790" t="s">
        <v>2825</v>
      </c>
      <c r="BD790" t="s">
        <v>2801</v>
      </c>
      <c r="BE790" t="s">
        <v>3</v>
      </c>
      <c r="BF790" t="s">
        <v>3</v>
      </c>
      <c r="BG790" t="s">
        <v>3</v>
      </c>
      <c r="BH790" t="s">
        <v>3</v>
      </c>
      <c r="BI790" t="s">
        <v>3</v>
      </c>
      <c r="BJ790" t="s">
        <v>5002</v>
      </c>
      <c r="BK790" t="s">
        <v>3</v>
      </c>
      <c r="BL790" t="s">
        <v>96</v>
      </c>
      <c r="BM790" t="s">
        <v>1</v>
      </c>
      <c r="BN790">
        <v>24500</v>
      </c>
      <c r="BO790" t="s">
        <v>1</v>
      </c>
      <c r="BP790" t="s">
        <v>1</v>
      </c>
      <c r="BQ790" t="s">
        <v>1</v>
      </c>
      <c r="BR790" t="s">
        <v>1</v>
      </c>
      <c r="BS790" t="s">
        <v>1</v>
      </c>
      <c r="BT790" t="s">
        <v>1</v>
      </c>
      <c r="BU790" t="s">
        <v>1</v>
      </c>
      <c r="BV790" t="s">
        <v>1</v>
      </c>
      <c r="BW790" t="s">
        <v>0</v>
      </c>
      <c r="BX790" t="s">
        <v>1</v>
      </c>
      <c r="BY790" t="s">
        <v>1</v>
      </c>
      <c r="BZ790" t="s">
        <v>1</v>
      </c>
      <c r="CA790" t="s">
        <v>1</v>
      </c>
      <c r="CB790" t="s">
        <v>1</v>
      </c>
      <c r="CD790" t="e" cm="1">
        <f t="array" aca="1" ref="CD790" ca="1">eConcatenar(A790:CB790,"|")</f>
        <v>#NAME?</v>
      </c>
    </row>
    <row r="791" spans="1:82" x14ac:dyDescent="0.25">
      <c r="A791" t="s">
        <v>886</v>
      </c>
      <c r="B791" t="s">
        <v>1903</v>
      </c>
      <c r="C791">
        <v>3</v>
      </c>
      <c r="D791" t="s">
        <v>2157</v>
      </c>
      <c r="E791" t="s">
        <v>2158</v>
      </c>
      <c r="F791" t="s">
        <v>0</v>
      </c>
      <c r="G791" t="s">
        <v>2200</v>
      </c>
      <c r="H791" t="s">
        <v>2960</v>
      </c>
      <c r="I791">
        <v>12900</v>
      </c>
      <c r="J791">
        <v>0</v>
      </c>
      <c r="K791">
        <v>400</v>
      </c>
      <c r="L791">
        <v>50</v>
      </c>
      <c r="M791">
        <v>2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 t="s">
        <v>5</v>
      </c>
      <c r="AC791" t="s">
        <v>3117</v>
      </c>
      <c r="AD791" t="s">
        <v>3934</v>
      </c>
      <c r="AE791" t="s">
        <v>4</v>
      </c>
      <c r="AF791" t="s">
        <v>1</v>
      </c>
      <c r="AG791" t="s">
        <v>1</v>
      </c>
      <c r="AH791" t="s">
        <v>4650</v>
      </c>
      <c r="AI791" t="s">
        <v>2200</v>
      </c>
      <c r="AJ791" t="s">
        <v>1</v>
      </c>
      <c r="AK791" t="s">
        <v>1</v>
      </c>
      <c r="AL791" t="s">
        <v>1</v>
      </c>
      <c r="AM791" t="s">
        <v>1</v>
      </c>
      <c r="AN791" t="s">
        <v>1</v>
      </c>
      <c r="AO791" t="s">
        <v>4650</v>
      </c>
      <c r="AP791" t="s">
        <v>1</v>
      </c>
      <c r="AQ791" t="s">
        <v>2</v>
      </c>
      <c r="AR791" t="s">
        <v>1</v>
      </c>
      <c r="AS791" t="s">
        <v>1</v>
      </c>
      <c r="AT791" t="s">
        <v>1</v>
      </c>
      <c r="AU791" t="s">
        <v>1</v>
      </c>
      <c r="AV791" t="s">
        <v>1</v>
      </c>
      <c r="AW791" t="s">
        <v>9</v>
      </c>
      <c r="AX791">
        <f>Tabla1[[#This Row],[precio del paquete]]-Tabla1[[#This Row],[Saldo_Deudor]]</f>
        <v>8400</v>
      </c>
      <c r="AY791">
        <v>4500</v>
      </c>
      <c r="AZ791">
        <v>0</v>
      </c>
      <c r="BA791">
        <v>0</v>
      </c>
      <c r="BB791">
        <v>0</v>
      </c>
      <c r="BC791" t="s">
        <v>4830</v>
      </c>
      <c r="BD791" t="s">
        <v>4906</v>
      </c>
      <c r="BE791" t="s">
        <v>3</v>
      </c>
      <c r="BF791" t="s">
        <v>3</v>
      </c>
      <c r="BG791" t="s">
        <v>3</v>
      </c>
      <c r="BH791" t="s">
        <v>3</v>
      </c>
      <c r="BI791" t="s">
        <v>3</v>
      </c>
      <c r="BJ791" t="s">
        <v>5002</v>
      </c>
      <c r="BK791" t="s">
        <v>3</v>
      </c>
      <c r="BL791" t="s">
        <v>96</v>
      </c>
      <c r="BM791" t="s">
        <v>1</v>
      </c>
      <c r="BN791">
        <v>12900</v>
      </c>
      <c r="BO791" t="s">
        <v>1</v>
      </c>
      <c r="BP791" t="s">
        <v>1</v>
      </c>
      <c r="BQ791" t="s">
        <v>1</v>
      </c>
      <c r="BR791" t="s">
        <v>1</v>
      </c>
      <c r="BS791" t="s">
        <v>1</v>
      </c>
      <c r="BT791" t="s">
        <v>1</v>
      </c>
      <c r="BU791" t="s">
        <v>1</v>
      </c>
      <c r="BV791" t="s">
        <v>1</v>
      </c>
      <c r="BW791" t="s">
        <v>0</v>
      </c>
      <c r="BX791" t="s">
        <v>1</v>
      </c>
      <c r="BY791" t="s">
        <v>1</v>
      </c>
      <c r="BZ791" t="s">
        <v>1</v>
      </c>
      <c r="CA791" t="s">
        <v>1</v>
      </c>
      <c r="CB791" t="s">
        <v>1</v>
      </c>
      <c r="CD791" t="e" cm="1">
        <f t="array" aca="1" ref="CD791" ca="1">eConcatenar(A791:CB791,"|")</f>
        <v>#NAME?</v>
      </c>
    </row>
    <row r="792" spans="1:82" x14ac:dyDescent="0.25">
      <c r="A792" t="s">
        <v>887</v>
      </c>
      <c r="B792" t="s">
        <v>1904</v>
      </c>
      <c r="C792">
        <v>3</v>
      </c>
      <c r="D792" t="s">
        <v>2157</v>
      </c>
      <c r="E792" t="s">
        <v>2158</v>
      </c>
      <c r="F792" t="s">
        <v>0</v>
      </c>
      <c r="G792" t="s">
        <v>2247</v>
      </c>
      <c r="H792" t="s">
        <v>3029</v>
      </c>
      <c r="I792">
        <v>12900</v>
      </c>
      <c r="J792">
        <v>0</v>
      </c>
      <c r="K792">
        <v>500</v>
      </c>
      <c r="L792">
        <v>50</v>
      </c>
      <c r="M792">
        <v>2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 t="s">
        <v>3313</v>
      </c>
      <c r="AC792" t="s">
        <v>3935</v>
      </c>
      <c r="AD792" t="s">
        <v>3936</v>
      </c>
      <c r="AE792" t="s">
        <v>4</v>
      </c>
      <c r="AF792" t="s">
        <v>1</v>
      </c>
      <c r="AG792" t="s">
        <v>1</v>
      </c>
      <c r="AH792" t="s">
        <v>4651</v>
      </c>
      <c r="AI792" t="s">
        <v>2247</v>
      </c>
      <c r="AJ792" t="s">
        <v>1</v>
      </c>
      <c r="AK792">
        <v>9371096500</v>
      </c>
      <c r="AL792" t="s">
        <v>1</v>
      </c>
      <c r="AM792" t="s">
        <v>1</v>
      </c>
      <c r="AN792" t="s">
        <v>1</v>
      </c>
      <c r="AO792" t="s">
        <v>4651</v>
      </c>
      <c r="AP792" t="s">
        <v>1</v>
      </c>
      <c r="AQ792" t="s">
        <v>2</v>
      </c>
      <c r="AR792" t="s">
        <v>1</v>
      </c>
      <c r="AS792" t="s">
        <v>1</v>
      </c>
      <c r="AT792" t="s">
        <v>1</v>
      </c>
      <c r="AU792" t="s">
        <v>1</v>
      </c>
      <c r="AV792" t="s">
        <v>1</v>
      </c>
      <c r="AW792" t="s">
        <v>9</v>
      </c>
      <c r="AX792">
        <f>Tabla1[[#This Row],[precio del paquete]]-Tabla1[[#This Row],[Saldo_Deudor]]</f>
        <v>10500</v>
      </c>
      <c r="AY792">
        <v>2400</v>
      </c>
      <c r="AZ792">
        <v>0</v>
      </c>
      <c r="BA792">
        <v>0</v>
      </c>
      <c r="BB792">
        <v>0</v>
      </c>
      <c r="BC792" t="s">
        <v>4830</v>
      </c>
      <c r="BD792" t="s">
        <v>4906</v>
      </c>
      <c r="BE792" t="s">
        <v>3</v>
      </c>
      <c r="BF792" t="s">
        <v>3</v>
      </c>
      <c r="BG792" t="s">
        <v>3</v>
      </c>
      <c r="BH792" t="s">
        <v>3</v>
      </c>
      <c r="BI792" t="s">
        <v>3</v>
      </c>
      <c r="BJ792" t="s">
        <v>5013</v>
      </c>
      <c r="BK792" t="s">
        <v>3</v>
      </c>
      <c r="BL792" t="s">
        <v>96</v>
      </c>
      <c r="BM792" t="s">
        <v>1</v>
      </c>
      <c r="BN792">
        <v>12900</v>
      </c>
      <c r="BO792" t="s">
        <v>1</v>
      </c>
      <c r="BP792" t="s">
        <v>1</v>
      </c>
      <c r="BQ792" t="s">
        <v>1</v>
      </c>
      <c r="BR792" t="s">
        <v>1</v>
      </c>
      <c r="BS792" t="s">
        <v>1</v>
      </c>
      <c r="BT792" t="s">
        <v>1</v>
      </c>
      <c r="BU792" t="s">
        <v>1</v>
      </c>
      <c r="BV792" t="s">
        <v>1</v>
      </c>
      <c r="BW792" t="s">
        <v>0</v>
      </c>
      <c r="BX792" t="s">
        <v>1</v>
      </c>
      <c r="BY792" t="s">
        <v>1</v>
      </c>
      <c r="BZ792" t="s">
        <v>1</v>
      </c>
      <c r="CA792" t="s">
        <v>1</v>
      </c>
      <c r="CB792" t="s">
        <v>1</v>
      </c>
      <c r="CD792" t="e" cm="1">
        <f t="array" aca="1" ref="CD792" ca="1">eConcatenar(A792:CB792,"|")</f>
        <v>#NAME?</v>
      </c>
    </row>
    <row r="793" spans="1:82" x14ac:dyDescent="0.25">
      <c r="A793" t="s">
        <v>888</v>
      </c>
      <c r="B793" t="s">
        <v>1905</v>
      </c>
      <c r="C793">
        <v>3</v>
      </c>
      <c r="D793" t="s">
        <v>2153</v>
      </c>
      <c r="E793" t="s">
        <v>2158</v>
      </c>
      <c r="F793" t="s">
        <v>0</v>
      </c>
      <c r="G793" t="s">
        <v>2227</v>
      </c>
      <c r="H793" t="s">
        <v>2720</v>
      </c>
      <c r="I793">
        <v>14800</v>
      </c>
      <c r="J793">
        <v>0</v>
      </c>
      <c r="K793">
        <v>500</v>
      </c>
      <c r="L793">
        <v>50</v>
      </c>
      <c r="M793">
        <v>2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 t="s">
        <v>3420</v>
      </c>
      <c r="AC793" t="s">
        <v>3937</v>
      </c>
      <c r="AD793" t="s">
        <v>3938</v>
      </c>
      <c r="AE793" t="s">
        <v>4</v>
      </c>
      <c r="AF793" t="s">
        <v>1</v>
      </c>
      <c r="AG793" t="s">
        <v>1</v>
      </c>
      <c r="AH793" t="s">
        <v>4652</v>
      </c>
      <c r="AI793" t="s">
        <v>2227</v>
      </c>
      <c r="AJ793" t="s">
        <v>1</v>
      </c>
      <c r="AK793">
        <v>9372287085</v>
      </c>
      <c r="AL793" t="s">
        <v>1</v>
      </c>
      <c r="AM793" t="s">
        <v>1</v>
      </c>
      <c r="AN793" t="s">
        <v>1</v>
      </c>
      <c r="AO793" t="s">
        <v>4652</v>
      </c>
      <c r="AP793" t="s">
        <v>1</v>
      </c>
      <c r="AQ793" t="s">
        <v>2</v>
      </c>
      <c r="AR793" t="s">
        <v>1</v>
      </c>
      <c r="AS793" t="s">
        <v>1</v>
      </c>
      <c r="AT793" t="s">
        <v>1</v>
      </c>
      <c r="AU793" t="s">
        <v>1</v>
      </c>
      <c r="AV793" t="s">
        <v>1</v>
      </c>
      <c r="AW793" t="s">
        <v>9</v>
      </c>
      <c r="AX793">
        <f>Tabla1[[#This Row],[precio del paquete]]-Tabla1[[#This Row],[Saldo_Deudor]]</f>
        <v>2000</v>
      </c>
      <c r="AY793">
        <v>12800</v>
      </c>
      <c r="AZ793">
        <v>0</v>
      </c>
      <c r="BA793">
        <v>0</v>
      </c>
      <c r="BB793">
        <v>0</v>
      </c>
      <c r="BC793" t="s">
        <v>4830</v>
      </c>
      <c r="BD793" t="s">
        <v>4906</v>
      </c>
      <c r="BE793" t="s">
        <v>3</v>
      </c>
      <c r="BF793" t="s">
        <v>3</v>
      </c>
      <c r="BG793" t="s">
        <v>3</v>
      </c>
      <c r="BH793" t="s">
        <v>3</v>
      </c>
      <c r="BI793" t="s">
        <v>3</v>
      </c>
      <c r="BJ793" t="s">
        <v>5013</v>
      </c>
      <c r="BK793" t="s">
        <v>3</v>
      </c>
      <c r="BL793" t="s">
        <v>96</v>
      </c>
      <c r="BM793" t="s">
        <v>1</v>
      </c>
      <c r="BN793">
        <v>14800</v>
      </c>
      <c r="BO793" t="s">
        <v>1</v>
      </c>
      <c r="BP793" t="s">
        <v>1</v>
      </c>
      <c r="BQ793" t="s">
        <v>1</v>
      </c>
      <c r="BR793" t="s">
        <v>1</v>
      </c>
      <c r="BS793" t="s">
        <v>1</v>
      </c>
      <c r="BT793" t="s">
        <v>1</v>
      </c>
      <c r="BU793" t="s">
        <v>1</v>
      </c>
      <c r="BV793" t="s">
        <v>1</v>
      </c>
      <c r="BW793" t="s">
        <v>0</v>
      </c>
      <c r="BX793" t="s">
        <v>1</v>
      </c>
      <c r="BY793" t="s">
        <v>1</v>
      </c>
      <c r="BZ793" t="s">
        <v>1</v>
      </c>
      <c r="CA793" t="s">
        <v>1</v>
      </c>
      <c r="CB793" t="s">
        <v>1</v>
      </c>
      <c r="CD793" t="e" cm="1">
        <f t="array" aca="1" ref="CD793" ca="1">eConcatenar(A793:CB793,"|")</f>
        <v>#NAME?</v>
      </c>
    </row>
    <row r="794" spans="1:82" x14ac:dyDescent="0.25">
      <c r="A794" t="s">
        <v>889</v>
      </c>
      <c r="B794" t="s">
        <v>1907</v>
      </c>
      <c r="C794">
        <v>3</v>
      </c>
      <c r="D794" t="s">
        <v>2156</v>
      </c>
      <c r="E794" t="s">
        <v>2158</v>
      </c>
      <c r="F794" t="s">
        <v>0</v>
      </c>
      <c r="G794" t="s">
        <v>2247</v>
      </c>
      <c r="H794" t="s">
        <v>3030</v>
      </c>
      <c r="I794">
        <v>19800</v>
      </c>
      <c r="J794">
        <v>0</v>
      </c>
      <c r="K794">
        <v>400</v>
      </c>
      <c r="L794">
        <v>50</v>
      </c>
      <c r="M794">
        <v>2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 t="s">
        <v>3178</v>
      </c>
      <c r="AC794" t="s">
        <v>3114</v>
      </c>
      <c r="AD794" t="s">
        <v>3583</v>
      </c>
      <c r="AE794" t="s">
        <v>4</v>
      </c>
      <c r="AF794" t="s">
        <v>1</v>
      </c>
      <c r="AG794" t="s">
        <v>1</v>
      </c>
      <c r="AH794" t="s">
        <v>4653</v>
      </c>
      <c r="AI794" t="s">
        <v>2247</v>
      </c>
      <c r="AJ794" t="s">
        <v>1</v>
      </c>
      <c r="AK794">
        <v>9371345561</v>
      </c>
      <c r="AL794" t="s">
        <v>1</v>
      </c>
      <c r="AM794" t="s">
        <v>1</v>
      </c>
      <c r="AN794" t="s">
        <v>1</v>
      </c>
      <c r="AO794" t="s">
        <v>4653</v>
      </c>
      <c r="AP794" t="s">
        <v>1</v>
      </c>
      <c r="AQ794" t="s">
        <v>2</v>
      </c>
      <c r="AR794" t="s">
        <v>1</v>
      </c>
      <c r="AS794" t="s">
        <v>1</v>
      </c>
      <c r="AT794" t="s">
        <v>1</v>
      </c>
      <c r="AU794" t="s">
        <v>1</v>
      </c>
      <c r="AV794" t="s">
        <v>1</v>
      </c>
      <c r="AW794" t="s">
        <v>9</v>
      </c>
      <c r="AX794">
        <f>Tabla1[[#This Row],[precio del paquete]]-Tabla1[[#This Row],[Saldo_Deudor]]</f>
        <v>14000</v>
      </c>
      <c r="AY794">
        <v>5800</v>
      </c>
      <c r="AZ794">
        <v>0</v>
      </c>
      <c r="BA794">
        <v>0</v>
      </c>
      <c r="BB794">
        <v>0</v>
      </c>
      <c r="BC794" t="s">
        <v>4841</v>
      </c>
      <c r="BD794" t="s">
        <v>4926</v>
      </c>
      <c r="BE794" t="s">
        <v>3</v>
      </c>
      <c r="BF794" t="s">
        <v>3</v>
      </c>
      <c r="BG794" t="s">
        <v>3</v>
      </c>
      <c r="BH794" t="s">
        <v>3</v>
      </c>
      <c r="BI794" t="s">
        <v>3</v>
      </c>
      <c r="BJ794" t="s">
        <v>5013</v>
      </c>
      <c r="BK794" t="s">
        <v>3</v>
      </c>
      <c r="BL794" t="s">
        <v>96</v>
      </c>
      <c r="BM794" t="s">
        <v>1</v>
      </c>
      <c r="BN794">
        <v>19800</v>
      </c>
      <c r="BO794" t="s">
        <v>1</v>
      </c>
      <c r="BP794" t="s">
        <v>1</v>
      </c>
      <c r="BQ794" t="s">
        <v>1</v>
      </c>
      <c r="BR794" t="s">
        <v>1</v>
      </c>
      <c r="BS794" t="s">
        <v>1</v>
      </c>
      <c r="BT794" t="s">
        <v>1</v>
      </c>
      <c r="BU794" t="s">
        <v>1</v>
      </c>
      <c r="BV794" t="s">
        <v>1</v>
      </c>
      <c r="BW794" t="s">
        <v>0</v>
      </c>
      <c r="BX794" t="s">
        <v>1</v>
      </c>
      <c r="BY794" t="s">
        <v>1</v>
      </c>
      <c r="BZ794" t="s">
        <v>1</v>
      </c>
      <c r="CA794" t="s">
        <v>1</v>
      </c>
      <c r="CB794" t="s">
        <v>1</v>
      </c>
      <c r="CD794" t="e" cm="1">
        <f t="array" aca="1" ref="CD794" ca="1">eConcatenar(A794:CB794,"|")</f>
        <v>#NAME?</v>
      </c>
    </row>
    <row r="795" spans="1:82" x14ac:dyDescent="0.25">
      <c r="A795" t="s">
        <v>890</v>
      </c>
      <c r="B795" t="s">
        <v>1908</v>
      </c>
      <c r="C795">
        <v>3</v>
      </c>
      <c r="D795" t="s">
        <v>2153</v>
      </c>
      <c r="E795" t="s">
        <v>2158</v>
      </c>
      <c r="F795" t="s">
        <v>0</v>
      </c>
      <c r="G795" t="s">
        <v>2612</v>
      </c>
      <c r="H795" t="s">
        <v>2714</v>
      </c>
      <c r="I795">
        <v>14800</v>
      </c>
      <c r="J795">
        <v>0</v>
      </c>
      <c r="K795">
        <v>100</v>
      </c>
      <c r="L795">
        <v>50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 t="s">
        <v>5</v>
      </c>
      <c r="AC795" t="s">
        <v>5</v>
      </c>
      <c r="AD795" t="s">
        <v>3847</v>
      </c>
      <c r="AE795" t="s">
        <v>4</v>
      </c>
      <c r="AF795" t="s">
        <v>1</v>
      </c>
      <c r="AG795" t="s">
        <v>1</v>
      </c>
      <c r="AH795" t="s">
        <v>4654</v>
      </c>
      <c r="AI795" t="s">
        <v>2612</v>
      </c>
      <c r="AJ795" t="s">
        <v>1</v>
      </c>
      <c r="AK795">
        <v>9371546728</v>
      </c>
      <c r="AL795" t="s">
        <v>1</v>
      </c>
      <c r="AM795" t="s">
        <v>1</v>
      </c>
      <c r="AN795" t="s">
        <v>1</v>
      </c>
      <c r="AO795" t="s">
        <v>4654</v>
      </c>
      <c r="AP795" t="s">
        <v>1</v>
      </c>
      <c r="AQ795" t="s">
        <v>2</v>
      </c>
      <c r="AR795" t="s">
        <v>1</v>
      </c>
      <c r="AS795" t="s">
        <v>1</v>
      </c>
      <c r="AT795" t="s">
        <v>1</v>
      </c>
      <c r="AU795" t="s">
        <v>1</v>
      </c>
      <c r="AV795" t="s">
        <v>1</v>
      </c>
      <c r="AW795" t="s">
        <v>9</v>
      </c>
      <c r="AX795">
        <f>Tabla1[[#This Row],[precio del paquete]]-Tabla1[[#This Row],[Saldo_Deudor]]</f>
        <v>100</v>
      </c>
      <c r="AY795">
        <v>14700</v>
      </c>
      <c r="AZ795">
        <v>0</v>
      </c>
      <c r="BA795">
        <v>0</v>
      </c>
      <c r="BB795">
        <v>0</v>
      </c>
      <c r="BC795" t="s">
        <v>2714</v>
      </c>
      <c r="BD795" t="s">
        <v>2958</v>
      </c>
      <c r="BE795" t="s">
        <v>3</v>
      </c>
      <c r="BF795" t="s">
        <v>3</v>
      </c>
      <c r="BG795" t="s">
        <v>3</v>
      </c>
      <c r="BH795" t="s">
        <v>3</v>
      </c>
      <c r="BI795" t="s">
        <v>3</v>
      </c>
      <c r="BJ795" t="s">
        <v>5013</v>
      </c>
      <c r="BK795" t="s">
        <v>3</v>
      </c>
      <c r="BL795" t="s">
        <v>96</v>
      </c>
      <c r="BM795" t="s">
        <v>1</v>
      </c>
      <c r="BN795">
        <v>14800</v>
      </c>
      <c r="BO795" t="s">
        <v>1</v>
      </c>
      <c r="BP795" t="s">
        <v>1</v>
      </c>
      <c r="BQ795" t="s">
        <v>1</v>
      </c>
      <c r="BR795" t="s">
        <v>1</v>
      </c>
      <c r="BS795" t="s">
        <v>1</v>
      </c>
      <c r="BT795" t="s">
        <v>1</v>
      </c>
      <c r="BU795" t="s">
        <v>1</v>
      </c>
      <c r="BV795" t="s">
        <v>1</v>
      </c>
      <c r="BW795" t="s">
        <v>0</v>
      </c>
      <c r="BX795" t="s">
        <v>1</v>
      </c>
      <c r="BY795" t="s">
        <v>1</v>
      </c>
      <c r="BZ795" t="s">
        <v>1</v>
      </c>
      <c r="CA795" t="s">
        <v>1</v>
      </c>
      <c r="CB795" t="s">
        <v>1</v>
      </c>
      <c r="CD795" t="e" cm="1">
        <f t="array" aca="1" ref="CD795" ca="1">eConcatenar(A795:CB795,"|")</f>
        <v>#NAME?</v>
      </c>
    </row>
    <row r="796" spans="1:82" x14ac:dyDescent="0.25">
      <c r="A796" t="s">
        <v>891</v>
      </c>
      <c r="B796" t="s">
        <v>1909</v>
      </c>
      <c r="C796">
        <v>3</v>
      </c>
      <c r="D796" t="s">
        <v>2157</v>
      </c>
      <c r="E796" t="s">
        <v>2158</v>
      </c>
      <c r="F796" t="s">
        <v>0</v>
      </c>
      <c r="G796" t="s">
        <v>2247</v>
      </c>
      <c r="H796" t="s">
        <v>3029</v>
      </c>
      <c r="I796">
        <v>12900</v>
      </c>
      <c r="J796">
        <v>0</v>
      </c>
      <c r="K796">
        <v>150</v>
      </c>
      <c r="L796">
        <v>50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 t="s">
        <v>3129</v>
      </c>
      <c r="AC796" t="s">
        <v>3939</v>
      </c>
      <c r="AD796" t="s">
        <v>3940</v>
      </c>
      <c r="AE796" t="s">
        <v>4</v>
      </c>
      <c r="AF796" t="s">
        <v>1</v>
      </c>
      <c r="AG796" t="s">
        <v>1</v>
      </c>
      <c r="AH796" t="s">
        <v>4655</v>
      </c>
      <c r="AI796" t="s">
        <v>2247</v>
      </c>
      <c r="AJ796" t="s">
        <v>1</v>
      </c>
      <c r="AK796">
        <v>9371201067</v>
      </c>
      <c r="AL796" t="s">
        <v>1</v>
      </c>
      <c r="AM796" t="s">
        <v>1</v>
      </c>
      <c r="AN796" t="s">
        <v>1</v>
      </c>
      <c r="AO796" t="s">
        <v>4655</v>
      </c>
      <c r="AP796" t="s">
        <v>1</v>
      </c>
      <c r="AQ796" t="s">
        <v>2</v>
      </c>
      <c r="AR796" t="s">
        <v>1</v>
      </c>
      <c r="AS796" t="s">
        <v>1</v>
      </c>
      <c r="AT796" t="s">
        <v>1</v>
      </c>
      <c r="AU796" t="s">
        <v>1</v>
      </c>
      <c r="AV796" t="s">
        <v>1</v>
      </c>
      <c r="AW796" t="s">
        <v>9</v>
      </c>
      <c r="AX796">
        <f>Tabla1[[#This Row],[precio del paquete]]-Tabla1[[#This Row],[Saldo_Deudor]]</f>
        <v>11600</v>
      </c>
      <c r="AY796">
        <v>1300</v>
      </c>
      <c r="AZ796">
        <v>0</v>
      </c>
      <c r="BA796">
        <v>0</v>
      </c>
      <c r="BB796">
        <v>0</v>
      </c>
      <c r="BC796" t="s">
        <v>4841</v>
      </c>
      <c r="BD796" t="s">
        <v>4926</v>
      </c>
      <c r="BE796" t="s">
        <v>3</v>
      </c>
      <c r="BF796" t="s">
        <v>3</v>
      </c>
      <c r="BG796" t="s">
        <v>3</v>
      </c>
      <c r="BH796" t="s">
        <v>3</v>
      </c>
      <c r="BI796" t="s">
        <v>3</v>
      </c>
      <c r="BJ796" t="s">
        <v>5013</v>
      </c>
      <c r="BK796" t="s">
        <v>3</v>
      </c>
      <c r="BL796" t="s">
        <v>96</v>
      </c>
      <c r="BM796" t="s">
        <v>1</v>
      </c>
      <c r="BN796">
        <v>12900</v>
      </c>
      <c r="BO796" t="s">
        <v>1</v>
      </c>
      <c r="BP796" t="s">
        <v>1</v>
      </c>
      <c r="BQ796" t="s">
        <v>1</v>
      </c>
      <c r="BR796" t="s">
        <v>1</v>
      </c>
      <c r="BS796" t="s">
        <v>1</v>
      </c>
      <c r="BT796" t="s">
        <v>1</v>
      </c>
      <c r="BU796" t="s">
        <v>1</v>
      </c>
      <c r="BV796" t="s">
        <v>1</v>
      </c>
      <c r="BW796" t="s">
        <v>0</v>
      </c>
      <c r="BX796" t="s">
        <v>1</v>
      </c>
      <c r="BY796" t="s">
        <v>1</v>
      </c>
      <c r="BZ796" t="s">
        <v>1</v>
      </c>
      <c r="CA796" t="s">
        <v>1</v>
      </c>
      <c r="CB796" t="s">
        <v>1</v>
      </c>
      <c r="CD796" t="e" cm="1">
        <f t="array" aca="1" ref="CD796" ca="1">eConcatenar(A796:CB796,"|")</f>
        <v>#NAME?</v>
      </c>
    </row>
    <row r="797" spans="1:82" x14ac:dyDescent="0.25">
      <c r="A797" t="s">
        <v>892</v>
      </c>
      <c r="B797" t="s">
        <v>1910</v>
      </c>
      <c r="C797">
        <v>3</v>
      </c>
      <c r="D797" t="s">
        <v>2157</v>
      </c>
      <c r="E797" t="s">
        <v>2158</v>
      </c>
      <c r="F797" t="s">
        <v>0</v>
      </c>
      <c r="G797" t="s">
        <v>2227</v>
      </c>
      <c r="H797" t="s">
        <v>2946</v>
      </c>
      <c r="I797">
        <v>12900</v>
      </c>
      <c r="J797">
        <v>0</v>
      </c>
      <c r="K797">
        <v>200</v>
      </c>
      <c r="L797">
        <v>50</v>
      </c>
      <c r="M797">
        <v>1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 t="s">
        <v>3161</v>
      </c>
      <c r="AC797" t="s">
        <v>5</v>
      </c>
      <c r="AD797" t="s">
        <v>3447</v>
      </c>
      <c r="AE797" t="s">
        <v>4</v>
      </c>
      <c r="AF797" t="s">
        <v>1</v>
      </c>
      <c r="AG797" t="s">
        <v>1</v>
      </c>
      <c r="AH797" t="s">
        <v>4656</v>
      </c>
      <c r="AI797" t="s">
        <v>2227</v>
      </c>
      <c r="AJ797" t="s">
        <v>1</v>
      </c>
      <c r="AK797">
        <v>9371105453</v>
      </c>
      <c r="AL797" t="s">
        <v>1</v>
      </c>
      <c r="AM797" t="s">
        <v>1</v>
      </c>
      <c r="AN797" t="s">
        <v>1</v>
      </c>
      <c r="AO797" t="s">
        <v>4656</v>
      </c>
      <c r="AP797" t="s">
        <v>1</v>
      </c>
      <c r="AQ797" t="s">
        <v>2</v>
      </c>
      <c r="AR797" t="s">
        <v>1</v>
      </c>
      <c r="AS797" t="s">
        <v>1</v>
      </c>
      <c r="AT797" t="s">
        <v>1</v>
      </c>
      <c r="AU797" t="s">
        <v>1</v>
      </c>
      <c r="AV797" t="s">
        <v>1</v>
      </c>
      <c r="AW797" t="s">
        <v>9</v>
      </c>
      <c r="AX797">
        <f>Tabla1[[#This Row],[precio del paquete]]-Tabla1[[#This Row],[Saldo_Deudor]]</f>
        <v>1300</v>
      </c>
      <c r="AY797">
        <v>11600</v>
      </c>
      <c r="AZ797">
        <v>0</v>
      </c>
      <c r="BA797">
        <v>0</v>
      </c>
      <c r="BB797">
        <v>0</v>
      </c>
      <c r="BC797" t="s">
        <v>4841</v>
      </c>
      <c r="BD797" t="s">
        <v>4926</v>
      </c>
      <c r="BE797" t="s">
        <v>3</v>
      </c>
      <c r="BF797" t="s">
        <v>3</v>
      </c>
      <c r="BG797" t="s">
        <v>3</v>
      </c>
      <c r="BH797" t="s">
        <v>3</v>
      </c>
      <c r="BI797" t="s">
        <v>3</v>
      </c>
      <c r="BJ797" t="s">
        <v>5013</v>
      </c>
      <c r="BK797" t="s">
        <v>3</v>
      </c>
      <c r="BL797" t="s">
        <v>96</v>
      </c>
      <c r="BM797" t="s">
        <v>1</v>
      </c>
      <c r="BN797">
        <v>12900</v>
      </c>
      <c r="BO797" t="s">
        <v>1</v>
      </c>
      <c r="BP797" t="s">
        <v>1</v>
      </c>
      <c r="BQ797" t="s">
        <v>1</v>
      </c>
      <c r="BR797" t="s">
        <v>1</v>
      </c>
      <c r="BS797" t="s">
        <v>1</v>
      </c>
      <c r="BT797" t="s">
        <v>1</v>
      </c>
      <c r="BU797" t="s">
        <v>1</v>
      </c>
      <c r="BV797" t="s">
        <v>1</v>
      </c>
      <c r="BW797" t="s">
        <v>0</v>
      </c>
      <c r="BX797" t="s">
        <v>1</v>
      </c>
      <c r="BY797" t="s">
        <v>1</v>
      </c>
      <c r="BZ797" t="s">
        <v>1</v>
      </c>
      <c r="CA797" t="s">
        <v>1</v>
      </c>
      <c r="CB797" t="s">
        <v>1</v>
      </c>
      <c r="CD797" t="e" cm="1">
        <f t="array" aca="1" ref="CD797" ca="1">eConcatenar(A797:CB797,"|")</f>
        <v>#NAME?</v>
      </c>
    </row>
    <row r="798" spans="1:82" x14ac:dyDescent="0.25">
      <c r="A798" t="s">
        <v>893</v>
      </c>
      <c r="B798" t="s">
        <v>1911</v>
      </c>
      <c r="C798">
        <v>3</v>
      </c>
      <c r="D798" t="s">
        <v>2156</v>
      </c>
      <c r="E798" t="s">
        <v>2158</v>
      </c>
      <c r="F798" t="s">
        <v>0</v>
      </c>
      <c r="G798" t="s">
        <v>2256</v>
      </c>
      <c r="H798" t="s">
        <v>3031</v>
      </c>
      <c r="I798">
        <v>19800</v>
      </c>
      <c r="J798">
        <v>0</v>
      </c>
      <c r="K798">
        <v>200</v>
      </c>
      <c r="L798">
        <v>50</v>
      </c>
      <c r="M798">
        <v>1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 t="s">
        <v>3941</v>
      </c>
      <c r="AC798" t="s">
        <v>3919</v>
      </c>
      <c r="AD798" t="s">
        <v>3846</v>
      </c>
      <c r="AE798" t="s">
        <v>4</v>
      </c>
      <c r="AF798" t="s">
        <v>1</v>
      </c>
      <c r="AG798" t="s">
        <v>1</v>
      </c>
      <c r="AH798" t="s">
        <v>4657</v>
      </c>
      <c r="AI798" t="s">
        <v>2256</v>
      </c>
      <c r="AJ798" t="s">
        <v>1</v>
      </c>
      <c r="AK798">
        <v>9371640396</v>
      </c>
      <c r="AL798" t="s">
        <v>1</v>
      </c>
      <c r="AM798" t="s">
        <v>1</v>
      </c>
      <c r="AN798" t="s">
        <v>1</v>
      </c>
      <c r="AO798" t="s">
        <v>4657</v>
      </c>
      <c r="AP798" t="s">
        <v>1</v>
      </c>
      <c r="AQ798" t="s">
        <v>2</v>
      </c>
      <c r="AR798" t="s">
        <v>1</v>
      </c>
      <c r="AS798" t="s">
        <v>1</v>
      </c>
      <c r="AT798" t="s">
        <v>1</v>
      </c>
      <c r="AU798" t="s">
        <v>1</v>
      </c>
      <c r="AV798" t="s">
        <v>1</v>
      </c>
      <c r="AW798" t="s">
        <v>9</v>
      </c>
      <c r="AX798">
        <f>Tabla1[[#This Row],[precio del paquete]]-Tabla1[[#This Row],[Saldo_Deudor]]</f>
        <v>6450</v>
      </c>
      <c r="AY798">
        <v>13350</v>
      </c>
      <c r="AZ798">
        <v>0</v>
      </c>
      <c r="BA798">
        <v>0</v>
      </c>
      <c r="BB798">
        <v>0</v>
      </c>
      <c r="BC798" t="s">
        <v>4841</v>
      </c>
      <c r="BD798" t="s">
        <v>4926</v>
      </c>
      <c r="BE798" t="s">
        <v>3</v>
      </c>
      <c r="BF798" t="s">
        <v>3</v>
      </c>
      <c r="BG798" t="s">
        <v>3</v>
      </c>
      <c r="BH798" t="s">
        <v>3</v>
      </c>
      <c r="BI798" t="s">
        <v>3</v>
      </c>
      <c r="BJ798" t="s">
        <v>5013</v>
      </c>
      <c r="BK798" t="s">
        <v>3</v>
      </c>
      <c r="BL798" t="s">
        <v>96</v>
      </c>
      <c r="BM798" t="s">
        <v>1</v>
      </c>
      <c r="BN798">
        <v>19800</v>
      </c>
      <c r="BO798" t="s">
        <v>1</v>
      </c>
      <c r="BP798" t="s">
        <v>1</v>
      </c>
      <c r="BQ798" t="s">
        <v>1</v>
      </c>
      <c r="BR798" t="s">
        <v>1</v>
      </c>
      <c r="BS798" t="s">
        <v>1</v>
      </c>
      <c r="BT798" t="s">
        <v>1</v>
      </c>
      <c r="BU798" t="s">
        <v>1</v>
      </c>
      <c r="BV798" t="s">
        <v>1</v>
      </c>
      <c r="BW798" t="s">
        <v>0</v>
      </c>
      <c r="BX798" t="s">
        <v>1</v>
      </c>
      <c r="BY798" t="s">
        <v>1</v>
      </c>
      <c r="BZ798" t="s">
        <v>1</v>
      </c>
      <c r="CA798" t="s">
        <v>1</v>
      </c>
      <c r="CB798" t="s">
        <v>1</v>
      </c>
      <c r="CD798" t="e" cm="1">
        <f t="array" aca="1" ref="CD798" ca="1">eConcatenar(A798:CB798,"|")</f>
        <v>#NAME?</v>
      </c>
    </row>
    <row r="799" spans="1:82" x14ac:dyDescent="0.25">
      <c r="A799" t="s">
        <v>894</v>
      </c>
      <c r="B799" t="s">
        <v>1912</v>
      </c>
      <c r="C799">
        <v>3</v>
      </c>
      <c r="D799" t="s">
        <v>2153</v>
      </c>
      <c r="E799" t="s">
        <v>2158</v>
      </c>
      <c r="F799" t="s">
        <v>0</v>
      </c>
      <c r="G799" t="s">
        <v>2583</v>
      </c>
      <c r="H799" t="s">
        <v>2931</v>
      </c>
      <c r="I799">
        <v>14800</v>
      </c>
      <c r="J799">
        <v>0</v>
      </c>
      <c r="K799">
        <v>300</v>
      </c>
      <c r="L799">
        <v>50</v>
      </c>
      <c r="M799">
        <v>1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 t="s">
        <v>3135</v>
      </c>
      <c r="AC799" t="s">
        <v>3132</v>
      </c>
      <c r="AD799" t="s">
        <v>3694</v>
      </c>
      <c r="AE799" t="s">
        <v>4</v>
      </c>
      <c r="AF799" t="s">
        <v>1</v>
      </c>
      <c r="AG799" t="s">
        <v>1</v>
      </c>
      <c r="AH799" t="s">
        <v>4658</v>
      </c>
      <c r="AI799" t="s">
        <v>2583</v>
      </c>
      <c r="AJ799" t="s">
        <v>1</v>
      </c>
      <c r="AK799">
        <v>9372291420</v>
      </c>
      <c r="AL799" t="s">
        <v>1</v>
      </c>
      <c r="AM799" t="s">
        <v>1</v>
      </c>
      <c r="AN799" t="s">
        <v>1</v>
      </c>
      <c r="AO799" t="s">
        <v>4658</v>
      </c>
      <c r="AP799" t="s">
        <v>1</v>
      </c>
      <c r="AQ799" t="s">
        <v>2</v>
      </c>
      <c r="AR799" t="s">
        <v>1</v>
      </c>
      <c r="AS799" t="s">
        <v>1</v>
      </c>
      <c r="AT799" t="s">
        <v>1</v>
      </c>
      <c r="AU799" t="s">
        <v>1</v>
      </c>
      <c r="AV799" t="s">
        <v>1</v>
      </c>
      <c r="AW799" t="s">
        <v>9</v>
      </c>
      <c r="AX799">
        <f>Tabla1[[#This Row],[precio del paquete]]-Tabla1[[#This Row],[Saldo_Deudor]]</f>
        <v>1800</v>
      </c>
      <c r="AY799">
        <v>13000</v>
      </c>
      <c r="AZ799">
        <v>0</v>
      </c>
      <c r="BA799">
        <v>0</v>
      </c>
      <c r="BB799">
        <v>0</v>
      </c>
      <c r="BC799" t="s">
        <v>2839</v>
      </c>
      <c r="BD799" t="s">
        <v>4851</v>
      </c>
      <c r="BE799" t="s">
        <v>3</v>
      </c>
      <c r="BF799" t="s">
        <v>3</v>
      </c>
      <c r="BG799" t="s">
        <v>3</v>
      </c>
      <c r="BH799" t="s">
        <v>3</v>
      </c>
      <c r="BI799" t="s">
        <v>3</v>
      </c>
      <c r="BJ799" t="s">
        <v>5013</v>
      </c>
      <c r="BK799" t="s">
        <v>3</v>
      </c>
      <c r="BL799" t="s">
        <v>96</v>
      </c>
      <c r="BM799" t="s">
        <v>1</v>
      </c>
      <c r="BN799">
        <v>14800</v>
      </c>
      <c r="BO799" t="s">
        <v>1</v>
      </c>
      <c r="BP799" t="s">
        <v>1</v>
      </c>
      <c r="BQ799" t="s">
        <v>1</v>
      </c>
      <c r="BR799" t="s">
        <v>1</v>
      </c>
      <c r="BS799" t="s">
        <v>1</v>
      </c>
      <c r="BT799" t="s">
        <v>1</v>
      </c>
      <c r="BU799" t="s">
        <v>1</v>
      </c>
      <c r="BV799" t="s">
        <v>1</v>
      </c>
      <c r="BW799" t="s">
        <v>0</v>
      </c>
      <c r="BX799" t="s">
        <v>1</v>
      </c>
      <c r="BY799" t="s">
        <v>1</v>
      </c>
      <c r="BZ799" t="s">
        <v>1</v>
      </c>
      <c r="CA799" t="s">
        <v>1</v>
      </c>
      <c r="CB799" t="s">
        <v>1</v>
      </c>
      <c r="CD799" t="e" cm="1">
        <f t="array" aca="1" ref="CD799" ca="1">eConcatenar(A799:CB799,"|")</f>
        <v>#NAME?</v>
      </c>
    </row>
    <row r="800" spans="1:82" x14ac:dyDescent="0.25">
      <c r="A800" t="s">
        <v>895</v>
      </c>
      <c r="B800" t="s">
        <v>1913</v>
      </c>
      <c r="C800">
        <v>3</v>
      </c>
      <c r="D800" t="s">
        <v>2154</v>
      </c>
      <c r="E800" t="s">
        <v>2158</v>
      </c>
      <c r="F800" t="s">
        <v>0</v>
      </c>
      <c r="G800" t="s">
        <v>2613</v>
      </c>
      <c r="H800" t="s">
        <v>3032</v>
      </c>
      <c r="I800">
        <v>24500</v>
      </c>
      <c r="J800">
        <v>0</v>
      </c>
      <c r="K800">
        <v>500</v>
      </c>
      <c r="L800">
        <v>50</v>
      </c>
      <c r="M800">
        <v>1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 t="s">
        <v>5</v>
      </c>
      <c r="AC800" t="s">
        <v>3387</v>
      </c>
      <c r="AD800" t="s">
        <v>3942</v>
      </c>
      <c r="AE800" t="s">
        <v>4</v>
      </c>
      <c r="AF800" t="s">
        <v>1</v>
      </c>
      <c r="AG800" t="s">
        <v>1</v>
      </c>
      <c r="AH800" t="s">
        <v>4659</v>
      </c>
      <c r="AI800" t="s">
        <v>2613</v>
      </c>
      <c r="AJ800" t="s">
        <v>1</v>
      </c>
      <c r="AK800">
        <v>9371389947</v>
      </c>
      <c r="AL800" t="s">
        <v>1</v>
      </c>
      <c r="AM800" t="s">
        <v>1</v>
      </c>
      <c r="AN800" t="s">
        <v>1</v>
      </c>
      <c r="AO800" t="s">
        <v>4659</v>
      </c>
      <c r="AP800" t="s">
        <v>1</v>
      </c>
      <c r="AQ800" t="s">
        <v>2</v>
      </c>
      <c r="AR800" t="s">
        <v>1</v>
      </c>
      <c r="AS800" t="s">
        <v>1</v>
      </c>
      <c r="AT800" t="s">
        <v>1</v>
      </c>
      <c r="AU800" t="s">
        <v>1</v>
      </c>
      <c r="AV800" t="s">
        <v>1</v>
      </c>
      <c r="AW800" t="s">
        <v>9</v>
      </c>
      <c r="AX800">
        <f>Tabla1[[#This Row],[precio del paquete]]-Tabla1[[#This Row],[Saldo_Deudor]]</f>
        <v>6000</v>
      </c>
      <c r="AY800">
        <v>18500</v>
      </c>
      <c r="AZ800">
        <v>0</v>
      </c>
      <c r="BA800">
        <v>0</v>
      </c>
      <c r="BB800">
        <v>0</v>
      </c>
      <c r="BC800" t="s">
        <v>4841</v>
      </c>
      <c r="BD800" t="s">
        <v>4926</v>
      </c>
      <c r="BE800" t="s">
        <v>3</v>
      </c>
      <c r="BF800" t="s">
        <v>3</v>
      </c>
      <c r="BG800" t="s">
        <v>3</v>
      </c>
      <c r="BH800" t="s">
        <v>3</v>
      </c>
      <c r="BI800" t="s">
        <v>3</v>
      </c>
      <c r="BJ800" t="s">
        <v>5013</v>
      </c>
      <c r="BK800" t="s">
        <v>3</v>
      </c>
      <c r="BL800" t="s">
        <v>96</v>
      </c>
      <c r="BM800" t="s">
        <v>1</v>
      </c>
      <c r="BN800">
        <v>24500</v>
      </c>
      <c r="BO800" t="s">
        <v>1</v>
      </c>
      <c r="BP800" t="s">
        <v>1</v>
      </c>
      <c r="BQ800" t="s">
        <v>1</v>
      </c>
      <c r="BR800" t="s">
        <v>1</v>
      </c>
      <c r="BS800" t="s">
        <v>1</v>
      </c>
      <c r="BT800" t="s">
        <v>1</v>
      </c>
      <c r="BU800" t="s">
        <v>1</v>
      </c>
      <c r="BV800" t="s">
        <v>1</v>
      </c>
      <c r="BW800" t="s">
        <v>0</v>
      </c>
      <c r="BX800" t="s">
        <v>1</v>
      </c>
      <c r="BY800" t="s">
        <v>1</v>
      </c>
      <c r="BZ800" t="s">
        <v>1</v>
      </c>
      <c r="CA800" t="s">
        <v>1</v>
      </c>
      <c r="CB800" t="s">
        <v>1</v>
      </c>
      <c r="CD800" t="e" cm="1">
        <f t="array" aca="1" ref="CD800" ca="1">eConcatenar(A800:CB800,"|")</f>
        <v>#NAME?</v>
      </c>
    </row>
    <row r="801" spans="1:82" x14ac:dyDescent="0.25">
      <c r="A801" t="s">
        <v>896</v>
      </c>
      <c r="B801" t="s">
        <v>1914</v>
      </c>
      <c r="C801">
        <v>3</v>
      </c>
      <c r="D801" t="s">
        <v>2156</v>
      </c>
      <c r="E801" t="s">
        <v>2158</v>
      </c>
      <c r="F801" t="s">
        <v>0</v>
      </c>
      <c r="G801" t="s">
        <v>2264</v>
      </c>
      <c r="H801" t="s">
        <v>3033</v>
      </c>
      <c r="I801">
        <v>19800</v>
      </c>
      <c r="J801">
        <v>0</v>
      </c>
      <c r="K801">
        <v>300</v>
      </c>
      <c r="L801">
        <v>50</v>
      </c>
      <c r="M801">
        <v>1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 t="s">
        <v>3378</v>
      </c>
      <c r="AC801" t="s">
        <v>3943</v>
      </c>
      <c r="AD801" t="s">
        <v>3495</v>
      </c>
      <c r="AE801" t="s">
        <v>4</v>
      </c>
      <c r="AF801" t="s">
        <v>1</v>
      </c>
      <c r="AG801" t="s">
        <v>1</v>
      </c>
      <c r="AH801" t="s">
        <v>2264</v>
      </c>
      <c r="AI801" t="s">
        <v>2264</v>
      </c>
      <c r="AJ801" t="s">
        <v>1</v>
      </c>
      <c r="AK801">
        <v>9371213772</v>
      </c>
      <c r="AL801" t="s">
        <v>1</v>
      </c>
      <c r="AM801" t="s">
        <v>1</v>
      </c>
      <c r="AN801" t="s">
        <v>1</v>
      </c>
      <c r="AO801" t="s">
        <v>2264</v>
      </c>
      <c r="AP801" t="s">
        <v>1</v>
      </c>
      <c r="AQ801" t="s">
        <v>2</v>
      </c>
      <c r="AR801" t="s">
        <v>1</v>
      </c>
      <c r="AS801" t="s">
        <v>1</v>
      </c>
      <c r="AT801" t="s">
        <v>1</v>
      </c>
      <c r="AU801" t="s">
        <v>1</v>
      </c>
      <c r="AV801" t="s">
        <v>1</v>
      </c>
      <c r="AW801" t="s">
        <v>9</v>
      </c>
      <c r="AX801">
        <f>Tabla1[[#This Row],[precio del paquete]]-Tabla1[[#This Row],[Saldo_Deudor]]</f>
        <v>16000</v>
      </c>
      <c r="AY801">
        <v>3800</v>
      </c>
      <c r="AZ801">
        <v>0</v>
      </c>
      <c r="BA801">
        <v>0</v>
      </c>
      <c r="BB801">
        <v>0</v>
      </c>
      <c r="BC801" t="s">
        <v>4841</v>
      </c>
      <c r="BD801" t="s">
        <v>4926</v>
      </c>
      <c r="BE801" t="s">
        <v>3</v>
      </c>
      <c r="BF801" t="s">
        <v>3</v>
      </c>
      <c r="BG801" t="s">
        <v>3</v>
      </c>
      <c r="BH801" t="s">
        <v>3</v>
      </c>
      <c r="BI801" t="s">
        <v>3</v>
      </c>
      <c r="BJ801" t="s">
        <v>5013</v>
      </c>
      <c r="BK801" t="s">
        <v>3</v>
      </c>
      <c r="BL801" t="s">
        <v>96</v>
      </c>
      <c r="BM801" t="s">
        <v>1</v>
      </c>
      <c r="BN801">
        <v>19800</v>
      </c>
      <c r="BO801" t="s">
        <v>1</v>
      </c>
      <c r="BP801" t="s">
        <v>1</v>
      </c>
      <c r="BQ801" t="s">
        <v>1</v>
      </c>
      <c r="BR801" t="s">
        <v>1</v>
      </c>
      <c r="BS801" t="s">
        <v>1</v>
      </c>
      <c r="BT801" t="s">
        <v>1</v>
      </c>
      <c r="BU801" t="s">
        <v>1</v>
      </c>
      <c r="BV801" t="s">
        <v>1</v>
      </c>
      <c r="BW801" t="s">
        <v>0</v>
      </c>
      <c r="BX801" t="s">
        <v>1</v>
      </c>
      <c r="BY801" t="s">
        <v>1</v>
      </c>
      <c r="BZ801" t="s">
        <v>1</v>
      </c>
      <c r="CA801" t="s">
        <v>1</v>
      </c>
      <c r="CB801" t="s">
        <v>1</v>
      </c>
      <c r="CD801" t="e" cm="1">
        <f t="array" aca="1" ref="CD801" ca="1">eConcatenar(A801:CB801,"|")</f>
        <v>#NAME?</v>
      </c>
    </row>
    <row r="802" spans="1:82" x14ac:dyDescent="0.25">
      <c r="A802" t="s">
        <v>897</v>
      </c>
      <c r="B802" t="s">
        <v>1915</v>
      </c>
      <c r="C802">
        <v>3</v>
      </c>
      <c r="D802" t="s">
        <v>2157</v>
      </c>
      <c r="E802" t="s">
        <v>2158</v>
      </c>
      <c r="F802" t="s">
        <v>0</v>
      </c>
      <c r="G802" t="s">
        <v>2261</v>
      </c>
      <c r="H802" t="s">
        <v>2992</v>
      </c>
      <c r="I802">
        <v>12900</v>
      </c>
      <c r="J802">
        <v>0</v>
      </c>
      <c r="K802">
        <v>200</v>
      </c>
      <c r="L802">
        <v>50</v>
      </c>
      <c r="M802">
        <v>1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 t="s">
        <v>3944</v>
      </c>
      <c r="AC802" t="s">
        <v>3132</v>
      </c>
      <c r="AD802" t="s">
        <v>3945</v>
      </c>
      <c r="AE802" t="s">
        <v>4</v>
      </c>
      <c r="AF802" t="s">
        <v>1</v>
      </c>
      <c r="AG802" t="s">
        <v>1</v>
      </c>
      <c r="AH802" t="s">
        <v>4660</v>
      </c>
      <c r="AI802" t="s">
        <v>2261</v>
      </c>
      <c r="AJ802" t="s">
        <v>1</v>
      </c>
      <c r="AK802">
        <v>9371534686</v>
      </c>
      <c r="AL802" t="s">
        <v>1</v>
      </c>
      <c r="AM802" t="s">
        <v>1</v>
      </c>
      <c r="AN802" t="s">
        <v>1</v>
      </c>
      <c r="AO802" t="s">
        <v>4660</v>
      </c>
      <c r="AP802" t="s">
        <v>1</v>
      </c>
      <c r="AQ802" t="s">
        <v>2</v>
      </c>
      <c r="AR802" t="s">
        <v>1</v>
      </c>
      <c r="AS802" t="s">
        <v>1</v>
      </c>
      <c r="AT802" t="s">
        <v>1</v>
      </c>
      <c r="AU802" t="s">
        <v>1</v>
      </c>
      <c r="AV802" t="s">
        <v>1</v>
      </c>
      <c r="AW802" t="s">
        <v>9</v>
      </c>
      <c r="AX802">
        <f>Tabla1[[#This Row],[precio del paquete]]-Tabla1[[#This Row],[Saldo_Deudor]]</f>
        <v>11500</v>
      </c>
      <c r="AY802">
        <v>1400</v>
      </c>
      <c r="AZ802">
        <v>0</v>
      </c>
      <c r="BA802">
        <v>0</v>
      </c>
      <c r="BB802">
        <v>0</v>
      </c>
      <c r="BC802" t="s">
        <v>4841</v>
      </c>
      <c r="BD802" t="s">
        <v>4926</v>
      </c>
      <c r="BE802" t="s">
        <v>3</v>
      </c>
      <c r="BF802" t="s">
        <v>3</v>
      </c>
      <c r="BG802" t="s">
        <v>3</v>
      </c>
      <c r="BH802" t="s">
        <v>3</v>
      </c>
      <c r="BI802" t="s">
        <v>3</v>
      </c>
      <c r="BJ802" t="s">
        <v>5013</v>
      </c>
      <c r="BK802" t="s">
        <v>3</v>
      </c>
      <c r="BL802" t="s">
        <v>96</v>
      </c>
      <c r="BM802" t="s">
        <v>1</v>
      </c>
      <c r="BN802">
        <v>12900</v>
      </c>
      <c r="BO802" t="s">
        <v>1</v>
      </c>
      <c r="BP802" t="s">
        <v>1</v>
      </c>
      <c r="BQ802" t="s">
        <v>1</v>
      </c>
      <c r="BR802" t="s">
        <v>1</v>
      </c>
      <c r="BS802" t="s">
        <v>1</v>
      </c>
      <c r="BT802" t="s">
        <v>1</v>
      </c>
      <c r="BU802" t="s">
        <v>1</v>
      </c>
      <c r="BV802" t="s">
        <v>1</v>
      </c>
      <c r="BW802" t="s">
        <v>0</v>
      </c>
      <c r="BX802" t="s">
        <v>1</v>
      </c>
      <c r="BY802" t="s">
        <v>1</v>
      </c>
      <c r="BZ802" t="s">
        <v>1</v>
      </c>
      <c r="CA802" t="s">
        <v>1</v>
      </c>
      <c r="CB802" t="s">
        <v>1</v>
      </c>
      <c r="CD802" t="e" cm="1">
        <f t="array" aca="1" ref="CD802" ca="1">eConcatenar(A802:CB802,"|")</f>
        <v>#NAME?</v>
      </c>
    </row>
    <row r="803" spans="1:82" x14ac:dyDescent="0.25">
      <c r="A803" t="s">
        <v>898</v>
      </c>
      <c r="B803" t="s">
        <v>1916</v>
      </c>
      <c r="C803">
        <v>3</v>
      </c>
      <c r="D803" t="s">
        <v>2157</v>
      </c>
      <c r="E803" t="s">
        <v>2158</v>
      </c>
      <c r="F803" t="s">
        <v>0</v>
      </c>
      <c r="G803" t="s">
        <v>2261</v>
      </c>
      <c r="H803" t="s">
        <v>3034</v>
      </c>
      <c r="I803">
        <v>12900</v>
      </c>
      <c r="J803">
        <v>0</v>
      </c>
      <c r="K803">
        <v>500</v>
      </c>
      <c r="L803">
        <v>50</v>
      </c>
      <c r="M803">
        <v>1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 t="s">
        <v>3423</v>
      </c>
      <c r="AC803" t="s">
        <v>3177</v>
      </c>
      <c r="AD803" t="s">
        <v>3946</v>
      </c>
      <c r="AE803" t="s">
        <v>4</v>
      </c>
      <c r="AF803" t="s">
        <v>1</v>
      </c>
      <c r="AG803" t="s">
        <v>1</v>
      </c>
      <c r="AH803" t="s">
        <v>4661</v>
      </c>
      <c r="AI803" t="s">
        <v>2261</v>
      </c>
      <c r="AJ803" t="s">
        <v>1</v>
      </c>
      <c r="AK803">
        <v>9372291451</v>
      </c>
      <c r="AL803" t="s">
        <v>1</v>
      </c>
      <c r="AM803" t="s">
        <v>1</v>
      </c>
      <c r="AN803" t="s">
        <v>1</v>
      </c>
      <c r="AO803" t="s">
        <v>4661</v>
      </c>
      <c r="AP803" t="s">
        <v>1</v>
      </c>
      <c r="AQ803" t="s">
        <v>2</v>
      </c>
      <c r="AR803" t="s">
        <v>1</v>
      </c>
      <c r="AS803" t="s">
        <v>1</v>
      </c>
      <c r="AT803" t="s">
        <v>1</v>
      </c>
      <c r="AU803" t="s">
        <v>1</v>
      </c>
      <c r="AV803" t="s">
        <v>1</v>
      </c>
      <c r="AW803" t="s">
        <v>9</v>
      </c>
      <c r="AX803">
        <f>Tabla1[[#This Row],[precio del paquete]]-Tabla1[[#This Row],[Saldo_Deudor]]</f>
        <v>8840</v>
      </c>
      <c r="AY803">
        <v>4060</v>
      </c>
      <c r="AZ803">
        <v>0</v>
      </c>
      <c r="BA803">
        <v>0</v>
      </c>
      <c r="BB803">
        <v>0</v>
      </c>
      <c r="BC803" t="s">
        <v>2839</v>
      </c>
      <c r="BD803" t="s">
        <v>4851</v>
      </c>
      <c r="BE803" t="s">
        <v>3</v>
      </c>
      <c r="BF803" t="s">
        <v>3</v>
      </c>
      <c r="BG803" t="s">
        <v>3</v>
      </c>
      <c r="BH803" t="s">
        <v>3</v>
      </c>
      <c r="BI803" t="s">
        <v>3</v>
      </c>
      <c r="BJ803" t="s">
        <v>5013</v>
      </c>
      <c r="BK803" t="s">
        <v>3</v>
      </c>
      <c r="BL803" t="s">
        <v>96</v>
      </c>
      <c r="BM803" t="s">
        <v>1</v>
      </c>
      <c r="BN803">
        <v>12900</v>
      </c>
      <c r="BO803" t="s">
        <v>1</v>
      </c>
      <c r="BP803" t="s">
        <v>1</v>
      </c>
      <c r="BQ803" t="s">
        <v>1</v>
      </c>
      <c r="BR803" t="s">
        <v>1</v>
      </c>
      <c r="BS803" t="s">
        <v>1</v>
      </c>
      <c r="BT803" t="s">
        <v>1</v>
      </c>
      <c r="BU803" t="s">
        <v>1</v>
      </c>
      <c r="BV803" t="s">
        <v>1</v>
      </c>
      <c r="BW803" t="s">
        <v>0</v>
      </c>
      <c r="BX803" t="s">
        <v>1</v>
      </c>
      <c r="BY803" t="s">
        <v>1</v>
      </c>
      <c r="BZ803" t="s">
        <v>1</v>
      </c>
      <c r="CA803" t="s">
        <v>1</v>
      </c>
      <c r="CB803" t="s">
        <v>1</v>
      </c>
      <c r="CD803" t="e" cm="1">
        <f t="array" aca="1" ref="CD803" ca="1">eConcatenar(A803:CB803,"|")</f>
        <v>#NAME?</v>
      </c>
    </row>
    <row r="804" spans="1:82" x14ac:dyDescent="0.25">
      <c r="A804" t="s">
        <v>899</v>
      </c>
      <c r="B804" t="s">
        <v>1917</v>
      </c>
      <c r="C804">
        <v>3</v>
      </c>
      <c r="D804" t="s">
        <v>3108</v>
      </c>
      <c r="E804" t="s">
        <v>2158</v>
      </c>
      <c r="F804" t="s">
        <v>0</v>
      </c>
      <c r="G804" t="s">
        <v>2614</v>
      </c>
      <c r="H804" t="s">
        <v>3035</v>
      </c>
      <c r="I804">
        <v>31800</v>
      </c>
      <c r="J804">
        <v>0</v>
      </c>
      <c r="K804">
        <v>200</v>
      </c>
      <c r="L804">
        <v>50</v>
      </c>
      <c r="M804">
        <v>1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 t="s">
        <v>3115</v>
      </c>
      <c r="AC804" t="s">
        <v>6</v>
      </c>
      <c r="AD804" t="s">
        <v>3212</v>
      </c>
      <c r="AE804" t="s">
        <v>4</v>
      </c>
      <c r="AF804" t="s">
        <v>1</v>
      </c>
      <c r="AG804" t="s">
        <v>1</v>
      </c>
      <c r="AH804" t="s">
        <v>4662</v>
      </c>
      <c r="AI804" t="s">
        <v>2614</v>
      </c>
      <c r="AJ804" t="s">
        <v>1</v>
      </c>
      <c r="AK804">
        <v>9371094136</v>
      </c>
      <c r="AL804" t="s">
        <v>1</v>
      </c>
      <c r="AM804" t="s">
        <v>1</v>
      </c>
      <c r="AN804" t="s">
        <v>1</v>
      </c>
      <c r="AO804" t="s">
        <v>4662</v>
      </c>
      <c r="AP804" t="s">
        <v>1</v>
      </c>
      <c r="AQ804" t="s">
        <v>2</v>
      </c>
      <c r="AR804" t="s">
        <v>1</v>
      </c>
      <c r="AS804" t="s">
        <v>1</v>
      </c>
      <c r="AT804" t="s">
        <v>1</v>
      </c>
      <c r="AU804" t="s">
        <v>1</v>
      </c>
      <c r="AV804" t="s">
        <v>1</v>
      </c>
      <c r="AW804" t="s">
        <v>9</v>
      </c>
      <c r="AX804">
        <f>Tabla1[[#This Row],[precio del paquete]]-Tabla1[[#This Row],[Saldo_Deudor]]</f>
        <v>9800</v>
      </c>
      <c r="AY804">
        <v>22000</v>
      </c>
      <c r="AZ804">
        <v>0</v>
      </c>
      <c r="BA804">
        <v>0</v>
      </c>
      <c r="BB804">
        <v>0</v>
      </c>
      <c r="BC804" t="s">
        <v>2839</v>
      </c>
      <c r="BD804" t="s">
        <v>4851</v>
      </c>
      <c r="BE804" t="s">
        <v>3</v>
      </c>
      <c r="BF804" t="s">
        <v>3</v>
      </c>
      <c r="BG804" t="s">
        <v>3</v>
      </c>
      <c r="BH804" t="s">
        <v>3</v>
      </c>
      <c r="BI804" t="s">
        <v>3</v>
      </c>
      <c r="BJ804" t="s">
        <v>5013</v>
      </c>
      <c r="BK804" t="s">
        <v>3</v>
      </c>
      <c r="BL804" t="s">
        <v>96</v>
      </c>
      <c r="BM804" t="s">
        <v>1</v>
      </c>
      <c r="BN804">
        <v>31800</v>
      </c>
      <c r="BO804" t="s">
        <v>1</v>
      </c>
      <c r="BP804" t="s">
        <v>1</v>
      </c>
      <c r="BQ804" t="s">
        <v>1</v>
      </c>
      <c r="BR804" t="s">
        <v>1</v>
      </c>
      <c r="BS804" t="s">
        <v>1</v>
      </c>
      <c r="BT804" t="s">
        <v>1</v>
      </c>
      <c r="BU804" t="s">
        <v>1</v>
      </c>
      <c r="BV804" t="s">
        <v>1</v>
      </c>
      <c r="BW804" t="s">
        <v>0</v>
      </c>
      <c r="BX804" t="s">
        <v>1</v>
      </c>
      <c r="BY804" t="s">
        <v>1</v>
      </c>
      <c r="BZ804" t="s">
        <v>1</v>
      </c>
      <c r="CA804" t="s">
        <v>1</v>
      </c>
      <c r="CB804" t="s">
        <v>1</v>
      </c>
      <c r="CD804" t="e" cm="1">
        <f t="array" aca="1" ref="CD804" ca="1">eConcatenar(A804:CB804,"|")</f>
        <v>#NAME?</v>
      </c>
    </row>
    <row r="805" spans="1:82" x14ac:dyDescent="0.25">
      <c r="A805" t="s">
        <v>900</v>
      </c>
      <c r="B805" t="s">
        <v>1918</v>
      </c>
      <c r="C805">
        <v>3</v>
      </c>
      <c r="D805" t="s">
        <v>2153</v>
      </c>
      <c r="E805" t="s">
        <v>2158</v>
      </c>
      <c r="F805" t="s">
        <v>0</v>
      </c>
      <c r="G805" t="s">
        <v>2254</v>
      </c>
      <c r="H805" t="s">
        <v>3036</v>
      </c>
      <c r="I805">
        <v>14800</v>
      </c>
      <c r="J805">
        <v>0</v>
      </c>
      <c r="K805">
        <v>500</v>
      </c>
      <c r="L805">
        <v>50</v>
      </c>
      <c r="M805">
        <v>1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 t="s">
        <v>3117</v>
      </c>
      <c r="AC805" t="s">
        <v>3148</v>
      </c>
      <c r="AD805" t="s">
        <v>3269</v>
      </c>
      <c r="AE805" t="s">
        <v>4</v>
      </c>
      <c r="AF805" t="s">
        <v>1</v>
      </c>
      <c r="AG805" t="s">
        <v>1</v>
      </c>
      <c r="AH805" t="s">
        <v>4663</v>
      </c>
      <c r="AI805" t="s">
        <v>2254</v>
      </c>
      <c r="AJ805" t="s">
        <v>1</v>
      </c>
      <c r="AK805">
        <v>9371280581</v>
      </c>
      <c r="AL805" t="s">
        <v>1</v>
      </c>
      <c r="AM805" t="s">
        <v>1</v>
      </c>
      <c r="AN805" t="s">
        <v>1</v>
      </c>
      <c r="AO805" t="s">
        <v>4663</v>
      </c>
      <c r="AP805" t="s">
        <v>1</v>
      </c>
      <c r="AQ805" t="s">
        <v>2</v>
      </c>
      <c r="AR805" t="s">
        <v>1</v>
      </c>
      <c r="AS805" t="s">
        <v>1</v>
      </c>
      <c r="AT805" t="s">
        <v>1</v>
      </c>
      <c r="AU805" t="s">
        <v>1</v>
      </c>
      <c r="AV805" t="s">
        <v>1</v>
      </c>
      <c r="AW805" t="s">
        <v>9</v>
      </c>
      <c r="AX805">
        <f>Tabla1[[#This Row],[precio del paquete]]-Tabla1[[#This Row],[Saldo_Deudor]]</f>
        <v>5000</v>
      </c>
      <c r="AY805">
        <v>9800</v>
      </c>
      <c r="AZ805">
        <v>0</v>
      </c>
      <c r="BA805">
        <v>0</v>
      </c>
      <c r="BB805">
        <v>0</v>
      </c>
      <c r="BC805" t="s">
        <v>4841</v>
      </c>
      <c r="BD805" t="s">
        <v>4926</v>
      </c>
      <c r="BE805" t="s">
        <v>3</v>
      </c>
      <c r="BF805" t="s">
        <v>3</v>
      </c>
      <c r="BG805" t="s">
        <v>3</v>
      </c>
      <c r="BH805" t="s">
        <v>3</v>
      </c>
      <c r="BI805" t="s">
        <v>3</v>
      </c>
      <c r="BJ805" t="s">
        <v>5013</v>
      </c>
      <c r="BK805" t="s">
        <v>3</v>
      </c>
      <c r="BL805" t="s">
        <v>96</v>
      </c>
      <c r="BM805" t="s">
        <v>1</v>
      </c>
      <c r="BN805">
        <v>14800</v>
      </c>
      <c r="BO805" t="s">
        <v>1</v>
      </c>
      <c r="BP805" t="s">
        <v>1</v>
      </c>
      <c r="BQ805" t="s">
        <v>1</v>
      </c>
      <c r="BR805" t="s">
        <v>1</v>
      </c>
      <c r="BS805" t="s">
        <v>1</v>
      </c>
      <c r="BT805" t="s">
        <v>1</v>
      </c>
      <c r="BU805" t="s">
        <v>1</v>
      </c>
      <c r="BV805" t="s">
        <v>1</v>
      </c>
      <c r="BW805" t="s">
        <v>0</v>
      </c>
      <c r="BX805" t="s">
        <v>1</v>
      </c>
      <c r="BY805" t="s">
        <v>1</v>
      </c>
      <c r="BZ805" t="s">
        <v>1</v>
      </c>
      <c r="CA805" t="s">
        <v>1</v>
      </c>
      <c r="CB805" t="s">
        <v>1</v>
      </c>
      <c r="CD805" t="e" cm="1">
        <f t="array" aca="1" ref="CD805" ca="1">eConcatenar(A805:CB805,"|")</f>
        <v>#NAME?</v>
      </c>
    </row>
    <row r="806" spans="1:82" x14ac:dyDescent="0.25">
      <c r="A806" t="s">
        <v>901</v>
      </c>
      <c r="B806" t="s">
        <v>1919</v>
      </c>
      <c r="C806">
        <v>3</v>
      </c>
      <c r="D806" t="s">
        <v>2157</v>
      </c>
      <c r="E806" t="s">
        <v>2158</v>
      </c>
      <c r="F806" t="s">
        <v>0</v>
      </c>
      <c r="G806" t="s">
        <v>2526</v>
      </c>
      <c r="H806" t="s">
        <v>3037</v>
      </c>
      <c r="I806">
        <v>12900</v>
      </c>
      <c r="J806">
        <v>0</v>
      </c>
      <c r="K806">
        <v>200</v>
      </c>
      <c r="L806">
        <v>50</v>
      </c>
      <c r="M806">
        <v>1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 t="s">
        <v>3232</v>
      </c>
      <c r="AC806" t="s">
        <v>3214</v>
      </c>
      <c r="AD806" t="s">
        <v>3947</v>
      </c>
      <c r="AE806" t="s">
        <v>4</v>
      </c>
      <c r="AF806" t="s">
        <v>1</v>
      </c>
      <c r="AG806" t="s">
        <v>1</v>
      </c>
      <c r="AH806" t="s">
        <v>4664</v>
      </c>
      <c r="AI806" t="s">
        <v>2526</v>
      </c>
      <c r="AJ806" t="s">
        <v>1</v>
      </c>
      <c r="AK806">
        <v>9371224080</v>
      </c>
      <c r="AL806" t="s">
        <v>1</v>
      </c>
      <c r="AM806" t="s">
        <v>1</v>
      </c>
      <c r="AN806" t="s">
        <v>1</v>
      </c>
      <c r="AO806" t="s">
        <v>4664</v>
      </c>
      <c r="AP806" t="s">
        <v>1</v>
      </c>
      <c r="AQ806" t="s">
        <v>2</v>
      </c>
      <c r="AR806" t="s">
        <v>1</v>
      </c>
      <c r="AS806" t="s">
        <v>1</v>
      </c>
      <c r="AT806" t="s">
        <v>1</v>
      </c>
      <c r="AU806" t="s">
        <v>1</v>
      </c>
      <c r="AV806" t="s">
        <v>1</v>
      </c>
      <c r="AW806" t="s">
        <v>9</v>
      </c>
      <c r="AX806">
        <f>Tabla1[[#This Row],[precio del paquete]]-Tabla1[[#This Row],[Saldo_Deudor]]</f>
        <v>12600</v>
      </c>
      <c r="AY806">
        <v>300</v>
      </c>
      <c r="AZ806">
        <v>0</v>
      </c>
      <c r="BA806">
        <v>0</v>
      </c>
      <c r="BB806">
        <v>0</v>
      </c>
      <c r="BC806" t="s">
        <v>4830</v>
      </c>
      <c r="BD806" t="s">
        <v>4906</v>
      </c>
      <c r="BE806" t="s">
        <v>3</v>
      </c>
      <c r="BF806" t="s">
        <v>3</v>
      </c>
      <c r="BG806" t="s">
        <v>3</v>
      </c>
      <c r="BH806" t="s">
        <v>3</v>
      </c>
      <c r="BI806" t="s">
        <v>3</v>
      </c>
      <c r="BJ806" t="s">
        <v>5013</v>
      </c>
      <c r="BK806" t="s">
        <v>3</v>
      </c>
      <c r="BL806" t="s">
        <v>96</v>
      </c>
      <c r="BM806" t="s">
        <v>1</v>
      </c>
      <c r="BN806">
        <v>12900</v>
      </c>
      <c r="BO806" t="s">
        <v>1</v>
      </c>
      <c r="BP806" t="s">
        <v>1</v>
      </c>
      <c r="BQ806" t="s">
        <v>1</v>
      </c>
      <c r="BR806" t="s">
        <v>1</v>
      </c>
      <c r="BS806" t="s">
        <v>1</v>
      </c>
      <c r="BT806" t="s">
        <v>1</v>
      </c>
      <c r="BU806" t="s">
        <v>1</v>
      </c>
      <c r="BV806" t="s">
        <v>1</v>
      </c>
      <c r="BW806" t="s">
        <v>0</v>
      </c>
      <c r="BX806" t="s">
        <v>1</v>
      </c>
      <c r="BY806" t="s">
        <v>1</v>
      </c>
      <c r="BZ806" t="s">
        <v>1</v>
      </c>
      <c r="CA806" t="s">
        <v>1</v>
      </c>
      <c r="CB806" t="s">
        <v>1</v>
      </c>
      <c r="CD806" t="e" cm="1">
        <f t="array" aca="1" ref="CD806" ca="1">eConcatenar(A806:CB806,"|")</f>
        <v>#NAME?</v>
      </c>
    </row>
    <row r="807" spans="1:82" x14ac:dyDescent="0.25">
      <c r="A807" t="s">
        <v>902</v>
      </c>
      <c r="B807" t="s">
        <v>1920</v>
      </c>
      <c r="C807">
        <v>3</v>
      </c>
      <c r="D807" t="s">
        <v>2153</v>
      </c>
      <c r="E807" t="s">
        <v>2158</v>
      </c>
      <c r="F807" t="s">
        <v>0</v>
      </c>
      <c r="G807" t="s">
        <v>2615</v>
      </c>
      <c r="H807" t="s">
        <v>3038</v>
      </c>
      <c r="I807">
        <v>14800</v>
      </c>
      <c r="J807">
        <v>0</v>
      </c>
      <c r="K807">
        <v>200</v>
      </c>
      <c r="L807">
        <v>50</v>
      </c>
      <c r="M807">
        <v>1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 t="s">
        <v>3327</v>
      </c>
      <c r="AC807" t="s">
        <v>3686</v>
      </c>
      <c r="AD807" t="s">
        <v>3948</v>
      </c>
      <c r="AE807" t="s">
        <v>4</v>
      </c>
      <c r="AF807" t="s">
        <v>1</v>
      </c>
      <c r="AG807" t="s">
        <v>1</v>
      </c>
      <c r="AH807" t="s">
        <v>4665</v>
      </c>
      <c r="AI807" t="s">
        <v>2615</v>
      </c>
      <c r="AJ807" t="s">
        <v>1</v>
      </c>
      <c r="AK807">
        <v>9981021365</v>
      </c>
      <c r="AL807" t="s">
        <v>1</v>
      </c>
      <c r="AM807" t="s">
        <v>1</v>
      </c>
      <c r="AN807" t="s">
        <v>1</v>
      </c>
      <c r="AO807" t="s">
        <v>4665</v>
      </c>
      <c r="AP807" t="s">
        <v>1</v>
      </c>
      <c r="AQ807" t="s">
        <v>2</v>
      </c>
      <c r="AR807" t="s">
        <v>1</v>
      </c>
      <c r="AS807" t="s">
        <v>1</v>
      </c>
      <c r="AT807" t="s">
        <v>1</v>
      </c>
      <c r="AU807" t="s">
        <v>1</v>
      </c>
      <c r="AV807" t="s">
        <v>1</v>
      </c>
      <c r="AW807" t="s">
        <v>9</v>
      </c>
      <c r="AX807">
        <f>Tabla1[[#This Row],[precio del paquete]]-Tabla1[[#This Row],[Saldo_Deudor]]</f>
        <v>1300</v>
      </c>
      <c r="AY807">
        <v>13500</v>
      </c>
      <c r="AZ807">
        <v>0</v>
      </c>
      <c r="BA807">
        <v>0</v>
      </c>
      <c r="BB807">
        <v>0</v>
      </c>
      <c r="BC807" t="s">
        <v>3006</v>
      </c>
      <c r="BD807" t="s">
        <v>2790</v>
      </c>
      <c r="BE807" t="s">
        <v>3</v>
      </c>
      <c r="BF807" t="s">
        <v>3</v>
      </c>
      <c r="BG807" t="s">
        <v>3</v>
      </c>
      <c r="BH807" t="s">
        <v>3</v>
      </c>
      <c r="BI807" t="s">
        <v>3</v>
      </c>
      <c r="BJ807" t="s">
        <v>5013</v>
      </c>
      <c r="BK807" t="s">
        <v>3</v>
      </c>
      <c r="BL807" t="s">
        <v>96</v>
      </c>
      <c r="BM807" t="s">
        <v>1</v>
      </c>
      <c r="BN807">
        <v>14800</v>
      </c>
      <c r="BO807" t="s">
        <v>1</v>
      </c>
      <c r="BP807" t="s">
        <v>1</v>
      </c>
      <c r="BQ807" t="s">
        <v>1</v>
      </c>
      <c r="BR807" t="s">
        <v>1</v>
      </c>
      <c r="BS807" t="s">
        <v>1</v>
      </c>
      <c r="BT807" t="s">
        <v>1</v>
      </c>
      <c r="BU807" t="s">
        <v>1</v>
      </c>
      <c r="BV807" t="s">
        <v>1</v>
      </c>
      <c r="BW807" t="s">
        <v>0</v>
      </c>
      <c r="BX807" t="s">
        <v>1</v>
      </c>
      <c r="BY807" t="s">
        <v>1</v>
      </c>
      <c r="BZ807" t="s">
        <v>1</v>
      </c>
      <c r="CA807" t="s">
        <v>1</v>
      </c>
      <c r="CB807" t="s">
        <v>1</v>
      </c>
      <c r="CD807" t="e" cm="1">
        <f t="array" aca="1" ref="CD807" ca="1">eConcatenar(A807:CB807,"|")</f>
        <v>#NAME?</v>
      </c>
    </row>
    <row r="808" spans="1:82" x14ac:dyDescent="0.25">
      <c r="A808" t="s">
        <v>903</v>
      </c>
      <c r="B808" t="s">
        <v>1921</v>
      </c>
      <c r="C808">
        <v>3</v>
      </c>
      <c r="D808" t="s">
        <v>2157</v>
      </c>
      <c r="E808" t="s">
        <v>2158</v>
      </c>
      <c r="F808" t="s">
        <v>0</v>
      </c>
      <c r="G808" t="s">
        <v>2616</v>
      </c>
      <c r="H808" t="s">
        <v>3039</v>
      </c>
      <c r="I808">
        <v>11500</v>
      </c>
      <c r="J808">
        <v>0</v>
      </c>
      <c r="K808">
        <v>100</v>
      </c>
      <c r="L808">
        <v>50</v>
      </c>
      <c r="M808">
        <v>1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 t="s">
        <v>3132</v>
      </c>
      <c r="AC808" t="s">
        <v>3157</v>
      </c>
      <c r="AD808" t="s">
        <v>3949</v>
      </c>
      <c r="AE808" t="s">
        <v>4</v>
      </c>
      <c r="AF808" t="s">
        <v>1</v>
      </c>
      <c r="AG808" t="s">
        <v>1</v>
      </c>
      <c r="AH808" t="s">
        <v>4666</v>
      </c>
      <c r="AI808" t="s">
        <v>2616</v>
      </c>
      <c r="AJ808" t="s">
        <v>1</v>
      </c>
      <c r="AK808">
        <v>9371342172</v>
      </c>
      <c r="AL808" t="s">
        <v>1</v>
      </c>
      <c r="AM808" t="s">
        <v>1</v>
      </c>
      <c r="AN808" t="s">
        <v>1</v>
      </c>
      <c r="AO808" t="s">
        <v>4666</v>
      </c>
      <c r="AP808" t="s">
        <v>1</v>
      </c>
      <c r="AQ808" t="s">
        <v>2</v>
      </c>
      <c r="AR808" t="s">
        <v>1</v>
      </c>
      <c r="AS808" t="s">
        <v>1</v>
      </c>
      <c r="AT808" t="s">
        <v>1</v>
      </c>
      <c r="AU808" t="s">
        <v>1</v>
      </c>
      <c r="AV808" t="s">
        <v>1</v>
      </c>
      <c r="AW808" t="s">
        <v>9</v>
      </c>
      <c r="AX808">
        <f>Tabla1[[#This Row],[precio del paquete]]-Tabla1[[#This Row],[Saldo_Deudor]]</f>
        <v>9800</v>
      </c>
      <c r="AY808">
        <v>1700</v>
      </c>
      <c r="AZ808">
        <v>0</v>
      </c>
      <c r="BA808">
        <v>0</v>
      </c>
      <c r="BB808">
        <v>0</v>
      </c>
      <c r="BC808" t="s">
        <v>2778</v>
      </c>
      <c r="BD808" t="s">
        <v>2849</v>
      </c>
      <c r="BE808" t="s">
        <v>3</v>
      </c>
      <c r="BF808" t="s">
        <v>3</v>
      </c>
      <c r="BG808" t="s">
        <v>3</v>
      </c>
      <c r="BH808" t="s">
        <v>3</v>
      </c>
      <c r="BI808" t="s">
        <v>3</v>
      </c>
      <c r="BJ808" t="s">
        <v>5013</v>
      </c>
      <c r="BK808" t="s">
        <v>3</v>
      </c>
      <c r="BL808" t="s">
        <v>96</v>
      </c>
      <c r="BM808" t="s">
        <v>1</v>
      </c>
      <c r="BN808">
        <v>11500</v>
      </c>
      <c r="BO808" t="s">
        <v>1</v>
      </c>
      <c r="BP808" t="s">
        <v>1</v>
      </c>
      <c r="BQ808" t="s">
        <v>1</v>
      </c>
      <c r="BR808" t="s">
        <v>1</v>
      </c>
      <c r="BS808" t="s">
        <v>1</v>
      </c>
      <c r="BT808" t="s">
        <v>1</v>
      </c>
      <c r="BU808" t="s">
        <v>1</v>
      </c>
      <c r="BV808" t="s">
        <v>1</v>
      </c>
      <c r="BW808" t="s">
        <v>0</v>
      </c>
      <c r="BX808" t="s">
        <v>1</v>
      </c>
      <c r="BY808" t="s">
        <v>1</v>
      </c>
      <c r="BZ808" t="s">
        <v>1</v>
      </c>
      <c r="CA808" t="s">
        <v>1</v>
      </c>
      <c r="CB808" t="s">
        <v>1</v>
      </c>
      <c r="CD808" t="e" cm="1">
        <f t="array" aca="1" ref="CD808" ca="1">eConcatenar(A808:CB808,"|")</f>
        <v>#NAME?</v>
      </c>
    </row>
    <row r="809" spans="1:82" x14ac:dyDescent="0.25">
      <c r="A809" t="s">
        <v>904</v>
      </c>
      <c r="B809" t="s">
        <v>1922</v>
      </c>
      <c r="C809">
        <v>3</v>
      </c>
      <c r="D809" t="s">
        <v>2153</v>
      </c>
      <c r="E809" t="s">
        <v>2158</v>
      </c>
      <c r="F809" t="s">
        <v>0</v>
      </c>
      <c r="G809" t="s">
        <v>2617</v>
      </c>
      <c r="H809" t="s">
        <v>3040</v>
      </c>
      <c r="I809">
        <v>14800</v>
      </c>
      <c r="J809">
        <v>0</v>
      </c>
      <c r="K809">
        <v>200</v>
      </c>
      <c r="L809">
        <v>50</v>
      </c>
      <c r="M809">
        <v>1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 t="s">
        <v>3132</v>
      </c>
      <c r="AC809" t="s">
        <v>3132</v>
      </c>
      <c r="AD809" t="s">
        <v>3950</v>
      </c>
      <c r="AE809" t="s">
        <v>4</v>
      </c>
      <c r="AF809" t="s">
        <v>1</v>
      </c>
      <c r="AG809" t="s">
        <v>1</v>
      </c>
      <c r="AH809" t="s">
        <v>4667</v>
      </c>
      <c r="AI809" t="s">
        <v>2617</v>
      </c>
      <c r="AJ809" t="s">
        <v>1</v>
      </c>
      <c r="AK809">
        <v>9371113162</v>
      </c>
      <c r="AL809" t="s">
        <v>1</v>
      </c>
      <c r="AM809" t="s">
        <v>1</v>
      </c>
      <c r="AN809" t="s">
        <v>1</v>
      </c>
      <c r="AO809" t="s">
        <v>4667</v>
      </c>
      <c r="AP809" t="s">
        <v>1</v>
      </c>
      <c r="AQ809" t="s">
        <v>2</v>
      </c>
      <c r="AR809" t="s">
        <v>1</v>
      </c>
      <c r="AS809" t="s">
        <v>1</v>
      </c>
      <c r="AT809" t="s">
        <v>1</v>
      </c>
      <c r="AU809" t="s">
        <v>1</v>
      </c>
      <c r="AV809" t="s">
        <v>1</v>
      </c>
      <c r="AW809" t="s">
        <v>9</v>
      </c>
      <c r="AX809">
        <f>Tabla1[[#This Row],[precio del paquete]]-Tabla1[[#This Row],[Saldo_Deudor]]</f>
        <v>200</v>
      </c>
      <c r="AY809">
        <v>14600</v>
      </c>
      <c r="AZ809">
        <v>0</v>
      </c>
      <c r="BA809">
        <v>0</v>
      </c>
      <c r="BB809">
        <v>0</v>
      </c>
      <c r="BC809" t="s">
        <v>3040</v>
      </c>
      <c r="BD809" t="s">
        <v>4914</v>
      </c>
      <c r="BE809" t="s">
        <v>3</v>
      </c>
      <c r="BF809" t="s">
        <v>3</v>
      </c>
      <c r="BG809" t="s">
        <v>3</v>
      </c>
      <c r="BH809" t="s">
        <v>3</v>
      </c>
      <c r="BI809" t="s">
        <v>3</v>
      </c>
      <c r="BJ809" t="s">
        <v>5013</v>
      </c>
      <c r="BK809" t="s">
        <v>3</v>
      </c>
      <c r="BL809" t="s">
        <v>96</v>
      </c>
      <c r="BM809" t="s">
        <v>1</v>
      </c>
      <c r="BN809">
        <v>14800</v>
      </c>
      <c r="BO809" t="s">
        <v>1</v>
      </c>
      <c r="BP809" t="s">
        <v>1</v>
      </c>
      <c r="BQ809" t="s">
        <v>1</v>
      </c>
      <c r="BR809" t="s">
        <v>1</v>
      </c>
      <c r="BS809" t="s">
        <v>1</v>
      </c>
      <c r="BT809" t="s">
        <v>1</v>
      </c>
      <c r="BU809" t="s">
        <v>1</v>
      </c>
      <c r="BV809" t="s">
        <v>1</v>
      </c>
      <c r="BW809" t="s">
        <v>0</v>
      </c>
      <c r="BX809" t="s">
        <v>1</v>
      </c>
      <c r="BY809" t="s">
        <v>1</v>
      </c>
      <c r="BZ809" t="s">
        <v>1</v>
      </c>
      <c r="CA809" t="s">
        <v>1</v>
      </c>
      <c r="CB809" t="s">
        <v>1</v>
      </c>
      <c r="CD809" t="e" cm="1">
        <f t="array" aca="1" ref="CD809" ca="1">eConcatenar(A809:CB809,"|")</f>
        <v>#NAME?</v>
      </c>
    </row>
    <row r="810" spans="1:82" x14ac:dyDescent="0.25">
      <c r="A810" t="s">
        <v>905</v>
      </c>
      <c r="B810" t="s">
        <v>1923</v>
      </c>
      <c r="C810">
        <v>3</v>
      </c>
      <c r="D810" t="s">
        <v>3106</v>
      </c>
      <c r="E810" t="s">
        <v>2158</v>
      </c>
      <c r="F810" t="s">
        <v>0</v>
      </c>
      <c r="G810" t="s">
        <v>2249</v>
      </c>
      <c r="H810" t="s">
        <v>3041</v>
      </c>
      <c r="I810">
        <v>31500</v>
      </c>
      <c r="J810">
        <v>0</v>
      </c>
      <c r="K810">
        <v>500</v>
      </c>
      <c r="L810">
        <v>50</v>
      </c>
      <c r="M810">
        <v>1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 t="s">
        <v>3951</v>
      </c>
      <c r="AC810" t="s">
        <v>3148</v>
      </c>
      <c r="AD810" t="s">
        <v>3952</v>
      </c>
      <c r="AE810" t="s">
        <v>4</v>
      </c>
      <c r="AF810" t="s">
        <v>1</v>
      </c>
      <c r="AG810" t="s">
        <v>1</v>
      </c>
      <c r="AH810" t="s">
        <v>4466</v>
      </c>
      <c r="AI810" t="s">
        <v>2249</v>
      </c>
      <c r="AJ810" t="s">
        <v>1</v>
      </c>
      <c r="AK810">
        <v>9371055015</v>
      </c>
      <c r="AL810" t="s">
        <v>1</v>
      </c>
      <c r="AM810" t="s">
        <v>1</v>
      </c>
      <c r="AN810" t="s">
        <v>1</v>
      </c>
      <c r="AO810" t="s">
        <v>4466</v>
      </c>
      <c r="AP810" t="s">
        <v>1</v>
      </c>
      <c r="AQ810" t="s">
        <v>2</v>
      </c>
      <c r="AR810" t="s">
        <v>1</v>
      </c>
      <c r="AS810" t="s">
        <v>1</v>
      </c>
      <c r="AT810" t="s">
        <v>1</v>
      </c>
      <c r="AU810" t="s">
        <v>1</v>
      </c>
      <c r="AV810" t="s">
        <v>1</v>
      </c>
      <c r="AW810" t="s">
        <v>9</v>
      </c>
      <c r="AX810">
        <f>Tabla1[[#This Row],[precio del paquete]]-Tabla1[[#This Row],[Saldo_Deudor]]</f>
        <v>17850</v>
      </c>
      <c r="AY810">
        <v>13650</v>
      </c>
      <c r="AZ810">
        <v>0</v>
      </c>
      <c r="BA810">
        <v>0</v>
      </c>
      <c r="BB810">
        <v>0</v>
      </c>
      <c r="BC810" t="s">
        <v>3098</v>
      </c>
      <c r="BD810" t="s">
        <v>4829</v>
      </c>
      <c r="BE810" t="s">
        <v>3</v>
      </c>
      <c r="BF810" t="s">
        <v>3</v>
      </c>
      <c r="BG810" t="s">
        <v>3</v>
      </c>
      <c r="BH810" t="s">
        <v>3</v>
      </c>
      <c r="BI810" t="s">
        <v>3</v>
      </c>
      <c r="BJ810" t="s">
        <v>5013</v>
      </c>
      <c r="BK810" t="s">
        <v>3</v>
      </c>
      <c r="BL810" t="s">
        <v>96</v>
      </c>
      <c r="BM810" t="s">
        <v>1</v>
      </c>
      <c r="BN810">
        <v>31500</v>
      </c>
      <c r="BO810" t="s">
        <v>1</v>
      </c>
      <c r="BP810" t="s">
        <v>1</v>
      </c>
      <c r="BQ810" t="s">
        <v>1</v>
      </c>
      <c r="BR810" t="s">
        <v>1</v>
      </c>
      <c r="BS810" t="s">
        <v>1</v>
      </c>
      <c r="BT810" t="s">
        <v>1</v>
      </c>
      <c r="BU810" t="s">
        <v>1</v>
      </c>
      <c r="BV810" t="s">
        <v>1</v>
      </c>
      <c r="BW810" t="s">
        <v>0</v>
      </c>
      <c r="BX810" t="s">
        <v>1</v>
      </c>
      <c r="BY810" t="s">
        <v>1</v>
      </c>
      <c r="BZ810" t="s">
        <v>1</v>
      </c>
      <c r="CA810" t="s">
        <v>1</v>
      </c>
      <c r="CB810" t="s">
        <v>1</v>
      </c>
      <c r="CD810" t="e" cm="1">
        <f t="array" aca="1" ref="CD810" ca="1">eConcatenar(A810:CB810,"|")</f>
        <v>#NAME?</v>
      </c>
    </row>
    <row r="811" spans="1:82" x14ac:dyDescent="0.25">
      <c r="A811" t="s">
        <v>906</v>
      </c>
      <c r="B811" t="s">
        <v>1924</v>
      </c>
      <c r="C811">
        <v>3</v>
      </c>
      <c r="D811" t="s">
        <v>2157</v>
      </c>
      <c r="E811" t="s">
        <v>2158</v>
      </c>
      <c r="F811" t="s">
        <v>0</v>
      </c>
      <c r="G811" t="s">
        <v>2249</v>
      </c>
      <c r="H811" t="s">
        <v>3042</v>
      </c>
      <c r="I811">
        <v>12900</v>
      </c>
      <c r="J811">
        <v>0</v>
      </c>
      <c r="K811">
        <v>100</v>
      </c>
      <c r="L811">
        <v>50</v>
      </c>
      <c r="M811">
        <v>1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 t="s">
        <v>3246</v>
      </c>
      <c r="AC811" t="s">
        <v>3221</v>
      </c>
      <c r="AD811" t="s">
        <v>3853</v>
      </c>
      <c r="AE811" t="s">
        <v>4</v>
      </c>
      <c r="AF811" t="s">
        <v>1</v>
      </c>
      <c r="AG811" t="s">
        <v>1</v>
      </c>
      <c r="AH811" t="s">
        <v>4660</v>
      </c>
      <c r="AI811" t="s">
        <v>2249</v>
      </c>
      <c r="AJ811" t="s">
        <v>1</v>
      </c>
      <c r="AK811" t="s">
        <v>1</v>
      </c>
      <c r="AL811" t="s">
        <v>1</v>
      </c>
      <c r="AM811" t="s">
        <v>1</v>
      </c>
      <c r="AN811" t="s">
        <v>1</v>
      </c>
      <c r="AO811" t="s">
        <v>4660</v>
      </c>
      <c r="AP811" t="s">
        <v>1</v>
      </c>
      <c r="AQ811" t="s">
        <v>2</v>
      </c>
      <c r="AR811" t="s">
        <v>1</v>
      </c>
      <c r="AS811" t="s">
        <v>1</v>
      </c>
      <c r="AT811" t="s">
        <v>1</v>
      </c>
      <c r="AU811" t="s">
        <v>1</v>
      </c>
      <c r="AV811" t="s">
        <v>1</v>
      </c>
      <c r="AW811" t="s">
        <v>9</v>
      </c>
      <c r="AX811">
        <f>Tabla1[[#This Row],[precio del paquete]]-Tabla1[[#This Row],[Saldo_Deudor]]</f>
        <v>9700</v>
      </c>
      <c r="AY811">
        <v>3200</v>
      </c>
      <c r="AZ811">
        <v>0</v>
      </c>
      <c r="BA811">
        <v>0</v>
      </c>
      <c r="BB811">
        <v>0</v>
      </c>
      <c r="BC811" t="s">
        <v>2905</v>
      </c>
      <c r="BD811" t="s">
        <v>3024</v>
      </c>
      <c r="BE811" t="s">
        <v>3</v>
      </c>
      <c r="BF811" t="s">
        <v>3</v>
      </c>
      <c r="BG811" t="s">
        <v>3</v>
      </c>
      <c r="BH811" t="s">
        <v>3</v>
      </c>
      <c r="BI811" t="s">
        <v>3</v>
      </c>
      <c r="BJ811" t="s">
        <v>5013</v>
      </c>
      <c r="BK811" t="s">
        <v>3</v>
      </c>
      <c r="BL811" t="s">
        <v>96</v>
      </c>
      <c r="BM811" t="s">
        <v>1</v>
      </c>
      <c r="BN811">
        <v>12900</v>
      </c>
      <c r="BO811" t="s">
        <v>1</v>
      </c>
      <c r="BP811" t="s">
        <v>1</v>
      </c>
      <c r="BQ811" t="s">
        <v>1</v>
      </c>
      <c r="BR811" t="s">
        <v>1</v>
      </c>
      <c r="BS811" t="s">
        <v>1</v>
      </c>
      <c r="BT811" t="s">
        <v>1</v>
      </c>
      <c r="BU811" t="s">
        <v>1</v>
      </c>
      <c r="BV811" t="s">
        <v>1</v>
      </c>
      <c r="BW811" t="s">
        <v>0</v>
      </c>
      <c r="BX811" t="s">
        <v>1</v>
      </c>
      <c r="BY811" t="s">
        <v>1</v>
      </c>
      <c r="BZ811" t="s">
        <v>1</v>
      </c>
      <c r="CA811" t="s">
        <v>1</v>
      </c>
      <c r="CB811" t="s">
        <v>1</v>
      </c>
      <c r="CD811" t="e" cm="1">
        <f t="array" aca="1" ref="CD811" ca="1">eConcatenar(A811:CB811,"|")</f>
        <v>#NAME?</v>
      </c>
    </row>
    <row r="812" spans="1:82" x14ac:dyDescent="0.25">
      <c r="A812" t="s">
        <v>907</v>
      </c>
      <c r="B812" t="s">
        <v>1925</v>
      </c>
      <c r="C812">
        <v>3</v>
      </c>
      <c r="D812" t="s">
        <v>2156</v>
      </c>
      <c r="E812" t="s">
        <v>2158</v>
      </c>
      <c r="F812" t="s">
        <v>0</v>
      </c>
      <c r="G812" t="s">
        <v>2247</v>
      </c>
      <c r="H812" t="s">
        <v>3043</v>
      </c>
      <c r="I812">
        <v>19800</v>
      </c>
      <c r="J812">
        <v>0</v>
      </c>
      <c r="K812">
        <v>200</v>
      </c>
      <c r="L812">
        <v>50</v>
      </c>
      <c r="M812">
        <v>1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 t="s">
        <v>3767</v>
      </c>
      <c r="AC812" t="s">
        <v>3117</v>
      </c>
      <c r="AD812" t="s">
        <v>3179</v>
      </c>
      <c r="AE812" t="s">
        <v>4</v>
      </c>
      <c r="AF812" t="s">
        <v>1</v>
      </c>
      <c r="AG812" t="s">
        <v>1</v>
      </c>
      <c r="AH812" t="s">
        <v>2402</v>
      </c>
      <c r="AI812" t="s">
        <v>2247</v>
      </c>
      <c r="AJ812" t="s">
        <v>1</v>
      </c>
      <c r="AK812">
        <v>9371830886</v>
      </c>
      <c r="AL812" t="s">
        <v>1</v>
      </c>
      <c r="AM812" t="s">
        <v>1</v>
      </c>
      <c r="AN812" t="s">
        <v>1</v>
      </c>
      <c r="AO812" t="s">
        <v>2402</v>
      </c>
      <c r="AP812" t="s">
        <v>1</v>
      </c>
      <c r="AQ812" t="s">
        <v>2</v>
      </c>
      <c r="AR812" t="s">
        <v>1</v>
      </c>
      <c r="AS812" t="s">
        <v>1</v>
      </c>
      <c r="AT812" t="s">
        <v>1</v>
      </c>
      <c r="AU812" t="s">
        <v>1</v>
      </c>
      <c r="AV812" t="s">
        <v>1</v>
      </c>
      <c r="AW812" t="s">
        <v>9</v>
      </c>
      <c r="AX812">
        <f>Tabla1[[#This Row],[precio del paquete]]-Tabla1[[#This Row],[Saldo_Deudor]]</f>
        <v>5000</v>
      </c>
      <c r="AY812">
        <v>14800</v>
      </c>
      <c r="AZ812">
        <v>0</v>
      </c>
      <c r="BA812">
        <v>0</v>
      </c>
      <c r="BB812">
        <v>0</v>
      </c>
      <c r="BC812" t="s">
        <v>4875</v>
      </c>
      <c r="BD812" t="s">
        <v>2924</v>
      </c>
      <c r="BE812" t="s">
        <v>3</v>
      </c>
      <c r="BF812" t="s">
        <v>3</v>
      </c>
      <c r="BG812" t="s">
        <v>3</v>
      </c>
      <c r="BH812" t="s">
        <v>3</v>
      </c>
      <c r="BI812" t="s">
        <v>3</v>
      </c>
      <c r="BJ812" t="s">
        <v>5013</v>
      </c>
      <c r="BK812" t="s">
        <v>3</v>
      </c>
      <c r="BL812" t="s">
        <v>96</v>
      </c>
      <c r="BM812" t="s">
        <v>1</v>
      </c>
      <c r="BN812">
        <v>19800</v>
      </c>
      <c r="BO812" t="s">
        <v>1</v>
      </c>
      <c r="BP812" t="s">
        <v>1</v>
      </c>
      <c r="BQ812" t="s">
        <v>1</v>
      </c>
      <c r="BR812" t="s">
        <v>1</v>
      </c>
      <c r="BS812" t="s">
        <v>1</v>
      </c>
      <c r="BT812" t="s">
        <v>1</v>
      </c>
      <c r="BU812" t="s">
        <v>1</v>
      </c>
      <c r="BV812" t="s">
        <v>1</v>
      </c>
      <c r="BW812" t="s">
        <v>0</v>
      </c>
      <c r="BX812" t="s">
        <v>1</v>
      </c>
      <c r="BY812" t="s">
        <v>1</v>
      </c>
      <c r="BZ812" t="s">
        <v>1</v>
      </c>
      <c r="CA812" t="s">
        <v>1</v>
      </c>
      <c r="CB812" t="s">
        <v>1</v>
      </c>
      <c r="CD812" t="e" cm="1">
        <f t="array" aca="1" ref="CD812" ca="1">eConcatenar(A812:CB812,"|")</f>
        <v>#NAME?</v>
      </c>
    </row>
    <row r="813" spans="1:82" x14ac:dyDescent="0.25">
      <c r="A813" t="s">
        <v>908</v>
      </c>
      <c r="B813" t="s">
        <v>1926</v>
      </c>
      <c r="C813">
        <v>3</v>
      </c>
      <c r="D813" t="s">
        <v>2153</v>
      </c>
      <c r="E813" t="s">
        <v>2158</v>
      </c>
      <c r="F813" t="s">
        <v>0</v>
      </c>
      <c r="G813" t="s">
        <v>2612</v>
      </c>
      <c r="H813" t="s">
        <v>3040</v>
      </c>
      <c r="I813">
        <v>14800</v>
      </c>
      <c r="J813">
        <v>0</v>
      </c>
      <c r="K813">
        <v>100</v>
      </c>
      <c r="L813">
        <v>50</v>
      </c>
      <c r="M813">
        <v>1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 t="s">
        <v>3114</v>
      </c>
      <c r="AC813" t="s">
        <v>3132</v>
      </c>
      <c r="AD813" t="s">
        <v>3609</v>
      </c>
      <c r="AE813" t="s">
        <v>4</v>
      </c>
      <c r="AF813" t="s">
        <v>1</v>
      </c>
      <c r="AG813" t="s">
        <v>1</v>
      </c>
      <c r="AH813" t="s">
        <v>4668</v>
      </c>
      <c r="AI813" t="s">
        <v>2612</v>
      </c>
      <c r="AJ813" t="s">
        <v>1</v>
      </c>
      <c r="AK813">
        <v>7531348358</v>
      </c>
      <c r="AL813" t="s">
        <v>1</v>
      </c>
      <c r="AM813" t="s">
        <v>1</v>
      </c>
      <c r="AN813" t="s">
        <v>1</v>
      </c>
      <c r="AO813" t="s">
        <v>4668</v>
      </c>
      <c r="AP813" t="s">
        <v>1</v>
      </c>
      <c r="AQ813" t="s">
        <v>2</v>
      </c>
      <c r="AR813" t="s">
        <v>1</v>
      </c>
      <c r="AS813" t="s">
        <v>1</v>
      </c>
      <c r="AT813" t="s">
        <v>1</v>
      </c>
      <c r="AU813" t="s">
        <v>1</v>
      </c>
      <c r="AV813" t="s">
        <v>1</v>
      </c>
      <c r="AW813" t="s">
        <v>9</v>
      </c>
      <c r="AX813">
        <f>Tabla1[[#This Row],[precio del paquete]]-Tabla1[[#This Row],[Saldo_Deudor]]</f>
        <v>100</v>
      </c>
      <c r="AY813">
        <v>14700</v>
      </c>
      <c r="AZ813">
        <v>0</v>
      </c>
      <c r="BA813">
        <v>0</v>
      </c>
      <c r="BB813">
        <v>0</v>
      </c>
      <c r="BC813" t="s">
        <v>3040</v>
      </c>
      <c r="BD813" t="s">
        <v>4914</v>
      </c>
      <c r="BE813" t="s">
        <v>3</v>
      </c>
      <c r="BF813" t="s">
        <v>3</v>
      </c>
      <c r="BG813" t="s">
        <v>3</v>
      </c>
      <c r="BH813" t="s">
        <v>3</v>
      </c>
      <c r="BI813" t="s">
        <v>3</v>
      </c>
      <c r="BJ813" t="s">
        <v>5013</v>
      </c>
      <c r="BK813" t="s">
        <v>3</v>
      </c>
      <c r="BL813" t="s">
        <v>96</v>
      </c>
      <c r="BM813" t="s">
        <v>1</v>
      </c>
      <c r="BN813">
        <v>14800</v>
      </c>
      <c r="BO813" t="s">
        <v>1</v>
      </c>
      <c r="BP813" t="s">
        <v>1</v>
      </c>
      <c r="BQ813" t="s">
        <v>1</v>
      </c>
      <c r="BR813" t="s">
        <v>1</v>
      </c>
      <c r="BS813" t="s">
        <v>1</v>
      </c>
      <c r="BT813" t="s">
        <v>1</v>
      </c>
      <c r="BU813" t="s">
        <v>1</v>
      </c>
      <c r="BV813" t="s">
        <v>1</v>
      </c>
      <c r="BW813" t="s">
        <v>0</v>
      </c>
      <c r="BX813" t="s">
        <v>1</v>
      </c>
      <c r="BY813" t="s">
        <v>1</v>
      </c>
      <c r="BZ813" t="s">
        <v>1</v>
      </c>
      <c r="CA813" t="s">
        <v>1</v>
      </c>
      <c r="CB813" t="s">
        <v>1</v>
      </c>
      <c r="CD813" t="e" cm="1">
        <f t="array" aca="1" ref="CD813" ca="1">eConcatenar(A813:CB813,"|")</f>
        <v>#NAME?</v>
      </c>
    </row>
    <row r="814" spans="1:82" x14ac:dyDescent="0.25">
      <c r="A814" t="s">
        <v>909</v>
      </c>
      <c r="B814" t="s">
        <v>1927</v>
      </c>
      <c r="C814">
        <v>3</v>
      </c>
      <c r="D814" t="s">
        <v>2153</v>
      </c>
      <c r="E814" t="s">
        <v>2158</v>
      </c>
      <c r="F814" t="s">
        <v>0</v>
      </c>
      <c r="G814" t="s">
        <v>2612</v>
      </c>
      <c r="H814" t="s">
        <v>3040</v>
      </c>
      <c r="I814">
        <v>14800</v>
      </c>
      <c r="J814">
        <v>0</v>
      </c>
      <c r="K814">
        <v>100</v>
      </c>
      <c r="L814">
        <v>50</v>
      </c>
      <c r="M814">
        <v>1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 t="s">
        <v>3148</v>
      </c>
      <c r="AC814" t="s">
        <v>3214</v>
      </c>
      <c r="AD814" t="s">
        <v>3953</v>
      </c>
      <c r="AE814" t="s">
        <v>4</v>
      </c>
      <c r="AF814" t="s">
        <v>1</v>
      </c>
      <c r="AG814" t="s">
        <v>1</v>
      </c>
      <c r="AH814" t="s">
        <v>4669</v>
      </c>
      <c r="AI814" t="s">
        <v>2612</v>
      </c>
      <c r="AJ814" t="s">
        <v>1</v>
      </c>
      <c r="AK814">
        <v>9371293649</v>
      </c>
      <c r="AL814" t="s">
        <v>1</v>
      </c>
      <c r="AM814" t="s">
        <v>1</v>
      </c>
      <c r="AN814" t="s">
        <v>1</v>
      </c>
      <c r="AO814" t="s">
        <v>4669</v>
      </c>
      <c r="AP814" t="s">
        <v>1</v>
      </c>
      <c r="AQ814" t="s">
        <v>2</v>
      </c>
      <c r="AR814" t="s">
        <v>1</v>
      </c>
      <c r="AS814" t="s">
        <v>1</v>
      </c>
      <c r="AT814" t="s">
        <v>1</v>
      </c>
      <c r="AU814" t="s">
        <v>1</v>
      </c>
      <c r="AV814" t="s">
        <v>1</v>
      </c>
      <c r="AW814" t="s">
        <v>9</v>
      </c>
      <c r="AX814">
        <f>Tabla1[[#This Row],[precio del paquete]]-Tabla1[[#This Row],[Saldo_Deudor]]</f>
        <v>100</v>
      </c>
      <c r="AY814">
        <v>14700</v>
      </c>
      <c r="AZ814">
        <v>0</v>
      </c>
      <c r="BA814">
        <v>0</v>
      </c>
      <c r="BB814">
        <v>0</v>
      </c>
      <c r="BC814" t="s">
        <v>3040</v>
      </c>
      <c r="BD814" t="s">
        <v>4914</v>
      </c>
      <c r="BE814" t="s">
        <v>3</v>
      </c>
      <c r="BF814" t="s">
        <v>3</v>
      </c>
      <c r="BG814" t="s">
        <v>3</v>
      </c>
      <c r="BH814" t="s">
        <v>3</v>
      </c>
      <c r="BI814" t="s">
        <v>3</v>
      </c>
      <c r="BJ814" t="s">
        <v>5013</v>
      </c>
      <c r="BK814" t="s">
        <v>3</v>
      </c>
      <c r="BL814" t="s">
        <v>96</v>
      </c>
      <c r="BM814" t="s">
        <v>1</v>
      </c>
      <c r="BN814">
        <v>14800</v>
      </c>
      <c r="BO814" t="s">
        <v>1</v>
      </c>
      <c r="BP814" t="s">
        <v>1</v>
      </c>
      <c r="BQ814" t="s">
        <v>1</v>
      </c>
      <c r="BR814" t="s">
        <v>1</v>
      </c>
      <c r="BS814" t="s">
        <v>1</v>
      </c>
      <c r="BT814" t="s">
        <v>1</v>
      </c>
      <c r="BU814" t="s">
        <v>1</v>
      </c>
      <c r="BV814" t="s">
        <v>1</v>
      </c>
      <c r="BW814" t="s">
        <v>0</v>
      </c>
      <c r="BX814" t="s">
        <v>1</v>
      </c>
      <c r="BY814" t="s">
        <v>1</v>
      </c>
      <c r="BZ814" t="s">
        <v>1</v>
      </c>
      <c r="CA814" t="s">
        <v>1</v>
      </c>
      <c r="CB814" t="s">
        <v>1</v>
      </c>
      <c r="CD814" t="e" cm="1">
        <f t="array" aca="1" ref="CD814" ca="1">eConcatenar(A814:CB814,"|")</f>
        <v>#NAME?</v>
      </c>
    </row>
    <row r="815" spans="1:82" x14ac:dyDescent="0.25">
      <c r="A815" t="s">
        <v>910</v>
      </c>
      <c r="B815" t="s">
        <v>1928</v>
      </c>
      <c r="C815">
        <v>3</v>
      </c>
      <c r="D815" t="s">
        <v>2155</v>
      </c>
      <c r="E815" t="s">
        <v>2158</v>
      </c>
      <c r="F815" t="s">
        <v>0</v>
      </c>
      <c r="G815" t="s">
        <v>2249</v>
      </c>
      <c r="H815" t="s">
        <v>3044</v>
      </c>
      <c r="I815">
        <v>12900</v>
      </c>
      <c r="J815">
        <v>0</v>
      </c>
      <c r="K815">
        <v>200</v>
      </c>
      <c r="L815">
        <v>50</v>
      </c>
      <c r="M815">
        <v>1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 t="s">
        <v>3152</v>
      </c>
      <c r="AC815" t="s">
        <v>3117</v>
      </c>
      <c r="AD815" t="s">
        <v>3954</v>
      </c>
      <c r="AE815" t="s">
        <v>4</v>
      </c>
      <c r="AF815" t="s">
        <v>1</v>
      </c>
      <c r="AG815" t="s">
        <v>1</v>
      </c>
      <c r="AH815" t="s">
        <v>4670</v>
      </c>
      <c r="AI815" t="s">
        <v>2249</v>
      </c>
      <c r="AJ815" t="s">
        <v>1</v>
      </c>
      <c r="AK815">
        <v>9371624820</v>
      </c>
      <c r="AL815" t="s">
        <v>1</v>
      </c>
      <c r="AM815" t="s">
        <v>1</v>
      </c>
      <c r="AN815" t="s">
        <v>1</v>
      </c>
      <c r="AO815" t="s">
        <v>4670</v>
      </c>
      <c r="AP815" t="s">
        <v>1</v>
      </c>
      <c r="AQ815" t="s">
        <v>2</v>
      </c>
      <c r="AR815" t="s">
        <v>1</v>
      </c>
      <c r="AS815" t="s">
        <v>1</v>
      </c>
      <c r="AT815" t="s">
        <v>1</v>
      </c>
      <c r="AU815" t="s">
        <v>1</v>
      </c>
      <c r="AV815" t="s">
        <v>1</v>
      </c>
      <c r="AW815" t="s">
        <v>9</v>
      </c>
      <c r="AX815">
        <f>Tabla1[[#This Row],[precio del paquete]]-Tabla1[[#This Row],[Saldo_Deudor]]</f>
        <v>3600</v>
      </c>
      <c r="AY815">
        <v>9300</v>
      </c>
      <c r="AZ815">
        <v>0</v>
      </c>
      <c r="BA815">
        <v>0</v>
      </c>
      <c r="BB815">
        <v>0</v>
      </c>
      <c r="BC815" t="s">
        <v>3085</v>
      </c>
      <c r="BD815" t="s">
        <v>2796</v>
      </c>
      <c r="BE815" t="s">
        <v>3</v>
      </c>
      <c r="BF815" t="s">
        <v>3</v>
      </c>
      <c r="BG815" t="s">
        <v>3</v>
      </c>
      <c r="BH815" t="s">
        <v>3</v>
      </c>
      <c r="BI815" t="s">
        <v>3</v>
      </c>
      <c r="BJ815" t="s">
        <v>5013</v>
      </c>
      <c r="BK815" t="s">
        <v>3</v>
      </c>
      <c r="BL815" t="s">
        <v>96</v>
      </c>
      <c r="BM815" t="s">
        <v>1</v>
      </c>
      <c r="BN815">
        <v>12900</v>
      </c>
      <c r="BO815" t="s">
        <v>1</v>
      </c>
      <c r="BP815" t="s">
        <v>1</v>
      </c>
      <c r="BQ815" t="s">
        <v>1</v>
      </c>
      <c r="BR815" t="s">
        <v>1</v>
      </c>
      <c r="BS815" t="s">
        <v>1</v>
      </c>
      <c r="BT815" t="s">
        <v>1</v>
      </c>
      <c r="BU815" t="s">
        <v>1</v>
      </c>
      <c r="BV815" t="s">
        <v>1</v>
      </c>
      <c r="BW815" t="s">
        <v>0</v>
      </c>
      <c r="BX815" t="s">
        <v>1</v>
      </c>
      <c r="BY815" t="s">
        <v>1</v>
      </c>
      <c r="BZ815" t="s">
        <v>1</v>
      </c>
      <c r="CA815" t="s">
        <v>1</v>
      </c>
      <c r="CB815" t="s">
        <v>1</v>
      </c>
      <c r="CD815" t="e" cm="1">
        <f t="array" aca="1" ref="CD815" ca="1">eConcatenar(A815:CB815,"|")</f>
        <v>#NAME?</v>
      </c>
    </row>
    <row r="816" spans="1:82" x14ac:dyDescent="0.25">
      <c r="A816" t="s">
        <v>911</v>
      </c>
      <c r="B816" t="s">
        <v>1929</v>
      </c>
      <c r="C816">
        <v>3</v>
      </c>
      <c r="D816" t="s">
        <v>2157</v>
      </c>
      <c r="E816" t="s">
        <v>2158</v>
      </c>
      <c r="F816" t="s">
        <v>0</v>
      </c>
      <c r="G816" t="s">
        <v>2618</v>
      </c>
      <c r="H816" t="s">
        <v>2812</v>
      </c>
      <c r="I816">
        <v>12900</v>
      </c>
      <c r="J816">
        <v>0</v>
      </c>
      <c r="K816">
        <v>200</v>
      </c>
      <c r="L816">
        <v>50</v>
      </c>
      <c r="M816">
        <v>1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 t="s">
        <v>5</v>
      </c>
      <c r="AC816" t="s">
        <v>3132</v>
      </c>
      <c r="AD816" t="s">
        <v>3358</v>
      </c>
      <c r="AE816" t="s">
        <v>4</v>
      </c>
      <c r="AF816" t="s">
        <v>1</v>
      </c>
      <c r="AG816" t="s">
        <v>1</v>
      </c>
      <c r="AH816" t="s">
        <v>4671</v>
      </c>
      <c r="AI816" t="s">
        <v>2618</v>
      </c>
      <c r="AJ816" t="s">
        <v>1</v>
      </c>
      <c r="AK816">
        <v>9371101039</v>
      </c>
      <c r="AL816" t="s">
        <v>1</v>
      </c>
      <c r="AM816" t="s">
        <v>1</v>
      </c>
      <c r="AN816" t="s">
        <v>1</v>
      </c>
      <c r="AO816" t="s">
        <v>4671</v>
      </c>
      <c r="AP816" t="s">
        <v>1</v>
      </c>
      <c r="AQ816" t="s">
        <v>2</v>
      </c>
      <c r="AR816" t="s">
        <v>1</v>
      </c>
      <c r="AS816" t="s">
        <v>1</v>
      </c>
      <c r="AT816" t="s">
        <v>1</v>
      </c>
      <c r="AU816" t="s">
        <v>1</v>
      </c>
      <c r="AV816" t="s">
        <v>1</v>
      </c>
      <c r="AW816" t="s">
        <v>9</v>
      </c>
      <c r="AX816">
        <f>Tabla1[[#This Row],[precio del paquete]]-Tabla1[[#This Row],[Saldo_Deudor]]</f>
        <v>2080</v>
      </c>
      <c r="AY816">
        <v>10820</v>
      </c>
      <c r="AZ816">
        <v>0</v>
      </c>
      <c r="BA816">
        <v>0</v>
      </c>
      <c r="BB816">
        <v>0</v>
      </c>
      <c r="BC816" t="s">
        <v>3023</v>
      </c>
      <c r="BD816" t="s">
        <v>3075</v>
      </c>
      <c r="BE816" t="s">
        <v>3</v>
      </c>
      <c r="BF816" t="s">
        <v>3</v>
      </c>
      <c r="BG816" t="s">
        <v>3</v>
      </c>
      <c r="BH816" t="s">
        <v>3</v>
      </c>
      <c r="BI816" t="s">
        <v>3</v>
      </c>
      <c r="BJ816" t="s">
        <v>5013</v>
      </c>
      <c r="BK816" t="s">
        <v>3</v>
      </c>
      <c r="BL816" t="s">
        <v>96</v>
      </c>
      <c r="BM816" t="s">
        <v>1</v>
      </c>
      <c r="BN816">
        <v>12900</v>
      </c>
      <c r="BO816" t="s">
        <v>1</v>
      </c>
      <c r="BP816" t="s">
        <v>1</v>
      </c>
      <c r="BQ816" t="s">
        <v>1</v>
      </c>
      <c r="BR816" t="s">
        <v>1</v>
      </c>
      <c r="BS816" t="s">
        <v>1</v>
      </c>
      <c r="BT816" t="s">
        <v>1</v>
      </c>
      <c r="BU816" t="s">
        <v>1</v>
      </c>
      <c r="BV816" t="s">
        <v>1</v>
      </c>
      <c r="BW816" t="s">
        <v>0</v>
      </c>
      <c r="BX816" t="s">
        <v>1</v>
      </c>
      <c r="BY816" t="s">
        <v>1</v>
      </c>
      <c r="BZ816" t="s">
        <v>1</v>
      </c>
      <c r="CA816" t="s">
        <v>1</v>
      </c>
      <c r="CB816" t="s">
        <v>1</v>
      </c>
      <c r="CD816" t="e" cm="1">
        <f t="array" aca="1" ref="CD816" ca="1">eConcatenar(A816:CB816,"|")</f>
        <v>#NAME?</v>
      </c>
    </row>
    <row r="817" spans="1:82" x14ac:dyDescent="0.25">
      <c r="A817" t="s">
        <v>912</v>
      </c>
      <c r="B817" t="s">
        <v>1930</v>
      </c>
      <c r="C817">
        <v>3</v>
      </c>
      <c r="D817" t="s">
        <v>2157</v>
      </c>
      <c r="E817" t="s">
        <v>2158</v>
      </c>
      <c r="F817" t="s">
        <v>0</v>
      </c>
      <c r="G817" t="s">
        <v>2247</v>
      </c>
      <c r="H817" t="s">
        <v>3045</v>
      </c>
      <c r="I817">
        <v>12900</v>
      </c>
      <c r="J817">
        <v>0</v>
      </c>
      <c r="K817">
        <v>200</v>
      </c>
      <c r="L817">
        <v>50</v>
      </c>
      <c r="M817">
        <v>1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 t="s">
        <v>3114</v>
      </c>
      <c r="AC817" t="s">
        <v>3117</v>
      </c>
      <c r="AD817" t="s">
        <v>3684</v>
      </c>
      <c r="AE817" t="s">
        <v>4</v>
      </c>
      <c r="AF817" t="s">
        <v>1</v>
      </c>
      <c r="AG817" t="s">
        <v>1</v>
      </c>
      <c r="AH817" t="s">
        <v>4672</v>
      </c>
      <c r="AI817" t="s">
        <v>2247</v>
      </c>
      <c r="AJ817" t="s">
        <v>1</v>
      </c>
      <c r="AK817">
        <v>9371205785</v>
      </c>
      <c r="AL817" t="s">
        <v>1</v>
      </c>
      <c r="AM817" t="s">
        <v>1</v>
      </c>
      <c r="AN817" t="s">
        <v>1</v>
      </c>
      <c r="AO817" t="s">
        <v>4672</v>
      </c>
      <c r="AP817" t="s">
        <v>1</v>
      </c>
      <c r="AQ817" t="s">
        <v>2</v>
      </c>
      <c r="AR817" t="s">
        <v>1</v>
      </c>
      <c r="AS817" t="s">
        <v>1</v>
      </c>
      <c r="AT817" t="s">
        <v>1</v>
      </c>
      <c r="AU817" t="s">
        <v>1</v>
      </c>
      <c r="AV817" t="s">
        <v>1</v>
      </c>
      <c r="AW817" t="s">
        <v>9</v>
      </c>
      <c r="AX817">
        <f>Tabla1[[#This Row],[precio del paquete]]-Tabla1[[#This Row],[Saldo_Deudor]]</f>
        <v>6950</v>
      </c>
      <c r="AY817">
        <v>5950</v>
      </c>
      <c r="AZ817">
        <v>0</v>
      </c>
      <c r="BA817">
        <v>0</v>
      </c>
      <c r="BB817">
        <v>0</v>
      </c>
      <c r="BC817" t="s">
        <v>4876</v>
      </c>
      <c r="BD817" t="s">
        <v>4965</v>
      </c>
      <c r="BE817" t="s">
        <v>3</v>
      </c>
      <c r="BF817" t="s">
        <v>3</v>
      </c>
      <c r="BG817" t="s">
        <v>3</v>
      </c>
      <c r="BH817" t="s">
        <v>3</v>
      </c>
      <c r="BI817" t="s">
        <v>3</v>
      </c>
      <c r="BJ817" t="s">
        <v>5013</v>
      </c>
      <c r="BK817" t="s">
        <v>3</v>
      </c>
      <c r="BL817" t="s">
        <v>96</v>
      </c>
      <c r="BM817" t="s">
        <v>1</v>
      </c>
      <c r="BN817">
        <v>12900</v>
      </c>
      <c r="BO817" t="s">
        <v>1</v>
      </c>
      <c r="BP817" t="s">
        <v>1</v>
      </c>
      <c r="BQ817" t="s">
        <v>1</v>
      </c>
      <c r="BR817" t="s">
        <v>1</v>
      </c>
      <c r="BS817" t="s">
        <v>1</v>
      </c>
      <c r="BT817" t="s">
        <v>1</v>
      </c>
      <c r="BU817" t="s">
        <v>1</v>
      </c>
      <c r="BV817" t="s">
        <v>1</v>
      </c>
      <c r="BW817" t="s">
        <v>0</v>
      </c>
      <c r="BX817" t="s">
        <v>1</v>
      </c>
      <c r="BY817" t="s">
        <v>1</v>
      </c>
      <c r="BZ817" t="s">
        <v>1</v>
      </c>
      <c r="CA817" t="s">
        <v>1</v>
      </c>
      <c r="CB817" t="s">
        <v>1</v>
      </c>
      <c r="CD817" t="e" cm="1">
        <f t="array" aca="1" ref="CD817" ca="1">eConcatenar(A817:CB817,"|")</f>
        <v>#NAME?</v>
      </c>
    </row>
    <row r="818" spans="1:82" x14ac:dyDescent="0.25">
      <c r="A818" t="s">
        <v>913</v>
      </c>
      <c r="B818" t="s">
        <v>1931</v>
      </c>
      <c r="C818">
        <v>3</v>
      </c>
      <c r="D818" t="s">
        <v>2157</v>
      </c>
      <c r="E818" t="s">
        <v>2158</v>
      </c>
      <c r="F818" t="s">
        <v>0</v>
      </c>
      <c r="G818" t="s">
        <v>2234</v>
      </c>
      <c r="H818" t="s">
        <v>3046</v>
      </c>
      <c r="I818">
        <v>12900</v>
      </c>
      <c r="J818">
        <v>0</v>
      </c>
      <c r="K818">
        <v>200</v>
      </c>
      <c r="L818">
        <v>50</v>
      </c>
      <c r="M818">
        <v>1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 t="s">
        <v>3955</v>
      </c>
      <c r="AC818" t="s">
        <v>3462</v>
      </c>
      <c r="AD818" t="s">
        <v>3179</v>
      </c>
      <c r="AE818" t="s">
        <v>4</v>
      </c>
      <c r="AF818" t="s">
        <v>1</v>
      </c>
      <c r="AG818" t="s">
        <v>1</v>
      </c>
      <c r="AH818" t="s">
        <v>4673</v>
      </c>
      <c r="AI818" t="s">
        <v>2234</v>
      </c>
      <c r="AJ818" t="s">
        <v>1</v>
      </c>
      <c r="AK818">
        <v>9373726477</v>
      </c>
      <c r="AL818" t="s">
        <v>1</v>
      </c>
      <c r="AM818" t="s">
        <v>1</v>
      </c>
      <c r="AN818" t="s">
        <v>1</v>
      </c>
      <c r="AO818" t="s">
        <v>4673</v>
      </c>
      <c r="AP818" t="s">
        <v>1</v>
      </c>
      <c r="AQ818" t="s">
        <v>2</v>
      </c>
      <c r="AR818" t="s">
        <v>1</v>
      </c>
      <c r="AS818" t="s">
        <v>1</v>
      </c>
      <c r="AT818" t="s">
        <v>1</v>
      </c>
      <c r="AU818" t="s">
        <v>1</v>
      </c>
      <c r="AV818" t="s">
        <v>1</v>
      </c>
      <c r="AW818" t="s">
        <v>9</v>
      </c>
      <c r="AX818">
        <f>Tabla1[[#This Row],[precio del paquete]]-Tabla1[[#This Row],[Saldo_Deudor]]</f>
        <v>5900</v>
      </c>
      <c r="AY818">
        <v>7000</v>
      </c>
      <c r="AZ818">
        <v>0</v>
      </c>
      <c r="BA818">
        <v>0</v>
      </c>
      <c r="BB818">
        <v>0</v>
      </c>
      <c r="BC818" t="s">
        <v>4877</v>
      </c>
      <c r="BD818" t="s">
        <v>2705</v>
      </c>
      <c r="BE818" t="s">
        <v>3</v>
      </c>
      <c r="BF818" t="s">
        <v>3</v>
      </c>
      <c r="BG818" t="s">
        <v>3</v>
      </c>
      <c r="BH818" t="s">
        <v>3</v>
      </c>
      <c r="BI818" t="s">
        <v>3</v>
      </c>
      <c r="BJ818" t="s">
        <v>5013</v>
      </c>
      <c r="BK818" t="s">
        <v>3</v>
      </c>
      <c r="BL818" t="s">
        <v>96</v>
      </c>
      <c r="BM818" t="s">
        <v>1</v>
      </c>
      <c r="BN818">
        <v>12900</v>
      </c>
      <c r="BO818" t="s">
        <v>1</v>
      </c>
      <c r="BP818" t="s">
        <v>1</v>
      </c>
      <c r="BQ818" t="s">
        <v>1</v>
      </c>
      <c r="BR818" t="s">
        <v>1</v>
      </c>
      <c r="BS818" t="s">
        <v>1</v>
      </c>
      <c r="BT818" t="s">
        <v>1</v>
      </c>
      <c r="BU818" t="s">
        <v>1</v>
      </c>
      <c r="BV818" t="s">
        <v>1</v>
      </c>
      <c r="BW818" t="s">
        <v>0</v>
      </c>
      <c r="BX818" t="s">
        <v>1</v>
      </c>
      <c r="BY818" t="s">
        <v>1</v>
      </c>
      <c r="BZ818" t="s">
        <v>1</v>
      </c>
      <c r="CA818" t="s">
        <v>1</v>
      </c>
      <c r="CB818" t="s">
        <v>1</v>
      </c>
      <c r="CD818" t="e" cm="1">
        <f t="array" aca="1" ref="CD818" ca="1">eConcatenar(A818:CB818,"|")</f>
        <v>#NAME?</v>
      </c>
    </row>
    <row r="819" spans="1:82" x14ac:dyDescent="0.25">
      <c r="A819" t="s">
        <v>914</v>
      </c>
      <c r="B819" t="s">
        <v>1932</v>
      </c>
      <c r="C819">
        <v>3</v>
      </c>
      <c r="D819" t="s">
        <v>2157</v>
      </c>
      <c r="E819" t="s">
        <v>2158</v>
      </c>
      <c r="F819" t="s">
        <v>0</v>
      </c>
      <c r="G819" t="s">
        <v>2229</v>
      </c>
      <c r="H819" t="s">
        <v>3047</v>
      </c>
      <c r="I819">
        <v>12900</v>
      </c>
      <c r="J819">
        <v>0</v>
      </c>
      <c r="K819">
        <v>200</v>
      </c>
      <c r="L819">
        <v>50</v>
      </c>
      <c r="M819">
        <v>1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 t="s">
        <v>3157</v>
      </c>
      <c r="AC819" t="s">
        <v>3956</v>
      </c>
      <c r="AD819" t="s">
        <v>3185</v>
      </c>
      <c r="AE819" t="s">
        <v>4</v>
      </c>
      <c r="AF819" t="s">
        <v>1</v>
      </c>
      <c r="AG819" t="s">
        <v>1</v>
      </c>
      <c r="AH819" t="s">
        <v>4674</v>
      </c>
      <c r="AI819" t="s">
        <v>2229</v>
      </c>
      <c r="AJ819" t="s">
        <v>1</v>
      </c>
      <c r="AK819">
        <v>9371215412</v>
      </c>
      <c r="AL819" t="s">
        <v>1</v>
      </c>
      <c r="AM819" t="s">
        <v>1</v>
      </c>
      <c r="AN819" t="s">
        <v>1</v>
      </c>
      <c r="AO819" t="s">
        <v>4674</v>
      </c>
      <c r="AP819" t="s">
        <v>1</v>
      </c>
      <c r="AQ819" t="s">
        <v>2</v>
      </c>
      <c r="AR819" t="s">
        <v>1</v>
      </c>
      <c r="AS819" t="s">
        <v>1</v>
      </c>
      <c r="AT819" t="s">
        <v>1</v>
      </c>
      <c r="AU819" t="s">
        <v>1</v>
      </c>
      <c r="AV819" t="s">
        <v>1</v>
      </c>
      <c r="AW819" t="s">
        <v>9</v>
      </c>
      <c r="AX819">
        <f>Tabla1[[#This Row],[precio del paquete]]-Tabla1[[#This Row],[Saldo_Deudor]]</f>
        <v>8350</v>
      </c>
      <c r="AY819">
        <v>4550</v>
      </c>
      <c r="AZ819">
        <v>0</v>
      </c>
      <c r="BA819">
        <v>0</v>
      </c>
      <c r="BB819">
        <v>0</v>
      </c>
      <c r="BC819" t="s">
        <v>3016</v>
      </c>
      <c r="BD819" t="s">
        <v>4832</v>
      </c>
      <c r="BE819" t="s">
        <v>3</v>
      </c>
      <c r="BF819" t="s">
        <v>3</v>
      </c>
      <c r="BG819" t="s">
        <v>3</v>
      </c>
      <c r="BH819" t="s">
        <v>3</v>
      </c>
      <c r="BI819" t="s">
        <v>3</v>
      </c>
      <c r="BJ819" t="s">
        <v>5013</v>
      </c>
      <c r="BK819" t="s">
        <v>3</v>
      </c>
      <c r="BL819" t="s">
        <v>96</v>
      </c>
      <c r="BM819" t="s">
        <v>1</v>
      </c>
      <c r="BN819">
        <v>12900</v>
      </c>
      <c r="BO819" t="s">
        <v>1</v>
      </c>
      <c r="BP819" t="s">
        <v>1</v>
      </c>
      <c r="BQ819" t="s">
        <v>1</v>
      </c>
      <c r="BR819" t="s">
        <v>1</v>
      </c>
      <c r="BS819" t="s">
        <v>1</v>
      </c>
      <c r="BT819" t="s">
        <v>1</v>
      </c>
      <c r="BU819" t="s">
        <v>1</v>
      </c>
      <c r="BV819" t="s">
        <v>1</v>
      </c>
      <c r="BW819" t="s">
        <v>0</v>
      </c>
      <c r="BX819" t="s">
        <v>1</v>
      </c>
      <c r="BY819" t="s">
        <v>1</v>
      </c>
      <c r="BZ819" t="s">
        <v>1</v>
      </c>
      <c r="CA819" t="s">
        <v>1</v>
      </c>
      <c r="CB819" t="s">
        <v>1</v>
      </c>
      <c r="CD819" t="e" cm="1">
        <f t="array" aca="1" ref="CD819" ca="1">eConcatenar(A819:CB819,"|")</f>
        <v>#NAME?</v>
      </c>
    </row>
    <row r="820" spans="1:82" x14ac:dyDescent="0.25">
      <c r="A820" t="s">
        <v>915</v>
      </c>
      <c r="B820" t="s">
        <v>1933</v>
      </c>
      <c r="C820">
        <v>3</v>
      </c>
      <c r="D820" t="s">
        <v>2157</v>
      </c>
      <c r="E820" t="s">
        <v>2158</v>
      </c>
      <c r="F820" t="s">
        <v>0</v>
      </c>
      <c r="G820" t="s">
        <v>2249</v>
      </c>
      <c r="H820" t="s">
        <v>3048</v>
      </c>
      <c r="I820">
        <v>12900</v>
      </c>
      <c r="J820">
        <v>0</v>
      </c>
      <c r="K820">
        <v>200</v>
      </c>
      <c r="L820">
        <v>50</v>
      </c>
      <c r="M820">
        <v>1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 t="s">
        <v>3129</v>
      </c>
      <c r="AC820" t="s">
        <v>3420</v>
      </c>
      <c r="AD820" t="s">
        <v>3220</v>
      </c>
      <c r="AE820" t="s">
        <v>4</v>
      </c>
      <c r="AF820" t="s">
        <v>1</v>
      </c>
      <c r="AG820" t="s">
        <v>1</v>
      </c>
      <c r="AH820" t="s">
        <v>4675</v>
      </c>
      <c r="AI820" t="s">
        <v>2249</v>
      </c>
      <c r="AJ820" t="s">
        <v>1</v>
      </c>
      <c r="AK820">
        <v>9371102186</v>
      </c>
      <c r="AL820" t="s">
        <v>1</v>
      </c>
      <c r="AM820" t="s">
        <v>1</v>
      </c>
      <c r="AN820" t="s">
        <v>1</v>
      </c>
      <c r="AO820" t="s">
        <v>4675</v>
      </c>
      <c r="AP820" t="s">
        <v>1</v>
      </c>
      <c r="AQ820" t="s">
        <v>2</v>
      </c>
      <c r="AR820" t="s">
        <v>1</v>
      </c>
      <c r="AS820" t="s">
        <v>1</v>
      </c>
      <c r="AT820" t="s">
        <v>1</v>
      </c>
      <c r="AU820" t="s">
        <v>1</v>
      </c>
      <c r="AV820" t="s">
        <v>1</v>
      </c>
      <c r="AW820" t="s">
        <v>9</v>
      </c>
      <c r="AX820">
        <f>Tabla1[[#This Row],[precio del paquete]]-Tabla1[[#This Row],[Saldo_Deudor]]</f>
        <v>4750</v>
      </c>
      <c r="AY820">
        <v>8150</v>
      </c>
      <c r="AZ820">
        <v>0</v>
      </c>
      <c r="BA820">
        <v>0</v>
      </c>
      <c r="BB820">
        <v>0</v>
      </c>
      <c r="BC820" t="s">
        <v>3098</v>
      </c>
      <c r="BD820" t="s">
        <v>4829</v>
      </c>
      <c r="BE820" t="s">
        <v>3</v>
      </c>
      <c r="BF820" t="s">
        <v>3</v>
      </c>
      <c r="BG820" t="s">
        <v>3</v>
      </c>
      <c r="BH820" t="s">
        <v>3</v>
      </c>
      <c r="BI820" t="s">
        <v>3</v>
      </c>
      <c r="BJ820" t="s">
        <v>5013</v>
      </c>
      <c r="BK820" t="s">
        <v>3</v>
      </c>
      <c r="BL820" t="s">
        <v>96</v>
      </c>
      <c r="BM820" t="s">
        <v>1</v>
      </c>
      <c r="BN820">
        <v>12900</v>
      </c>
      <c r="BO820" t="s">
        <v>1</v>
      </c>
      <c r="BP820" t="s">
        <v>1</v>
      </c>
      <c r="BQ820" t="s">
        <v>1</v>
      </c>
      <c r="BR820" t="s">
        <v>1</v>
      </c>
      <c r="BS820" t="s">
        <v>1</v>
      </c>
      <c r="BT820" t="s">
        <v>1</v>
      </c>
      <c r="BU820" t="s">
        <v>1</v>
      </c>
      <c r="BV820" t="s">
        <v>1</v>
      </c>
      <c r="BW820" t="s">
        <v>0</v>
      </c>
      <c r="BX820" t="s">
        <v>1</v>
      </c>
      <c r="BY820" t="s">
        <v>1</v>
      </c>
      <c r="BZ820" t="s">
        <v>1</v>
      </c>
      <c r="CA820" t="s">
        <v>1</v>
      </c>
      <c r="CB820" t="s">
        <v>1</v>
      </c>
      <c r="CD820" t="e" cm="1">
        <f t="array" aca="1" ref="CD820" ca="1">eConcatenar(A820:CB820,"|")</f>
        <v>#NAME?</v>
      </c>
    </row>
    <row r="821" spans="1:82" x14ac:dyDescent="0.25">
      <c r="A821" t="s">
        <v>916</v>
      </c>
      <c r="B821" t="s">
        <v>1934</v>
      </c>
      <c r="C821">
        <v>3</v>
      </c>
      <c r="D821" t="s">
        <v>2157</v>
      </c>
      <c r="E821" t="s">
        <v>2158</v>
      </c>
      <c r="F821" t="s">
        <v>0</v>
      </c>
      <c r="G821" t="s">
        <v>2615</v>
      </c>
      <c r="H821" t="s">
        <v>3049</v>
      </c>
      <c r="I821">
        <v>12900</v>
      </c>
      <c r="J821">
        <v>0</v>
      </c>
      <c r="K821">
        <v>200</v>
      </c>
      <c r="L821">
        <v>50</v>
      </c>
      <c r="M821">
        <v>1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 t="s">
        <v>3152</v>
      </c>
      <c r="AC821" t="s">
        <v>3957</v>
      </c>
      <c r="AD821" t="s">
        <v>3269</v>
      </c>
      <c r="AE821" t="s">
        <v>4</v>
      </c>
      <c r="AF821" t="s">
        <v>1</v>
      </c>
      <c r="AG821" t="s">
        <v>1</v>
      </c>
      <c r="AH821" t="s">
        <v>4468</v>
      </c>
      <c r="AI821" t="s">
        <v>2615</v>
      </c>
      <c r="AJ821" t="s">
        <v>1</v>
      </c>
      <c r="AK821">
        <v>9371348620</v>
      </c>
      <c r="AL821" t="s">
        <v>1</v>
      </c>
      <c r="AM821" t="s">
        <v>1</v>
      </c>
      <c r="AN821" t="s">
        <v>1</v>
      </c>
      <c r="AO821" t="s">
        <v>4468</v>
      </c>
      <c r="AP821" t="s">
        <v>1</v>
      </c>
      <c r="AQ821" t="s">
        <v>2</v>
      </c>
      <c r="AR821" t="s">
        <v>1</v>
      </c>
      <c r="AS821" t="s">
        <v>1</v>
      </c>
      <c r="AT821" t="s">
        <v>1</v>
      </c>
      <c r="AU821" t="s">
        <v>1</v>
      </c>
      <c r="AV821" t="s">
        <v>1</v>
      </c>
      <c r="AW821" t="s">
        <v>9</v>
      </c>
      <c r="AX821">
        <f>Tabla1[[#This Row],[precio del paquete]]-Tabla1[[#This Row],[Saldo_Deudor]]</f>
        <v>2250</v>
      </c>
      <c r="AY821">
        <v>10650</v>
      </c>
      <c r="AZ821">
        <v>0</v>
      </c>
      <c r="BA821">
        <v>0</v>
      </c>
      <c r="BB821">
        <v>0</v>
      </c>
      <c r="BC821" t="s">
        <v>3098</v>
      </c>
      <c r="BD821" t="s">
        <v>4829</v>
      </c>
      <c r="BE821" t="s">
        <v>3</v>
      </c>
      <c r="BF821" t="s">
        <v>3</v>
      </c>
      <c r="BG821" t="s">
        <v>3</v>
      </c>
      <c r="BH821" t="s">
        <v>3</v>
      </c>
      <c r="BI821" t="s">
        <v>3</v>
      </c>
      <c r="BJ821" t="s">
        <v>5013</v>
      </c>
      <c r="BK821" t="s">
        <v>3</v>
      </c>
      <c r="BL821" t="s">
        <v>96</v>
      </c>
      <c r="BM821" t="s">
        <v>1</v>
      </c>
      <c r="BN821">
        <v>12900</v>
      </c>
      <c r="BO821" t="s">
        <v>1</v>
      </c>
      <c r="BP821" t="s">
        <v>1</v>
      </c>
      <c r="BQ821" t="s">
        <v>1</v>
      </c>
      <c r="BR821" t="s">
        <v>1</v>
      </c>
      <c r="BS821" t="s">
        <v>1</v>
      </c>
      <c r="BT821" t="s">
        <v>1</v>
      </c>
      <c r="BU821" t="s">
        <v>1</v>
      </c>
      <c r="BV821" t="s">
        <v>1</v>
      </c>
      <c r="BW821" t="s">
        <v>0</v>
      </c>
      <c r="BX821" t="s">
        <v>1</v>
      </c>
      <c r="BY821" t="s">
        <v>1</v>
      </c>
      <c r="BZ821" t="s">
        <v>1</v>
      </c>
      <c r="CA821" t="s">
        <v>1</v>
      </c>
      <c r="CB821" t="s">
        <v>1</v>
      </c>
      <c r="CD821" t="e" cm="1">
        <f t="array" aca="1" ref="CD821" ca="1">eConcatenar(A821:CB821,"|")</f>
        <v>#NAME?</v>
      </c>
    </row>
    <row r="822" spans="1:82" x14ac:dyDescent="0.25">
      <c r="A822" t="s">
        <v>917</v>
      </c>
      <c r="B822" t="s">
        <v>1935</v>
      </c>
      <c r="C822">
        <v>3</v>
      </c>
      <c r="D822" t="s">
        <v>2157</v>
      </c>
      <c r="E822" t="s">
        <v>2158</v>
      </c>
      <c r="F822" t="s">
        <v>0</v>
      </c>
      <c r="G822" t="s">
        <v>2619</v>
      </c>
      <c r="H822" t="s">
        <v>3050</v>
      </c>
      <c r="I822">
        <v>12900</v>
      </c>
      <c r="J822">
        <v>0</v>
      </c>
      <c r="K822">
        <v>200</v>
      </c>
      <c r="L822">
        <v>50</v>
      </c>
      <c r="M822">
        <v>1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 t="s">
        <v>3243</v>
      </c>
      <c r="AC822" t="s">
        <v>3132</v>
      </c>
      <c r="AD822" t="s">
        <v>3237</v>
      </c>
      <c r="AE822" t="s">
        <v>4</v>
      </c>
      <c r="AF822" t="s">
        <v>1</v>
      </c>
      <c r="AG822" t="s">
        <v>1</v>
      </c>
      <c r="AH822" t="s">
        <v>4676</v>
      </c>
      <c r="AI822" t="s">
        <v>2619</v>
      </c>
      <c r="AJ822" t="s">
        <v>1</v>
      </c>
      <c r="AK822">
        <v>9371702813</v>
      </c>
      <c r="AL822" t="s">
        <v>1</v>
      </c>
      <c r="AM822" t="s">
        <v>1</v>
      </c>
      <c r="AN822" t="s">
        <v>1</v>
      </c>
      <c r="AO822" t="s">
        <v>4676</v>
      </c>
      <c r="AP822" t="s">
        <v>1</v>
      </c>
      <c r="AQ822" t="s">
        <v>2</v>
      </c>
      <c r="AR822" t="s">
        <v>1</v>
      </c>
      <c r="AS822" t="s">
        <v>1</v>
      </c>
      <c r="AT822" t="s">
        <v>1</v>
      </c>
      <c r="AU822" t="s">
        <v>1</v>
      </c>
      <c r="AV822" t="s">
        <v>1</v>
      </c>
      <c r="AW822" t="s">
        <v>9</v>
      </c>
      <c r="AX822">
        <f>Tabla1[[#This Row],[precio del paquete]]-Tabla1[[#This Row],[Saldo_Deudor]]</f>
        <v>5000</v>
      </c>
      <c r="AY822">
        <v>7900</v>
      </c>
      <c r="AZ822">
        <v>0</v>
      </c>
      <c r="BA822">
        <v>0</v>
      </c>
      <c r="BB822">
        <v>0</v>
      </c>
      <c r="BC822" t="s">
        <v>3024</v>
      </c>
      <c r="BD822" t="s">
        <v>4830</v>
      </c>
      <c r="BE822" t="s">
        <v>3</v>
      </c>
      <c r="BF822" t="s">
        <v>3</v>
      </c>
      <c r="BG822" t="s">
        <v>3</v>
      </c>
      <c r="BH822" t="s">
        <v>3</v>
      </c>
      <c r="BI822" t="s">
        <v>3</v>
      </c>
      <c r="BJ822" t="s">
        <v>5013</v>
      </c>
      <c r="BK822" t="s">
        <v>3</v>
      </c>
      <c r="BL822" t="s">
        <v>96</v>
      </c>
      <c r="BM822" t="s">
        <v>1</v>
      </c>
      <c r="BN822">
        <v>12900</v>
      </c>
      <c r="BO822" t="s">
        <v>1</v>
      </c>
      <c r="BP822" t="s">
        <v>1</v>
      </c>
      <c r="BQ822" t="s">
        <v>1</v>
      </c>
      <c r="BR822" t="s">
        <v>1</v>
      </c>
      <c r="BS822" t="s">
        <v>1</v>
      </c>
      <c r="BT822" t="s">
        <v>1</v>
      </c>
      <c r="BU822" t="s">
        <v>1</v>
      </c>
      <c r="BV822" t="s">
        <v>1</v>
      </c>
      <c r="BW822" t="s">
        <v>0</v>
      </c>
      <c r="BX822" t="s">
        <v>1</v>
      </c>
      <c r="BY822" t="s">
        <v>1</v>
      </c>
      <c r="BZ822" t="s">
        <v>1</v>
      </c>
      <c r="CA822" t="s">
        <v>1</v>
      </c>
      <c r="CB822" t="s">
        <v>1</v>
      </c>
      <c r="CD822" t="e" cm="1">
        <f t="array" aca="1" ref="CD822" ca="1">eConcatenar(A822:CB822,"|")</f>
        <v>#NAME?</v>
      </c>
    </row>
    <row r="823" spans="1:82" x14ac:dyDescent="0.25">
      <c r="A823" t="s">
        <v>918</v>
      </c>
      <c r="B823" t="s">
        <v>1936</v>
      </c>
      <c r="C823">
        <v>3</v>
      </c>
      <c r="D823" t="s">
        <v>2157</v>
      </c>
      <c r="E823" t="s">
        <v>2158</v>
      </c>
      <c r="F823" t="s">
        <v>0</v>
      </c>
      <c r="G823" t="s">
        <v>2620</v>
      </c>
      <c r="H823" t="s">
        <v>3051</v>
      </c>
      <c r="I823">
        <v>12900</v>
      </c>
      <c r="J823">
        <v>0</v>
      </c>
      <c r="K823">
        <v>200</v>
      </c>
      <c r="L823">
        <v>50</v>
      </c>
      <c r="M823">
        <v>1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 t="s">
        <v>3115</v>
      </c>
      <c r="AC823" t="s">
        <v>3257</v>
      </c>
      <c r="AD823" t="s">
        <v>3258</v>
      </c>
      <c r="AE823" t="s">
        <v>4</v>
      </c>
      <c r="AF823" t="s">
        <v>1</v>
      </c>
      <c r="AG823" t="s">
        <v>1</v>
      </c>
      <c r="AH823" t="s">
        <v>4677</v>
      </c>
      <c r="AI823" t="s">
        <v>2620</v>
      </c>
      <c r="AJ823" t="s">
        <v>1</v>
      </c>
      <c r="AK823">
        <v>93722908</v>
      </c>
      <c r="AL823" t="s">
        <v>1</v>
      </c>
      <c r="AM823" t="s">
        <v>1</v>
      </c>
      <c r="AN823" t="s">
        <v>1</v>
      </c>
      <c r="AO823" t="s">
        <v>4677</v>
      </c>
      <c r="AP823" t="s">
        <v>1</v>
      </c>
      <c r="AQ823" t="s">
        <v>2</v>
      </c>
      <c r="AR823" t="s">
        <v>1</v>
      </c>
      <c r="AS823" t="s">
        <v>1</v>
      </c>
      <c r="AT823" t="s">
        <v>1</v>
      </c>
      <c r="AU823" t="s">
        <v>1</v>
      </c>
      <c r="AV823" t="s">
        <v>1</v>
      </c>
      <c r="AW823" t="s">
        <v>9</v>
      </c>
      <c r="AX823">
        <f>Tabla1[[#This Row],[precio del paquete]]-Tabla1[[#This Row],[Saldo_Deudor]]</f>
        <v>8300</v>
      </c>
      <c r="AY823">
        <v>4600</v>
      </c>
      <c r="AZ823">
        <v>0</v>
      </c>
      <c r="BA823">
        <v>0</v>
      </c>
      <c r="BB823">
        <v>0</v>
      </c>
      <c r="BC823" t="s">
        <v>2705</v>
      </c>
      <c r="BD823" t="s">
        <v>2831</v>
      </c>
      <c r="BE823" t="s">
        <v>3</v>
      </c>
      <c r="BF823" t="s">
        <v>3</v>
      </c>
      <c r="BG823" t="s">
        <v>3</v>
      </c>
      <c r="BH823" t="s">
        <v>3</v>
      </c>
      <c r="BI823" t="s">
        <v>3</v>
      </c>
      <c r="BJ823" t="s">
        <v>5013</v>
      </c>
      <c r="BK823" t="s">
        <v>3</v>
      </c>
      <c r="BL823" t="s">
        <v>96</v>
      </c>
      <c r="BM823" t="s">
        <v>1</v>
      </c>
      <c r="BN823">
        <v>12900</v>
      </c>
      <c r="BO823" t="s">
        <v>1</v>
      </c>
      <c r="BP823" t="s">
        <v>1</v>
      </c>
      <c r="BQ823" t="s">
        <v>1</v>
      </c>
      <c r="BR823" t="s">
        <v>1</v>
      </c>
      <c r="BS823" t="s">
        <v>1</v>
      </c>
      <c r="BT823" t="s">
        <v>1</v>
      </c>
      <c r="BU823" t="s">
        <v>1</v>
      </c>
      <c r="BV823" t="s">
        <v>1</v>
      </c>
      <c r="BW823" t="s">
        <v>0</v>
      </c>
      <c r="BX823" t="s">
        <v>1</v>
      </c>
      <c r="BY823" t="s">
        <v>1</v>
      </c>
      <c r="BZ823" t="s">
        <v>1</v>
      </c>
      <c r="CA823" t="s">
        <v>1</v>
      </c>
      <c r="CB823" t="s">
        <v>1</v>
      </c>
      <c r="CD823" t="e" cm="1">
        <f t="array" aca="1" ref="CD823" ca="1">eConcatenar(A823:CB823,"|")</f>
        <v>#NAME?</v>
      </c>
    </row>
    <row r="824" spans="1:82" x14ac:dyDescent="0.25">
      <c r="A824" t="s">
        <v>919</v>
      </c>
      <c r="B824" t="s">
        <v>1937</v>
      </c>
      <c r="C824">
        <v>3</v>
      </c>
      <c r="D824" t="s">
        <v>2157</v>
      </c>
      <c r="E824" t="s">
        <v>2158</v>
      </c>
      <c r="F824" t="s">
        <v>0</v>
      </c>
      <c r="G824" t="s">
        <v>2331</v>
      </c>
      <c r="H824" t="s">
        <v>3052</v>
      </c>
      <c r="I824">
        <v>12900</v>
      </c>
      <c r="J824">
        <v>0</v>
      </c>
      <c r="K824">
        <v>200</v>
      </c>
      <c r="L824">
        <v>50</v>
      </c>
      <c r="M824">
        <v>1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 t="s">
        <v>3184</v>
      </c>
      <c r="AC824" t="s">
        <v>3846</v>
      </c>
      <c r="AD824" t="s">
        <v>3149</v>
      </c>
      <c r="AE824" t="s">
        <v>4</v>
      </c>
      <c r="AF824" t="s">
        <v>1</v>
      </c>
      <c r="AG824" t="s">
        <v>1</v>
      </c>
      <c r="AH824" t="s">
        <v>4678</v>
      </c>
      <c r="AI824" t="s">
        <v>2331</v>
      </c>
      <c r="AJ824" t="s">
        <v>1</v>
      </c>
      <c r="AK824">
        <v>9371546309</v>
      </c>
      <c r="AL824" t="s">
        <v>1</v>
      </c>
      <c r="AM824" t="s">
        <v>1</v>
      </c>
      <c r="AN824" t="s">
        <v>1</v>
      </c>
      <c r="AO824" t="s">
        <v>4678</v>
      </c>
      <c r="AP824" t="s">
        <v>1</v>
      </c>
      <c r="AQ824" t="s">
        <v>2</v>
      </c>
      <c r="AR824" t="s">
        <v>1</v>
      </c>
      <c r="AS824" t="s">
        <v>1</v>
      </c>
      <c r="AT824" t="s">
        <v>1</v>
      </c>
      <c r="AU824" t="s">
        <v>1</v>
      </c>
      <c r="AV824" t="s">
        <v>1</v>
      </c>
      <c r="AW824" t="s">
        <v>9</v>
      </c>
      <c r="AX824">
        <f>Tabla1[[#This Row],[precio del paquete]]-Tabla1[[#This Row],[Saldo_Deudor]]</f>
        <v>12300</v>
      </c>
      <c r="AY824">
        <v>600</v>
      </c>
      <c r="AZ824">
        <v>0</v>
      </c>
      <c r="BA824">
        <v>0</v>
      </c>
      <c r="BB824">
        <v>0</v>
      </c>
      <c r="BC824" t="s">
        <v>4830</v>
      </c>
      <c r="BD824" t="s">
        <v>4906</v>
      </c>
      <c r="BE824" t="s">
        <v>3</v>
      </c>
      <c r="BF824" t="s">
        <v>3</v>
      </c>
      <c r="BG824" t="s">
        <v>3</v>
      </c>
      <c r="BH824" t="s">
        <v>3</v>
      </c>
      <c r="BI824" t="s">
        <v>3</v>
      </c>
      <c r="BJ824" t="s">
        <v>5013</v>
      </c>
      <c r="BK824" t="s">
        <v>3</v>
      </c>
      <c r="BL824" t="s">
        <v>96</v>
      </c>
      <c r="BM824" t="s">
        <v>1</v>
      </c>
      <c r="BN824">
        <v>12900</v>
      </c>
      <c r="BO824" t="s">
        <v>1</v>
      </c>
      <c r="BP824" t="s">
        <v>1</v>
      </c>
      <c r="BQ824" t="s">
        <v>1</v>
      </c>
      <c r="BR824" t="s">
        <v>1</v>
      </c>
      <c r="BS824" t="s">
        <v>1</v>
      </c>
      <c r="BT824" t="s">
        <v>1</v>
      </c>
      <c r="BU824" t="s">
        <v>1</v>
      </c>
      <c r="BV824" t="s">
        <v>1</v>
      </c>
      <c r="BW824" t="s">
        <v>0</v>
      </c>
      <c r="BX824" t="s">
        <v>1</v>
      </c>
      <c r="BY824" t="s">
        <v>1</v>
      </c>
      <c r="BZ824" t="s">
        <v>1</v>
      </c>
      <c r="CA824" t="s">
        <v>1</v>
      </c>
      <c r="CB824" t="s">
        <v>1</v>
      </c>
      <c r="CD824" t="e" cm="1">
        <f t="array" aca="1" ref="CD824" ca="1">eConcatenar(A824:CB824,"|")</f>
        <v>#NAME?</v>
      </c>
    </row>
    <row r="825" spans="1:82" x14ac:dyDescent="0.25">
      <c r="A825" t="s">
        <v>920</v>
      </c>
      <c r="B825" t="s">
        <v>1938</v>
      </c>
      <c r="C825">
        <v>3</v>
      </c>
      <c r="D825" t="s">
        <v>3106</v>
      </c>
      <c r="E825" t="s">
        <v>2158</v>
      </c>
      <c r="F825" t="s">
        <v>0</v>
      </c>
      <c r="G825" t="s">
        <v>2247</v>
      </c>
      <c r="H825" t="s">
        <v>3053</v>
      </c>
      <c r="I825">
        <v>31500</v>
      </c>
      <c r="J825">
        <v>0</v>
      </c>
      <c r="K825">
        <v>400</v>
      </c>
      <c r="L825">
        <v>50</v>
      </c>
      <c r="M825">
        <v>1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 t="s">
        <v>3318</v>
      </c>
      <c r="AC825" t="s">
        <v>3157</v>
      </c>
      <c r="AD825" t="s">
        <v>3762</v>
      </c>
      <c r="AE825" t="s">
        <v>4</v>
      </c>
      <c r="AF825" t="s">
        <v>1</v>
      </c>
      <c r="AG825" t="s">
        <v>1</v>
      </c>
      <c r="AH825" t="s">
        <v>4679</v>
      </c>
      <c r="AI825" t="s">
        <v>2247</v>
      </c>
      <c r="AJ825" t="s">
        <v>1</v>
      </c>
      <c r="AK825">
        <v>9371625403</v>
      </c>
      <c r="AL825" t="s">
        <v>1</v>
      </c>
      <c r="AM825" t="s">
        <v>1</v>
      </c>
      <c r="AN825" t="s">
        <v>1</v>
      </c>
      <c r="AO825" t="s">
        <v>4679</v>
      </c>
      <c r="AP825" t="s">
        <v>1</v>
      </c>
      <c r="AQ825" t="s">
        <v>2</v>
      </c>
      <c r="AR825" t="s">
        <v>1</v>
      </c>
      <c r="AS825" t="s">
        <v>1</v>
      </c>
      <c r="AT825" t="s">
        <v>1</v>
      </c>
      <c r="AU825" t="s">
        <v>1</v>
      </c>
      <c r="AV825" t="s">
        <v>1</v>
      </c>
      <c r="AW825" t="s">
        <v>9</v>
      </c>
      <c r="AX825">
        <f>Tabla1[[#This Row],[precio del paquete]]-Tabla1[[#This Row],[Saldo_Deudor]]</f>
        <v>31100</v>
      </c>
      <c r="AY825">
        <v>400</v>
      </c>
      <c r="AZ825">
        <v>0</v>
      </c>
      <c r="BA825">
        <v>0</v>
      </c>
      <c r="BB825">
        <v>0</v>
      </c>
      <c r="BC825" t="s">
        <v>4830</v>
      </c>
      <c r="BD825" t="s">
        <v>4906</v>
      </c>
      <c r="BE825" t="s">
        <v>3</v>
      </c>
      <c r="BF825" t="s">
        <v>3</v>
      </c>
      <c r="BG825" t="s">
        <v>3</v>
      </c>
      <c r="BH825" t="s">
        <v>3</v>
      </c>
      <c r="BI825" t="s">
        <v>3</v>
      </c>
      <c r="BJ825" t="s">
        <v>5013</v>
      </c>
      <c r="BK825" t="s">
        <v>3</v>
      </c>
      <c r="BL825" t="s">
        <v>96</v>
      </c>
      <c r="BM825" t="s">
        <v>1</v>
      </c>
      <c r="BN825">
        <v>31500</v>
      </c>
      <c r="BO825" t="s">
        <v>1</v>
      </c>
      <c r="BP825" t="s">
        <v>1</v>
      </c>
      <c r="BQ825" t="s">
        <v>1</v>
      </c>
      <c r="BR825" t="s">
        <v>1</v>
      </c>
      <c r="BS825" t="s">
        <v>1</v>
      </c>
      <c r="BT825" t="s">
        <v>1</v>
      </c>
      <c r="BU825" t="s">
        <v>1</v>
      </c>
      <c r="BV825" t="s">
        <v>1</v>
      </c>
      <c r="BW825" t="s">
        <v>0</v>
      </c>
      <c r="BX825" t="s">
        <v>1</v>
      </c>
      <c r="BY825" t="s">
        <v>1</v>
      </c>
      <c r="BZ825" t="s">
        <v>1</v>
      </c>
      <c r="CA825" t="s">
        <v>1</v>
      </c>
      <c r="CB825" t="s">
        <v>1</v>
      </c>
      <c r="CD825" t="e" cm="1">
        <f t="array" aca="1" ref="CD825" ca="1">eConcatenar(A825:CB825,"|")</f>
        <v>#NAME?</v>
      </c>
    </row>
    <row r="826" spans="1:82" x14ac:dyDescent="0.25">
      <c r="A826" t="s">
        <v>921</v>
      </c>
      <c r="B826" t="s">
        <v>1939</v>
      </c>
      <c r="C826">
        <v>3</v>
      </c>
      <c r="D826" t="s">
        <v>2157</v>
      </c>
      <c r="E826" t="s">
        <v>2158</v>
      </c>
      <c r="F826" t="s">
        <v>0</v>
      </c>
      <c r="G826" t="s">
        <v>2247</v>
      </c>
      <c r="H826" t="s">
        <v>3054</v>
      </c>
      <c r="I826">
        <v>12900</v>
      </c>
      <c r="J826">
        <v>0</v>
      </c>
      <c r="K826">
        <v>200</v>
      </c>
      <c r="L826">
        <v>50</v>
      </c>
      <c r="M826">
        <v>1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 t="s">
        <v>3193</v>
      </c>
      <c r="AC826" t="s">
        <v>3115</v>
      </c>
      <c r="AD826" t="s">
        <v>3805</v>
      </c>
      <c r="AE826" t="s">
        <v>4</v>
      </c>
      <c r="AF826" t="s">
        <v>1</v>
      </c>
      <c r="AG826" t="s">
        <v>1</v>
      </c>
      <c r="AH826" t="s">
        <v>4680</v>
      </c>
      <c r="AI826" t="s">
        <v>2247</v>
      </c>
      <c r="AJ826" t="s">
        <v>1</v>
      </c>
      <c r="AK826">
        <v>9371028799</v>
      </c>
      <c r="AL826" t="s">
        <v>1</v>
      </c>
      <c r="AM826" t="s">
        <v>1</v>
      </c>
      <c r="AN826" t="s">
        <v>1</v>
      </c>
      <c r="AO826" t="s">
        <v>4680</v>
      </c>
      <c r="AP826" t="s">
        <v>1</v>
      </c>
      <c r="AQ826" t="s">
        <v>2</v>
      </c>
      <c r="AR826" t="s">
        <v>1</v>
      </c>
      <c r="AS826" t="s">
        <v>1</v>
      </c>
      <c r="AT826" t="s">
        <v>1</v>
      </c>
      <c r="AU826" t="s">
        <v>1</v>
      </c>
      <c r="AV826" t="s">
        <v>1</v>
      </c>
      <c r="AW826" t="s">
        <v>9</v>
      </c>
      <c r="AX826">
        <f>Tabla1[[#This Row],[precio del paquete]]-Tabla1[[#This Row],[Saldo_Deudor]]</f>
        <v>12600</v>
      </c>
      <c r="AY826">
        <v>300</v>
      </c>
      <c r="AZ826">
        <v>0</v>
      </c>
      <c r="BA826">
        <v>0</v>
      </c>
      <c r="BB826">
        <v>0</v>
      </c>
      <c r="BC826" t="s">
        <v>4830</v>
      </c>
      <c r="BD826" t="s">
        <v>4906</v>
      </c>
      <c r="BE826" t="s">
        <v>3</v>
      </c>
      <c r="BF826" t="s">
        <v>3</v>
      </c>
      <c r="BG826" t="s">
        <v>3</v>
      </c>
      <c r="BH826" t="s">
        <v>3</v>
      </c>
      <c r="BI826" t="s">
        <v>3</v>
      </c>
      <c r="BJ826" t="s">
        <v>5013</v>
      </c>
      <c r="BK826" t="s">
        <v>3</v>
      </c>
      <c r="BL826" t="s">
        <v>96</v>
      </c>
      <c r="BM826" t="s">
        <v>1</v>
      </c>
      <c r="BN826">
        <v>12900</v>
      </c>
      <c r="BO826" t="s">
        <v>1</v>
      </c>
      <c r="BP826" t="s">
        <v>1</v>
      </c>
      <c r="BQ826" t="s">
        <v>1</v>
      </c>
      <c r="BR826" t="s">
        <v>1</v>
      </c>
      <c r="BS826" t="s">
        <v>1</v>
      </c>
      <c r="BT826" t="s">
        <v>1</v>
      </c>
      <c r="BU826" t="s">
        <v>1</v>
      </c>
      <c r="BV826" t="s">
        <v>1</v>
      </c>
      <c r="BW826" t="s">
        <v>0</v>
      </c>
      <c r="BX826" t="s">
        <v>1</v>
      </c>
      <c r="BY826" t="s">
        <v>1</v>
      </c>
      <c r="BZ826" t="s">
        <v>1</v>
      </c>
      <c r="CA826" t="s">
        <v>1</v>
      </c>
      <c r="CB826" t="s">
        <v>1</v>
      </c>
      <c r="CD826" t="e" cm="1">
        <f t="array" aca="1" ref="CD826" ca="1">eConcatenar(A826:CB826,"|")</f>
        <v>#NAME?</v>
      </c>
    </row>
    <row r="827" spans="1:82" x14ac:dyDescent="0.25">
      <c r="A827" t="s">
        <v>922</v>
      </c>
      <c r="B827" t="s">
        <v>1940</v>
      </c>
      <c r="C827">
        <v>3</v>
      </c>
      <c r="D827" t="s">
        <v>2157</v>
      </c>
      <c r="E827" t="s">
        <v>2158</v>
      </c>
      <c r="F827" t="s">
        <v>0</v>
      </c>
      <c r="G827" t="s">
        <v>2619</v>
      </c>
      <c r="H827" t="s">
        <v>3055</v>
      </c>
      <c r="I827">
        <v>12900</v>
      </c>
      <c r="J827">
        <v>0</v>
      </c>
      <c r="K827">
        <v>200</v>
      </c>
      <c r="L827">
        <v>50</v>
      </c>
      <c r="M827">
        <v>1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 t="s">
        <v>3236</v>
      </c>
      <c r="AC827" t="s">
        <v>3117</v>
      </c>
      <c r="AD827" t="s">
        <v>3239</v>
      </c>
      <c r="AE827" t="s">
        <v>4</v>
      </c>
      <c r="AF827" t="s">
        <v>1</v>
      </c>
      <c r="AG827" t="s">
        <v>1</v>
      </c>
      <c r="AH827" t="s">
        <v>4681</v>
      </c>
      <c r="AI827" t="s">
        <v>2619</v>
      </c>
      <c r="AJ827" t="s">
        <v>1</v>
      </c>
      <c r="AK827">
        <v>9371261641</v>
      </c>
      <c r="AL827" t="s">
        <v>1</v>
      </c>
      <c r="AM827" t="s">
        <v>1</v>
      </c>
      <c r="AN827" t="s">
        <v>1</v>
      </c>
      <c r="AO827" t="s">
        <v>4681</v>
      </c>
      <c r="AP827" t="s">
        <v>1</v>
      </c>
      <c r="AQ827" t="s">
        <v>2</v>
      </c>
      <c r="AR827" t="s">
        <v>1</v>
      </c>
      <c r="AS827" t="s">
        <v>1</v>
      </c>
      <c r="AT827" t="s">
        <v>1</v>
      </c>
      <c r="AU827" t="s">
        <v>1</v>
      </c>
      <c r="AV827" t="s">
        <v>1</v>
      </c>
      <c r="AW827" t="s">
        <v>9</v>
      </c>
      <c r="AX827">
        <f>Tabla1[[#This Row],[precio del paquete]]-Tabla1[[#This Row],[Saldo_Deudor]]</f>
        <v>12700</v>
      </c>
      <c r="AY827">
        <v>200</v>
      </c>
      <c r="AZ827">
        <v>0</v>
      </c>
      <c r="BA827">
        <v>0</v>
      </c>
      <c r="BB827">
        <v>0</v>
      </c>
      <c r="BC827" t="s">
        <v>4830</v>
      </c>
      <c r="BD827" t="s">
        <v>4906</v>
      </c>
      <c r="BE827" t="s">
        <v>3</v>
      </c>
      <c r="BF827" t="s">
        <v>3</v>
      </c>
      <c r="BG827" t="s">
        <v>3</v>
      </c>
      <c r="BH827" t="s">
        <v>3</v>
      </c>
      <c r="BI827" t="s">
        <v>3</v>
      </c>
      <c r="BJ827" t="s">
        <v>5013</v>
      </c>
      <c r="BK827" t="s">
        <v>3</v>
      </c>
      <c r="BL827" t="s">
        <v>96</v>
      </c>
      <c r="BM827" t="s">
        <v>1</v>
      </c>
      <c r="BN827">
        <v>12900</v>
      </c>
      <c r="BO827" t="s">
        <v>1</v>
      </c>
      <c r="BP827" t="s">
        <v>1</v>
      </c>
      <c r="BQ827" t="s">
        <v>1</v>
      </c>
      <c r="BR827" t="s">
        <v>1</v>
      </c>
      <c r="BS827" t="s">
        <v>1</v>
      </c>
      <c r="BT827" t="s">
        <v>1</v>
      </c>
      <c r="BU827" t="s">
        <v>1</v>
      </c>
      <c r="BV827" t="s">
        <v>1</v>
      </c>
      <c r="BW827" t="s">
        <v>0</v>
      </c>
      <c r="BX827" t="s">
        <v>1</v>
      </c>
      <c r="BY827" t="s">
        <v>1</v>
      </c>
      <c r="BZ827" t="s">
        <v>1</v>
      </c>
      <c r="CA827" t="s">
        <v>1</v>
      </c>
      <c r="CB827" t="s">
        <v>1</v>
      </c>
      <c r="CD827" t="e" cm="1">
        <f t="array" aca="1" ref="CD827" ca="1">eConcatenar(A827:CB827,"|")</f>
        <v>#NAME?</v>
      </c>
    </row>
    <row r="828" spans="1:82" x14ac:dyDescent="0.25">
      <c r="A828" t="s">
        <v>923</v>
      </c>
      <c r="B828" t="s">
        <v>1941</v>
      </c>
      <c r="C828">
        <v>3</v>
      </c>
      <c r="D828" t="s">
        <v>2157</v>
      </c>
      <c r="E828" t="s">
        <v>2158</v>
      </c>
      <c r="F828" t="s">
        <v>0</v>
      </c>
      <c r="G828" t="s">
        <v>2621</v>
      </c>
      <c r="H828" t="s">
        <v>3056</v>
      </c>
      <c r="I828">
        <v>12900</v>
      </c>
      <c r="J828">
        <v>0</v>
      </c>
      <c r="K828">
        <v>200</v>
      </c>
      <c r="L828">
        <v>50</v>
      </c>
      <c r="M828">
        <v>1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 t="s">
        <v>3472</v>
      </c>
      <c r="AC828" t="s">
        <v>3132</v>
      </c>
      <c r="AD828" t="s">
        <v>3958</v>
      </c>
      <c r="AE828" t="s">
        <v>4</v>
      </c>
      <c r="AF828" t="s">
        <v>1</v>
      </c>
      <c r="AG828" t="s">
        <v>1</v>
      </c>
      <c r="AH828" t="s">
        <v>4682</v>
      </c>
      <c r="AI828" t="s">
        <v>2621</v>
      </c>
      <c r="AJ828" t="s">
        <v>1</v>
      </c>
      <c r="AK828">
        <v>9371545697</v>
      </c>
      <c r="AL828" t="s">
        <v>1</v>
      </c>
      <c r="AM828" t="s">
        <v>1</v>
      </c>
      <c r="AN828" t="s">
        <v>1</v>
      </c>
      <c r="AO828" t="s">
        <v>4682</v>
      </c>
      <c r="AP828" t="s">
        <v>1</v>
      </c>
      <c r="AQ828" t="s">
        <v>2</v>
      </c>
      <c r="AR828" t="s">
        <v>1</v>
      </c>
      <c r="AS828" t="s">
        <v>1</v>
      </c>
      <c r="AT828" t="s">
        <v>1</v>
      </c>
      <c r="AU828" t="s">
        <v>1</v>
      </c>
      <c r="AV828" t="s">
        <v>1</v>
      </c>
      <c r="AW828" t="s">
        <v>9</v>
      </c>
      <c r="AX828">
        <f>Tabla1[[#This Row],[precio del paquete]]-Tabla1[[#This Row],[Saldo_Deudor]]</f>
        <v>8200</v>
      </c>
      <c r="AY828">
        <v>4700</v>
      </c>
      <c r="AZ828">
        <v>0</v>
      </c>
      <c r="BA828">
        <v>0</v>
      </c>
      <c r="BB828">
        <v>0</v>
      </c>
      <c r="BC828" t="s">
        <v>4830</v>
      </c>
      <c r="BD828" t="s">
        <v>4906</v>
      </c>
      <c r="BE828" t="s">
        <v>3</v>
      </c>
      <c r="BF828" t="s">
        <v>3</v>
      </c>
      <c r="BG828" t="s">
        <v>3</v>
      </c>
      <c r="BH828" t="s">
        <v>3</v>
      </c>
      <c r="BI828" t="s">
        <v>3</v>
      </c>
      <c r="BJ828" t="s">
        <v>5013</v>
      </c>
      <c r="BK828" t="s">
        <v>3</v>
      </c>
      <c r="BL828" t="s">
        <v>96</v>
      </c>
      <c r="BM828" t="s">
        <v>1</v>
      </c>
      <c r="BN828">
        <v>12900</v>
      </c>
      <c r="BO828" t="s">
        <v>1</v>
      </c>
      <c r="BP828" t="s">
        <v>1</v>
      </c>
      <c r="BQ828" t="s">
        <v>1</v>
      </c>
      <c r="BR828" t="s">
        <v>1</v>
      </c>
      <c r="BS828" t="s">
        <v>1</v>
      </c>
      <c r="BT828" t="s">
        <v>1</v>
      </c>
      <c r="BU828" t="s">
        <v>1</v>
      </c>
      <c r="BV828" t="s">
        <v>1</v>
      </c>
      <c r="BW828" t="s">
        <v>0</v>
      </c>
      <c r="BX828" t="s">
        <v>1</v>
      </c>
      <c r="BY828" t="s">
        <v>1</v>
      </c>
      <c r="BZ828" t="s">
        <v>1</v>
      </c>
      <c r="CA828" t="s">
        <v>1</v>
      </c>
      <c r="CB828" t="s">
        <v>1</v>
      </c>
      <c r="CD828" t="e" cm="1">
        <f t="array" aca="1" ref="CD828" ca="1">eConcatenar(A828:CB828,"|")</f>
        <v>#NAME?</v>
      </c>
    </row>
    <row r="829" spans="1:82" x14ac:dyDescent="0.25">
      <c r="A829" t="s">
        <v>924</v>
      </c>
      <c r="B829" t="s">
        <v>1942</v>
      </c>
      <c r="C829">
        <v>3</v>
      </c>
      <c r="D829" t="s">
        <v>2157</v>
      </c>
      <c r="E829" t="s">
        <v>2158</v>
      </c>
      <c r="F829" t="s">
        <v>0</v>
      </c>
      <c r="G829" t="s">
        <v>2249</v>
      </c>
      <c r="H829" t="s">
        <v>3057</v>
      </c>
      <c r="I829">
        <v>12900</v>
      </c>
      <c r="J829">
        <v>0</v>
      </c>
      <c r="K829">
        <v>200</v>
      </c>
      <c r="L829">
        <v>50</v>
      </c>
      <c r="M829">
        <v>1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 t="s">
        <v>3959</v>
      </c>
      <c r="AC829" t="s">
        <v>3960</v>
      </c>
      <c r="AD829" t="s">
        <v>3506</v>
      </c>
      <c r="AE829" t="s">
        <v>4</v>
      </c>
      <c r="AF829" t="s">
        <v>1</v>
      </c>
      <c r="AG829" t="s">
        <v>1</v>
      </c>
      <c r="AH829" t="s">
        <v>2249</v>
      </c>
      <c r="AI829" t="s">
        <v>2249</v>
      </c>
      <c r="AJ829" t="s">
        <v>1</v>
      </c>
      <c r="AK829">
        <v>9371386858</v>
      </c>
      <c r="AL829" t="s">
        <v>1</v>
      </c>
      <c r="AM829" t="s">
        <v>1</v>
      </c>
      <c r="AN829" t="s">
        <v>1</v>
      </c>
      <c r="AO829" t="s">
        <v>2249</v>
      </c>
      <c r="AP829" t="s">
        <v>1</v>
      </c>
      <c r="AQ829" t="s">
        <v>2</v>
      </c>
      <c r="AR829" t="s">
        <v>1</v>
      </c>
      <c r="AS829" t="s">
        <v>1</v>
      </c>
      <c r="AT829" t="s">
        <v>1</v>
      </c>
      <c r="AU829" t="s">
        <v>1</v>
      </c>
      <c r="AV829" t="s">
        <v>1</v>
      </c>
      <c r="AW829" t="s">
        <v>9</v>
      </c>
      <c r="AX829">
        <f>Tabla1[[#This Row],[precio del paquete]]-Tabla1[[#This Row],[Saldo_Deudor]]</f>
        <v>8900</v>
      </c>
      <c r="AY829">
        <v>4000</v>
      </c>
      <c r="AZ829">
        <v>0</v>
      </c>
      <c r="BA829">
        <v>0</v>
      </c>
      <c r="BB829">
        <v>0</v>
      </c>
      <c r="BC829" t="s">
        <v>4830</v>
      </c>
      <c r="BD829" t="s">
        <v>4906</v>
      </c>
      <c r="BE829" t="s">
        <v>3</v>
      </c>
      <c r="BF829" t="s">
        <v>3</v>
      </c>
      <c r="BG829" t="s">
        <v>3</v>
      </c>
      <c r="BH829" t="s">
        <v>3</v>
      </c>
      <c r="BI829" t="s">
        <v>3</v>
      </c>
      <c r="BJ829" t="s">
        <v>5013</v>
      </c>
      <c r="BK829" t="s">
        <v>3</v>
      </c>
      <c r="BL829" t="s">
        <v>96</v>
      </c>
      <c r="BM829" t="s">
        <v>1</v>
      </c>
      <c r="BN829">
        <v>12900</v>
      </c>
      <c r="BO829" t="s">
        <v>1</v>
      </c>
      <c r="BP829" t="s">
        <v>1</v>
      </c>
      <c r="BQ829" t="s">
        <v>1</v>
      </c>
      <c r="BR829" t="s">
        <v>1</v>
      </c>
      <c r="BS829" t="s">
        <v>1</v>
      </c>
      <c r="BT829" t="s">
        <v>1</v>
      </c>
      <c r="BU829" t="s">
        <v>1</v>
      </c>
      <c r="BV829" t="s">
        <v>1</v>
      </c>
      <c r="BW829" t="s">
        <v>0</v>
      </c>
      <c r="BX829" t="s">
        <v>1</v>
      </c>
      <c r="BY829" t="s">
        <v>1</v>
      </c>
      <c r="BZ829" t="s">
        <v>1</v>
      </c>
      <c r="CA829" t="s">
        <v>1</v>
      </c>
      <c r="CB829" t="s">
        <v>1</v>
      </c>
      <c r="CD829" t="e" cm="1">
        <f t="array" aca="1" ref="CD829" ca="1">eConcatenar(A829:CB829,"|")</f>
        <v>#NAME?</v>
      </c>
    </row>
    <row r="830" spans="1:82" x14ac:dyDescent="0.25">
      <c r="A830" t="s">
        <v>925</v>
      </c>
      <c r="B830" t="s">
        <v>1943</v>
      </c>
      <c r="C830">
        <v>3</v>
      </c>
      <c r="D830" t="s">
        <v>2153</v>
      </c>
      <c r="E830" t="s">
        <v>2158</v>
      </c>
      <c r="F830" t="s">
        <v>0</v>
      </c>
      <c r="G830" t="s">
        <v>2622</v>
      </c>
      <c r="H830" t="s">
        <v>3058</v>
      </c>
      <c r="I830">
        <v>12900</v>
      </c>
      <c r="J830">
        <v>0</v>
      </c>
      <c r="K830">
        <v>1000</v>
      </c>
      <c r="L830">
        <v>50</v>
      </c>
      <c r="M830">
        <v>1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 t="s">
        <v>3119</v>
      </c>
      <c r="AC830" t="s">
        <v>5</v>
      </c>
      <c r="AD830" t="s">
        <v>3961</v>
      </c>
      <c r="AE830" t="s">
        <v>4</v>
      </c>
      <c r="AF830" t="s">
        <v>1</v>
      </c>
      <c r="AG830" t="s">
        <v>1</v>
      </c>
      <c r="AH830" t="s">
        <v>2622</v>
      </c>
      <c r="AI830" t="s">
        <v>2622</v>
      </c>
      <c r="AJ830" t="s">
        <v>1</v>
      </c>
      <c r="AK830">
        <v>9141272845</v>
      </c>
      <c r="AL830" t="s">
        <v>1</v>
      </c>
      <c r="AM830" t="s">
        <v>1</v>
      </c>
      <c r="AN830" t="s">
        <v>1</v>
      </c>
      <c r="AO830" t="s">
        <v>2622</v>
      </c>
      <c r="AP830" t="s">
        <v>1</v>
      </c>
      <c r="AQ830" t="s">
        <v>2</v>
      </c>
      <c r="AR830" t="s">
        <v>1</v>
      </c>
      <c r="AS830" t="s">
        <v>1</v>
      </c>
      <c r="AT830" t="s">
        <v>1</v>
      </c>
      <c r="AU830" t="s">
        <v>1</v>
      </c>
      <c r="AV830" t="s">
        <v>1</v>
      </c>
      <c r="AW830" t="s">
        <v>9</v>
      </c>
      <c r="AX830">
        <f>Tabla1[[#This Row],[precio del paquete]]-Tabla1[[#This Row],[Saldo_Deudor]]</f>
        <v>1300</v>
      </c>
      <c r="AY830">
        <v>11600</v>
      </c>
      <c r="AZ830">
        <v>0</v>
      </c>
      <c r="BA830">
        <v>0</v>
      </c>
      <c r="BB830">
        <v>0</v>
      </c>
      <c r="BC830" t="s">
        <v>2928</v>
      </c>
      <c r="BD830" t="s">
        <v>2711</v>
      </c>
      <c r="BE830" t="s">
        <v>3</v>
      </c>
      <c r="BF830" t="s">
        <v>3</v>
      </c>
      <c r="BG830" t="s">
        <v>3</v>
      </c>
      <c r="BH830" t="s">
        <v>3</v>
      </c>
      <c r="BI830" t="s">
        <v>3</v>
      </c>
      <c r="BJ830" t="s">
        <v>5013</v>
      </c>
      <c r="BK830" t="s">
        <v>3</v>
      </c>
      <c r="BL830" t="s">
        <v>96</v>
      </c>
      <c r="BM830" t="s">
        <v>1</v>
      </c>
      <c r="BN830">
        <v>12900</v>
      </c>
      <c r="BO830" t="s">
        <v>1</v>
      </c>
      <c r="BP830" t="s">
        <v>1</v>
      </c>
      <c r="BQ830" t="s">
        <v>1</v>
      </c>
      <c r="BR830" t="s">
        <v>1</v>
      </c>
      <c r="BS830" t="s">
        <v>1</v>
      </c>
      <c r="BT830" t="s">
        <v>1</v>
      </c>
      <c r="BU830" t="s">
        <v>1</v>
      </c>
      <c r="BV830" t="s">
        <v>1</v>
      </c>
      <c r="BW830" t="s">
        <v>0</v>
      </c>
      <c r="BX830" t="s">
        <v>1</v>
      </c>
      <c r="BY830" t="s">
        <v>1</v>
      </c>
      <c r="BZ830" t="s">
        <v>1</v>
      </c>
      <c r="CA830" t="s">
        <v>1</v>
      </c>
      <c r="CB830" t="s">
        <v>1</v>
      </c>
      <c r="CD830" t="e" cm="1">
        <f t="array" aca="1" ref="CD830" ca="1">eConcatenar(A830:CB830,"|")</f>
        <v>#NAME?</v>
      </c>
    </row>
    <row r="831" spans="1:82" x14ac:dyDescent="0.25">
      <c r="A831" t="s">
        <v>926</v>
      </c>
      <c r="B831" t="s">
        <v>1944</v>
      </c>
      <c r="C831">
        <v>3</v>
      </c>
      <c r="D831" t="s">
        <v>2157</v>
      </c>
      <c r="E831" t="s">
        <v>2158</v>
      </c>
      <c r="F831" t="s">
        <v>0</v>
      </c>
      <c r="G831" t="s">
        <v>2623</v>
      </c>
      <c r="H831" t="s">
        <v>3059</v>
      </c>
      <c r="I831">
        <v>12900</v>
      </c>
      <c r="J831">
        <v>0</v>
      </c>
      <c r="K831">
        <v>100</v>
      </c>
      <c r="L831">
        <v>50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 t="s">
        <v>3761</v>
      </c>
      <c r="AC831" t="s">
        <v>5</v>
      </c>
      <c r="AD831" t="s">
        <v>3962</v>
      </c>
      <c r="AE831" t="s">
        <v>4</v>
      </c>
      <c r="AF831" t="s">
        <v>1</v>
      </c>
      <c r="AG831" t="s">
        <v>1</v>
      </c>
      <c r="AH831" t="s">
        <v>2623</v>
      </c>
      <c r="AI831" t="s">
        <v>2623</v>
      </c>
      <c r="AJ831" t="s">
        <v>1</v>
      </c>
      <c r="AK831" t="s">
        <v>1</v>
      </c>
      <c r="AL831" t="s">
        <v>1</v>
      </c>
      <c r="AM831" t="s">
        <v>1</v>
      </c>
      <c r="AN831" t="s">
        <v>1</v>
      </c>
      <c r="AO831" t="s">
        <v>2623</v>
      </c>
      <c r="AP831" t="s">
        <v>1</v>
      </c>
      <c r="AQ831" t="s">
        <v>2</v>
      </c>
      <c r="AR831" t="s">
        <v>1</v>
      </c>
      <c r="AS831" t="s">
        <v>1</v>
      </c>
      <c r="AT831" t="s">
        <v>1</v>
      </c>
      <c r="AU831" t="s">
        <v>1</v>
      </c>
      <c r="AV831" t="s">
        <v>1</v>
      </c>
      <c r="AW831" t="s">
        <v>9</v>
      </c>
      <c r="AX831">
        <f>Tabla1[[#This Row],[precio del paquete]]-Tabla1[[#This Row],[Saldo_Deudor]]</f>
        <v>8600</v>
      </c>
      <c r="AY831">
        <v>4300</v>
      </c>
      <c r="AZ831">
        <v>0</v>
      </c>
      <c r="BA831">
        <v>0</v>
      </c>
      <c r="BB831">
        <v>0</v>
      </c>
      <c r="BC831" t="s">
        <v>2779</v>
      </c>
      <c r="BD831" t="s">
        <v>4966</v>
      </c>
      <c r="BE831" t="s">
        <v>3</v>
      </c>
      <c r="BF831" t="s">
        <v>3</v>
      </c>
      <c r="BG831" t="s">
        <v>3</v>
      </c>
      <c r="BH831" t="s">
        <v>3</v>
      </c>
      <c r="BI831" t="s">
        <v>3</v>
      </c>
      <c r="BJ831" t="s">
        <v>4997</v>
      </c>
      <c r="BK831" t="s">
        <v>3</v>
      </c>
      <c r="BL831" t="s">
        <v>96</v>
      </c>
      <c r="BM831" t="s">
        <v>1</v>
      </c>
      <c r="BN831">
        <v>12900</v>
      </c>
      <c r="BO831" t="s">
        <v>1</v>
      </c>
      <c r="BP831" t="s">
        <v>1</v>
      </c>
      <c r="BQ831" t="s">
        <v>1</v>
      </c>
      <c r="BR831" t="s">
        <v>1</v>
      </c>
      <c r="BS831" t="s">
        <v>1</v>
      </c>
      <c r="BT831" t="s">
        <v>1</v>
      </c>
      <c r="BU831" t="s">
        <v>1</v>
      </c>
      <c r="BV831" t="s">
        <v>1</v>
      </c>
      <c r="BW831" t="s">
        <v>0</v>
      </c>
      <c r="BX831" t="s">
        <v>1</v>
      </c>
      <c r="BY831" t="s">
        <v>1</v>
      </c>
      <c r="BZ831" t="s">
        <v>1</v>
      </c>
      <c r="CA831" t="s">
        <v>1</v>
      </c>
      <c r="CB831" t="s">
        <v>1</v>
      </c>
      <c r="CD831" t="e" cm="1">
        <f t="array" aca="1" ref="CD831" ca="1">eConcatenar(A831:CB831,"|")</f>
        <v>#NAME?</v>
      </c>
    </row>
    <row r="832" spans="1:82" x14ac:dyDescent="0.25">
      <c r="A832" t="s">
        <v>927</v>
      </c>
      <c r="B832" t="s">
        <v>1945</v>
      </c>
      <c r="C832">
        <v>3</v>
      </c>
      <c r="D832" t="s">
        <v>2153</v>
      </c>
      <c r="E832" t="s">
        <v>2158</v>
      </c>
      <c r="F832" t="s">
        <v>0</v>
      </c>
      <c r="G832" t="s">
        <v>2500</v>
      </c>
      <c r="H832" t="s">
        <v>2847</v>
      </c>
      <c r="I832">
        <v>14800</v>
      </c>
      <c r="J832">
        <v>0</v>
      </c>
      <c r="K832">
        <v>100</v>
      </c>
      <c r="L832">
        <v>50</v>
      </c>
      <c r="M832">
        <v>1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 t="s">
        <v>3162</v>
      </c>
      <c r="AC832" t="s">
        <v>3630</v>
      </c>
      <c r="AD832" t="s">
        <v>3963</v>
      </c>
      <c r="AE832" t="s">
        <v>4</v>
      </c>
      <c r="AF832" t="s">
        <v>1</v>
      </c>
      <c r="AG832" t="s">
        <v>1</v>
      </c>
      <c r="AH832" t="s">
        <v>4683</v>
      </c>
      <c r="AI832" t="s">
        <v>2500</v>
      </c>
      <c r="AJ832" t="s">
        <v>1</v>
      </c>
      <c r="AK832">
        <v>9371558345</v>
      </c>
      <c r="AL832" t="s">
        <v>1</v>
      </c>
      <c r="AM832" t="s">
        <v>1</v>
      </c>
      <c r="AN832" t="s">
        <v>1</v>
      </c>
      <c r="AO832" t="s">
        <v>4683</v>
      </c>
      <c r="AP832" t="s">
        <v>1</v>
      </c>
      <c r="AQ832" t="s">
        <v>2</v>
      </c>
      <c r="AR832" t="s">
        <v>1</v>
      </c>
      <c r="AS832" t="s">
        <v>1</v>
      </c>
      <c r="AT832" t="s">
        <v>1</v>
      </c>
      <c r="AU832" t="s">
        <v>1</v>
      </c>
      <c r="AV832" t="s">
        <v>1</v>
      </c>
      <c r="AW832" t="s">
        <v>9</v>
      </c>
      <c r="AX832">
        <f>Tabla1[[#This Row],[precio del paquete]]-Tabla1[[#This Row],[Saldo_Deudor]]</f>
        <v>600</v>
      </c>
      <c r="AY832">
        <v>14200</v>
      </c>
      <c r="AZ832">
        <v>0</v>
      </c>
      <c r="BA832">
        <v>0</v>
      </c>
      <c r="BB832">
        <v>0</v>
      </c>
      <c r="BC832" t="s">
        <v>2847</v>
      </c>
      <c r="BD832" t="s">
        <v>3022</v>
      </c>
      <c r="BE832" t="s">
        <v>3</v>
      </c>
      <c r="BF832" t="s">
        <v>3</v>
      </c>
      <c r="BG832" t="s">
        <v>3</v>
      </c>
      <c r="BH832" t="s">
        <v>3</v>
      </c>
      <c r="BI832" t="s">
        <v>3</v>
      </c>
      <c r="BJ832" t="s">
        <v>4997</v>
      </c>
      <c r="BK832" t="s">
        <v>3</v>
      </c>
      <c r="BL832" t="s">
        <v>96</v>
      </c>
      <c r="BM832" t="s">
        <v>1</v>
      </c>
      <c r="BN832">
        <v>14800</v>
      </c>
      <c r="BO832" t="s">
        <v>1</v>
      </c>
      <c r="BP832" t="s">
        <v>1</v>
      </c>
      <c r="BQ832" t="s">
        <v>1</v>
      </c>
      <c r="BR832" t="s">
        <v>1</v>
      </c>
      <c r="BS832" t="s">
        <v>1</v>
      </c>
      <c r="BT832" t="s">
        <v>1</v>
      </c>
      <c r="BU832" t="s">
        <v>1</v>
      </c>
      <c r="BV832" t="s">
        <v>1</v>
      </c>
      <c r="BW832" t="s">
        <v>0</v>
      </c>
      <c r="BX832" t="s">
        <v>1</v>
      </c>
      <c r="BY832" t="s">
        <v>1</v>
      </c>
      <c r="BZ832" t="s">
        <v>1</v>
      </c>
      <c r="CA832" t="s">
        <v>1</v>
      </c>
      <c r="CB832" t="s">
        <v>1</v>
      </c>
      <c r="CD832" t="e" cm="1">
        <f t="array" aca="1" ref="CD832" ca="1">eConcatenar(A832:CB832,"|")</f>
        <v>#NAME?</v>
      </c>
    </row>
    <row r="833" spans="1:82" x14ac:dyDescent="0.25">
      <c r="A833" t="s">
        <v>928</v>
      </c>
      <c r="B833" t="s">
        <v>1946</v>
      </c>
      <c r="C833">
        <v>3</v>
      </c>
      <c r="D833" t="s">
        <v>2155</v>
      </c>
      <c r="E833" t="s">
        <v>2158</v>
      </c>
      <c r="F833" t="s">
        <v>0</v>
      </c>
      <c r="G833" t="s">
        <v>2624</v>
      </c>
      <c r="H833" t="s">
        <v>3060</v>
      </c>
      <c r="I833">
        <v>12900</v>
      </c>
      <c r="J833">
        <v>0</v>
      </c>
      <c r="K833">
        <v>400</v>
      </c>
      <c r="L833">
        <v>50</v>
      </c>
      <c r="M833">
        <v>2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 t="s">
        <v>3131</v>
      </c>
      <c r="AC833" t="s">
        <v>3310</v>
      </c>
      <c r="AD833" t="s">
        <v>3964</v>
      </c>
      <c r="AE833" t="s">
        <v>4</v>
      </c>
      <c r="AF833" t="s">
        <v>1</v>
      </c>
      <c r="AG833" t="s">
        <v>1</v>
      </c>
      <c r="AH833" t="s">
        <v>4684</v>
      </c>
      <c r="AI833" t="s">
        <v>2624</v>
      </c>
      <c r="AJ833" t="s">
        <v>1</v>
      </c>
      <c r="AK833">
        <v>93332534</v>
      </c>
      <c r="AL833" t="s">
        <v>1</v>
      </c>
      <c r="AM833" t="s">
        <v>1</v>
      </c>
      <c r="AN833" t="s">
        <v>1</v>
      </c>
      <c r="AO833" t="s">
        <v>4684</v>
      </c>
      <c r="AP833" t="s">
        <v>1</v>
      </c>
      <c r="AQ833" t="s">
        <v>2</v>
      </c>
      <c r="AR833" t="s">
        <v>1</v>
      </c>
      <c r="AS833" t="s">
        <v>1</v>
      </c>
      <c r="AT833" t="s">
        <v>1</v>
      </c>
      <c r="AU833" t="s">
        <v>1</v>
      </c>
      <c r="AV833" t="s">
        <v>1</v>
      </c>
      <c r="AW833" t="s">
        <v>9</v>
      </c>
      <c r="AX833">
        <f>Tabla1[[#This Row],[precio del paquete]]-Tabla1[[#This Row],[Saldo_Deudor]]</f>
        <v>4950</v>
      </c>
      <c r="AY833">
        <v>7950</v>
      </c>
      <c r="AZ833">
        <v>0</v>
      </c>
      <c r="BA833">
        <v>0</v>
      </c>
      <c r="BB833">
        <v>0</v>
      </c>
      <c r="BC833" t="s">
        <v>2727</v>
      </c>
      <c r="BD833" t="s">
        <v>4838</v>
      </c>
      <c r="BE833" t="s">
        <v>3</v>
      </c>
      <c r="BF833" t="s">
        <v>3</v>
      </c>
      <c r="BG833" t="s">
        <v>3</v>
      </c>
      <c r="BH833" t="s">
        <v>3</v>
      </c>
      <c r="BI833" t="s">
        <v>3</v>
      </c>
      <c r="BJ833" t="s">
        <v>4997</v>
      </c>
      <c r="BK833" t="s">
        <v>3</v>
      </c>
      <c r="BL833" t="s">
        <v>96</v>
      </c>
      <c r="BM833" t="s">
        <v>1</v>
      </c>
      <c r="BN833">
        <v>12900</v>
      </c>
      <c r="BO833" t="s">
        <v>1</v>
      </c>
      <c r="BP833" t="s">
        <v>1</v>
      </c>
      <c r="BQ833" t="s">
        <v>1</v>
      </c>
      <c r="BR833" t="s">
        <v>1</v>
      </c>
      <c r="BS833" t="s">
        <v>1</v>
      </c>
      <c r="BT833" t="s">
        <v>1</v>
      </c>
      <c r="BU833" t="s">
        <v>1</v>
      </c>
      <c r="BV833" t="s">
        <v>1</v>
      </c>
      <c r="BW833" t="s">
        <v>0</v>
      </c>
      <c r="BX833" t="s">
        <v>1</v>
      </c>
      <c r="BY833" t="s">
        <v>1</v>
      </c>
      <c r="BZ833" t="s">
        <v>1</v>
      </c>
      <c r="CA833" t="s">
        <v>1</v>
      </c>
      <c r="CB833" t="s">
        <v>1</v>
      </c>
      <c r="CD833" t="e" cm="1">
        <f t="array" aca="1" ref="CD833" ca="1">eConcatenar(A833:CB833,"|")</f>
        <v>#NAME?</v>
      </c>
    </row>
    <row r="834" spans="1:82" x14ac:dyDescent="0.25">
      <c r="A834" t="s">
        <v>929</v>
      </c>
      <c r="B834" t="s">
        <v>1947</v>
      </c>
      <c r="C834">
        <v>3</v>
      </c>
      <c r="D834" t="s">
        <v>2153</v>
      </c>
      <c r="E834" t="s">
        <v>2158</v>
      </c>
      <c r="F834" t="s">
        <v>0</v>
      </c>
      <c r="G834" t="s">
        <v>2606</v>
      </c>
      <c r="H834" t="s">
        <v>2831</v>
      </c>
      <c r="I834">
        <v>14800</v>
      </c>
      <c r="J834">
        <v>0</v>
      </c>
      <c r="K834">
        <v>50</v>
      </c>
      <c r="L834">
        <v>50</v>
      </c>
      <c r="M834">
        <v>1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 t="s">
        <v>3193</v>
      </c>
      <c r="AC834" t="s">
        <v>3177</v>
      </c>
      <c r="AD834" t="s">
        <v>3479</v>
      </c>
      <c r="AE834" t="s">
        <v>4</v>
      </c>
      <c r="AF834" t="s">
        <v>1</v>
      </c>
      <c r="AG834" t="s">
        <v>1</v>
      </c>
      <c r="AH834" t="s">
        <v>4685</v>
      </c>
      <c r="AI834" t="s">
        <v>2606</v>
      </c>
      <c r="AJ834" t="s">
        <v>1</v>
      </c>
      <c r="AK834">
        <v>9371655669</v>
      </c>
      <c r="AL834" t="s">
        <v>1</v>
      </c>
      <c r="AM834" t="s">
        <v>1</v>
      </c>
      <c r="AN834" t="s">
        <v>1</v>
      </c>
      <c r="AO834" t="s">
        <v>4685</v>
      </c>
      <c r="AP834" t="s">
        <v>1</v>
      </c>
      <c r="AQ834" t="s">
        <v>2</v>
      </c>
      <c r="AR834" t="s">
        <v>1</v>
      </c>
      <c r="AS834" t="s">
        <v>1</v>
      </c>
      <c r="AT834" t="s">
        <v>1</v>
      </c>
      <c r="AU834" t="s">
        <v>1</v>
      </c>
      <c r="AV834" t="s">
        <v>1</v>
      </c>
      <c r="AW834" t="s">
        <v>9</v>
      </c>
      <c r="AX834">
        <f>Tabla1[[#This Row],[precio del paquete]]-Tabla1[[#This Row],[Saldo_Deudor]]</f>
        <v>900</v>
      </c>
      <c r="AY834">
        <v>13900</v>
      </c>
      <c r="AZ834">
        <v>0</v>
      </c>
      <c r="BA834">
        <v>0</v>
      </c>
      <c r="BB834">
        <v>0</v>
      </c>
      <c r="BC834" t="s">
        <v>4878</v>
      </c>
      <c r="BD834" t="s">
        <v>4967</v>
      </c>
      <c r="BE834" t="s">
        <v>3</v>
      </c>
      <c r="BF834" t="s">
        <v>3</v>
      </c>
      <c r="BG834" t="s">
        <v>3</v>
      </c>
      <c r="BH834" t="s">
        <v>3</v>
      </c>
      <c r="BI834" t="s">
        <v>3</v>
      </c>
      <c r="BJ834" t="s">
        <v>4997</v>
      </c>
      <c r="BK834" t="s">
        <v>3</v>
      </c>
      <c r="BL834" t="s">
        <v>96</v>
      </c>
      <c r="BM834" t="s">
        <v>1</v>
      </c>
      <c r="BN834">
        <v>14800</v>
      </c>
      <c r="BO834" t="s">
        <v>1</v>
      </c>
      <c r="BP834" t="s">
        <v>1</v>
      </c>
      <c r="BQ834" t="s">
        <v>1</v>
      </c>
      <c r="BR834" t="s">
        <v>1</v>
      </c>
      <c r="BS834" t="s">
        <v>1</v>
      </c>
      <c r="BT834" t="s">
        <v>1</v>
      </c>
      <c r="BU834" t="s">
        <v>1</v>
      </c>
      <c r="BV834" t="s">
        <v>1</v>
      </c>
      <c r="BW834" t="s">
        <v>0</v>
      </c>
      <c r="BX834" t="s">
        <v>1</v>
      </c>
      <c r="BY834" t="s">
        <v>1</v>
      </c>
      <c r="BZ834" t="s">
        <v>1</v>
      </c>
      <c r="CA834" t="s">
        <v>1</v>
      </c>
      <c r="CB834" t="s">
        <v>1</v>
      </c>
      <c r="CD834" t="e" cm="1">
        <f t="array" aca="1" ref="CD834" ca="1">eConcatenar(A834:CB834,"|")</f>
        <v>#NAME?</v>
      </c>
    </row>
    <row r="835" spans="1:82" x14ac:dyDescent="0.25">
      <c r="A835" t="s">
        <v>930</v>
      </c>
      <c r="B835" t="s">
        <v>1948</v>
      </c>
      <c r="C835">
        <v>3</v>
      </c>
      <c r="D835" t="s">
        <v>2153</v>
      </c>
      <c r="E835" t="s">
        <v>2158</v>
      </c>
      <c r="F835" t="s">
        <v>2161</v>
      </c>
      <c r="G835" t="s">
        <v>2625</v>
      </c>
      <c r="H835" t="s">
        <v>3061</v>
      </c>
      <c r="I835">
        <v>14800</v>
      </c>
      <c r="J835">
        <v>0</v>
      </c>
      <c r="K835">
        <v>500</v>
      </c>
      <c r="L835">
        <v>50</v>
      </c>
      <c r="M835">
        <v>1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 t="s">
        <v>3152</v>
      </c>
      <c r="AC835" t="s">
        <v>3132</v>
      </c>
      <c r="AD835" t="s">
        <v>3965</v>
      </c>
      <c r="AE835" t="s">
        <v>4</v>
      </c>
      <c r="AF835" t="s">
        <v>1</v>
      </c>
      <c r="AG835" t="s">
        <v>1</v>
      </c>
      <c r="AH835" t="s">
        <v>4686</v>
      </c>
      <c r="AI835" t="s">
        <v>2625</v>
      </c>
      <c r="AJ835" t="s">
        <v>1</v>
      </c>
      <c r="AK835">
        <v>9141383659</v>
      </c>
      <c r="AL835" t="s">
        <v>1</v>
      </c>
      <c r="AM835" t="s">
        <v>1</v>
      </c>
      <c r="AN835" t="s">
        <v>1</v>
      </c>
      <c r="AO835" t="s">
        <v>4686</v>
      </c>
      <c r="AP835" t="s">
        <v>1</v>
      </c>
      <c r="AQ835" t="s">
        <v>2</v>
      </c>
      <c r="AR835" t="s">
        <v>1</v>
      </c>
      <c r="AS835" t="s">
        <v>1</v>
      </c>
      <c r="AT835" t="s">
        <v>1</v>
      </c>
      <c r="AU835" t="s">
        <v>1</v>
      </c>
      <c r="AV835" t="s">
        <v>1</v>
      </c>
      <c r="AW835" t="s">
        <v>9</v>
      </c>
      <c r="AX835">
        <f>Tabla1[[#This Row],[precio del paquete]]-Tabla1[[#This Row],[Saldo_Deudor]]</f>
        <v>500</v>
      </c>
      <c r="AY835">
        <v>14300</v>
      </c>
      <c r="AZ835">
        <v>0</v>
      </c>
      <c r="BA835">
        <v>0</v>
      </c>
      <c r="BB835">
        <v>0</v>
      </c>
      <c r="BC835" t="s">
        <v>3061</v>
      </c>
      <c r="BD835" t="s">
        <v>3040</v>
      </c>
      <c r="BE835" t="s">
        <v>3</v>
      </c>
      <c r="BF835" t="s">
        <v>3</v>
      </c>
      <c r="BG835" t="s">
        <v>3</v>
      </c>
      <c r="BH835" t="s">
        <v>3</v>
      </c>
      <c r="BI835" t="s">
        <v>3</v>
      </c>
      <c r="BJ835" t="s">
        <v>4997</v>
      </c>
      <c r="BK835" t="s">
        <v>3</v>
      </c>
      <c r="BL835" t="s">
        <v>96</v>
      </c>
      <c r="BM835" t="s">
        <v>1</v>
      </c>
      <c r="BN835">
        <v>14800</v>
      </c>
      <c r="BO835" t="s">
        <v>1</v>
      </c>
      <c r="BP835" t="s">
        <v>1</v>
      </c>
      <c r="BQ835" t="s">
        <v>1</v>
      </c>
      <c r="BR835" t="s">
        <v>1</v>
      </c>
      <c r="BS835" t="s">
        <v>1</v>
      </c>
      <c r="BT835" t="s">
        <v>1</v>
      </c>
      <c r="BU835" t="s">
        <v>1</v>
      </c>
      <c r="BV835" t="s">
        <v>1</v>
      </c>
      <c r="BW835" t="s">
        <v>0</v>
      </c>
      <c r="BX835" t="s">
        <v>1</v>
      </c>
      <c r="BY835" t="s">
        <v>1</v>
      </c>
      <c r="BZ835" t="s">
        <v>1</v>
      </c>
      <c r="CA835" t="s">
        <v>1</v>
      </c>
      <c r="CB835" t="s">
        <v>1</v>
      </c>
      <c r="CD835" t="e" cm="1">
        <f t="array" aca="1" ref="CD835" ca="1">eConcatenar(A835:CB835,"|")</f>
        <v>#NAME?</v>
      </c>
    </row>
    <row r="836" spans="1:82" x14ac:dyDescent="0.25">
      <c r="A836" t="s">
        <v>931</v>
      </c>
      <c r="B836" t="s">
        <v>1949</v>
      </c>
      <c r="C836">
        <v>3</v>
      </c>
      <c r="D836" t="s">
        <v>2157</v>
      </c>
      <c r="E836" t="s">
        <v>2158</v>
      </c>
      <c r="F836" t="s">
        <v>2161</v>
      </c>
      <c r="G836" t="s">
        <v>2626</v>
      </c>
      <c r="H836" t="s">
        <v>3062</v>
      </c>
      <c r="I836">
        <v>12900</v>
      </c>
      <c r="J836">
        <v>0</v>
      </c>
      <c r="K836">
        <v>100</v>
      </c>
      <c r="L836">
        <v>50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 t="s">
        <v>3966</v>
      </c>
      <c r="AD836" t="s">
        <v>3967</v>
      </c>
      <c r="AE836" t="s">
        <v>4</v>
      </c>
      <c r="AF836" t="s">
        <v>1</v>
      </c>
      <c r="AG836" t="s">
        <v>1</v>
      </c>
      <c r="AH836" t="s">
        <v>4687</v>
      </c>
      <c r="AI836" t="s">
        <v>2626</v>
      </c>
      <c r="AJ836" t="s">
        <v>1</v>
      </c>
      <c r="AK836" t="s">
        <v>1</v>
      </c>
      <c r="AL836" t="s">
        <v>1</v>
      </c>
      <c r="AM836" t="s">
        <v>1</v>
      </c>
      <c r="AN836" t="s">
        <v>1</v>
      </c>
      <c r="AO836" t="s">
        <v>4687</v>
      </c>
      <c r="AP836" t="s">
        <v>1</v>
      </c>
      <c r="AQ836" t="s">
        <v>2</v>
      </c>
      <c r="AR836" t="s">
        <v>1</v>
      </c>
      <c r="AS836" t="s">
        <v>1</v>
      </c>
      <c r="AT836" t="s">
        <v>1</v>
      </c>
      <c r="AU836" t="s">
        <v>1</v>
      </c>
      <c r="AV836" t="s">
        <v>1</v>
      </c>
      <c r="AW836" t="s">
        <v>9</v>
      </c>
      <c r="AX836">
        <f>Tabla1[[#This Row],[precio del paquete]]-Tabla1[[#This Row],[Saldo_Deudor]]</f>
        <v>9500</v>
      </c>
      <c r="AY836">
        <v>3400</v>
      </c>
      <c r="AZ836">
        <v>0</v>
      </c>
      <c r="BA836">
        <v>0</v>
      </c>
      <c r="BB836">
        <v>0</v>
      </c>
      <c r="BC836" t="s">
        <v>3040</v>
      </c>
      <c r="BD836" t="s">
        <v>4914</v>
      </c>
      <c r="BE836" t="s">
        <v>3</v>
      </c>
      <c r="BF836" t="s">
        <v>3</v>
      </c>
      <c r="BG836" t="s">
        <v>3</v>
      </c>
      <c r="BH836" t="s">
        <v>3</v>
      </c>
      <c r="BI836" t="s">
        <v>3</v>
      </c>
      <c r="BJ836" t="s">
        <v>4997</v>
      </c>
      <c r="BK836" t="s">
        <v>3</v>
      </c>
      <c r="BL836" t="s">
        <v>96</v>
      </c>
      <c r="BM836" t="s">
        <v>1</v>
      </c>
      <c r="BN836">
        <v>12900</v>
      </c>
      <c r="BO836" t="s">
        <v>1</v>
      </c>
      <c r="BP836" t="s">
        <v>1</v>
      </c>
      <c r="BQ836" t="s">
        <v>1</v>
      </c>
      <c r="BR836" t="s">
        <v>1</v>
      </c>
      <c r="BS836" t="s">
        <v>1</v>
      </c>
      <c r="BT836" t="s">
        <v>1</v>
      </c>
      <c r="BU836" t="s">
        <v>1</v>
      </c>
      <c r="BV836" t="s">
        <v>1</v>
      </c>
      <c r="BW836" t="s">
        <v>0</v>
      </c>
      <c r="BX836" t="s">
        <v>1</v>
      </c>
      <c r="BY836" t="s">
        <v>1</v>
      </c>
      <c r="BZ836" t="s">
        <v>1</v>
      </c>
      <c r="CA836" t="s">
        <v>1</v>
      </c>
      <c r="CB836" t="s">
        <v>1</v>
      </c>
      <c r="CD836" t="e" cm="1">
        <f t="array" aca="1" ref="CD836" ca="1">eConcatenar(A836:CB836,"|")</f>
        <v>#NAME?</v>
      </c>
    </row>
    <row r="837" spans="1:82" x14ac:dyDescent="0.25">
      <c r="A837" t="s">
        <v>932</v>
      </c>
      <c r="B837" t="s">
        <v>1950</v>
      </c>
      <c r="C837">
        <v>3</v>
      </c>
      <c r="D837" t="s">
        <v>2157</v>
      </c>
      <c r="E837" t="s">
        <v>2158</v>
      </c>
      <c r="F837" t="s">
        <v>2161</v>
      </c>
      <c r="G837" t="s">
        <v>2301</v>
      </c>
      <c r="H837" t="s">
        <v>3063</v>
      </c>
      <c r="I837">
        <v>12900</v>
      </c>
      <c r="J837">
        <v>0</v>
      </c>
      <c r="K837">
        <v>200</v>
      </c>
      <c r="L837">
        <v>50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 t="s">
        <v>3245</v>
      </c>
      <c r="AC837" t="s">
        <v>5</v>
      </c>
      <c r="AD837" t="s">
        <v>3968</v>
      </c>
      <c r="AE837" t="s">
        <v>4</v>
      </c>
      <c r="AF837" t="s">
        <v>1</v>
      </c>
      <c r="AG837" t="s">
        <v>1</v>
      </c>
      <c r="AH837" t="s">
        <v>4268</v>
      </c>
      <c r="AI837" t="s">
        <v>2301</v>
      </c>
      <c r="AJ837" t="s">
        <v>1</v>
      </c>
      <c r="AK837" t="s">
        <v>1</v>
      </c>
      <c r="AL837" t="s">
        <v>1</v>
      </c>
      <c r="AM837" t="s">
        <v>1</v>
      </c>
      <c r="AN837" t="s">
        <v>1</v>
      </c>
      <c r="AO837" t="s">
        <v>4268</v>
      </c>
      <c r="AP837" t="s">
        <v>1</v>
      </c>
      <c r="AQ837" t="s">
        <v>2</v>
      </c>
      <c r="AR837" t="s">
        <v>1</v>
      </c>
      <c r="AS837" t="s">
        <v>1</v>
      </c>
      <c r="AT837" t="s">
        <v>1</v>
      </c>
      <c r="AU837" t="s">
        <v>1</v>
      </c>
      <c r="AV837" t="s">
        <v>1</v>
      </c>
      <c r="AW837" t="s">
        <v>9</v>
      </c>
      <c r="AX837">
        <f>Tabla1[[#This Row],[precio del paquete]]-Tabla1[[#This Row],[Saldo_Deudor]]</f>
        <v>7750</v>
      </c>
      <c r="AY837">
        <v>5150</v>
      </c>
      <c r="AZ837">
        <v>0</v>
      </c>
      <c r="BA837">
        <v>0</v>
      </c>
      <c r="BB837">
        <v>0</v>
      </c>
      <c r="BC837" t="s">
        <v>4879</v>
      </c>
      <c r="BD837" t="s">
        <v>4968</v>
      </c>
      <c r="BE837" t="s">
        <v>3</v>
      </c>
      <c r="BF837" t="s">
        <v>3</v>
      </c>
      <c r="BG837" t="s">
        <v>3</v>
      </c>
      <c r="BH837" t="s">
        <v>3</v>
      </c>
      <c r="BI837" t="s">
        <v>3</v>
      </c>
      <c r="BJ837" t="s">
        <v>4997</v>
      </c>
      <c r="BK837" t="s">
        <v>3</v>
      </c>
      <c r="BL837" t="s">
        <v>96</v>
      </c>
      <c r="BM837" t="s">
        <v>1</v>
      </c>
      <c r="BN837">
        <v>12900</v>
      </c>
      <c r="BO837" t="s">
        <v>1</v>
      </c>
      <c r="BP837" t="s">
        <v>1</v>
      </c>
      <c r="BQ837" t="s">
        <v>1</v>
      </c>
      <c r="BR837" t="s">
        <v>1</v>
      </c>
      <c r="BS837" t="s">
        <v>1</v>
      </c>
      <c r="BT837" t="s">
        <v>1</v>
      </c>
      <c r="BU837" t="s">
        <v>1</v>
      </c>
      <c r="BV837" t="s">
        <v>1</v>
      </c>
      <c r="BW837" t="s">
        <v>0</v>
      </c>
      <c r="BX837" t="s">
        <v>1</v>
      </c>
      <c r="BY837" t="s">
        <v>1</v>
      </c>
      <c r="BZ837" t="s">
        <v>1</v>
      </c>
      <c r="CA837" t="s">
        <v>1</v>
      </c>
      <c r="CB837" t="s">
        <v>1</v>
      </c>
      <c r="CD837" t="e" cm="1">
        <f t="array" aca="1" ref="CD837" ca="1">eConcatenar(A837:CB837,"|")</f>
        <v>#NAME?</v>
      </c>
    </row>
    <row r="838" spans="1:82" x14ac:dyDescent="0.25">
      <c r="A838" t="s">
        <v>933</v>
      </c>
      <c r="B838" t="s">
        <v>1951</v>
      </c>
      <c r="C838">
        <v>3</v>
      </c>
      <c r="D838" t="s">
        <v>2157</v>
      </c>
      <c r="E838" t="s">
        <v>2158</v>
      </c>
      <c r="F838" t="s">
        <v>2161</v>
      </c>
      <c r="G838" t="s">
        <v>2627</v>
      </c>
      <c r="H838" t="s">
        <v>3064</v>
      </c>
      <c r="I838">
        <v>12900</v>
      </c>
      <c r="J838">
        <v>0</v>
      </c>
      <c r="K838">
        <v>100</v>
      </c>
      <c r="L838">
        <v>50</v>
      </c>
      <c r="M838">
        <v>1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 t="s">
        <v>3177</v>
      </c>
      <c r="AC838" t="s">
        <v>3133</v>
      </c>
      <c r="AD838" t="s">
        <v>3969</v>
      </c>
      <c r="AE838" t="s">
        <v>4</v>
      </c>
      <c r="AF838" t="s">
        <v>1</v>
      </c>
      <c r="AG838" t="s">
        <v>1</v>
      </c>
      <c r="AH838" t="s">
        <v>4688</v>
      </c>
      <c r="AI838" t="s">
        <v>2627</v>
      </c>
      <c r="AJ838" t="s">
        <v>1</v>
      </c>
      <c r="AK838" t="s">
        <v>1</v>
      </c>
      <c r="AL838" t="s">
        <v>1</v>
      </c>
      <c r="AM838" t="s">
        <v>1</v>
      </c>
      <c r="AN838" t="s">
        <v>1</v>
      </c>
      <c r="AO838" t="s">
        <v>4688</v>
      </c>
      <c r="AP838" t="s">
        <v>1</v>
      </c>
      <c r="AQ838" t="s">
        <v>2</v>
      </c>
      <c r="AR838" t="s">
        <v>1</v>
      </c>
      <c r="AS838" t="s">
        <v>1</v>
      </c>
      <c r="AT838" t="s">
        <v>1</v>
      </c>
      <c r="AU838" t="s">
        <v>1</v>
      </c>
      <c r="AV838" t="s">
        <v>1</v>
      </c>
      <c r="AW838" t="s">
        <v>9</v>
      </c>
      <c r="AX838">
        <f>Tabla1[[#This Row],[precio del paquete]]-Tabla1[[#This Row],[Saldo_Deudor]]</f>
        <v>4700</v>
      </c>
      <c r="AY838">
        <v>8200</v>
      </c>
      <c r="AZ838">
        <v>0</v>
      </c>
      <c r="BA838">
        <v>0</v>
      </c>
      <c r="BB838">
        <v>0</v>
      </c>
      <c r="BC838" t="s">
        <v>2927</v>
      </c>
      <c r="BD838" t="s">
        <v>2896</v>
      </c>
      <c r="BE838" t="s">
        <v>3</v>
      </c>
      <c r="BF838" t="s">
        <v>3</v>
      </c>
      <c r="BG838" t="s">
        <v>3</v>
      </c>
      <c r="BH838" t="s">
        <v>3</v>
      </c>
      <c r="BI838" t="s">
        <v>3</v>
      </c>
      <c r="BJ838" t="s">
        <v>4997</v>
      </c>
      <c r="BK838" t="s">
        <v>3</v>
      </c>
      <c r="BL838" t="s">
        <v>96</v>
      </c>
      <c r="BM838" t="s">
        <v>1</v>
      </c>
      <c r="BN838">
        <v>12900</v>
      </c>
      <c r="BO838" t="s">
        <v>1</v>
      </c>
      <c r="BP838" t="s">
        <v>1</v>
      </c>
      <c r="BQ838" t="s">
        <v>1</v>
      </c>
      <c r="BR838" t="s">
        <v>1</v>
      </c>
      <c r="BS838" t="s">
        <v>1</v>
      </c>
      <c r="BT838" t="s">
        <v>1</v>
      </c>
      <c r="BU838" t="s">
        <v>1</v>
      </c>
      <c r="BV838" t="s">
        <v>1</v>
      </c>
      <c r="BW838" t="s">
        <v>0</v>
      </c>
      <c r="BX838" t="s">
        <v>1</v>
      </c>
      <c r="BY838" t="s">
        <v>1</v>
      </c>
      <c r="BZ838" t="s">
        <v>1</v>
      </c>
      <c r="CA838" t="s">
        <v>1</v>
      </c>
      <c r="CB838" t="s">
        <v>1</v>
      </c>
      <c r="CD838" t="e" cm="1">
        <f t="array" aca="1" ref="CD838" ca="1">eConcatenar(A838:CB838,"|")</f>
        <v>#NAME?</v>
      </c>
    </row>
    <row r="839" spans="1:82" x14ac:dyDescent="0.25">
      <c r="A839" t="s">
        <v>934</v>
      </c>
      <c r="B839" t="s">
        <v>1952</v>
      </c>
      <c r="C839">
        <v>3</v>
      </c>
      <c r="D839" t="s">
        <v>2153</v>
      </c>
      <c r="E839" t="s">
        <v>2158</v>
      </c>
      <c r="F839" t="s">
        <v>2161</v>
      </c>
      <c r="G839" t="s">
        <v>2628</v>
      </c>
      <c r="H839" t="s">
        <v>2712</v>
      </c>
      <c r="I839">
        <v>14800</v>
      </c>
      <c r="J839">
        <v>0</v>
      </c>
      <c r="K839">
        <v>200</v>
      </c>
      <c r="L839">
        <v>50</v>
      </c>
      <c r="M839">
        <v>1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 t="s">
        <v>6</v>
      </c>
      <c r="AC839" t="s">
        <v>3558</v>
      </c>
      <c r="AD839" t="s">
        <v>3156</v>
      </c>
      <c r="AE839" t="s">
        <v>4</v>
      </c>
      <c r="AF839" t="s">
        <v>1</v>
      </c>
      <c r="AG839" t="s">
        <v>1</v>
      </c>
      <c r="AH839" t="s">
        <v>2207</v>
      </c>
      <c r="AI839" t="s">
        <v>2628</v>
      </c>
      <c r="AJ839" t="s">
        <v>1</v>
      </c>
      <c r="AK839">
        <v>9371830731</v>
      </c>
      <c r="AL839" t="s">
        <v>1</v>
      </c>
      <c r="AM839" t="s">
        <v>1</v>
      </c>
      <c r="AN839" t="s">
        <v>1</v>
      </c>
      <c r="AO839" t="s">
        <v>2207</v>
      </c>
      <c r="AP839" t="s">
        <v>1</v>
      </c>
      <c r="AQ839" t="s">
        <v>2</v>
      </c>
      <c r="AR839" t="s">
        <v>1</v>
      </c>
      <c r="AS839" t="s">
        <v>1</v>
      </c>
      <c r="AT839" t="s">
        <v>1</v>
      </c>
      <c r="AU839" t="s">
        <v>1</v>
      </c>
      <c r="AV839" t="s">
        <v>1</v>
      </c>
      <c r="AW839" t="s">
        <v>9</v>
      </c>
      <c r="AX839">
        <f>Tabla1[[#This Row],[precio del paquete]]-Tabla1[[#This Row],[Saldo_Deudor]]</f>
        <v>200</v>
      </c>
      <c r="AY839">
        <v>14600</v>
      </c>
      <c r="AZ839">
        <v>0</v>
      </c>
      <c r="BA839">
        <v>0</v>
      </c>
      <c r="BB839">
        <v>0</v>
      </c>
      <c r="BC839" t="s">
        <v>2712</v>
      </c>
      <c r="BD839" t="s">
        <v>4901</v>
      </c>
      <c r="BE839" t="s">
        <v>3</v>
      </c>
      <c r="BF839" t="s">
        <v>3</v>
      </c>
      <c r="BG839" t="s">
        <v>3</v>
      </c>
      <c r="BH839" t="s">
        <v>3</v>
      </c>
      <c r="BI839" t="s">
        <v>3</v>
      </c>
      <c r="BJ839" t="s">
        <v>4997</v>
      </c>
      <c r="BK839" t="s">
        <v>3</v>
      </c>
      <c r="BL839" t="s">
        <v>96</v>
      </c>
      <c r="BM839" t="s">
        <v>1</v>
      </c>
      <c r="BN839">
        <v>14800</v>
      </c>
      <c r="BO839" t="s">
        <v>1</v>
      </c>
      <c r="BP839" t="s">
        <v>1</v>
      </c>
      <c r="BQ839" t="s">
        <v>1</v>
      </c>
      <c r="BR839" t="s">
        <v>1</v>
      </c>
      <c r="BS839" t="s">
        <v>1</v>
      </c>
      <c r="BT839" t="s">
        <v>1</v>
      </c>
      <c r="BU839" t="s">
        <v>1</v>
      </c>
      <c r="BV839" t="s">
        <v>1</v>
      </c>
      <c r="BW839" t="s">
        <v>0</v>
      </c>
      <c r="BX839" t="s">
        <v>1</v>
      </c>
      <c r="BY839" t="s">
        <v>1</v>
      </c>
      <c r="BZ839" t="s">
        <v>1</v>
      </c>
      <c r="CA839" t="s">
        <v>1</v>
      </c>
      <c r="CB839" t="s">
        <v>1</v>
      </c>
      <c r="CD839" t="e" cm="1">
        <f t="array" aca="1" ref="CD839" ca="1">eConcatenar(A839:CB839,"|")</f>
        <v>#NAME?</v>
      </c>
    </row>
    <row r="840" spans="1:82" x14ac:dyDescent="0.25">
      <c r="A840" t="s">
        <v>935</v>
      </c>
      <c r="B840" t="s">
        <v>1953</v>
      </c>
      <c r="C840">
        <v>3</v>
      </c>
      <c r="D840" t="s">
        <v>2153</v>
      </c>
      <c r="E840" t="s">
        <v>2158</v>
      </c>
      <c r="F840" t="s">
        <v>2161</v>
      </c>
      <c r="G840" t="s">
        <v>2628</v>
      </c>
      <c r="H840" t="s">
        <v>2712</v>
      </c>
      <c r="I840">
        <v>14800</v>
      </c>
      <c r="J840">
        <v>0</v>
      </c>
      <c r="K840">
        <v>50</v>
      </c>
      <c r="L840">
        <v>50</v>
      </c>
      <c r="M840">
        <v>1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 t="s">
        <v>3630</v>
      </c>
      <c r="AC840" t="s">
        <v>3629</v>
      </c>
      <c r="AD840" t="s">
        <v>3688</v>
      </c>
      <c r="AE840" t="s">
        <v>4</v>
      </c>
      <c r="AF840" t="s">
        <v>1</v>
      </c>
      <c r="AG840" t="s">
        <v>1</v>
      </c>
      <c r="AH840" t="s">
        <v>2207</v>
      </c>
      <c r="AI840" t="s">
        <v>2628</v>
      </c>
      <c r="AJ840" t="s">
        <v>1</v>
      </c>
      <c r="AK840">
        <v>9141127057</v>
      </c>
      <c r="AL840" t="s">
        <v>1</v>
      </c>
      <c r="AM840" t="s">
        <v>1</v>
      </c>
      <c r="AN840" t="s">
        <v>1</v>
      </c>
      <c r="AO840" t="s">
        <v>2207</v>
      </c>
      <c r="AP840" t="s">
        <v>1</v>
      </c>
      <c r="AQ840" t="s">
        <v>2</v>
      </c>
      <c r="AR840" t="s">
        <v>1</v>
      </c>
      <c r="AS840" t="s">
        <v>1</v>
      </c>
      <c r="AT840" t="s">
        <v>1</v>
      </c>
      <c r="AU840" t="s">
        <v>1</v>
      </c>
      <c r="AV840" t="s">
        <v>1</v>
      </c>
      <c r="AW840" t="s">
        <v>9</v>
      </c>
      <c r="AX840">
        <f>Tabla1[[#This Row],[precio del paquete]]-Tabla1[[#This Row],[Saldo_Deudor]]</f>
        <v>50</v>
      </c>
      <c r="AY840">
        <v>14750</v>
      </c>
      <c r="AZ840">
        <v>0</v>
      </c>
      <c r="BA840">
        <v>0</v>
      </c>
      <c r="BB840">
        <v>0</v>
      </c>
      <c r="BC840" t="s">
        <v>2712</v>
      </c>
      <c r="BD840" t="s">
        <v>4901</v>
      </c>
      <c r="BE840" t="s">
        <v>3</v>
      </c>
      <c r="BF840" t="s">
        <v>3</v>
      </c>
      <c r="BG840" t="s">
        <v>3</v>
      </c>
      <c r="BH840" t="s">
        <v>3</v>
      </c>
      <c r="BI840" t="s">
        <v>3</v>
      </c>
      <c r="BJ840" t="s">
        <v>4997</v>
      </c>
      <c r="BK840" t="s">
        <v>3</v>
      </c>
      <c r="BL840" t="s">
        <v>96</v>
      </c>
      <c r="BM840" t="s">
        <v>1</v>
      </c>
      <c r="BN840">
        <v>14800</v>
      </c>
      <c r="BO840" t="s">
        <v>1</v>
      </c>
      <c r="BP840" t="s">
        <v>1</v>
      </c>
      <c r="BQ840" t="s">
        <v>1</v>
      </c>
      <c r="BR840" t="s">
        <v>1</v>
      </c>
      <c r="BS840" t="s">
        <v>1</v>
      </c>
      <c r="BT840" t="s">
        <v>1</v>
      </c>
      <c r="BU840" t="s">
        <v>1</v>
      </c>
      <c r="BV840" t="s">
        <v>1</v>
      </c>
      <c r="BW840" t="s">
        <v>0</v>
      </c>
      <c r="BX840" t="s">
        <v>1</v>
      </c>
      <c r="BY840" t="s">
        <v>1</v>
      </c>
      <c r="BZ840" t="s">
        <v>1</v>
      </c>
      <c r="CA840" t="s">
        <v>1</v>
      </c>
      <c r="CB840" t="s">
        <v>1</v>
      </c>
      <c r="CD840" t="e" cm="1">
        <f t="array" aca="1" ref="CD840" ca="1">eConcatenar(A840:CB840,"|")</f>
        <v>#NAME?</v>
      </c>
    </row>
    <row r="841" spans="1:82" x14ac:dyDescent="0.25">
      <c r="A841" t="s">
        <v>936</v>
      </c>
      <c r="B841" t="s">
        <v>1954</v>
      </c>
      <c r="C841">
        <v>3</v>
      </c>
      <c r="D841" t="s">
        <v>2153</v>
      </c>
      <c r="E841" t="s">
        <v>2158</v>
      </c>
      <c r="F841" t="s">
        <v>2161</v>
      </c>
      <c r="G841" t="s">
        <v>2625</v>
      </c>
      <c r="H841" t="s">
        <v>2712</v>
      </c>
      <c r="I841">
        <v>14800</v>
      </c>
      <c r="J841">
        <v>0</v>
      </c>
      <c r="K841">
        <v>100</v>
      </c>
      <c r="L841">
        <v>50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 t="s">
        <v>3193</v>
      </c>
      <c r="AC841" t="s">
        <v>3970</v>
      </c>
      <c r="AD841" t="s">
        <v>3477</v>
      </c>
      <c r="AE841" t="s">
        <v>4</v>
      </c>
      <c r="AF841" t="s">
        <v>1</v>
      </c>
      <c r="AG841" t="s">
        <v>1</v>
      </c>
      <c r="AH841" t="s">
        <v>4689</v>
      </c>
      <c r="AI841" t="s">
        <v>2625</v>
      </c>
      <c r="AJ841" t="s">
        <v>1</v>
      </c>
      <c r="AK841">
        <v>9141194639</v>
      </c>
      <c r="AL841" t="s">
        <v>1</v>
      </c>
      <c r="AM841" t="s">
        <v>1</v>
      </c>
      <c r="AN841" t="s">
        <v>1</v>
      </c>
      <c r="AO841" t="s">
        <v>4689</v>
      </c>
      <c r="AP841" t="s">
        <v>1</v>
      </c>
      <c r="AQ841" t="s">
        <v>2</v>
      </c>
      <c r="AR841" t="s">
        <v>1</v>
      </c>
      <c r="AS841" t="s">
        <v>1</v>
      </c>
      <c r="AT841" t="s">
        <v>1</v>
      </c>
      <c r="AU841" t="s">
        <v>1</v>
      </c>
      <c r="AV841" t="s">
        <v>1</v>
      </c>
      <c r="AW841" t="s">
        <v>9</v>
      </c>
      <c r="AX841">
        <f>Tabla1[[#This Row],[precio del paquete]]-Tabla1[[#This Row],[Saldo_Deudor]]</f>
        <v>100</v>
      </c>
      <c r="AY841">
        <v>14700</v>
      </c>
      <c r="AZ841">
        <v>0</v>
      </c>
      <c r="BA841">
        <v>0</v>
      </c>
      <c r="BB841">
        <v>0</v>
      </c>
      <c r="BC841" t="s">
        <v>2712</v>
      </c>
      <c r="BD841" t="s">
        <v>4901</v>
      </c>
      <c r="BE841" t="s">
        <v>3</v>
      </c>
      <c r="BF841" t="s">
        <v>3</v>
      </c>
      <c r="BG841" t="s">
        <v>3</v>
      </c>
      <c r="BH841" t="s">
        <v>3</v>
      </c>
      <c r="BI841" t="s">
        <v>3</v>
      </c>
      <c r="BJ841" t="s">
        <v>4997</v>
      </c>
      <c r="BK841" t="s">
        <v>3</v>
      </c>
      <c r="BL841" t="s">
        <v>96</v>
      </c>
      <c r="BM841" t="s">
        <v>1</v>
      </c>
      <c r="BN841">
        <v>14800</v>
      </c>
      <c r="BO841" t="s">
        <v>1</v>
      </c>
      <c r="BP841" t="s">
        <v>1</v>
      </c>
      <c r="BQ841" t="s">
        <v>1</v>
      </c>
      <c r="BR841" t="s">
        <v>1</v>
      </c>
      <c r="BS841" t="s">
        <v>1</v>
      </c>
      <c r="BT841" t="s">
        <v>1</v>
      </c>
      <c r="BU841" t="s">
        <v>1</v>
      </c>
      <c r="BV841" t="s">
        <v>1</v>
      </c>
      <c r="BW841" t="s">
        <v>0</v>
      </c>
      <c r="BX841" t="s">
        <v>1</v>
      </c>
      <c r="BY841" t="s">
        <v>1</v>
      </c>
      <c r="BZ841" t="s">
        <v>1</v>
      </c>
      <c r="CA841" t="s">
        <v>1</v>
      </c>
      <c r="CB841" t="s">
        <v>1</v>
      </c>
      <c r="CD841" t="e" cm="1">
        <f t="array" aca="1" ref="CD841" ca="1">eConcatenar(A841:CB841,"|")</f>
        <v>#NAME?</v>
      </c>
    </row>
    <row r="842" spans="1:82" x14ac:dyDescent="0.25">
      <c r="A842" t="s">
        <v>937</v>
      </c>
      <c r="B842" t="s">
        <v>1955</v>
      </c>
      <c r="C842">
        <v>3</v>
      </c>
      <c r="D842" t="s">
        <v>2153</v>
      </c>
      <c r="E842" t="s">
        <v>2158</v>
      </c>
      <c r="F842" t="s">
        <v>2161</v>
      </c>
      <c r="G842" t="s">
        <v>2629</v>
      </c>
      <c r="H842" t="s">
        <v>2712</v>
      </c>
      <c r="I842">
        <v>14800</v>
      </c>
      <c r="J842">
        <v>0</v>
      </c>
      <c r="K842">
        <v>50</v>
      </c>
      <c r="L842">
        <v>50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 t="s">
        <v>3132</v>
      </c>
      <c r="AC842" t="s">
        <v>3630</v>
      </c>
      <c r="AD842" t="s">
        <v>3251</v>
      </c>
      <c r="AE842" t="s">
        <v>4</v>
      </c>
      <c r="AF842" t="s">
        <v>1</v>
      </c>
      <c r="AG842" t="s">
        <v>1</v>
      </c>
      <c r="AH842" t="s">
        <v>2207</v>
      </c>
      <c r="AI842" t="s">
        <v>2629</v>
      </c>
      <c r="AJ842" t="s">
        <v>1</v>
      </c>
      <c r="AK842">
        <v>9141338077</v>
      </c>
      <c r="AL842" t="s">
        <v>1</v>
      </c>
      <c r="AM842" t="s">
        <v>1</v>
      </c>
      <c r="AN842" t="s">
        <v>1</v>
      </c>
      <c r="AO842" t="s">
        <v>2207</v>
      </c>
      <c r="AP842" t="s">
        <v>1</v>
      </c>
      <c r="AQ842" t="s">
        <v>2</v>
      </c>
      <c r="AR842" t="s">
        <v>1</v>
      </c>
      <c r="AS842" t="s">
        <v>1</v>
      </c>
      <c r="AT842" t="s">
        <v>1</v>
      </c>
      <c r="AU842" t="s">
        <v>1</v>
      </c>
      <c r="AV842" t="s">
        <v>1</v>
      </c>
      <c r="AW842" t="s">
        <v>9</v>
      </c>
      <c r="AX842">
        <f>Tabla1[[#This Row],[precio del paquete]]-Tabla1[[#This Row],[Saldo_Deudor]]</f>
        <v>50</v>
      </c>
      <c r="AY842">
        <v>14750</v>
      </c>
      <c r="AZ842">
        <v>0</v>
      </c>
      <c r="BA842">
        <v>0</v>
      </c>
      <c r="BB842">
        <v>0</v>
      </c>
      <c r="BC842" t="s">
        <v>2712</v>
      </c>
      <c r="BD842" t="s">
        <v>4901</v>
      </c>
      <c r="BE842" t="s">
        <v>3</v>
      </c>
      <c r="BF842" t="s">
        <v>3</v>
      </c>
      <c r="BG842" t="s">
        <v>3</v>
      </c>
      <c r="BH842" t="s">
        <v>3</v>
      </c>
      <c r="BI842" t="s">
        <v>3</v>
      </c>
      <c r="BJ842" t="s">
        <v>4997</v>
      </c>
      <c r="BK842" t="s">
        <v>3</v>
      </c>
      <c r="BL842" t="s">
        <v>96</v>
      </c>
      <c r="BM842" t="s">
        <v>1</v>
      </c>
      <c r="BN842">
        <v>14800</v>
      </c>
      <c r="BO842" t="s">
        <v>1</v>
      </c>
      <c r="BP842" t="s">
        <v>1</v>
      </c>
      <c r="BQ842" t="s">
        <v>1</v>
      </c>
      <c r="BR842" t="s">
        <v>1</v>
      </c>
      <c r="BS842" t="s">
        <v>1</v>
      </c>
      <c r="BT842" t="s">
        <v>1</v>
      </c>
      <c r="BU842" t="s">
        <v>1</v>
      </c>
      <c r="BV842" t="s">
        <v>1</v>
      </c>
      <c r="BW842" t="s">
        <v>0</v>
      </c>
      <c r="BX842" t="s">
        <v>1</v>
      </c>
      <c r="BY842" t="s">
        <v>1</v>
      </c>
      <c r="BZ842" t="s">
        <v>1</v>
      </c>
      <c r="CA842" t="s">
        <v>1</v>
      </c>
      <c r="CB842" t="s">
        <v>1</v>
      </c>
      <c r="CD842" t="e" cm="1">
        <f t="array" aca="1" ref="CD842" ca="1">eConcatenar(A842:CB842,"|")</f>
        <v>#NAME?</v>
      </c>
    </row>
    <row r="843" spans="1:82" x14ac:dyDescent="0.25">
      <c r="A843" t="s">
        <v>938</v>
      </c>
      <c r="B843" t="s">
        <v>1956</v>
      </c>
      <c r="C843">
        <v>3</v>
      </c>
      <c r="D843" t="s">
        <v>2153</v>
      </c>
      <c r="E843" t="s">
        <v>2158</v>
      </c>
      <c r="F843" t="s">
        <v>2161</v>
      </c>
      <c r="G843" t="s">
        <v>2628</v>
      </c>
      <c r="H843" t="s">
        <v>2712</v>
      </c>
      <c r="I843">
        <v>14800</v>
      </c>
      <c r="J843">
        <v>0</v>
      </c>
      <c r="K843">
        <v>200</v>
      </c>
      <c r="L843">
        <v>50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 t="s">
        <v>3177</v>
      </c>
      <c r="AC843" t="s">
        <v>3971</v>
      </c>
      <c r="AD843" t="s">
        <v>3972</v>
      </c>
      <c r="AE843" t="s">
        <v>4</v>
      </c>
      <c r="AF843" t="s">
        <v>1</v>
      </c>
      <c r="AG843" t="s">
        <v>1</v>
      </c>
      <c r="AH843" t="s">
        <v>4690</v>
      </c>
      <c r="AI843" t="s">
        <v>2628</v>
      </c>
      <c r="AJ843" t="s">
        <v>1</v>
      </c>
      <c r="AK843">
        <v>9141106840</v>
      </c>
      <c r="AL843" t="s">
        <v>1</v>
      </c>
      <c r="AM843" t="s">
        <v>1</v>
      </c>
      <c r="AN843" t="s">
        <v>1</v>
      </c>
      <c r="AO843" t="s">
        <v>4690</v>
      </c>
      <c r="AP843" t="s">
        <v>1</v>
      </c>
      <c r="AQ843" t="s">
        <v>2</v>
      </c>
      <c r="AR843" t="s">
        <v>1</v>
      </c>
      <c r="AS843" t="s">
        <v>1</v>
      </c>
      <c r="AT843" t="s">
        <v>1</v>
      </c>
      <c r="AU843" t="s">
        <v>1</v>
      </c>
      <c r="AV843" t="s">
        <v>1</v>
      </c>
      <c r="AW843" t="s">
        <v>9</v>
      </c>
      <c r="AX843">
        <f>Tabla1[[#This Row],[precio del paquete]]-Tabla1[[#This Row],[Saldo_Deudor]]</f>
        <v>200</v>
      </c>
      <c r="AY843">
        <v>14600</v>
      </c>
      <c r="AZ843">
        <v>0</v>
      </c>
      <c r="BA843">
        <v>0</v>
      </c>
      <c r="BB843">
        <v>0</v>
      </c>
      <c r="BC843" t="s">
        <v>2712</v>
      </c>
      <c r="BD843" t="s">
        <v>4901</v>
      </c>
      <c r="BE843" t="s">
        <v>3</v>
      </c>
      <c r="BF843" t="s">
        <v>3</v>
      </c>
      <c r="BG843" t="s">
        <v>3</v>
      </c>
      <c r="BH843" t="s">
        <v>3</v>
      </c>
      <c r="BI843" t="s">
        <v>3</v>
      </c>
      <c r="BJ843" t="s">
        <v>4997</v>
      </c>
      <c r="BK843" t="s">
        <v>3</v>
      </c>
      <c r="BL843" t="s">
        <v>96</v>
      </c>
      <c r="BM843" t="s">
        <v>1</v>
      </c>
      <c r="BN843">
        <v>14800</v>
      </c>
      <c r="BO843" t="s">
        <v>1</v>
      </c>
      <c r="BP843" t="s">
        <v>1</v>
      </c>
      <c r="BQ843" t="s">
        <v>1</v>
      </c>
      <c r="BR843" t="s">
        <v>1</v>
      </c>
      <c r="BS843" t="s">
        <v>1</v>
      </c>
      <c r="BT843" t="s">
        <v>1</v>
      </c>
      <c r="BU843" t="s">
        <v>1</v>
      </c>
      <c r="BV843" t="s">
        <v>1</v>
      </c>
      <c r="BW843" t="s">
        <v>0</v>
      </c>
      <c r="BX843" t="s">
        <v>1</v>
      </c>
      <c r="BY843" t="s">
        <v>1</v>
      </c>
      <c r="BZ843" t="s">
        <v>1</v>
      </c>
      <c r="CA843" t="s">
        <v>1</v>
      </c>
      <c r="CB843" t="s">
        <v>1</v>
      </c>
      <c r="CD843" t="e" cm="1">
        <f t="array" aca="1" ref="CD843" ca="1">eConcatenar(A843:CB843,"|")</f>
        <v>#NAME?</v>
      </c>
    </row>
    <row r="844" spans="1:82" x14ac:dyDescent="0.25">
      <c r="A844" t="s">
        <v>939</v>
      </c>
      <c r="B844" t="s">
        <v>1957</v>
      </c>
      <c r="C844">
        <v>3</v>
      </c>
      <c r="D844" t="s">
        <v>2153</v>
      </c>
      <c r="E844" t="s">
        <v>2158</v>
      </c>
      <c r="F844" t="s">
        <v>2161</v>
      </c>
      <c r="G844" t="s">
        <v>2630</v>
      </c>
      <c r="H844" t="s">
        <v>2712</v>
      </c>
      <c r="I844">
        <v>14800</v>
      </c>
      <c r="J844">
        <v>0</v>
      </c>
      <c r="K844">
        <v>50</v>
      </c>
      <c r="L844">
        <v>50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 t="s">
        <v>3180</v>
      </c>
      <c r="AC844" t="s">
        <v>3114</v>
      </c>
      <c r="AD844" t="s">
        <v>3211</v>
      </c>
      <c r="AE844" t="s">
        <v>4</v>
      </c>
      <c r="AF844" t="s">
        <v>1</v>
      </c>
      <c r="AG844" t="s">
        <v>1</v>
      </c>
      <c r="AH844" t="s">
        <v>2207</v>
      </c>
      <c r="AI844" t="s">
        <v>2630</v>
      </c>
      <c r="AJ844" t="s">
        <v>1</v>
      </c>
      <c r="AK844">
        <v>9141111014</v>
      </c>
      <c r="AL844" t="s">
        <v>1</v>
      </c>
      <c r="AM844" t="s">
        <v>1</v>
      </c>
      <c r="AN844" t="s">
        <v>1</v>
      </c>
      <c r="AO844" t="s">
        <v>2207</v>
      </c>
      <c r="AP844" t="s">
        <v>1</v>
      </c>
      <c r="AQ844" t="s">
        <v>2</v>
      </c>
      <c r="AR844" t="s">
        <v>1</v>
      </c>
      <c r="AS844" t="s">
        <v>1</v>
      </c>
      <c r="AT844" t="s">
        <v>1</v>
      </c>
      <c r="AU844" t="s">
        <v>1</v>
      </c>
      <c r="AV844" t="s">
        <v>1</v>
      </c>
      <c r="AW844" t="s">
        <v>9</v>
      </c>
      <c r="AX844">
        <f>Tabla1[[#This Row],[precio del paquete]]-Tabla1[[#This Row],[Saldo_Deudor]]</f>
        <v>50</v>
      </c>
      <c r="AY844">
        <v>14750</v>
      </c>
      <c r="AZ844">
        <v>0</v>
      </c>
      <c r="BA844">
        <v>0</v>
      </c>
      <c r="BB844">
        <v>0</v>
      </c>
      <c r="BC844" t="s">
        <v>2712</v>
      </c>
      <c r="BD844" t="s">
        <v>4901</v>
      </c>
      <c r="BE844" t="s">
        <v>3</v>
      </c>
      <c r="BF844" t="s">
        <v>3</v>
      </c>
      <c r="BG844" t="s">
        <v>3</v>
      </c>
      <c r="BH844" t="s">
        <v>3</v>
      </c>
      <c r="BI844" t="s">
        <v>3</v>
      </c>
      <c r="BJ844" t="s">
        <v>4997</v>
      </c>
      <c r="BK844" t="s">
        <v>3</v>
      </c>
      <c r="BL844" t="s">
        <v>96</v>
      </c>
      <c r="BM844" t="s">
        <v>1</v>
      </c>
      <c r="BN844">
        <v>14800</v>
      </c>
      <c r="BO844" t="s">
        <v>1</v>
      </c>
      <c r="BP844" t="s">
        <v>1</v>
      </c>
      <c r="BQ844" t="s">
        <v>1</v>
      </c>
      <c r="BR844" t="s">
        <v>1</v>
      </c>
      <c r="BS844" t="s">
        <v>1</v>
      </c>
      <c r="BT844" t="s">
        <v>1</v>
      </c>
      <c r="BU844" t="s">
        <v>1</v>
      </c>
      <c r="BV844" t="s">
        <v>1</v>
      </c>
      <c r="BW844" t="s">
        <v>0</v>
      </c>
      <c r="BX844" t="s">
        <v>1</v>
      </c>
      <c r="BY844" t="s">
        <v>1</v>
      </c>
      <c r="BZ844" t="s">
        <v>1</v>
      </c>
      <c r="CA844" t="s">
        <v>1</v>
      </c>
      <c r="CB844" t="s">
        <v>1</v>
      </c>
      <c r="CD844" t="e" cm="1">
        <f t="array" aca="1" ref="CD844" ca="1">eConcatenar(A844:CB844,"|")</f>
        <v>#NAME?</v>
      </c>
    </row>
    <row r="845" spans="1:82" x14ac:dyDescent="0.25">
      <c r="A845" t="s">
        <v>940</v>
      </c>
      <c r="B845" t="s">
        <v>1958</v>
      </c>
      <c r="C845">
        <v>3</v>
      </c>
      <c r="D845" t="s">
        <v>2153</v>
      </c>
      <c r="E845" t="s">
        <v>2158</v>
      </c>
      <c r="F845" t="s">
        <v>2161</v>
      </c>
      <c r="G845" t="s">
        <v>2297</v>
      </c>
      <c r="H845" t="s">
        <v>2721</v>
      </c>
      <c r="I845">
        <v>14800</v>
      </c>
      <c r="J845">
        <v>0</v>
      </c>
      <c r="K845">
        <v>200</v>
      </c>
      <c r="L845">
        <v>50</v>
      </c>
      <c r="M845">
        <v>2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 t="s">
        <v>3177</v>
      </c>
      <c r="AC845" t="s">
        <v>6</v>
      </c>
      <c r="AD845" t="s">
        <v>3973</v>
      </c>
      <c r="AE845" t="s">
        <v>4</v>
      </c>
      <c r="AF845" t="s">
        <v>1</v>
      </c>
      <c r="AG845" t="s">
        <v>1</v>
      </c>
      <c r="AH845" t="s">
        <v>4691</v>
      </c>
      <c r="AI845" t="s">
        <v>2297</v>
      </c>
      <c r="AJ845" t="s">
        <v>1</v>
      </c>
      <c r="AK845">
        <v>9371047951</v>
      </c>
      <c r="AL845" t="s">
        <v>1</v>
      </c>
      <c r="AM845" t="s">
        <v>1</v>
      </c>
      <c r="AN845" t="s">
        <v>1</v>
      </c>
      <c r="AO845" t="s">
        <v>4691</v>
      </c>
      <c r="AP845" t="s">
        <v>1</v>
      </c>
      <c r="AQ845" t="s">
        <v>2</v>
      </c>
      <c r="AR845" t="s">
        <v>1</v>
      </c>
      <c r="AS845" t="s">
        <v>1</v>
      </c>
      <c r="AT845" t="s">
        <v>1</v>
      </c>
      <c r="AU845" t="s">
        <v>1</v>
      </c>
      <c r="AV845" t="s">
        <v>1</v>
      </c>
      <c r="AW845" t="s">
        <v>9</v>
      </c>
      <c r="AX845">
        <f>Tabla1[[#This Row],[precio del paquete]]-Tabla1[[#This Row],[Saldo_Deudor]]</f>
        <v>600</v>
      </c>
      <c r="AY845">
        <v>14200</v>
      </c>
      <c r="AZ845">
        <v>0</v>
      </c>
      <c r="BA845">
        <v>0</v>
      </c>
      <c r="BB845">
        <v>0</v>
      </c>
      <c r="BC845" t="s">
        <v>4880</v>
      </c>
      <c r="BD845" t="s">
        <v>4969</v>
      </c>
      <c r="BE845" t="s">
        <v>3</v>
      </c>
      <c r="BF845" t="s">
        <v>3</v>
      </c>
      <c r="BG845" t="s">
        <v>3</v>
      </c>
      <c r="BH845" t="s">
        <v>3</v>
      </c>
      <c r="BI845" t="s">
        <v>3</v>
      </c>
      <c r="BJ845" t="s">
        <v>4997</v>
      </c>
      <c r="BK845" t="s">
        <v>3</v>
      </c>
      <c r="BL845" t="s">
        <v>96</v>
      </c>
      <c r="BM845" t="s">
        <v>1</v>
      </c>
      <c r="BN845">
        <v>14800</v>
      </c>
      <c r="BO845" t="s">
        <v>1</v>
      </c>
      <c r="BP845" t="s">
        <v>1</v>
      </c>
      <c r="BQ845" t="s">
        <v>1</v>
      </c>
      <c r="BR845" t="s">
        <v>1</v>
      </c>
      <c r="BS845" t="s">
        <v>1</v>
      </c>
      <c r="BT845" t="s">
        <v>1</v>
      </c>
      <c r="BU845" t="s">
        <v>1</v>
      </c>
      <c r="BV845" t="s">
        <v>1</v>
      </c>
      <c r="BW845" t="s">
        <v>0</v>
      </c>
      <c r="BX845" t="s">
        <v>1</v>
      </c>
      <c r="BY845" t="s">
        <v>1</v>
      </c>
      <c r="BZ845" t="s">
        <v>1</v>
      </c>
      <c r="CA845" t="s">
        <v>1</v>
      </c>
      <c r="CB845" t="s">
        <v>1</v>
      </c>
      <c r="CD845" t="e" cm="1">
        <f t="array" aca="1" ref="CD845" ca="1">eConcatenar(A845:CB845,"|")</f>
        <v>#NAME?</v>
      </c>
    </row>
    <row r="846" spans="1:82" x14ac:dyDescent="0.25">
      <c r="A846" t="s">
        <v>941</v>
      </c>
      <c r="B846" t="s">
        <v>1959</v>
      </c>
      <c r="C846">
        <v>3</v>
      </c>
      <c r="D846" t="s">
        <v>2154</v>
      </c>
      <c r="E846" t="s">
        <v>2158</v>
      </c>
      <c r="F846" t="s">
        <v>0</v>
      </c>
      <c r="G846" t="s">
        <v>2561</v>
      </c>
      <c r="H846" t="s">
        <v>2789</v>
      </c>
      <c r="I846">
        <v>24500</v>
      </c>
      <c r="J846">
        <v>0</v>
      </c>
      <c r="K846">
        <v>200</v>
      </c>
      <c r="L846">
        <v>50</v>
      </c>
      <c r="M846">
        <v>1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 t="s">
        <v>3966</v>
      </c>
      <c r="AC846" t="s">
        <v>3310</v>
      </c>
      <c r="AD846" t="s">
        <v>3269</v>
      </c>
      <c r="AE846" t="s">
        <v>4</v>
      </c>
      <c r="AF846" t="s">
        <v>1</v>
      </c>
      <c r="AG846" t="s">
        <v>1</v>
      </c>
      <c r="AH846" t="s">
        <v>2561</v>
      </c>
      <c r="AI846" t="s">
        <v>2561</v>
      </c>
      <c r="AJ846" t="s">
        <v>1</v>
      </c>
      <c r="AK846">
        <v>9372707967</v>
      </c>
      <c r="AL846" t="s">
        <v>1</v>
      </c>
      <c r="AM846" t="s">
        <v>1</v>
      </c>
      <c r="AN846" t="s">
        <v>1</v>
      </c>
      <c r="AO846" t="s">
        <v>2561</v>
      </c>
      <c r="AP846" t="s">
        <v>1</v>
      </c>
      <c r="AQ846" t="s">
        <v>2</v>
      </c>
      <c r="AR846" t="s">
        <v>1</v>
      </c>
      <c r="AS846" t="s">
        <v>1</v>
      </c>
      <c r="AT846" t="s">
        <v>1</v>
      </c>
      <c r="AU846" t="s">
        <v>1</v>
      </c>
      <c r="AV846" t="s">
        <v>1</v>
      </c>
      <c r="AW846" t="s">
        <v>9</v>
      </c>
      <c r="AX846">
        <f>Tabla1[[#This Row],[precio del paquete]]-Tabla1[[#This Row],[Saldo_Deudor]]</f>
        <v>2800</v>
      </c>
      <c r="AY846">
        <v>21700</v>
      </c>
      <c r="AZ846">
        <v>0</v>
      </c>
      <c r="BA846">
        <v>0</v>
      </c>
      <c r="BB846">
        <v>0</v>
      </c>
      <c r="BC846" t="s">
        <v>4847</v>
      </c>
      <c r="BD846" t="s">
        <v>4826</v>
      </c>
      <c r="BE846" t="s">
        <v>3</v>
      </c>
      <c r="BF846" t="s">
        <v>3</v>
      </c>
      <c r="BG846" t="s">
        <v>3</v>
      </c>
      <c r="BH846" t="s">
        <v>3</v>
      </c>
      <c r="BI846" t="s">
        <v>3</v>
      </c>
      <c r="BJ846" t="s">
        <v>4997</v>
      </c>
      <c r="BK846" t="s">
        <v>3</v>
      </c>
      <c r="BL846" t="s">
        <v>96</v>
      </c>
      <c r="BM846" t="s">
        <v>1</v>
      </c>
      <c r="BN846">
        <v>24500</v>
      </c>
      <c r="BO846" t="s">
        <v>1</v>
      </c>
      <c r="BP846" t="s">
        <v>1</v>
      </c>
      <c r="BQ846" t="s">
        <v>1</v>
      </c>
      <c r="BR846" t="s">
        <v>1</v>
      </c>
      <c r="BS846" t="s">
        <v>1</v>
      </c>
      <c r="BT846" t="s">
        <v>1</v>
      </c>
      <c r="BU846" t="s">
        <v>1</v>
      </c>
      <c r="BV846" t="s">
        <v>1</v>
      </c>
      <c r="BW846" t="s">
        <v>0</v>
      </c>
      <c r="BX846" t="s">
        <v>1</v>
      </c>
      <c r="BY846" t="s">
        <v>1</v>
      </c>
      <c r="BZ846" t="s">
        <v>1</v>
      </c>
      <c r="CA846" t="s">
        <v>1</v>
      </c>
      <c r="CB846" t="s">
        <v>1</v>
      </c>
      <c r="CD846" t="e" cm="1">
        <f t="array" aca="1" ref="CD846" ca="1">eConcatenar(A846:CB846,"|")</f>
        <v>#NAME?</v>
      </c>
    </row>
    <row r="847" spans="1:82" x14ac:dyDescent="0.25">
      <c r="A847" t="s">
        <v>942</v>
      </c>
      <c r="B847" t="s">
        <v>1960</v>
      </c>
      <c r="C847">
        <v>3</v>
      </c>
      <c r="D847" t="s">
        <v>2153</v>
      </c>
      <c r="E847" t="s">
        <v>2158</v>
      </c>
      <c r="F847" t="s">
        <v>0</v>
      </c>
      <c r="G847" t="s">
        <v>2528</v>
      </c>
      <c r="H847" t="s">
        <v>2716</v>
      </c>
      <c r="I847">
        <v>14800</v>
      </c>
      <c r="J847">
        <v>0</v>
      </c>
      <c r="K847">
        <v>200</v>
      </c>
      <c r="L847">
        <v>50</v>
      </c>
      <c r="M847">
        <v>1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 t="s">
        <v>3245</v>
      </c>
      <c r="AC847" t="s">
        <v>3117</v>
      </c>
      <c r="AD847" t="s">
        <v>3555</v>
      </c>
      <c r="AE847" t="s">
        <v>4</v>
      </c>
      <c r="AF847" t="s">
        <v>1</v>
      </c>
      <c r="AG847" t="s">
        <v>1</v>
      </c>
      <c r="AH847" t="s">
        <v>2207</v>
      </c>
      <c r="AI847" t="s">
        <v>2528</v>
      </c>
      <c r="AJ847" t="s">
        <v>1</v>
      </c>
      <c r="AK847">
        <v>9371224427</v>
      </c>
      <c r="AL847" t="s">
        <v>1</v>
      </c>
      <c r="AM847" t="s">
        <v>1</v>
      </c>
      <c r="AN847" t="s">
        <v>1</v>
      </c>
      <c r="AO847" t="s">
        <v>2207</v>
      </c>
      <c r="AP847" t="s">
        <v>1</v>
      </c>
      <c r="AQ847" t="s">
        <v>2</v>
      </c>
      <c r="AR847" t="s">
        <v>1</v>
      </c>
      <c r="AS847" t="s">
        <v>1</v>
      </c>
      <c r="AT847" t="s">
        <v>1</v>
      </c>
      <c r="AU847" t="s">
        <v>1</v>
      </c>
      <c r="AV847" t="s">
        <v>1</v>
      </c>
      <c r="AW847" t="s">
        <v>9</v>
      </c>
      <c r="AX847">
        <f>Tabla1[[#This Row],[precio del paquete]]-Tabla1[[#This Row],[Saldo_Deudor]]</f>
        <v>1600</v>
      </c>
      <c r="AY847">
        <v>13200</v>
      </c>
      <c r="AZ847">
        <v>0</v>
      </c>
      <c r="BA847">
        <v>0</v>
      </c>
      <c r="BB847">
        <v>0</v>
      </c>
      <c r="BC847" t="s">
        <v>4881</v>
      </c>
      <c r="BD847" t="s">
        <v>4970</v>
      </c>
      <c r="BE847" t="s">
        <v>3</v>
      </c>
      <c r="BF847" t="s">
        <v>3</v>
      </c>
      <c r="BG847" t="s">
        <v>3</v>
      </c>
      <c r="BH847" t="s">
        <v>3</v>
      </c>
      <c r="BI847" t="s">
        <v>3</v>
      </c>
      <c r="BJ847" t="s">
        <v>4997</v>
      </c>
      <c r="BK847" t="s">
        <v>3</v>
      </c>
      <c r="BL847" t="s">
        <v>96</v>
      </c>
      <c r="BM847" t="s">
        <v>1</v>
      </c>
      <c r="BN847">
        <v>14800</v>
      </c>
      <c r="BO847" t="s">
        <v>1</v>
      </c>
      <c r="BP847" t="s">
        <v>1</v>
      </c>
      <c r="BQ847" t="s">
        <v>1</v>
      </c>
      <c r="BR847" t="s">
        <v>1</v>
      </c>
      <c r="BS847" t="s">
        <v>1</v>
      </c>
      <c r="BT847" t="s">
        <v>1</v>
      </c>
      <c r="BU847" t="s">
        <v>1</v>
      </c>
      <c r="BV847" t="s">
        <v>1</v>
      </c>
      <c r="BW847" t="s">
        <v>0</v>
      </c>
      <c r="BX847" t="s">
        <v>1</v>
      </c>
      <c r="BY847" t="s">
        <v>1</v>
      </c>
      <c r="BZ847" t="s">
        <v>1</v>
      </c>
      <c r="CA847" t="s">
        <v>1</v>
      </c>
      <c r="CB847" t="s">
        <v>1</v>
      </c>
      <c r="CD847" t="e" cm="1">
        <f t="array" aca="1" ref="CD847" ca="1">eConcatenar(A847:CB847,"|")</f>
        <v>#NAME?</v>
      </c>
    </row>
    <row r="848" spans="1:82" x14ac:dyDescent="0.25">
      <c r="A848" t="s">
        <v>943</v>
      </c>
      <c r="B848" t="s">
        <v>1961</v>
      </c>
      <c r="C848">
        <v>3</v>
      </c>
      <c r="D848" t="s">
        <v>2155</v>
      </c>
      <c r="E848" t="s">
        <v>2158</v>
      </c>
      <c r="F848" t="s">
        <v>0</v>
      </c>
      <c r="G848" t="s">
        <v>2526</v>
      </c>
      <c r="H848" t="s">
        <v>3065</v>
      </c>
      <c r="I848">
        <v>12900</v>
      </c>
      <c r="J848">
        <v>0</v>
      </c>
      <c r="K848">
        <v>300</v>
      </c>
      <c r="L848">
        <v>50</v>
      </c>
      <c r="M848">
        <v>1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 t="s">
        <v>3974</v>
      </c>
      <c r="AC848" t="s">
        <v>3148</v>
      </c>
      <c r="AD848" t="s">
        <v>3975</v>
      </c>
      <c r="AE848" t="s">
        <v>4</v>
      </c>
      <c r="AF848" t="s">
        <v>1</v>
      </c>
      <c r="AG848" t="s">
        <v>1</v>
      </c>
      <c r="AH848" t="s">
        <v>2544</v>
      </c>
      <c r="AI848" t="s">
        <v>2526</v>
      </c>
      <c r="AJ848" t="s">
        <v>1</v>
      </c>
      <c r="AK848">
        <v>9371420284</v>
      </c>
      <c r="AL848" t="s">
        <v>1</v>
      </c>
      <c r="AM848" t="s">
        <v>1</v>
      </c>
      <c r="AN848" t="s">
        <v>1</v>
      </c>
      <c r="AO848" t="s">
        <v>2544</v>
      </c>
      <c r="AP848" t="s">
        <v>1</v>
      </c>
      <c r="AQ848" t="s">
        <v>2</v>
      </c>
      <c r="AR848" t="s">
        <v>1</v>
      </c>
      <c r="AS848" t="s">
        <v>1</v>
      </c>
      <c r="AT848" t="s">
        <v>1</v>
      </c>
      <c r="AU848" t="s">
        <v>1</v>
      </c>
      <c r="AV848" t="s">
        <v>1</v>
      </c>
      <c r="AW848" t="s">
        <v>9</v>
      </c>
      <c r="AX848">
        <f>Tabla1[[#This Row],[precio del paquete]]-Tabla1[[#This Row],[Saldo_Deudor]]</f>
        <v>6700</v>
      </c>
      <c r="AY848">
        <v>6200</v>
      </c>
      <c r="AZ848">
        <v>0</v>
      </c>
      <c r="BA848">
        <v>0</v>
      </c>
      <c r="BB848">
        <v>0</v>
      </c>
      <c r="BC848" t="s">
        <v>2925</v>
      </c>
      <c r="BD848" t="s">
        <v>3078</v>
      </c>
      <c r="BE848" t="s">
        <v>3</v>
      </c>
      <c r="BF848" t="s">
        <v>3</v>
      </c>
      <c r="BG848" t="s">
        <v>3</v>
      </c>
      <c r="BH848" t="s">
        <v>3</v>
      </c>
      <c r="BI848" t="s">
        <v>3</v>
      </c>
      <c r="BJ848" t="s">
        <v>4997</v>
      </c>
      <c r="BK848" t="s">
        <v>3</v>
      </c>
      <c r="BL848" t="s">
        <v>96</v>
      </c>
      <c r="BM848" t="s">
        <v>1</v>
      </c>
      <c r="BN848">
        <v>12900</v>
      </c>
      <c r="BO848" t="s">
        <v>1</v>
      </c>
      <c r="BP848" t="s">
        <v>1</v>
      </c>
      <c r="BQ848" t="s">
        <v>1</v>
      </c>
      <c r="BR848" t="s">
        <v>1</v>
      </c>
      <c r="BS848" t="s">
        <v>1</v>
      </c>
      <c r="BT848" t="s">
        <v>1</v>
      </c>
      <c r="BU848" t="s">
        <v>1</v>
      </c>
      <c r="BV848" t="s">
        <v>1</v>
      </c>
      <c r="BW848" t="s">
        <v>0</v>
      </c>
      <c r="BX848" t="s">
        <v>1</v>
      </c>
      <c r="BY848" t="s">
        <v>1</v>
      </c>
      <c r="BZ848" t="s">
        <v>1</v>
      </c>
      <c r="CA848" t="s">
        <v>1</v>
      </c>
      <c r="CB848" t="s">
        <v>1</v>
      </c>
      <c r="CD848" t="e" cm="1">
        <f t="array" aca="1" ref="CD848" ca="1">eConcatenar(A848:CB848,"|")</f>
        <v>#NAME?</v>
      </c>
    </row>
    <row r="849" spans="1:82" x14ac:dyDescent="0.25">
      <c r="A849" t="s">
        <v>944</v>
      </c>
      <c r="B849" t="s">
        <v>1962</v>
      </c>
      <c r="C849">
        <v>3</v>
      </c>
      <c r="D849" t="s">
        <v>2157</v>
      </c>
      <c r="E849" t="s">
        <v>2158</v>
      </c>
      <c r="F849" t="s">
        <v>0</v>
      </c>
      <c r="G849" t="s">
        <v>2256</v>
      </c>
      <c r="H849" t="s">
        <v>3066</v>
      </c>
      <c r="I849">
        <v>12900</v>
      </c>
      <c r="J849">
        <v>0</v>
      </c>
      <c r="K849">
        <v>200</v>
      </c>
      <c r="L849">
        <v>50</v>
      </c>
      <c r="M849">
        <v>1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 t="s">
        <v>5</v>
      </c>
      <c r="AC849" t="s">
        <v>3155</v>
      </c>
      <c r="AD849" t="s">
        <v>3483</v>
      </c>
      <c r="AE849" t="s">
        <v>4</v>
      </c>
      <c r="AF849" t="s">
        <v>1</v>
      </c>
      <c r="AG849" t="s">
        <v>1</v>
      </c>
      <c r="AH849" t="s">
        <v>4692</v>
      </c>
      <c r="AI849" t="s">
        <v>2256</v>
      </c>
      <c r="AJ849" t="s">
        <v>1</v>
      </c>
      <c r="AK849">
        <v>9373723625</v>
      </c>
      <c r="AL849" t="s">
        <v>1</v>
      </c>
      <c r="AM849" t="s">
        <v>1</v>
      </c>
      <c r="AN849" t="s">
        <v>1</v>
      </c>
      <c r="AO849" t="s">
        <v>4692</v>
      </c>
      <c r="AP849" t="s">
        <v>1</v>
      </c>
      <c r="AQ849" t="s">
        <v>2</v>
      </c>
      <c r="AR849" t="s">
        <v>1</v>
      </c>
      <c r="AS849" t="s">
        <v>1</v>
      </c>
      <c r="AT849" t="s">
        <v>1</v>
      </c>
      <c r="AU849" t="s">
        <v>1</v>
      </c>
      <c r="AV849" t="s">
        <v>1</v>
      </c>
      <c r="AW849" t="s">
        <v>9</v>
      </c>
      <c r="AX849">
        <f>Tabla1[[#This Row],[precio del paquete]]-Tabla1[[#This Row],[Saldo_Deudor]]</f>
        <v>8000</v>
      </c>
      <c r="AY849">
        <v>4900</v>
      </c>
      <c r="AZ849">
        <v>0</v>
      </c>
      <c r="BA849">
        <v>0</v>
      </c>
      <c r="BB849">
        <v>0</v>
      </c>
      <c r="BC849" t="s">
        <v>4847</v>
      </c>
      <c r="BD849" t="s">
        <v>4826</v>
      </c>
      <c r="BE849" t="s">
        <v>3</v>
      </c>
      <c r="BF849" t="s">
        <v>3</v>
      </c>
      <c r="BG849" t="s">
        <v>3</v>
      </c>
      <c r="BH849" t="s">
        <v>3</v>
      </c>
      <c r="BI849" t="s">
        <v>3</v>
      </c>
      <c r="BJ849" t="s">
        <v>4997</v>
      </c>
      <c r="BK849" t="s">
        <v>3</v>
      </c>
      <c r="BL849" t="s">
        <v>96</v>
      </c>
      <c r="BM849" t="s">
        <v>1</v>
      </c>
      <c r="BN849">
        <v>12900</v>
      </c>
      <c r="BO849" t="s">
        <v>1</v>
      </c>
      <c r="BP849" t="s">
        <v>1</v>
      </c>
      <c r="BQ849" t="s">
        <v>1</v>
      </c>
      <c r="BR849" t="s">
        <v>1</v>
      </c>
      <c r="BS849" t="s">
        <v>1</v>
      </c>
      <c r="BT849" t="s">
        <v>1</v>
      </c>
      <c r="BU849" t="s">
        <v>1</v>
      </c>
      <c r="BV849" t="s">
        <v>1</v>
      </c>
      <c r="BW849" t="s">
        <v>0</v>
      </c>
      <c r="BX849" t="s">
        <v>1</v>
      </c>
      <c r="BY849" t="s">
        <v>1</v>
      </c>
      <c r="BZ849" t="s">
        <v>1</v>
      </c>
      <c r="CA849" t="s">
        <v>1</v>
      </c>
      <c r="CB849" t="s">
        <v>1</v>
      </c>
      <c r="CD849" t="e" cm="1">
        <f t="array" aca="1" ref="CD849" ca="1">eConcatenar(A849:CB849,"|")</f>
        <v>#NAME?</v>
      </c>
    </row>
    <row r="850" spans="1:82" x14ac:dyDescent="0.25">
      <c r="A850" t="s">
        <v>945</v>
      </c>
      <c r="B850" t="s">
        <v>1963</v>
      </c>
      <c r="C850">
        <v>3</v>
      </c>
      <c r="D850" t="s">
        <v>2157</v>
      </c>
      <c r="E850" t="s">
        <v>2158</v>
      </c>
      <c r="F850" t="s">
        <v>0</v>
      </c>
      <c r="G850" t="s">
        <v>2631</v>
      </c>
      <c r="H850" t="s">
        <v>3067</v>
      </c>
      <c r="I850">
        <v>12900</v>
      </c>
      <c r="J850">
        <v>0</v>
      </c>
      <c r="K850">
        <v>200</v>
      </c>
      <c r="L850">
        <v>50</v>
      </c>
      <c r="M850">
        <v>1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 t="s">
        <v>3148</v>
      </c>
      <c r="AC850" t="s">
        <v>3976</v>
      </c>
      <c r="AD850" t="s">
        <v>3592</v>
      </c>
      <c r="AE850" t="s">
        <v>4</v>
      </c>
      <c r="AF850" t="s">
        <v>1</v>
      </c>
      <c r="AG850" t="s">
        <v>1</v>
      </c>
      <c r="AH850" t="s">
        <v>4693</v>
      </c>
      <c r="AI850" t="s">
        <v>2631</v>
      </c>
      <c r="AJ850" t="s">
        <v>1</v>
      </c>
      <c r="AK850">
        <v>9372283555</v>
      </c>
      <c r="AL850" t="s">
        <v>1</v>
      </c>
      <c r="AM850" t="s">
        <v>1</v>
      </c>
      <c r="AN850" t="s">
        <v>1</v>
      </c>
      <c r="AO850" t="s">
        <v>4693</v>
      </c>
      <c r="AP850" t="s">
        <v>1</v>
      </c>
      <c r="AQ850" t="s">
        <v>2</v>
      </c>
      <c r="AR850" t="s">
        <v>1</v>
      </c>
      <c r="AS850" t="s">
        <v>1</v>
      </c>
      <c r="AT850" t="s">
        <v>1</v>
      </c>
      <c r="AU850" t="s">
        <v>1</v>
      </c>
      <c r="AV850" t="s">
        <v>1</v>
      </c>
      <c r="AW850" t="s">
        <v>9</v>
      </c>
      <c r="AX850">
        <f>Tabla1[[#This Row],[precio del paquete]]-Tabla1[[#This Row],[Saldo_Deudor]]</f>
        <v>8200</v>
      </c>
      <c r="AY850">
        <v>4700</v>
      </c>
      <c r="AZ850">
        <v>0</v>
      </c>
      <c r="BA850">
        <v>0</v>
      </c>
      <c r="BB850">
        <v>0</v>
      </c>
      <c r="BC850" t="s">
        <v>2775</v>
      </c>
      <c r="BD850" t="s">
        <v>2740</v>
      </c>
      <c r="BE850" t="s">
        <v>3</v>
      </c>
      <c r="BF850" t="s">
        <v>3</v>
      </c>
      <c r="BG850" t="s">
        <v>3</v>
      </c>
      <c r="BH850" t="s">
        <v>3</v>
      </c>
      <c r="BI850" t="s">
        <v>3</v>
      </c>
      <c r="BJ850" t="s">
        <v>4997</v>
      </c>
      <c r="BK850" t="s">
        <v>3</v>
      </c>
      <c r="BL850" t="s">
        <v>96</v>
      </c>
      <c r="BM850" t="s">
        <v>1</v>
      </c>
      <c r="BN850">
        <v>12900</v>
      </c>
      <c r="BO850" t="s">
        <v>1</v>
      </c>
      <c r="BP850" t="s">
        <v>1</v>
      </c>
      <c r="BQ850" t="s">
        <v>1</v>
      </c>
      <c r="BR850" t="s">
        <v>1</v>
      </c>
      <c r="BS850" t="s">
        <v>1</v>
      </c>
      <c r="BT850" t="s">
        <v>1</v>
      </c>
      <c r="BU850" t="s">
        <v>1</v>
      </c>
      <c r="BV850" t="s">
        <v>1</v>
      </c>
      <c r="BW850" t="s">
        <v>0</v>
      </c>
      <c r="BX850" t="s">
        <v>1</v>
      </c>
      <c r="BY850" t="s">
        <v>1</v>
      </c>
      <c r="BZ850" t="s">
        <v>1</v>
      </c>
      <c r="CA850" t="s">
        <v>1</v>
      </c>
      <c r="CB850" t="s">
        <v>1</v>
      </c>
      <c r="CD850" t="e" cm="1">
        <f t="array" aca="1" ref="CD850" ca="1">eConcatenar(A850:CB850,"|")</f>
        <v>#NAME?</v>
      </c>
    </row>
    <row r="851" spans="1:82" x14ac:dyDescent="0.25">
      <c r="A851" t="s">
        <v>946</v>
      </c>
      <c r="B851" t="s">
        <v>1964</v>
      </c>
      <c r="C851">
        <v>3</v>
      </c>
      <c r="D851" t="s">
        <v>2157</v>
      </c>
      <c r="E851" t="s">
        <v>2158</v>
      </c>
      <c r="F851" t="s">
        <v>0</v>
      </c>
      <c r="G851" t="s">
        <v>2632</v>
      </c>
      <c r="H851" t="s">
        <v>3034</v>
      </c>
      <c r="I851">
        <v>12900</v>
      </c>
      <c r="J851">
        <v>0</v>
      </c>
      <c r="K851">
        <v>200</v>
      </c>
      <c r="L851">
        <v>50</v>
      </c>
      <c r="M851">
        <v>1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 t="s">
        <v>3132</v>
      </c>
      <c r="AC851" t="s">
        <v>3412</v>
      </c>
      <c r="AD851" t="s">
        <v>3977</v>
      </c>
      <c r="AE851" t="s">
        <v>4</v>
      </c>
      <c r="AF851" t="s">
        <v>1</v>
      </c>
      <c r="AG851" t="s">
        <v>1</v>
      </c>
      <c r="AH851" t="s">
        <v>4694</v>
      </c>
      <c r="AI851" t="s">
        <v>2632</v>
      </c>
      <c r="AJ851" t="s">
        <v>1</v>
      </c>
      <c r="AK851">
        <v>9371530355</v>
      </c>
      <c r="AL851" t="s">
        <v>1</v>
      </c>
      <c r="AM851" t="s">
        <v>1</v>
      </c>
      <c r="AN851" t="s">
        <v>1</v>
      </c>
      <c r="AO851" t="s">
        <v>4694</v>
      </c>
      <c r="AP851" t="s">
        <v>1</v>
      </c>
      <c r="AQ851" t="s">
        <v>2</v>
      </c>
      <c r="AR851" t="s">
        <v>1</v>
      </c>
      <c r="AS851" t="s">
        <v>1</v>
      </c>
      <c r="AT851" t="s">
        <v>1</v>
      </c>
      <c r="AU851" t="s">
        <v>1</v>
      </c>
      <c r="AV851" t="s">
        <v>1</v>
      </c>
      <c r="AW851" t="s">
        <v>9</v>
      </c>
      <c r="AX851">
        <f>Tabla1[[#This Row],[precio del paquete]]-Tabla1[[#This Row],[Saldo_Deudor]]</f>
        <v>8400</v>
      </c>
      <c r="AY851">
        <v>4500</v>
      </c>
      <c r="AZ851">
        <v>0</v>
      </c>
      <c r="BA851">
        <v>0</v>
      </c>
      <c r="BB851">
        <v>0</v>
      </c>
      <c r="BC851" t="s">
        <v>4847</v>
      </c>
      <c r="BD851" t="s">
        <v>4826</v>
      </c>
      <c r="BE851" t="s">
        <v>3</v>
      </c>
      <c r="BF851" t="s">
        <v>3</v>
      </c>
      <c r="BG851" t="s">
        <v>3</v>
      </c>
      <c r="BH851" t="s">
        <v>3</v>
      </c>
      <c r="BI851" t="s">
        <v>3</v>
      </c>
      <c r="BJ851" t="s">
        <v>4997</v>
      </c>
      <c r="BK851" t="s">
        <v>3</v>
      </c>
      <c r="BL851" t="s">
        <v>96</v>
      </c>
      <c r="BM851" t="s">
        <v>1</v>
      </c>
      <c r="BN851">
        <v>12900</v>
      </c>
      <c r="BO851" t="s">
        <v>1</v>
      </c>
      <c r="BP851" t="s">
        <v>1</v>
      </c>
      <c r="BQ851" t="s">
        <v>1</v>
      </c>
      <c r="BR851" t="s">
        <v>1</v>
      </c>
      <c r="BS851" t="s">
        <v>1</v>
      </c>
      <c r="BT851" t="s">
        <v>1</v>
      </c>
      <c r="BU851" t="s">
        <v>1</v>
      </c>
      <c r="BV851" t="s">
        <v>1</v>
      </c>
      <c r="BW851" t="s">
        <v>0</v>
      </c>
      <c r="BX851" t="s">
        <v>1</v>
      </c>
      <c r="BY851" t="s">
        <v>1</v>
      </c>
      <c r="BZ851" t="s">
        <v>1</v>
      </c>
      <c r="CA851" t="s">
        <v>1</v>
      </c>
      <c r="CB851" t="s">
        <v>1</v>
      </c>
      <c r="CD851" t="e" cm="1">
        <f t="array" aca="1" ref="CD851" ca="1">eConcatenar(A851:CB851,"|")</f>
        <v>#NAME?</v>
      </c>
    </row>
    <row r="852" spans="1:82" x14ac:dyDescent="0.25">
      <c r="A852" t="s">
        <v>947</v>
      </c>
      <c r="B852" t="s">
        <v>1965</v>
      </c>
      <c r="C852">
        <v>3</v>
      </c>
      <c r="D852" t="s">
        <v>2155</v>
      </c>
      <c r="E852" t="s">
        <v>2158</v>
      </c>
      <c r="F852" t="s">
        <v>0</v>
      </c>
      <c r="G852" t="s">
        <v>2526</v>
      </c>
      <c r="H852" t="s">
        <v>3068</v>
      </c>
      <c r="I852">
        <v>12900</v>
      </c>
      <c r="J852">
        <v>0</v>
      </c>
      <c r="K852">
        <v>200</v>
      </c>
      <c r="L852">
        <v>50</v>
      </c>
      <c r="M852">
        <v>1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 t="s">
        <v>3114</v>
      </c>
      <c r="AC852" t="s">
        <v>5</v>
      </c>
      <c r="AD852" t="s">
        <v>3978</v>
      </c>
      <c r="AE852" t="s">
        <v>4</v>
      </c>
      <c r="AF852" t="s">
        <v>1</v>
      </c>
      <c r="AG852" t="s">
        <v>1</v>
      </c>
      <c r="AH852" t="s">
        <v>4695</v>
      </c>
      <c r="AI852" t="s">
        <v>2526</v>
      </c>
      <c r="AJ852" t="s">
        <v>1</v>
      </c>
      <c r="AK852">
        <v>9371410531</v>
      </c>
      <c r="AL852" t="s">
        <v>1</v>
      </c>
      <c r="AM852" t="s">
        <v>1</v>
      </c>
      <c r="AN852" t="s">
        <v>1</v>
      </c>
      <c r="AO852" t="s">
        <v>4695</v>
      </c>
      <c r="AP852" t="s">
        <v>1</v>
      </c>
      <c r="AQ852" t="s">
        <v>2</v>
      </c>
      <c r="AR852" t="s">
        <v>1</v>
      </c>
      <c r="AS852" t="s">
        <v>1</v>
      </c>
      <c r="AT852" t="s">
        <v>1</v>
      </c>
      <c r="AU852" t="s">
        <v>1</v>
      </c>
      <c r="AV852" t="s">
        <v>1</v>
      </c>
      <c r="AW852" t="s">
        <v>9</v>
      </c>
      <c r="AX852">
        <f>Tabla1[[#This Row],[precio del paquete]]-Tabla1[[#This Row],[Saldo_Deudor]]</f>
        <v>500</v>
      </c>
      <c r="AY852">
        <v>12400</v>
      </c>
      <c r="AZ852">
        <v>0</v>
      </c>
      <c r="BA852">
        <v>0</v>
      </c>
      <c r="BB852">
        <v>0</v>
      </c>
      <c r="BC852" t="s">
        <v>2732</v>
      </c>
      <c r="BD852" t="s">
        <v>4904</v>
      </c>
      <c r="BE852" t="s">
        <v>3</v>
      </c>
      <c r="BF852" t="s">
        <v>3</v>
      </c>
      <c r="BG852" t="s">
        <v>3</v>
      </c>
      <c r="BH852" t="s">
        <v>3</v>
      </c>
      <c r="BI852" t="s">
        <v>3</v>
      </c>
      <c r="BJ852" t="s">
        <v>4997</v>
      </c>
      <c r="BK852" t="s">
        <v>3</v>
      </c>
      <c r="BL852" t="s">
        <v>96</v>
      </c>
      <c r="BM852" t="s">
        <v>1</v>
      </c>
      <c r="BN852">
        <v>12900</v>
      </c>
      <c r="BO852" t="s">
        <v>1</v>
      </c>
      <c r="BP852" t="s">
        <v>1</v>
      </c>
      <c r="BQ852" t="s">
        <v>1</v>
      </c>
      <c r="BR852" t="s">
        <v>1</v>
      </c>
      <c r="BS852" t="s">
        <v>1</v>
      </c>
      <c r="BT852" t="s">
        <v>1</v>
      </c>
      <c r="BU852" t="s">
        <v>1</v>
      </c>
      <c r="BV852" t="s">
        <v>1</v>
      </c>
      <c r="BW852" t="s">
        <v>0</v>
      </c>
      <c r="BX852" t="s">
        <v>1</v>
      </c>
      <c r="BY852" t="s">
        <v>1</v>
      </c>
      <c r="BZ852" t="s">
        <v>1</v>
      </c>
      <c r="CA852" t="s">
        <v>1</v>
      </c>
      <c r="CB852" t="s">
        <v>1</v>
      </c>
      <c r="CD852" t="e" cm="1">
        <f t="array" aca="1" ref="CD852" ca="1">eConcatenar(A852:CB852,"|")</f>
        <v>#NAME?</v>
      </c>
    </row>
    <row r="853" spans="1:82" x14ac:dyDescent="0.25">
      <c r="A853" t="s">
        <v>948</v>
      </c>
      <c r="B853" t="s">
        <v>1966</v>
      </c>
      <c r="C853">
        <v>3</v>
      </c>
      <c r="D853" t="s">
        <v>2153</v>
      </c>
      <c r="E853" t="s">
        <v>2158</v>
      </c>
      <c r="F853" t="s">
        <v>0</v>
      </c>
      <c r="G853" t="s">
        <v>2526</v>
      </c>
      <c r="H853" t="s">
        <v>3069</v>
      </c>
      <c r="I853">
        <v>14800</v>
      </c>
      <c r="J853">
        <v>0</v>
      </c>
      <c r="K853">
        <v>200</v>
      </c>
      <c r="L853">
        <v>50</v>
      </c>
      <c r="M853">
        <v>1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 t="s">
        <v>3290</v>
      </c>
      <c r="AC853" t="s">
        <v>5</v>
      </c>
      <c r="AD853" t="s">
        <v>3979</v>
      </c>
      <c r="AE853" t="s">
        <v>4</v>
      </c>
      <c r="AF853" t="s">
        <v>1</v>
      </c>
      <c r="AG853" t="s">
        <v>1</v>
      </c>
      <c r="AH853" t="s">
        <v>2207</v>
      </c>
      <c r="AI853" t="s">
        <v>2526</v>
      </c>
      <c r="AJ853" t="s">
        <v>1</v>
      </c>
      <c r="AK853">
        <v>9371830928</v>
      </c>
      <c r="AL853" t="s">
        <v>1</v>
      </c>
      <c r="AM853" t="s">
        <v>1</v>
      </c>
      <c r="AN853" t="s">
        <v>1</v>
      </c>
      <c r="AO853" t="s">
        <v>2207</v>
      </c>
      <c r="AP853" t="s">
        <v>1</v>
      </c>
      <c r="AQ853" t="s">
        <v>2</v>
      </c>
      <c r="AR853" t="s">
        <v>1</v>
      </c>
      <c r="AS853" t="s">
        <v>1</v>
      </c>
      <c r="AT853" t="s">
        <v>1</v>
      </c>
      <c r="AU853" t="s">
        <v>1</v>
      </c>
      <c r="AV853" t="s">
        <v>1</v>
      </c>
      <c r="AW853" t="s">
        <v>9</v>
      </c>
      <c r="AX853">
        <f>Tabla1[[#This Row],[precio del paquete]]-Tabla1[[#This Row],[Saldo_Deudor]]</f>
        <v>1700</v>
      </c>
      <c r="AY853">
        <v>13100</v>
      </c>
      <c r="AZ853">
        <v>0</v>
      </c>
      <c r="BA853">
        <v>0</v>
      </c>
      <c r="BB853">
        <v>0</v>
      </c>
      <c r="BC853" t="s">
        <v>2925</v>
      </c>
      <c r="BD853" t="s">
        <v>3078</v>
      </c>
      <c r="BE853" t="s">
        <v>3</v>
      </c>
      <c r="BF853" t="s">
        <v>3</v>
      </c>
      <c r="BG853" t="s">
        <v>3</v>
      </c>
      <c r="BH853" t="s">
        <v>3</v>
      </c>
      <c r="BI853" t="s">
        <v>3</v>
      </c>
      <c r="BJ853" t="s">
        <v>4997</v>
      </c>
      <c r="BK853" t="s">
        <v>3</v>
      </c>
      <c r="BL853" t="s">
        <v>96</v>
      </c>
      <c r="BM853" t="s">
        <v>1</v>
      </c>
      <c r="BN853">
        <v>14800</v>
      </c>
      <c r="BO853" t="s">
        <v>1</v>
      </c>
      <c r="BP853" t="s">
        <v>1</v>
      </c>
      <c r="BQ853" t="s">
        <v>1</v>
      </c>
      <c r="BR853" t="s">
        <v>1</v>
      </c>
      <c r="BS853" t="s">
        <v>1</v>
      </c>
      <c r="BT853" t="s">
        <v>1</v>
      </c>
      <c r="BU853" t="s">
        <v>1</v>
      </c>
      <c r="BV853" t="s">
        <v>1</v>
      </c>
      <c r="BW853" t="s">
        <v>0</v>
      </c>
      <c r="BX853" t="s">
        <v>1</v>
      </c>
      <c r="BY853" t="s">
        <v>1</v>
      </c>
      <c r="BZ853" t="s">
        <v>1</v>
      </c>
      <c r="CA853" t="s">
        <v>1</v>
      </c>
      <c r="CB853" t="s">
        <v>1</v>
      </c>
      <c r="CD853" t="e" cm="1">
        <f t="array" aca="1" ref="CD853" ca="1">eConcatenar(A853:CB853,"|")</f>
        <v>#NAME?</v>
      </c>
    </row>
    <row r="854" spans="1:82" x14ac:dyDescent="0.25">
      <c r="A854" t="s">
        <v>949</v>
      </c>
      <c r="B854" t="s">
        <v>1967</v>
      </c>
      <c r="C854">
        <v>3</v>
      </c>
      <c r="D854" t="s">
        <v>2157</v>
      </c>
      <c r="E854" t="s">
        <v>2158</v>
      </c>
      <c r="F854" t="s">
        <v>0</v>
      </c>
      <c r="G854" t="s">
        <v>2633</v>
      </c>
      <c r="H854" t="s">
        <v>2706</v>
      </c>
      <c r="I854">
        <v>12900</v>
      </c>
      <c r="J854">
        <v>0</v>
      </c>
      <c r="K854">
        <v>100</v>
      </c>
      <c r="L854">
        <v>50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 t="s">
        <v>3761</v>
      </c>
      <c r="AC854" t="s">
        <v>3378</v>
      </c>
      <c r="AD854" t="s">
        <v>3528</v>
      </c>
      <c r="AE854" t="s">
        <v>4</v>
      </c>
      <c r="AF854" t="s">
        <v>1</v>
      </c>
      <c r="AG854" t="s">
        <v>1</v>
      </c>
      <c r="AH854" t="s">
        <v>4696</v>
      </c>
      <c r="AI854" t="s">
        <v>2633</v>
      </c>
      <c r="AJ854" t="s">
        <v>1</v>
      </c>
      <c r="AK854" t="s">
        <v>1</v>
      </c>
      <c r="AL854" t="s">
        <v>1</v>
      </c>
      <c r="AM854" t="s">
        <v>1</v>
      </c>
      <c r="AN854" t="s">
        <v>1</v>
      </c>
      <c r="AO854" t="s">
        <v>4696</v>
      </c>
      <c r="AP854" t="s">
        <v>1</v>
      </c>
      <c r="AQ854" t="s">
        <v>2</v>
      </c>
      <c r="AR854" t="s">
        <v>1</v>
      </c>
      <c r="AS854" t="s">
        <v>1</v>
      </c>
      <c r="AT854" t="s">
        <v>1</v>
      </c>
      <c r="AU854" t="s">
        <v>1</v>
      </c>
      <c r="AV854" t="s">
        <v>1</v>
      </c>
      <c r="AW854" t="s">
        <v>9</v>
      </c>
      <c r="AX854">
        <f>Tabla1[[#This Row],[precio del paquete]]-Tabla1[[#This Row],[Saldo_Deudor]]</f>
        <v>9350</v>
      </c>
      <c r="AY854">
        <v>3550</v>
      </c>
      <c r="AZ854">
        <v>0</v>
      </c>
      <c r="BA854">
        <v>0</v>
      </c>
      <c r="BB854">
        <v>0</v>
      </c>
      <c r="BC854" t="s">
        <v>2925</v>
      </c>
      <c r="BD854" t="s">
        <v>3078</v>
      </c>
      <c r="BE854" t="s">
        <v>3</v>
      </c>
      <c r="BF854" t="s">
        <v>3</v>
      </c>
      <c r="BG854" t="s">
        <v>3</v>
      </c>
      <c r="BH854" t="s">
        <v>3</v>
      </c>
      <c r="BI854" t="s">
        <v>3</v>
      </c>
      <c r="BJ854" t="s">
        <v>4997</v>
      </c>
      <c r="BK854" t="s">
        <v>3</v>
      </c>
      <c r="BL854" t="s">
        <v>96</v>
      </c>
      <c r="BM854" t="s">
        <v>1</v>
      </c>
      <c r="BN854">
        <v>12900</v>
      </c>
      <c r="BO854" t="s">
        <v>1</v>
      </c>
      <c r="BP854" t="s">
        <v>1</v>
      </c>
      <c r="BQ854" t="s">
        <v>1</v>
      </c>
      <c r="BR854" t="s">
        <v>1</v>
      </c>
      <c r="BS854" t="s">
        <v>1</v>
      </c>
      <c r="BT854" t="s">
        <v>1</v>
      </c>
      <c r="BU854" t="s">
        <v>1</v>
      </c>
      <c r="BV854" t="s">
        <v>1</v>
      </c>
      <c r="BW854" t="s">
        <v>0</v>
      </c>
      <c r="BX854" t="s">
        <v>1</v>
      </c>
      <c r="BY854" t="s">
        <v>1</v>
      </c>
      <c r="BZ854" t="s">
        <v>1</v>
      </c>
      <c r="CA854" t="s">
        <v>1</v>
      </c>
      <c r="CB854" t="s">
        <v>1</v>
      </c>
      <c r="CD854" t="e" cm="1">
        <f t="array" aca="1" ref="CD854" ca="1">eConcatenar(A854:CB854,"|")</f>
        <v>#NAME?</v>
      </c>
    </row>
    <row r="855" spans="1:82" x14ac:dyDescent="0.25">
      <c r="A855" t="s">
        <v>950</v>
      </c>
      <c r="B855" t="s">
        <v>1968</v>
      </c>
      <c r="C855">
        <v>3</v>
      </c>
      <c r="D855" t="s">
        <v>2153</v>
      </c>
      <c r="E855" t="s">
        <v>2158</v>
      </c>
      <c r="F855" t="s">
        <v>0</v>
      </c>
      <c r="G855" t="s">
        <v>2634</v>
      </c>
      <c r="H855" t="s">
        <v>2931</v>
      </c>
      <c r="I855">
        <v>14800</v>
      </c>
      <c r="J855">
        <v>0</v>
      </c>
      <c r="K855">
        <v>300</v>
      </c>
      <c r="L855">
        <v>50</v>
      </c>
      <c r="M855">
        <v>1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 t="s">
        <v>3115</v>
      </c>
      <c r="AC855" t="s">
        <v>3117</v>
      </c>
      <c r="AD855" t="s">
        <v>3333</v>
      </c>
      <c r="AE855" t="s">
        <v>4</v>
      </c>
      <c r="AF855" t="s">
        <v>1</v>
      </c>
      <c r="AG855" t="s">
        <v>1</v>
      </c>
      <c r="AH855" t="s">
        <v>4697</v>
      </c>
      <c r="AI855" t="s">
        <v>2634</v>
      </c>
      <c r="AJ855" t="s">
        <v>1</v>
      </c>
      <c r="AK855">
        <v>9371168703</v>
      </c>
      <c r="AL855" t="s">
        <v>1</v>
      </c>
      <c r="AM855" t="s">
        <v>1</v>
      </c>
      <c r="AN855" t="s">
        <v>1</v>
      </c>
      <c r="AO855" t="s">
        <v>4697</v>
      </c>
      <c r="AP855" t="s">
        <v>1</v>
      </c>
      <c r="AQ855" t="s">
        <v>2</v>
      </c>
      <c r="AR855" t="s">
        <v>1</v>
      </c>
      <c r="AS855" t="s">
        <v>1</v>
      </c>
      <c r="AT855" t="s">
        <v>1</v>
      </c>
      <c r="AU855" t="s">
        <v>1</v>
      </c>
      <c r="AV855" t="s">
        <v>1</v>
      </c>
      <c r="AW855" t="s">
        <v>9</v>
      </c>
      <c r="AX855">
        <f>Tabla1[[#This Row],[precio del paquete]]-Tabla1[[#This Row],[Saldo_Deudor]]</f>
        <v>1300</v>
      </c>
      <c r="AY855">
        <v>13500</v>
      </c>
      <c r="AZ855">
        <v>0</v>
      </c>
      <c r="BA855">
        <v>0</v>
      </c>
      <c r="BB855">
        <v>0</v>
      </c>
      <c r="BC855" t="s">
        <v>2801</v>
      </c>
      <c r="BD855" t="s">
        <v>2927</v>
      </c>
      <c r="BE855" t="s">
        <v>3</v>
      </c>
      <c r="BF855" t="s">
        <v>3</v>
      </c>
      <c r="BG855" t="s">
        <v>3</v>
      </c>
      <c r="BH855" t="s">
        <v>3</v>
      </c>
      <c r="BI855" t="s">
        <v>3</v>
      </c>
      <c r="BJ855" t="s">
        <v>4997</v>
      </c>
      <c r="BK855" t="s">
        <v>3</v>
      </c>
      <c r="BL855" t="s">
        <v>96</v>
      </c>
      <c r="BM855" t="s">
        <v>1</v>
      </c>
      <c r="BN855">
        <v>14800</v>
      </c>
      <c r="BO855" t="s">
        <v>1</v>
      </c>
      <c r="BP855" t="s">
        <v>1</v>
      </c>
      <c r="BQ855" t="s">
        <v>1</v>
      </c>
      <c r="BR855" t="s">
        <v>1</v>
      </c>
      <c r="BS855" t="s">
        <v>1</v>
      </c>
      <c r="BT855" t="s">
        <v>1</v>
      </c>
      <c r="BU855" t="s">
        <v>1</v>
      </c>
      <c r="BV855" t="s">
        <v>1</v>
      </c>
      <c r="BW855" t="s">
        <v>0</v>
      </c>
      <c r="BX855" t="s">
        <v>1</v>
      </c>
      <c r="BY855" t="s">
        <v>1</v>
      </c>
      <c r="BZ855" t="s">
        <v>1</v>
      </c>
      <c r="CA855" t="s">
        <v>1</v>
      </c>
      <c r="CB855" t="s">
        <v>1</v>
      </c>
      <c r="CD855" t="e" cm="1">
        <f t="array" aca="1" ref="CD855" ca="1">eConcatenar(A855:CB855,"|")</f>
        <v>#NAME?</v>
      </c>
    </row>
    <row r="856" spans="1:82" x14ac:dyDescent="0.25">
      <c r="A856" t="s">
        <v>951</v>
      </c>
      <c r="B856" t="s">
        <v>1969</v>
      </c>
      <c r="C856">
        <v>3</v>
      </c>
      <c r="D856" t="s">
        <v>2153</v>
      </c>
      <c r="E856" t="s">
        <v>2158</v>
      </c>
      <c r="F856" t="s">
        <v>0</v>
      </c>
      <c r="G856" t="s">
        <v>2635</v>
      </c>
      <c r="H856" t="s">
        <v>2842</v>
      </c>
      <c r="I856">
        <v>14800</v>
      </c>
      <c r="J856">
        <v>0</v>
      </c>
      <c r="K856">
        <v>50</v>
      </c>
      <c r="L856">
        <v>50</v>
      </c>
      <c r="M856">
        <v>1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 t="s">
        <v>3310</v>
      </c>
      <c r="AC856" t="s">
        <v>3980</v>
      </c>
      <c r="AD856" t="s">
        <v>3981</v>
      </c>
      <c r="AE856" t="s">
        <v>4</v>
      </c>
      <c r="AF856" t="s">
        <v>1</v>
      </c>
      <c r="AG856" t="s">
        <v>1</v>
      </c>
      <c r="AH856" t="s">
        <v>4698</v>
      </c>
      <c r="AI856" t="s">
        <v>2635</v>
      </c>
      <c r="AJ856" t="s">
        <v>1</v>
      </c>
      <c r="AK856">
        <v>9371669390</v>
      </c>
      <c r="AL856" t="s">
        <v>1</v>
      </c>
      <c r="AM856" t="s">
        <v>1</v>
      </c>
      <c r="AN856" t="s">
        <v>1</v>
      </c>
      <c r="AO856" t="s">
        <v>4698</v>
      </c>
      <c r="AP856" t="s">
        <v>1</v>
      </c>
      <c r="AQ856" t="s">
        <v>2</v>
      </c>
      <c r="AR856" t="s">
        <v>1</v>
      </c>
      <c r="AS856" t="s">
        <v>1</v>
      </c>
      <c r="AT856" t="s">
        <v>1</v>
      </c>
      <c r="AU856" t="s">
        <v>1</v>
      </c>
      <c r="AV856" t="s">
        <v>1</v>
      </c>
      <c r="AW856" t="s">
        <v>9</v>
      </c>
      <c r="AX856">
        <f>Tabla1[[#This Row],[precio del paquete]]-Tabla1[[#This Row],[Saldo_Deudor]]</f>
        <v>1050</v>
      </c>
      <c r="AY856">
        <v>13750</v>
      </c>
      <c r="AZ856">
        <v>0</v>
      </c>
      <c r="BA856">
        <v>0</v>
      </c>
      <c r="BB856">
        <v>0</v>
      </c>
      <c r="BC856" t="s">
        <v>4847</v>
      </c>
      <c r="BD856" t="s">
        <v>4826</v>
      </c>
      <c r="BE856" t="s">
        <v>3</v>
      </c>
      <c r="BF856" t="s">
        <v>3</v>
      </c>
      <c r="BG856" t="s">
        <v>3</v>
      </c>
      <c r="BH856" t="s">
        <v>3</v>
      </c>
      <c r="BI856" t="s">
        <v>3</v>
      </c>
      <c r="BJ856" t="s">
        <v>4997</v>
      </c>
      <c r="BK856" t="s">
        <v>3</v>
      </c>
      <c r="BL856" t="s">
        <v>96</v>
      </c>
      <c r="BM856" t="s">
        <v>1</v>
      </c>
      <c r="BN856">
        <v>14800</v>
      </c>
      <c r="BO856" t="s">
        <v>1</v>
      </c>
      <c r="BP856" t="s">
        <v>1</v>
      </c>
      <c r="BQ856" t="s">
        <v>1</v>
      </c>
      <c r="BR856" t="s">
        <v>1</v>
      </c>
      <c r="BS856" t="s">
        <v>1</v>
      </c>
      <c r="BT856" t="s">
        <v>1</v>
      </c>
      <c r="BU856" t="s">
        <v>1</v>
      </c>
      <c r="BV856" t="s">
        <v>1</v>
      </c>
      <c r="BW856" t="s">
        <v>0</v>
      </c>
      <c r="BX856" t="s">
        <v>1</v>
      </c>
      <c r="BY856" t="s">
        <v>1</v>
      </c>
      <c r="BZ856" t="s">
        <v>1</v>
      </c>
      <c r="CA856" t="s">
        <v>1</v>
      </c>
      <c r="CB856" t="s">
        <v>1</v>
      </c>
      <c r="CD856" t="e" cm="1">
        <f t="array" aca="1" ref="CD856" ca="1">eConcatenar(A856:CB856,"|")</f>
        <v>#NAME?</v>
      </c>
    </row>
    <row r="857" spans="1:82" x14ac:dyDescent="0.25">
      <c r="A857" t="s">
        <v>952</v>
      </c>
      <c r="B857" t="s">
        <v>1970</v>
      </c>
      <c r="C857">
        <v>3</v>
      </c>
      <c r="D857" t="s">
        <v>2153</v>
      </c>
      <c r="E857" t="s">
        <v>2158</v>
      </c>
      <c r="F857" t="s">
        <v>0</v>
      </c>
      <c r="G857" t="s">
        <v>2636</v>
      </c>
      <c r="H857" t="s">
        <v>3016</v>
      </c>
      <c r="I857">
        <v>14800</v>
      </c>
      <c r="J857">
        <v>0</v>
      </c>
      <c r="K857">
        <v>400</v>
      </c>
      <c r="L857">
        <v>50</v>
      </c>
      <c r="M857">
        <v>1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 t="s">
        <v>3310</v>
      </c>
      <c r="AC857" t="s">
        <v>3270</v>
      </c>
      <c r="AD857" t="s">
        <v>3982</v>
      </c>
      <c r="AE857" t="s">
        <v>4</v>
      </c>
      <c r="AF857" t="s">
        <v>1</v>
      </c>
      <c r="AG857" t="s">
        <v>1</v>
      </c>
      <c r="AH857" t="s">
        <v>4699</v>
      </c>
      <c r="AI857" t="s">
        <v>2636</v>
      </c>
      <c r="AJ857" t="s">
        <v>1</v>
      </c>
      <c r="AK857">
        <v>9631407022</v>
      </c>
      <c r="AL857" t="s">
        <v>1</v>
      </c>
      <c r="AM857" t="s">
        <v>1</v>
      </c>
      <c r="AN857" t="s">
        <v>1</v>
      </c>
      <c r="AO857" t="s">
        <v>4699</v>
      </c>
      <c r="AP857" t="s">
        <v>1</v>
      </c>
      <c r="AQ857" t="s">
        <v>2</v>
      </c>
      <c r="AR857" t="s">
        <v>1</v>
      </c>
      <c r="AS857" t="s">
        <v>1</v>
      </c>
      <c r="AT857" t="s">
        <v>1</v>
      </c>
      <c r="AU857" t="s">
        <v>1</v>
      </c>
      <c r="AV857" t="s">
        <v>1</v>
      </c>
      <c r="AW857" t="s">
        <v>9</v>
      </c>
      <c r="AX857">
        <f>Tabla1[[#This Row],[precio del paquete]]-Tabla1[[#This Row],[Saldo_Deudor]]</f>
        <v>200</v>
      </c>
      <c r="AY857">
        <v>14600</v>
      </c>
      <c r="AZ857">
        <v>0</v>
      </c>
      <c r="BA857">
        <v>0</v>
      </c>
      <c r="BB857">
        <v>0</v>
      </c>
      <c r="BC857" t="s">
        <v>4880</v>
      </c>
      <c r="BD857" t="s">
        <v>4969</v>
      </c>
      <c r="BE857" t="s">
        <v>3</v>
      </c>
      <c r="BF857" t="s">
        <v>3</v>
      </c>
      <c r="BG857" t="s">
        <v>3</v>
      </c>
      <c r="BH857" t="s">
        <v>3</v>
      </c>
      <c r="BI857" t="s">
        <v>3</v>
      </c>
      <c r="BJ857" t="s">
        <v>5014</v>
      </c>
      <c r="BK857" t="s">
        <v>3</v>
      </c>
      <c r="BL857" t="s">
        <v>96</v>
      </c>
      <c r="BM857" t="s">
        <v>1</v>
      </c>
      <c r="BN857">
        <v>14800</v>
      </c>
      <c r="BO857" t="s">
        <v>1</v>
      </c>
      <c r="BP857" t="s">
        <v>1</v>
      </c>
      <c r="BQ857" t="s">
        <v>1</v>
      </c>
      <c r="BR857" t="s">
        <v>1</v>
      </c>
      <c r="BS857" t="s">
        <v>1</v>
      </c>
      <c r="BT857" t="s">
        <v>1</v>
      </c>
      <c r="BU857" t="s">
        <v>1</v>
      </c>
      <c r="BV857" t="s">
        <v>1</v>
      </c>
      <c r="BW857" t="s">
        <v>0</v>
      </c>
      <c r="BX857" t="s">
        <v>1</v>
      </c>
      <c r="BY857" t="s">
        <v>1</v>
      </c>
      <c r="BZ857" t="s">
        <v>1</v>
      </c>
      <c r="CA857" t="s">
        <v>1</v>
      </c>
      <c r="CB857" t="s">
        <v>1</v>
      </c>
      <c r="CD857" t="e" cm="1">
        <f t="array" aca="1" ref="CD857" ca="1">eConcatenar(A857:CB857,"|")</f>
        <v>#NAME?</v>
      </c>
    </row>
    <row r="858" spans="1:82" x14ac:dyDescent="0.25">
      <c r="A858" t="s">
        <v>953</v>
      </c>
      <c r="B858" t="s">
        <v>1971</v>
      </c>
      <c r="C858">
        <v>3</v>
      </c>
      <c r="D858" t="s">
        <v>2153</v>
      </c>
      <c r="E858" t="s">
        <v>2158</v>
      </c>
      <c r="F858" t="s">
        <v>0</v>
      </c>
      <c r="G858" t="s">
        <v>2636</v>
      </c>
      <c r="H858" t="s">
        <v>2756</v>
      </c>
      <c r="I858">
        <v>14800</v>
      </c>
      <c r="J858">
        <v>0</v>
      </c>
      <c r="K858">
        <v>100</v>
      </c>
      <c r="L858">
        <v>50</v>
      </c>
      <c r="M858">
        <v>1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 t="s">
        <v>6</v>
      </c>
      <c r="AC858" t="s">
        <v>3214</v>
      </c>
      <c r="AD858" t="s">
        <v>3403</v>
      </c>
      <c r="AE858" t="s">
        <v>4</v>
      </c>
      <c r="AF858" t="s">
        <v>1</v>
      </c>
      <c r="AG858" t="s">
        <v>1</v>
      </c>
      <c r="AH858" t="s">
        <v>4700</v>
      </c>
      <c r="AI858" t="s">
        <v>2636</v>
      </c>
      <c r="AJ858" t="s">
        <v>1</v>
      </c>
      <c r="AK858">
        <v>9371554061</v>
      </c>
      <c r="AL858" t="s">
        <v>1</v>
      </c>
      <c r="AM858" t="s">
        <v>1</v>
      </c>
      <c r="AN858" t="s">
        <v>1</v>
      </c>
      <c r="AO858" t="s">
        <v>4700</v>
      </c>
      <c r="AP858" t="s">
        <v>1</v>
      </c>
      <c r="AQ858" t="s">
        <v>2</v>
      </c>
      <c r="AR858" t="s">
        <v>1</v>
      </c>
      <c r="AS858" t="s">
        <v>1</v>
      </c>
      <c r="AT858" t="s">
        <v>1</v>
      </c>
      <c r="AU858" t="s">
        <v>1</v>
      </c>
      <c r="AV858" t="s">
        <v>1</v>
      </c>
      <c r="AW858" t="s">
        <v>9</v>
      </c>
      <c r="AX858">
        <f>Tabla1[[#This Row],[precio del paquete]]-Tabla1[[#This Row],[Saldo_Deudor]]</f>
        <v>900</v>
      </c>
      <c r="AY858">
        <v>13900</v>
      </c>
      <c r="AZ858">
        <v>0</v>
      </c>
      <c r="BA858">
        <v>0</v>
      </c>
      <c r="BB858">
        <v>0</v>
      </c>
      <c r="BC858" t="s">
        <v>4880</v>
      </c>
      <c r="BD858" t="s">
        <v>4969</v>
      </c>
      <c r="BE858" t="s">
        <v>3</v>
      </c>
      <c r="BF858" t="s">
        <v>3</v>
      </c>
      <c r="BG858" t="s">
        <v>3</v>
      </c>
      <c r="BH858" t="s">
        <v>3</v>
      </c>
      <c r="BI858" t="s">
        <v>3</v>
      </c>
      <c r="BJ858" t="s">
        <v>5014</v>
      </c>
      <c r="BK858" t="s">
        <v>3</v>
      </c>
      <c r="BL858" t="s">
        <v>96</v>
      </c>
      <c r="BM858" t="s">
        <v>1</v>
      </c>
      <c r="BN858">
        <v>14800</v>
      </c>
      <c r="BO858" t="s">
        <v>1</v>
      </c>
      <c r="BP858" t="s">
        <v>1</v>
      </c>
      <c r="BQ858" t="s">
        <v>1</v>
      </c>
      <c r="BR858" t="s">
        <v>1</v>
      </c>
      <c r="BS858" t="s">
        <v>1</v>
      </c>
      <c r="BT858" t="s">
        <v>1</v>
      </c>
      <c r="BU858" t="s">
        <v>1</v>
      </c>
      <c r="BV858" t="s">
        <v>1</v>
      </c>
      <c r="BW858" t="s">
        <v>0</v>
      </c>
      <c r="BX858" t="s">
        <v>1</v>
      </c>
      <c r="BY858" t="s">
        <v>1</v>
      </c>
      <c r="BZ858" t="s">
        <v>1</v>
      </c>
      <c r="CA858" t="s">
        <v>1</v>
      </c>
      <c r="CB858" t="s">
        <v>1</v>
      </c>
      <c r="CD858" t="e" cm="1">
        <f t="array" aca="1" ref="CD858" ca="1">eConcatenar(A858:CB858,"|")</f>
        <v>#NAME?</v>
      </c>
    </row>
    <row r="859" spans="1:82" x14ac:dyDescent="0.25">
      <c r="A859" t="s">
        <v>954</v>
      </c>
      <c r="B859" t="s">
        <v>1972</v>
      </c>
      <c r="C859">
        <v>3</v>
      </c>
      <c r="D859" t="s">
        <v>2153</v>
      </c>
      <c r="E859" t="s">
        <v>2158</v>
      </c>
      <c r="F859" t="s">
        <v>0</v>
      </c>
      <c r="G859" t="s">
        <v>2636</v>
      </c>
      <c r="H859" t="s">
        <v>2916</v>
      </c>
      <c r="I859">
        <v>14800</v>
      </c>
      <c r="J859">
        <v>0</v>
      </c>
      <c r="K859">
        <v>500</v>
      </c>
      <c r="L859">
        <v>50</v>
      </c>
      <c r="M859">
        <v>1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 t="s">
        <v>3114</v>
      </c>
      <c r="AC859" t="s">
        <v>3132</v>
      </c>
      <c r="AD859" t="s">
        <v>3309</v>
      </c>
      <c r="AE859" t="s">
        <v>4</v>
      </c>
      <c r="AF859" t="s">
        <v>1</v>
      </c>
      <c r="AG859" t="s">
        <v>1</v>
      </c>
      <c r="AH859" t="s">
        <v>4701</v>
      </c>
      <c r="AI859" t="s">
        <v>2636</v>
      </c>
      <c r="AJ859" t="s">
        <v>1</v>
      </c>
      <c r="AK859">
        <v>9371539686</v>
      </c>
      <c r="AL859" t="s">
        <v>1</v>
      </c>
      <c r="AM859" t="s">
        <v>1</v>
      </c>
      <c r="AN859" t="s">
        <v>1</v>
      </c>
      <c r="AO859" t="s">
        <v>4701</v>
      </c>
      <c r="AP859" t="s">
        <v>1</v>
      </c>
      <c r="AQ859" t="s">
        <v>2</v>
      </c>
      <c r="AR859" t="s">
        <v>1</v>
      </c>
      <c r="AS859" t="s">
        <v>1</v>
      </c>
      <c r="AT859" t="s">
        <v>1</v>
      </c>
      <c r="AU859" t="s">
        <v>1</v>
      </c>
      <c r="AV859" t="s">
        <v>1</v>
      </c>
      <c r="AW859" t="s">
        <v>9</v>
      </c>
      <c r="AX859">
        <f>Tabla1[[#This Row],[precio del paquete]]-Tabla1[[#This Row],[Saldo_Deudor]]</f>
        <v>800</v>
      </c>
      <c r="AY859">
        <v>14000</v>
      </c>
      <c r="AZ859">
        <v>0</v>
      </c>
      <c r="BA859">
        <v>0</v>
      </c>
      <c r="BB859">
        <v>0</v>
      </c>
      <c r="BC859" t="s">
        <v>4880</v>
      </c>
      <c r="BD859" t="s">
        <v>4969</v>
      </c>
      <c r="BE859" t="s">
        <v>3</v>
      </c>
      <c r="BF859" t="s">
        <v>3</v>
      </c>
      <c r="BG859" t="s">
        <v>3</v>
      </c>
      <c r="BH859" t="s">
        <v>3</v>
      </c>
      <c r="BI859" t="s">
        <v>3</v>
      </c>
      <c r="BJ859" t="s">
        <v>5014</v>
      </c>
      <c r="BK859" t="s">
        <v>3</v>
      </c>
      <c r="BL859" t="s">
        <v>96</v>
      </c>
      <c r="BM859" t="s">
        <v>1</v>
      </c>
      <c r="BN859">
        <v>14800</v>
      </c>
      <c r="BO859" t="s">
        <v>1</v>
      </c>
      <c r="BP859" t="s">
        <v>1</v>
      </c>
      <c r="BQ859" t="s">
        <v>1</v>
      </c>
      <c r="BR859" t="s">
        <v>1</v>
      </c>
      <c r="BS859" t="s">
        <v>1</v>
      </c>
      <c r="BT859" t="s">
        <v>1</v>
      </c>
      <c r="BU859" t="s">
        <v>1</v>
      </c>
      <c r="BV859" t="s">
        <v>1</v>
      </c>
      <c r="BW859" t="s">
        <v>0</v>
      </c>
      <c r="BX859" t="s">
        <v>1</v>
      </c>
      <c r="BY859" t="s">
        <v>1</v>
      </c>
      <c r="BZ859" t="s">
        <v>1</v>
      </c>
      <c r="CA859" t="s">
        <v>1</v>
      </c>
      <c r="CB859" t="s">
        <v>1</v>
      </c>
      <c r="CD859" t="e" cm="1">
        <f t="array" aca="1" ref="CD859" ca="1">eConcatenar(A859:CB859,"|")</f>
        <v>#NAME?</v>
      </c>
    </row>
    <row r="860" spans="1:82" x14ac:dyDescent="0.25">
      <c r="A860" t="s">
        <v>955</v>
      </c>
      <c r="B860" t="s">
        <v>1973</v>
      </c>
      <c r="C860">
        <v>3</v>
      </c>
      <c r="D860" t="s">
        <v>2154</v>
      </c>
      <c r="E860" t="s">
        <v>2158</v>
      </c>
      <c r="F860" t="s">
        <v>0</v>
      </c>
      <c r="G860" t="s">
        <v>2636</v>
      </c>
      <c r="H860" t="s">
        <v>2916</v>
      </c>
      <c r="I860">
        <v>24500</v>
      </c>
      <c r="J860">
        <v>0</v>
      </c>
      <c r="K860">
        <v>200</v>
      </c>
      <c r="L860">
        <v>50</v>
      </c>
      <c r="M860">
        <v>1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 t="s">
        <v>3132</v>
      </c>
      <c r="AC860" t="s">
        <v>3727</v>
      </c>
      <c r="AD860" t="s">
        <v>3983</v>
      </c>
      <c r="AE860" t="s">
        <v>4</v>
      </c>
      <c r="AF860" t="s">
        <v>1</v>
      </c>
      <c r="AG860" t="s">
        <v>1</v>
      </c>
      <c r="AH860" t="s">
        <v>4702</v>
      </c>
      <c r="AI860" t="s">
        <v>2636</v>
      </c>
      <c r="AJ860" t="s">
        <v>1</v>
      </c>
      <c r="AK860">
        <v>9371892995</v>
      </c>
      <c r="AL860" t="s">
        <v>1</v>
      </c>
      <c r="AM860" t="s">
        <v>1</v>
      </c>
      <c r="AN860" t="s">
        <v>1</v>
      </c>
      <c r="AO860" t="s">
        <v>4702</v>
      </c>
      <c r="AP860" t="s">
        <v>1</v>
      </c>
      <c r="AQ860" t="s">
        <v>2</v>
      </c>
      <c r="AR860" t="s">
        <v>1</v>
      </c>
      <c r="AS860" t="s">
        <v>1</v>
      </c>
      <c r="AT860" t="s">
        <v>1</v>
      </c>
      <c r="AU860" t="s">
        <v>1</v>
      </c>
      <c r="AV860" t="s">
        <v>1</v>
      </c>
      <c r="AW860" t="s">
        <v>9</v>
      </c>
      <c r="AX860">
        <f>Tabla1[[#This Row],[precio del paquete]]-Tabla1[[#This Row],[Saldo_Deudor]]</f>
        <v>600</v>
      </c>
      <c r="AY860">
        <v>23900</v>
      </c>
      <c r="AZ860">
        <v>0</v>
      </c>
      <c r="BA860">
        <v>0</v>
      </c>
      <c r="BB860">
        <v>0</v>
      </c>
      <c r="BC860" t="s">
        <v>4880</v>
      </c>
      <c r="BD860" t="s">
        <v>4969</v>
      </c>
      <c r="BE860" t="s">
        <v>3</v>
      </c>
      <c r="BF860" t="s">
        <v>3</v>
      </c>
      <c r="BG860" t="s">
        <v>3</v>
      </c>
      <c r="BH860" t="s">
        <v>3</v>
      </c>
      <c r="BI860" t="s">
        <v>3</v>
      </c>
      <c r="BJ860" t="s">
        <v>5014</v>
      </c>
      <c r="BK860" t="s">
        <v>3</v>
      </c>
      <c r="BL860" t="s">
        <v>96</v>
      </c>
      <c r="BM860" t="s">
        <v>1</v>
      </c>
      <c r="BN860">
        <v>24500</v>
      </c>
      <c r="BO860" t="s">
        <v>1</v>
      </c>
      <c r="BP860" t="s">
        <v>1</v>
      </c>
      <c r="BQ860" t="s">
        <v>1</v>
      </c>
      <c r="BR860" t="s">
        <v>1</v>
      </c>
      <c r="BS860" t="s">
        <v>1</v>
      </c>
      <c r="BT860" t="s">
        <v>1</v>
      </c>
      <c r="BU860" t="s">
        <v>1</v>
      </c>
      <c r="BV860" t="s">
        <v>1</v>
      </c>
      <c r="BW860" t="s">
        <v>0</v>
      </c>
      <c r="BX860" t="s">
        <v>1</v>
      </c>
      <c r="BY860" t="s">
        <v>1</v>
      </c>
      <c r="BZ860" t="s">
        <v>1</v>
      </c>
      <c r="CA860" t="s">
        <v>1</v>
      </c>
      <c r="CB860" t="s">
        <v>1</v>
      </c>
      <c r="CD860" t="e" cm="1">
        <f t="array" aca="1" ref="CD860" ca="1">eConcatenar(A860:CB860,"|")</f>
        <v>#NAME?</v>
      </c>
    </row>
    <row r="861" spans="1:82" x14ac:dyDescent="0.25">
      <c r="A861" t="s">
        <v>956</v>
      </c>
      <c r="B861" t="s">
        <v>1974</v>
      </c>
      <c r="C861">
        <v>3</v>
      </c>
      <c r="D861" t="s">
        <v>2153</v>
      </c>
      <c r="E861" t="s">
        <v>2158</v>
      </c>
      <c r="F861" t="s">
        <v>0</v>
      </c>
      <c r="G861" t="s">
        <v>2636</v>
      </c>
      <c r="H861" t="s">
        <v>3016</v>
      </c>
      <c r="I861">
        <v>14800</v>
      </c>
      <c r="J861">
        <v>0</v>
      </c>
      <c r="K861">
        <v>50</v>
      </c>
      <c r="L861">
        <v>50</v>
      </c>
      <c r="M861">
        <v>1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 t="s">
        <v>3155</v>
      </c>
      <c r="AC861" t="s">
        <v>3132</v>
      </c>
      <c r="AD861" t="s">
        <v>3642</v>
      </c>
      <c r="AE861" t="s">
        <v>4</v>
      </c>
      <c r="AF861" t="s">
        <v>1</v>
      </c>
      <c r="AG861" t="s">
        <v>1</v>
      </c>
      <c r="AH861" t="s">
        <v>4703</v>
      </c>
      <c r="AI861" t="s">
        <v>2636</v>
      </c>
      <c r="AJ861" t="s">
        <v>1</v>
      </c>
      <c r="AK861">
        <v>9371684373</v>
      </c>
      <c r="AL861" t="s">
        <v>1</v>
      </c>
      <c r="AM861" t="s">
        <v>1</v>
      </c>
      <c r="AN861" t="s">
        <v>1</v>
      </c>
      <c r="AO861" t="s">
        <v>4703</v>
      </c>
      <c r="AP861" t="s">
        <v>1</v>
      </c>
      <c r="AQ861" t="s">
        <v>2</v>
      </c>
      <c r="AR861" t="s">
        <v>1</v>
      </c>
      <c r="AS861" t="s">
        <v>1</v>
      </c>
      <c r="AT861" t="s">
        <v>1</v>
      </c>
      <c r="AU861" t="s">
        <v>1</v>
      </c>
      <c r="AV861" t="s">
        <v>1</v>
      </c>
      <c r="AW861" t="s">
        <v>9</v>
      </c>
      <c r="AX861">
        <f>Tabla1[[#This Row],[precio del paquete]]-Tabla1[[#This Row],[Saldo_Deudor]]</f>
        <v>150</v>
      </c>
      <c r="AY861">
        <v>14650</v>
      </c>
      <c r="AZ861">
        <v>0</v>
      </c>
      <c r="BA861">
        <v>0</v>
      </c>
      <c r="BB861">
        <v>0</v>
      </c>
      <c r="BC861" t="s">
        <v>4880</v>
      </c>
      <c r="BD861" t="s">
        <v>4969</v>
      </c>
      <c r="BE861" t="s">
        <v>3</v>
      </c>
      <c r="BF861" t="s">
        <v>3</v>
      </c>
      <c r="BG861" t="s">
        <v>3</v>
      </c>
      <c r="BH861" t="s">
        <v>3</v>
      </c>
      <c r="BI861" t="s">
        <v>3</v>
      </c>
      <c r="BJ861" t="s">
        <v>5014</v>
      </c>
      <c r="BK861" t="s">
        <v>3</v>
      </c>
      <c r="BL861" t="s">
        <v>96</v>
      </c>
      <c r="BM861" t="s">
        <v>1</v>
      </c>
      <c r="BN861">
        <v>14800</v>
      </c>
      <c r="BO861" t="s">
        <v>1</v>
      </c>
      <c r="BP861" t="s">
        <v>1</v>
      </c>
      <c r="BQ861" t="s">
        <v>1</v>
      </c>
      <c r="BR861" t="s">
        <v>1</v>
      </c>
      <c r="BS861" t="s">
        <v>1</v>
      </c>
      <c r="BT861" t="s">
        <v>1</v>
      </c>
      <c r="BU861" t="s">
        <v>1</v>
      </c>
      <c r="BV861" t="s">
        <v>1</v>
      </c>
      <c r="BW861" t="s">
        <v>0</v>
      </c>
      <c r="BX861" t="s">
        <v>1</v>
      </c>
      <c r="BY861" t="s">
        <v>1</v>
      </c>
      <c r="BZ861" t="s">
        <v>1</v>
      </c>
      <c r="CA861" t="s">
        <v>1</v>
      </c>
      <c r="CB861" t="s">
        <v>1</v>
      </c>
      <c r="CD861" t="e" cm="1">
        <f t="array" aca="1" ref="CD861" ca="1">eConcatenar(A861:CB861,"|")</f>
        <v>#NAME?</v>
      </c>
    </row>
    <row r="862" spans="1:82" x14ac:dyDescent="0.25">
      <c r="A862" t="s">
        <v>957</v>
      </c>
      <c r="B862" t="s">
        <v>1975</v>
      </c>
      <c r="C862">
        <v>3</v>
      </c>
      <c r="D862" t="s">
        <v>2154</v>
      </c>
      <c r="E862" t="s">
        <v>2158</v>
      </c>
      <c r="F862" t="s">
        <v>0</v>
      </c>
      <c r="G862" t="s">
        <v>2637</v>
      </c>
      <c r="H862" t="s">
        <v>3070</v>
      </c>
      <c r="I862">
        <v>24500</v>
      </c>
      <c r="J862">
        <v>0</v>
      </c>
      <c r="K862">
        <v>100</v>
      </c>
      <c r="L862">
        <v>50</v>
      </c>
      <c r="M862">
        <v>1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 t="s">
        <v>3236</v>
      </c>
      <c r="AC862" t="s">
        <v>3177</v>
      </c>
      <c r="AD862" t="s">
        <v>3481</v>
      </c>
      <c r="AE862" t="s">
        <v>4</v>
      </c>
      <c r="AF862" t="s">
        <v>1</v>
      </c>
      <c r="AG862" t="s">
        <v>1</v>
      </c>
      <c r="AH862" t="s">
        <v>4704</v>
      </c>
      <c r="AI862" t="s">
        <v>2637</v>
      </c>
      <c r="AJ862" t="s">
        <v>1</v>
      </c>
      <c r="AK862">
        <v>9372035141</v>
      </c>
      <c r="AL862" t="s">
        <v>1</v>
      </c>
      <c r="AM862" t="s">
        <v>1</v>
      </c>
      <c r="AN862" t="s">
        <v>1</v>
      </c>
      <c r="AO862" t="s">
        <v>4704</v>
      </c>
      <c r="AP862" t="s">
        <v>1</v>
      </c>
      <c r="AQ862" t="s">
        <v>2</v>
      </c>
      <c r="AR862" t="s">
        <v>1</v>
      </c>
      <c r="AS862" t="s">
        <v>1</v>
      </c>
      <c r="AT862" t="s">
        <v>1</v>
      </c>
      <c r="AU862" t="s">
        <v>1</v>
      </c>
      <c r="AV862" t="s">
        <v>1</v>
      </c>
      <c r="AW862" t="s">
        <v>9</v>
      </c>
      <c r="AX862">
        <f>Tabla1[[#This Row],[precio del paquete]]-Tabla1[[#This Row],[Saldo_Deudor]]</f>
        <v>9160</v>
      </c>
      <c r="AY862">
        <v>15340</v>
      </c>
      <c r="AZ862">
        <v>0</v>
      </c>
      <c r="BA862">
        <v>0</v>
      </c>
      <c r="BB862">
        <v>0</v>
      </c>
      <c r="BC862" t="s">
        <v>4827</v>
      </c>
      <c r="BD862" t="s">
        <v>4895</v>
      </c>
      <c r="BE862" t="s">
        <v>3</v>
      </c>
      <c r="BF862" t="s">
        <v>3</v>
      </c>
      <c r="BG862" t="s">
        <v>3</v>
      </c>
      <c r="BH862" t="s">
        <v>3</v>
      </c>
      <c r="BI862" t="s">
        <v>3</v>
      </c>
      <c r="BJ862" t="s">
        <v>5014</v>
      </c>
      <c r="BK862" t="s">
        <v>3</v>
      </c>
      <c r="BL862" t="s">
        <v>96</v>
      </c>
      <c r="BM862" t="s">
        <v>1</v>
      </c>
      <c r="BN862">
        <v>24500</v>
      </c>
      <c r="BO862" t="s">
        <v>1</v>
      </c>
      <c r="BP862" t="s">
        <v>1</v>
      </c>
      <c r="BQ862" t="s">
        <v>1</v>
      </c>
      <c r="BR862" t="s">
        <v>1</v>
      </c>
      <c r="BS862" t="s">
        <v>1</v>
      </c>
      <c r="BT862" t="s">
        <v>1</v>
      </c>
      <c r="BU862" t="s">
        <v>1</v>
      </c>
      <c r="BV862" t="s">
        <v>1</v>
      </c>
      <c r="BW862" t="s">
        <v>0</v>
      </c>
      <c r="BX862" t="s">
        <v>1</v>
      </c>
      <c r="BY862" t="s">
        <v>1</v>
      </c>
      <c r="BZ862" t="s">
        <v>1</v>
      </c>
      <c r="CA862" t="s">
        <v>1</v>
      </c>
      <c r="CB862" t="s">
        <v>1</v>
      </c>
      <c r="CD862" t="e" cm="1">
        <f t="array" aca="1" ref="CD862" ca="1">eConcatenar(A862:CB862,"|")</f>
        <v>#NAME?</v>
      </c>
    </row>
    <row r="863" spans="1:82" x14ac:dyDescent="0.25">
      <c r="A863" t="s">
        <v>958</v>
      </c>
      <c r="B863" t="s">
        <v>1976</v>
      </c>
      <c r="C863">
        <v>3</v>
      </c>
      <c r="D863" t="s">
        <v>2153</v>
      </c>
      <c r="E863" t="s">
        <v>2158</v>
      </c>
      <c r="F863" t="s">
        <v>0</v>
      </c>
      <c r="G863" t="s">
        <v>2636</v>
      </c>
      <c r="H863" t="s">
        <v>2916</v>
      </c>
      <c r="I863">
        <v>14800</v>
      </c>
      <c r="J863">
        <v>0</v>
      </c>
      <c r="K863">
        <v>500</v>
      </c>
      <c r="L863">
        <v>50</v>
      </c>
      <c r="M863">
        <v>1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 t="s">
        <v>3132</v>
      </c>
      <c r="AC863" t="s">
        <v>3189</v>
      </c>
      <c r="AD863" t="s">
        <v>3984</v>
      </c>
      <c r="AE863" t="s">
        <v>4</v>
      </c>
      <c r="AF863" t="s">
        <v>1</v>
      </c>
      <c r="AG863" t="s">
        <v>1</v>
      </c>
      <c r="AH863" t="s">
        <v>4705</v>
      </c>
      <c r="AI863" t="s">
        <v>2636</v>
      </c>
      <c r="AJ863" t="s">
        <v>1</v>
      </c>
      <c r="AK863">
        <v>9841301606</v>
      </c>
      <c r="AL863" t="s">
        <v>1</v>
      </c>
      <c r="AM863" t="s">
        <v>1</v>
      </c>
      <c r="AN863" t="s">
        <v>1</v>
      </c>
      <c r="AO863" t="s">
        <v>4705</v>
      </c>
      <c r="AP863" t="s">
        <v>1</v>
      </c>
      <c r="AQ863" t="s">
        <v>2</v>
      </c>
      <c r="AR863" t="s">
        <v>1</v>
      </c>
      <c r="AS863" t="s">
        <v>1</v>
      </c>
      <c r="AT863" t="s">
        <v>1</v>
      </c>
      <c r="AU863" t="s">
        <v>1</v>
      </c>
      <c r="AV863" t="s">
        <v>1</v>
      </c>
      <c r="AW863" t="s">
        <v>9</v>
      </c>
      <c r="AX863">
        <f>Tabla1[[#This Row],[precio del paquete]]-Tabla1[[#This Row],[Saldo_Deudor]]</f>
        <v>700</v>
      </c>
      <c r="AY863">
        <v>14100</v>
      </c>
      <c r="AZ863">
        <v>0</v>
      </c>
      <c r="BA863">
        <v>0</v>
      </c>
      <c r="BB863">
        <v>0</v>
      </c>
      <c r="BC863" t="s">
        <v>3078</v>
      </c>
      <c r="BD863" t="s">
        <v>4827</v>
      </c>
      <c r="BE863" t="s">
        <v>3</v>
      </c>
      <c r="BF863" t="s">
        <v>3</v>
      </c>
      <c r="BG863" t="s">
        <v>3</v>
      </c>
      <c r="BH863" t="s">
        <v>3</v>
      </c>
      <c r="BI863" t="s">
        <v>3</v>
      </c>
      <c r="BJ863" t="s">
        <v>5014</v>
      </c>
      <c r="BK863" t="s">
        <v>3</v>
      </c>
      <c r="BL863" t="s">
        <v>96</v>
      </c>
      <c r="BM863" t="s">
        <v>1</v>
      </c>
      <c r="BN863">
        <v>14800</v>
      </c>
      <c r="BO863" t="s">
        <v>1</v>
      </c>
      <c r="BP863" t="s">
        <v>1</v>
      </c>
      <c r="BQ863" t="s">
        <v>1</v>
      </c>
      <c r="BR863" t="s">
        <v>1</v>
      </c>
      <c r="BS863" t="s">
        <v>1</v>
      </c>
      <c r="BT863" t="s">
        <v>1</v>
      </c>
      <c r="BU863" t="s">
        <v>1</v>
      </c>
      <c r="BV863" t="s">
        <v>1</v>
      </c>
      <c r="BW863" t="s">
        <v>0</v>
      </c>
      <c r="BX863" t="s">
        <v>1</v>
      </c>
      <c r="BY863" t="s">
        <v>1</v>
      </c>
      <c r="BZ863" t="s">
        <v>1</v>
      </c>
      <c r="CA863" t="s">
        <v>1</v>
      </c>
      <c r="CB863" t="s">
        <v>1</v>
      </c>
      <c r="CD863" t="e" cm="1">
        <f t="array" aca="1" ref="CD863" ca="1">eConcatenar(A863:CB863,"|")</f>
        <v>#NAME?</v>
      </c>
    </row>
    <row r="864" spans="1:82" x14ac:dyDescent="0.25">
      <c r="A864" t="s">
        <v>959</v>
      </c>
      <c r="B864" t="s">
        <v>1977</v>
      </c>
      <c r="C864">
        <v>3</v>
      </c>
      <c r="D864" t="s">
        <v>2153</v>
      </c>
      <c r="E864" t="s">
        <v>2158</v>
      </c>
      <c r="F864" t="s">
        <v>0</v>
      </c>
      <c r="G864" t="s">
        <v>2451</v>
      </c>
      <c r="H864" t="s">
        <v>2796</v>
      </c>
      <c r="I864">
        <v>14800</v>
      </c>
      <c r="J864">
        <v>0</v>
      </c>
      <c r="K864">
        <v>100</v>
      </c>
      <c r="L864">
        <v>50</v>
      </c>
      <c r="M864">
        <v>1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 t="s">
        <v>3155</v>
      </c>
      <c r="AC864" t="s">
        <v>3633</v>
      </c>
      <c r="AD864" t="s">
        <v>3985</v>
      </c>
      <c r="AE864" t="s">
        <v>4</v>
      </c>
      <c r="AF864" t="s">
        <v>1</v>
      </c>
      <c r="AG864" t="s">
        <v>1</v>
      </c>
      <c r="AH864" t="s">
        <v>4706</v>
      </c>
      <c r="AI864" t="s">
        <v>2451</v>
      </c>
      <c r="AJ864" t="s">
        <v>1</v>
      </c>
      <c r="AK864">
        <v>9371697931</v>
      </c>
      <c r="AL864" t="s">
        <v>1</v>
      </c>
      <c r="AM864" t="s">
        <v>1</v>
      </c>
      <c r="AN864" t="s">
        <v>1</v>
      </c>
      <c r="AO864" t="s">
        <v>4706</v>
      </c>
      <c r="AP864" t="s">
        <v>1</v>
      </c>
      <c r="AQ864" t="s">
        <v>2</v>
      </c>
      <c r="AR864" t="s">
        <v>1</v>
      </c>
      <c r="AS864" t="s">
        <v>1</v>
      </c>
      <c r="AT864" t="s">
        <v>1</v>
      </c>
      <c r="AU864" t="s">
        <v>1</v>
      </c>
      <c r="AV864" t="s">
        <v>1</v>
      </c>
      <c r="AW864" t="s">
        <v>9</v>
      </c>
      <c r="AX864">
        <f>Tabla1[[#This Row],[precio del paquete]]-Tabla1[[#This Row],[Saldo_Deudor]]</f>
        <v>350</v>
      </c>
      <c r="AY864">
        <v>14450</v>
      </c>
      <c r="AZ864">
        <v>0</v>
      </c>
      <c r="BA864">
        <v>0</v>
      </c>
      <c r="BB864">
        <v>0</v>
      </c>
      <c r="BC864" t="s">
        <v>2925</v>
      </c>
      <c r="BD864" t="s">
        <v>3078</v>
      </c>
      <c r="BE864" t="s">
        <v>3</v>
      </c>
      <c r="BF864" t="s">
        <v>3</v>
      </c>
      <c r="BG864" t="s">
        <v>3</v>
      </c>
      <c r="BH864" t="s">
        <v>3</v>
      </c>
      <c r="BI864" t="s">
        <v>3</v>
      </c>
      <c r="BJ864" t="s">
        <v>5014</v>
      </c>
      <c r="BK864" t="s">
        <v>3</v>
      </c>
      <c r="BL864" t="s">
        <v>96</v>
      </c>
      <c r="BM864" t="s">
        <v>1</v>
      </c>
      <c r="BN864">
        <v>14800</v>
      </c>
      <c r="BO864" t="s">
        <v>1</v>
      </c>
      <c r="BP864" t="s">
        <v>1</v>
      </c>
      <c r="BQ864" t="s">
        <v>1</v>
      </c>
      <c r="BR864" t="s">
        <v>1</v>
      </c>
      <c r="BS864" t="s">
        <v>1</v>
      </c>
      <c r="BT864" t="s">
        <v>1</v>
      </c>
      <c r="BU864" t="s">
        <v>1</v>
      </c>
      <c r="BV864" t="s">
        <v>1</v>
      </c>
      <c r="BW864" t="s">
        <v>0</v>
      </c>
      <c r="BX864" t="s">
        <v>1</v>
      </c>
      <c r="BY864" t="s">
        <v>1</v>
      </c>
      <c r="BZ864" t="s">
        <v>1</v>
      </c>
      <c r="CA864" t="s">
        <v>1</v>
      </c>
      <c r="CB864" t="s">
        <v>1</v>
      </c>
      <c r="CD864" t="e" cm="1">
        <f t="array" aca="1" ref="CD864" ca="1">eConcatenar(A864:CB864,"|")</f>
        <v>#NAME?</v>
      </c>
    </row>
    <row r="865" spans="1:82" x14ac:dyDescent="0.25">
      <c r="A865" t="s">
        <v>960</v>
      </c>
      <c r="B865" t="s">
        <v>1978</v>
      </c>
      <c r="C865">
        <v>3</v>
      </c>
      <c r="D865" t="s">
        <v>2153</v>
      </c>
      <c r="E865" t="s">
        <v>2158</v>
      </c>
      <c r="F865" t="s">
        <v>0</v>
      </c>
      <c r="G865" t="s">
        <v>2638</v>
      </c>
      <c r="H865" t="s">
        <v>2727</v>
      </c>
      <c r="I865">
        <v>14800</v>
      </c>
      <c r="J865">
        <v>0</v>
      </c>
      <c r="K865">
        <v>200</v>
      </c>
      <c r="L865">
        <v>50</v>
      </c>
      <c r="M865">
        <v>1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 t="s">
        <v>5</v>
      </c>
      <c r="AC865" t="s">
        <v>3290</v>
      </c>
      <c r="AD865" t="s">
        <v>3986</v>
      </c>
      <c r="AE865" t="s">
        <v>4</v>
      </c>
      <c r="AF865" t="s">
        <v>1</v>
      </c>
      <c r="AG865" t="s">
        <v>1</v>
      </c>
      <c r="AH865" t="s">
        <v>4707</v>
      </c>
      <c r="AI865" t="s">
        <v>2638</v>
      </c>
      <c r="AJ865" t="s">
        <v>1</v>
      </c>
      <c r="AK865">
        <v>9371310273</v>
      </c>
      <c r="AL865" t="s">
        <v>1</v>
      </c>
      <c r="AM865" t="s">
        <v>1</v>
      </c>
      <c r="AN865" t="s">
        <v>1</v>
      </c>
      <c r="AO865" t="s">
        <v>4707</v>
      </c>
      <c r="AP865" t="s">
        <v>1</v>
      </c>
      <c r="AQ865" t="s">
        <v>2</v>
      </c>
      <c r="AR865" t="s">
        <v>1</v>
      </c>
      <c r="AS865" t="s">
        <v>1</v>
      </c>
      <c r="AT865" t="s">
        <v>1</v>
      </c>
      <c r="AU865" t="s">
        <v>1</v>
      </c>
      <c r="AV865" t="s">
        <v>1</v>
      </c>
      <c r="AW865" t="s">
        <v>9</v>
      </c>
      <c r="AX865">
        <f>Tabla1[[#This Row],[precio del paquete]]-Tabla1[[#This Row],[Saldo_Deudor]]</f>
        <v>1000</v>
      </c>
      <c r="AY865">
        <v>13800</v>
      </c>
      <c r="AZ865">
        <v>0</v>
      </c>
      <c r="BA865">
        <v>0</v>
      </c>
      <c r="BB865">
        <v>0</v>
      </c>
      <c r="BC865" t="s">
        <v>2906</v>
      </c>
      <c r="BD865" t="s">
        <v>4898</v>
      </c>
      <c r="BE865" t="s">
        <v>3</v>
      </c>
      <c r="BF865" t="s">
        <v>3</v>
      </c>
      <c r="BG865" t="s">
        <v>3</v>
      </c>
      <c r="BH865" t="s">
        <v>3</v>
      </c>
      <c r="BI865" t="s">
        <v>3</v>
      </c>
      <c r="BJ865" t="s">
        <v>5014</v>
      </c>
      <c r="BK865" t="s">
        <v>3</v>
      </c>
      <c r="BL865" t="s">
        <v>96</v>
      </c>
      <c r="BM865" t="s">
        <v>1</v>
      </c>
      <c r="BN865">
        <v>14800</v>
      </c>
      <c r="BO865" t="s">
        <v>1</v>
      </c>
      <c r="BP865" t="s">
        <v>1</v>
      </c>
      <c r="BQ865" t="s">
        <v>1</v>
      </c>
      <c r="BR865" t="s">
        <v>1</v>
      </c>
      <c r="BS865" t="s">
        <v>1</v>
      </c>
      <c r="BT865" t="s">
        <v>1</v>
      </c>
      <c r="BU865" t="s">
        <v>1</v>
      </c>
      <c r="BV865" t="s">
        <v>1</v>
      </c>
      <c r="BW865" t="s">
        <v>0</v>
      </c>
      <c r="BX865" t="s">
        <v>1</v>
      </c>
      <c r="BY865" t="s">
        <v>1</v>
      </c>
      <c r="BZ865" t="s">
        <v>1</v>
      </c>
      <c r="CA865" t="s">
        <v>1</v>
      </c>
      <c r="CB865" t="s">
        <v>1</v>
      </c>
      <c r="CD865" t="e" cm="1">
        <f t="array" aca="1" ref="CD865" ca="1">eConcatenar(A865:CB865,"|")</f>
        <v>#NAME?</v>
      </c>
    </row>
    <row r="866" spans="1:82" x14ac:dyDescent="0.25">
      <c r="A866" t="s">
        <v>961</v>
      </c>
      <c r="B866" t="s">
        <v>1979</v>
      </c>
      <c r="C866">
        <v>3</v>
      </c>
      <c r="D866" t="s">
        <v>2153</v>
      </c>
      <c r="E866" t="s">
        <v>2158</v>
      </c>
      <c r="F866" t="s">
        <v>0</v>
      </c>
      <c r="G866" t="s">
        <v>2639</v>
      </c>
      <c r="H866" t="s">
        <v>3071</v>
      </c>
      <c r="I866">
        <v>14800</v>
      </c>
      <c r="J866">
        <v>0</v>
      </c>
      <c r="K866">
        <v>100</v>
      </c>
      <c r="L866">
        <v>50</v>
      </c>
      <c r="M866">
        <v>1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 t="s">
        <v>3193</v>
      </c>
      <c r="AC866" t="s">
        <v>3362</v>
      </c>
      <c r="AD866" t="s">
        <v>3987</v>
      </c>
      <c r="AE866" t="s">
        <v>4</v>
      </c>
      <c r="AF866" t="s">
        <v>1</v>
      </c>
      <c r="AG866" t="s">
        <v>1</v>
      </c>
      <c r="AH866" t="s">
        <v>4708</v>
      </c>
      <c r="AI866" t="s">
        <v>2639</v>
      </c>
      <c r="AJ866" t="s">
        <v>1</v>
      </c>
      <c r="AK866">
        <v>9371239640</v>
      </c>
      <c r="AL866" t="s">
        <v>1</v>
      </c>
      <c r="AM866" t="s">
        <v>1</v>
      </c>
      <c r="AN866" t="s">
        <v>1</v>
      </c>
      <c r="AO866" t="s">
        <v>4708</v>
      </c>
      <c r="AP866" t="s">
        <v>1</v>
      </c>
      <c r="AQ866" t="s">
        <v>2</v>
      </c>
      <c r="AR866" t="s">
        <v>1</v>
      </c>
      <c r="AS866" t="s">
        <v>1</v>
      </c>
      <c r="AT866" t="s">
        <v>1</v>
      </c>
      <c r="AU866" t="s">
        <v>1</v>
      </c>
      <c r="AV866" t="s">
        <v>1</v>
      </c>
      <c r="AW866" t="s">
        <v>9</v>
      </c>
      <c r="AX866">
        <f>Tabla1[[#This Row],[precio del paquete]]-Tabla1[[#This Row],[Saldo_Deudor]]</f>
        <v>2300</v>
      </c>
      <c r="AY866">
        <v>12500</v>
      </c>
      <c r="AZ866">
        <v>0</v>
      </c>
      <c r="BA866">
        <v>0</v>
      </c>
      <c r="BB866">
        <v>0</v>
      </c>
      <c r="BC866" t="s">
        <v>4847</v>
      </c>
      <c r="BD866" t="s">
        <v>4826</v>
      </c>
      <c r="BE866" t="s">
        <v>3</v>
      </c>
      <c r="BF866" t="s">
        <v>3</v>
      </c>
      <c r="BG866" t="s">
        <v>3</v>
      </c>
      <c r="BH866" t="s">
        <v>3</v>
      </c>
      <c r="BI866" t="s">
        <v>3</v>
      </c>
      <c r="BJ866" t="s">
        <v>5014</v>
      </c>
      <c r="BK866" t="s">
        <v>3</v>
      </c>
      <c r="BL866" t="s">
        <v>96</v>
      </c>
      <c r="BM866" t="s">
        <v>1</v>
      </c>
      <c r="BN866">
        <v>14800</v>
      </c>
      <c r="BO866" t="s">
        <v>1</v>
      </c>
      <c r="BP866" t="s">
        <v>1</v>
      </c>
      <c r="BQ866" t="s">
        <v>1</v>
      </c>
      <c r="BR866" t="s">
        <v>1</v>
      </c>
      <c r="BS866" t="s">
        <v>1</v>
      </c>
      <c r="BT866" t="s">
        <v>1</v>
      </c>
      <c r="BU866" t="s">
        <v>1</v>
      </c>
      <c r="BV866" t="s">
        <v>1</v>
      </c>
      <c r="BW866" t="s">
        <v>0</v>
      </c>
      <c r="BX866" t="s">
        <v>1</v>
      </c>
      <c r="BY866" t="s">
        <v>1</v>
      </c>
      <c r="BZ866" t="s">
        <v>1</v>
      </c>
      <c r="CA866" t="s">
        <v>1</v>
      </c>
      <c r="CB866" t="s">
        <v>1</v>
      </c>
      <c r="CD866" t="e" cm="1">
        <f t="array" aca="1" ref="CD866" ca="1">eConcatenar(A866:CB866,"|")</f>
        <v>#NAME?</v>
      </c>
    </row>
    <row r="867" spans="1:82" x14ac:dyDescent="0.25">
      <c r="A867" t="s">
        <v>962</v>
      </c>
      <c r="B867" t="s">
        <v>1980</v>
      </c>
      <c r="C867">
        <v>3</v>
      </c>
      <c r="D867" t="s">
        <v>2153</v>
      </c>
      <c r="E867" t="s">
        <v>2158</v>
      </c>
      <c r="F867" t="s">
        <v>2160</v>
      </c>
      <c r="G867" t="s">
        <v>2338</v>
      </c>
      <c r="H867" t="s">
        <v>2773</v>
      </c>
      <c r="I867">
        <v>14800</v>
      </c>
      <c r="J867">
        <v>0</v>
      </c>
      <c r="K867">
        <v>100</v>
      </c>
      <c r="L867">
        <v>50</v>
      </c>
      <c r="M867">
        <v>1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 t="s">
        <v>5</v>
      </c>
      <c r="AC867" t="s">
        <v>3290</v>
      </c>
      <c r="AD867" t="s">
        <v>3610</v>
      </c>
      <c r="AE867" t="s">
        <v>4</v>
      </c>
      <c r="AF867" t="s">
        <v>1</v>
      </c>
      <c r="AG867" t="s">
        <v>1</v>
      </c>
      <c r="AH867" t="s">
        <v>4709</v>
      </c>
      <c r="AI867" t="s">
        <v>2338</v>
      </c>
      <c r="AJ867" t="s">
        <v>1</v>
      </c>
      <c r="AK867">
        <v>9372280007</v>
      </c>
      <c r="AL867" t="s">
        <v>1</v>
      </c>
      <c r="AM867" t="s">
        <v>1</v>
      </c>
      <c r="AN867" t="s">
        <v>1</v>
      </c>
      <c r="AO867" t="s">
        <v>4709</v>
      </c>
      <c r="AP867" t="s">
        <v>1</v>
      </c>
      <c r="AQ867" t="s">
        <v>2</v>
      </c>
      <c r="AR867" t="s">
        <v>1</v>
      </c>
      <c r="AS867" t="s">
        <v>1</v>
      </c>
      <c r="AT867" t="s">
        <v>1</v>
      </c>
      <c r="AU867" t="s">
        <v>1</v>
      </c>
      <c r="AV867" t="s">
        <v>1</v>
      </c>
      <c r="AW867" t="s">
        <v>9</v>
      </c>
      <c r="AX867">
        <f>Tabla1[[#This Row],[precio del paquete]]-Tabla1[[#This Row],[Saldo_Deudor]]</f>
        <v>1900</v>
      </c>
      <c r="AY867">
        <v>12900</v>
      </c>
      <c r="AZ867">
        <v>0</v>
      </c>
      <c r="BA867">
        <v>0</v>
      </c>
      <c r="BB867">
        <v>0</v>
      </c>
      <c r="BC867" t="s">
        <v>4847</v>
      </c>
      <c r="BD867" t="s">
        <v>4826</v>
      </c>
      <c r="BE867" t="s">
        <v>3</v>
      </c>
      <c r="BF867" t="s">
        <v>3</v>
      </c>
      <c r="BG867" t="s">
        <v>3</v>
      </c>
      <c r="BH867" t="s">
        <v>3</v>
      </c>
      <c r="BI867" t="s">
        <v>3</v>
      </c>
      <c r="BJ867" t="s">
        <v>5014</v>
      </c>
      <c r="BK867" t="s">
        <v>3</v>
      </c>
      <c r="BL867" t="s">
        <v>96</v>
      </c>
      <c r="BM867" t="s">
        <v>1</v>
      </c>
      <c r="BN867">
        <v>14800</v>
      </c>
      <c r="BO867" t="s">
        <v>1</v>
      </c>
      <c r="BP867" t="s">
        <v>1</v>
      </c>
      <c r="BQ867" t="s">
        <v>1</v>
      </c>
      <c r="BR867" t="s">
        <v>1</v>
      </c>
      <c r="BS867" t="s">
        <v>1</v>
      </c>
      <c r="BT867" t="s">
        <v>1</v>
      </c>
      <c r="BU867" t="s">
        <v>1</v>
      </c>
      <c r="BV867" t="s">
        <v>1</v>
      </c>
      <c r="BW867" t="s">
        <v>0</v>
      </c>
      <c r="BX867" t="s">
        <v>1</v>
      </c>
      <c r="BY867" t="s">
        <v>1</v>
      </c>
      <c r="BZ867" t="s">
        <v>1</v>
      </c>
      <c r="CA867" t="s">
        <v>1</v>
      </c>
      <c r="CB867" t="s">
        <v>1</v>
      </c>
      <c r="CD867" t="e" cm="1">
        <f t="array" aca="1" ref="CD867" ca="1">eConcatenar(A867:CB867,"|")</f>
        <v>#NAME?</v>
      </c>
    </row>
    <row r="868" spans="1:82" x14ac:dyDescent="0.25">
      <c r="A868" t="s">
        <v>963</v>
      </c>
      <c r="B868" t="s">
        <v>1981</v>
      </c>
      <c r="C868">
        <v>3</v>
      </c>
      <c r="D868" t="s">
        <v>2153</v>
      </c>
      <c r="E868" t="s">
        <v>2158</v>
      </c>
      <c r="F868" t="s">
        <v>2159</v>
      </c>
      <c r="G868" t="s">
        <v>2640</v>
      </c>
      <c r="H868" t="s">
        <v>2737</v>
      </c>
      <c r="I868">
        <v>14800</v>
      </c>
      <c r="J868">
        <v>0</v>
      </c>
      <c r="K868">
        <v>100</v>
      </c>
      <c r="L868">
        <v>50</v>
      </c>
      <c r="M868">
        <v>1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 t="s">
        <v>3217</v>
      </c>
      <c r="AC868" t="s">
        <v>3127</v>
      </c>
      <c r="AD868" t="s">
        <v>3988</v>
      </c>
      <c r="AE868" t="s">
        <v>4</v>
      </c>
      <c r="AF868" t="s">
        <v>1</v>
      </c>
      <c r="AG868" t="s">
        <v>1</v>
      </c>
      <c r="AH868" t="s">
        <v>2207</v>
      </c>
      <c r="AI868" t="s">
        <v>2640</v>
      </c>
      <c r="AJ868" t="s">
        <v>1</v>
      </c>
      <c r="AK868">
        <v>9371719797</v>
      </c>
      <c r="AL868" t="s">
        <v>1</v>
      </c>
      <c r="AM868" t="s">
        <v>1</v>
      </c>
      <c r="AN868" t="s">
        <v>1</v>
      </c>
      <c r="AO868" t="s">
        <v>2207</v>
      </c>
      <c r="AP868" t="s">
        <v>1</v>
      </c>
      <c r="AQ868" t="s">
        <v>2</v>
      </c>
      <c r="AR868" t="s">
        <v>1</v>
      </c>
      <c r="AS868" t="s">
        <v>1</v>
      </c>
      <c r="AT868" t="s">
        <v>1</v>
      </c>
      <c r="AU868" t="s">
        <v>1</v>
      </c>
      <c r="AV868" t="s">
        <v>1</v>
      </c>
      <c r="AW868" t="s">
        <v>9</v>
      </c>
      <c r="AX868">
        <f>Tabla1[[#This Row],[precio del paquete]]-Tabla1[[#This Row],[Saldo_Deudor]]</f>
        <v>1500</v>
      </c>
      <c r="AY868">
        <v>13300</v>
      </c>
      <c r="AZ868">
        <v>0</v>
      </c>
      <c r="BA868">
        <v>0</v>
      </c>
      <c r="BB868">
        <v>0</v>
      </c>
      <c r="BC868" t="s">
        <v>4827</v>
      </c>
      <c r="BD868" t="s">
        <v>4895</v>
      </c>
      <c r="BE868" t="s">
        <v>3</v>
      </c>
      <c r="BF868" t="s">
        <v>3</v>
      </c>
      <c r="BG868" t="s">
        <v>3</v>
      </c>
      <c r="BH868" t="s">
        <v>3</v>
      </c>
      <c r="BI868" t="s">
        <v>3</v>
      </c>
      <c r="BJ868" t="s">
        <v>5014</v>
      </c>
      <c r="BK868" t="s">
        <v>3</v>
      </c>
      <c r="BL868" t="s">
        <v>96</v>
      </c>
      <c r="BM868" t="s">
        <v>1</v>
      </c>
      <c r="BN868">
        <v>14800</v>
      </c>
      <c r="BO868" t="s">
        <v>1</v>
      </c>
      <c r="BP868" t="s">
        <v>1</v>
      </c>
      <c r="BQ868" t="s">
        <v>1</v>
      </c>
      <c r="BR868" t="s">
        <v>1</v>
      </c>
      <c r="BS868" t="s">
        <v>1</v>
      </c>
      <c r="BT868" t="s">
        <v>1</v>
      </c>
      <c r="BU868" t="s">
        <v>1</v>
      </c>
      <c r="BV868" t="s">
        <v>1</v>
      </c>
      <c r="BW868" t="s">
        <v>0</v>
      </c>
      <c r="BX868" t="s">
        <v>1</v>
      </c>
      <c r="BY868" t="s">
        <v>1</v>
      </c>
      <c r="BZ868" t="s">
        <v>1</v>
      </c>
      <c r="CA868" t="s">
        <v>1</v>
      </c>
      <c r="CB868" t="s">
        <v>1</v>
      </c>
      <c r="CD868" t="e" cm="1">
        <f t="array" aca="1" ref="CD868" ca="1">eConcatenar(A868:CB868,"|")</f>
        <v>#NAME?</v>
      </c>
    </row>
    <row r="869" spans="1:82" x14ac:dyDescent="0.25">
      <c r="A869" t="s">
        <v>964</v>
      </c>
      <c r="B869" t="s">
        <v>1982</v>
      </c>
      <c r="C869">
        <v>3</v>
      </c>
      <c r="D869" t="s">
        <v>2154</v>
      </c>
      <c r="E869" t="s">
        <v>2158</v>
      </c>
      <c r="F869" t="s">
        <v>0</v>
      </c>
      <c r="G869" t="s">
        <v>2641</v>
      </c>
      <c r="H869" t="s">
        <v>2809</v>
      </c>
      <c r="I869">
        <v>24500</v>
      </c>
      <c r="J869">
        <v>0</v>
      </c>
      <c r="K869">
        <v>100</v>
      </c>
      <c r="L869">
        <v>50</v>
      </c>
      <c r="M869">
        <v>1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 t="s">
        <v>3186</v>
      </c>
      <c r="AC869" t="s">
        <v>3155</v>
      </c>
      <c r="AD869" t="s">
        <v>3426</v>
      </c>
      <c r="AE869" t="s">
        <v>4</v>
      </c>
      <c r="AF869" t="s">
        <v>1</v>
      </c>
      <c r="AG869" t="s">
        <v>1</v>
      </c>
      <c r="AH869" t="s">
        <v>4710</v>
      </c>
      <c r="AI869" t="s">
        <v>2641</v>
      </c>
      <c r="AJ869" t="s">
        <v>1</v>
      </c>
      <c r="AK869">
        <v>9372305002</v>
      </c>
      <c r="AL869" t="s">
        <v>1</v>
      </c>
      <c r="AM869" t="s">
        <v>1</v>
      </c>
      <c r="AN869" t="s">
        <v>1</v>
      </c>
      <c r="AO869" t="s">
        <v>4710</v>
      </c>
      <c r="AP869" t="s">
        <v>1</v>
      </c>
      <c r="AQ869" t="s">
        <v>2</v>
      </c>
      <c r="AR869" t="s">
        <v>1</v>
      </c>
      <c r="AS869" t="s">
        <v>1</v>
      </c>
      <c r="AT869" t="s">
        <v>1</v>
      </c>
      <c r="AU869" t="s">
        <v>1</v>
      </c>
      <c r="AV869" t="s">
        <v>1</v>
      </c>
      <c r="AW869" t="s">
        <v>9</v>
      </c>
      <c r="AX869">
        <f>Tabla1[[#This Row],[precio del paquete]]-Tabla1[[#This Row],[Saldo_Deudor]]</f>
        <v>1600</v>
      </c>
      <c r="AY869">
        <v>22900</v>
      </c>
      <c r="AZ869">
        <v>0</v>
      </c>
      <c r="BA869">
        <v>0</v>
      </c>
      <c r="BB869">
        <v>0</v>
      </c>
      <c r="BC869" t="s">
        <v>4827</v>
      </c>
      <c r="BD869" t="s">
        <v>4895</v>
      </c>
      <c r="BE869" t="s">
        <v>3</v>
      </c>
      <c r="BF869" t="s">
        <v>3</v>
      </c>
      <c r="BG869" t="s">
        <v>3</v>
      </c>
      <c r="BH869" t="s">
        <v>3</v>
      </c>
      <c r="BI869" t="s">
        <v>3</v>
      </c>
      <c r="BJ869" t="s">
        <v>5014</v>
      </c>
      <c r="BK869" t="s">
        <v>3</v>
      </c>
      <c r="BL869" t="s">
        <v>96</v>
      </c>
      <c r="BM869" t="s">
        <v>1</v>
      </c>
      <c r="BN869">
        <v>24500</v>
      </c>
      <c r="BO869" t="s">
        <v>1</v>
      </c>
      <c r="BP869" t="s">
        <v>1</v>
      </c>
      <c r="BQ869" t="s">
        <v>1</v>
      </c>
      <c r="BR869" t="s">
        <v>1</v>
      </c>
      <c r="BS869" t="s">
        <v>1</v>
      </c>
      <c r="BT869" t="s">
        <v>1</v>
      </c>
      <c r="BU869" t="s">
        <v>1</v>
      </c>
      <c r="BV869" t="s">
        <v>1</v>
      </c>
      <c r="BW869" t="s">
        <v>0</v>
      </c>
      <c r="BX869" t="s">
        <v>1</v>
      </c>
      <c r="BY869" t="s">
        <v>1</v>
      </c>
      <c r="BZ869" t="s">
        <v>1</v>
      </c>
      <c r="CA869" t="s">
        <v>1</v>
      </c>
      <c r="CB869" t="s">
        <v>1</v>
      </c>
      <c r="CD869" t="e" cm="1">
        <f t="array" aca="1" ref="CD869" ca="1">eConcatenar(A869:CB869,"|")</f>
        <v>#NAME?</v>
      </c>
    </row>
    <row r="870" spans="1:82" x14ac:dyDescent="0.25">
      <c r="A870" t="s">
        <v>965</v>
      </c>
      <c r="B870" t="s">
        <v>1983</v>
      </c>
      <c r="C870">
        <v>3</v>
      </c>
      <c r="D870" t="s">
        <v>2153</v>
      </c>
      <c r="E870" t="s">
        <v>2158</v>
      </c>
      <c r="F870" t="s">
        <v>0</v>
      </c>
      <c r="G870" t="s">
        <v>2636</v>
      </c>
      <c r="H870" t="s">
        <v>2724</v>
      </c>
      <c r="I870">
        <v>14800</v>
      </c>
      <c r="J870">
        <v>0</v>
      </c>
      <c r="K870">
        <v>50</v>
      </c>
      <c r="L870">
        <v>50</v>
      </c>
      <c r="M870">
        <v>1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 t="s">
        <v>3310</v>
      </c>
      <c r="AC870" t="s">
        <v>3196</v>
      </c>
      <c r="AD870" t="s">
        <v>3989</v>
      </c>
      <c r="AE870" t="s">
        <v>4</v>
      </c>
      <c r="AF870" t="s">
        <v>1</v>
      </c>
      <c r="AG870" t="s">
        <v>1</v>
      </c>
      <c r="AH870" t="s">
        <v>4711</v>
      </c>
      <c r="AI870" t="s">
        <v>2636</v>
      </c>
      <c r="AJ870" t="s">
        <v>1</v>
      </c>
      <c r="AK870">
        <v>9371709169</v>
      </c>
      <c r="AL870" t="s">
        <v>1</v>
      </c>
      <c r="AM870" t="s">
        <v>1</v>
      </c>
      <c r="AN870" t="s">
        <v>1</v>
      </c>
      <c r="AO870" t="s">
        <v>4711</v>
      </c>
      <c r="AP870" t="s">
        <v>1</v>
      </c>
      <c r="AQ870" t="s">
        <v>2</v>
      </c>
      <c r="AR870" t="s">
        <v>1</v>
      </c>
      <c r="AS870" t="s">
        <v>1</v>
      </c>
      <c r="AT870" t="s">
        <v>1</v>
      </c>
      <c r="AU870" t="s">
        <v>1</v>
      </c>
      <c r="AV870" t="s">
        <v>1</v>
      </c>
      <c r="AW870" t="s">
        <v>9</v>
      </c>
      <c r="AX870">
        <f>Tabla1[[#This Row],[precio del paquete]]-Tabla1[[#This Row],[Saldo_Deudor]]</f>
        <v>850</v>
      </c>
      <c r="AY870">
        <v>13950</v>
      </c>
      <c r="AZ870">
        <v>0</v>
      </c>
      <c r="BA870">
        <v>0</v>
      </c>
      <c r="BB870">
        <v>0</v>
      </c>
      <c r="BC870" t="s">
        <v>4827</v>
      </c>
      <c r="BD870" t="s">
        <v>4895</v>
      </c>
      <c r="BE870" t="s">
        <v>3</v>
      </c>
      <c r="BF870" t="s">
        <v>3</v>
      </c>
      <c r="BG870" t="s">
        <v>3</v>
      </c>
      <c r="BH870" t="s">
        <v>3</v>
      </c>
      <c r="BI870" t="s">
        <v>3</v>
      </c>
      <c r="BJ870" t="s">
        <v>5014</v>
      </c>
      <c r="BK870" t="s">
        <v>3</v>
      </c>
      <c r="BL870" t="s">
        <v>96</v>
      </c>
      <c r="BM870" t="s">
        <v>1</v>
      </c>
      <c r="BN870">
        <v>14800</v>
      </c>
      <c r="BO870" t="s">
        <v>1</v>
      </c>
      <c r="BP870" t="s">
        <v>1</v>
      </c>
      <c r="BQ870" t="s">
        <v>1</v>
      </c>
      <c r="BR870" t="s">
        <v>1</v>
      </c>
      <c r="BS870" t="s">
        <v>1</v>
      </c>
      <c r="BT870" t="s">
        <v>1</v>
      </c>
      <c r="BU870" t="s">
        <v>1</v>
      </c>
      <c r="BV870" t="s">
        <v>1</v>
      </c>
      <c r="BW870" t="s">
        <v>0</v>
      </c>
      <c r="BX870" t="s">
        <v>1</v>
      </c>
      <c r="BY870" t="s">
        <v>1</v>
      </c>
      <c r="BZ870" t="s">
        <v>1</v>
      </c>
      <c r="CA870" t="s">
        <v>1</v>
      </c>
      <c r="CB870" t="s">
        <v>1</v>
      </c>
      <c r="CD870" t="e" cm="1">
        <f t="array" aca="1" ref="CD870" ca="1">eConcatenar(A870:CB870,"|")</f>
        <v>#NAME?</v>
      </c>
    </row>
    <row r="871" spans="1:82" x14ac:dyDescent="0.25">
      <c r="A871" t="s">
        <v>966</v>
      </c>
      <c r="B871" t="s">
        <v>1984</v>
      </c>
      <c r="C871">
        <v>3</v>
      </c>
      <c r="D871" t="s">
        <v>2153</v>
      </c>
      <c r="E871" t="s">
        <v>2158</v>
      </c>
      <c r="F871" t="s">
        <v>0</v>
      </c>
      <c r="G871" t="s">
        <v>2636</v>
      </c>
      <c r="H871" t="s">
        <v>2724</v>
      </c>
      <c r="I871">
        <v>14800</v>
      </c>
      <c r="J871">
        <v>0</v>
      </c>
      <c r="K871">
        <v>200</v>
      </c>
      <c r="L871">
        <v>50</v>
      </c>
      <c r="M871">
        <v>1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 t="s">
        <v>3990</v>
      </c>
      <c r="AC871" t="s">
        <v>3225</v>
      </c>
      <c r="AD871" t="s">
        <v>3991</v>
      </c>
      <c r="AE871" t="s">
        <v>4</v>
      </c>
      <c r="AF871" t="s">
        <v>1</v>
      </c>
      <c r="AG871" t="s">
        <v>1</v>
      </c>
      <c r="AH871" t="s">
        <v>4712</v>
      </c>
      <c r="AI871" t="s">
        <v>2636</v>
      </c>
      <c r="AJ871" t="s">
        <v>1</v>
      </c>
      <c r="AK871">
        <v>9931671767</v>
      </c>
      <c r="AL871" t="s">
        <v>1</v>
      </c>
      <c r="AM871" t="s">
        <v>1</v>
      </c>
      <c r="AN871" t="s">
        <v>1</v>
      </c>
      <c r="AO871" t="s">
        <v>4712</v>
      </c>
      <c r="AP871" t="s">
        <v>1</v>
      </c>
      <c r="AQ871" t="s">
        <v>2</v>
      </c>
      <c r="AR871" t="s">
        <v>1</v>
      </c>
      <c r="AS871" t="s">
        <v>1</v>
      </c>
      <c r="AT871" t="s">
        <v>1</v>
      </c>
      <c r="AU871" t="s">
        <v>1</v>
      </c>
      <c r="AV871" t="s">
        <v>1</v>
      </c>
      <c r="AW871" t="s">
        <v>9</v>
      </c>
      <c r="AX871">
        <f>Tabla1[[#This Row],[precio del paquete]]-Tabla1[[#This Row],[Saldo_Deudor]]</f>
        <v>1200</v>
      </c>
      <c r="AY871">
        <v>13600</v>
      </c>
      <c r="AZ871">
        <v>0</v>
      </c>
      <c r="BA871">
        <v>0</v>
      </c>
      <c r="BB871">
        <v>0</v>
      </c>
      <c r="BC871" t="s">
        <v>4827</v>
      </c>
      <c r="BD871" t="s">
        <v>4895</v>
      </c>
      <c r="BE871" t="s">
        <v>3</v>
      </c>
      <c r="BF871" t="s">
        <v>3</v>
      </c>
      <c r="BG871" t="s">
        <v>3</v>
      </c>
      <c r="BH871" t="s">
        <v>3</v>
      </c>
      <c r="BI871" t="s">
        <v>3</v>
      </c>
      <c r="BJ871" t="s">
        <v>5014</v>
      </c>
      <c r="BK871" t="s">
        <v>3</v>
      </c>
      <c r="BL871" t="s">
        <v>96</v>
      </c>
      <c r="BM871" t="s">
        <v>1</v>
      </c>
      <c r="BN871">
        <v>14800</v>
      </c>
      <c r="BO871" t="s">
        <v>1</v>
      </c>
      <c r="BP871" t="s">
        <v>1</v>
      </c>
      <c r="BQ871" t="s">
        <v>1</v>
      </c>
      <c r="BR871" t="s">
        <v>1</v>
      </c>
      <c r="BS871" t="s">
        <v>1</v>
      </c>
      <c r="BT871" t="s">
        <v>1</v>
      </c>
      <c r="BU871" t="s">
        <v>1</v>
      </c>
      <c r="BV871" t="s">
        <v>1</v>
      </c>
      <c r="BW871" t="s">
        <v>0</v>
      </c>
      <c r="BX871" t="s">
        <v>1</v>
      </c>
      <c r="BY871" t="s">
        <v>1</v>
      </c>
      <c r="BZ871" t="s">
        <v>1</v>
      </c>
      <c r="CA871" t="s">
        <v>1</v>
      </c>
      <c r="CB871" t="s">
        <v>1</v>
      </c>
      <c r="CD871" t="e" cm="1">
        <f t="array" aca="1" ref="CD871" ca="1">eConcatenar(A871:CB871,"|")</f>
        <v>#NAME?</v>
      </c>
    </row>
    <row r="872" spans="1:82" x14ac:dyDescent="0.25">
      <c r="A872" t="s">
        <v>967</v>
      </c>
      <c r="B872" t="s">
        <v>1985</v>
      </c>
      <c r="C872">
        <v>3</v>
      </c>
      <c r="D872" t="s">
        <v>2153</v>
      </c>
      <c r="E872" t="s">
        <v>2158</v>
      </c>
      <c r="F872" t="s">
        <v>0</v>
      </c>
      <c r="G872" t="s">
        <v>2642</v>
      </c>
      <c r="H872" t="s">
        <v>2841</v>
      </c>
      <c r="I872">
        <v>14800</v>
      </c>
      <c r="J872">
        <v>0</v>
      </c>
      <c r="K872">
        <v>500</v>
      </c>
      <c r="L872">
        <v>50</v>
      </c>
      <c r="M872">
        <v>1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 t="s">
        <v>3157</v>
      </c>
      <c r="AC872" t="s">
        <v>3214</v>
      </c>
      <c r="AD872" t="s">
        <v>3992</v>
      </c>
      <c r="AE872" t="s">
        <v>4</v>
      </c>
      <c r="AF872" t="s">
        <v>1</v>
      </c>
      <c r="AG872" t="s">
        <v>1</v>
      </c>
      <c r="AH872" t="s">
        <v>4713</v>
      </c>
      <c r="AI872" t="s">
        <v>2642</v>
      </c>
      <c r="AJ872" t="s">
        <v>1</v>
      </c>
      <c r="AK872">
        <v>9932250972</v>
      </c>
      <c r="AL872" t="s">
        <v>1</v>
      </c>
      <c r="AM872" t="s">
        <v>1</v>
      </c>
      <c r="AN872" t="s">
        <v>1</v>
      </c>
      <c r="AO872" t="s">
        <v>4713</v>
      </c>
      <c r="AP872" t="s">
        <v>1</v>
      </c>
      <c r="AQ872" t="s">
        <v>2</v>
      </c>
      <c r="AR872" t="s">
        <v>1</v>
      </c>
      <c r="AS872" t="s">
        <v>1</v>
      </c>
      <c r="AT872" t="s">
        <v>1</v>
      </c>
      <c r="AU872" t="s">
        <v>1</v>
      </c>
      <c r="AV872" t="s">
        <v>1</v>
      </c>
      <c r="AW872" t="s">
        <v>9</v>
      </c>
      <c r="AX872">
        <f>Tabla1[[#This Row],[precio del paquete]]-Tabla1[[#This Row],[Saldo_Deudor]]</f>
        <v>1900</v>
      </c>
      <c r="AY872">
        <v>12900</v>
      </c>
      <c r="AZ872">
        <v>0</v>
      </c>
      <c r="BA872">
        <v>0</v>
      </c>
      <c r="BB872">
        <v>0</v>
      </c>
      <c r="BC872" t="s">
        <v>4827</v>
      </c>
      <c r="BD872" t="s">
        <v>4895</v>
      </c>
      <c r="BE872" t="s">
        <v>3</v>
      </c>
      <c r="BF872" t="s">
        <v>3</v>
      </c>
      <c r="BG872" t="s">
        <v>3</v>
      </c>
      <c r="BH872" t="s">
        <v>3</v>
      </c>
      <c r="BI872" t="s">
        <v>3</v>
      </c>
      <c r="BJ872" t="s">
        <v>5014</v>
      </c>
      <c r="BK872" t="s">
        <v>3</v>
      </c>
      <c r="BL872" t="s">
        <v>96</v>
      </c>
      <c r="BM872" t="s">
        <v>1</v>
      </c>
      <c r="BN872">
        <v>14800</v>
      </c>
      <c r="BO872" t="s">
        <v>1</v>
      </c>
      <c r="BP872" t="s">
        <v>1</v>
      </c>
      <c r="BQ872" t="s">
        <v>1</v>
      </c>
      <c r="BR872" t="s">
        <v>1</v>
      </c>
      <c r="BS872" t="s">
        <v>1</v>
      </c>
      <c r="BT872" t="s">
        <v>1</v>
      </c>
      <c r="BU872" t="s">
        <v>1</v>
      </c>
      <c r="BV872" t="s">
        <v>1</v>
      </c>
      <c r="BW872" t="s">
        <v>0</v>
      </c>
      <c r="BX872" t="s">
        <v>1</v>
      </c>
      <c r="BY872" t="s">
        <v>1</v>
      </c>
      <c r="BZ872" t="s">
        <v>1</v>
      </c>
      <c r="CA872" t="s">
        <v>1</v>
      </c>
      <c r="CB872" t="s">
        <v>1</v>
      </c>
      <c r="CD872" t="e" cm="1">
        <f t="array" aca="1" ref="CD872" ca="1">eConcatenar(A872:CB872,"|")</f>
        <v>#NAME?</v>
      </c>
    </row>
    <row r="873" spans="1:82" x14ac:dyDescent="0.25">
      <c r="A873" t="s">
        <v>968</v>
      </c>
      <c r="B873" t="s">
        <v>1986</v>
      </c>
      <c r="C873">
        <v>3</v>
      </c>
      <c r="D873" t="s">
        <v>2154</v>
      </c>
      <c r="E873" t="s">
        <v>2158</v>
      </c>
      <c r="F873" t="s">
        <v>0</v>
      </c>
      <c r="G873" t="s">
        <v>2638</v>
      </c>
      <c r="H873" t="s">
        <v>3072</v>
      </c>
      <c r="I873">
        <v>24500</v>
      </c>
      <c r="J873">
        <v>0</v>
      </c>
      <c r="K873">
        <v>200</v>
      </c>
      <c r="L873">
        <v>50</v>
      </c>
      <c r="M873">
        <v>1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 t="s">
        <v>3236</v>
      </c>
      <c r="AC873" t="s">
        <v>3178</v>
      </c>
      <c r="AD873" t="s">
        <v>3735</v>
      </c>
      <c r="AE873" t="s">
        <v>4</v>
      </c>
      <c r="AF873" t="s">
        <v>1</v>
      </c>
      <c r="AG873" t="s">
        <v>1</v>
      </c>
      <c r="AH873" t="s">
        <v>4714</v>
      </c>
      <c r="AI873" t="s">
        <v>2638</v>
      </c>
      <c r="AJ873" t="s">
        <v>1</v>
      </c>
      <c r="AK873">
        <v>9371704282</v>
      </c>
      <c r="AL873" t="s">
        <v>1</v>
      </c>
      <c r="AM873" t="s">
        <v>1</v>
      </c>
      <c r="AN873" t="s">
        <v>1</v>
      </c>
      <c r="AO873" t="s">
        <v>4714</v>
      </c>
      <c r="AP873" t="s">
        <v>1</v>
      </c>
      <c r="AQ873" t="s">
        <v>2</v>
      </c>
      <c r="AR873" t="s">
        <v>1</v>
      </c>
      <c r="AS873" t="s">
        <v>1</v>
      </c>
      <c r="AT873" t="s">
        <v>1</v>
      </c>
      <c r="AU873" t="s">
        <v>1</v>
      </c>
      <c r="AV873" t="s">
        <v>1</v>
      </c>
      <c r="AW873" t="s">
        <v>9</v>
      </c>
      <c r="AX873">
        <f>Tabla1[[#This Row],[precio del paquete]]-Tabla1[[#This Row],[Saldo_Deudor]]</f>
        <v>950</v>
      </c>
      <c r="AY873">
        <v>23550</v>
      </c>
      <c r="AZ873">
        <v>0</v>
      </c>
      <c r="BA873">
        <v>0</v>
      </c>
      <c r="BB873">
        <v>0</v>
      </c>
      <c r="BC873" t="s">
        <v>4827</v>
      </c>
      <c r="BD873" t="s">
        <v>4895</v>
      </c>
      <c r="BE873" t="s">
        <v>3</v>
      </c>
      <c r="BF873" t="s">
        <v>3</v>
      </c>
      <c r="BG873" t="s">
        <v>3</v>
      </c>
      <c r="BH873" t="s">
        <v>3</v>
      </c>
      <c r="BI873" t="s">
        <v>3</v>
      </c>
      <c r="BJ873" t="s">
        <v>5014</v>
      </c>
      <c r="BK873" t="s">
        <v>3</v>
      </c>
      <c r="BL873" t="s">
        <v>96</v>
      </c>
      <c r="BM873" t="s">
        <v>1</v>
      </c>
      <c r="BN873">
        <v>24500</v>
      </c>
      <c r="BO873" t="s">
        <v>1</v>
      </c>
      <c r="BP873" t="s">
        <v>1</v>
      </c>
      <c r="BQ873" t="s">
        <v>1</v>
      </c>
      <c r="BR873" t="s">
        <v>1</v>
      </c>
      <c r="BS873" t="s">
        <v>1</v>
      </c>
      <c r="BT873" t="s">
        <v>1</v>
      </c>
      <c r="BU873" t="s">
        <v>1</v>
      </c>
      <c r="BV873" t="s">
        <v>1</v>
      </c>
      <c r="BW873" t="s">
        <v>0</v>
      </c>
      <c r="BX873" t="s">
        <v>1</v>
      </c>
      <c r="BY873" t="s">
        <v>1</v>
      </c>
      <c r="BZ873" t="s">
        <v>1</v>
      </c>
      <c r="CA873" t="s">
        <v>1</v>
      </c>
      <c r="CB873" t="s">
        <v>1</v>
      </c>
      <c r="CD873" t="e" cm="1">
        <f t="array" aca="1" ref="CD873" ca="1">eConcatenar(A873:CB873,"|")</f>
        <v>#NAME?</v>
      </c>
    </row>
    <row r="874" spans="1:82" x14ac:dyDescent="0.25">
      <c r="A874" t="s">
        <v>969</v>
      </c>
      <c r="B874" t="s">
        <v>1987</v>
      </c>
      <c r="C874">
        <v>3</v>
      </c>
      <c r="D874" t="s">
        <v>2153</v>
      </c>
      <c r="E874" t="s">
        <v>2158</v>
      </c>
      <c r="F874" t="s">
        <v>0</v>
      </c>
      <c r="G874" t="s">
        <v>2643</v>
      </c>
      <c r="H874" t="s">
        <v>3073</v>
      </c>
      <c r="I874">
        <v>14800</v>
      </c>
      <c r="J874">
        <v>0</v>
      </c>
      <c r="K874">
        <v>100</v>
      </c>
      <c r="L874">
        <v>50</v>
      </c>
      <c r="M874">
        <v>1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 t="s">
        <v>3127</v>
      </c>
      <c r="AC874" t="s">
        <v>3127</v>
      </c>
      <c r="AD874" t="s">
        <v>3201</v>
      </c>
      <c r="AE874" t="s">
        <v>4</v>
      </c>
      <c r="AF874" t="s">
        <v>1</v>
      </c>
      <c r="AG874" t="s">
        <v>1</v>
      </c>
      <c r="AH874" t="s">
        <v>4715</v>
      </c>
      <c r="AI874" t="s">
        <v>2643</v>
      </c>
      <c r="AJ874" t="s">
        <v>1</v>
      </c>
      <c r="AK874">
        <v>9371438229</v>
      </c>
      <c r="AL874" t="s">
        <v>1</v>
      </c>
      <c r="AM874" t="s">
        <v>1</v>
      </c>
      <c r="AN874" t="s">
        <v>1</v>
      </c>
      <c r="AO874" t="s">
        <v>4715</v>
      </c>
      <c r="AP874" t="s">
        <v>1</v>
      </c>
      <c r="AQ874" t="s">
        <v>2</v>
      </c>
      <c r="AR874" t="s">
        <v>1</v>
      </c>
      <c r="AS874" t="s">
        <v>1</v>
      </c>
      <c r="AT874" t="s">
        <v>1</v>
      </c>
      <c r="AU874" t="s">
        <v>1</v>
      </c>
      <c r="AV874" t="s">
        <v>1</v>
      </c>
      <c r="AW874" t="s">
        <v>9</v>
      </c>
      <c r="AX874">
        <f>Tabla1[[#This Row],[precio del paquete]]-Tabla1[[#This Row],[Saldo_Deudor]]</f>
        <v>1700</v>
      </c>
      <c r="AY874">
        <v>13100</v>
      </c>
      <c r="AZ874">
        <v>0</v>
      </c>
      <c r="BA874">
        <v>0</v>
      </c>
      <c r="BB874">
        <v>0</v>
      </c>
      <c r="BC874" t="s">
        <v>4880</v>
      </c>
      <c r="BD874" t="s">
        <v>4969</v>
      </c>
      <c r="BE874" t="s">
        <v>3</v>
      </c>
      <c r="BF874" t="s">
        <v>3</v>
      </c>
      <c r="BG874" t="s">
        <v>3</v>
      </c>
      <c r="BH874" t="s">
        <v>3</v>
      </c>
      <c r="BI874" t="s">
        <v>3</v>
      </c>
      <c r="BJ874" t="s">
        <v>5014</v>
      </c>
      <c r="BK874" t="s">
        <v>3</v>
      </c>
      <c r="BL874" t="s">
        <v>96</v>
      </c>
      <c r="BM874" t="s">
        <v>1</v>
      </c>
      <c r="BN874">
        <v>14800</v>
      </c>
      <c r="BO874" t="s">
        <v>1</v>
      </c>
      <c r="BP874" t="s">
        <v>1</v>
      </c>
      <c r="BQ874" t="s">
        <v>1</v>
      </c>
      <c r="BR874" t="s">
        <v>1</v>
      </c>
      <c r="BS874" t="s">
        <v>1</v>
      </c>
      <c r="BT874" t="s">
        <v>1</v>
      </c>
      <c r="BU874" t="s">
        <v>1</v>
      </c>
      <c r="BV874" t="s">
        <v>1</v>
      </c>
      <c r="BW874" t="s">
        <v>0</v>
      </c>
      <c r="BX874" t="s">
        <v>1</v>
      </c>
      <c r="BY874" t="s">
        <v>1</v>
      </c>
      <c r="BZ874" t="s">
        <v>1</v>
      </c>
      <c r="CA874" t="s">
        <v>1</v>
      </c>
      <c r="CB874" t="s">
        <v>1</v>
      </c>
      <c r="CD874" t="e" cm="1">
        <f t="array" aca="1" ref="CD874" ca="1">eConcatenar(A874:CB874,"|")</f>
        <v>#NAME?</v>
      </c>
    </row>
    <row r="875" spans="1:82" x14ac:dyDescent="0.25">
      <c r="A875" t="s">
        <v>970</v>
      </c>
      <c r="B875" t="s">
        <v>1988</v>
      </c>
      <c r="C875">
        <v>3</v>
      </c>
      <c r="D875" t="s">
        <v>2153</v>
      </c>
      <c r="E875" t="s">
        <v>2158</v>
      </c>
      <c r="F875" t="s">
        <v>0</v>
      </c>
      <c r="G875" t="s">
        <v>2583</v>
      </c>
      <c r="H875" t="s">
        <v>3074</v>
      </c>
      <c r="I875">
        <v>14800</v>
      </c>
      <c r="J875">
        <v>0</v>
      </c>
      <c r="K875">
        <v>100</v>
      </c>
      <c r="L875">
        <v>50</v>
      </c>
      <c r="M875">
        <v>1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 t="s">
        <v>6</v>
      </c>
      <c r="AC875" t="s">
        <v>3117</v>
      </c>
      <c r="AD875" t="s">
        <v>3126</v>
      </c>
      <c r="AE875" t="s">
        <v>4</v>
      </c>
      <c r="AF875" t="s">
        <v>1</v>
      </c>
      <c r="AG875" t="s">
        <v>1</v>
      </c>
      <c r="AH875" t="s">
        <v>4716</v>
      </c>
      <c r="AI875" t="s">
        <v>2583</v>
      </c>
      <c r="AJ875" t="s">
        <v>1</v>
      </c>
      <c r="AK875">
        <v>9371180192</v>
      </c>
      <c r="AL875" t="s">
        <v>1</v>
      </c>
      <c r="AM875" t="s">
        <v>1</v>
      </c>
      <c r="AN875" t="s">
        <v>1</v>
      </c>
      <c r="AO875" t="s">
        <v>4716</v>
      </c>
      <c r="AP875" t="s">
        <v>1</v>
      </c>
      <c r="AQ875" t="s">
        <v>2</v>
      </c>
      <c r="AR875" t="s">
        <v>1</v>
      </c>
      <c r="AS875" t="s">
        <v>1</v>
      </c>
      <c r="AT875" t="s">
        <v>1</v>
      </c>
      <c r="AU875" t="s">
        <v>1</v>
      </c>
      <c r="AV875" t="s">
        <v>1</v>
      </c>
      <c r="AW875" t="s">
        <v>9</v>
      </c>
      <c r="AX875">
        <f>Tabla1[[#This Row],[precio del paquete]]-Tabla1[[#This Row],[Saldo_Deudor]]</f>
        <v>1900</v>
      </c>
      <c r="AY875">
        <v>12900</v>
      </c>
      <c r="AZ875">
        <v>0</v>
      </c>
      <c r="BA875">
        <v>0</v>
      </c>
      <c r="BB875">
        <v>0</v>
      </c>
      <c r="BC875" t="s">
        <v>4880</v>
      </c>
      <c r="BD875" t="s">
        <v>4969</v>
      </c>
      <c r="BE875" t="s">
        <v>3</v>
      </c>
      <c r="BF875" t="s">
        <v>3</v>
      </c>
      <c r="BG875" t="s">
        <v>3</v>
      </c>
      <c r="BH875" t="s">
        <v>3</v>
      </c>
      <c r="BI875" t="s">
        <v>3</v>
      </c>
      <c r="BJ875" t="s">
        <v>5014</v>
      </c>
      <c r="BK875" t="s">
        <v>3</v>
      </c>
      <c r="BL875" t="s">
        <v>96</v>
      </c>
      <c r="BM875" t="s">
        <v>1</v>
      </c>
      <c r="BN875">
        <v>14800</v>
      </c>
      <c r="BO875" t="s">
        <v>1</v>
      </c>
      <c r="BP875" t="s">
        <v>1</v>
      </c>
      <c r="BQ875" t="s">
        <v>1</v>
      </c>
      <c r="BR875" t="s">
        <v>1</v>
      </c>
      <c r="BS875" t="s">
        <v>1</v>
      </c>
      <c r="BT875" t="s">
        <v>1</v>
      </c>
      <c r="BU875" t="s">
        <v>1</v>
      </c>
      <c r="BV875" t="s">
        <v>1</v>
      </c>
      <c r="BW875" t="s">
        <v>0</v>
      </c>
      <c r="BX875" t="s">
        <v>1</v>
      </c>
      <c r="BY875" t="s">
        <v>1</v>
      </c>
      <c r="BZ875" t="s">
        <v>1</v>
      </c>
      <c r="CA875" t="s">
        <v>1</v>
      </c>
      <c r="CB875" t="s">
        <v>1</v>
      </c>
      <c r="CD875" t="e" cm="1">
        <f t="array" aca="1" ref="CD875" ca="1">eConcatenar(A875:CB875,"|")</f>
        <v>#NAME?</v>
      </c>
    </row>
    <row r="876" spans="1:82" x14ac:dyDescent="0.25">
      <c r="A876" t="s">
        <v>971</v>
      </c>
      <c r="B876" t="s">
        <v>1989</v>
      </c>
      <c r="C876">
        <v>3</v>
      </c>
      <c r="D876" t="s">
        <v>2153</v>
      </c>
      <c r="E876" t="s">
        <v>2158</v>
      </c>
      <c r="F876" t="s">
        <v>0</v>
      </c>
      <c r="G876" t="s">
        <v>2644</v>
      </c>
      <c r="H876" t="s">
        <v>3073</v>
      </c>
      <c r="I876">
        <v>14800</v>
      </c>
      <c r="J876">
        <v>0</v>
      </c>
      <c r="K876">
        <v>200</v>
      </c>
      <c r="L876">
        <v>50</v>
      </c>
      <c r="M876">
        <v>1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 t="s">
        <v>3152</v>
      </c>
      <c r="AC876" t="s">
        <v>3117</v>
      </c>
      <c r="AD876" t="s">
        <v>3993</v>
      </c>
      <c r="AE876" t="s">
        <v>4</v>
      </c>
      <c r="AF876" t="s">
        <v>1</v>
      </c>
      <c r="AG876" t="s">
        <v>1</v>
      </c>
      <c r="AH876" t="s">
        <v>2207</v>
      </c>
      <c r="AI876" t="s">
        <v>2644</v>
      </c>
      <c r="AJ876" t="s">
        <v>1</v>
      </c>
      <c r="AK876">
        <v>9371238358</v>
      </c>
      <c r="AL876" t="s">
        <v>1</v>
      </c>
      <c r="AM876" t="s">
        <v>1</v>
      </c>
      <c r="AN876" t="s">
        <v>1</v>
      </c>
      <c r="AO876" t="s">
        <v>2207</v>
      </c>
      <c r="AP876" t="s">
        <v>1</v>
      </c>
      <c r="AQ876" t="s">
        <v>2</v>
      </c>
      <c r="AR876" t="s">
        <v>1</v>
      </c>
      <c r="AS876" t="s">
        <v>1</v>
      </c>
      <c r="AT876" t="s">
        <v>1</v>
      </c>
      <c r="AU876" t="s">
        <v>1</v>
      </c>
      <c r="AV876" t="s">
        <v>1</v>
      </c>
      <c r="AW876" t="s">
        <v>9</v>
      </c>
      <c r="AX876">
        <f>Tabla1[[#This Row],[precio del paquete]]-Tabla1[[#This Row],[Saldo_Deudor]]</f>
        <v>1400</v>
      </c>
      <c r="AY876">
        <v>13400</v>
      </c>
      <c r="AZ876">
        <v>0</v>
      </c>
      <c r="BA876">
        <v>0</v>
      </c>
      <c r="BB876">
        <v>0</v>
      </c>
      <c r="BC876" t="s">
        <v>4880</v>
      </c>
      <c r="BD876" t="s">
        <v>4969</v>
      </c>
      <c r="BE876" t="s">
        <v>3</v>
      </c>
      <c r="BF876" t="s">
        <v>3</v>
      </c>
      <c r="BG876" t="s">
        <v>3</v>
      </c>
      <c r="BH876" t="s">
        <v>3</v>
      </c>
      <c r="BI876" t="s">
        <v>3</v>
      </c>
      <c r="BJ876" t="s">
        <v>5014</v>
      </c>
      <c r="BK876" t="s">
        <v>3</v>
      </c>
      <c r="BL876" t="s">
        <v>96</v>
      </c>
      <c r="BM876" t="s">
        <v>1</v>
      </c>
      <c r="BN876">
        <v>14800</v>
      </c>
      <c r="BO876" t="s">
        <v>1</v>
      </c>
      <c r="BP876" t="s">
        <v>1</v>
      </c>
      <c r="BQ876" t="s">
        <v>1</v>
      </c>
      <c r="BR876" t="s">
        <v>1</v>
      </c>
      <c r="BS876" t="s">
        <v>1</v>
      </c>
      <c r="BT876" t="s">
        <v>1</v>
      </c>
      <c r="BU876" t="s">
        <v>1</v>
      </c>
      <c r="BV876" t="s">
        <v>1</v>
      </c>
      <c r="BW876" t="s">
        <v>0</v>
      </c>
      <c r="BX876" t="s">
        <v>1</v>
      </c>
      <c r="BY876" t="s">
        <v>1</v>
      </c>
      <c r="BZ876" t="s">
        <v>1</v>
      </c>
      <c r="CA876" t="s">
        <v>1</v>
      </c>
      <c r="CB876" t="s">
        <v>1</v>
      </c>
      <c r="CD876" t="e" cm="1">
        <f t="array" aca="1" ref="CD876" ca="1">eConcatenar(A876:CB876,"|")</f>
        <v>#NAME?</v>
      </c>
    </row>
    <row r="877" spans="1:82" x14ac:dyDescent="0.25">
      <c r="A877" t="s">
        <v>972</v>
      </c>
      <c r="B877" t="s">
        <v>1991</v>
      </c>
      <c r="C877">
        <v>3</v>
      </c>
      <c r="D877" t="s">
        <v>2153</v>
      </c>
      <c r="E877" t="s">
        <v>2158</v>
      </c>
      <c r="F877" t="s">
        <v>0</v>
      </c>
      <c r="G877" t="s">
        <v>2636</v>
      </c>
      <c r="H877" t="s">
        <v>2916</v>
      </c>
      <c r="I877">
        <v>14800</v>
      </c>
      <c r="J877">
        <v>0</v>
      </c>
      <c r="K877">
        <v>50</v>
      </c>
      <c r="L877">
        <v>50</v>
      </c>
      <c r="M877">
        <v>1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 t="s">
        <v>3263</v>
      </c>
      <c r="AC877" t="s">
        <v>3115</v>
      </c>
      <c r="AD877" t="s">
        <v>3269</v>
      </c>
      <c r="AE877" t="s">
        <v>4</v>
      </c>
      <c r="AF877" t="s">
        <v>1</v>
      </c>
      <c r="AG877" t="s">
        <v>1</v>
      </c>
      <c r="AH877" t="s">
        <v>4717</v>
      </c>
      <c r="AI877" t="s">
        <v>2636</v>
      </c>
      <c r="AJ877" t="s">
        <v>1</v>
      </c>
      <c r="AK877">
        <v>9371237432</v>
      </c>
      <c r="AL877" t="s">
        <v>1</v>
      </c>
      <c r="AM877" t="s">
        <v>1</v>
      </c>
      <c r="AN877" t="s">
        <v>1</v>
      </c>
      <c r="AO877" t="s">
        <v>4717</v>
      </c>
      <c r="AP877" t="s">
        <v>1</v>
      </c>
      <c r="AQ877" t="s">
        <v>2</v>
      </c>
      <c r="AR877" t="s">
        <v>1</v>
      </c>
      <c r="AS877" t="s">
        <v>1</v>
      </c>
      <c r="AT877" t="s">
        <v>1</v>
      </c>
      <c r="AU877" t="s">
        <v>1</v>
      </c>
      <c r="AV877" t="s">
        <v>1</v>
      </c>
      <c r="AW877" t="s">
        <v>9</v>
      </c>
      <c r="AX877">
        <f>Tabla1[[#This Row],[precio del paquete]]-Tabla1[[#This Row],[Saldo_Deudor]]</f>
        <v>250</v>
      </c>
      <c r="AY877">
        <v>14550</v>
      </c>
      <c r="AZ877">
        <v>0</v>
      </c>
      <c r="BA877">
        <v>0</v>
      </c>
      <c r="BB877">
        <v>0</v>
      </c>
      <c r="BC877" t="s">
        <v>4880</v>
      </c>
      <c r="BD877" t="s">
        <v>4969</v>
      </c>
      <c r="BE877" t="s">
        <v>3</v>
      </c>
      <c r="BF877" t="s">
        <v>3</v>
      </c>
      <c r="BG877" t="s">
        <v>3</v>
      </c>
      <c r="BH877" t="s">
        <v>3</v>
      </c>
      <c r="BI877" t="s">
        <v>3</v>
      </c>
      <c r="BJ877" t="s">
        <v>5014</v>
      </c>
      <c r="BK877" t="s">
        <v>3</v>
      </c>
      <c r="BL877" t="s">
        <v>96</v>
      </c>
      <c r="BM877" t="s">
        <v>1</v>
      </c>
      <c r="BN877">
        <v>14800</v>
      </c>
      <c r="BO877" t="s">
        <v>1</v>
      </c>
      <c r="BP877" t="s">
        <v>1</v>
      </c>
      <c r="BQ877" t="s">
        <v>1</v>
      </c>
      <c r="BR877" t="s">
        <v>1</v>
      </c>
      <c r="BS877" t="s">
        <v>1</v>
      </c>
      <c r="BT877" t="s">
        <v>1</v>
      </c>
      <c r="BU877" t="s">
        <v>1</v>
      </c>
      <c r="BV877" t="s">
        <v>1</v>
      </c>
      <c r="BW877" t="s">
        <v>0</v>
      </c>
      <c r="BX877" t="s">
        <v>1</v>
      </c>
      <c r="BY877" t="s">
        <v>1</v>
      </c>
      <c r="BZ877" t="s">
        <v>1</v>
      </c>
      <c r="CA877" t="s">
        <v>1</v>
      </c>
      <c r="CB877" t="s">
        <v>1</v>
      </c>
      <c r="CD877" t="e" cm="1">
        <f t="array" aca="1" ref="CD877" ca="1">eConcatenar(A877:CB877,"|")</f>
        <v>#NAME?</v>
      </c>
    </row>
    <row r="878" spans="1:82" x14ac:dyDescent="0.25">
      <c r="A878" t="s">
        <v>973</v>
      </c>
      <c r="B878" t="s">
        <v>1992</v>
      </c>
      <c r="C878">
        <v>3</v>
      </c>
      <c r="D878" t="s">
        <v>2153</v>
      </c>
      <c r="E878" t="s">
        <v>2158</v>
      </c>
      <c r="F878" t="s">
        <v>0</v>
      </c>
      <c r="G878" t="s">
        <v>2451</v>
      </c>
      <c r="H878" t="s">
        <v>2915</v>
      </c>
      <c r="I878">
        <v>14800</v>
      </c>
      <c r="J878">
        <v>0</v>
      </c>
      <c r="K878">
        <v>200</v>
      </c>
      <c r="L878">
        <v>50</v>
      </c>
      <c r="M878">
        <v>1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 t="s">
        <v>3530</v>
      </c>
      <c r="AC878" t="s">
        <v>3177</v>
      </c>
      <c r="AD878" t="s">
        <v>3610</v>
      </c>
      <c r="AE878" t="s">
        <v>4</v>
      </c>
      <c r="AF878" t="s">
        <v>1</v>
      </c>
      <c r="AG878" t="s">
        <v>1</v>
      </c>
      <c r="AH878" t="s">
        <v>4718</v>
      </c>
      <c r="AI878" t="s">
        <v>2451</v>
      </c>
      <c r="AJ878" t="s">
        <v>1</v>
      </c>
      <c r="AK878">
        <v>9371400740</v>
      </c>
      <c r="AL878" t="s">
        <v>1</v>
      </c>
      <c r="AM878" t="s">
        <v>1</v>
      </c>
      <c r="AN878" t="s">
        <v>1</v>
      </c>
      <c r="AO878" t="s">
        <v>4718</v>
      </c>
      <c r="AP878" t="s">
        <v>1</v>
      </c>
      <c r="AQ878" t="s">
        <v>2</v>
      </c>
      <c r="AR878" t="s">
        <v>1</v>
      </c>
      <c r="AS878" t="s">
        <v>1</v>
      </c>
      <c r="AT878" t="s">
        <v>1</v>
      </c>
      <c r="AU878" t="s">
        <v>1</v>
      </c>
      <c r="AV878" t="s">
        <v>1</v>
      </c>
      <c r="AW878" t="s">
        <v>9</v>
      </c>
      <c r="AX878">
        <f>Tabla1[[#This Row],[precio del paquete]]-Tabla1[[#This Row],[Saldo_Deudor]]</f>
        <v>1600</v>
      </c>
      <c r="AY878">
        <v>13200</v>
      </c>
      <c r="AZ878">
        <v>0</v>
      </c>
      <c r="BA878">
        <v>0</v>
      </c>
      <c r="BB878">
        <v>0</v>
      </c>
      <c r="BC878" t="s">
        <v>4880</v>
      </c>
      <c r="BD878" t="s">
        <v>4969</v>
      </c>
      <c r="BE878" t="s">
        <v>3</v>
      </c>
      <c r="BF878" t="s">
        <v>3</v>
      </c>
      <c r="BG878" t="s">
        <v>3</v>
      </c>
      <c r="BH878" t="s">
        <v>3</v>
      </c>
      <c r="BI878" t="s">
        <v>3</v>
      </c>
      <c r="BJ878" t="s">
        <v>5014</v>
      </c>
      <c r="BK878" t="s">
        <v>3</v>
      </c>
      <c r="BL878" t="s">
        <v>96</v>
      </c>
      <c r="BM878" t="s">
        <v>1</v>
      </c>
      <c r="BN878">
        <v>14800</v>
      </c>
      <c r="BO878" t="s">
        <v>1</v>
      </c>
      <c r="BP878" t="s">
        <v>1</v>
      </c>
      <c r="BQ878" t="s">
        <v>1</v>
      </c>
      <c r="BR878" t="s">
        <v>1</v>
      </c>
      <c r="BS878" t="s">
        <v>1</v>
      </c>
      <c r="BT878" t="s">
        <v>1</v>
      </c>
      <c r="BU878" t="s">
        <v>1</v>
      </c>
      <c r="BV878" t="s">
        <v>1</v>
      </c>
      <c r="BW878" t="s">
        <v>0</v>
      </c>
      <c r="BX878" t="s">
        <v>1</v>
      </c>
      <c r="BY878" t="s">
        <v>1</v>
      </c>
      <c r="BZ878" t="s">
        <v>1</v>
      </c>
      <c r="CA878" t="s">
        <v>1</v>
      </c>
      <c r="CB878" t="s">
        <v>1</v>
      </c>
      <c r="CD878" t="e" cm="1">
        <f t="array" aca="1" ref="CD878" ca="1">eConcatenar(A878:CB878,"|")</f>
        <v>#NAME?</v>
      </c>
    </row>
    <row r="879" spans="1:82" x14ac:dyDescent="0.25">
      <c r="A879" t="s">
        <v>974</v>
      </c>
      <c r="B879" t="s">
        <v>1993</v>
      </c>
      <c r="C879">
        <v>3</v>
      </c>
      <c r="D879" t="s">
        <v>2153</v>
      </c>
      <c r="E879" t="s">
        <v>2158</v>
      </c>
      <c r="F879" t="s">
        <v>0</v>
      </c>
      <c r="G879" t="s">
        <v>2451</v>
      </c>
      <c r="H879" t="s">
        <v>2915</v>
      </c>
      <c r="I879">
        <v>14800</v>
      </c>
      <c r="J879">
        <v>0</v>
      </c>
      <c r="K879">
        <v>200</v>
      </c>
      <c r="L879">
        <v>50</v>
      </c>
      <c r="M879">
        <v>1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 t="s">
        <v>3530</v>
      </c>
      <c r="AC879" t="s">
        <v>3161</v>
      </c>
      <c r="AD879" t="s">
        <v>3994</v>
      </c>
      <c r="AE879" t="s">
        <v>4</v>
      </c>
      <c r="AF879" t="s">
        <v>1</v>
      </c>
      <c r="AG879" t="s">
        <v>1</v>
      </c>
      <c r="AH879" t="s">
        <v>4719</v>
      </c>
      <c r="AI879" t="s">
        <v>2451</v>
      </c>
      <c r="AJ879" t="s">
        <v>1</v>
      </c>
      <c r="AK879">
        <v>9371023333</v>
      </c>
      <c r="AL879" t="s">
        <v>1</v>
      </c>
      <c r="AM879" t="s">
        <v>1</v>
      </c>
      <c r="AN879" t="s">
        <v>1</v>
      </c>
      <c r="AO879" t="s">
        <v>4719</v>
      </c>
      <c r="AP879" t="s">
        <v>1</v>
      </c>
      <c r="AQ879" t="s">
        <v>2</v>
      </c>
      <c r="AR879" t="s">
        <v>1</v>
      </c>
      <c r="AS879" t="s">
        <v>1</v>
      </c>
      <c r="AT879" t="s">
        <v>1</v>
      </c>
      <c r="AU879" t="s">
        <v>1</v>
      </c>
      <c r="AV879" t="s">
        <v>1</v>
      </c>
      <c r="AW879" t="s">
        <v>9</v>
      </c>
      <c r="AX879">
        <f>Tabla1[[#This Row],[precio del paquete]]-Tabla1[[#This Row],[Saldo_Deudor]]</f>
        <v>1600</v>
      </c>
      <c r="AY879">
        <v>13200</v>
      </c>
      <c r="AZ879">
        <v>0</v>
      </c>
      <c r="BA879">
        <v>0</v>
      </c>
      <c r="BB879">
        <v>0</v>
      </c>
      <c r="BC879" t="s">
        <v>4880</v>
      </c>
      <c r="BD879" t="s">
        <v>4969</v>
      </c>
      <c r="BE879" t="s">
        <v>3</v>
      </c>
      <c r="BF879" t="s">
        <v>3</v>
      </c>
      <c r="BG879" t="s">
        <v>3</v>
      </c>
      <c r="BH879" t="s">
        <v>3</v>
      </c>
      <c r="BI879" t="s">
        <v>3</v>
      </c>
      <c r="BJ879" t="s">
        <v>5014</v>
      </c>
      <c r="BK879" t="s">
        <v>3</v>
      </c>
      <c r="BL879" t="s">
        <v>96</v>
      </c>
      <c r="BM879" t="s">
        <v>1</v>
      </c>
      <c r="BN879">
        <v>14800</v>
      </c>
      <c r="BO879" t="s">
        <v>1</v>
      </c>
      <c r="BP879" t="s">
        <v>1</v>
      </c>
      <c r="BQ879" t="s">
        <v>1</v>
      </c>
      <c r="BR879" t="s">
        <v>1</v>
      </c>
      <c r="BS879" t="s">
        <v>1</v>
      </c>
      <c r="BT879" t="s">
        <v>1</v>
      </c>
      <c r="BU879" t="s">
        <v>1</v>
      </c>
      <c r="BV879" t="s">
        <v>1</v>
      </c>
      <c r="BW879" t="s">
        <v>0</v>
      </c>
      <c r="BX879" t="s">
        <v>1</v>
      </c>
      <c r="BY879" t="s">
        <v>1</v>
      </c>
      <c r="BZ879" t="s">
        <v>1</v>
      </c>
      <c r="CA879" t="s">
        <v>1</v>
      </c>
      <c r="CB879" t="s">
        <v>1</v>
      </c>
      <c r="CD879" t="e" cm="1">
        <f t="array" aca="1" ref="CD879" ca="1">eConcatenar(A879:CB879,"|")</f>
        <v>#NAME?</v>
      </c>
    </row>
    <row r="880" spans="1:82" x14ac:dyDescent="0.25">
      <c r="A880" t="s">
        <v>975</v>
      </c>
      <c r="B880" t="s">
        <v>1994</v>
      </c>
      <c r="C880">
        <v>3</v>
      </c>
      <c r="D880" t="s">
        <v>2153</v>
      </c>
      <c r="E880" t="s">
        <v>2158</v>
      </c>
      <c r="F880" t="s">
        <v>0</v>
      </c>
      <c r="G880" t="s">
        <v>2638</v>
      </c>
      <c r="H880" t="s">
        <v>2720</v>
      </c>
      <c r="I880">
        <v>14800</v>
      </c>
      <c r="J880">
        <v>0</v>
      </c>
      <c r="K880">
        <v>50</v>
      </c>
      <c r="L880">
        <v>50</v>
      </c>
      <c r="M880">
        <v>1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 t="s">
        <v>3430</v>
      </c>
      <c r="AC880" t="s">
        <v>3117</v>
      </c>
      <c r="AD880" t="s">
        <v>3427</v>
      </c>
      <c r="AE880" t="s">
        <v>4</v>
      </c>
      <c r="AF880" t="s">
        <v>1</v>
      </c>
      <c r="AG880" t="s">
        <v>1</v>
      </c>
      <c r="AH880" t="s">
        <v>4720</v>
      </c>
      <c r="AI880" t="s">
        <v>2638</v>
      </c>
      <c r="AJ880" t="s">
        <v>1</v>
      </c>
      <c r="AK880">
        <v>9371535472</v>
      </c>
      <c r="AL880" t="s">
        <v>1</v>
      </c>
      <c r="AM880" t="s">
        <v>1</v>
      </c>
      <c r="AN880" t="s">
        <v>1</v>
      </c>
      <c r="AO880" t="s">
        <v>4720</v>
      </c>
      <c r="AP880" t="s">
        <v>1</v>
      </c>
      <c r="AQ880" t="s">
        <v>2</v>
      </c>
      <c r="AR880" t="s">
        <v>1</v>
      </c>
      <c r="AS880" t="s">
        <v>1</v>
      </c>
      <c r="AT880" t="s">
        <v>1</v>
      </c>
      <c r="AU880" t="s">
        <v>1</v>
      </c>
      <c r="AV880" t="s">
        <v>1</v>
      </c>
      <c r="AW880" t="s">
        <v>9</v>
      </c>
      <c r="AX880">
        <f>Tabla1[[#This Row],[precio del paquete]]-Tabla1[[#This Row],[Saldo_Deudor]]</f>
        <v>1050</v>
      </c>
      <c r="AY880">
        <v>13750</v>
      </c>
      <c r="AZ880">
        <v>0</v>
      </c>
      <c r="BA880">
        <v>0</v>
      </c>
      <c r="BB880">
        <v>0</v>
      </c>
      <c r="BC880" t="s">
        <v>4880</v>
      </c>
      <c r="BD880" t="s">
        <v>4969</v>
      </c>
      <c r="BE880" t="s">
        <v>3</v>
      </c>
      <c r="BF880" t="s">
        <v>3</v>
      </c>
      <c r="BG880" t="s">
        <v>3</v>
      </c>
      <c r="BH880" t="s">
        <v>3</v>
      </c>
      <c r="BI880" t="s">
        <v>3</v>
      </c>
      <c r="BJ880" t="s">
        <v>5014</v>
      </c>
      <c r="BK880" t="s">
        <v>3</v>
      </c>
      <c r="BL880" t="s">
        <v>96</v>
      </c>
      <c r="BM880" t="s">
        <v>1</v>
      </c>
      <c r="BN880">
        <v>14800</v>
      </c>
      <c r="BO880" t="s">
        <v>1</v>
      </c>
      <c r="BP880" t="s">
        <v>1</v>
      </c>
      <c r="BQ880" t="s">
        <v>1</v>
      </c>
      <c r="BR880" t="s">
        <v>1</v>
      </c>
      <c r="BS880" t="s">
        <v>1</v>
      </c>
      <c r="BT880" t="s">
        <v>1</v>
      </c>
      <c r="BU880" t="s">
        <v>1</v>
      </c>
      <c r="BV880" t="s">
        <v>1</v>
      </c>
      <c r="BW880" t="s">
        <v>0</v>
      </c>
      <c r="BX880" t="s">
        <v>1</v>
      </c>
      <c r="BY880" t="s">
        <v>1</v>
      </c>
      <c r="BZ880" t="s">
        <v>1</v>
      </c>
      <c r="CA880" t="s">
        <v>1</v>
      </c>
      <c r="CB880" t="s">
        <v>1</v>
      </c>
      <c r="CD880" t="e" cm="1">
        <f t="array" aca="1" ref="CD880" ca="1">eConcatenar(A880:CB880,"|")</f>
        <v>#NAME?</v>
      </c>
    </row>
    <row r="881" spans="1:82" x14ac:dyDescent="0.25">
      <c r="A881" t="s">
        <v>976</v>
      </c>
      <c r="B881" t="s">
        <v>1995</v>
      </c>
      <c r="C881">
        <v>3</v>
      </c>
      <c r="D881" t="s">
        <v>2153</v>
      </c>
      <c r="E881" t="s">
        <v>2158</v>
      </c>
      <c r="F881" t="s">
        <v>0</v>
      </c>
      <c r="G881" t="s">
        <v>2643</v>
      </c>
      <c r="H881" t="s">
        <v>3076</v>
      </c>
      <c r="I881">
        <v>14800</v>
      </c>
      <c r="J881">
        <v>0</v>
      </c>
      <c r="K881">
        <v>50</v>
      </c>
      <c r="L881">
        <v>50</v>
      </c>
      <c r="M881">
        <v>1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 t="s">
        <v>3155</v>
      </c>
      <c r="AC881" t="s">
        <v>3114</v>
      </c>
      <c r="AD881" t="s">
        <v>3377</v>
      </c>
      <c r="AE881" t="s">
        <v>4</v>
      </c>
      <c r="AF881" t="s">
        <v>1</v>
      </c>
      <c r="AG881" t="s">
        <v>1</v>
      </c>
      <c r="AH881" t="s">
        <v>4721</v>
      </c>
      <c r="AI881" t="s">
        <v>2643</v>
      </c>
      <c r="AJ881" t="s">
        <v>1</v>
      </c>
      <c r="AK881">
        <v>9372297945</v>
      </c>
      <c r="AL881" t="s">
        <v>1</v>
      </c>
      <c r="AM881" t="s">
        <v>1</v>
      </c>
      <c r="AN881" t="s">
        <v>1</v>
      </c>
      <c r="AO881" t="s">
        <v>4721</v>
      </c>
      <c r="AP881" t="s">
        <v>1</v>
      </c>
      <c r="AQ881" t="s">
        <v>2</v>
      </c>
      <c r="AR881" t="s">
        <v>1</v>
      </c>
      <c r="AS881" t="s">
        <v>1</v>
      </c>
      <c r="AT881" t="s">
        <v>1</v>
      </c>
      <c r="AU881" t="s">
        <v>1</v>
      </c>
      <c r="AV881" t="s">
        <v>1</v>
      </c>
      <c r="AW881" t="s">
        <v>9</v>
      </c>
      <c r="AX881">
        <f>Tabla1[[#This Row],[precio del paquete]]-Tabla1[[#This Row],[Saldo_Deudor]]</f>
        <v>2150</v>
      </c>
      <c r="AY881">
        <v>12650</v>
      </c>
      <c r="AZ881">
        <v>0</v>
      </c>
      <c r="BA881">
        <v>0</v>
      </c>
      <c r="BB881">
        <v>0</v>
      </c>
      <c r="BC881" t="s">
        <v>4880</v>
      </c>
      <c r="BD881" t="s">
        <v>4969</v>
      </c>
      <c r="BE881" t="s">
        <v>3</v>
      </c>
      <c r="BF881" t="s">
        <v>3</v>
      </c>
      <c r="BG881" t="s">
        <v>3</v>
      </c>
      <c r="BH881" t="s">
        <v>3</v>
      </c>
      <c r="BI881" t="s">
        <v>3</v>
      </c>
      <c r="BJ881" t="s">
        <v>5014</v>
      </c>
      <c r="BK881" t="s">
        <v>3</v>
      </c>
      <c r="BL881" t="s">
        <v>96</v>
      </c>
      <c r="BM881" t="s">
        <v>1</v>
      </c>
      <c r="BN881">
        <v>14800</v>
      </c>
      <c r="BO881" t="s">
        <v>1</v>
      </c>
      <c r="BP881" t="s">
        <v>1</v>
      </c>
      <c r="BQ881" t="s">
        <v>1</v>
      </c>
      <c r="BR881" t="s">
        <v>1</v>
      </c>
      <c r="BS881" t="s">
        <v>1</v>
      </c>
      <c r="BT881" t="s">
        <v>1</v>
      </c>
      <c r="BU881" t="s">
        <v>1</v>
      </c>
      <c r="BV881" t="s">
        <v>1</v>
      </c>
      <c r="BW881" t="s">
        <v>0</v>
      </c>
      <c r="BX881" t="s">
        <v>1</v>
      </c>
      <c r="BY881" t="s">
        <v>1</v>
      </c>
      <c r="BZ881" t="s">
        <v>1</v>
      </c>
      <c r="CA881" t="s">
        <v>1</v>
      </c>
      <c r="CB881" t="s">
        <v>1</v>
      </c>
      <c r="CD881" t="e" cm="1">
        <f t="array" aca="1" ref="CD881" ca="1">eConcatenar(A881:CB881,"|")</f>
        <v>#NAME?</v>
      </c>
    </row>
    <row r="882" spans="1:82" x14ac:dyDescent="0.25">
      <c r="A882" t="s">
        <v>977</v>
      </c>
      <c r="B882" t="s">
        <v>1996</v>
      </c>
      <c r="C882">
        <v>3</v>
      </c>
      <c r="D882" t="s">
        <v>2153</v>
      </c>
      <c r="E882" t="s">
        <v>2158</v>
      </c>
      <c r="F882" t="s">
        <v>0</v>
      </c>
      <c r="G882" t="s">
        <v>2645</v>
      </c>
      <c r="H882" t="s">
        <v>2780</v>
      </c>
      <c r="I882">
        <v>14800</v>
      </c>
      <c r="J882">
        <v>0</v>
      </c>
      <c r="K882">
        <v>200</v>
      </c>
      <c r="L882">
        <v>50</v>
      </c>
      <c r="M882">
        <v>1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 t="s">
        <v>3280</v>
      </c>
      <c r="AC882" t="s">
        <v>3114</v>
      </c>
      <c r="AD882" t="s">
        <v>3528</v>
      </c>
      <c r="AE882" t="s">
        <v>4</v>
      </c>
      <c r="AF882" t="s">
        <v>1</v>
      </c>
      <c r="AG882" t="s">
        <v>1</v>
      </c>
      <c r="AH882" t="s">
        <v>4722</v>
      </c>
      <c r="AI882" t="s">
        <v>2645</v>
      </c>
      <c r="AJ882" t="s">
        <v>1</v>
      </c>
      <c r="AK882">
        <v>9371557296</v>
      </c>
      <c r="AL882" t="s">
        <v>1</v>
      </c>
      <c r="AM882" t="s">
        <v>1</v>
      </c>
      <c r="AN882" t="s">
        <v>1</v>
      </c>
      <c r="AO882" t="s">
        <v>4722</v>
      </c>
      <c r="AP882" t="s">
        <v>1</v>
      </c>
      <c r="AQ882" t="s">
        <v>2</v>
      </c>
      <c r="AR882" t="s">
        <v>1</v>
      </c>
      <c r="AS882" t="s">
        <v>1</v>
      </c>
      <c r="AT882" t="s">
        <v>1</v>
      </c>
      <c r="AU882" t="s">
        <v>1</v>
      </c>
      <c r="AV882" t="s">
        <v>1</v>
      </c>
      <c r="AW882" t="s">
        <v>9</v>
      </c>
      <c r="AX882">
        <f>Tabla1[[#This Row],[precio del paquete]]-Tabla1[[#This Row],[Saldo_Deudor]]</f>
        <v>2900</v>
      </c>
      <c r="AY882">
        <v>11900</v>
      </c>
      <c r="AZ882">
        <v>0</v>
      </c>
      <c r="BA882">
        <v>0</v>
      </c>
      <c r="BB882">
        <v>0</v>
      </c>
      <c r="BC882" t="s">
        <v>4880</v>
      </c>
      <c r="BD882" t="s">
        <v>4969</v>
      </c>
      <c r="BE882" t="s">
        <v>3</v>
      </c>
      <c r="BF882" t="s">
        <v>3</v>
      </c>
      <c r="BG882" t="s">
        <v>3</v>
      </c>
      <c r="BH882" t="s">
        <v>3</v>
      </c>
      <c r="BI882" t="s">
        <v>3</v>
      </c>
      <c r="BJ882" t="s">
        <v>5014</v>
      </c>
      <c r="BK882" t="s">
        <v>3</v>
      </c>
      <c r="BL882" t="s">
        <v>96</v>
      </c>
      <c r="BM882" t="s">
        <v>1</v>
      </c>
      <c r="BN882">
        <v>14800</v>
      </c>
      <c r="BO882" t="s">
        <v>1</v>
      </c>
      <c r="BP882" t="s">
        <v>1</v>
      </c>
      <c r="BQ882" t="s">
        <v>1</v>
      </c>
      <c r="BR882" t="s">
        <v>1</v>
      </c>
      <c r="BS882" t="s">
        <v>1</v>
      </c>
      <c r="BT882" t="s">
        <v>1</v>
      </c>
      <c r="BU882" t="s">
        <v>1</v>
      </c>
      <c r="BV882" t="s">
        <v>1</v>
      </c>
      <c r="BW882" t="s">
        <v>0</v>
      </c>
      <c r="BX882" t="s">
        <v>1</v>
      </c>
      <c r="BY882" t="s">
        <v>1</v>
      </c>
      <c r="BZ882" t="s">
        <v>1</v>
      </c>
      <c r="CA882" t="s">
        <v>1</v>
      </c>
      <c r="CB882" t="s">
        <v>1</v>
      </c>
      <c r="CD882" t="e" cm="1">
        <f t="array" aca="1" ref="CD882" ca="1">eConcatenar(A882:CB882,"|")</f>
        <v>#NAME?</v>
      </c>
    </row>
    <row r="883" spans="1:82" x14ac:dyDescent="0.25">
      <c r="A883" t="s">
        <v>978</v>
      </c>
      <c r="B883" t="s">
        <v>1997</v>
      </c>
      <c r="C883">
        <v>3</v>
      </c>
      <c r="D883" t="s">
        <v>2153</v>
      </c>
      <c r="E883" t="s">
        <v>2158</v>
      </c>
      <c r="F883" t="s">
        <v>0</v>
      </c>
      <c r="G883" t="s">
        <v>2583</v>
      </c>
      <c r="H883" t="s">
        <v>3077</v>
      </c>
      <c r="I883">
        <v>14800</v>
      </c>
      <c r="J883">
        <v>0</v>
      </c>
      <c r="K883">
        <v>100</v>
      </c>
      <c r="L883">
        <v>50</v>
      </c>
      <c r="M883">
        <v>1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 t="s">
        <v>3236</v>
      </c>
      <c r="AC883" t="s">
        <v>3995</v>
      </c>
      <c r="AD883" t="s">
        <v>3170</v>
      </c>
      <c r="AE883" t="s">
        <v>4</v>
      </c>
      <c r="AF883" t="s">
        <v>1</v>
      </c>
      <c r="AG883" t="s">
        <v>1</v>
      </c>
      <c r="AH883" t="s">
        <v>4723</v>
      </c>
      <c r="AI883" t="s">
        <v>2583</v>
      </c>
      <c r="AJ883" t="s">
        <v>1</v>
      </c>
      <c r="AK883">
        <v>9371642012</v>
      </c>
      <c r="AL883" t="s">
        <v>1</v>
      </c>
      <c r="AM883" t="s">
        <v>1</v>
      </c>
      <c r="AN883" t="s">
        <v>1</v>
      </c>
      <c r="AO883" t="s">
        <v>4723</v>
      </c>
      <c r="AP883" t="s">
        <v>1</v>
      </c>
      <c r="AQ883" t="s">
        <v>2</v>
      </c>
      <c r="AR883" t="s">
        <v>1</v>
      </c>
      <c r="AS883" t="s">
        <v>1</v>
      </c>
      <c r="AT883" t="s">
        <v>1</v>
      </c>
      <c r="AU883" t="s">
        <v>1</v>
      </c>
      <c r="AV883" t="s">
        <v>1</v>
      </c>
      <c r="AW883" t="s">
        <v>9</v>
      </c>
      <c r="AX883">
        <f>Tabla1[[#This Row],[precio del paquete]]-Tabla1[[#This Row],[Saldo_Deudor]]</f>
        <v>2300</v>
      </c>
      <c r="AY883">
        <v>12500</v>
      </c>
      <c r="AZ883">
        <v>0</v>
      </c>
      <c r="BA883">
        <v>0</v>
      </c>
      <c r="BB883">
        <v>0</v>
      </c>
      <c r="BC883" t="s">
        <v>4880</v>
      </c>
      <c r="BD883" t="s">
        <v>4969</v>
      </c>
      <c r="BE883" t="s">
        <v>3</v>
      </c>
      <c r="BF883" t="s">
        <v>3</v>
      </c>
      <c r="BG883" t="s">
        <v>3</v>
      </c>
      <c r="BH883" t="s">
        <v>3</v>
      </c>
      <c r="BI883" t="s">
        <v>3</v>
      </c>
      <c r="BJ883" t="s">
        <v>5014</v>
      </c>
      <c r="BK883" t="s">
        <v>3</v>
      </c>
      <c r="BL883" t="s">
        <v>96</v>
      </c>
      <c r="BM883" t="s">
        <v>1</v>
      </c>
      <c r="BN883">
        <v>14800</v>
      </c>
      <c r="BO883" t="s">
        <v>1</v>
      </c>
      <c r="BP883" t="s">
        <v>1</v>
      </c>
      <c r="BQ883" t="s">
        <v>1</v>
      </c>
      <c r="BR883" t="s">
        <v>1</v>
      </c>
      <c r="BS883" t="s">
        <v>1</v>
      </c>
      <c r="BT883" t="s">
        <v>1</v>
      </c>
      <c r="BU883" t="s">
        <v>1</v>
      </c>
      <c r="BV883" t="s">
        <v>1</v>
      </c>
      <c r="BW883" t="s">
        <v>0</v>
      </c>
      <c r="BX883" t="s">
        <v>1</v>
      </c>
      <c r="BY883" t="s">
        <v>1</v>
      </c>
      <c r="BZ883" t="s">
        <v>1</v>
      </c>
      <c r="CA883" t="s">
        <v>1</v>
      </c>
      <c r="CB883" t="s">
        <v>1</v>
      </c>
      <c r="CD883" t="e" cm="1">
        <f t="array" aca="1" ref="CD883" ca="1">eConcatenar(A883:CB883,"|")</f>
        <v>#NAME?</v>
      </c>
    </row>
    <row r="884" spans="1:82" x14ac:dyDescent="0.25">
      <c r="A884" t="s">
        <v>979</v>
      </c>
      <c r="B884" t="s">
        <v>1998</v>
      </c>
      <c r="C884">
        <v>3</v>
      </c>
      <c r="D884" t="s">
        <v>2154</v>
      </c>
      <c r="E884" t="s">
        <v>2158</v>
      </c>
      <c r="F884" t="s">
        <v>0</v>
      </c>
      <c r="G884" t="s">
        <v>2646</v>
      </c>
      <c r="H884" t="s">
        <v>3076</v>
      </c>
      <c r="I884">
        <v>24500</v>
      </c>
      <c r="J884">
        <v>0</v>
      </c>
      <c r="K884">
        <v>300</v>
      </c>
      <c r="L884">
        <v>50</v>
      </c>
      <c r="M884">
        <v>1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 t="s">
        <v>3996</v>
      </c>
      <c r="AC884" t="s">
        <v>3395</v>
      </c>
      <c r="AD884" t="s">
        <v>3997</v>
      </c>
      <c r="AE884" t="s">
        <v>4</v>
      </c>
      <c r="AF884" t="s">
        <v>1</v>
      </c>
      <c r="AG884" t="s">
        <v>1</v>
      </c>
      <c r="AH884" t="s">
        <v>4724</v>
      </c>
      <c r="AI884" t="s">
        <v>2646</v>
      </c>
      <c r="AJ884" t="s">
        <v>1</v>
      </c>
      <c r="AK884">
        <v>9371287703</v>
      </c>
      <c r="AL884" t="s">
        <v>1</v>
      </c>
      <c r="AM884" t="s">
        <v>1</v>
      </c>
      <c r="AN884" t="s">
        <v>1</v>
      </c>
      <c r="AO884" t="s">
        <v>4724</v>
      </c>
      <c r="AP884" t="s">
        <v>1</v>
      </c>
      <c r="AQ884" t="s">
        <v>2</v>
      </c>
      <c r="AR884" t="s">
        <v>1</v>
      </c>
      <c r="AS884" t="s">
        <v>1</v>
      </c>
      <c r="AT884" t="s">
        <v>1</v>
      </c>
      <c r="AU884" t="s">
        <v>1</v>
      </c>
      <c r="AV884" t="s">
        <v>1</v>
      </c>
      <c r="AW884" t="s">
        <v>9</v>
      </c>
      <c r="AX884">
        <f>Tabla1[[#This Row],[precio del paquete]]-Tabla1[[#This Row],[Saldo_Deudor]]</f>
        <v>4100</v>
      </c>
      <c r="AY884">
        <v>20400</v>
      </c>
      <c r="AZ884">
        <v>0</v>
      </c>
      <c r="BA884">
        <v>0</v>
      </c>
      <c r="BB884">
        <v>0</v>
      </c>
      <c r="BC884" t="s">
        <v>4880</v>
      </c>
      <c r="BD884" t="s">
        <v>4969</v>
      </c>
      <c r="BE884" t="s">
        <v>3</v>
      </c>
      <c r="BF884" t="s">
        <v>3</v>
      </c>
      <c r="BG884" t="s">
        <v>3</v>
      </c>
      <c r="BH884" t="s">
        <v>3</v>
      </c>
      <c r="BI884" t="s">
        <v>3</v>
      </c>
      <c r="BJ884" t="s">
        <v>5014</v>
      </c>
      <c r="BK884" t="s">
        <v>3</v>
      </c>
      <c r="BL884" t="s">
        <v>96</v>
      </c>
      <c r="BM884" t="s">
        <v>1</v>
      </c>
      <c r="BN884">
        <v>24500</v>
      </c>
      <c r="BO884" t="s">
        <v>1</v>
      </c>
      <c r="BP884" t="s">
        <v>1</v>
      </c>
      <c r="BQ884" t="s">
        <v>1</v>
      </c>
      <c r="BR884" t="s">
        <v>1</v>
      </c>
      <c r="BS884" t="s">
        <v>1</v>
      </c>
      <c r="BT884" t="s">
        <v>1</v>
      </c>
      <c r="BU884" t="s">
        <v>1</v>
      </c>
      <c r="BV884" t="s">
        <v>1</v>
      </c>
      <c r="BW884" t="s">
        <v>0</v>
      </c>
      <c r="BX884" t="s">
        <v>1</v>
      </c>
      <c r="BY884" t="s">
        <v>1</v>
      </c>
      <c r="BZ884" t="s">
        <v>1</v>
      </c>
      <c r="CA884" t="s">
        <v>1</v>
      </c>
      <c r="CB884" t="s">
        <v>1</v>
      </c>
      <c r="CD884" t="e" cm="1">
        <f t="array" aca="1" ref="CD884" ca="1">eConcatenar(A884:CB884,"|")</f>
        <v>#NAME?</v>
      </c>
    </row>
    <row r="885" spans="1:82" x14ac:dyDescent="0.25">
      <c r="A885" t="s">
        <v>980</v>
      </c>
      <c r="B885" t="s">
        <v>2000</v>
      </c>
      <c r="C885">
        <v>3</v>
      </c>
      <c r="D885" t="s">
        <v>2153</v>
      </c>
      <c r="E885" t="s">
        <v>2158</v>
      </c>
      <c r="F885" t="s">
        <v>0</v>
      </c>
      <c r="G885" t="s">
        <v>2636</v>
      </c>
      <c r="H885" t="s">
        <v>2916</v>
      </c>
      <c r="I885">
        <v>14800</v>
      </c>
      <c r="J885">
        <v>0</v>
      </c>
      <c r="K885">
        <v>200</v>
      </c>
      <c r="L885">
        <v>50</v>
      </c>
      <c r="M885">
        <v>1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 t="s">
        <v>3155</v>
      </c>
      <c r="AC885" t="s">
        <v>3520</v>
      </c>
      <c r="AD885" t="s">
        <v>3998</v>
      </c>
      <c r="AE885" t="s">
        <v>4</v>
      </c>
      <c r="AF885" t="s">
        <v>1</v>
      </c>
      <c r="AG885" t="s">
        <v>1</v>
      </c>
      <c r="AH885" t="s">
        <v>4725</v>
      </c>
      <c r="AI885" t="s">
        <v>2636</v>
      </c>
      <c r="AJ885" t="s">
        <v>1</v>
      </c>
      <c r="AK885">
        <v>9372273991</v>
      </c>
      <c r="AL885" t="s">
        <v>1</v>
      </c>
      <c r="AM885" t="s">
        <v>1</v>
      </c>
      <c r="AN885" t="s">
        <v>1</v>
      </c>
      <c r="AO885" t="s">
        <v>4725</v>
      </c>
      <c r="AP885" t="s">
        <v>1</v>
      </c>
      <c r="AQ885" t="s">
        <v>2</v>
      </c>
      <c r="AR885" t="s">
        <v>1</v>
      </c>
      <c r="AS885" t="s">
        <v>1</v>
      </c>
      <c r="AT885" t="s">
        <v>1</v>
      </c>
      <c r="AU885" t="s">
        <v>1</v>
      </c>
      <c r="AV885" t="s">
        <v>1</v>
      </c>
      <c r="AW885" t="s">
        <v>9</v>
      </c>
      <c r="AX885">
        <f>Tabla1[[#This Row],[precio del paquete]]-Tabla1[[#This Row],[Saldo_Deudor]]</f>
        <v>200</v>
      </c>
      <c r="AY885">
        <v>14600</v>
      </c>
      <c r="AZ885">
        <v>0</v>
      </c>
      <c r="BA885">
        <v>0</v>
      </c>
      <c r="BB885">
        <v>0</v>
      </c>
      <c r="BC885" t="s">
        <v>2916</v>
      </c>
      <c r="BD885" t="s">
        <v>4896</v>
      </c>
      <c r="BE885" t="s">
        <v>3</v>
      </c>
      <c r="BF885" t="s">
        <v>3</v>
      </c>
      <c r="BG885" t="s">
        <v>3</v>
      </c>
      <c r="BH885" t="s">
        <v>3</v>
      </c>
      <c r="BI885" t="s">
        <v>3</v>
      </c>
      <c r="BJ885" t="s">
        <v>5014</v>
      </c>
      <c r="BK885" t="s">
        <v>3</v>
      </c>
      <c r="BL885" t="s">
        <v>96</v>
      </c>
      <c r="BM885" t="s">
        <v>1</v>
      </c>
      <c r="BN885">
        <v>14800</v>
      </c>
      <c r="BO885" t="s">
        <v>1</v>
      </c>
      <c r="BP885" t="s">
        <v>1</v>
      </c>
      <c r="BQ885" t="s">
        <v>1</v>
      </c>
      <c r="BR885" t="s">
        <v>1</v>
      </c>
      <c r="BS885" t="s">
        <v>1</v>
      </c>
      <c r="BT885" t="s">
        <v>1</v>
      </c>
      <c r="BU885" t="s">
        <v>1</v>
      </c>
      <c r="BV885" t="s">
        <v>1</v>
      </c>
      <c r="BW885" t="s">
        <v>0</v>
      </c>
      <c r="BX885" t="s">
        <v>1</v>
      </c>
      <c r="BY885" t="s">
        <v>1</v>
      </c>
      <c r="BZ885" t="s">
        <v>1</v>
      </c>
      <c r="CA885" t="s">
        <v>1</v>
      </c>
      <c r="CB885" t="s">
        <v>1</v>
      </c>
      <c r="CD885" t="e" cm="1">
        <f t="array" aca="1" ref="CD885" ca="1">eConcatenar(A885:CB885,"|")</f>
        <v>#NAME?</v>
      </c>
    </row>
    <row r="886" spans="1:82" x14ac:dyDescent="0.25">
      <c r="A886" t="s">
        <v>981</v>
      </c>
      <c r="B886" t="s">
        <v>2001</v>
      </c>
      <c r="C886">
        <v>3</v>
      </c>
      <c r="D886" t="s">
        <v>2153</v>
      </c>
      <c r="E886" t="s">
        <v>2158</v>
      </c>
      <c r="F886" t="s">
        <v>0</v>
      </c>
      <c r="G886" t="s">
        <v>2472</v>
      </c>
      <c r="H886" t="s">
        <v>3078</v>
      </c>
      <c r="I886">
        <v>14800</v>
      </c>
      <c r="J886">
        <v>0</v>
      </c>
      <c r="K886">
        <v>100</v>
      </c>
      <c r="L886">
        <v>50</v>
      </c>
      <c r="M886">
        <v>1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 t="s">
        <v>3221</v>
      </c>
      <c r="AC886" t="s">
        <v>3193</v>
      </c>
      <c r="AD886" t="s">
        <v>3677</v>
      </c>
      <c r="AE886" t="s">
        <v>4</v>
      </c>
      <c r="AF886" t="s">
        <v>1</v>
      </c>
      <c r="AG886" t="s">
        <v>1</v>
      </c>
      <c r="AH886" t="s">
        <v>4726</v>
      </c>
      <c r="AI886" t="s">
        <v>2472</v>
      </c>
      <c r="AJ886" t="s">
        <v>1</v>
      </c>
      <c r="AK886">
        <v>9371632391</v>
      </c>
      <c r="AL886" t="s">
        <v>1</v>
      </c>
      <c r="AM886" t="s">
        <v>1</v>
      </c>
      <c r="AN886" t="s">
        <v>1</v>
      </c>
      <c r="AO886" t="s">
        <v>4726</v>
      </c>
      <c r="AP886" t="s">
        <v>1</v>
      </c>
      <c r="AQ886" t="s">
        <v>2</v>
      </c>
      <c r="AR886" t="s">
        <v>1</v>
      </c>
      <c r="AS886" t="s">
        <v>1</v>
      </c>
      <c r="AT886" t="s">
        <v>1</v>
      </c>
      <c r="AU886" t="s">
        <v>1</v>
      </c>
      <c r="AV886" t="s">
        <v>1</v>
      </c>
      <c r="AW886" t="s">
        <v>9</v>
      </c>
      <c r="AX886">
        <f>Tabla1[[#This Row],[precio del paquete]]-Tabla1[[#This Row],[Saldo_Deudor]]</f>
        <v>100</v>
      </c>
      <c r="AY886">
        <v>14700</v>
      </c>
      <c r="AZ886">
        <v>0</v>
      </c>
      <c r="BA886">
        <v>0</v>
      </c>
      <c r="BB886">
        <v>0</v>
      </c>
      <c r="BC886" t="s">
        <v>3078</v>
      </c>
      <c r="BD886" t="s">
        <v>4827</v>
      </c>
      <c r="BE886" t="s">
        <v>3</v>
      </c>
      <c r="BF886" t="s">
        <v>3</v>
      </c>
      <c r="BG886" t="s">
        <v>3</v>
      </c>
      <c r="BH886" t="s">
        <v>3</v>
      </c>
      <c r="BI886" t="s">
        <v>3</v>
      </c>
      <c r="BJ886" t="s">
        <v>5014</v>
      </c>
      <c r="BK886" t="s">
        <v>3</v>
      </c>
      <c r="BL886" t="s">
        <v>96</v>
      </c>
      <c r="BM886" t="s">
        <v>1</v>
      </c>
      <c r="BN886">
        <v>14800</v>
      </c>
      <c r="BO886" t="s">
        <v>1</v>
      </c>
      <c r="BP886" t="s">
        <v>1</v>
      </c>
      <c r="BQ886" t="s">
        <v>1</v>
      </c>
      <c r="BR886" t="s">
        <v>1</v>
      </c>
      <c r="BS886" t="s">
        <v>1</v>
      </c>
      <c r="BT886" t="s">
        <v>1</v>
      </c>
      <c r="BU886" t="s">
        <v>1</v>
      </c>
      <c r="BV886" t="s">
        <v>1</v>
      </c>
      <c r="BW886" t="s">
        <v>0</v>
      </c>
      <c r="BX886" t="s">
        <v>1</v>
      </c>
      <c r="BY886" t="s">
        <v>1</v>
      </c>
      <c r="BZ886" t="s">
        <v>1</v>
      </c>
      <c r="CA886" t="s">
        <v>1</v>
      </c>
      <c r="CB886" t="s">
        <v>1</v>
      </c>
      <c r="CD886" t="e" cm="1">
        <f t="array" aca="1" ref="CD886" ca="1">eConcatenar(A886:CB886,"|")</f>
        <v>#NAME?</v>
      </c>
    </row>
    <row r="887" spans="1:82" s="2" customFormat="1" x14ac:dyDescent="0.25">
      <c r="A887" t="s">
        <v>982</v>
      </c>
      <c r="B887" t="s">
        <v>2002</v>
      </c>
      <c r="C887">
        <v>3</v>
      </c>
      <c r="D887" t="s">
        <v>2153</v>
      </c>
      <c r="E887" t="s">
        <v>2158</v>
      </c>
      <c r="F887" t="s">
        <v>0</v>
      </c>
      <c r="G887" t="s">
        <v>2647</v>
      </c>
      <c r="H887" t="s">
        <v>2916</v>
      </c>
      <c r="I887">
        <v>14800</v>
      </c>
      <c r="J887">
        <v>0</v>
      </c>
      <c r="K887">
        <v>100</v>
      </c>
      <c r="L887">
        <v>50</v>
      </c>
      <c r="M887">
        <v>1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 t="s">
        <v>3214</v>
      </c>
      <c r="AC887" t="s">
        <v>3352</v>
      </c>
      <c r="AD887" t="s">
        <v>3999</v>
      </c>
      <c r="AE887" t="s">
        <v>4</v>
      </c>
      <c r="AF887" t="s">
        <v>1</v>
      </c>
      <c r="AG887" t="s">
        <v>1</v>
      </c>
      <c r="AH887" t="s">
        <v>2207</v>
      </c>
      <c r="AI887" t="s">
        <v>2647</v>
      </c>
      <c r="AJ887" t="s">
        <v>1</v>
      </c>
      <c r="AK887">
        <v>9372718243</v>
      </c>
      <c r="AL887" t="s">
        <v>1</v>
      </c>
      <c r="AM887" t="s">
        <v>1</v>
      </c>
      <c r="AN887" t="s">
        <v>1</v>
      </c>
      <c r="AO887" t="s">
        <v>2207</v>
      </c>
      <c r="AP887" t="s">
        <v>1</v>
      </c>
      <c r="AQ887" t="s">
        <v>2</v>
      </c>
      <c r="AR887" t="s">
        <v>1</v>
      </c>
      <c r="AS887" t="s">
        <v>1</v>
      </c>
      <c r="AT887" t="s">
        <v>1</v>
      </c>
      <c r="AU887" t="s">
        <v>1</v>
      </c>
      <c r="AV887" t="s">
        <v>1</v>
      </c>
      <c r="AW887" t="s">
        <v>9</v>
      </c>
      <c r="AX887">
        <f>Tabla1[[#This Row],[precio del paquete]]-Tabla1[[#This Row],[Saldo_Deudor]]</f>
        <v>300</v>
      </c>
      <c r="AY887">
        <v>14500</v>
      </c>
      <c r="AZ887">
        <v>0</v>
      </c>
      <c r="BA887">
        <v>0</v>
      </c>
      <c r="BB887">
        <v>0</v>
      </c>
      <c r="BC887" t="s">
        <v>2925</v>
      </c>
      <c r="BD887" t="s">
        <v>3078</v>
      </c>
      <c r="BE887" t="s">
        <v>3</v>
      </c>
      <c r="BF887" t="s">
        <v>3</v>
      </c>
      <c r="BG887" t="s">
        <v>3</v>
      </c>
      <c r="BH887" t="s">
        <v>3</v>
      </c>
      <c r="BI887" t="s">
        <v>3</v>
      </c>
      <c r="BJ887" t="s">
        <v>5014</v>
      </c>
      <c r="BK887" t="s">
        <v>3</v>
      </c>
      <c r="BL887" t="s">
        <v>96</v>
      </c>
      <c r="BM887" t="s">
        <v>1</v>
      </c>
      <c r="BN887">
        <v>14800</v>
      </c>
      <c r="BO887" t="s">
        <v>1</v>
      </c>
      <c r="BP887" t="s">
        <v>1</v>
      </c>
      <c r="BQ887" t="s">
        <v>1</v>
      </c>
      <c r="BR887" t="s">
        <v>1</v>
      </c>
      <c r="BS887" t="s">
        <v>1</v>
      </c>
      <c r="BT887" t="s">
        <v>1</v>
      </c>
      <c r="BU887" t="s">
        <v>1</v>
      </c>
      <c r="BV887" t="s">
        <v>1</v>
      </c>
      <c r="BW887" t="s">
        <v>0</v>
      </c>
      <c r="BX887" t="s">
        <v>1</v>
      </c>
      <c r="BY887" t="s">
        <v>1</v>
      </c>
      <c r="BZ887" t="s">
        <v>1</v>
      </c>
      <c r="CA887" t="s">
        <v>1</v>
      </c>
      <c r="CB887" t="s">
        <v>1</v>
      </c>
      <c r="CD887" s="2" t="e" cm="1">
        <f t="array" aca="1" ref="CD887" ca="1">eConcatenar(A887:CB887,"|")</f>
        <v>#NAME?</v>
      </c>
    </row>
    <row r="888" spans="1:82" x14ac:dyDescent="0.25">
      <c r="A888" t="s">
        <v>983</v>
      </c>
      <c r="B888" t="s">
        <v>2003</v>
      </c>
      <c r="C888">
        <v>3</v>
      </c>
      <c r="D888" t="s">
        <v>2154</v>
      </c>
      <c r="E888" t="s">
        <v>2158</v>
      </c>
      <c r="F888" t="s">
        <v>0</v>
      </c>
      <c r="G888" t="s">
        <v>2648</v>
      </c>
      <c r="H888" t="s">
        <v>2737</v>
      </c>
      <c r="I888">
        <v>24500</v>
      </c>
      <c r="J888">
        <v>0</v>
      </c>
      <c r="K888">
        <v>200</v>
      </c>
      <c r="L888">
        <v>50</v>
      </c>
      <c r="M888">
        <v>1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 t="s">
        <v>3196</v>
      </c>
      <c r="AC888" t="s">
        <v>3115</v>
      </c>
      <c r="AD888" t="s">
        <v>3900</v>
      </c>
      <c r="AE888" t="s">
        <v>4</v>
      </c>
      <c r="AF888" t="s">
        <v>1</v>
      </c>
      <c r="AG888" t="s">
        <v>1</v>
      </c>
      <c r="AH888" t="s">
        <v>4097</v>
      </c>
      <c r="AI888" t="s">
        <v>2648</v>
      </c>
      <c r="AJ888" t="s">
        <v>1</v>
      </c>
      <c r="AK888">
        <v>9371056306</v>
      </c>
      <c r="AL888" t="s">
        <v>1</v>
      </c>
      <c r="AM888" t="s">
        <v>1</v>
      </c>
      <c r="AN888" t="s">
        <v>1</v>
      </c>
      <c r="AO888" t="s">
        <v>4097</v>
      </c>
      <c r="AP888" t="s">
        <v>1</v>
      </c>
      <c r="AQ888" t="s">
        <v>2</v>
      </c>
      <c r="AR888" t="s">
        <v>1</v>
      </c>
      <c r="AS888" t="s">
        <v>1</v>
      </c>
      <c r="AT888" t="s">
        <v>1</v>
      </c>
      <c r="AU888" t="s">
        <v>1</v>
      </c>
      <c r="AV888" t="s">
        <v>1</v>
      </c>
      <c r="AW888" t="s">
        <v>9</v>
      </c>
      <c r="AX888">
        <f>Tabla1[[#This Row],[precio del paquete]]-Tabla1[[#This Row],[Saldo_Deudor]]</f>
        <v>1800</v>
      </c>
      <c r="AY888">
        <v>22700</v>
      </c>
      <c r="AZ888">
        <v>0</v>
      </c>
      <c r="BA888">
        <v>0</v>
      </c>
      <c r="BB888">
        <v>0</v>
      </c>
      <c r="BC888" t="s">
        <v>4882</v>
      </c>
      <c r="BD888" t="s">
        <v>2941</v>
      </c>
      <c r="BE888" t="s">
        <v>3</v>
      </c>
      <c r="BF888" t="s">
        <v>3</v>
      </c>
      <c r="BG888" t="s">
        <v>3</v>
      </c>
      <c r="BH888" t="s">
        <v>3</v>
      </c>
      <c r="BI888" t="s">
        <v>3</v>
      </c>
      <c r="BJ888" t="s">
        <v>5014</v>
      </c>
      <c r="BK888" t="s">
        <v>3</v>
      </c>
      <c r="BL888" t="s">
        <v>96</v>
      </c>
      <c r="BM888" t="s">
        <v>1</v>
      </c>
      <c r="BN888">
        <v>24500</v>
      </c>
      <c r="BO888" t="s">
        <v>1</v>
      </c>
      <c r="BP888" t="s">
        <v>1</v>
      </c>
      <c r="BQ888" t="s">
        <v>1</v>
      </c>
      <c r="BR888" t="s">
        <v>1</v>
      </c>
      <c r="BS888" t="s">
        <v>1</v>
      </c>
      <c r="BT888" t="s">
        <v>1</v>
      </c>
      <c r="BU888" t="s">
        <v>1</v>
      </c>
      <c r="BV888" t="s">
        <v>1</v>
      </c>
      <c r="BW888" t="s">
        <v>0</v>
      </c>
      <c r="BX888" t="s">
        <v>1</v>
      </c>
      <c r="BY888" t="s">
        <v>1</v>
      </c>
      <c r="BZ888" t="s">
        <v>1</v>
      </c>
      <c r="CA888" t="s">
        <v>1</v>
      </c>
      <c r="CB888" t="s">
        <v>1</v>
      </c>
      <c r="CD888" t="e" cm="1">
        <f t="array" aca="1" ref="CD888" ca="1">eConcatenar(A888:CB888,"|")</f>
        <v>#NAME?</v>
      </c>
    </row>
    <row r="889" spans="1:82" x14ac:dyDescent="0.25">
      <c r="A889" t="s">
        <v>984</v>
      </c>
      <c r="B889" t="s">
        <v>2004</v>
      </c>
      <c r="C889">
        <v>3</v>
      </c>
      <c r="D889" t="s">
        <v>2153</v>
      </c>
      <c r="E889" t="s">
        <v>2158</v>
      </c>
      <c r="F889" t="s">
        <v>0</v>
      </c>
      <c r="G889" t="s">
        <v>2637</v>
      </c>
      <c r="H889" t="s">
        <v>3072</v>
      </c>
      <c r="I889">
        <v>14800</v>
      </c>
      <c r="J889">
        <v>0</v>
      </c>
      <c r="K889">
        <v>50</v>
      </c>
      <c r="L889">
        <v>50</v>
      </c>
      <c r="M889">
        <v>1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 t="s">
        <v>3562</v>
      </c>
      <c r="AC889" t="s">
        <v>4000</v>
      </c>
      <c r="AD889" t="s">
        <v>4001</v>
      </c>
      <c r="AE889" t="s">
        <v>4</v>
      </c>
      <c r="AF889" t="s">
        <v>1</v>
      </c>
      <c r="AG889" t="s">
        <v>1</v>
      </c>
      <c r="AH889" t="s">
        <v>4727</v>
      </c>
      <c r="AI889" t="s">
        <v>2637</v>
      </c>
      <c r="AJ889" t="s">
        <v>1</v>
      </c>
      <c r="AK889">
        <v>9371200044</v>
      </c>
      <c r="AL889" t="s">
        <v>1</v>
      </c>
      <c r="AM889" t="s">
        <v>1</v>
      </c>
      <c r="AN889" t="s">
        <v>1</v>
      </c>
      <c r="AO889" t="s">
        <v>4727</v>
      </c>
      <c r="AP889" t="s">
        <v>1</v>
      </c>
      <c r="AQ889" t="s">
        <v>2</v>
      </c>
      <c r="AR889" t="s">
        <v>1</v>
      </c>
      <c r="AS889" t="s">
        <v>1</v>
      </c>
      <c r="AT889" t="s">
        <v>1</v>
      </c>
      <c r="AU889" t="s">
        <v>1</v>
      </c>
      <c r="AV889" t="s">
        <v>1</v>
      </c>
      <c r="AW889" t="s">
        <v>9</v>
      </c>
      <c r="AX889">
        <f>Tabla1[[#This Row],[precio del paquete]]-Tabla1[[#This Row],[Saldo_Deudor]]</f>
        <v>50</v>
      </c>
      <c r="AY889">
        <v>14750</v>
      </c>
      <c r="AZ889">
        <v>0</v>
      </c>
      <c r="BA889">
        <v>0</v>
      </c>
      <c r="BB889">
        <v>0</v>
      </c>
      <c r="BC889" t="s">
        <v>3072</v>
      </c>
      <c r="BD889" t="s">
        <v>4875</v>
      </c>
      <c r="BE889" t="s">
        <v>3</v>
      </c>
      <c r="BF889" t="s">
        <v>3</v>
      </c>
      <c r="BG889" t="s">
        <v>3</v>
      </c>
      <c r="BH889" t="s">
        <v>3</v>
      </c>
      <c r="BI889" t="s">
        <v>3</v>
      </c>
      <c r="BJ889" t="s">
        <v>5014</v>
      </c>
      <c r="BK889" t="s">
        <v>3</v>
      </c>
      <c r="BL889" t="s">
        <v>96</v>
      </c>
      <c r="BM889" t="s">
        <v>1</v>
      </c>
      <c r="BN889">
        <v>14800</v>
      </c>
      <c r="BO889" t="s">
        <v>1</v>
      </c>
      <c r="BP889" t="s">
        <v>1</v>
      </c>
      <c r="BQ889" t="s">
        <v>1</v>
      </c>
      <c r="BR889" t="s">
        <v>1</v>
      </c>
      <c r="BS889" t="s">
        <v>1</v>
      </c>
      <c r="BT889" t="s">
        <v>1</v>
      </c>
      <c r="BU889" t="s">
        <v>1</v>
      </c>
      <c r="BV889" t="s">
        <v>1</v>
      </c>
      <c r="BW889" t="s">
        <v>0</v>
      </c>
      <c r="BX889" t="s">
        <v>1</v>
      </c>
      <c r="BY889" t="s">
        <v>1</v>
      </c>
      <c r="BZ889" t="s">
        <v>1</v>
      </c>
      <c r="CA889" t="s">
        <v>1</v>
      </c>
      <c r="CB889" t="s">
        <v>1</v>
      </c>
      <c r="CD889" t="e" cm="1">
        <f t="array" aca="1" ref="CD889" ca="1">eConcatenar(A889:CB889,"|")</f>
        <v>#NAME?</v>
      </c>
    </row>
    <row r="890" spans="1:82" x14ac:dyDescent="0.25">
      <c r="A890" t="s">
        <v>985</v>
      </c>
      <c r="B890" t="s">
        <v>2005</v>
      </c>
      <c r="C890">
        <v>3</v>
      </c>
      <c r="D890" t="s">
        <v>2153</v>
      </c>
      <c r="E890" t="s">
        <v>2158</v>
      </c>
      <c r="F890" t="s">
        <v>0</v>
      </c>
      <c r="G890" t="s">
        <v>2649</v>
      </c>
      <c r="H890" t="s">
        <v>3079</v>
      </c>
      <c r="I890">
        <v>14800</v>
      </c>
      <c r="J890">
        <v>0</v>
      </c>
      <c r="K890">
        <v>500</v>
      </c>
      <c r="L890">
        <v>50</v>
      </c>
      <c r="M890">
        <v>1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 t="s">
        <v>3114</v>
      </c>
      <c r="AC890" t="s">
        <v>3470</v>
      </c>
      <c r="AD890" t="s">
        <v>4002</v>
      </c>
      <c r="AE890" t="s">
        <v>4</v>
      </c>
      <c r="AF890" t="s">
        <v>1</v>
      </c>
      <c r="AG890" t="s">
        <v>1</v>
      </c>
      <c r="AH890" t="s">
        <v>4728</v>
      </c>
      <c r="AI890" t="s">
        <v>2649</v>
      </c>
      <c r="AJ890" t="s">
        <v>1</v>
      </c>
      <c r="AK890">
        <v>9371825971</v>
      </c>
      <c r="AL890" t="s">
        <v>1</v>
      </c>
      <c r="AM890" t="s">
        <v>1</v>
      </c>
      <c r="AN890" t="s">
        <v>1</v>
      </c>
      <c r="AO890" t="s">
        <v>4728</v>
      </c>
      <c r="AP890" t="s">
        <v>1</v>
      </c>
      <c r="AQ890" t="s">
        <v>2</v>
      </c>
      <c r="AR890" t="s">
        <v>1</v>
      </c>
      <c r="AS890" t="s">
        <v>1</v>
      </c>
      <c r="AT890" t="s">
        <v>1</v>
      </c>
      <c r="AU890" t="s">
        <v>1</v>
      </c>
      <c r="AV890" t="s">
        <v>1</v>
      </c>
      <c r="AW890" t="s">
        <v>9</v>
      </c>
      <c r="AX890">
        <f>Tabla1[[#This Row],[precio del paquete]]-Tabla1[[#This Row],[Saldo_Deudor]]</f>
        <v>2000</v>
      </c>
      <c r="AY890">
        <v>12800</v>
      </c>
      <c r="AZ890">
        <v>0</v>
      </c>
      <c r="BA890">
        <v>0</v>
      </c>
      <c r="BB890">
        <v>0</v>
      </c>
      <c r="BC890" t="s">
        <v>2889</v>
      </c>
      <c r="BD890" t="s">
        <v>4930</v>
      </c>
      <c r="BE890" t="s">
        <v>3</v>
      </c>
      <c r="BF890" t="s">
        <v>3</v>
      </c>
      <c r="BG890" t="s">
        <v>3</v>
      </c>
      <c r="BH890" t="s">
        <v>3</v>
      </c>
      <c r="BI890" t="s">
        <v>3</v>
      </c>
      <c r="BJ890" t="s">
        <v>5014</v>
      </c>
      <c r="BK890" t="s">
        <v>3</v>
      </c>
      <c r="BL890" t="s">
        <v>96</v>
      </c>
      <c r="BM890" t="s">
        <v>1</v>
      </c>
      <c r="BN890">
        <v>14800</v>
      </c>
      <c r="BO890" t="s">
        <v>1</v>
      </c>
      <c r="BP890" t="s">
        <v>1</v>
      </c>
      <c r="BQ890" t="s">
        <v>1</v>
      </c>
      <c r="BR890" t="s">
        <v>1</v>
      </c>
      <c r="BS890" t="s">
        <v>1</v>
      </c>
      <c r="BT890" t="s">
        <v>1</v>
      </c>
      <c r="BU890" t="s">
        <v>1</v>
      </c>
      <c r="BV890" t="s">
        <v>1</v>
      </c>
      <c r="BW890" t="s">
        <v>0</v>
      </c>
      <c r="BX890" t="s">
        <v>1</v>
      </c>
      <c r="BY890" t="s">
        <v>1</v>
      </c>
      <c r="BZ890" t="s">
        <v>1</v>
      </c>
      <c r="CA890" t="s">
        <v>1</v>
      </c>
      <c r="CB890" t="s">
        <v>1</v>
      </c>
      <c r="CD890" t="e" cm="1">
        <f t="array" aca="1" ref="CD890" ca="1">eConcatenar(A890:CB890,"|")</f>
        <v>#NAME?</v>
      </c>
    </row>
    <row r="891" spans="1:82" x14ac:dyDescent="0.25">
      <c r="A891" t="s">
        <v>986</v>
      </c>
      <c r="B891" t="s">
        <v>2006</v>
      </c>
      <c r="C891">
        <v>3</v>
      </c>
      <c r="D891" t="s">
        <v>2154</v>
      </c>
      <c r="E891" t="s">
        <v>2158</v>
      </c>
      <c r="F891" t="s">
        <v>0</v>
      </c>
      <c r="G891" t="s">
        <v>2650</v>
      </c>
      <c r="H891" t="s">
        <v>3080</v>
      </c>
      <c r="I891">
        <v>24500</v>
      </c>
      <c r="J891">
        <v>0</v>
      </c>
      <c r="K891">
        <v>200</v>
      </c>
      <c r="L891">
        <v>50</v>
      </c>
      <c r="M891">
        <v>1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 t="s">
        <v>3362</v>
      </c>
      <c r="AC891" t="s">
        <v>5</v>
      </c>
      <c r="AD891" t="s">
        <v>4003</v>
      </c>
      <c r="AE891" t="s">
        <v>4</v>
      </c>
      <c r="AF891" t="s">
        <v>1</v>
      </c>
      <c r="AG891" t="s">
        <v>1</v>
      </c>
      <c r="AH891" t="s">
        <v>2650</v>
      </c>
      <c r="AI891" t="s">
        <v>2650</v>
      </c>
      <c r="AJ891" t="s">
        <v>1</v>
      </c>
      <c r="AK891">
        <v>9171276140</v>
      </c>
      <c r="AL891" t="s">
        <v>1</v>
      </c>
      <c r="AM891" t="s">
        <v>1</v>
      </c>
      <c r="AN891" t="s">
        <v>1</v>
      </c>
      <c r="AO891" t="s">
        <v>2650</v>
      </c>
      <c r="AP891" t="s">
        <v>1</v>
      </c>
      <c r="AQ891" t="s">
        <v>2</v>
      </c>
      <c r="AR891" t="s">
        <v>1</v>
      </c>
      <c r="AS891" t="s">
        <v>1</v>
      </c>
      <c r="AT891" t="s">
        <v>1</v>
      </c>
      <c r="AU891" t="s">
        <v>1</v>
      </c>
      <c r="AV891" t="s">
        <v>1</v>
      </c>
      <c r="AW891" t="s">
        <v>9</v>
      </c>
      <c r="AX891">
        <f>Tabla1[[#This Row],[precio del paquete]]-Tabla1[[#This Row],[Saldo_Deudor]]</f>
        <v>3400</v>
      </c>
      <c r="AY891">
        <v>21100</v>
      </c>
      <c r="AZ891">
        <v>0</v>
      </c>
      <c r="BA891">
        <v>0</v>
      </c>
      <c r="BB891">
        <v>0</v>
      </c>
      <c r="BC891" t="s">
        <v>4874</v>
      </c>
      <c r="BD891" t="s">
        <v>4963</v>
      </c>
      <c r="BE891" t="s">
        <v>3</v>
      </c>
      <c r="BF891" t="s">
        <v>3</v>
      </c>
      <c r="BG891" t="s">
        <v>3</v>
      </c>
      <c r="BH891" t="s">
        <v>3</v>
      </c>
      <c r="BI891" t="s">
        <v>3</v>
      </c>
      <c r="BJ891" t="s">
        <v>5014</v>
      </c>
      <c r="BK891" t="s">
        <v>3</v>
      </c>
      <c r="BL891" t="s">
        <v>96</v>
      </c>
      <c r="BM891" t="s">
        <v>1</v>
      </c>
      <c r="BN891">
        <v>24500</v>
      </c>
      <c r="BO891" t="s">
        <v>1</v>
      </c>
      <c r="BP891" t="s">
        <v>1</v>
      </c>
      <c r="BQ891" t="s">
        <v>1</v>
      </c>
      <c r="BR891" t="s">
        <v>1</v>
      </c>
      <c r="BS891" t="s">
        <v>1</v>
      </c>
      <c r="BT891" t="s">
        <v>1</v>
      </c>
      <c r="BU891" t="s">
        <v>1</v>
      </c>
      <c r="BV891" t="s">
        <v>1</v>
      </c>
      <c r="BW891" t="s">
        <v>0</v>
      </c>
      <c r="BX891" t="s">
        <v>1</v>
      </c>
      <c r="BY891" t="s">
        <v>1</v>
      </c>
      <c r="BZ891" t="s">
        <v>1</v>
      </c>
      <c r="CA891" t="s">
        <v>1</v>
      </c>
      <c r="CB891" t="s">
        <v>1</v>
      </c>
      <c r="CD891" t="e" cm="1">
        <f t="array" aca="1" ref="CD891" ca="1">eConcatenar(A891:CB891,"|")</f>
        <v>#NAME?</v>
      </c>
    </row>
    <row r="892" spans="1:82" x14ac:dyDescent="0.25">
      <c r="A892" t="s">
        <v>987</v>
      </c>
      <c r="B892" t="s">
        <v>2007</v>
      </c>
      <c r="C892">
        <v>3</v>
      </c>
      <c r="D892" t="s">
        <v>2153</v>
      </c>
      <c r="E892" t="s">
        <v>2158</v>
      </c>
      <c r="F892" t="s">
        <v>0</v>
      </c>
      <c r="G892" t="s">
        <v>2642</v>
      </c>
      <c r="H892" t="s">
        <v>3075</v>
      </c>
      <c r="I892">
        <v>14800</v>
      </c>
      <c r="J892">
        <v>0</v>
      </c>
      <c r="K892">
        <v>100</v>
      </c>
      <c r="L892">
        <v>50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 t="s">
        <v>3148</v>
      </c>
      <c r="AC892" t="s">
        <v>3177</v>
      </c>
      <c r="AD892" t="s">
        <v>3283</v>
      </c>
      <c r="AE892" t="s">
        <v>4</v>
      </c>
      <c r="AF892" t="s">
        <v>1</v>
      </c>
      <c r="AG892" t="s">
        <v>1</v>
      </c>
      <c r="AH892" t="s">
        <v>4729</v>
      </c>
      <c r="AI892" t="s">
        <v>2642</v>
      </c>
      <c r="AJ892" t="s">
        <v>1</v>
      </c>
      <c r="AK892">
        <v>9371546809</v>
      </c>
      <c r="AL892" t="s">
        <v>1</v>
      </c>
      <c r="AM892" t="s">
        <v>1</v>
      </c>
      <c r="AN892" t="s">
        <v>1</v>
      </c>
      <c r="AO892" t="s">
        <v>4729</v>
      </c>
      <c r="AP892" t="s">
        <v>1</v>
      </c>
      <c r="AQ892" t="s">
        <v>2</v>
      </c>
      <c r="AR892" t="s">
        <v>1</v>
      </c>
      <c r="AS892" t="s">
        <v>1</v>
      </c>
      <c r="AT892" t="s">
        <v>1</v>
      </c>
      <c r="AU892" t="s">
        <v>1</v>
      </c>
      <c r="AV892" t="s">
        <v>1</v>
      </c>
      <c r="AW892" t="s">
        <v>9</v>
      </c>
      <c r="AX892">
        <f>Tabla1[[#This Row],[precio del paquete]]-Tabla1[[#This Row],[Saldo_Deudor]]</f>
        <v>2300</v>
      </c>
      <c r="AY892">
        <v>12500</v>
      </c>
      <c r="AZ892">
        <v>0</v>
      </c>
      <c r="BA892">
        <v>0</v>
      </c>
      <c r="BB892">
        <v>0</v>
      </c>
      <c r="BC892" t="s">
        <v>4827</v>
      </c>
      <c r="BD892" t="s">
        <v>4895</v>
      </c>
      <c r="BE892" t="s">
        <v>3</v>
      </c>
      <c r="BF892" t="s">
        <v>3</v>
      </c>
      <c r="BG892" t="s">
        <v>3</v>
      </c>
      <c r="BH892" t="s">
        <v>3</v>
      </c>
      <c r="BI892" t="s">
        <v>3</v>
      </c>
      <c r="BJ892" t="s">
        <v>4996</v>
      </c>
      <c r="BK892" t="s">
        <v>3</v>
      </c>
      <c r="BL892" t="s">
        <v>96</v>
      </c>
      <c r="BM892" t="s">
        <v>1</v>
      </c>
      <c r="BN892">
        <v>14800</v>
      </c>
      <c r="BO892" t="s">
        <v>1</v>
      </c>
      <c r="BP892" t="s">
        <v>1</v>
      </c>
      <c r="BQ892" t="s">
        <v>1</v>
      </c>
      <c r="BR892" t="s">
        <v>1</v>
      </c>
      <c r="BS892" t="s">
        <v>1</v>
      </c>
      <c r="BT892" t="s">
        <v>1</v>
      </c>
      <c r="BU892" t="s">
        <v>1</v>
      </c>
      <c r="BV892" t="s">
        <v>1</v>
      </c>
      <c r="BW892" t="s">
        <v>0</v>
      </c>
      <c r="BX892" t="s">
        <v>1</v>
      </c>
      <c r="BY892" t="s">
        <v>1</v>
      </c>
      <c r="BZ892" t="s">
        <v>1</v>
      </c>
      <c r="CA892" t="s">
        <v>1</v>
      </c>
      <c r="CB892" t="s">
        <v>1</v>
      </c>
      <c r="CD892" t="e" cm="1">
        <f t="array" aca="1" ref="CD892" ca="1">eConcatenar(A892:CB892,"|")</f>
        <v>#NAME?</v>
      </c>
    </row>
    <row r="893" spans="1:82" x14ac:dyDescent="0.25">
      <c r="A893" t="s">
        <v>988</v>
      </c>
      <c r="B893" t="s">
        <v>2008</v>
      </c>
      <c r="C893">
        <v>3</v>
      </c>
      <c r="D893" t="s">
        <v>2153</v>
      </c>
      <c r="E893" t="s">
        <v>2158</v>
      </c>
      <c r="F893" t="s">
        <v>0</v>
      </c>
      <c r="G893" t="s">
        <v>2636</v>
      </c>
      <c r="H893" t="s">
        <v>2916</v>
      </c>
      <c r="I893">
        <v>14800</v>
      </c>
      <c r="J893">
        <v>0</v>
      </c>
      <c r="K893">
        <v>200</v>
      </c>
      <c r="L893">
        <v>50</v>
      </c>
      <c r="M893">
        <v>2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 t="s">
        <v>3310</v>
      </c>
      <c r="AC893" t="s">
        <v>3114</v>
      </c>
      <c r="AD893" t="s">
        <v>4004</v>
      </c>
      <c r="AE893" t="s">
        <v>4</v>
      </c>
      <c r="AF893" t="s">
        <v>1</v>
      </c>
      <c r="AG893" t="s">
        <v>1</v>
      </c>
      <c r="AH893" t="s">
        <v>4730</v>
      </c>
      <c r="AI893" t="s">
        <v>2636</v>
      </c>
      <c r="AJ893" t="s">
        <v>1</v>
      </c>
      <c r="AK893">
        <v>9371282545</v>
      </c>
      <c r="AL893" t="s">
        <v>1</v>
      </c>
      <c r="AM893" t="s">
        <v>1</v>
      </c>
      <c r="AN893" t="s">
        <v>1</v>
      </c>
      <c r="AO893" t="s">
        <v>4730</v>
      </c>
      <c r="AP893" t="s">
        <v>1</v>
      </c>
      <c r="AQ893" t="s">
        <v>2</v>
      </c>
      <c r="AR893" t="s">
        <v>1</v>
      </c>
      <c r="AS893" t="s">
        <v>1</v>
      </c>
      <c r="AT893" t="s">
        <v>1</v>
      </c>
      <c r="AU893" t="s">
        <v>1</v>
      </c>
      <c r="AV893" t="s">
        <v>1</v>
      </c>
      <c r="AW893" t="s">
        <v>9</v>
      </c>
      <c r="AX893">
        <f>Tabla1[[#This Row],[precio del paquete]]-Tabla1[[#This Row],[Saldo_Deudor]]</f>
        <v>200</v>
      </c>
      <c r="AY893">
        <v>14600</v>
      </c>
      <c r="AZ893">
        <v>0</v>
      </c>
      <c r="BA893">
        <v>0</v>
      </c>
      <c r="BB893">
        <v>0</v>
      </c>
      <c r="BC893" t="s">
        <v>2916</v>
      </c>
      <c r="BD893" t="s">
        <v>4896</v>
      </c>
      <c r="BE893" t="s">
        <v>3</v>
      </c>
      <c r="BF893" t="s">
        <v>3</v>
      </c>
      <c r="BG893" t="s">
        <v>3</v>
      </c>
      <c r="BH893" t="s">
        <v>3</v>
      </c>
      <c r="BI893" t="s">
        <v>3</v>
      </c>
      <c r="BJ893" t="s">
        <v>5014</v>
      </c>
      <c r="BK893" t="s">
        <v>3</v>
      </c>
      <c r="BL893" t="s">
        <v>96</v>
      </c>
      <c r="BM893" t="s">
        <v>1</v>
      </c>
      <c r="BN893">
        <v>14800</v>
      </c>
      <c r="BO893" t="s">
        <v>1</v>
      </c>
      <c r="BP893" t="s">
        <v>1</v>
      </c>
      <c r="BQ893" t="s">
        <v>1</v>
      </c>
      <c r="BR893" t="s">
        <v>1</v>
      </c>
      <c r="BS893" t="s">
        <v>1</v>
      </c>
      <c r="BT893" t="s">
        <v>1</v>
      </c>
      <c r="BU893" t="s">
        <v>1</v>
      </c>
      <c r="BV893" t="s">
        <v>1</v>
      </c>
      <c r="BW893" t="s">
        <v>0</v>
      </c>
      <c r="BX893" t="s">
        <v>1</v>
      </c>
      <c r="BY893" t="s">
        <v>1</v>
      </c>
      <c r="BZ893" t="s">
        <v>1</v>
      </c>
      <c r="CA893" t="s">
        <v>1</v>
      </c>
      <c r="CB893" t="s">
        <v>1</v>
      </c>
      <c r="CD893" t="e" cm="1">
        <f t="array" aca="1" ref="CD893" ca="1">eConcatenar(A893:CB893,"|")</f>
        <v>#NAME?</v>
      </c>
    </row>
    <row r="894" spans="1:82" x14ac:dyDescent="0.25">
      <c r="A894" t="s">
        <v>989</v>
      </c>
      <c r="B894" t="s">
        <v>2009</v>
      </c>
      <c r="C894">
        <v>3</v>
      </c>
      <c r="D894" t="s">
        <v>2153</v>
      </c>
      <c r="E894" t="s">
        <v>2158</v>
      </c>
      <c r="F894" t="s">
        <v>0</v>
      </c>
      <c r="G894" t="s">
        <v>2642</v>
      </c>
      <c r="H894" t="s">
        <v>2849</v>
      </c>
      <c r="I894">
        <v>14800</v>
      </c>
      <c r="J894">
        <v>0</v>
      </c>
      <c r="K894">
        <v>100</v>
      </c>
      <c r="L894">
        <v>50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 t="s">
        <v>3148</v>
      </c>
      <c r="AC894" t="s">
        <v>3214</v>
      </c>
      <c r="AD894" t="s">
        <v>4005</v>
      </c>
      <c r="AE894" t="s">
        <v>4</v>
      </c>
      <c r="AF894" t="s">
        <v>1</v>
      </c>
      <c r="AG894" t="s">
        <v>1</v>
      </c>
      <c r="AH894" t="s">
        <v>4731</v>
      </c>
      <c r="AI894" t="s">
        <v>2642</v>
      </c>
      <c r="AJ894" t="s">
        <v>1</v>
      </c>
      <c r="AK894">
        <v>9371283826</v>
      </c>
      <c r="AL894" t="s">
        <v>1</v>
      </c>
      <c r="AM894" t="s">
        <v>1</v>
      </c>
      <c r="AN894" t="s">
        <v>1</v>
      </c>
      <c r="AO894" t="s">
        <v>4731</v>
      </c>
      <c r="AP894" t="s">
        <v>1</v>
      </c>
      <c r="AQ894" t="s">
        <v>2</v>
      </c>
      <c r="AR894" t="s">
        <v>1</v>
      </c>
      <c r="AS894" t="s">
        <v>1</v>
      </c>
      <c r="AT894" t="s">
        <v>1</v>
      </c>
      <c r="AU894" t="s">
        <v>1</v>
      </c>
      <c r="AV894" t="s">
        <v>1</v>
      </c>
      <c r="AW894" t="s">
        <v>9</v>
      </c>
      <c r="AX894">
        <f>Tabla1[[#This Row],[precio del paquete]]-Tabla1[[#This Row],[Saldo_Deudor]]</f>
        <v>500</v>
      </c>
      <c r="AY894">
        <v>14300</v>
      </c>
      <c r="AZ894">
        <v>0</v>
      </c>
      <c r="BA894">
        <v>0</v>
      </c>
      <c r="BB894">
        <v>0</v>
      </c>
      <c r="BC894" t="s">
        <v>4826</v>
      </c>
      <c r="BD894" t="s">
        <v>2706</v>
      </c>
      <c r="BE894" t="s">
        <v>3</v>
      </c>
      <c r="BF894" t="s">
        <v>3</v>
      </c>
      <c r="BG894" t="s">
        <v>3</v>
      </c>
      <c r="BH894" t="s">
        <v>3</v>
      </c>
      <c r="BI894" t="s">
        <v>3</v>
      </c>
      <c r="BJ894" t="s">
        <v>5014</v>
      </c>
      <c r="BK894" t="s">
        <v>3</v>
      </c>
      <c r="BL894" t="s">
        <v>96</v>
      </c>
      <c r="BM894" t="s">
        <v>1</v>
      </c>
      <c r="BN894">
        <v>14800</v>
      </c>
      <c r="BO894" t="s">
        <v>1</v>
      </c>
      <c r="BP894" t="s">
        <v>1</v>
      </c>
      <c r="BQ894" t="s">
        <v>1</v>
      </c>
      <c r="BR894" t="s">
        <v>1</v>
      </c>
      <c r="BS894" t="s">
        <v>1</v>
      </c>
      <c r="BT894" t="s">
        <v>1</v>
      </c>
      <c r="BU894" t="s">
        <v>1</v>
      </c>
      <c r="BV894" t="s">
        <v>1</v>
      </c>
      <c r="BW894" t="s">
        <v>0</v>
      </c>
      <c r="BX894" t="s">
        <v>1</v>
      </c>
      <c r="BY894" t="s">
        <v>1</v>
      </c>
      <c r="BZ894" t="s">
        <v>1</v>
      </c>
      <c r="CA894" t="s">
        <v>1</v>
      </c>
      <c r="CB894" t="s">
        <v>1</v>
      </c>
      <c r="CD894" t="e" cm="1">
        <f t="array" aca="1" ref="CD894" ca="1">eConcatenar(A894:CB894,"|")</f>
        <v>#NAME?</v>
      </c>
    </row>
    <row r="895" spans="1:82" x14ac:dyDescent="0.25">
      <c r="A895" t="s">
        <v>990</v>
      </c>
      <c r="B895" t="s">
        <v>2010</v>
      </c>
      <c r="C895">
        <v>3</v>
      </c>
      <c r="D895" t="s">
        <v>2153</v>
      </c>
      <c r="E895" t="s">
        <v>2158</v>
      </c>
      <c r="F895" t="s">
        <v>0</v>
      </c>
      <c r="G895" t="s">
        <v>2449</v>
      </c>
      <c r="H895" t="s">
        <v>2809</v>
      </c>
      <c r="I895">
        <v>14800</v>
      </c>
      <c r="J895">
        <v>0</v>
      </c>
      <c r="K895">
        <v>50</v>
      </c>
      <c r="L895">
        <v>50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 t="s">
        <v>3862</v>
      </c>
      <c r="AC895" t="s">
        <v>3132</v>
      </c>
      <c r="AD895" t="s">
        <v>4006</v>
      </c>
      <c r="AE895" t="s">
        <v>4</v>
      </c>
      <c r="AF895" t="s">
        <v>1</v>
      </c>
      <c r="AG895" t="s">
        <v>1</v>
      </c>
      <c r="AH895" t="s">
        <v>4732</v>
      </c>
      <c r="AI895" t="s">
        <v>2449</v>
      </c>
      <c r="AJ895" t="s">
        <v>1</v>
      </c>
      <c r="AK895">
        <v>9372710481</v>
      </c>
      <c r="AL895" t="s">
        <v>1</v>
      </c>
      <c r="AM895" t="s">
        <v>1</v>
      </c>
      <c r="AN895" t="s">
        <v>1</v>
      </c>
      <c r="AO895" t="s">
        <v>4732</v>
      </c>
      <c r="AP895" t="s">
        <v>1</v>
      </c>
      <c r="AQ895" t="s">
        <v>2</v>
      </c>
      <c r="AR895" t="s">
        <v>1</v>
      </c>
      <c r="AS895" t="s">
        <v>1</v>
      </c>
      <c r="AT895" t="s">
        <v>1</v>
      </c>
      <c r="AU895" t="s">
        <v>1</v>
      </c>
      <c r="AV895" t="s">
        <v>1</v>
      </c>
      <c r="AW895" t="s">
        <v>9</v>
      </c>
      <c r="AX895">
        <f>Tabla1[[#This Row],[precio del paquete]]-Tabla1[[#This Row],[Saldo_Deudor]]</f>
        <v>650</v>
      </c>
      <c r="AY895">
        <v>14150</v>
      </c>
      <c r="AZ895">
        <v>0</v>
      </c>
      <c r="BA895">
        <v>0</v>
      </c>
      <c r="BB895">
        <v>0</v>
      </c>
      <c r="BC895" t="s">
        <v>4827</v>
      </c>
      <c r="BD895" t="s">
        <v>4895</v>
      </c>
      <c r="BE895" t="s">
        <v>3</v>
      </c>
      <c r="BF895" t="s">
        <v>3</v>
      </c>
      <c r="BG895" t="s">
        <v>3</v>
      </c>
      <c r="BH895" t="s">
        <v>3</v>
      </c>
      <c r="BI895" t="s">
        <v>3</v>
      </c>
      <c r="BJ895" t="s">
        <v>5014</v>
      </c>
      <c r="BK895" t="s">
        <v>3</v>
      </c>
      <c r="BL895" t="s">
        <v>96</v>
      </c>
      <c r="BM895" t="s">
        <v>1</v>
      </c>
      <c r="BN895">
        <v>14800</v>
      </c>
      <c r="BO895" t="s">
        <v>1</v>
      </c>
      <c r="BP895" t="s">
        <v>1</v>
      </c>
      <c r="BQ895" t="s">
        <v>1</v>
      </c>
      <c r="BR895" t="s">
        <v>1</v>
      </c>
      <c r="BS895" t="s">
        <v>1</v>
      </c>
      <c r="BT895" t="s">
        <v>1</v>
      </c>
      <c r="BU895" t="s">
        <v>1</v>
      </c>
      <c r="BV895" t="s">
        <v>1</v>
      </c>
      <c r="BW895" t="s">
        <v>0</v>
      </c>
      <c r="BX895" t="s">
        <v>1</v>
      </c>
      <c r="BY895" t="s">
        <v>1</v>
      </c>
      <c r="BZ895" t="s">
        <v>1</v>
      </c>
      <c r="CA895" t="s">
        <v>1</v>
      </c>
      <c r="CB895" t="s">
        <v>1</v>
      </c>
      <c r="CD895" t="e" cm="1">
        <f t="array" aca="1" ref="CD895" ca="1">eConcatenar(A895:CB895,"|")</f>
        <v>#NAME?</v>
      </c>
    </row>
    <row r="896" spans="1:82" x14ac:dyDescent="0.25">
      <c r="A896" t="s">
        <v>991</v>
      </c>
      <c r="B896" t="s">
        <v>2011</v>
      </c>
      <c r="C896">
        <v>3</v>
      </c>
      <c r="D896" t="s">
        <v>2153</v>
      </c>
      <c r="E896" t="s">
        <v>2158</v>
      </c>
      <c r="F896" t="s">
        <v>0</v>
      </c>
      <c r="G896" t="s">
        <v>2636</v>
      </c>
      <c r="H896" t="s">
        <v>2916</v>
      </c>
      <c r="I896">
        <v>14800</v>
      </c>
      <c r="J896">
        <v>0</v>
      </c>
      <c r="K896">
        <v>100</v>
      </c>
      <c r="L896">
        <v>50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 t="s">
        <v>3115</v>
      </c>
      <c r="AC896" t="s">
        <v>3161</v>
      </c>
      <c r="AD896" t="s">
        <v>3783</v>
      </c>
      <c r="AE896" t="s">
        <v>4</v>
      </c>
      <c r="AF896" t="s">
        <v>1</v>
      </c>
      <c r="AG896" t="s">
        <v>1</v>
      </c>
      <c r="AH896" t="s">
        <v>4733</v>
      </c>
      <c r="AI896" t="s">
        <v>2636</v>
      </c>
      <c r="AJ896" t="s">
        <v>1</v>
      </c>
      <c r="AK896">
        <v>9984826644</v>
      </c>
      <c r="AL896" t="s">
        <v>1</v>
      </c>
      <c r="AM896" t="s">
        <v>1</v>
      </c>
      <c r="AN896" t="s">
        <v>1</v>
      </c>
      <c r="AO896" t="s">
        <v>4733</v>
      </c>
      <c r="AP896" t="s">
        <v>1</v>
      </c>
      <c r="AQ896" t="s">
        <v>2</v>
      </c>
      <c r="AR896" t="s">
        <v>1</v>
      </c>
      <c r="AS896" t="s">
        <v>1</v>
      </c>
      <c r="AT896" t="s">
        <v>1</v>
      </c>
      <c r="AU896" t="s">
        <v>1</v>
      </c>
      <c r="AV896" t="s">
        <v>1</v>
      </c>
      <c r="AW896" t="s">
        <v>9</v>
      </c>
      <c r="AX896">
        <f>Tabla1[[#This Row],[precio del paquete]]-Tabla1[[#This Row],[Saldo_Deudor]]</f>
        <v>300</v>
      </c>
      <c r="AY896">
        <v>14500</v>
      </c>
      <c r="AZ896">
        <v>0</v>
      </c>
      <c r="BA896">
        <v>0</v>
      </c>
      <c r="BB896">
        <v>0</v>
      </c>
      <c r="BC896" t="s">
        <v>4827</v>
      </c>
      <c r="BD896" t="s">
        <v>4895</v>
      </c>
      <c r="BE896" t="s">
        <v>3</v>
      </c>
      <c r="BF896" t="s">
        <v>3</v>
      </c>
      <c r="BG896" t="s">
        <v>3</v>
      </c>
      <c r="BH896" t="s">
        <v>3</v>
      </c>
      <c r="BI896" t="s">
        <v>3</v>
      </c>
      <c r="BJ896" t="s">
        <v>5014</v>
      </c>
      <c r="BK896" t="s">
        <v>3</v>
      </c>
      <c r="BL896" t="s">
        <v>96</v>
      </c>
      <c r="BM896" t="s">
        <v>1</v>
      </c>
      <c r="BN896">
        <v>14800</v>
      </c>
      <c r="BO896" t="s">
        <v>1</v>
      </c>
      <c r="BP896" t="s">
        <v>1</v>
      </c>
      <c r="BQ896" t="s">
        <v>1</v>
      </c>
      <c r="BR896" t="s">
        <v>1</v>
      </c>
      <c r="BS896" t="s">
        <v>1</v>
      </c>
      <c r="BT896" t="s">
        <v>1</v>
      </c>
      <c r="BU896" t="s">
        <v>1</v>
      </c>
      <c r="BV896" t="s">
        <v>1</v>
      </c>
      <c r="BW896" t="s">
        <v>0</v>
      </c>
      <c r="BX896" t="s">
        <v>1</v>
      </c>
      <c r="BY896" t="s">
        <v>1</v>
      </c>
      <c r="BZ896" t="s">
        <v>1</v>
      </c>
      <c r="CA896" t="s">
        <v>1</v>
      </c>
      <c r="CB896" t="s">
        <v>1</v>
      </c>
      <c r="CD896" t="e" cm="1">
        <f t="array" aca="1" ref="CD896" ca="1">eConcatenar(A896:CB896,"|")</f>
        <v>#NAME?</v>
      </c>
    </row>
    <row r="897" spans="1:82" x14ac:dyDescent="0.25">
      <c r="A897" t="s">
        <v>992</v>
      </c>
      <c r="B897" t="s">
        <v>2012</v>
      </c>
      <c r="C897">
        <v>3</v>
      </c>
      <c r="D897" t="s">
        <v>2153</v>
      </c>
      <c r="E897" t="s">
        <v>2158</v>
      </c>
      <c r="F897" t="s">
        <v>0</v>
      </c>
      <c r="G897" t="s">
        <v>2638</v>
      </c>
      <c r="H897" t="s">
        <v>2727</v>
      </c>
      <c r="I897">
        <v>14800</v>
      </c>
      <c r="J897">
        <v>0</v>
      </c>
      <c r="K897">
        <v>200</v>
      </c>
      <c r="L897">
        <v>50</v>
      </c>
      <c r="M897">
        <v>1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 t="s">
        <v>3530</v>
      </c>
      <c r="AC897" t="s">
        <v>3114</v>
      </c>
      <c r="AD897" t="s">
        <v>3477</v>
      </c>
      <c r="AE897" t="s">
        <v>4</v>
      </c>
      <c r="AF897" t="s">
        <v>1</v>
      </c>
      <c r="AG897" t="s">
        <v>1</v>
      </c>
      <c r="AH897" t="s">
        <v>4734</v>
      </c>
      <c r="AI897" t="s">
        <v>2638</v>
      </c>
      <c r="AJ897" t="s">
        <v>1</v>
      </c>
      <c r="AK897">
        <v>9171080374</v>
      </c>
      <c r="AL897" t="s">
        <v>1</v>
      </c>
      <c r="AM897" t="s">
        <v>1</v>
      </c>
      <c r="AN897" t="s">
        <v>1</v>
      </c>
      <c r="AO897" t="s">
        <v>4734</v>
      </c>
      <c r="AP897" t="s">
        <v>1</v>
      </c>
      <c r="AQ897" t="s">
        <v>2</v>
      </c>
      <c r="AR897" t="s">
        <v>1</v>
      </c>
      <c r="AS897" t="s">
        <v>1</v>
      </c>
      <c r="AT897" t="s">
        <v>1</v>
      </c>
      <c r="AU897" t="s">
        <v>1</v>
      </c>
      <c r="AV897" t="s">
        <v>1</v>
      </c>
      <c r="AW897" t="s">
        <v>9</v>
      </c>
      <c r="AX897">
        <f>Tabla1[[#This Row],[precio del paquete]]-Tabla1[[#This Row],[Saldo_Deudor]]</f>
        <v>600</v>
      </c>
      <c r="AY897">
        <v>14200</v>
      </c>
      <c r="AZ897">
        <v>0</v>
      </c>
      <c r="BA897">
        <v>0</v>
      </c>
      <c r="BB897">
        <v>0</v>
      </c>
      <c r="BC897" t="s">
        <v>2925</v>
      </c>
      <c r="BD897" t="s">
        <v>3078</v>
      </c>
      <c r="BE897" t="s">
        <v>3</v>
      </c>
      <c r="BF897" t="s">
        <v>3</v>
      </c>
      <c r="BG897" t="s">
        <v>3</v>
      </c>
      <c r="BH897" t="s">
        <v>3</v>
      </c>
      <c r="BI897" t="s">
        <v>3</v>
      </c>
      <c r="BJ897" t="s">
        <v>5014</v>
      </c>
      <c r="BK897" t="s">
        <v>3</v>
      </c>
      <c r="BL897" t="s">
        <v>96</v>
      </c>
      <c r="BM897" t="s">
        <v>1</v>
      </c>
      <c r="BN897">
        <v>14800</v>
      </c>
      <c r="BO897" t="s">
        <v>1</v>
      </c>
      <c r="BP897" t="s">
        <v>1</v>
      </c>
      <c r="BQ897" t="s">
        <v>1</v>
      </c>
      <c r="BR897" t="s">
        <v>1</v>
      </c>
      <c r="BS897" t="s">
        <v>1</v>
      </c>
      <c r="BT897" t="s">
        <v>1</v>
      </c>
      <c r="BU897" t="s">
        <v>1</v>
      </c>
      <c r="BV897" t="s">
        <v>1</v>
      </c>
      <c r="BW897" t="s">
        <v>0</v>
      </c>
      <c r="BX897" t="s">
        <v>1</v>
      </c>
      <c r="BY897" t="s">
        <v>1</v>
      </c>
      <c r="BZ897" t="s">
        <v>1</v>
      </c>
      <c r="CA897" t="s">
        <v>1</v>
      </c>
      <c r="CB897" t="s">
        <v>1</v>
      </c>
      <c r="CD897" t="e" cm="1">
        <f t="array" aca="1" ref="CD897" ca="1">eConcatenar(A897:CB897,"|")</f>
        <v>#NAME?</v>
      </c>
    </row>
    <row r="898" spans="1:82" x14ac:dyDescent="0.25">
      <c r="A898" t="s">
        <v>993</v>
      </c>
      <c r="B898" t="s">
        <v>2013</v>
      </c>
      <c r="C898">
        <v>3</v>
      </c>
      <c r="D898" t="s">
        <v>2153</v>
      </c>
      <c r="E898" t="s">
        <v>2158</v>
      </c>
      <c r="F898" t="s">
        <v>0</v>
      </c>
      <c r="G898" t="s">
        <v>2638</v>
      </c>
      <c r="H898" t="s">
        <v>3040</v>
      </c>
      <c r="I898">
        <v>14800</v>
      </c>
      <c r="J898">
        <v>0</v>
      </c>
      <c r="K898">
        <v>50</v>
      </c>
      <c r="L898">
        <v>50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 t="s">
        <v>3143</v>
      </c>
      <c r="AC898" t="s">
        <v>3236</v>
      </c>
      <c r="AD898" t="s">
        <v>3323</v>
      </c>
      <c r="AE898" t="s">
        <v>4</v>
      </c>
      <c r="AF898" t="s">
        <v>1</v>
      </c>
      <c r="AG898" t="s">
        <v>1</v>
      </c>
      <c r="AH898" t="s">
        <v>4735</v>
      </c>
      <c r="AI898" t="s">
        <v>2638</v>
      </c>
      <c r="AJ898" t="s">
        <v>1</v>
      </c>
      <c r="AK898">
        <v>6721219595</v>
      </c>
      <c r="AL898" t="s">
        <v>1</v>
      </c>
      <c r="AM898" t="s">
        <v>1</v>
      </c>
      <c r="AN898" t="s">
        <v>1</v>
      </c>
      <c r="AO898" t="s">
        <v>4735</v>
      </c>
      <c r="AP898" t="s">
        <v>1</v>
      </c>
      <c r="AQ898" t="s">
        <v>2</v>
      </c>
      <c r="AR898" t="s">
        <v>1</v>
      </c>
      <c r="AS898" t="s">
        <v>1</v>
      </c>
      <c r="AT898" t="s">
        <v>1</v>
      </c>
      <c r="AU898" t="s">
        <v>1</v>
      </c>
      <c r="AV898" t="s">
        <v>1</v>
      </c>
      <c r="AW898" t="s">
        <v>9</v>
      </c>
      <c r="AX898">
        <f>Tabla1[[#This Row],[precio del paquete]]-Tabla1[[#This Row],[Saldo_Deudor]]</f>
        <v>50</v>
      </c>
      <c r="AY898">
        <v>14750</v>
      </c>
      <c r="AZ898">
        <v>0</v>
      </c>
      <c r="BA898">
        <v>0</v>
      </c>
      <c r="BB898">
        <v>0</v>
      </c>
      <c r="BC898" t="s">
        <v>3040</v>
      </c>
      <c r="BD898" t="s">
        <v>4914</v>
      </c>
      <c r="BE898" t="s">
        <v>3</v>
      </c>
      <c r="BF898" t="s">
        <v>3</v>
      </c>
      <c r="BG898" t="s">
        <v>3</v>
      </c>
      <c r="BH898" t="s">
        <v>3</v>
      </c>
      <c r="BI898" t="s">
        <v>3</v>
      </c>
      <c r="BJ898" t="s">
        <v>5014</v>
      </c>
      <c r="BK898" t="s">
        <v>3</v>
      </c>
      <c r="BL898" t="s">
        <v>96</v>
      </c>
      <c r="BM898" t="s">
        <v>1</v>
      </c>
      <c r="BN898">
        <v>14800</v>
      </c>
      <c r="BO898" t="s">
        <v>1</v>
      </c>
      <c r="BP898" t="s">
        <v>1</v>
      </c>
      <c r="BQ898" t="s">
        <v>1</v>
      </c>
      <c r="BR898" t="s">
        <v>1</v>
      </c>
      <c r="BS898" t="s">
        <v>1</v>
      </c>
      <c r="BT898" t="s">
        <v>1</v>
      </c>
      <c r="BU898" t="s">
        <v>1</v>
      </c>
      <c r="BV898" t="s">
        <v>1</v>
      </c>
      <c r="BW898" t="s">
        <v>0</v>
      </c>
      <c r="BX898" t="s">
        <v>1</v>
      </c>
      <c r="BY898" t="s">
        <v>1</v>
      </c>
      <c r="BZ898" t="s">
        <v>1</v>
      </c>
      <c r="CA898" t="s">
        <v>1</v>
      </c>
      <c r="CB898" t="s">
        <v>1</v>
      </c>
      <c r="CD898" t="e" cm="1">
        <f t="array" aca="1" ref="CD898" ca="1">eConcatenar(A898:CB898,"|")</f>
        <v>#NAME?</v>
      </c>
    </row>
    <row r="899" spans="1:82" x14ac:dyDescent="0.25">
      <c r="A899" t="s">
        <v>994</v>
      </c>
      <c r="B899" t="s">
        <v>2014</v>
      </c>
      <c r="C899">
        <v>3</v>
      </c>
      <c r="D899" t="s">
        <v>2153</v>
      </c>
      <c r="E899" t="s">
        <v>2158</v>
      </c>
      <c r="F899" t="s">
        <v>0</v>
      </c>
      <c r="G899" t="s">
        <v>2638</v>
      </c>
      <c r="H899" t="s">
        <v>3072</v>
      </c>
      <c r="I899">
        <v>14800</v>
      </c>
      <c r="J899">
        <v>0</v>
      </c>
      <c r="K899">
        <v>100</v>
      </c>
      <c r="L899">
        <v>50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 t="s">
        <v>4007</v>
      </c>
      <c r="AC899" t="s">
        <v>3238</v>
      </c>
      <c r="AD899" t="s">
        <v>4008</v>
      </c>
      <c r="AE899" t="s">
        <v>4</v>
      </c>
      <c r="AF899" t="s">
        <v>1</v>
      </c>
      <c r="AG899" t="s">
        <v>1</v>
      </c>
      <c r="AH899" t="s">
        <v>4736</v>
      </c>
      <c r="AI899" t="s">
        <v>2638</v>
      </c>
      <c r="AJ899" t="s">
        <v>1</v>
      </c>
      <c r="AK899">
        <v>9371107252</v>
      </c>
      <c r="AL899" t="s">
        <v>1</v>
      </c>
      <c r="AM899" t="s">
        <v>1</v>
      </c>
      <c r="AN899" t="s">
        <v>1</v>
      </c>
      <c r="AO899" t="s">
        <v>4736</v>
      </c>
      <c r="AP899" t="s">
        <v>1</v>
      </c>
      <c r="AQ899" t="s">
        <v>2</v>
      </c>
      <c r="AR899" t="s">
        <v>1</v>
      </c>
      <c r="AS899" t="s">
        <v>1</v>
      </c>
      <c r="AT899" t="s">
        <v>1</v>
      </c>
      <c r="AU899" t="s">
        <v>1</v>
      </c>
      <c r="AV899" t="s">
        <v>1</v>
      </c>
      <c r="AW899" t="s">
        <v>9</v>
      </c>
      <c r="AX899">
        <f>Tabla1[[#This Row],[precio del paquete]]-Tabla1[[#This Row],[Saldo_Deudor]]</f>
        <v>500</v>
      </c>
      <c r="AY899">
        <v>14300</v>
      </c>
      <c r="AZ899">
        <v>0</v>
      </c>
      <c r="BA899">
        <v>0</v>
      </c>
      <c r="BB899">
        <v>0</v>
      </c>
      <c r="BC899" t="s">
        <v>4826</v>
      </c>
      <c r="BD899" t="s">
        <v>2706</v>
      </c>
      <c r="BE899" t="s">
        <v>3</v>
      </c>
      <c r="BF899" t="s">
        <v>3</v>
      </c>
      <c r="BG899" t="s">
        <v>3</v>
      </c>
      <c r="BH899" t="s">
        <v>3</v>
      </c>
      <c r="BI899" t="s">
        <v>3</v>
      </c>
      <c r="BJ899" t="s">
        <v>5014</v>
      </c>
      <c r="BK899" t="s">
        <v>3</v>
      </c>
      <c r="BL899" t="s">
        <v>96</v>
      </c>
      <c r="BM899" t="s">
        <v>1</v>
      </c>
      <c r="BN899">
        <v>14800</v>
      </c>
      <c r="BO899" t="s">
        <v>1</v>
      </c>
      <c r="BP899" t="s">
        <v>1</v>
      </c>
      <c r="BQ899" t="s">
        <v>1</v>
      </c>
      <c r="BR899" t="s">
        <v>1</v>
      </c>
      <c r="BS899" t="s">
        <v>1</v>
      </c>
      <c r="BT899" t="s">
        <v>1</v>
      </c>
      <c r="BU899" t="s">
        <v>1</v>
      </c>
      <c r="BV899" t="s">
        <v>1</v>
      </c>
      <c r="BW899" t="s">
        <v>0</v>
      </c>
      <c r="BX899" t="s">
        <v>1</v>
      </c>
      <c r="BY899" t="s">
        <v>1</v>
      </c>
      <c r="BZ899" t="s">
        <v>1</v>
      </c>
      <c r="CA899" t="s">
        <v>1</v>
      </c>
      <c r="CB899" t="s">
        <v>1</v>
      </c>
      <c r="CD899" t="e" cm="1">
        <f t="array" aca="1" ref="CD899" ca="1">eConcatenar(A899:CB899,"|")</f>
        <v>#NAME?</v>
      </c>
    </row>
    <row r="900" spans="1:82" x14ac:dyDescent="0.25">
      <c r="A900" t="s">
        <v>995</v>
      </c>
      <c r="B900" t="s">
        <v>2016</v>
      </c>
      <c r="C900">
        <v>3</v>
      </c>
      <c r="D900" t="s">
        <v>2153</v>
      </c>
      <c r="E900" t="s">
        <v>2158</v>
      </c>
      <c r="F900" t="s">
        <v>0</v>
      </c>
      <c r="G900" t="s">
        <v>2651</v>
      </c>
      <c r="H900" t="s">
        <v>3081</v>
      </c>
      <c r="I900">
        <v>14800</v>
      </c>
      <c r="J900">
        <v>0</v>
      </c>
      <c r="K900">
        <v>50</v>
      </c>
      <c r="L900">
        <v>50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 t="s">
        <v>3225</v>
      </c>
      <c r="AC900" t="s">
        <v>5</v>
      </c>
      <c r="AD900" t="s">
        <v>4009</v>
      </c>
      <c r="AE900" t="s">
        <v>4</v>
      </c>
      <c r="AF900" t="s">
        <v>1</v>
      </c>
      <c r="AG900" t="s">
        <v>1</v>
      </c>
      <c r="AH900" t="s">
        <v>4737</v>
      </c>
      <c r="AI900" t="s">
        <v>2651</v>
      </c>
      <c r="AJ900" t="s">
        <v>1</v>
      </c>
      <c r="AK900">
        <v>9371536188</v>
      </c>
      <c r="AL900" t="s">
        <v>1</v>
      </c>
      <c r="AM900" t="s">
        <v>1</v>
      </c>
      <c r="AN900" t="s">
        <v>1</v>
      </c>
      <c r="AO900" t="s">
        <v>4737</v>
      </c>
      <c r="AP900" t="s">
        <v>1</v>
      </c>
      <c r="AQ900" t="s">
        <v>2</v>
      </c>
      <c r="AR900" t="s">
        <v>1</v>
      </c>
      <c r="AS900" t="s">
        <v>1</v>
      </c>
      <c r="AT900" t="s">
        <v>1</v>
      </c>
      <c r="AU900" t="s">
        <v>1</v>
      </c>
      <c r="AV900" t="s">
        <v>1</v>
      </c>
      <c r="AW900" t="s">
        <v>9</v>
      </c>
      <c r="AX900">
        <f>Tabla1[[#This Row],[precio del paquete]]-Tabla1[[#This Row],[Saldo_Deudor]]</f>
        <v>-122700</v>
      </c>
      <c r="AY900">
        <v>137500</v>
      </c>
      <c r="AZ900">
        <v>0</v>
      </c>
      <c r="BA900">
        <v>0</v>
      </c>
      <c r="BB900">
        <v>0</v>
      </c>
      <c r="BC900" t="s">
        <v>3013</v>
      </c>
      <c r="BD900" t="s">
        <v>2871</v>
      </c>
      <c r="BE900" t="s">
        <v>3</v>
      </c>
      <c r="BF900" t="s">
        <v>3</v>
      </c>
      <c r="BG900" t="s">
        <v>3</v>
      </c>
      <c r="BH900" t="s">
        <v>3</v>
      </c>
      <c r="BI900" t="s">
        <v>3</v>
      </c>
      <c r="BJ900" t="s">
        <v>5014</v>
      </c>
      <c r="BK900" t="s">
        <v>3</v>
      </c>
      <c r="BL900" t="s">
        <v>96</v>
      </c>
      <c r="BM900" t="s">
        <v>1</v>
      </c>
      <c r="BN900">
        <v>14800</v>
      </c>
      <c r="BO900" t="s">
        <v>1</v>
      </c>
      <c r="BP900" t="s">
        <v>1</v>
      </c>
      <c r="BQ900" t="s">
        <v>1</v>
      </c>
      <c r="BR900" t="s">
        <v>1</v>
      </c>
      <c r="BS900" t="s">
        <v>1</v>
      </c>
      <c r="BT900" t="s">
        <v>1</v>
      </c>
      <c r="BU900" t="s">
        <v>1</v>
      </c>
      <c r="BV900" t="s">
        <v>1</v>
      </c>
      <c r="BW900" t="s">
        <v>0</v>
      </c>
      <c r="BX900" t="s">
        <v>1</v>
      </c>
      <c r="BY900" t="s">
        <v>1</v>
      </c>
      <c r="BZ900" t="s">
        <v>1</v>
      </c>
      <c r="CA900" t="s">
        <v>1</v>
      </c>
      <c r="CB900" t="s">
        <v>1</v>
      </c>
      <c r="CD900" t="e" cm="1">
        <f t="array" aca="1" ref="CD900" ca="1">eConcatenar(A900:CB900,"|")</f>
        <v>#NAME?</v>
      </c>
    </row>
    <row r="901" spans="1:82" x14ac:dyDescent="0.25">
      <c r="A901" t="s">
        <v>996</v>
      </c>
      <c r="B901" t="s">
        <v>2017</v>
      </c>
      <c r="C901">
        <v>3</v>
      </c>
      <c r="D901" t="s">
        <v>2153</v>
      </c>
      <c r="E901" t="s">
        <v>2158</v>
      </c>
      <c r="F901" t="s">
        <v>0</v>
      </c>
      <c r="G901" t="s">
        <v>2642</v>
      </c>
      <c r="H901" t="s">
        <v>2697</v>
      </c>
      <c r="I901">
        <v>14800</v>
      </c>
      <c r="J901">
        <v>0</v>
      </c>
      <c r="K901">
        <v>100</v>
      </c>
      <c r="L901">
        <v>50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 t="s">
        <v>3863</v>
      </c>
      <c r="AC901" t="s">
        <v>3523</v>
      </c>
      <c r="AD901" t="s">
        <v>3498</v>
      </c>
      <c r="AE901" t="s">
        <v>4</v>
      </c>
      <c r="AF901" t="s">
        <v>1</v>
      </c>
      <c r="AG901" t="s">
        <v>1</v>
      </c>
      <c r="AH901" t="s">
        <v>4738</v>
      </c>
      <c r="AI901" t="s">
        <v>2642</v>
      </c>
      <c r="AJ901" t="s">
        <v>1</v>
      </c>
      <c r="AK901">
        <v>9371651688</v>
      </c>
      <c r="AL901" t="s">
        <v>1</v>
      </c>
      <c r="AM901" t="s">
        <v>1</v>
      </c>
      <c r="AN901" t="s">
        <v>1</v>
      </c>
      <c r="AO901" t="s">
        <v>4738</v>
      </c>
      <c r="AP901" t="s">
        <v>1</v>
      </c>
      <c r="AQ901" t="s">
        <v>2</v>
      </c>
      <c r="AR901" t="s">
        <v>1</v>
      </c>
      <c r="AS901" t="s">
        <v>1</v>
      </c>
      <c r="AT901" t="s">
        <v>1</v>
      </c>
      <c r="AU901" t="s">
        <v>1</v>
      </c>
      <c r="AV901" t="s">
        <v>1</v>
      </c>
      <c r="AW901" t="s">
        <v>9</v>
      </c>
      <c r="AX901">
        <f>Tabla1[[#This Row],[precio del paquete]]-Tabla1[[#This Row],[Saldo_Deudor]]</f>
        <v>600</v>
      </c>
      <c r="AY901">
        <v>14200</v>
      </c>
      <c r="AZ901">
        <v>0</v>
      </c>
      <c r="BA901">
        <v>0</v>
      </c>
      <c r="BB901">
        <v>0</v>
      </c>
      <c r="BC901" t="s">
        <v>2809</v>
      </c>
      <c r="BD901" t="s">
        <v>2704</v>
      </c>
      <c r="BE901" t="s">
        <v>3</v>
      </c>
      <c r="BF901" t="s">
        <v>3</v>
      </c>
      <c r="BG901" t="s">
        <v>3</v>
      </c>
      <c r="BH901" t="s">
        <v>3</v>
      </c>
      <c r="BI901" t="s">
        <v>3</v>
      </c>
      <c r="BJ901" t="s">
        <v>5014</v>
      </c>
      <c r="BK901" t="s">
        <v>3</v>
      </c>
      <c r="BL901" t="s">
        <v>96</v>
      </c>
      <c r="BM901" t="s">
        <v>1</v>
      </c>
      <c r="BN901">
        <v>14800</v>
      </c>
      <c r="BO901" t="s">
        <v>1</v>
      </c>
      <c r="BP901" t="s">
        <v>1</v>
      </c>
      <c r="BQ901" t="s">
        <v>1</v>
      </c>
      <c r="BR901" t="s">
        <v>1</v>
      </c>
      <c r="BS901" t="s">
        <v>1</v>
      </c>
      <c r="BT901" t="s">
        <v>1</v>
      </c>
      <c r="BU901" t="s">
        <v>1</v>
      </c>
      <c r="BV901" t="s">
        <v>1</v>
      </c>
      <c r="BW901" t="s">
        <v>0</v>
      </c>
      <c r="BX901" t="s">
        <v>1</v>
      </c>
      <c r="BY901" t="s">
        <v>1</v>
      </c>
      <c r="BZ901" t="s">
        <v>1</v>
      </c>
      <c r="CA901" t="s">
        <v>1</v>
      </c>
      <c r="CB901" t="s">
        <v>1</v>
      </c>
      <c r="CD901" t="e" cm="1">
        <f t="array" aca="1" ref="CD901" ca="1">eConcatenar(A901:CB901,"|")</f>
        <v>#NAME?</v>
      </c>
    </row>
    <row r="902" spans="1:82" x14ac:dyDescent="0.25">
      <c r="A902" t="s">
        <v>997</v>
      </c>
      <c r="B902" t="s">
        <v>2018</v>
      </c>
      <c r="C902">
        <v>3</v>
      </c>
      <c r="D902" t="s">
        <v>2153</v>
      </c>
      <c r="E902" t="s">
        <v>2158</v>
      </c>
      <c r="F902" t="s">
        <v>0</v>
      </c>
      <c r="G902" t="s">
        <v>2637</v>
      </c>
      <c r="H902" t="s">
        <v>3072</v>
      </c>
      <c r="I902">
        <v>14800</v>
      </c>
      <c r="J902">
        <v>0</v>
      </c>
      <c r="K902">
        <v>100</v>
      </c>
      <c r="L902">
        <v>50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 t="s">
        <v>5</v>
      </c>
      <c r="AC902" t="s">
        <v>3373</v>
      </c>
      <c r="AD902" t="s">
        <v>7</v>
      </c>
      <c r="AE902" t="s">
        <v>4</v>
      </c>
      <c r="AF902" t="s">
        <v>1</v>
      </c>
      <c r="AG902" t="s">
        <v>1</v>
      </c>
      <c r="AH902" t="s">
        <v>4698</v>
      </c>
      <c r="AI902" t="s">
        <v>2637</v>
      </c>
      <c r="AJ902" t="s">
        <v>1</v>
      </c>
      <c r="AK902">
        <v>9371396357</v>
      </c>
      <c r="AL902" t="s">
        <v>1</v>
      </c>
      <c r="AM902" t="s">
        <v>1</v>
      </c>
      <c r="AN902" t="s">
        <v>1</v>
      </c>
      <c r="AO902" t="s">
        <v>4698</v>
      </c>
      <c r="AP902" t="s">
        <v>1</v>
      </c>
      <c r="AQ902" t="s">
        <v>2</v>
      </c>
      <c r="AR902" t="s">
        <v>1</v>
      </c>
      <c r="AS902" t="s">
        <v>1</v>
      </c>
      <c r="AT902" t="s">
        <v>1</v>
      </c>
      <c r="AU902" t="s">
        <v>1</v>
      </c>
      <c r="AV902" t="s">
        <v>1</v>
      </c>
      <c r="AW902" t="s">
        <v>9</v>
      </c>
      <c r="AX902">
        <f>Tabla1[[#This Row],[precio del paquete]]-Tabla1[[#This Row],[Saldo_Deudor]]</f>
        <v>100</v>
      </c>
      <c r="AY902">
        <v>14700</v>
      </c>
      <c r="AZ902">
        <v>0</v>
      </c>
      <c r="BA902">
        <v>0</v>
      </c>
      <c r="BB902">
        <v>0</v>
      </c>
      <c r="BC902" t="s">
        <v>3072</v>
      </c>
      <c r="BD902" t="s">
        <v>4875</v>
      </c>
      <c r="BE902" t="s">
        <v>3</v>
      </c>
      <c r="BF902" t="s">
        <v>3</v>
      </c>
      <c r="BG902" t="s">
        <v>3</v>
      </c>
      <c r="BH902" t="s">
        <v>3</v>
      </c>
      <c r="BI902" t="s">
        <v>3</v>
      </c>
      <c r="BJ902" t="s">
        <v>5014</v>
      </c>
      <c r="BK902" t="s">
        <v>3</v>
      </c>
      <c r="BL902" t="s">
        <v>96</v>
      </c>
      <c r="BM902" t="s">
        <v>1</v>
      </c>
      <c r="BN902">
        <v>14800</v>
      </c>
      <c r="BO902" t="s">
        <v>1</v>
      </c>
      <c r="BP902" t="s">
        <v>1</v>
      </c>
      <c r="BQ902" t="s">
        <v>1</v>
      </c>
      <c r="BR902" t="s">
        <v>1</v>
      </c>
      <c r="BS902" t="s">
        <v>1</v>
      </c>
      <c r="BT902" t="s">
        <v>1</v>
      </c>
      <c r="BU902" t="s">
        <v>1</v>
      </c>
      <c r="BV902" t="s">
        <v>1</v>
      </c>
      <c r="BW902" t="s">
        <v>0</v>
      </c>
      <c r="BX902" t="s">
        <v>1</v>
      </c>
      <c r="BY902" t="s">
        <v>1</v>
      </c>
      <c r="BZ902" t="s">
        <v>1</v>
      </c>
      <c r="CA902" t="s">
        <v>1</v>
      </c>
      <c r="CB902" t="s">
        <v>1</v>
      </c>
      <c r="CD902" t="e" cm="1">
        <f t="array" aca="1" ref="CD902" ca="1">eConcatenar(A902:CB902,"|")</f>
        <v>#NAME?</v>
      </c>
    </row>
    <row r="903" spans="1:82" x14ac:dyDescent="0.25">
      <c r="A903" t="s">
        <v>998</v>
      </c>
      <c r="B903" t="s">
        <v>2019</v>
      </c>
      <c r="C903">
        <v>3</v>
      </c>
      <c r="D903" t="s">
        <v>2155</v>
      </c>
      <c r="E903" t="s">
        <v>2158</v>
      </c>
      <c r="F903" t="s">
        <v>2159</v>
      </c>
      <c r="G903" t="s">
        <v>2609</v>
      </c>
      <c r="H903" t="s">
        <v>3082</v>
      </c>
      <c r="I903">
        <v>12900</v>
      </c>
      <c r="J903">
        <v>0</v>
      </c>
      <c r="K903">
        <v>100</v>
      </c>
      <c r="L903">
        <v>50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 t="s">
        <v>3155</v>
      </c>
      <c r="AC903" t="s">
        <v>3280</v>
      </c>
      <c r="AD903" t="s">
        <v>3688</v>
      </c>
      <c r="AE903" t="s">
        <v>4</v>
      </c>
      <c r="AF903" t="s">
        <v>1</v>
      </c>
      <c r="AG903" t="s">
        <v>1</v>
      </c>
      <c r="AH903" t="s">
        <v>4739</v>
      </c>
      <c r="AI903" t="s">
        <v>2609</v>
      </c>
      <c r="AJ903" t="s">
        <v>1</v>
      </c>
      <c r="AK903">
        <v>9332089718</v>
      </c>
      <c r="AL903" t="s">
        <v>1</v>
      </c>
      <c r="AM903" t="s">
        <v>1</v>
      </c>
      <c r="AN903" t="s">
        <v>1</v>
      </c>
      <c r="AO903" t="s">
        <v>4739</v>
      </c>
      <c r="AP903" t="s">
        <v>1</v>
      </c>
      <c r="AQ903" t="s">
        <v>2</v>
      </c>
      <c r="AR903" t="s">
        <v>1</v>
      </c>
      <c r="AS903" t="s">
        <v>1</v>
      </c>
      <c r="AT903" t="s">
        <v>1</v>
      </c>
      <c r="AU903" t="s">
        <v>1</v>
      </c>
      <c r="AV903" t="s">
        <v>1</v>
      </c>
      <c r="AW903" t="s">
        <v>9</v>
      </c>
      <c r="AX903">
        <f>Tabla1[[#This Row],[precio del paquete]]-Tabla1[[#This Row],[Saldo_Deudor]]</f>
        <v>6400</v>
      </c>
      <c r="AY903">
        <v>6500</v>
      </c>
      <c r="AZ903">
        <v>0</v>
      </c>
      <c r="BA903">
        <v>0</v>
      </c>
      <c r="BB903">
        <v>0</v>
      </c>
      <c r="BC903" t="s">
        <v>4883</v>
      </c>
      <c r="BD903" t="s">
        <v>4971</v>
      </c>
      <c r="BE903" t="s">
        <v>3</v>
      </c>
      <c r="BF903" t="s">
        <v>3</v>
      </c>
      <c r="BG903" t="s">
        <v>3</v>
      </c>
      <c r="BH903" t="s">
        <v>3</v>
      </c>
      <c r="BI903" t="s">
        <v>3</v>
      </c>
      <c r="BJ903" t="s">
        <v>5014</v>
      </c>
      <c r="BK903" t="s">
        <v>3</v>
      </c>
      <c r="BL903" t="s">
        <v>96</v>
      </c>
      <c r="BM903" t="s">
        <v>1</v>
      </c>
      <c r="BN903">
        <v>12900</v>
      </c>
      <c r="BO903" t="s">
        <v>1</v>
      </c>
      <c r="BP903" t="s">
        <v>1</v>
      </c>
      <c r="BQ903" t="s">
        <v>1</v>
      </c>
      <c r="BR903" t="s">
        <v>1</v>
      </c>
      <c r="BS903" t="s">
        <v>1</v>
      </c>
      <c r="BT903" t="s">
        <v>1</v>
      </c>
      <c r="BU903" t="s">
        <v>1</v>
      </c>
      <c r="BV903" t="s">
        <v>1</v>
      </c>
      <c r="BW903" t="s">
        <v>0</v>
      </c>
      <c r="BX903" t="s">
        <v>1</v>
      </c>
      <c r="BY903" t="s">
        <v>1</v>
      </c>
      <c r="BZ903" t="s">
        <v>1</v>
      </c>
      <c r="CA903" t="s">
        <v>1</v>
      </c>
      <c r="CB903" t="s">
        <v>1</v>
      </c>
      <c r="CD903" t="e" cm="1">
        <f t="array" aca="1" ref="CD903" ca="1">eConcatenar(A903:CB903,"|")</f>
        <v>#NAME?</v>
      </c>
    </row>
    <row r="904" spans="1:82" x14ac:dyDescent="0.25">
      <c r="A904" t="s">
        <v>999</v>
      </c>
      <c r="B904" t="s">
        <v>2020</v>
      </c>
      <c r="C904">
        <v>3</v>
      </c>
      <c r="D904" t="s">
        <v>2155</v>
      </c>
      <c r="E904" t="s">
        <v>2158</v>
      </c>
      <c r="F904" t="s">
        <v>2159</v>
      </c>
      <c r="G904" t="s">
        <v>2609</v>
      </c>
      <c r="H904" t="s">
        <v>2999</v>
      </c>
      <c r="I904">
        <v>12900</v>
      </c>
      <c r="J904">
        <v>0</v>
      </c>
      <c r="K904">
        <v>100</v>
      </c>
      <c r="L904">
        <v>50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 t="s">
        <v>3132</v>
      </c>
      <c r="AC904" t="s">
        <v>3122</v>
      </c>
      <c r="AD904" t="s">
        <v>3839</v>
      </c>
      <c r="AE904" t="s">
        <v>4</v>
      </c>
      <c r="AF904" t="s">
        <v>1</v>
      </c>
      <c r="AG904" t="s">
        <v>1</v>
      </c>
      <c r="AH904" t="s">
        <v>4740</v>
      </c>
      <c r="AI904" t="s">
        <v>2609</v>
      </c>
      <c r="AJ904" t="s">
        <v>1</v>
      </c>
      <c r="AK904">
        <v>9372079608</v>
      </c>
      <c r="AL904" t="s">
        <v>1</v>
      </c>
      <c r="AM904" t="s">
        <v>1</v>
      </c>
      <c r="AN904" t="s">
        <v>1</v>
      </c>
      <c r="AO904" t="s">
        <v>4740</v>
      </c>
      <c r="AP904" t="s">
        <v>1</v>
      </c>
      <c r="AQ904" t="s">
        <v>2</v>
      </c>
      <c r="AR904" t="s">
        <v>1</v>
      </c>
      <c r="AS904" t="s">
        <v>1</v>
      </c>
      <c r="AT904" t="s">
        <v>1</v>
      </c>
      <c r="AU904" t="s">
        <v>1</v>
      </c>
      <c r="AV904" t="s">
        <v>1</v>
      </c>
      <c r="AW904" t="s">
        <v>9</v>
      </c>
      <c r="AX904">
        <f>Tabla1[[#This Row],[precio del paquete]]-Tabla1[[#This Row],[Saldo_Deudor]]</f>
        <v>5200</v>
      </c>
      <c r="AY904">
        <v>7700</v>
      </c>
      <c r="AZ904">
        <v>0</v>
      </c>
      <c r="BA904">
        <v>0</v>
      </c>
      <c r="BB904">
        <v>0</v>
      </c>
      <c r="BC904" t="s">
        <v>4883</v>
      </c>
      <c r="BD904" t="s">
        <v>4971</v>
      </c>
      <c r="BE904" t="s">
        <v>3</v>
      </c>
      <c r="BF904" t="s">
        <v>3</v>
      </c>
      <c r="BG904" t="s">
        <v>3</v>
      </c>
      <c r="BH904" t="s">
        <v>3</v>
      </c>
      <c r="BI904" t="s">
        <v>3</v>
      </c>
      <c r="BJ904" t="s">
        <v>5011</v>
      </c>
      <c r="BK904" t="s">
        <v>3</v>
      </c>
      <c r="BL904" t="s">
        <v>96</v>
      </c>
      <c r="BM904" t="s">
        <v>1</v>
      </c>
      <c r="BN904">
        <v>12900</v>
      </c>
      <c r="BO904" t="s">
        <v>1</v>
      </c>
      <c r="BP904" t="s">
        <v>1</v>
      </c>
      <c r="BQ904" t="s">
        <v>1</v>
      </c>
      <c r="BR904" t="s">
        <v>1</v>
      </c>
      <c r="BS904" t="s">
        <v>1</v>
      </c>
      <c r="BT904" t="s">
        <v>1</v>
      </c>
      <c r="BU904" t="s">
        <v>1</v>
      </c>
      <c r="BV904" t="s">
        <v>1</v>
      </c>
      <c r="BW904" t="s">
        <v>0</v>
      </c>
      <c r="BX904" t="s">
        <v>1</v>
      </c>
      <c r="BY904" t="s">
        <v>1</v>
      </c>
      <c r="BZ904" t="s">
        <v>1</v>
      </c>
      <c r="CA904" t="s">
        <v>1</v>
      </c>
      <c r="CB904" t="s">
        <v>1</v>
      </c>
      <c r="CD904" t="e" cm="1">
        <f t="array" aca="1" ref="CD904" ca="1">eConcatenar(A904:CB904,"|")</f>
        <v>#NAME?</v>
      </c>
    </row>
    <row r="905" spans="1:82" x14ac:dyDescent="0.25">
      <c r="A905" t="s">
        <v>1000</v>
      </c>
      <c r="B905" t="s">
        <v>2022</v>
      </c>
      <c r="C905">
        <v>3</v>
      </c>
      <c r="D905" t="s">
        <v>2157</v>
      </c>
      <c r="E905" t="s">
        <v>2158</v>
      </c>
      <c r="F905" t="s">
        <v>2159</v>
      </c>
      <c r="G905" t="s">
        <v>2652</v>
      </c>
      <c r="H905" t="s">
        <v>3083</v>
      </c>
      <c r="I905">
        <v>12900</v>
      </c>
      <c r="J905">
        <v>0</v>
      </c>
      <c r="K905">
        <v>100</v>
      </c>
      <c r="L905">
        <v>50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 t="s">
        <v>3132</v>
      </c>
      <c r="AC905" t="s">
        <v>3132</v>
      </c>
      <c r="AD905" t="s">
        <v>3388</v>
      </c>
      <c r="AE905" t="s">
        <v>4</v>
      </c>
      <c r="AF905" t="s">
        <v>1</v>
      </c>
      <c r="AG905" t="s">
        <v>1</v>
      </c>
      <c r="AH905" t="s">
        <v>4741</v>
      </c>
      <c r="AI905" t="s">
        <v>2652</v>
      </c>
      <c r="AJ905" t="s">
        <v>1</v>
      </c>
      <c r="AK905">
        <v>9331201578</v>
      </c>
      <c r="AL905" t="s">
        <v>1</v>
      </c>
      <c r="AM905" t="s">
        <v>1</v>
      </c>
      <c r="AN905" t="s">
        <v>1</v>
      </c>
      <c r="AO905" t="s">
        <v>4741</v>
      </c>
      <c r="AP905" t="s">
        <v>1</v>
      </c>
      <c r="AQ905" t="s">
        <v>2</v>
      </c>
      <c r="AR905" t="s">
        <v>1</v>
      </c>
      <c r="AS905" t="s">
        <v>1</v>
      </c>
      <c r="AT905" t="s">
        <v>1</v>
      </c>
      <c r="AU905" t="s">
        <v>1</v>
      </c>
      <c r="AV905" t="s">
        <v>1</v>
      </c>
      <c r="AW905" t="s">
        <v>9</v>
      </c>
      <c r="AX905">
        <f>Tabla1[[#This Row],[precio del paquete]]-Tabla1[[#This Row],[Saldo_Deudor]]</f>
        <v>5900</v>
      </c>
      <c r="AY905">
        <v>7000</v>
      </c>
      <c r="AZ905">
        <v>0</v>
      </c>
      <c r="BA905">
        <v>0</v>
      </c>
      <c r="BB905">
        <v>0</v>
      </c>
      <c r="BC905" t="s">
        <v>4883</v>
      </c>
      <c r="BD905" t="s">
        <v>4971</v>
      </c>
      <c r="BE905" t="s">
        <v>3</v>
      </c>
      <c r="BF905" t="s">
        <v>3</v>
      </c>
      <c r="BG905" t="s">
        <v>3</v>
      </c>
      <c r="BH905" t="s">
        <v>3</v>
      </c>
      <c r="BI905" t="s">
        <v>3</v>
      </c>
      <c r="BJ905" t="s">
        <v>5011</v>
      </c>
      <c r="BK905" t="s">
        <v>3</v>
      </c>
      <c r="BL905" t="s">
        <v>96</v>
      </c>
      <c r="BM905" t="s">
        <v>1</v>
      </c>
      <c r="BN905">
        <v>12900</v>
      </c>
      <c r="BO905" t="s">
        <v>1</v>
      </c>
      <c r="BP905" t="s">
        <v>1</v>
      </c>
      <c r="BQ905" t="s">
        <v>1</v>
      </c>
      <c r="BR905" t="s">
        <v>1</v>
      </c>
      <c r="BS905" t="s">
        <v>1</v>
      </c>
      <c r="BT905" t="s">
        <v>1</v>
      </c>
      <c r="BU905" t="s">
        <v>1</v>
      </c>
      <c r="BV905" t="s">
        <v>1</v>
      </c>
      <c r="BW905" t="s">
        <v>0</v>
      </c>
      <c r="BX905" t="s">
        <v>1</v>
      </c>
      <c r="BY905" t="s">
        <v>1</v>
      </c>
      <c r="BZ905" t="s">
        <v>1</v>
      </c>
      <c r="CA905" t="s">
        <v>1</v>
      </c>
      <c r="CB905" t="s">
        <v>1</v>
      </c>
      <c r="CD905" t="e" cm="1">
        <f t="array" aca="1" ref="CD905" ca="1">eConcatenar(A905:CB905,"|")</f>
        <v>#NAME?</v>
      </c>
    </row>
    <row r="906" spans="1:82" x14ac:dyDescent="0.25">
      <c r="A906" t="s">
        <v>1001</v>
      </c>
      <c r="B906" t="s">
        <v>2023</v>
      </c>
      <c r="C906">
        <v>3</v>
      </c>
      <c r="D906" t="s">
        <v>2157</v>
      </c>
      <c r="E906" t="s">
        <v>2158</v>
      </c>
      <c r="F906" t="s">
        <v>2159</v>
      </c>
      <c r="G906" t="s">
        <v>2610</v>
      </c>
      <c r="H906" t="s">
        <v>3084</v>
      </c>
      <c r="I906">
        <v>12900</v>
      </c>
      <c r="J906">
        <v>0</v>
      </c>
      <c r="K906">
        <v>400</v>
      </c>
      <c r="L906">
        <v>50</v>
      </c>
      <c r="M906">
        <v>2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 t="s">
        <v>3686</v>
      </c>
      <c r="AC906" t="s">
        <v>3155</v>
      </c>
      <c r="AD906" t="s">
        <v>4010</v>
      </c>
      <c r="AE906" t="s">
        <v>4</v>
      </c>
      <c r="AF906" t="s">
        <v>1</v>
      </c>
      <c r="AG906" t="s">
        <v>1</v>
      </c>
      <c r="AH906" t="s">
        <v>4742</v>
      </c>
      <c r="AI906" t="s">
        <v>2610</v>
      </c>
      <c r="AJ906" t="s">
        <v>1</v>
      </c>
      <c r="AK906">
        <v>9331061113</v>
      </c>
      <c r="AL906" t="s">
        <v>1</v>
      </c>
      <c r="AM906" t="s">
        <v>1</v>
      </c>
      <c r="AN906" t="s">
        <v>1</v>
      </c>
      <c r="AO906" t="s">
        <v>4742</v>
      </c>
      <c r="AP906" t="s">
        <v>1</v>
      </c>
      <c r="AQ906" t="s">
        <v>2</v>
      </c>
      <c r="AR906" t="s">
        <v>1</v>
      </c>
      <c r="AS906" t="s">
        <v>1</v>
      </c>
      <c r="AT906" t="s">
        <v>1</v>
      </c>
      <c r="AU906" t="s">
        <v>1</v>
      </c>
      <c r="AV906" t="s">
        <v>1</v>
      </c>
      <c r="AW906" t="s">
        <v>9</v>
      </c>
      <c r="AX906">
        <f>Tabla1[[#This Row],[precio del paquete]]-Tabla1[[#This Row],[Saldo_Deudor]]</f>
        <v>8300</v>
      </c>
      <c r="AY906">
        <v>4600</v>
      </c>
      <c r="AZ906">
        <v>0</v>
      </c>
      <c r="BA906">
        <v>0</v>
      </c>
      <c r="BB906">
        <v>0</v>
      </c>
      <c r="BC906" t="s">
        <v>4883</v>
      </c>
      <c r="BD906" t="s">
        <v>4971</v>
      </c>
      <c r="BE906" t="s">
        <v>3</v>
      </c>
      <c r="BF906" t="s">
        <v>3</v>
      </c>
      <c r="BG906" t="s">
        <v>3</v>
      </c>
      <c r="BH906" t="s">
        <v>3</v>
      </c>
      <c r="BI906" t="s">
        <v>3</v>
      </c>
      <c r="BJ906" t="s">
        <v>5011</v>
      </c>
      <c r="BK906" t="s">
        <v>3</v>
      </c>
      <c r="BL906" t="s">
        <v>96</v>
      </c>
      <c r="BM906" t="s">
        <v>1</v>
      </c>
      <c r="BN906">
        <v>12900</v>
      </c>
      <c r="BO906" t="s">
        <v>1</v>
      </c>
      <c r="BP906" t="s">
        <v>1</v>
      </c>
      <c r="BQ906" t="s">
        <v>1</v>
      </c>
      <c r="BR906" t="s">
        <v>1</v>
      </c>
      <c r="BS906" t="s">
        <v>1</v>
      </c>
      <c r="BT906" t="s">
        <v>1</v>
      </c>
      <c r="BU906" t="s">
        <v>1</v>
      </c>
      <c r="BV906" t="s">
        <v>1</v>
      </c>
      <c r="BW906" t="s">
        <v>0</v>
      </c>
      <c r="BX906" t="s">
        <v>1</v>
      </c>
      <c r="BY906" t="s">
        <v>1</v>
      </c>
      <c r="BZ906" t="s">
        <v>1</v>
      </c>
      <c r="CA906" t="s">
        <v>1</v>
      </c>
      <c r="CB906" t="s">
        <v>1</v>
      </c>
      <c r="CD906" t="e" cm="1">
        <f t="array" aca="1" ref="CD906" ca="1">eConcatenar(A906:CB906,"|")</f>
        <v>#NAME?</v>
      </c>
    </row>
    <row r="907" spans="1:82" x14ac:dyDescent="0.25">
      <c r="A907" t="s">
        <v>1002</v>
      </c>
      <c r="B907" t="s">
        <v>2024</v>
      </c>
      <c r="C907">
        <v>3</v>
      </c>
      <c r="D907" t="s">
        <v>2153</v>
      </c>
      <c r="E907" t="s">
        <v>10</v>
      </c>
      <c r="F907" t="s">
        <v>0</v>
      </c>
      <c r="G907" t="s">
        <v>2653</v>
      </c>
      <c r="H907" t="s">
        <v>2804</v>
      </c>
      <c r="I907">
        <v>14800</v>
      </c>
      <c r="J907">
        <v>0</v>
      </c>
      <c r="K907">
        <v>300</v>
      </c>
      <c r="L907">
        <v>50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 t="s">
        <v>3392</v>
      </c>
      <c r="AC907" t="s">
        <v>4011</v>
      </c>
      <c r="AD907" t="s">
        <v>3130</v>
      </c>
      <c r="AE907" t="s">
        <v>4</v>
      </c>
      <c r="AF907" t="s">
        <v>1</v>
      </c>
      <c r="AG907" t="s">
        <v>1</v>
      </c>
      <c r="AH907" t="s">
        <v>4743</v>
      </c>
      <c r="AI907" t="s">
        <v>2653</v>
      </c>
      <c r="AJ907" t="s">
        <v>1</v>
      </c>
      <c r="AK907">
        <v>9371193009</v>
      </c>
      <c r="AL907" t="s">
        <v>1</v>
      </c>
      <c r="AM907" t="s">
        <v>1</v>
      </c>
      <c r="AN907" t="s">
        <v>1</v>
      </c>
      <c r="AO907" t="s">
        <v>4743</v>
      </c>
      <c r="AP907" t="s">
        <v>1</v>
      </c>
      <c r="AQ907" t="s">
        <v>2</v>
      </c>
      <c r="AR907" t="s">
        <v>1</v>
      </c>
      <c r="AS907" t="s">
        <v>1</v>
      </c>
      <c r="AT907" t="s">
        <v>1</v>
      </c>
      <c r="AU907" t="s">
        <v>1</v>
      </c>
      <c r="AV907" t="s">
        <v>1</v>
      </c>
      <c r="AW907" t="s">
        <v>9</v>
      </c>
      <c r="AX907">
        <f>Tabla1[[#This Row],[precio del paquete]]-Tabla1[[#This Row],[Saldo_Deudor]]</f>
        <v>0</v>
      </c>
      <c r="AY907">
        <v>14800</v>
      </c>
      <c r="AZ907">
        <v>0</v>
      </c>
      <c r="BA907">
        <v>0</v>
      </c>
      <c r="BB907">
        <v>0</v>
      </c>
      <c r="BC907" t="s">
        <v>2906</v>
      </c>
      <c r="BD907" t="s">
        <v>4898</v>
      </c>
      <c r="BE907" t="s">
        <v>3</v>
      </c>
      <c r="BF907" t="s">
        <v>3</v>
      </c>
      <c r="BG907" t="s">
        <v>3</v>
      </c>
      <c r="BH907" t="s">
        <v>3</v>
      </c>
      <c r="BI907" t="s">
        <v>3</v>
      </c>
      <c r="BJ907" t="s">
        <v>5011</v>
      </c>
      <c r="BK907" t="s">
        <v>3</v>
      </c>
      <c r="BL907" t="s">
        <v>96</v>
      </c>
      <c r="BM907" t="s">
        <v>1</v>
      </c>
      <c r="BN907">
        <v>14800</v>
      </c>
      <c r="BO907" t="s">
        <v>1</v>
      </c>
      <c r="BP907" t="s">
        <v>1</v>
      </c>
      <c r="BQ907" t="s">
        <v>1</v>
      </c>
      <c r="BR907" t="s">
        <v>1</v>
      </c>
      <c r="BS907" t="s">
        <v>1</v>
      </c>
      <c r="BT907" t="s">
        <v>1</v>
      </c>
      <c r="BU907" t="s">
        <v>1</v>
      </c>
      <c r="BV907" t="s">
        <v>1</v>
      </c>
      <c r="BW907" t="s">
        <v>0</v>
      </c>
      <c r="BX907" t="s">
        <v>1</v>
      </c>
      <c r="BY907" t="s">
        <v>1</v>
      </c>
      <c r="BZ907" t="s">
        <v>1</v>
      </c>
      <c r="CA907" t="s">
        <v>1</v>
      </c>
      <c r="CB907" t="s">
        <v>1</v>
      </c>
      <c r="CD907" t="e" cm="1">
        <f t="array" aca="1" ref="CD907" ca="1">eConcatenar(A907:CB907,"|")</f>
        <v>#NAME?</v>
      </c>
    </row>
    <row r="908" spans="1:82" x14ac:dyDescent="0.25">
      <c r="A908" t="s">
        <v>1003</v>
      </c>
      <c r="B908" t="s">
        <v>2025</v>
      </c>
      <c r="C908">
        <v>3</v>
      </c>
      <c r="D908" t="s">
        <v>2153</v>
      </c>
      <c r="E908" t="s">
        <v>10</v>
      </c>
      <c r="F908" t="s">
        <v>0</v>
      </c>
      <c r="G908" t="s">
        <v>2653</v>
      </c>
      <c r="H908" t="s">
        <v>2703</v>
      </c>
      <c r="I908">
        <v>14800</v>
      </c>
      <c r="J908">
        <v>0</v>
      </c>
      <c r="K908">
        <v>100</v>
      </c>
      <c r="L908">
        <v>50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 t="s">
        <v>3310</v>
      </c>
      <c r="AC908" t="s">
        <v>4012</v>
      </c>
      <c r="AD908" t="s">
        <v>4013</v>
      </c>
      <c r="AE908" t="s">
        <v>4</v>
      </c>
      <c r="AF908" t="s">
        <v>1</v>
      </c>
      <c r="AG908" t="s">
        <v>1</v>
      </c>
      <c r="AH908" t="s">
        <v>4744</v>
      </c>
      <c r="AI908" t="s">
        <v>2653</v>
      </c>
      <c r="AJ908" t="s">
        <v>1</v>
      </c>
      <c r="AK908">
        <v>9371270995</v>
      </c>
      <c r="AL908" t="s">
        <v>1</v>
      </c>
      <c r="AM908" t="s">
        <v>1</v>
      </c>
      <c r="AN908" t="s">
        <v>1</v>
      </c>
      <c r="AO908" t="s">
        <v>4744</v>
      </c>
      <c r="AP908" t="s">
        <v>1</v>
      </c>
      <c r="AQ908" t="s">
        <v>2</v>
      </c>
      <c r="AR908" t="s">
        <v>1</v>
      </c>
      <c r="AS908" t="s">
        <v>1</v>
      </c>
      <c r="AT908" t="s">
        <v>1</v>
      </c>
      <c r="AU908" t="s">
        <v>1</v>
      </c>
      <c r="AV908" t="s">
        <v>1</v>
      </c>
      <c r="AW908" t="s">
        <v>9</v>
      </c>
      <c r="AX908">
        <f>Tabla1[[#This Row],[precio del paquete]]-Tabla1[[#This Row],[Saldo_Deudor]]</f>
        <v>0</v>
      </c>
      <c r="AY908">
        <v>14800</v>
      </c>
      <c r="AZ908">
        <v>0</v>
      </c>
      <c r="BA908">
        <v>0</v>
      </c>
      <c r="BB908">
        <v>0</v>
      </c>
      <c r="BC908" t="s">
        <v>4873</v>
      </c>
      <c r="BD908" t="s">
        <v>4962</v>
      </c>
      <c r="BE908" t="s">
        <v>3</v>
      </c>
      <c r="BF908" t="s">
        <v>3</v>
      </c>
      <c r="BG908" t="s">
        <v>3</v>
      </c>
      <c r="BH908" t="s">
        <v>3</v>
      </c>
      <c r="BI908" t="s">
        <v>3</v>
      </c>
      <c r="BJ908" t="s">
        <v>97</v>
      </c>
      <c r="BK908" t="s">
        <v>3</v>
      </c>
      <c r="BL908" t="s">
        <v>96</v>
      </c>
      <c r="BM908" t="s">
        <v>1</v>
      </c>
      <c r="BN908">
        <v>14800</v>
      </c>
      <c r="BO908" t="s">
        <v>1</v>
      </c>
      <c r="BP908" t="s">
        <v>1</v>
      </c>
      <c r="BQ908" t="s">
        <v>1</v>
      </c>
      <c r="BR908" t="s">
        <v>1</v>
      </c>
      <c r="BS908" t="s">
        <v>1</v>
      </c>
      <c r="BT908" t="s">
        <v>1</v>
      </c>
      <c r="BU908" t="s">
        <v>1</v>
      </c>
      <c r="BV908" t="s">
        <v>1</v>
      </c>
      <c r="BW908" t="s">
        <v>0</v>
      </c>
      <c r="BX908" t="s">
        <v>1</v>
      </c>
      <c r="BY908" t="s">
        <v>1</v>
      </c>
      <c r="BZ908" t="s">
        <v>1</v>
      </c>
      <c r="CA908" t="s">
        <v>1</v>
      </c>
      <c r="CB908" t="s">
        <v>1</v>
      </c>
      <c r="CD908" t="e" cm="1">
        <f t="array" aca="1" ref="CD908" ca="1">eConcatenar(A908:CB908,"|")</f>
        <v>#NAME?</v>
      </c>
    </row>
    <row r="909" spans="1:82" x14ac:dyDescent="0.25">
      <c r="A909" t="s">
        <v>1004</v>
      </c>
      <c r="B909" t="s">
        <v>2026</v>
      </c>
      <c r="C909">
        <v>3</v>
      </c>
      <c r="D909" t="s">
        <v>2153</v>
      </c>
      <c r="E909" t="s">
        <v>10</v>
      </c>
      <c r="F909" t="s">
        <v>8</v>
      </c>
      <c r="G909" t="s">
        <v>2654</v>
      </c>
      <c r="H909" t="s">
        <v>3032</v>
      </c>
      <c r="I909">
        <v>14800</v>
      </c>
      <c r="J909">
        <v>0</v>
      </c>
      <c r="K909">
        <v>200</v>
      </c>
      <c r="L909">
        <v>50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 t="s">
        <v>4014</v>
      </c>
      <c r="AC909" t="s">
        <v>4015</v>
      </c>
      <c r="AD909" t="s">
        <v>4016</v>
      </c>
      <c r="AE909" t="s">
        <v>4</v>
      </c>
      <c r="AF909" t="s">
        <v>1</v>
      </c>
      <c r="AG909" t="s">
        <v>1</v>
      </c>
      <c r="AH909" t="s">
        <v>4745</v>
      </c>
      <c r="AI909" t="s">
        <v>2654</v>
      </c>
      <c r="AJ909" t="s">
        <v>1</v>
      </c>
      <c r="AK909">
        <v>9371582718</v>
      </c>
      <c r="AL909" t="s">
        <v>1</v>
      </c>
      <c r="AM909" t="s">
        <v>1</v>
      </c>
      <c r="AN909" t="s">
        <v>1</v>
      </c>
      <c r="AO909" t="s">
        <v>4745</v>
      </c>
      <c r="AP909" t="s">
        <v>1</v>
      </c>
      <c r="AQ909" t="s">
        <v>2</v>
      </c>
      <c r="AR909" t="s">
        <v>1</v>
      </c>
      <c r="AS909" t="s">
        <v>1</v>
      </c>
      <c r="AT909" t="s">
        <v>1</v>
      </c>
      <c r="AU909" t="s">
        <v>1</v>
      </c>
      <c r="AV909" t="s">
        <v>1</v>
      </c>
      <c r="AW909" t="s">
        <v>9</v>
      </c>
      <c r="AX909">
        <f>Tabla1[[#This Row],[precio del paquete]]-Tabla1[[#This Row],[Saldo_Deudor]]</f>
        <v>2200</v>
      </c>
      <c r="AY909">
        <v>12600</v>
      </c>
      <c r="AZ909">
        <v>0</v>
      </c>
      <c r="BA909">
        <v>0</v>
      </c>
      <c r="BB909">
        <v>0</v>
      </c>
      <c r="BC909" t="s">
        <v>4830</v>
      </c>
      <c r="BD909" t="s">
        <v>4906</v>
      </c>
      <c r="BE909" t="s">
        <v>3</v>
      </c>
      <c r="BF909" t="s">
        <v>3</v>
      </c>
      <c r="BG909" t="s">
        <v>3</v>
      </c>
      <c r="BH909" t="s">
        <v>3</v>
      </c>
      <c r="BI909" t="s">
        <v>3</v>
      </c>
      <c r="BJ909" t="s">
        <v>97</v>
      </c>
      <c r="BK909" t="s">
        <v>3</v>
      </c>
      <c r="BL909" t="s">
        <v>96</v>
      </c>
      <c r="BM909" t="s">
        <v>1</v>
      </c>
      <c r="BN909">
        <v>14800</v>
      </c>
      <c r="BO909" t="s">
        <v>1</v>
      </c>
      <c r="BP909" t="s">
        <v>1</v>
      </c>
      <c r="BQ909" t="s">
        <v>1</v>
      </c>
      <c r="BR909" t="s">
        <v>1</v>
      </c>
      <c r="BS909" t="s">
        <v>1</v>
      </c>
      <c r="BT909" t="s">
        <v>1</v>
      </c>
      <c r="BU909" t="s">
        <v>1</v>
      </c>
      <c r="BV909" t="s">
        <v>1</v>
      </c>
      <c r="BW909" t="s">
        <v>0</v>
      </c>
      <c r="BX909" t="s">
        <v>1</v>
      </c>
      <c r="BY909" t="s">
        <v>1</v>
      </c>
      <c r="BZ909" t="s">
        <v>1</v>
      </c>
      <c r="CA909" t="s">
        <v>1</v>
      </c>
      <c r="CB909" t="s">
        <v>1</v>
      </c>
      <c r="CD909" t="e" cm="1">
        <f t="array" aca="1" ref="CD909" ca="1">eConcatenar(A909:CB909,"|")</f>
        <v>#NAME?</v>
      </c>
    </row>
    <row r="910" spans="1:82" x14ac:dyDescent="0.25">
      <c r="A910" t="s">
        <v>1005</v>
      </c>
      <c r="B910" t="s">
        <v>2027</v>
      </c>
      <c r="C910">
        <v>3</v>
      </c>
      <c r="D910" t="s">
        <v>2153</v>
      </c>
      <c r="E910" t="s">
        <v>10</v>
      </c>
      <c r="F910" t="s">
        <v>0</v>
      </c>
      <c r="G910" t="s">
        <v>2247</v>
      </c>
      <c r="H910" t="s">
        <v>2858</v>
      </c>
      <c r="I910">
        <v>14800</v>
      </c>
      <c r="J910">
        <v>0</v>
      </c>
      <c r="K910">
        <v>100</v>
      </c>
      <c r="L910">
        <v>50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 t="s">
        <v>3177</v>
      </c>
      <c r="AC910" t="s">
        <v>3178</v>
      </c>
      <c r="AD910" t="s">
        <v>3645</v>
      </c>
      <c r="AE910" t="s">
        <v>4</v>
      </c>
      <c r="AF910" t="s">
        <v>1</v>
      </c>
      <c r="AG910" t="s">
        <v>1</v>
      </c>
      <c r="AH910" t="s">
        <v>4746</v>
      </c>
      <c r="AI910" t="s">
        <v>2247</v>
      </c>
      <c r="AJ910" t="s">
        <v>1</v>
      </c>
      <c r="AK910">
        <v>9371062366</v>
      </c>
      <c r="AL910" t="s">
        <v>1</v>
      </c>
      <c r="AM910" t="s">
        <v>1</v>
      </c>
      <c r="AN910" t="s">
        <v>1</v>
      </c>
      <c r="AO910" t="s">
        <v>4746</v>
      </c>
      <c r="AP910" t="s">
        <v>1</v>
      </c>
      <c r="AQ910" t="s">
        <v>2</v>
      </c>
      <c r="AR910" t="s">
        <v>1</v>
      </c>
      <c r="AS910" t="s">
        <v>1</v>
      </c>
      <c r="AT910" t="s">
        <v>1</v>
      </c>
      <c r="AU910" t="s">
        <v>1</v>
      </c>
      <c r="AV910" t="s">
        <v>1</v>
      </c>
      <c r="AW910" t="s">
        <v>9</v>
      </c>
      <c r="AX910">
        <f>Tabla1[[#This Row],[precio del paquete]]-Tabla1[[#This Row],[Saldo_Deudor]]</f>
        <v>3200</v>
      </c>
      <c r="AY910">
        <v>11600</v>
      </c>
      <c r="AZ910">
        <v>0</v>
      </c>
      <c r="BA910">
        <v>0</v>
      </c>
      <c r="BB910">
        <v>0</v>
      </c>
      <c r="BC910" t="s">
        <v>4884</v>
      </c>
      <c r="BD910" t="s">
        <v>4972</v>
      </c>
      <c r="BE910" t="s">
        <v>3</v>
      </c>
      <c r="BF910" t="s">
        <v>3</v>
      </c>
      <c r="BG910" t="s">
        <v>3</v>
      </c>
      <c r="BH910" t="s">
        <v>3</v>
      </c>
      <c r="BI910" t="s">
        <v>3</v>
      </c>
      <c r="BJ910" t="s">
        <v>5015</v>
      </c>
      <c r="BK910" t="s">
        <v>3</v>
      </c>
      <c r="BL910" t="s">
        <v>96</v>
      </c>
      <c r="BM910" t="s">
        <v>1</v>
      </c>
      <c r="BN910">
        <v>14800</v>
      </c>
      <c r="BO910" t="s">
        <v>1</v>
      </c>
      <c r="BP910" t="s">
        <v>1</v>
      </c>
      <c r="BQ910" t="s">
        <v>1</v>
      </c>
      <c r="BR910" t="s">
        <v>1</v>
      </c>
      <c r="BS910" t="s">
        <v>1</v>
      </c>
      <c r="BT910" t="s">
        <v>1</v>
      </c>
      <c r="BU910" t="s">
        <v>1</v>
      </c>
      <c r="BV910" t="s">
        <v>1</v>
      </c>
      <c r="BW910" t="s">
        <v>0</v>
      </c>
      <c r="BX910" t="s">
        <v>1</v>
      </c>
      <c r="BY910" t="s">
        <v>1</v>
      </c>
      <c r="BZ910" t="s">
        <v>1</v>
      </c>
      <c r="CA910" t="s">
        <v>1</v>
      </c>
      <c r="CB910" t="s">
        <v>1</v>
      </c>
      <c r="CD910" t="e" cm="1">
        <f t="array" aca="1" ref="CD910" ca="1">eConcatenar(A910:CB910,"|")</f>
        <v>#NAME?</v>
      </c>
    </row>
    <row r="911" spans="1:82" x14ac:dyDescent="0.25">
      <c r="A911" t="s">
        <v>1006</v>
      </c>
      <c r="B911" t="s">
        <v>2028</v>
      </c>
      <c r="C911">
        <v>3</v>
      </c>
      <c r="D911" t="s">
        <v>2153</v>
      </c>
      <c r="E911" t="s">
        <v>10</v>
      </c>
      <c r="F911" t="s">
        <v>95</v>
      </c>
      <c r="G911" t="s">
        <v>2656</v>
      </c>
      <c r="H911" t="s">
        <v>3085</v>
      </c>
      <c r="I911">
        <v>14800</v>
      </c>
      <c r="J911">
        <v>0</v>
      </c>
      <c r="K911">
        <v>1000</v>
      </c>
      <c r="L911">
        <v>50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 t="s">
        <v>3761</v>
      </c>
      <c r="AC911" t="s">
        <v>5</v>
      </c>
      <c r="AD911" t="s">
        <v>4017</v>
      </c>
      <c r="AE911" t="s">
        <v>4</v>
      </c>
      <c r="AF911" t="s">
        <v>1</v>
      </c>
      <c r="AG911" t="s">
        <v>1</v>
      </c>
      <c r="AH911" t="s">
        <v>4747</v>
      </c>
      <c r="AI911" t="s">
        <v>2656</v>
      </c>
      <c r="AJ911" t="s">
        <v>1</v>
      </c>
      <c r="AK911">
        <v>9141321632</v>
      </c>
      <c r="AL911" t="s">
        <v>1</v>
      </c>
      <c r="AM911" t="s">
        <v>1</v>
      </c>
      <c r="AN911" t="s">
        <v>1</v>
      </c>
      <c r="AO911" t="s">
        <v>4747</v>
      </c>
      <c r="AP911" t="s">
        <v>1</v>
      </c>
      <c r="AQ911" t="s">
        <v>2</v>
      </c>
      <c r="AR911" t="s">
        <v>1</v>
      </c>
      <c r="AS911" t="s">
        <v>1</v>
      </c>
      <c r="AT911" t="s">
        <v>1</v>
      </c>
      <c r="AU911" t="s">
        <v>1</v>
      </c>
      <c r="AV911" t="s">
        <v>1</v>
      </c>
      <c r="AW911" t="s">
        <v>9</v>
      </c>
      <c r="AX911">
        <f>Tabla1[[#This Row],[precio del paquete]]-Tabla1[[#This Row],[Saldo_Deudor]]</f>
        <v>2000</v>
      </c>
      <c r="AY911">
        <v>12800</v>
      </c>
      <c r="AZ911">
        <v>0</v>
      </c>
      <c r="BA911">
        <v>0</v>
      </c>
      <c r="BB911">
        <v>0</v>
      </c>
      <c r="BC911" t="s">
        <v>4873</v>
      </c>
      <c r="BD911" t="s">
        <v>4962</v>
      </c>
      <c r="BE911" t="s">
        <v>3</v>
      </c>
      <c r="BF911" t="s">
        <v>3</v>
      </c>
      <c r="BG911" t="s">
        <v>3</v>
      </c>
      <c r="BH911" t="s">
        <v>3</v>
      </c>
      <c r="BI911" t="s">
        <v>3</v>
      </c>
      <c r="BJ911" t="s">
        <v>97</v>
      </c>
      <c r="BK911" t="s">
        <v>3</v>
      </c>
      <c r="BL911" t="s">
        <v>96</v>
      </c>
      <c r="BM911" t="s">
        <v>1</v>
      </c>
      <c r="BN911">
        <v>14800</v>
      </c>
      <c r="BO911" t="s">
        <v>1</v>
      </c>
      <c r="BP911" t="s">
        <v>1</v>
      </c>
      <c r="BQ911" t="s">
        <v>1</v>
      </c>
      <c r="BR911" t="s">
        <v>1</v>
      </c>
      <c r="BS911" t="s">
        <v>1</v>
      </c>
      <c r="BT911" t="s">
        <v>1</v>
      </c>
      <c r="BU911" t="s">
        <v>1</v>
      </c>
      <c r="BV911" t="s">
        <v>1</v>
      </c>
      <c r="BW911" t="s">
        <v>0</v>
      </c>
      <c r="BX911" t="s">
        <v>1</v>
      </c>
      <c r="BY911" t="s">
        <v>1</v>
      </c>
      <c r="BZ911" t="s">
        <v>1</v>
      </c>
      <c r="CA911" t="s">
        <v>1</v>
      </c>
      <c r="CB911" t="s">
        <v>1</v>
      </c>
      <c r="CD911" t="e" cm="1">
        <f t="array" aca="1" ref="CD911" ca="1">eConcatenar(A911:CB911,"|")</f>
        <v>#NAME?</v>
      </c>
    </row>
    <row r="912" spans="1:82" x14ac:dyDescent="0.25">
      <c r="A912" t="s">
        <v>1007</v>
      </c>
      <c r="B912" t="s">
        <v>2029</v>
      </c>
      <c r="C912">
        <v>3</v>
      </c>
      <c r="D912" t="s">
        <v>12</v>
      </c>
      <c r="E912" t="s">
        <v>10</v>
      </c>
      <c r="F912" t="s">
        <v>95</v>
      </c>
      <c r="G912" t="s">
        <v>2657</v>
      </c>
      <c r="H912" t="s">
        <v>3086</v>
      </c>
      <c r="I912">
        <v>12900</v>
      </c>
      <c r="J912">
        <v>0</v>
      </c>
      <c r="K912">
        <v>100</v>
      </c>
      <c r="L912">
        <v>50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 t="s">
        <v>4018</v>
      </c>
      <c r="AC912" t="s">
        <v>3804</v>
      </c>
      <c r="AD912" t="s">
        <v>3695</v>
      </c>
      <c r="AE912" t="s">
        <v>4</v>
      </c>
      <c r="AF912" t="s">
        <v>1</v>
      </c>
      <c r="AG912" t="s">
        <v>1</v>
      </c>
      <c r="AH912" t="s">
        <v>4099</v>
      </c>
      <c r="AI912" t="s">
        <v>2657</v>
      </c>
      <c r="AJ912" t="s">
        <v>1</v>
      </c>
      <c r="AK912">
        <v>9933094646</v>
      </c>
      <c r="AL912" t="s">
        <v>1</v>
      </c>
      <c r="AM912" t="s">
        <v>1</v>
      </c>
      <c r="AN912" t="s">
        <v>1</v>
      </c>
      <c r="AO912" t="s">
        <v>4099</v>
      </c>
      <c r="AP912" t="s">
        <v>1</v>
      </c>
      <c r="AQ912" t="s">
        <v>2</v>
      </c>
      <c r="AR912" t="s">
        <v>1</v>
      </c>
      <c r="AS912" t="s">
        <v>1</v>
      </c>
      <c r="AT912" t="s">
        <v>1</v>
      </c>
      <c r="AU912" t="s">
        <v>1</v>
      </c>
      <c r="AV912" t="s">
        <v>1</v>
      </c>
      <c r="AW912" t="s">
        <v>9</v>
      </c>
      <c r="AX912">
        <f>Tabla1[[#This Row],[precio del paquete]]-Tabla1[[#This Row],[Saldo_Deudor]]</f>
        <v>6320</v>
      </c>
      <c r="AY912">
        <v>6580</v>
      </c>
      <c r="AZ912">
        <v>0</v>
      </c>
      <c r="BA912">
        <v>0</v>
      </c>
      <c r="BB912">
        <v>0</v>
      </c>
      <c r="BC912" t="s">
        <v>3102</v>
      </c>
      <c r="BD912" t="s">
        <v>4897</v>
      </c>
      <c r="BE912" t="s">
        <v>3</v>
      </c>
      <c r="BF912" t="s">
        <v>3</v>
      </c>
      <c r="BG912" t="s">
        <v>3</v>
      </c>
      <c r="BH912" t="s">
        <v>3</v>
      </c>
      <c r="BI912" t="s">
        <v>3</v>
      </c>
      <c r="BJ912" t="s">
        <v>97</v>
      </c>
      <c r="BK912" t="s">
        <v>3</v>
      </c>
      <c r="BL912" t="s">
        <v>96</v>
      </c>
      <c r="BM912" t="s">
        <v>1</v>
      </c>
      <c r="BN912">
        <v>12900</v>
      </c>
      <c r="BO912" t="s">
        <v>1</v>
      </c>
      <c r="BP912" t="s">
        <v>1</v>
      </c>
      <c r="BQ912" t="s">
        <v>1</v>
      </c>
      <c r="BR912" t="s">
        <v>1</v>
      </c>
      <c r="BS912" t="s">
        <v>1</v>
      </c>
      <c r="BT912" t="s">
        <v>1</v>
      </c>
      <c r="BU912" t="s">
        <v>1</v>
      </c>
      <c r="BV912" t="s">
        <v>1</v>
      </c>
      <c r="BW912" t="s">
        <v>0</v>
      </c>
      <c r="BX912" t="s">
        <v>1</v>
      </c>
      <c r="BY912" t="s">
        <v>1</v>
      </c>
      <c r="BZ912" t="s">
        <v>1</v>
      </c>
      <c r="CA912" t="s">
        <v>1</v>
      </c>
      <c r="CB912" t="s">
        <v>1</v>
      </c>
      <c r="CD912" t="e" cm="1">
        <f t="array" aca="1" ref="CD912" ca="1">eConcatenar(A912:CB912,"|")</f>
        <v>#NAME?</v>
      </c>
    </row>
    <row r="913" spans="1:82" x14ac:dyDescent="0.25">
      <c r="A913" t="s">
        <v>1008</v>
      </c>
      <c r="B913" t="s">
        <v>2030</v>
      </c>
      <c r="C913">
        <v>3</v>
      </c>
      <c r="D913" t="s">
        <v>2153</v>
      </c>
      <c r="E913" t="s">
        <v>10</v>
      </c>
      <c r="F913" t="s">
        <v>95</v>
      </c>
      <c r="G913" t="s">
        <v>2658</v>
      </c>
      <c r="H913" t="s">
        <v>2804</v>
      </c>
      <c r="I913">
        <v>14800</v>
      </c>
      <c r="J913">
        <v>0</v>
      </c>
      <c r="K913">
        <v>50</v>
      </c>
      <c r="L913">
        <v>50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 t="s">
        <v>3290</v>
      </c>
      <c r="AC913" t="s">
        <v>3132</v>
      </c>
      <c r="AD913" t="s">
        <v>4019</v>
      </c>
      <c r="AE913" t="s">
        <v>4</v>
      </c>
      <c r="AF913" t="s">
        <v>1</v>
      </c>
      <c r="AG913" t="s">
        <v>1</v>
      </c>
      <c r="AH913" t="s">
        <v>4748</v>
      </c>
      <c r="AI913" t="s">
        <v>2658</v>
      </c>
      <c r="AJ913" t="s">
        <v>1</v>
      </c>
      <c r="AK913">
        <v>9331137202</v>
      </c>
      <c r="AL913" t="s">
        <v>1</v>
      </c>
      <c r="AM913" t="s">
        <v>1</v>
      </c>
      <c r="AN913" t="s">
        <v>1</v>
      </c>
      <c r="AO913" t="s">
        <v>4748</v>
      </c>
      <c r="AP913" t="s">
        <v>1</v>
      </c>
      <c r="AQ913" t="s">
        <v>2</v>
      </c>
      <c r="AR913" t="s">
        <v>1</v>
      </c>
      <c r="AS913" t="s">
        <v>1</v>
      </c>
      <c r="AT913" t="s">
        <v>1</v>
      </c>
      <c r="AU913" t="s">
        <v>1</v>
      </c>
      <c r="AV913" t="s">
        <v>1</v>
      </c>
      <c r="AW913" t="s">
        <v>9</v>
      </c>
      <c r="AX913">
        <f>Tabla1[[#This Row],[precio del paquete]]-Tabla1[[#This Row],[Saldo_Deudor]]</f>
        <v>0</v>
      </c>
      <c r="AY913">
        <v>14800</v>
      </c>
      <c r="AZ913">
        <v>0</v>
      </c>
      <c r="BA913">
        <v>0</v>
      </c>
      <c r="BB913">
        <v>0</v>
      </c>
      <c r="BC913" t="s">
        <v>4873</v>
      </c>
      <c r="BD913" t="s">
        <v>4962</v>
      </c>
      <c r="BE913" t="s">
        <v>3</v>
      </c>
      <c r="BF913" t="s">
        <v>3</v>
      </c>
      <c r="BG913" t="s">
        <v>3</v>
      </c>
      <c r="BH913" t="s">
        <v>3</v>
      </c>
      <c r="BI913" t="s">
        <v>3</v>
      </c>
      <c r="BJ913" t="s">
        <v>4997</v>
      </c>
      <c r="BK913" t="s">
        <v>3</v>
      </c>
      <c r="BL913" t="s">
        <v>96</v>
      </c>
      <c r="BM913" t="s">
        <v>1</v>
      </c>
      <c r="BN913">
        <v>14800</v>
      </c>
      <c r="BO913" t="s">
        <v>1</v>
      </c>
      <c r="BP913" t="s">
        <v>1</v>
      </c>
      <c r="BQ913" t="s">
        <v>1</v>
      </c>
      <c r="BR913" t="s">
        <v>1</v>
      </c>
      <c r="BS913" t="s">
        <v>1</v>
      </c>
      <c r="BT913" t="s">
        <v>1</v>
      </c>
      <c r="BU913" t="s">
        <v>1</v>
      </c>
      <c r="BV913" t="s">
        <v>1</v>
      </c>
      <c r="BW913" t="s">
        <v>0</v>
      </c>
      <c r="BX913" t="s">
        <v>1</v>
      </c>
      <c r="BY913" t="s">
        <v>1</v>
      </c>
      <c r="BZ913" t="s">
        <v>1</v>
      </c>
      <c r="CA913" t="s">
        <v>1</v>
      </c>
      <c r="CB913" t="s">
        <v>1</v>
      </c>
      <c r="CD913" t="e" cm="1">
        <f t="array" aca="1" ref="CD913" ca="1">eConcatenar(A913:CB913,"|")</f>
        <v>#NAME?</v>
      </c>
    </row>
    <row r="914" spans="1:82" x14ac:dyDescent="0.25">
      <c r="A914" t="s">
        <v>1009</v>
      </c>
      <c r="B914" t="s">
        <v>2031</v>
      </c>
      <c r="C914">
        <v>3</v>
      </c>
      <c r="D914" t="s">
        <v>2153</v>
      </c>
      <c r="E914" t="s">
        <v>10</v>
      </c>
      <c r="F914" t="s">
        <v>95</v>
      </c>
      <c r="G914" t="s">
        <v>2659</v>
      </c>
      <c r="H914" t="s">
        <v>2768</v>
      </c>
      <c r="I914">
        <v>14800</v>
      </c>
      <c r="J914">
        <v>0</v>
      </c>
      <c r="K914">
        <v>100</v>
      </c>
      <c r="L914">
        <v>50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 t="s">
        <v>3221</v>
      </c>
      <c r="AC914" t="s">
        <v>3137</v>
      </c>
      <c r="AD914" t="s">
        <v>3609</v>
      </c>
      <c r="AE914" t="s">
        <v>4</v>
      </c>
      <c r="AF914" t="s">
        <v>1</v>
      </c>
      <c r="AG914" t="s">
        <v>1</v>
      </c>
      <c r="AH914" t="s">
        <v>4266</v>
      </c>
      <c r="AI914" t="s">
        <v>2659</v>
      </c>
      <c r="AJ914" t="s">
        <v>1</v>
      </c>
      <c r="AK914">
        <v>9984572134</v>
      </c>
      <c r="AL914" t="s">
        <v>1</v>
      </c>
      <c r="AM914" t="s">
        <v>1</v>
      </c>
      <c r="AN914" t="s">
        <v>1</v>
      </c>
      <c r="AO914" t="s">
        <v>4266</v>
      </c>
      <c r="AP914" t="s">
        <v>1</v>
      </c>
      <c r="AQ914" t="s">
        <v>2</v>
      </c>
      <c r="AR914" t="s">
        <v>1</v>
      </c>
      <c r="AS914" t="s">
        <v>1</v>
      </c>
      <c r="AT914" t="s">
        <v>1</v>
      </c>
      <c r="AU914" t="s">
        <v>1</v>
      </c>
      <c r="AV914" t="s">
        <v>1</v>
      </c>
      <c r="AW914" t="s">
        <v>9</v>
      </c>
      <c r="AX914">
        <f>Tabla1[[#This Row],[precio del paquete]]-Tabla1[[#This Row],[Saldo_Deudor]]</f>
        <v>1300</v>
      </c>
      <c r="AY914">
        <v>13500</v>
      </c>
      <c r="AZ914">
        <v>0</v>
      </c>
      <c r="BA914">
        <v>0</v>
      </c>
      <c r="BB914">
        <v>0</v>
      </c>
      <c r="BC914" t="s">
        <v>4873</v>
      </c>
      <c r="BD914" t="s">
        <v>4962</v>
      </c>
      <c r="BE914" t="s">
        <v>3</v>
      </c>
      <c r="BF914" t="s">
        <v>3</v>
      </c>
      <c r="BG914" t="s">
        <v>3</v>
      </c>
      <c r="BH914" t="s">
        <v>3</v>
      </c>
      <c r="BI914" t="s">
        <v>3</v>
      </c>
      <c r="BJ914" t="s">
        <v>97</v>
      </c>
      <c r="BK914" t="s">
        <v>3</v>
      </c>
      <c r="BL914" t="s">
        <v>96</v>
      </c>
      <c r="BM914" t="s">
        <v>1</v>
      </c>
      <c r="BN914">
        <v>14800</v>
      </c>
      <c r="BO914" t="s">
        <v>1</v>
      </c>
      <c r="BP914" t="s">
        <v>1</v>
      </c>
      <c r="BQ914" t="s">
        <v>1</v>
      </c>
      <c r="BR914" t="s">
        <v>1</v>
      </c>
      <c r="BS914" t="s">
        <v>1</v>
      </c>
      <c r="BT914" t="s">
        <v>1</v>
      </c>
      <c r="BU914" t="s">
        <v>1</v>
      </c>
      <c r="BV914" t="s">
        <v>1</v>
      </c>
      <c r="BW914" t="s">
        <v>0</v>
      </c>
      <c r="BX914" t="s">
        <v>1</v>
      </c>
      <c r="BY914" t="s">
        <v>1</v>
      </c>
      <c r="BZ914" t="s">
        <v>1</v>
      </c>
      <c r="CA914" t="s">
        <v>1</v>
      </c>
      <c r="CB914" t="s">
        <v>1</v>
      </c>
      <c r="CD914" t="e" cm="1">
        <f t="array" aca="1" ref="CD914" ca="1">eConcatenar(A914:CB914,"|")</f>
        <v>#NAME?</v>
      </c>
    </row>
    <row r="915" spans="1:82" x14ac:dyDescent="0.25">
      <c r="A915" t="s">
        <v>1010</v>
      </c>
      <c r="B915" t="s">
        <v>2032</v>
      </c>
      <c r="C915">
        <v>3</v>
      </c>
      <c r="D915" t="s">
        <v>2155</v>
      </c>
      <c r="E915" t="s">
        <v>10</v>
      </c>
      <c r="F915" t="s">
        <v>2165</v>
      </c>
      <c r="G915" t="s">
        <v>2412</v>
      </c>
      <c r="H915" t="s">
        <v>3087</v>
      </c>
      <c r="I915">
        <v>12900</v>
      </c>
      <c r="J915">
        <v>0</v>
      </c>
      <c r="K915">
        <v>500</v>
      </c>
      <c r="L915">
        <v>50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 t="s">
        <v>4020</v>
      </c>
      <c r="AC915" t="s">
        <v>4020</v>
      </c>
      <c r="AD915" t="s">
        <v>4021</v>
      </c>
      <c r="AE915" t="s">
        <v>4</v>
      </c>
      <c r="AF915" t="s">
        <v>1</v>
      </c>
      <c r="AG915" t="s">
        <v>1</v>
      </c>
      <c r="AH915" t="s">
        <v>4749</v>
      </c>
      <c r="AI915" t="s">
        <v>2412</v>
      </c>
      <c r="AJ915" t="s">
        <v>1</v>
      </c>
      <c r="AK915">
        <v>9333277262</v>
      </c>
      <c r="AL915" t="s">
        <v>1</v>
      </c>
      <c r="AM915" t="s">
        <v>1</v>
      </c>
      <c r="AN915" t="s">
        <v>1</v>
      </c>
      <c r="AO915" t="s">
        <v>4749</v>
      </c>
      <c r="AP915" t="s">
        <v>1</v>
      </c>
      <c r="AQ915" t="s">
        <v>2</v>
      </c>
      <c r="AR915" t="s">
        <v>1</v>
      </c>
      <c r="AS915" t="s">
        <v>1</v>
      </c>
      <c r="AT915" t="s">
        <v>1</v>
      </c>
      <c r="AU915" t="s">
        <v>1</v>
      </c>
      <c r="AV915" t="s">
        <v>1</v>
      </c>
      <c r="AW915" t="s">
        <v>9</v>
      </c>
      <c r="AX915">
        <f>Tabla1[[#This Row],[precio del paquete]]-Tabla1[[#This Row],[Saldo_Deudor]]</f>
        <v>4900</v>
      </c>
      <c r="AY915">
        <v>8000</v>
      </c>
      <c r="AZ915">
        <v>0</v>
      </c>
      <c r="BA915">
        <v>0</v>
      </c>
      <c r="BB915">
        <v>0</v>
      </c>
      <c r="BC915" t="s">
        <v>4883</v>
      </c>
      <c r="BD915" t="s">
        <v>4971</v>
      </c>
      <c r="BE915" t="s">
        <v>3</v>
      </c>
      <c r="BF915" t="s">
        <v>3</v>
      </c>
      <c r="BG915" t="s">
        <v>3</v>
      </c>
      <c r="BH915" t="s">
        <v>3</v>
      </c>
      <c r="BI915" t="s">
        <v>3</v>
      </c>
      <c r="BJ915" t="s">
        <v>97</v>
      </c>
      <c r="BK915" t="s">
        <v>3</v>
      </c>
      <c r="BL915" t="s">
        <v>96</v>
      </c>
      <c r="BM915" t="s">
        <v>1</v>
      </c>
      <c r="BN915">
        <v>12900</v>
      </c>
      <c r="BO915" t="s">
        <v>1</v>
      </c>
      <c r="BP915" t="s">
        <v>1</v>
      </c>
      <c r="BQ915" t="s">
        <v>1</v>
      </c>
      <c r="BR915" t="s">
        <v>1</v>
      </c>
      <c r="BS915" t="s">
        <v>1</v>
      </c>
      <c r="BT915" t="s">
        <v>1</v>
      </c>
      <c r="BU915" t="s">
        <v>1</v>
      </c>
      <c r="BV915" t="s">
        <v>1</v>
      </c>
      <c r="BW915" t="s">
        <v>0</v>
      </c>
      <c r="BX915" t="s">
        <v>1</v>
      </c>
      <c r="BY915" t="s">
        <v>1</v>
      </c>
      <c r="BZ915" t="s">
        <v>1</v>
      </c>
      <c r="CA915" t="s">
        <v>1</v>
      </c>
      <c r="CB915" t="s">
        <v>1</v>
      </c>
      <c r="CD915" t="e" cm="1">
        <f t="array" aca="1" ref="CD915" ca="1">eConcatenar(A915:CB915,"|")</f>
        <v>#NAME?</v>
      </c>
    </row>
    <row r="916" spans="1:82" x14ac:dyDescent="0.25">
      <c r="A916" t="s">
        <v>1011</v>
      </c>
      <c r="B916" t="s">
        <v>2033</v>
      </c>
      <c r="C916">
        <v>3</v>
      </c>
      <c r="D916" t="s">
        <v>2153</v>
      </c>
      <c r="E916" t="s">
        <v>10</v>
      </c>
      <c r="F916" t="s">
        <v>95</v>
      </c>
      <c r="G916" t="s">
        <v>2660</v>
      </c>
      <c r="H916" t="s">
        <v>2738</v>
      </c>
      <c r="I916">
        <v>14800</v>
      </c>
      <c r="J916">
        <v>0</v>
      </c>
      <c r="K916">
        <v>100</v>
      </c>
      <c r="L916">
        <v>50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 t="s">
        <v>3117</v>
      </c>
      <c r="AC916" t="s">
        <v>3236</v>
      </c>
      <c r="AD916" t="s">
        <v>3212</v>
      </c>
      <c r="AE916" t="s">
        <v>4</v>
      </c>
      <c r="AF916" t="s">
        <v>1</v>
      </c>
      <c r="AG916" t="s">
        <v>1</v>
      </c>
      <c r="AH916" t="s">
        <v>4750</v>
      </c>
      <c r="AI916" t="s">
        <v>2660</v>
      </c>
      <c r="AJ916" t="s">
        <v>1</v>
      </c>
      <c r="AK916">
        <v>9141331000</v>
      </c>
      <c r="AL916" t="s">
        <v>1</v>
      </c>
      <c r="AM916" t="s">
        <v>1</v>
      </c>
      <c r="AN916" t="s">
        <v>1</v>
      </c>
      <c r="AO916" t="s">
        <v>4750</v>
      </c>
      <c r="AP916" t="s">
        <v>1</v>
      </c>
      <c r="AQ916" t="s">
        <v>2</v>
      </c>
      <c r="AR916" t="s">
        <v>1</v>
      </c>
      <c r="AS916" t="s">
        <v>1</v>
      </c>
      <c r="AT916" t="s">
        <v>1</v>
      </c>
      <c r="AU916" t="s">
        <v>1</v>
      </c>
      <c r="AV916" t="s">
        <v>1</v>
      </c>
      <c r="AW916" t="s">
        <v>9</v>
      </c>
      <c r="AX916">
        <f>Tabla1[[#This Row],[precio del paquete]]-Tabla1[[#This Row],[Saldo_Deudor]]</f>
        <v>1300</v>
      </c>
      <c r="AY916">
        <v>13500</v>
      </c>
      <c r="AZ916">
        <v>0</v>
      </c>
      <c r="BA916">
        <v>0</v>
      </c>
      <c r="BB916">
        <v>0</v>
      </c>
      <c r="BC916" t="s">
        <v>4873</v>
      </c>
      <c r="BD916" t="s">
        <v>4962</v>
      </c>
      <c r="BE916" t="s">
        <v>3</v>
      </c>
      <c r="BF916" t="s">
        <v>3</v>
      </c>
      <c r="BG916" t="s">
        <v>3</v>
      </c>
      <c r="BH916" t="s">
        <v>3</v>
      </c>
      <c r="BI916" t="s">
        <v>3</v>
      </c>
      <c r="BJ916" t="s">
        <v>5015</v>
      </c>
      <c r="BK916" t="s">
        <v>3</v>
      </c>
      <c r="BL916" t="s">
        <v>96</v>
      </c>
      <c r="BM916" t="s">
        <v>1</v>
      </c>
      <c r="BN916">
        <v>14800</v>
      </c>
      <c r="BO916" t="s">
        <v>1</v>
      </c>
      <c r="BP916" t="s">
        <v>1</v>
      </c>
      <c r="BQ916" t="s">
        <v>1</v>
      </c>
      <c r="BR916" t="s">
        <v>1</v>
      </c>
      <c r="BS916" t="s">
        <v>1</v>
      </c>
      <c r="BT916" t="s">
        <v>1</v>
      </c>
      <c r="BU916" t="s">
        <v>1</v>
      </c>
      <c r="BV916" t="s">
        <v>1</v>
      </c>
      <c r="BW916" t="s">
        <v>0</v>
      </c>
      <c r="BX916" t="s">
        <v>1</v>
      </c>
      <c r="BY916" t="s">
        <v>1</v>
      </c>
      <c r="BZ916" t="s">
        <v>1</v>
      </c>
      <c r="CA916" t="s">
        <v>1</v>
      </c>
      <c r="CB916" t="s">
        <v>1</v>
      </c>
      <c r="CD916" t="e" cm="1">
        <f t="array" aca="1" ref="CD916" ca="1">eConcatenar(A916:CB916,"|")</f>
        <v>#NAME?</v>
      </c>
    </row>
    <row r="917" spans="1:82" x14ac:dyDescent="0.25">
      <c r="A917" t="s">
        <v>1012</v>
      </c>
      <c r="B917" t="s">
        <v>2034</v>
      </c>
      <c r="C917">
        <v>3</v>
      </c>
      <c r="D917" t="s">
        <v>2153</v>
      </c>
      <c r="E917" t="s">
        <v>10</v>
      </c>
      <c r="F917" t="s">
        <v>0</v>
      </c>
      <c r="G917" t="s">
        <v>2661</v>
      </c>
      <c r="H917" t="s">
        <v>3020</v>
      </c>
      <c r="I917">
        <v>14800</v>
      </c>
      <c r="J917">
        <v>0</v>
      </c>
      <c r="K917">
        <v>150</v>
      </c>
      <c r="L917">
        <v>50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 t="s">
        <v>4022</v>
      </c>
      <c r="AC917" t="s">
        <v>4023</v>
      </c>
      <c r="AD917" t="s">
        <v>3616</v>
      </c>
      <c r="AE917" t="s">
        <v>4</v>
      </c>
      <c r="AF917" t="s">
        <v>1</v>
      </c>
      <c r="AG917" t="s">
        <v>1</v>
      </c>
      <c r="AH917" t="s">
        <v>4751</v>
      </c>
      <c r="AI917" t="s">
        <v>2661</v>
      </c>
      <c r="AJ917" t="s">
        <v>1</v>
      </c>
      <c r="AK917">
        <v>9371264188</v>
      </c>
      <c r="AL917" t="s">
        <v>1</v>
      </c>
      <c r="AM917" t="s">
        <v>1</v>
      </c>
      <c r="AN917" t="s">
        <v>1</v>
      </c>
      <c r="AO917" t="s">
        <v>4751</v>
      </c>
      <c r="AP917" t="s">
        <v>1</v>
      </c>
      <c r="AQ917" t="s">
        <v>2</v>
      </c>
      <c r="AR917" t="s">
        <v>1</v>
      </c>
      <c r="AS917" t="s">
        <v>1</v>
      </c>
      <c r="AT917" t="s">
        <v>1</v>
      </c>
      <c r="AU917" t="s">
        <v>1</v>
      </c>
      <c r="AV917" t="s">
        <v>1</v>
      </c>
      <c r="AW917" t="s">
        <v>9</v>
      </c>
      <c r="AX917">
        <f>Tabla1[[#This Row],[precio del paquete]]-Tabla1[[#This Row],[Saldo_Deudor]]</f>
        <v>1350</v>
      </c>
      <c r="AY917">
        <v>13450</v>
      </c>
      <c r="AZ917">
        <v>0</v>
      </c>
      <c r="BA917">
        <v>0</v>
      </c>
      <c r="BB917">
        <v>0</v>
      </c>
      <c r="BC917" t="s">
        <v>4874</v>
      </c>
      <c r="BD917" t="s">
        <v>4963</v>
      </c>
      <c r="BE917" t="s">
        <v>3</v>
      </c>
      <c r="BF917" t="s">
        <v>3</v>
      </c>
      <c r="BG917" t="s">
        <v>3</v>
      </c>
      <c r="BH917" t="s">
        <v>3</v>
      </c>
      <c r="BI917" t="s">
        <v>3</v>
      </c>
      <c r="BJ917" t="s">
        <v>97</v>
      </c>
      <c r="BK917" t="s">
        <v>3</v>
      </c>
      <c r="BL917" t="s">
        <v>96</v>
      </c>
      <c r="BM917" t="s">
        <v>1</v>
      </c>
      <c r="BN917">
        <v>14800</v>
      </c>
      <c r="BO917" t="s">
        <v>1</v>
      </c>
      <c r="BP917" t="s">
        <v>1</v>
      </c>
      <c r="BQ917" t="s">
        <v>1</v>
      </c>
      <c r="BR917" t="s">
        <v>1</v>
      </c>
      <c r="BS917" t="s">
        <v>1</v>
      </c>
      <c r="BT917" t="s">
        <v>1</v>
      </c>
      <c r="BU917" t="s">
        <v>1</v>
      </c>
      <c r="BV917" t="s">
        <v>1</v>
      </c>
      <c r="BW917" t="s">
        <v>0</v>
      </c>
      <c r="BX917" t="s">
        <v>1</v>
      </c>
      <c r="BY917" t="s">
        <v>1</v>
      </c>
      <c r="BZ917" t="s">
        <v>1</v>
      </c>
      <c r="CA917" t="s">
        <v>1</v>
      </c>
      <c r="CB917" t="s">
        <v>1</v>
      </c>
      <c r="CD917" t="e" cm="1">
        <f t="array" aca="1" ref="CD917" ca="1">eConcatenar(A917:CB917,"|")</f>
        <v>#NAME?</v>
      </c>
    </row>
    <row r="918" spans="1:82" x14ac:dyDescent="0.25">
      <c r="A918" t="s">
        <v>1013</v>
      </c>
      <c r="B918" t="s">
        <v>2035</v>
      </c>
      <c r="C918">
        <v>3</v>
      </c>
      <c r="D918" t="s">
        <v>2154</v>
      </c>
      <c r="E918" t="s">
        <v>10</v>
      </c>
      <c r="F918" t="s">
        <v>0</v>
      </c>
      <c r="G918" t="s">
        <v>2662</v>
      </c>
      <c r="H918" t="s">
        <v>2767</v>
      </c>
      <c r="I918">
        <v>24500</v>
      </c>
      <c r="J918">
        <v>0</v>
      </c>
      <c r="K918">
        <v>50</v>
      </c>
      <c r="L918">
        <v>50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 t="s">
        <v>3152</v>
      </c>
      <c r="AC918" t="s">
        <v>3362</v>
      </c>
      <c r="AD918" t="s">
        <v>3393</v>
      </c>
      <c r="AE918" t="s">
        <v>4</v>
      </c>
      <c r="AF918" t="s">
        <v>1</v>
      </c>
      <c r="AG918" t="s">
        <v>1</v>
      </c>
      <c r="AH918" t="s">
        <v>4752</v>
      </c>
      <c r="AI918" t="s">
        <v>2662</v>
      </c>
      <c r="AJ918" t="s">
        <v>1</v>
      </c>
      <c r="AK918">
        <v>9371257127</v>
      </c>
      <c r="AL918" t="s">
        <v>1</v>
      </c>
      <c r="AM918" t="s">
        <v>1</v>
      </c>
      <c r="AN918" t="s">
        <v>1</v>
      </c>
      <c r="AO918" t="s">
        <v>4752</v>
      </c>
      <c r="AP918" t="s">
        <v>1</v>
      </c>
      <c r="AQ918" t="s">
        <v>2</v>
      </c>
      <c r="AR918" t="s">
        <v>1</v>
      </c>
      <c r="AS918" t="s">
        <v>1</v>
      </c>
      <c r="AT918" t="s">
        <v>1</v>
      </c>
      <c r="AU918" t="s">
        <v>1</v>
      </c>
      <c r="AV918" t="s">
        <v>1</v>
      </c>
      <c r="AW918" t="s">
        <v>9</v>
      </c>
      <c r="AX918">
        <f>Tabla1[[#This Row],[precio del paquete]]-Tabla1[[#This Row],[Saldo_Deudor]]</f>
        <v>50</v>
      </c>
      <c r="AY918">
        <v>24450</v>
      </c>
      <c r="AZ918">
        <v>0</v>
      </c>
      <c r="BA918">
        <v>0</v>
      </c>
      <c r="BB918">
        <v>0</v>
      </c>
      <c r="BC918" t="s">
        <v>2767</v>
      </c>
      <c r="BD918" t="s">
        <v>4973</v>
      </c>
      <c r="BE918" t="s">
        <v>3</v>
      </c>
      <c r="BF918" t="s">
        <v>3</v>
      </c>
      <c r="BG918" t="s">
        <v>3</v>
      </c>
      <c r="BH918" t="s">
        <v>3</v>
      </c>
      <c r="BI918" t="s">
        <v>3</v>
      </c>
      <c r="BJ918" t="s">
        <v>97</v>
      </c>
      <c r="BK918" t="s">
        <v>3</v>
      </c>
      <c r="BL918" t="s">
        <v>96</v>
      </c>
      <c r="BM918" t="s">
        <v>1</v>
      </c>
      <c r="BN918">
        <v>24500</v>
      </c>
      <c r="BO918" t="s">
        <v>1</v>
      </c>
      <c r="BP918" t="s">
        <v>1</v>
      </c>
      <c r="BQ918" t="s">
        <v>1</v>
      </c>
      <c r="BR918" t="s">
        <v>1</v>
      </c>
      <c r="BS918" t="s">
        <v>1</v>
      </c>
      <c r="BT918" t="s">
        <v>1</v>
      </c>
      <c r="BU918" t="s">
        <v>1</v>
      </c>
      <c r="BV918" t="s">
        <v>1</v>
      </c>
      <c r="BW918" t="s">
        <v>0</v>
      </c>
      <c r="BX918" t="s">
        <v>1</v>
      </c>
      <c r="BY918" t="s">
        <v>1</v>
      </c>
      <c r="BZ918" t="s">
        <v>1</v>
      </c>
      <c r="CA918" t="s">
        <v>1</v>
      </c>
      <c r="CB918" t="s">
        <v>1</v>
      </c>
      <c r="CD918" t="e" cm="1">
        <f t="array" aca="1" ref="CD918" ca="1">eConcatenar(A918:CB918,"|")</f>
        <v>#NAME?</v>
      </c>
    </row>
    <row r="919" spans="1:82" x14ac:dyDescent="0.25">
      <c r="A919" t="s">
        <v>1014</v>
      </c>
      <c r="B919" t="s">
        <v>2036</v>
      </c>
      <c r="C919">
        <v>3</v>
      </c>
      <c r="D919" t="s">
        <v>2153</v>
      </c>
      <c r="E919" t="s">
        <v>10</v>
      </c>
      <c r="F919" t="s">
        <v>95</v>
      </c>
      <c r="G919" t="s">
        <v>2490</v>
      </c>
      <c r="H919" t="s">
        <v>2871</v>
      </c>
      <c r="I919">
        <v>14800</v>
      </c>
      <c r="J919">
        <v>0</v>
      </c>
      <c r="K919">
        <v>300</v>
      </c>
      <c r="L919">
        <v>50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 t="s">
        <v>3132</v>
      </c>
      <c r="AC919" t="s">
        <v>3132</v>
      </c>
      <c r="AD919" t="s">
        <v>4024</v>
      </c>
      <c r="AE919" t="s">
        <v>4</v>
      </c>
      <c r="AF919" t="s">
        <v>1</v>
      </c>
      <c r="AG919" t="s">
        <v>1</v>
      </c>
      <c r="AH919" t="s">
        <v>4753</v>
      </c>
      <c r="AI919" t="s">
        <v>2490</v>
      </c>
      <c r="AJ919" t="s">
        <v>1</v>
      </c>
      <c r="AK919">
        <v>9141306092</v>
      </c>
      <c r="AL919" t="s">
        <v>1</v>
      </c>
      <c r="AM919" t="s">
        <v>1</v>
      </c>
      <c r="AN919" t="s">
        <v>1</v>
      </c>
      <c r="AO919" t="s">
        <v>4753</v>
      </c>
      <c r="AP919" t="s">
        <v>1</v>
      </c>
      <c r="AQ919" t="s">
        <v>2</v>
      </c>
      <c r="AR919" t="s">
        <v>1</v>
      </c>
      <c r="AS919" t="s">
        <v>1</v>
      </c>
      <c r="AT919" t="s">
        <v>1</v>
      </c>
      <c r="AU919" t="s">
        <v>1</v>
      </c>
      <c r="AV919" t="s">
        <v>1</v>
      </c>
      <c r="AW919" t="s">
        <v>9</v>
      </c>
      <c r="AX919">
        <f>Tabla1[[#This Row],[precio del paquete]]-Tabla1[[#This Row],[Saldo_Deudor]]</f>
        <v>500</v>
      </c>
      <c r="AY919">
        <v>14300</v>
      </c>
      <c r="AZ919">
        <v>0</v>
      </c>
      <c r="BA919">
        <v>0</v>
      </c>
      <c r="BB919">
        <v>0</v>
      </c>
      <c r="BC919" t="s">
        <v>3102</v>
      </c>
      <c r="BD919" t="s">
        <v>4897</v>
      </c>
      <c r="BE919" t="s">
        <v>3</v>
      </c>
      <c r="BF919" t="s">
        <v>3</v>
      </c>
      <c r="BG919" t="s">
        <v>3</v>
      </c>
      <c r="BH919" t="s">
        <v>3</v>
      </c>
      <c r="BI919" t="s">
        <v>3</v>
      </c>
      <c r="BJ919" t="s">
        <v>97</v>
      </c>
      <c r="BK919" t="s">
        <v>3</v>
      </c>
      <c r="BL919" t="s">
        <v>96</v>
      </c>
      <c r="BM919" t="s">
        <v>1</v>
      </c>
      <c r="BN919">
        <v>14800</v>
      </c>
      <c r="BO919" t="s">
        <v>1</v>
      </c>
      <c r="BP919" t="s">
        <v>1</v>
      </c>
      <c r="BQ919" t="s">
        <v>1</v>
      </c>
      <c r="BR919" t="s">
        <v>1</v>
      </c>
      <c r="BS919" t="s">
        <v>1</v>
      </c>
      <c r="BT919" t="s">
        <v>1</v>
      </c>
      <c r="BU919" t="s">
        <v>1</v>
      </c>
      <c r="BV919" t="s">
        <v>1</v>
      </c>
      <c r="BW919" t="s">
        <v>0</v>
      </c>
      <c r="BX919" t="s">
        <v>1</v>
      </c>
      <c r="BY919" t="s">
        <v>1</v>
      </c>
      <c r="BZ919" t="s">
        <v>1</v>
      </c>
      <c r="CA919" t="s">
        <v>1</v>
      </c>
      <c r="CB919" t="s">
        <v>1</v>
      </c>
      <c r="CD919" t="e" cm="1">
        <f t="array" aca="1" ref="CD919" ca="1">eConcatenar(A919:CB919,"|")</f>
        <v>#NAME?</v>
      </c>
    </row>
    <row r="920" spans="1:82" x14ac:dyDescent="0.25">
      <c r="A920" t="s">
        <v>1015</v>
      </c>
      <c r="B920" t="s">
        <v>2037</v>
      </c>
      <c r="C920">
        <v>3</v>
      </c>
      <c r="D920" t="s">
        <v>2153</v>
      </c>
      <c r="E920" t="s">
        <v>10</v>
      </c>
      <c r="F920" t="s">
        <v>95</v>
      </c>
      <c r="G920" t="s">
        <v>2663</v>
      </c>
      <c r="H920" t="s">
        <v>2871</v>
      </c>
      <c r="I920">
        <v>24500</v>
      </c>
      <c r="J920">
        <v>0</v>
      </c>
      <c r="K920">
        <v>500</v>
      </c>
      <c r="L920">
        <v>50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 t="s">
        <v>3132</v>
      </c>
      <c r="AC920" t="s">
        <v>4025</v>
      </c>
      <c r="AD920" t="s">
        <v>3257</v>
      </c>
      <c r="AE920" t="s">
        <v>4</v>
      </c>
      <c r="AF920" t="s">
        <v>1</v>
      </c>
      <c r="AG920" t="s">
        <v>1</v>
      </c>
      <c r="AH920" t="s">
        <v>4754</v>
      </c>
      <c r="AI920" t="s">
        <v>2663</v>
      </c>
      <c r="AJ920" t="s">
        <v>1</v>
      </c>
      <c r="AK920">
        <v>9141021498</v>
      </c>
      <c r="AL920" t="s">
        <v>1</v>
      </c>
      <c r="AM920" t="s">
        <v>1</v>
      </c>
      <c r="AN920" t="s">
        <v>1</v>
      </c>
      <c r="AO920" t="s">
        <v>4754</v>
      </c>
      <c r="AP920" t="s">
        <v>1</v>
      </c>
      <c r="AQ920" t="s">
        <v>2</v>
      </c>
      <c r="AR920" t="s">
        <v>1</v>
      </c>
      <c r="AS920" t="s">
        <v>1</v>
      </c>
      <c r="AT920" t="s">
        <v>1</v>
      </c>
      <c r="AU920" t="s">
        <v>1</v>
      </c>
      <c r="AV920" t="s">
        <v>1</v>
      </c>
      <c r="AW920" t="s">
        <v>9</v>
      </c>
      <c r="AX920">
        <f>Tabla1[[#This Row],[precio del paquete]]-Tabla1[[#This Row],[Saldo_Deudor]]</f>
        <v>800</v>
      </c>
      <c r="AY920">
        <v>23700</v>
      </c>
      <c r="AZ920">
        <v>0</v>
      </c>
      <c r="BA920">
        <v>0</v>
      </c>
      <c r="BB920">
        <v>0</v>
      </c>
      <c r="BC920" t="s">
        <v>3102</v>
      </c>
      <c r="BD920" t="s">
        <v>4897</v>
      </c>
      <c r="BE920" t="s">
        <v>3</v>
      </c>
      <c r="BF920" t="s">
        <v>3</v>
      </c>
      <c r="BG920" t="s">
        <v>3</v>
      </c>
      <c r="BH920" t="s">
        <v>3</v>
      </c>
      <c r="BI920" t="s">
        <v>3</v>
      </c>
      <c r="BJ920" t="s">
        <v>4997</v>
      </c>
      <c r="BK920" t="s">
        <v>3</v>
      </c>
      <c r="BL920" t="s">
        <v>96</v>
      </c>
      <c r="BM920" t="s">
        <v>1</v>
      </c>
      <c r="BN920">
        <v>24500</v>
      </c>
      <c r="BO920" t="s">
        <v>1</v>
      </c>
      <c r="BP920" t="s">
        <v>1</v>
      </c>
      <c r="BQ920" t="s">
        <v>1</v>
      </c>
      <c r="BR920" t="s">
        <v>1</v>
      </c>
      <c r="BS920" t="s">
        <v>1</v>
      </c>
      <c r="BT920" t="s">
        <v>1</v>
      </c>
      <c r="BU920" t="s">
        <v>1</v>
      </c>
      <c r="BV920" t="s">
        <v>1</v>
      </c>
      <c r="BW920" t="s">
        <v>0</v>
      </c>
      <c r="BX920" t="s">
        <v>1</v>
      </c>
      <c r="BY920" t="s">
        <v>1</v>
      </c>
      <c r="BZ920" t="s">
        <v>1</v>
      </c>
      <c r="CA920" t="s">
        <v>1</v>
      </c>
      <c r="CB920" t="s">
        <v>1</v>
      </c>
      <c r="CD920" t="e" cm="1">
        <f t="array" aca="1" ref="CD920" ca="1">eConcatenar(A920:CB920,"|")</f>
        <v>#NAME?</v>
      </c>
    </row>
    <row r="921" spans="1:82" x14ac:dyDescent="0.25">
      <c r="A921" t="s">
        <v>1016</v>
      </c>
      <c r="B921" t="s">
        <v>2038</v>
      </c>
      <c r="C921">
        <v>3</v>
      </c>
      <c r="D921" t="s">
        <v>2153</v>
      </c>
      <c r="E921" t="s">
        <v>10</v>
      </c>
      <c r="F921" t="s">
        <v>95</v>
      </c>
      <c r="G921" t="s">
        <v>2664</v>
      </c>
      <c r="H921" t="s">
        <v>2739</v>
      </c>
      <c r="I921">
        <v>14800</v>
      </c>
      <c r="J921">
        <v>0</v>
      </c>
      <c r="K921">
        <v>200</v>
      </c>
      <c r="L921">
        <v>50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 t="s">
        <v>3178</v>
      </c>
      <c r="AC921" t="s">
        <v>3131</v>
      </c>
      <c r="AD921" t="s">
        <v>3388</v>
      </c>
      <c r="AE921" t="s">
        <v>4</v>
      </c>
      <c r="AF921" t="s">
        <v>1</v>
      </c>
      <c r="AG921" t="s">
        <v>1</v>
      </c>
      <c r="AH921" t="s">
        <v>4565</v>
      </c>
      <c r="AI921" t="s">
        <v>2664</v>
      </c>
      <c r="AJ921" t="s">
        <v>1</v>
      </c>
      <c r="AK921">
        <v>9141298582</v>
      </c>
      <c r="AL921" t="s">
        <v>1</v>
      </c>
      <c r="AM921" t="s">
        <v>1</v>
      </c>
      <c r="AN921" t="s">
        <v>1</v>
      </c>
      <c r="AO921" t="s">
        <v>4565</v>
      </c>
      <c r="AP921" t="s">
        <v>1</v>
      </c>
      <c r="AQ921" t="s">
        <v>2</v>
      </c>
      <c r="AR921" t="s">
        <v>1</v>
      </c>
      <c r="AS921" t="s">
        <v>1</v>
      </c>
      <c r="AT921" t="s">
        <v>1</v>
      </c>
      <c r="AU921" t="s">
        <v>1</v>
      </c>
      <c r="AV921" t="s">
        <v>1</v>
      </c>
      <c r="AW921" t="s">
        <v>9</v>
      </c>
      <c r="AX921">
        <f>Tabla1[[#This Row],[precio del paquete]]-Tabla1[[#This Row],[Saldo_Deudor]]</f>
        <v>900</v>
      </c>
      <c r="AY921">
        <v>13900</v>
      </c>
      <c r="AZ921">
        <v>0</v>
      </c>
      <c r="BA921">
        <v>0</v>
      </c>
      <c r="BB921">
        <v>0</v>
      </c>
      <c r="BC921" t="s">
        <v>3102</v>
      </c>
      <c r="BD921" t="s">
        <v>4897</v>
      </c>
      <c r="BE921" t="s">
        <v>3</v>
      </c>
      <c r="BF921" t="s">
        <v>3</v>
      </c>
      <c r="BG921" t="s">
        <v>3</v>
      </c>
      <c r="BH921" t="s">
        <v>3</v>
      </c>
      <c r="BI921" t="s">
        <v>3</v>
      </c>
      <c r="BJ921" t="s">
        <v>4997</v>
      </c>
      <c r="BK921" t="s">
        <v>3</v>
      </c>
      <c r="BL921" t="s">
        <v>96</v>
      </c>
      <c r="BM921" t="s">
        <v>1</v>
      </c>
      <c r="BN921">
        <v>14800</v>
      </c>
      <c r="BO921" t="s">
        <v>1</v>
      </c>
      <c r="BP921" t="s">
        <v>1</v>
      </c>
      <c r="BQ921" t="s">
        <v>1</v>
      </c>
      <c r="BR921" t="s">
        <v>1</v>
      </c>
      <c r="BS921" t="s">
        <v>1</v>
      </c>
      <c r="BT921" t="s">
        <v>1</v>
      </c>
      <c r="BU921" t="s">
        <v>1</v>
      </c>
      <c r="BV921" t="s">
        <v>1</v>
      </c>
      <c r="BW921" t="s">
        <v>0</v>
      </c>
      <c r="BX921" t="s">
        <v>1</v>
      </c>
      <c r="BY921" t="s">
        <v>1</v>
      </c>
      <c r="BZ921" t="s">
        <v>1</v>
      </c>
      <c r="CA921" t="s">
        <v>1</v>
      </c>
      <c r="CB921" t="s">
        <v>1</v>
      </c>
      <c r="CD921" t="e" cm="1">
        <f t="array" aca="1" ref="CD921" ca="1">eConcatenar(A921:CB921,"|")</f>
        <v>#NAME?</v>
      </c>
    </row>
    <row r="922" spans="1:82" x14ac:dyDescent="0.25">
      <c r="A922" t="s">
        <v>1017</v>
      </c>
      <c r="B922" t="s">
        <v>2039</v>
      </c>
      <c r="C922">
        <v>3</v>
      </c>
      <c r="D922" t="s">
        <v>2153</v>
      </c>
      <c r="E922" t="s">
        <v>10</v>
      </c>
      <c r="F922" t="s">
        <v>95</v>
      </c>
      <c r="G922" t="s">
        <v>2664</v>
      </c>
      <c r="H922" t="s">
        <v>2714</v>
      </c>
      <c r="I922">
        <v>14800</v>
      </c>
      <c r="J922">
        <v>0</v>
      </c>
      <c r="K922">
        <v>100</v>
      </c>
      <c r="L922">
        <v>50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 t="s">
        <v>3193</v>
      </c>
      <c r="AC922" t="s">
        <v>3121</v>
      </c>
      <c r="AD922" t="s">
        <v>3483</v>
      </c>
      <c r="AE922" t="s">
        <v>4</v>
      </c>
      <c r="AF922" t="s">
        <v>1</v>
      </c>
      <c r="AG922" t="s">
        <v>1</v>
      </c>
      <c r="AH922" t="s">
        <v>4266</v>
      </c>
      <c r="AI922" t="s">
        <v>2664</v>
      </c>
      <c r="AJ922" t="s">
        <v>1</v>
      </c>
      <c r="AK922">
        <v>9141358042</v>
      </c>
      <c r="AL922" t="s">
        <v>1</v>
      </c>
      <c r="AM922" t="s">
        <v>1</v>
      </c>
      <c r="AN922" t="s">
        <v>1</v>
      </c>
      <c r="AO922" t="s">
        <v>4266</v>
      </c>
      <c r="AP922" t="s">
        <v>1</v>
      </c>
      <c r="AQ922" t="s">
        <v>2</v>
      </c>
      <c r="AR922" t="s">
        <v>1</v>
      </c>
      <c r="AS922" t="s">
        <v>1</v>
      </c>
      <c r="AT922" t="s">
        <v>1</v>
      </c>
      <c r="AU922" t="s">
        <v>1</v>
      </c>
      <c r="AV922" t="s">
        <v>1</v>
      </c>
      <c r="AW922" t="s">
        <v>9</v>
      </c>
      <c r="AX922">
        <f>Tabla1[[#This Row],[precio del paquete]]-Tabla1[[#This Row],[Saldo_Deudor]]</f>
        <v>100</v>
      </c>
      <c r="AY922">
        <v>14700</v>
      </c>
      <c r="AZ922">
        <v>0</v>
      </c>
      <c r="BA922">
        <v>0</v>
      </c>
      <c r="BB922">
        <v>0</v>
      </c>
      <c r="BC922" t="s">
        <v>2714</v>
      </c>
      <c r="BD922" t="s">
        <v>2958</v>
      </c>
      <c r="BE922" t="s">
        <v>3</v>
      </c>
      <c r="BF922" t="s">
        <v>3</v>
      </c>
      <c r="BG922" t="s">
        <v>3</v>
      </c>
      <c r="BH922" t="s">
        <v>3</v>
      </c>
      <c r="BI922" t="s">
        <v>3</v>
      </c>
      <c r="BJ922" t="s">
        <v>4997</v>
      </c>
      <c r="BK922" t="s">
        <v>3</v>
      </c>
      <c r="BL922" t="s">
        <v>96</v>
      </c>
      <c r="BM922" t="s">
        <v>1</v>
      </c>
      <c r="BN922">
        <v>14800</v>
      </c>
      <c r="BO922" t="s">
        <v>1</v>
      </c>
      <c r="BP922" t="s">
        <v>1</v>
      </c>
      <c r="BQ922" t="s">
        <v>1</v>
      </c>
      <c r="BR922" t="s">
        <v>1</v>
      </c>
      <c r="BS922" t="s">
        <v>1</v>
      </c>
      <c r="BT922" t="s">
        <v>1</v>
      </c>
      <c r="BU922" t="s">
        <v>1</v>
      </c>
      <c r="BV922" t="s">
        <v>1</v>
      </c>
      <c r="BW922" t="s">
        <v>0</v>
      </c>
      <c r="BX922" t="s">
        <v>1</v>
      </c>
      <c r="BY922" t="s">
        <v>1</v>
      </c>
      <c r="BZ922" t="s">
        <v>1</v>
      </c>
      <c r="CA922" t="s">
        <v>1</v>
      </c>
      <c r="CB922" t="s">
        <v>1</v>
      </c>
      <c r="CD922" t="e" cm="1">
        <f t="array" aca="1" ref="CD922" ca="1">eConcatenar(A922:CB922,"|")</f>
        <v>#NAME?</v>
      </c>
    </row>
    <row r="923" spans="1:82" x14ac:dyDescent="0.25">
      <c r="A923" t="s">
        <v>1018</v>
      </c>
      <c r="B923" t="s">
        <v>2040</v>
      </c>
      <c r="C923">
        <v>3</v>
      </c>
      <c r="D923" t="s">
        <v>2153</v>
      </c>
      <c r="E923" t="s">
        <v>10</v>
      </c>
      <c r="F923" t="s">
        <v>95</v>
      </c>
      <c r="G923" t="s">
        <v>2500</v>
      </c>
      <c r="H923" t="s">
        <v>2721</v>
      </c>
      <c r="I923">
        <v>14800</v>
      </c>
      <c r="J923">
        <v>0</v>
      </c>
      <c r="K923">
        <v>200</v>
      </c>
      <c r="L923">
        <v>50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 t="s">
        <v>3132</v>
      </c>
      <c r="AC923" t="s">
        <v>5</v>
      </c>
      <c r="AD923" t="s">
        <v>4026</v>
      </c>
      <c r="AE923" t="s">
        <v>4</v>
      </c>
      <c r="AF923" t="s">
        <v>1</v>
      </c>
      <c r="AG923" t="s">
        <v>1</v>
      </c>
      <c r="AH923" t="s">
        <v>4755</v>
      </c>
      <c r="AI923" t="s">
        <v>2500</v>
      </c>
      <c r="AJ923" t="s">
        <v>1</v>
      </c>
      <c r="AK923">
        <v>9371345003</v>
      </c>
      <c r="AL923" t="s">
        <v>1</v>
      </c>
      <c r="AM923" t="s">
        <v>1</v>
      </c>
      <c r="AN923" t="s">
        <v>1</v>
      </c>
      <c r="AO923" t="s">
        <v>4755</v>
      </c>
      <c r="AP923" t="s">
        <v>1</v>
      </c>
      <c r="AQ923" t="s">
        <v>2</v>
      </c>
      <c r="AR923" t="s">
        <v>1</v>
      </c>
      <c r="AS923" t="s">
        <v>1</v>
      </c>
      <c r="AT923" t="s">
        <v>1</v>
      </c>
      <c r="AU923" t="s">
        <v>1</v>
      </c>
      <c r="AV923" t="s">
        <v>1</v>
      </c>
      <c r="AW923" t="s">
        <v>9</v>
      </c>
      <c r="AX923">
        <f>Tabla1[[#This Row],[precio del paquete]]-Tabla1[[#This Row],[Saldo_Deudor]]</f>
        <v>1500</v>
      </c>
      <c r="AY923">
        <v>13300</v>
      </c>
      <c r="AZ923">
        <v>0</v>
      </c>
      <c r="BA923">
        <v>0</v>
      </c>
      <c r="BB923">
        <v>0</v>
      </c>
      <c r="BC923" t="s">
        <v>3040</v>
      </c>
      <c r="BD923" t="s">
        <v>4914</v>
      </c>
      <c r="BE923" t="s">
        <v>3</v>
      </c>
      <c r="BF923" t="s">
        <v>3</v>
      </c>
      <c r="BG923" t="s">
        <v>3</v>
      </c>
      <c r="BH923" t="s">
        <v>3</v>
      </c>
      <c r="BI923" t="s">
        <v>3</v>
      </c>
      <c r="BJ923" t="s">
        <v>4997</v>
      </c>
      <c r="BK923" t="s">
        <v>3</v>
      </c>
      <c r="BL923" t="s">
        <v>96</v>
      </c>
      <c r="BM923" t="s">
        <v>1</v>
      </c>
      <c r="BN923">
        <v>14800</v>
      </c>
      <c r="BO923" t="s">
        <v>1</v>
      </c>
      <c r="BP923" t="s">
        <v>1</v>
      </c>
      <c r="BQ923" t="s">
        <v>1</v>
      </c>
      <c r="BR923" t="s">
        <v>1</v>
      </c>
      <c r="BS923" t="s">
        <v>1</v>
      </c>
      <c r="BT923" t="s">
        <v>1</v>
      </c>
      <c r="BU923" t="s">
        <v>1</v>
      </c>
      <c r="BV923" t="s">
        <v>1</v>
      </c>
      <c r="BW923" t="s">
        <v>0</v>
      </c>
      <c r="BX923" t="s">
        <v>1</v>
      </c>
      <c r="BY923" t="s">
        <v>1</v>
      </c>
      <c r="BZ923" t="s">
        <v>1</v>
      </c>
      <c r="CA923" t="s">
        <v>1</v>
      </c>
      <c r="CB923" t="s">
        <v>1</v>
      </c>
      <c r="CD923" t="e" cm="1">
        <f t="array" aca="1" ref="CD923" ca="1">eConcatenar(A923:CB923,"|")</f>
        <v>#NAME?</v>
      </c>
    </row>
    <row r="924" spans="1:82" x14ac:dyDescent="0.25">
      <c r="A924" t="s">
        <v>1019</v>
      </c>
      <c r="B924" t="s">
        <v>2041</v>
      </c>
      <c r="C924">
        <v>3</v>
      </c>
      <c r="D924" t="s">
        <v>12</v>
      </c>
      <c r="E924" t="s">
        <v>10</v>
      </c>
      <c r="F924" t="s">
        <v>2159</v>
      </c>
      <c r="G924" t="s">
        <v>2511</v>
      </c>
      <c r="H924" t="s">
        <v>2888</v>
      </c>
      <c r="I924">
        <v>12900</v>
      </c>
      <c r="J924">
        <v>0</v>
      </c>
      <c r="K924">
        <v>100</v>
      </c>
      <c r="L924">
        <v>50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 t="s">
        <v>3379</v>
      </c>
      <c r="AC924" t="s">
        <v>3152</v>
      </c>
      <c r="AD924" t="s">
        <v>4027</v>
      </c>
      <c r="AE924" t="s">
        <v>4</v>
      </c>
      <c r="AF924" t="s">
        <v>1</v>
      </c>
      <c r="AG924" t="s">
        <v>1</v>
      </c>
      <c r="AH924" t="s">
        <v>4756</v>
      </c>
      <c r="AI924" t="s">
        <v>2511</v>
      </c>
      <c r="AJ924" t="s">
        <v>1</v>
      </c>
      <c r="AK924">
        <v>9331193480</v>
      </c>
      <c r="AL924" t="s">
        <v>1</v>
      </c>
      <c r="AM924" t="s">
        <v>1</v>
      </c>
      <c r="AN924" t="s">
        <v>1</v>
      </c>
      <c r="AO924" t="s">
        <v>4756</v>
      </c>
      <c r="AP924" t="s">
        <v>1</v>
      </c>
      <c r="AQ924" t="s">
        <v>2</v>
      </c>
      <c r="AR924" t="s">
        <v>1</v>
      </c>
      <c r="AS924" t="s">
        <v>1</v>
      </c>
      <c r="AT924" t="s">
        <v>1</v>
      </c>
      <c r="AU924" t="s">
        <v>1</v>
      </c>
      <c r="AV924" t="s">
        <v>1</v>
      </c>
      <c r="AW924" t="s">
        <v>9</v>
      </c>
      <c r="AX924">
        <f>Tabla1[[#This Row],[precio del paquete]]-Tabla1[[#This Row],[Saldo_Deudor]]</f>
        <v>12500</v>
      </c>
      <c r="AY924">
        <v>400</v>
      </c>
      <c r="AZ924">
        <v>0</v>
      </c>
      <c r="BA924">
        <v>0</v>
      </c>
      <c r="BB924">
        <v>0</v>
      </c>
      <c r="BC924" t="s">
        <v>4883</v>
      </c>
      <c r="BD924" t="s">
        <v>4971</v>
      </c>
      <c r="BE924" t="s">
        <v>3</v>
      </c>
      <c r="BF924" t="s">
        <v>3</v>
      </c>
      <c r="BG924" t="s">
        <v>3</v>
      </c>
      <c r="BH924" t="s">
        <v>3</v>
      </c>
      <c r="BI924" t="s">
        <v>3</v>
      </c>
      <c r="BJ924" t="s">
        <v>4997</v>
      </c>
      <c r="BK924" t="s">
        <v>3</v>
      </c>
      <c r="BL924" t="s">
        <v>96</v>
      </c>
      <c r="BM924" t="s">
        <v>1</v>
      </c>
      <c r="BN924">
        <v>12900</v>
      </c>
      <c r="BO924" t="s">
        <v>1</v>
      </c>
      <c r="BP924" t="s">
        <v>1</v>
      </c>
      <c r="BQ924" t="s">
        <v>1</v>
      </c>
      <c r="BR924" t="s">
        <v>1</v>
      </c>
      <c r="BS924" t="s">
        <v>1</v>
      </c>
      <c r="BT924" t="s">
        <v>1</v>
      </c>
      <c r="BU924" t="s">
        <v>1</v>
      </c>
      <c r="BV924" t="s">
        <v>1</v>
      </c>
      <c r="BW924" t="s">
        <v>0</v>
      </c>
      <c r="BX924" t="s">
        <v>1</v>
      </c>
      <c r="BY924" t="s">
        <v>1</v>
      </c>
      <c r="BZ924" t="s">
        <v>1</v>
      </c>
      <c r="CA924" t="s">
        <v>1</v>
      </c>
      <c r="CB924" t="s">
        <v>1</v>
      </c>
      <c r="CD924" t="e" cm="1">
        <f t="array" aca="1" ref="CD924" ca="1">eConcatenar(A924:CB924,"|")</f>
        <v>#NAME?</v>
      </c>
    </row>
    <row r="925" spans="1:82" x14ac:dyDescent="0.25">
      <c r="A925" t="s">
        <v>1020</v>
      </c>
      <c r="B925" t="s">
        <v>2042</v>
      </c>
      <c r="C925">
        <v>3</v>
      </c>
      <c r="D925" t="s">
        <v>12</v>
      </c>
      <c r="E925" t="s">
        <v>10</v>
      </c>
      <c r="F925" t="s">
        <v>2159</v>
      </c>
      <c r="G925" t="s">
        <v>2511</v>
      </c>
      <c r="H925" t="s">
        <v>3017</v>
      </c>
      <c r="I925">
        <v>12900</v>
      </c>
      <c r="J925">
        <v>0</v>
      </c>
      <c r="K925">
        <v>200</v>
      </c>
      <c r="L925">
        <v>50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 t="s">
        <v>3379</v>
      </c>
      <c r="AC925" t="s">
        <v>3927</v>
      </c>
      <c r="AD925" t="s">
        <v>4028</v>
      </c>
      <c r="AE925" t="s">
        <v>4</v>
      </c>
      <c r="AF925" t="s">
        <v>1</v>
      </c>
      <c r="AG925" t="s">
        <v>1</v>
      </c>
      <c r="AH925" t="s">
        <v>4757</v>
      </c>
      <c r="AI925" t="s">
        <v>2511</v>
      </c>
      <c r="AJ925" t="s">
        <v>1</v>
      </c>
      <c r="AK925">
        <v>9331084708</v>
      </c>
      <c r="AL925" t="s">
        <v>1</v>
      </c>
      <c r="AM925" t="s">
        <v>1</v>
      </c>
      <c r="AN925" t="s">
        <v>1</v>
      </c>
      <c r="AO925" t="s">
        <v>4757</v>
      </c>
      <c r="AP925" t="s">
        <v>1</v>
      </c>
      <c r="AQ925" t="s">
        <v>2</v>
      </c>
      <c r="AR925" t="s">
        <v>1</v>
      </c>
      <c r="AS925" t="s">
        <v>1</v>
      </c>
      <c r="AT925" t="s">
        <v>1</v>
      </c>
      <c r="AU925" t="s">
        <v>1</v>
      </c>
      <c r="AV925" t="s">
        <v>1</v>
      </c>
      <c r="AW925" t="s">
        <v>9</v>
      </c>
      <c r="AX925">
        <f>Tabla1[[#This Row],[precio del paquete]]-Tabla1[[#This Row],[Saldo_Deudor]]</f>
        <v>2200</v>
      </c>
      <c r="AY925">
        <v>10700</v>
      </c>
      <c r="AZ925">
        <v>0</v>
      </c>
      <c r="BA925">
        <v>0</v>
      </c>
      <c r="BB925">
        <v>0</v>
      </c>
      <c r="BC925" t="s">
        <v>4883</v>
      </c>
      <c r="BD925" t="s">
        <v>4971</v>
      </c>
      <c r="BE925" t="s">
        <v>3</v>
      </c>
      <c r="BF925" t="s">
        <v>3</v>
      </c>
      <c r="BG925" t="s">
        <v>3</v>
      </c>
      <c r="BH925" t="s">
        <v>3</v>
      </c>
      <c r="BI925" t="s">
        <v>3</v>
      </c>
      <c r="BJ925" t="s">
        <v>5015</v>
      </c>
      <c r="BK925" t="s">
        <v>3</v>
      </c>
      <c r="BL925" t="s">
        <v>96</v>
      </c>
      <c r="BM925" t="s">
        <v>1</v>
      </c>
      <c r="BN925">
        <v>12900</v>
      </c>
      <c r="BO925" t="s">
        <v>1</v>
      </c>
      <c r="BP925" t="s">
        <v>1</v>
      </c>
      <c r="BQ925" t="s">
        <v>1</v>
      </c>
      <c r="BR925" t="s">
        <v>1</v>
      </c>
      <c r="BS925" t="s">
        <v>1</v>
      </c>
      <c r="BT925" t="s">
        <v>1</v>
      </c>
      <c r="BU925" t="s">
        <v>1</v>
      </c>
      <c r="BV925" t="s">
        <v>1</v>
      </c>
      <c r="BW925" t="s">
        <v>0</v>
      </c>
      <c r="BX925" t="s">
        <v>1</v>
      </c>
      <c r="BY925" t="s">
        <v>1</v>
      </c>
      <c r="BZ925" t="s">
        <v>1</v>
      </c>
      <c r="CA925" t="s">
        <v>1</v>
      </c>
      <c r="CB925" t="s">
        <v>1</v>
      </c>
      <c r="CD925" t="e" cm="1">
        <f t="array" aca="1" ref="CD925" ca="1">eConcatenar(A925:CB925,"|")</f>
        <v>#NAME?</v>
      </c>
    </row>
    <row r="926" spans="1:82" x14ac:dyDescent="0.25">
      <c r="A926" t="s">
        <v>1021</v>
      </c>
      <c r="B926" t="s">
        <v>2043</v>
      </c>
      <c r="C926">
        <v>3</v>
      </c>
      <c r="D926" t="s">
        <v>2153</v>
      </c>
      <c r="E926" t="s">
        <v>2158</v>
      </c>
      <c r="F926" t="s">
        <v>0</v>
      </c>
      <c r="G926" t="s">
        <v>2653</v>
      </c>
      <c r="H926" t="s">
        <v>3081</v>
      </c>
      <c r="I926">
        <v>14800</v>
      </c>
      <c r="J926">
        <v>0</v>
      </c>
      <c r="K926">
        <v>100</v>
      </c>
      <c r="L926">
        <v>50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 t="s">
        <v>4029</v>
      </c>
      <c r="AC926" t="s">
        <v>3558</v>
      </c>
      <c r="AD926" t="s">
        <v>3130</v>
      </c>
      <c r="AE926" t="s">
        <v>4</v>
      </c>
      <c r="AF926" t="s">
        <v>1</v>
      </c>
      <c r="AG926" t="s">
        <v>1</v>
      </c>
      <c r="AH926" t="s">
        <v>4758</v>
      </c>
      <c r="AI926" t="s">
        <v>2653</v>
      </c>
      <c r="AJ926" t="s">
        <v>1</v>
      </c>
      <c r="AK926">
        <v>9372299405</v>
      </c>
      <c r="AL926" t="s">
        <v>1</v>
      </c>
      <c r="AM926" t="s">
        <v>1</v>
      </c>
      <c r="AN926" t="s">
        <v>1</v>
      </c>
      <c r="AO926" t="s">
        <v>4758</v>
      </c>
      <c r="AP926" t="s">
        <v>1</v>
      </c>
      <c r="AQ926" t="s">
        <v>2</v>
      </c>
      <c r="AR926" t="s">
        <v>1</v>
      </c>
      <c r="AS926" t="s">
        <v>1</v>
      </c>
      <c r="AT926" t="s">
        <v>1</v>
      </c>
      <c r="AU926" t="s">
        <v>1</v>
      </c>
      <c r="AV926" t="s">
        <v>1</v>
      </c>
      <c r="AW926" t="s">
        <v>9</v>
      </c>
      <c r="AX926">
        <f>Tabla1[[#This Row],[precio del paquete]]-Tabla1[[#This Row],[Saldo_Deudor]]</f>
        <v>2000</v>
      </c>
      <c r="AY926">
        <v>12800</v>
      </c>
      <c r="AZ926">
        <v>0</v>
      </c>
      <c r="BA926">
        <v>0</v>
      </c>
      <c r="BB926">
        <v>0</v>
      </c>
      <c r="BC926" t="s">
        <v>4883</v>
      </c>
      <c r="BD926" t="s">
        <v>4971</v>
      </c>
      <c r="BE926" t="s">
        <v>3</v>
      </c>
      <c r="BF926" t="s">
        <v>3</v>
      </c>
      <c r="BG926" t="s">
        <v>3</v>
      </c>
      <c r="BH926" t="s">
        <v>3</v>
      </c>
      <c r="BI926" t="s">
        <v>3</v>
      </c>
      <c r="BJ926" t="s">
        <v>5015</v>
      </c>
      <c r="BK926" t="s">
        <v>3</v>
      </c>
      <c r="BL926" t="s">
        <v>96</v>
      </c>
      <c r="BM926" t="s">
        <v>1</v>
      </c>
      <c r="BN926">
        <v>14800</v>
      </c>
      <c r="BO926" t="s">
        <v>1</v>
      </c>
      <c r="BP926" t="s">
        <v>1</v>
      </c>
      <c r="BQ926" t="s">
        <v>1</v>
      </c>
      <c r="BR926" t="s">
        <v>1</v>
      </c>
      <c r="BS926" t="s">
        <v>1</v>
      </c>
      <c r="BT926" t="s">
        <v>1</v>
      </c>
      <c r="BU926" t="s">
        <v>1</v>
      </c>
      <c r="BV926" t="s">
        <v>1</v>
      </c>
      <c r="BW926" t="s">
        <v>0</v>
      </c>
      <c r="BX926" t="s">
        <v>1</v>
      </c>
      <c r="BY926" t="s">
        <v>1</v>
      </c>
      <c r="BZ926" t="s">
        <v>1</v>
      </c>
      <c r="CA926" t="s">
        <v>1</v>
      </c>
      <c r="CB926" t="s">
        <v>1</v>
      </c>
      <c r="CD926" t="e" cm="1">
        <f t="array" aca="1" ref="CD926" ca="1">eConcatenar(A926:CB926,"|")</f>
        <v>#NAME?</v>
      </c>
    </row>
    <row r="927" spans="1:82" x14ac:dyDescent="0.25">
      <c r="A927" t="s">
        <v>1022</v>
      </c>
      <c r="B927" t="s">
        <v>2044</v>
      </c>
      <c r="C927">
        <v>3</v>
      </c>
      <c r="D927" t="s">
        <v>2157</v>
      </c>
      <c r="E927" t="s">
        <v>2158</v>
      </c>
      <c r="F927" t="s">
        <v>2162</v>
      </c>
      <c r="G927" t="s">
        <v>2665</v>
      </c>
      <c r="H927" t="s">
        <v>2706</v>
      </c>
      <c r="I927">
        <v>12900</v>
      </c>
      <c r="J927">
        <v>0</v>
      </c>
      <c r="K927">
        <v>100</v>
      </c>
      <c r="L927">
        <v>50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 t="s">
        <v>3115</v>
      </c>
      <c r="AC927" t="s">
        <v>3115</v>
      </c>
      <c r="AD927" t="s">
        <v>3231</v>
      </c>
      <c r="AE927" t="s">
        <v>4</v>
      </c>
      <c r="AF927" t="s">
        <v>1</v>
      </c>
      <c r="AG927" t="s">
        <v>1</v>
      </c>
      <c r="AH927" t="s">
        <v>2316</v>
      </c>
      <c r="AI927" t="s">
        <v>2665</v>
      </c>
      <c r="AJ927" t="s">
        <v>1</v>
      </c>
      <c r="AK927">
        <v>9331036472</v>
      </c>
      <c r="AL927" t="s">
        <v>1</v>
      </c>
      <c r="AM927" t="s">
        <v>1</v>
      </c>
      <c r="AN927" t="s">
        <v>1</v>
      </c>
      <c r="AO927" t="s">
        <v>2316</v>
      </c>
      <c r="AP927" t="s">
        <v>1</v>
      </c>
      <c r="AQ927" t="s">
        <v>2</v>
      </c>
      <c r="AR927" t="s">
        <v>1</v>
      </c>
      <c r="AS927" t="s">
        <v>1</v>
      </c>
      <c r="AT927" t="s">
        <v>1</v>
      </c>
      <c r="AU927" t="s">
        <v>1</v>
      </c>
      <c r="AV927" t="s">
        <v>1</v>
      </c>
      <c r="AW927" t="s">
        <v>9</v>
      </c>
      <c r="AX927">
        <f>Tabla1[[#This Row],[precio del paquete]]-Tabla1[[#This Row],[Saldo_Deudor]]</f>
        <v>10900</v>
      </c>
      <c r="AY927">
        <v>2000</v>
      </c>
      <c r="AZ927">
        <v>0</v>
      </c>
      <c r="BA927">
        <v>0</v>
      </c>
      <c r="BB927">
        <v>0</v>
      </c>
      <c r="BC927" t="s">
        <v>4834</v>
      </c>
      <c r="BD927" t="s">
        <v>4915</v>
      </c>
      <c r="BE927" t="s">
        <v>3</v>
      </c>
      <c r="BF927" t="s">
        <v>3</v>
      </c>
      <c r="BG927" t="s">
        <v>3</v>
      </c>
      <c r="BH927" t="s">
        <v>3</v>
      </c>
      <c r="BI927" t="s">
        <v>3</v>
      </c>
      <c r="BJ927" t="s">
        <v>5016</v>
      </c>
      <c r="BK927" t="s">
        <v>3</v>
      </c>
      <c r="BL927" t="s">
        <v>96</v>
      </c>
      <c r="BM927" t="s">
        <v>1</v>
      </c>
      <c r="BN927">
        <v>12900</v>
      </c>
      <c r="BO927" t="s">
        <v>1</v>
      </c>
      <c r="BP927" t="s">
        <v>1</v>
      </c>
      <c r="BQ927" t="s">
        <v>1</v>
      </c>
      <c r="BR927" t="s">
        <v>1</v>
      </c>
      <c r="BS927" t="s">
        <v>1</v>
      </c>
      <c r="BT927" t="s">
        <v>1</v>
      </c>
      <c r="BU927" t="s">
        <v>1</v>
      </c>
      <c r="BV927" t="s">
        <v>1</v>
      </c>
      <c r="BW927" t="s">
        <v>0</v>
      </c>
      <c r="BX927" t="s">
        <v>1</v>
      </c>
      <c r="BY927" t="s">
        <v>1</v>
      </c>
      <c r="BZ927" t="s">
        <v>1</v>
      </c>
      <c r="CA927" t="s">
        <v>1</v>
      </c>
      <c r="CB927" t="s">
        <v>1</v>
      </c>
      <c r="CD927" t="e" cm="1">
        <f t="array" aca="1" ref="CD927" ca="1">eConcatenar(A927:CB927,"|")</f>
        <v>#NAME?</v>
      </c>
    </row>
    <row r="928" spans="1:82" x14ac:dyDescent="0.25">
      <c r="A928" t="s">
        <v>1023</v>
      </c>
      <c r="B928" t="s">
        <v>2045</v>
      </c>
      <c r="C928">
        <v>3</v>
      </c>
      <c r="D928" t="s">
        <v>2153</v>
      </c>
      <c r="E928" t="s">
        <v>2158</v>
      </c>
      <c r="F928" t="s">
        <v>0</v>
      </c>
      <c r="G928" t="s">
        <v>2615</v>
      </c>
      <c r="H928" t="s">
        <v>3079</v>
      </c>
      <c r="I928">
        <v>14800</v>
      </c>
      <c r="J928">
        <v>0</v>
      </c>
      <c r="K928">
        <v>100</v>
      </c>
      <c r="L928">
        <v>50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 t="s">
        <v>0</v>
      </c>
      <c r="AC928" t="s">
        <v>3514</v>
      </c>
      <c r="AD928" t="s">
        <v>4028</v>
      </c>
      <c r="AE928" t="s">
        <v>4</v>
      </c>
      <c r="AF928" t="s">
        <v>1</v>
      </c>
      <c r="AG928" t="s">
        <v>1</v>
      </c>
      <c r="AH928" t="s">
        <v>4759</v>
      </c>
      <c r="AI928" t="s">
        <v>2615</v>
      </c>
      <c r="AJ928" t="s">
        <v>1</v>
      </c>
      <c r="AK928">
        <v>9371598130</v>
      </c>
      <c r="AL928" t="s">
        <v>1</v>
      </c>
      <c r="AM928" t="s">
        <v>1</v>
      </c>
      <c r="AN928" t="s">
        <v>1</v>
      </c>
      <c r="AO928" t="s">
        <v>4759</v>
      </c>
      <c r="AP928" t="s">
        <v>1</v>
      </c>
      <c r="AQ928" t="s">
        <v>2</v>
      </c>
      <c r="AR928" t="s">
        <v>1</v>
      </c>
      <c r="AS928" t="s">
        <v>1</v>
      </c>
      <c r="AT928" t="s">
        <v>1</v>
      </c>
      <c r="AU928" t="s">
        <v>1</v>
      </c>
      <c r="AV928" t="s">
        <v>1</v>
      </c>
      <c r="AW928" t="s">
        <v>9</v>
      </c>
      <c r="AX928">
        <f>Tabla1[[#This Row],[precio del paquete]]-Tabla1[[#This Row],[Saldo_Deudor]]</f>
        <v>2700</v>
      </c>
      <c r="AY928">
        <v>12100</v>
      </c>
      <c r="AZ928">
        <v>0</v>
      </c>
      <c r="BA928">
        <v>0</v>
      </c>
      <c r="BB928">
        <v>0</v>
      </c>
      <c r="BC928" t="s">
        <v>4874</v>
      </c>
      <c r="BD928" t="s">
        <v>4963</v>
      </c>
      <c r="BE928" t="s">
        <v>3</v>
      </c>
      <c r="BF928" t="s">
        <v>3</v>
      </c>
      <c r="BG928" t="s">
        <v>3</v>
      </c>
      <c r="BH928" t="s">
        <v>3</v>
      </c>
      <c r="BI928" t="s">
        <v>3</v>
      </c>
      <c r="BJ928" t="s">
        <v>4998</v>
      </c>
      <c r="BK928" t="s">
        <v>3</v>
      </c>
      <c r="BL928" t="s">
        <v>96</v>
      </c>
      <c r="BM928" t="s">
        <v>1</v>
      </c>
      <c r="BN928">
        <v>14800</v>
      </c>
      <c r="BO928" t="s">
        <v>1</v>
      </c>
      <c r="BP928" t="s">
        <v>1</v>
      </c>
      <c r="BQ928" t="s">
        <v>1</v>
      </c>
      <c r="BR928" t="s">
        <v>1</v>
      </c>
      <c r="BS928" t="s">
        <v>1</v>
      </c>
      <c r="BT928" t="s">
        <v>1</v>
      </c>
      <c r="BU928" t="s">
        <v>1</v>
      </c>
      <c r="BV928" t="s">
        <v>1</v>
      </c>
      <c r="BW928" t="s">
        <v>0</v>
      </c>
      <c r="BX928" t="s">
        <v>1</v>
      </c>
      <c r="BY928" t="s">
        <v>1</v>
      </c>
      <c r="BZ928" t="s">
        <v>1</v>
      </c>
      <c r="CA928" t="s">
        <v>1</v>
      </c>
      <c r="CB928" t="s">
        <v>1</v>
      </c>
      <c r="CD928" t="e" cm="1">
        <f t="array" aca="1" ref="CD928" ca="1">eConcatenar(A928:CB928,"|")</f>
        <v>#NAME?</v>
      </c>
    </row>
    <row r="929" spans="1:82" x14ac:dyDescent="0.25">
      <c r="A929" t="s">
        <v>1024</v>
      </c>
      <c r="B929" t="s">
        <v>2046</v>
      </c>
      <c r="C929">
        <v>3</v>
      </c>
      <c r="D929" t="s">
        <v>2153</v>
      </c>
      <c r="E929" t="s">
        <v>2158</v>
      </c>
      <c r="F929" t="s">
        <v>0</v>
      </c>
      <c r="G929" t="s">
        <v>2615</v>
      </c>
      <c r="H929" t="s">
        <v>3070</v>
      </c>
      <c r="I929">
        <v>14800</v>
      </c>
      <c r="J929">
        <v>0</v>
      </c>
      <c r="K929">
        <v>200</v>
      </c>
      <c r="L929">
        <v>50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 t="s">
        <v>4030</v>
      </c>
      <c r="AC929" t="s">
        <v>3117</v>
      </c>
      <c r="AD929" t="s">
        <v>4031</v>
      </c>
      <c r="AE929" t="s">
        <v>4</v>
      </c>
      <c r="AF929" t="s">
        <v>1</v>
      </c>
      <c r="AG929" t="s">
        <v>1</v>
      </c>
      <c r="AH929" t="s">
        <v>4760</v>
      </c>
      <c r="AI929" t="s">
        <v>2615</v>
      </c>
      <c r="AJ929" t="s">
        <v>1</v>
      </c>
      <c r="AK929">
        <v>9371188302</v>
      </c>
      <c r="AL929" t="s">
        <v>1</v>
      </c>
      <c r="AM929" t="s">
        <v>1</v>
      </c>
      <c r="AN929" t="s">
        <v>1</v>
      </c>
      <c r="AO929" t="s">
        <v>4760</v>
      </c>
      <c r="AP929" t="s">
        <v>1</v>
      </c>
      <c r="AQ929" t="s">
        <v>2</v>
      </c>
      <c r="AR929" t="s">
        <v>1</v>
      </c>
      <c r="AS929" t="s">
        <v>1</v>
      </c>
      <c r="AT929" t="s">
        <v>1</v>
      </c>
      <c r="AU929" t="s">
        <v>1</v>
      </c>
      <c r="AV929" t="s">
        <v>1</v>
      </c>
      <c r="AW929" t="s">
        <v>9</v>
      </c>
      <c r="AX929">
        <f>Tabla1[[#This Row],[precio del paquete]]-Tabla1[[#This Row],[Saldo_Deudor]]</f>
        <v>2500</v>
      </c>
      <c r="AY929">
        <v>12300</v>
      </c>
      <c r="AZ929">
        <v>0</v>
      </c>
      <c r="BA929">
        <v>0</v>
      </c>
      <c r="BB929">
        <v>0</v>
      </c>
      <c r="BC929" t="s">
        <v>4874</v>
      </c>
      <c r="BD929" t="s">
        <v>4963</v>
      </c>
      <c r="BE929" t="s">
        <v>3</v>
      </c>
      <c r="BF929" t="s">
        <v>3</v>
      </c>
      <c r="BG929" t="s">
        <v>3</v>
      </c>
      <c r="BH929" t="s">
        <v>3</v>
      </c>
      <c r="BI929" t="s">
        <v>3</v>
      </c>
      <c r="BJ929" t="s">
        <v>5014</v>
      </c>
      <c r="BK929" t="s">
        <v>3</v>
      </c>
      <c r="BL929" t="s">
        <v>96</v>
      </c>
      <c r="BM929" t="s">
        <v>1</v>
      </c>
      <c r="BN929">
        <v>14800</v>
      </c>
      <c r="BO929" t="s">
        <v>1</v>
      </c>
      <c r="BP929" t="s">
        <v>1</v>
      </c>
      <c r="BQ929" t="s">
        <v>1</v>
      </c>
      <c r="BR929" t="s">
        <v>1</v>
      </c>
      <c r="BS929" t="s">
        <v>1</v>
      </c>
      <c r="BT929" t="s">
        <v>1</v>
      </c>
      <c r="BU929" t="s">
        <v>1</v>
      </c>
      <c r="BV929" t="s">
        <v>1</v>
      </c>
      <c r="BW929" t="s">
        <v>0</v>
      </c>
      <c r="BX929" t="s">
        <v>1</v>
      </c>
      <c r="BY929" t="s">
        <v>1</v>
      </c>
      <c r="BZ929" t="s">
        <v>1</v>
      </c>
      <c r="CA929" t="s">
        <v>1</v>
      </c>
      <c r="CB929" t="s">
        <v>1</v>
      </c>
      <c r="CD929" t="e" cm="1">
        <f t="array" aca="1" ref="CD929" ca="1">eConcatenar(A929:CB929,"|")</f>
        <v>#NAME?</v>
      </c>
    </row>
    <row r="930" spans="1:82" x14ac:dyDescent="0.25">
      <c r="A930" t="s">
        <v>1025</v>
      </c>
      <c r="B930" t="s">
        <v>2047</v>
      </c>
      <c r="C930">
        <v>3</v>
      </c>
      <c r="D930" t="s">
        <v>2153</v>
      </c>
      <c r="E930" t="s">
        <v>2158</v>
      </c>
      <c r="F930" t="s">
        <v>0</v>
      </c>
      <c r="G930" t="s">
        <v>2615</v>
      </c>
      <c r="H930" t="s">
        <v>2771</v>
      </c>
      <c r="I930">
        <v>14800</v>
      </c>
      <c r="J930">
        <v>0</v>
      </c>
      <c r="K930">
        <v>100</v>
      </c>
      <c r="L930">
        <v>50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 t="s">
        <v>3311</v>
      </c>
      <c r="AC930" t="s">
        <v>3474</v>
      </c>
      <c r="AD930" t="s">
        <v>4032</v>
      </c>
      <c r="AE930" t="s">
        <v>4</v>
      </c>
      <c r="AF930" t="s">
        <v>1</v>
      </c>
      <c r="AG930" t="s">
        <v>1</v>
      </c>
      <c r="AH930" t="s">
        <v>4761</v>
      </c>
      <c r="AI930" t="s">
        <v>2615</v>
      </c>
      <c r="AJ930" t="s">
        <v>1</v>
      </c>
      <c r="AK930">
        <v>9371091160</v>
      </c>
      <c r="AL930" t="s">
        <v>1</v>
      </c>
      <c r="AM930" t="s">
        <v>1</v>
      </c>
      <c r="AN930" t="s">
        <v>1</v>
      </c>
      <c r="AO930" t="s">
        <v>4761</v>
      </c>
      <c r="AP930" t="s">
        <v>1</v>
      </c>
      <c r="AQ930" t="s">
        <v>2</v>
      </c>
      <c r="AR930" t="s">
        <v>1</v>
      </c>
      <c r="AS930" t="s">
        <v>1</v>
      </c>
      <c r="AT930" t="s">
        <v>1</v>
      </c>
      <c r="AU930" t="s">
        <v>1</v>
      </c>
      <c r="AV930" t="s">
        <v>1</v>
      </c>
      <c r="AW930" t="s">
        <v>9</v>
      </c>
      <c r="AX930">
        <f>Tabla1[[#This Row],[precio del paquete]]-Tabla1[[#This Row],[Saldo_Deudor]]</f>
        <v>600</v>
      </c>
      <c r="AY930">
        <v>14200</v>
      </c>
      <c r="AZ930">
        <v>0</v>
      </c>
      <c r="BA930">
        <v>0</v>
      </c>
      <c r="BB930">
        <v>0</v>
      </c>
      <c r="BC930" t="s">
        <v>4874</v>
      </c>
      <c r="BD930" t="s">
        <v>4963</v>
      </c>
      <c r="BE930" t="s">
        <v>3</v>
      </c>
      <c r="BF930" t="s">
        <v>3</v>
      </c>
      <c r="BG930" t="s">
        <v>3</v>
      </c>
      <c r="BH930" t="s">
        <v>3</v>
      </c>
      <c r="BI930" t="s">
        <v>3</v>
      </c>
      <c r="BJ930" t="s">
        <v>5014</v>
      </c>
      <c r="BK930" t="s">
        <v>3</v>
      </c>
      <c r="BL930" t="s">
        <v>96</v>
      </c>
      <c r="BM930" t="s">
        <v>1</v>
      </c>
      <c r="BN930">
        <v>14800</v>
      </c>
      <c r="BO930" t="s">
        <v>1</v>
      </c>
      <c r="BP930" t="s">
        <v>1</v>
      </c>
      <c r="BQ930" t="s">
        <v>1</v>
      </c>
      <c r="BR930" t="s">
        <v>1</v>
      </c>
      <c r="BS930" t="s">
        <v>1</v>
      </c>
      <c r="BT930" t="s">
        <v>1</v>
      </c>
      <c r="BU930" t="s">
        <v>1</v>
      </c>
      <c r="BV930" t="s">
        <v>1</v>
      </c>
      <c r="BW930" t="s">
        <v>0</v>
      </c>
      <c r="BX930" t="s">
        <v>1</v>
      </c>
      <c r="BY930" t="s">
        <v>1</v>
      </c>
      <c r="BZ930" t="s">
        <v>1</v>
      </c>
      <c r="CA930" t="s">
        <v>1</v>
      </c>
      <c r="CB930" t="s">
        <v>1</v>
      </c>
      <c r="CD930" t="e" cm="1">
        <f t="array" aca="1" ref="CD930" ca="1">eConcatenar(A930:CB930,"|")</f>
        <v>#NAME?</v>
      </c>
    </row>
    <row r="931" spans="1:82" x14ac:dyDescent="0.25">
      <c r="A931" t="s">
        <v>1026</v>
      </c>
      <c r="B931" t="s">
        <v>2048</v>
      </c>
      <c r="C931">
        <v>3</v>
      </c>
      <c r="D931" t="s">
        <v>2153</v>
      </c>
      <c r="E931" t="s">
        <v>2158</v>
      </c>
      <c r="F931" t="s">
        <v>0</v>
      </c>
      <c r="G931" t="s">
        <v>2666</v>
      </c>
      <c r="H931" t="s">
        <v>3079</v>
      </c>
      <c r="I931">
        <v>14800</v>
      </c>
      <c r="J931">
        <v>0</v>
      </c>
      <c r="K931">
        <v>50</v>
      </c>
      <c r="L931">
        <v>50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 t="s">
        <v>3164</v>
      </c>
      <c r="AC931" t="s">
        <v>3177</v>
      </c>
      <c r="AD931" t="s">
        <v>4033</v>
      </c>
      <c r="AE931" t="s">
        <v>4</v>
      </c>
      <c r="AF931" t="s">
        <v>1</v>
      </c>
      <c r="AG931" t="s">
        <v>1</v>
      </c>
      <c r="AH931" t="s">
        <v>4762</v>
      </c>
      <c r="AI931" t="s">
        <v>2666</v>
      </c>
      <c r="AJ931" t="s">
        <v>1</v>
      </c>
      <c r="AK931">
        <v>9371291807</v>
      </c>
      <c r="AL931" t="s">
        <v>1</v>
      </c>
      <c r="AM931" t="s">
        <v>1</v>
      </c>
      <c r="AN931" t="s">
        <v>1</v>
      </c>
      <c r="AO931" t="s">
        <v>4762</v>
      </c>
      <c r="AP931" t="s">
        <v>1</v>
      </c>
      <c r="AQ931" t="s">
        <v>2</v>
      </c>
      <c r="AR931" t="s">
        <v>1</v>
      </c>
      <c r="AS931" t="s">
        <v>1</v>
      </c>
      <c r="AT931" t="s">
        <v>1</v>
      </c>
      <c r="AU931" t="s">
        <v>1</v>
      </c>
      <c r="AV931" t="s">
        <v>1</v>
      </c>
      <c r="AW931" t="s">
        <v>9</v>
      </c>
      <c r="AX931">
        <f>Tabla1[[#This Row],[precio del paquete]]-Tabla1[[#This Row],[Saldo_Deudor]]</f>
        <v>2900</v>
      </c>
      <c r="AY931">
        <v>11900</v>
      </c>
      <c r="AZ931">
        <v>0</v>
      </c>
      <c r="BA931">
        <v>0</v>
      </c>
      <c r="BB931">
        <v>0</v>
      </c>
      <c r="BC931" t="s">
        <v>4883</v>
      </c>
      <c r="BD931" t="s">
        <v>4971</v>
      </c>
      <c r="BE931" t="s">
        <v>3</v>
      </c>
      <c r="BF931" t="s">
        <v>3</v>
      </c>
      <c r="BG931" t="s">
        <v>3</v>
      </c>
      <c r="BH931" t="s">
        <v>3</v>
      </c>
      <c r="BI931" t="s">
        <v>3</v>
      </c>
      <c r="BJ931" t="s">
        <v>4998</v>
      </c>
      <c r="BK931" t="s">
        <v>3</v>
      </c>
      <c r="BL931" t="s">
        <v>96</v>
      </c>
      <c r="BM931" t="s">
        <v>1</v>
      </c>
      <c r="BN931">
        <v>14800</v>
      </c>
      <c r="BO931" t="s">
        <v>1</v>
      </c>
      <c r="BP931" t="s">
        <v>1</v>
      </c>
      <c r="BQ931" t="s">
        <v>1</v>
      </c>
      <c r="BR931" t="s">
        <v>1</v>
      </c>
      <c r="BS931" t="s">
        <v>1</v>
      </c>
      <c r="BT931" t="s">
        <v>1</v>
      </c>
      <c r="BU931" t="s">
        <v>1</v>
      </c>
      <c r="BV931" t="s">
        <v>1</v>
      </c>
      <c r="BW931" t="s">
        <v>0</v>
      </c>
      <c r="BX931" t="s">
        <v>1</v>
      </c>
      <c r="BY931" t="s">
        <v>1</v>
      </c>
      <c r="BZ931" t="s">
        <v>1</v>
      </c>
      <c r="CA931" t="s">
        <v>1</v>
      </c>
      <c r="CB931" t="s">
        <v>1</v>
      </c>
      <c r="CD931" t="e" cm="1">
        <f t="array" aca="1" ref="CD931" ca="1">eConcatenar(A931:CB931,"|")</f>
        <v>#NAME?</v>
      </c>
    </row>
    <row r="932" spans="1:82" x14ac:dyDescent="0.25">
      <c r="A932" t="s">
        <v>1027</v>
      </c>
      <c r="B932" t="s">
        <v>2049</v>
      </c>
      <c r="C932">
        <v>3</v>
      </c>
      <c r="D932" t="s">
        <v>2153</v>
      </c>
      <c r="E932" t="s">
        <v>2158</v>
      </c>
      <c r="F932" t="s">
        <v>0</v>
      </c>
      <c r="G932" t="s">
        <v>2473</v>
      </c>
      <c r="H932" t="s">
        <v>3088</v>
      </c>
      <c r="I932">
        <v>14800</v>
      </c>
      <c r="J932">
        <v>0</v>
      </c>
      <c r="K932">
        <v>200</v>
      </c>
      <c r="L932">
        <v>50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 t="s">
        <v>3119</v>
      </c>
      <c r="AC932" t="s">
        <v>3117</v>
      </c>
      <c r="AD932" t="s">
        <v>4034</v>
      </c>
      <c r="AE932" t="s">
        <v>4</v>
      </c>
      <c r="AF932" t="s">
        <v>1</v>
      </c>
      <c r="AG932" t="s">
        <v>1</v>
      </c>
      <c r="AH932" t="s">
        <v>4763</v>
      </c>
      <c r="AI932" t="s">
        <v>2473</v>
      </c>
      <c r="AJ932" t="s">
        <v>1</v>
      </c>
      <c r="AK932">
        <v>9371283044</v>
      </c>
      <c r="AL932" t="s">
        <v>1</v>
      </c>
      <c r="AM932" t="s">
        <v>1</v>
      </c>
      <c r="AN932" t="s">
        <v>1</v>
      </c>
      <c r="AO932" t="s">
        <v>4763</v>
      </c>
      <c r="AP932" t="s">
        <v>1</v>
      </c>
      <c r="AQ932" t="s">
        <v>2</v>
      </c>
      <c r="AR932" t="s">
        <v>1</v>
      </c>
      <c r="AS932" t="s">
        <v>1</v>
      </c>
      <c r="AT932" t="s">
        <v>1</v>
      </c>
      <c r="AU932" t="s">
        <v>1</v>
      </c>
      <c r="AV932" t="s">
        <v>1</v>
      </c>
      <c r="AW932" t="s">
        <v>9</v>
      </c>
      <c r="AX932">
        <f>Tabla1[[#This Row],[precio del paquete]]-Tabla1[[#This Row],[Saldo_Deudor]]</f>
        <v>3500</v>
      </c>
      <c r="AY932">
        <v>11300</v>
      </c>
      <c r="AZ932">
        <v>0</v>
      </c>
      <c r="BA932">
        <v>0</v>
      </c>
      <c r="BB932">
        <v>0</v>
      </c>
      <c r="BC932" t="s">
        <v>4885</v>
      </c>
      <c r="BD932" t="s">
        <v>4974</v>
      </c>
      <c r="BE932" t="s">
        <v>3</v>
      </c>
      <c r="BF932" t="s">
        <v>3</v>
      </c>
      <c r="BG932" t="s">
        <v>3</v>
      </c>
      <c r="BH932" t="s">
        <v>3</v>
      </c>
      <c r="BI932" t="s">
        <v>3</v>
      </c>
      <c r="BJ932" t="s">
        <v>5016</v>
      </c>
      <c r="BK932" t="s">
        <v>3</v>
      </c>
      <c r="BL932" t="s">
        <v>96</v>
      </c>
      <c r="BM932" t="s">
        <v>1</v>
      </c>
      <c r="BN932">
        <v>14800</v>
      </c>
      <c r="BO932" t="s">
        <v>1</v>
      </c>
      <c r="BP932" t="s">
        <v>1</v>
      </c>
      <c r="BQ932" t="s">
        <v>1</v>
      </c>
      <c r="BR932" t="s">
        <v>1</v>
      </c>
      <c r="BS932" t="s">
        <v>1</v>
      </c>
      <c r="BT932" t="s">
        <v>1</v>
      </c>
      <c r="BU932" t="s">
        <v>1</v>
      </c>
      <c r="BV932" t="s">
        <v>1</v>
      </c>
      <c r="BW932" t="s">
        <v>0</v>
      </c>
      <c r="BX932" t="s">
        <v>1</v>
      </c>
      <c r="BY932" t="s">
        <v>1</v>
      </c>
      <c r="BZ932" t="s">
        <v>1</v>
      </c>
      <c r="CA932" t="s">
        <v>1</v>
      </c>
      <c r="CB932" t="s">
        <v>1</v>
      </c>
      <c r="CD932" t="e" cm="1">
        <f t="array" aca="1" ref="CD932" ca="1">eConcatenar(A932:CB932,"|")</f>
        <v>#NAME?</v>
      </c>
    </row>
    <row r="933" spans="1:82" x14ac:dyDescent="0.25">
      <c r="A933" t="s">
        <v>1028</v>
      </c>
      <c r="B933" t="s">
        <v>2050</v>
      </c>
      <c r="C933">
        <v>3</v>
      </c>
      <c r="D933" t="s">
        <v>2153</v>
      </c>
      <c r="E933" t="s">
        <v>2158</v>
      </c>
      <c r="F933" t="s">
        <v>0</v>
      </c>
      <c r="G933" t="s">
        <v>2655</v>
      </c>
      <c r="H933" t="s">
        <v>2768</v>
      </c>
      <c r="I933">
        <v>14800</v>
      </c>
      <c r="J933">
        <v>0</v>
      </c>
      <c r="K933">
        <v>100</v>
      </c>
      <c r="L933">
        <v>50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 t="s">
        <v>3260</v>
      </c>
      <c r="AC933" t="s">
        <v>3238</v>
      </c>
      <c r="AD933" t="s">
        <v>4035</v>
      </c>
      <c r="AE933" t="s">
        <v>4</v>
      </c>
      <c r="AF933" t="s">
        <v>1</v>
      </c>
      <c r="AG933" t="s">
        <v>1</v>
      </c>
      <c r="AH933" t="s">
        <v>4764</v>
      </c>
      <c r="AI933" t="s">
        <v>2655</v>
      </c>
      <c r="AJ933" t="s">
        <v>1</v>
      </c>
      <c r="AK933">
        <v>9372724239</v>
      </c>
      <c r="AL933" t="s">
        <v>1</v>
      </c>
      <c r="AM933" t="s">
        <v>1</v>
      </c>
      <c r="AN933" t="s">
        <v>1</v>
      </c>
      <c r="AO933" t="s">
        <v>4764</v>
      </c>
      <c r="AP933" t="s">
        <v>1</v>
      </c>
      <c r="AQ933" t="s">
        <v>2</v>
      </c>
      <c r="AR933" t="s">
        <v>1</v>
      </c>
      <c r="AS933" t="s">
        <v>1</v>
      </c>
      <c r="AT933" t="s">
        <v>1</v>
      </c>
      <c r="AU933" t="s">
        <v>1</v>
      </c>
      <c r="AV933" t="s">
        <v>1</v>
      </c>
      <c r="AW933" t="s">
        <v>9</v>
      </c>
      <c r="AX933">
        <f>Tabla1[[#This Row],[precio del paquete]]-Tabla1[[#This Row],[Saldo_Deudor]]</f>
        <v>1600</v>
      </c>
      <c r="AY933">
        <v>13200</v>
      </c>
      <c r="AZ933">
        <v>0</v>
      </c>
      <c r="BA933">
        <v>0</v>
      </c>
      <c r="BB933">
        <v>0</v>
      </c>
      <c r="BC933" t="s">
        <v>4886</v>
      </c>
      <c r="BD933" t="s">
        <v>2980</v>
      </c>
      <c r="BE933" t="s">
        <v>3</v>
      </c>
      <c r="BF933" t="s">
        <v>3</v>
      </c>
      <c r="BG933" t="s">
        <v>3</v>
      </c>
      <c r="BH933" t="s">
        <v>3</v>
      </c>
      <c r="BI933" t="s">
        <v>3</v>
      </c>
      <c r="BJ933" t="s">
        <v>5016</v>
      </c>
      <c r="BK933" t="s">
        <v>3</v>
      </c>
      <c r="BL933" t="s">
        <v>96</v>
      </c>
      <c r="BM933" t="s">
        <v>1</v>
      </c>
      <c r="BN933">
        <v>14800</v>
      </c>
      <c r="BO933" t="s">
        <v>1</v>
      </c>
      <c r="BP933" t="s">
        <v>1</v>
      </c>
      <c r="BQ933" t="s">
        <v>1</v>
      </c>
      <c r="BR933" t="s">
        <v>1</v>
      </c>
      <c r="BS933" t="s">
        <v>1</v>
      </c>
      <c r="BT933" t="s">
        <v>1</v>
      </c>
      <c r="BU933" t="s">
        <v>1</v>
      </c>
      <c r="BV933" t="s">
        <v>1</v>
      </c>
      <c r="BW933" t="s">
        <v>0</v>
      </c>
      <c r="BX933" t="s">
        <v>1</v>
      </c>
      <c r="BY933" t="s">
        <v>1</v>
      </c>
      <c r="BZ933" t="s">
        <v>1</v>
      </c>
      <c r="CA933" t="s">
        <v>1</v>
      </c>
      <c r="CB933" t="s">
        <v>1</v>
      </c>
      <c r="CD933" t="e" cm="1">
        <f t="array" aca="1" ref="CD933" ca="1">eConcatenar(A933:CB933,"|")</f>
        <v>#NAME?</v>
      </c>
    </row>
    <row r="934" spans="1:82" x14ac:dyDescent="0.25">
      <c r="A934" t="s">
        <v>1029</v>
      </c>
      <c r="B934" t="s">
        <v>2051</v>
      </c>
      <c r="C934">
        <v>3</v>
      </c>
      <c r="D934" t="s">
        <v>2153</v>
      </c>
      <c r="E934" t="s">
        <v>2158</v>
      </c>
      <c r="F934" t="s">
        <v>0</v>
      </c>
      <c r="G934" t="s">
        <v>2655</v>
      </c>
      <c r="H934" t="s">
        <v>3072</v>
      </c>
      <c r="I934">
        <v>14800</v>
      </c>
      <c r="J934">
        <v>0</v>
      </c>
      <c r="K934">
        <v>400</v>
      </c>
      <c r="L934">
        <v>50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 t="s">
        <v>4036</v>
      </c>
      <c r="AC934" t="s">
        <v>3137</v>
      </c>
      <c r="AD934" t="s">
        <v>4037</v>
      </c>
      <c r="AE934" t="s">
        <v>4</v>
      </c>
      <c r="AF934" t="s">
        <v>1</v>
      </c>
      <c r="AG934" t="s">
        <v>1</v>
      </c>
      <c r="AH934" t="s">
        <v>4765</v>
      </c>
      <c r="AI934" t="s">
        <v>2655</v>
      </c>
      <c r="AJ934" t="s">
        <v>1</v>
      </c>
      <c r="AK934">
        <v>9371050598</v>
      </c>
      <c r="AL934" t="s">
        <v>1</v>
      </c>
      <c r="AM934" t="s">
        <v>1</v>
      </c>
      <c r="AN934" t="s">
        <v>1</v>
      </c>
      <c r="AO934" t="s">
        <v>4765</v>
      </c>
      <c r="AP934" t="s">
        <v>1</v>
      </c>
      <c r="AQ934" t="s">
        <v>2</v>
      </c>
      <c r="AR934" t="s">
        <v>1</v>
      </c>
      <c r="AS934" t="s">
        <v>1</v>
      </c>
      <c r="AT934" t="s">
        <v>1</v>
      </c>
      <c r="AU934" t="s">
        <v>1</v>
      </c>
      <c r="AV934" t="s">
        <v>1</v>
      </c>
      <c r="AW934" t="s">
        <v>9</v>
      </c>
      <c r="AX934">
        <f>Tabla1[[#This Row],[precio del paquete]]-Tabla1[[#This Row],[Saldo_Deudor]]</f>
        <v>800</v>
      </c>
      <c r="AY934">
        <v>14000</v>
      </c>
      <c r="AZ934">
        <v>0</v>
      </c>
      <c r="BA934">
        <v>0</v>
      </c>
      <c r="BB934">
        <v>0</v>
      </c>
      <c r="BC934" t="s">
        <v>4880</v>
      </c>
      <c r="BD934" t="s">
        <v>4969</v>
      </c>
      <c r="BE934" t="s">
        <v>3</v>
      </c>
      <c r="BF934" t="s">
        <v>3</v>
      </c>
      <c r="BG934" t="s">
        <v>3</v>
      </c>
      <c r="BH934" t="s">
        <v>3</v>
      </c>
      <c r="BI934" t="s">
        <v>3</v>
      </c>
      <c r="BJ934" t="s">
        <v>5014</v>
      </c>
      <c r="BK934" t="s">
        <v>3</v>
      </c>
      <c r="BL934" t="s">
        <v>96</v>
      </c>
      <c r="BM934" t="s">
        <v>1</v>
      </c>
      <c r="BN934">
        <v>14800</v>
      </c>
      <c r="BO934" t="s">
        <v>1</v>
      </c>
      <c r="BP934" t="s">
        <v>1</v>
      </c>
      <c r="BQ934" t="s">
        <v>1</v>
      </c>
      <c r="BR934" t="s">
        <v>1</v>
      </c>
      <c r="BS934" t="s">
        <v>1</v>
      </c>
      <c r="BT934" t="s">
        <v>1</v>
      </c>
      <c r="BU934" t="s">
        <v>1</v>
      </c>
      <c r="BV934" t="s">
        <v>1</v>
      </c>
      <c r="BW934" t="s">
        <v>0</v>
      </c>
      <c r="BX934" t="s">
        <v>1</v>
      </c>
      <c r="BY934" t="s">
        <v>1</v>
      </c>
      <c r="BZ934" t="s">
        <v>1</v>
      </c>
      <c r="CA934" t="s">
        <v>1</v>
      </c>
      <c r="CB934" t="s">
        <v>1</v>
      </c>
      <c r="CD934" t="e" cm="1">
        <f t="array" aca="1" ref="CD934" ca="1">eConcatenar(A934:CB934,"|")</f>
        <v>#NAME?</v>
      </c>
    </row>
    <row r="935" spans="1:82" x14ac:dyDescent="0.25">
      <c r="A935" t="s">
        <v>1030</v>
      </c>
      <c r="B935" t="s">
        <v>2052</v>
      </c>
      <c r="C935">
        <v>3</v>
      </c>
      <c r="D935" t="s">
        <v>2153</v>
      </c>
      <c r="E935" t="s">
        <v>2158</v>
      </c>
      <c r="F935" t="s">
        <v>0</v>
      </c>
      <c r="G935" t="s">
        <v>2655</v>
      </c>
      <c r="H935" t="s">
        <v>2849</v>
      </c>
      <c r="I935">
        <v>14800</v>
      </c>
      <c r="J935">
        <v>0</v>
      </c>
      <c r="K935">
        <v>100</v>
      </c>
      <c r="L935">
        <v>50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 t="s">
        <v>3132</v>
      </c>
      <c r="AC935" t="s">
        <v>3818</v>
      </c>
      <c r="AD935" t="s">
        <v>3783</v>
      </c>
      <c r="AE935" t="s">
        <v>4</v>
      </c>
      <c r="AF935" t="s">
        <v>1</v>
      </c>
      <c r="AG935" t="s">
        <v>1</v>
      </c>
      <c r="AH935" t="s">
        <v>4766</v>
      </c>
      <c r="AI935" t="s">
        <v>2655</v>
      </c>
      <c r="AJ935" t="s">
        <v>1</v>
      </c>
      <c r="AK935">
        <v>9372728081</v>
      </c>
      <c r="AL935" t="s">
        <v>1</v>
      </c>
      <c r="AM935" t="s">
        <v>1</v>
      </c>
      <c r="AN935" t="s">
        <v>1</v>
      </c>
      <c r="AO935" t="s">
        <v>4766</v>
      </c>
      <c r="AP935" t="s">
        <v>1</v>
      </c>
      <c r="AQ935" t="s">
        <v>2</v>
      </c>
      <c r="AR935" t="s">
        <v>1</v>
      </c>
      <c r="AS935" t="s">
        <v>1</v>
      </c>
      <c r="AT935" t="s">
        <v>1</v>
      </c>
      <c r="AU935" t="s">
        <v>1</v>
      </c>
      <c r="AV935" t="s">
        <v>1</v>
      </c>
      <c r="AW935" t="s">
        <v>9</v>
      </c>
      <c r="AX935">
        <f>Tabla1[[#This Row],[precio del paquete]]-Tabla1[[#This Row],[Saldo_Deudor]]</f>
        <v>600</v>
      </c>
      <c r="AY935">
        <v>14200</v>
      </c>
      <c r="AZ935">
        <v>0</v>
      </c>
      <c r="BA935">
        <v>0</v>
      </c>
      <c r="BB935">
        <v>0</v>
      </c>
      <c r="BC935" t="s">
        <v>4827</v>
      </c>
      <c r="BD935" t="s">
        <v>4895</v>
      </c>
      <c r="BE935" t="s">
        <v>3</v>
      </c>
      <c r="BF935" t="s">
        <v>3</v>
      </c>
      <c r="BG935" t="s">
        <v>3</v>
      </c>
      <c r="BH935" t="s">
        <v>3</v>
      </c>
      <c r="BI935" t="s">
        <v>3</v>
      </c>
      <c r="BJ935" t="s">
        <v>5014</v>
      </c>
      <c r="BK935" t="s">
        <v>3</v>
      </c>
      <c r="BL935" t="s">
        <v>96</v>
      </c>
      <c r="BM935" t="s">
        <v>1</v>
      </c>
      <c r="BN935">
        <v>14800</v>
      </c>
      <c r="BO935" t="s">
        <v>1</v>
      </c>
      <c r="BP935" t="s">
        <v>1</v>
      </c>
      <c r="BQ935" t="s">
        <v>1</v>
      </c>
      <c r="BR935" t="s">
        <v>1</v>
      </c>
      <c r="BS935" t="s">
        <v>1</v>
      </c>
      <c r="BT935" t="s">
        <v>1</v>
      </c>
      <c r="BU935" t="s">
        <v>1</v>
      </c>
      <c r="BV935" t="s">
        <v>1</v>
      </c>
      <c r="BW935" t="s">
        <v>0</v>
      </c>
      <c r="BX935" t="s">
        <v>1</v>
      </c>
      <c r="BY935" t="s">
        <v>1</v>
      </c>
      <c r="BZ935" t="s">
        <v>1</v>
      </c>
      <c r="CA935" t="s">
        <v>1</v>
      </c>
      <c r="CB935" t="s">
        <v>1</v>
      </c>
      <c r="CD935" t="e" cm="1">
        <f t="array" aca="1" ref="CD935" ca="1">eConcatenar(A935:CB935,"|")</f>
        <v>#NAME?</v>
      </c>
    </row>
    <row r="936" spans="1:82" x14ac:dyDescent="0.25">
      <c r="A936" t="s">
        <v>1031</v>
      </c>
      <c r="B936" t="s">
        <v>2054</v>
      </c>
      <c r="C936">
        <v>3</v>
      </c>
      <c r="D936" t="s">
        <v>2153</v>
      </c>
      <c r="E936" t="s">
        <v>2158</v>
      </c>
      <c r="F936" t="s">
        <v>0</v>
      </c>
      <c r="G936" t="s">
        <v>2240</v>
      </c>
      <c r="H936" t="s">
        <v>3077</v>
      </c>
      <c r="I936">
        <v>14800</v>
      </c>
      <c r="J936">
        <v>0</v>
      </c>
      <c r="K936">
        <v>100</v>
      </c>
      <c r="L936">
        <v>50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 t="s">
        <v>3132</v>
      </c>
      <c r="AC936" t="s">
        <v>4038</v>
      </c>
      <c r="AD936" t="s">
        <v>4039</v>
      </c>
      <c r="AE936" t="s">
        <v>4</v>
      </c>
      <c r="AF936" t="s">
        <v>1</v>
      </c>
      <c r="AG936" t="s">
        <v>1</v>
      </c>
      <c r="AH936" t="s">
        <v>4767</v>
      </c>
      <c r="AI936" t="s">
        <v>2240</v>
      </c>
      <c r="AJ936" t="s">
        <v>1</v>
      </c>
      <c r="AK936">
        <v>9371691040</v>
      </c>
      <c r="AL936" t="s">
        <v>1</v>
      </c>
      <c r="AM936" t="s">
        <v>1</v>
      </c>
      <c r="AN936" t="s">
        <v>1</v>
      </c>
      <c r="AO936" t="s">
        <v>4767</v>
      </c>
      <c r="AP936" t="s">
        <v>1</v>
      </c>
      <c r="AQ936" t="s">
        <v>2</v>
      </c>
      <c r="AR936" t="s">
        <v>1</v>
      </c>
      <c r="AS936" t="s">
        <v>1</v>
      </c>
      <c r="AT936" t="s">
        <v>1</v>
      </c>
      <c r="AU936" t="s">
        <v>1</v>
      </c>
      <c r="AV936" t="s">
        <v>1</v>
      </c>
      <c r="AW936" t="s">
        <v>9</v>
      </c>
      <c r="AX936">
        <f>Tabla1[[#This Row],[precio del paquete]]-Tabla1[[#This Row],[Saldo_Deudor]]</f>
        <v>1900</v>
      </c>
      <c r="AY936">
        <v>12900</v>
      </c>
      <c r="AZ936">
        <v>0</v>
      </c>
      <c r="BA936">
        <v>0</v>
      </c>
      <c r="BB936">
        <v>0</v>
      </c>
      <c r="BC936" t="s">
        <v>4883</v>
      </c>
      <c r="BD936" t="s">
        <v>4971</v>
      </c>
      <c r="BE936" t="s">
        <v>3</v>
      </c>
      <c r="BF936" t="s">
        <v>3</v>
      </c>
      <c r="BG936" t="s">
        <v>3</v>
      </c>
      <c r="BH936" t="s">
        <v>3</v>
      </c>
      <c r="BI936" t="s">
        <v>3</v>
      </c>
      <c r="BJ936" t="s">
        <v>5016</v>
      </c>
      <c r="BK936" t="s">
        <v>3</v>
      </c>
      <c r="BL936" t="s">
        <v>96</v>
      </c>
      <c r="BM936" t="s">
        <v>1</v>
      </c>
      <c r="BN936">
        <v>14800</v>
      </c>
      <c r="BO936" t="s">
        <v>1</v>
      </c>
      <c r="BP936" t="s">
        <v>1</v>
      </c>
      <c r="BQ936" t="s">
        <v>1</v>
      </c>
      <c r="BR936" t="s">
        <v>1</v>
      </c>
      <c r="BS936" t="s">
        <v>1</v>
      </c>
      <c r="BT936" t="s">
        <v>1</v>
      </c>
      <c r="BU936" t="s">
        <v>1</v>
      </c>
      <c r="BV936" t="s">
        <v>1</v>
      </c>
      <c r="BW936" t="s">
        <v>0</v>
      </c>
      <c r="BX936" t="s">
        <v>1</v>
      </c>
      <c r="BY936" t="s">
        <v>1</v>
      </c>
      <c r="BZ936" t="s">
        <v>1</v>
      </c>
      <c r="CA936" t="s">
        <v>1</v>
      </c>
      <c r="CB936" t="s">
        <v>1</v>
      </c>
      <c r="CD936" t="e" cm="1">
        <f t="array" aca="1" ref="CD936" ca="1">eConcatenar(A936:CB936,"|")</f>
        <v>#NAME?</v>
      </c>
    </row>
    <row r="937" spans="1:82" x14ac:dyDescent="0.25">
      <c r="A937" t="s">
        <v>1032</v>
      </c>
      <c r="B937" t="s">
        <v>2055</v>
      </c>
      <c r="C937">
        <v>3</v>
      </c>
      <c r="D937" t="s">
        <v>2153</v>
      </c>
      <c r="E937" t="s">
        <v>2158</v>
      </c>
      <c r="F937" t="s">
        <v>2162</v>
      </c>
      <c r="G937" t="s">
        <v>2667</v>
      </c>
      <c r="H937" t="s">
        <v>2755</v>
      </c>
      <c r="I937">
        <v>14800</v>
      </c>
      <c r="J937">
        <v>0</v>
      </c>
      <c r="K937">
        <v>100</v>
      </c>
      <c r="L937">
        <v>50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 t="s">
        <v>3420</v>
      </c>
      <c r="AC937" t="s">
        <v>3155</v>
      </c>
      <c r="AD937" t="s">
        <v>3424</v>
      </c>
      <c r="AE937" t="s">
        <v>4</v>
      </c>
      <c r="AF937" t="s">
        <v>1</v>
      </c>
      <c r="AG937" t="s">
        <v>1</v>
      </c>
      <c r="AH937" t="s">
        <v>4768</v>
      </c>
      <c r="AI937" t="s">
        <v>2667</v>
      </c>
      <c r="AJ937" t="s">
        <v>1</v>
      </c>
      <c r="AK937">
        <v>9331364487</v>
      </c>
      <c r="AL937" t="s">
        <v>1</v>
      </c>
      <c r="AM937" t="s">
        <v>1</v>
      </c>
      <c r="AN937" t="s">
        <v>1</v>
      </c>
      <c r="AO937" t="s">
        <v>4768</v>
      </c>
      <c r="AP937" t="s">
        <v>1</v>
      </c>
      <c r="AQ937" t="s">
        <v>2</v>
      </c>
      <c r="AR937" t="s">
        <v>1</v>
      </c>
      <c r="AS937" t="s">
        <v>1</v>
      </c>
      <c r="AT937" t="s">
        <v>1</v>
      </c>
      <c r="AU937" t="s">
        <v>1</v>
      </c>
      <c r="AV937" t="s">
        <v>1</v>
      </c>
      <c r="AW937" t="s">
        <v>9</v>
      </c>
      <c r="AX937">
        <f>Tabla1[[#This Row],[precio del paquete]]-Tabla1[[#This Row],[Saldo_Deudor]]</f>
        <v>600</v>
      </c>
      <c r="AY937">
        <v>14200</v>
      </c>
      <c r="AZ937">
        <v>0</v>
      </c>
      <c r="BA937">
        <v>0</v>
      </c>
      <c r="BB937">
        <v>0</v>
      </c>
      <c r="BC937" t="s">
        <v>4834</v>
      </c>
      <c r="BD937" t="s">
        <v>4915</v>
      </c>
      <c r="BE937" t="s">
        <v>3</v>
      </c>
      <c r="BF937" t="s">
        <v>3</v>
      </c>
      <c r="BG937" t="s">
        <v>3</v>
      </c>
      <c r="BH937" t="s">
        <v>3</v>
      </c>
      <c r="BI937" t="s">
        <v>3</v>
      </c>
      <c r="BJ937" t="s">
        <v>5016</v>
      </c>
      <c r="BK937" t="s">
        <v>3</v>
      </c>
      <c r="BL937" t="s">
        <v>96</v>
      </c>
      <c r="BM937" t="s">
        <v>1</v>
      </c>
      <c r="BN937">
        <v>14800</v>
      </c>
      <c r="BO937" t="s">
        <v>1</v>
      </c>
      <c r="BP937" t="s">
        <v>1</v>
      </c>
      <c r="BQ937" t="s">
        <v>1</v>
      </c>
      <c r="BR937" t="s">
        <v>1</v>
      </c>
      <c r="BS937" t="s">
        <v>1</v>
      </c>
      <c r="BT937" t="s">
        <v>1</v>
      </c>
      <c r="BU937" t="s">
        <v>1</v>
      </c>
      <c r="BV937" t="s">
        <v>1</v>
      </c>
      <c r="BW937" t="s">
        <v>0</v>
      </c>
      <c r="BX937" t="s">
        <v>1</v>
      </c>
      <c r="BY937" t="s">
        <v>1</v>
      </c>
      <c r="BZ937" t="s">
        <v>1</v>
      </c>
      <c r="CA937" t="s">
        <v>1</v>
      </c>
      <c r="CB937" t="s">
        <v>1</v>
      </c>
      <c r="CD937" t="e" cm="1">
        <f t="array" aca="1" ref="CD937" ca="1">eConcatenar(A937:CB937,"|")</f>
        <v>#NAME?</v>
      </c>
    </row>
    <row r="938" spans="1:82" x14ac:dyDescent="0.25">
      <c r="A938" t="s">
        <v>1033</v>
      </c>
      <c r="B938" t="s">
        <v>2056</v>
      </c>
      <c r="C938">
        <v>3</v>
      </c>
      <c r="D938" t="s">
        <v>2153</v>
      </c>
      <c r="E938" t="s">
        <v>2158</v>
      </c>
      <c r="F938" t="s">
        <v>0</v>
      </c>
      <c r="G938" t="s">
        <v>2249</v>
      </c>
      <c r="H938" t="s">
        <v>2749</v>
      </c>
      <c r="I938">
        <v>14800</v>
      </c>
      <c r="J938">
        <v>0</v>
      </c>
      <c r="K938">
        <v>200</v>
      </c>
      <c r="L938">
        <v>50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 t="s">
        <v>3115</v>
      </c>
      <c r="AC938" t="s">
        <v>4040</v>
      </c>
      <c r="AD938" t="s">
        <v>3677</v>
      </c>
      <c r="AE938" t="s">
        <v>4</v>
      </c>
      <c r="AF938" t="s">
        <v>1</v>
      </c>
      <c r="AG938" t="s">
        <v>1</v>
      </c>
      <c r="AH938" t="s">
        <v>4201</v>
      </c>
      <c r="AI938" t="s">
        <v>2249</v>
      </c>
      <c r="AJ938" t="s">
        <v>1</v>
      </c>
      <c r="AK938">
        <v>9371330616</v>
      </c>
      <c r="AL938" t="s">
        <v>1</v>
      </c>
      <c r="AM938" t="s">
        <v>1</v>
      </c>
      <c r="AN938" t="s">
        <v>1</v>
      </c>
      <c r="AO938" t="s">
        <v>4201</v>
      </c>
      <c r="AP938" t="s">
        <v>1</v>
      </c>
      <c r="AQ938" t="s">
        <v>2</v>
      </c>
      <c r="AR938" t="s">
        <v>1</v>
      </c>
      <c r="AS938" t="s">
        <v>1</v>
      </c>
      <c r="AT938" t="s">
        <v>1</v>
      </c>
      <c r="AU938" t="s">
        <v>1</v>
      </c>
      <c r="AV938" t="s">
        <v>1</v>
      </c>
      <c r="AW938" t="s">
        <v>9</v>
      </c>
      <c r="AX938">
        <f>Tabla1[[#This Row],[precio del paquete]]-Tabla1[[#This Row],[Saldo_Deudor]]</f>
        <v>3400</v>
      </c>
      <c r="AY938">
        <v>11400</v>
      </c>
      <c r="AZ938">
        <v>0</v>
      </c>
      <c r="BA938">
        <v>0</v>
      </c>
      <c r="BB938">
        <v>0</v>
      </c>
      <c r="BC938" t="s">
        <v>4883</v>
      </c>
      <c r="BD938" t="s">
        <v>4971</v>
      </c>
      <c r="BE938" t="s">
        <v>3</v>
      </c>
      <c r="BF938" t="s">
        <v>3</v>
      </c>
      <c r="BG938" t="s">
        <v>3</v>
      </c>
      <c r="BH938" t="s">
        <v>3</v>
      </c>
      <c r="BI938" t="s">
        <v>3</v>
      </c>
      <c r="BJ938" t="s">
        <v>4998</v>
      </c>
      <c r="BK938" t="s">
        <v>3</v>
      </c>
      <c r="BL938" t="s">
        <v>96</v>
      </c>
      <c r="BM938" t="s">
        <v>1</v>
      </c>
      <c r="BN938">
        <v>14800</v>
      </c>
      <c r="BO938" t="s">
        <v>1</v>
      </c>
      <c r="BP938" t="s">
        <v>1</v>
      </c>
      <c r="BQ938" t="s">
        <v>1</v>
      </c>
      <c r="BR938" t="s">
        <v>1</v>
      </c>
      <c r="BS938" t="s">
        <v>1</v>
      </c>
      <c r="BT938" t="s">
        <v>1</v>
      </c>
      <c r="BU938" t="s">
        <v>1</v>
      </c>
      <c r="BV938" t="s">
        <v>1</v>
      </c>
      <c r="BW938" t="s">
        <v>0</v>
      </c>
      <c r="BX938" t="s">
        <v>1</v>
      </c>
      <c r="BY938" t="s">
        <v>1</v>
      </c>
      <c r="BZ938" t="s">
        <v>1</v>
      </c>
      <c r="CA938" t="s">
        <v>1</v>
      </c>
      <c r="CB938" t="s">
        <v>1</v>
      </c>
      <c r="CD938" t="e" cm="1">
        <f t="array" aca="1" ref="CD938" ca="1">eConcatenar(A938:CB938,"|")</f>
        <v>#NAME?</v>
      </c>
    </row>
    <row r="939" spans="1:82" x14ac:dyDescent="0.25">
      <c r="A939" t="s">
        <v>1034</v>
      </c>
      <c r="B939" t="s">
        <v>2057</v>
      </c>
      <c r="C939">
        <v>3</v>
      </c>
      <c r="D939" t="s">
        <v>2153</v>
      </c>
      <c r="E939" t="s">
        <v>2158</v>
      </c>
      <c r="F939" t="s">
        <v>0</v>
      </c>
      <c r="G939" t="s">
        <v>2261</v>
      </c>
      <c r="H939" t="s">
        <v>3089</v>
      </c>
      <c r="I939">
        <v>14800</v>
      </c>
      <c r="J939">
        <v>0</v>
      </c>
      <c r="K939">
        <v>100</v>
      </c>
      <c r="L939">
        <v>50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 t="s">
        <v>6</v>
      </c>
      <c r="AC939" t="s">
        <v>3148</v>
      </c>
      <c r="AD939" t="s">
        <v>3277</v>
      </c>
      <c r="AE939" t="s">
        <v>4</v>
      </c>
      <c r="AF939" t="s">
        <v>1</v>
      </c>
      <c r="AG939" t="s">
        <v>1</v>
      </c>
      <c r="AH939" t="s">
        <v>4769</v>
      </c>
      <c r="AI939" t="s">
        <v>2261</v>
      </c>
      <c r="AJ939" t="s">
        <v>1</v>
      </c>
      <c r="AK939">
        <v>9371547394</v>
      </c>
      <c r="AL939" t="s">
        <v>1</v>
      </c>
      <c r="AM939" t="s">
        <v>1</v>
      </c>
      <c r="AN939" t="s">
        <v>1</v>
      </c>
      <c r="AO939" t="s">
        <v>4769</v>
      </c>
      <c r="AP939" t="s">
        <v>1</v>
      </c>
      <c r="AQ939" t="s">
        <v>2</v>
      </c>
      <c r="AR939" t="s">
        <v>1</v>
      </c>
      <c r="AS939" t="s">
        <v>1</v>
      </c>
      <c r="AT939" t="s">
        <v>1</v>
      </c>
      <c r="AU939" t="s">
        <v>1</v>
      </c>
      <c r="AV939" t="s">
        <v>1</v>
      </c>
      <c r="AW939" t="s">
        <v>9</v>
      </c>
      <c r="AX939">
        <f>Tabla1[[#This Row],[precio del paquete]]-Tabla1[[#This Row],[Saldo_Deudor]]</f>
        <v>3400</v>
      </c>
      <c r="AY939">
        <v>11400</v>
      </c>
      <c r="AZ939">
        <v>0</v>
      </c>
      <c r="BA939">
        <v>0</v>
      </c>
      <c r="BB939">
        <v>0</v>
      </c>
      <c r="BC939" t="s">
        <v>4883</v>
      </c>
      <c r="BD939" t="s">
        <v>4971</v>
      </c>
      <c r="BE939" t="s">
        <v>3</v>
      </c>
      <c r="BF939" t="s">
        <v>3</v>
      </c>
      <c r="BG939" t="s">
        <v>3</v>
      </c>
      <c r="BH939" t="s">
        <v>3</v>
      </c>
      <c r="BI939" t="s">
        <v>3</v>
      </c>
      <c r="BJ939" t="s">
        <v>5016</v>
      </c>
      <c r="BK939" t="s">
        <v>3</v>
      </c>
      <c r="BL939" t="s">
        <v>96</v>
      </c>
      <c r="BM939" t="s">
        <v>1</v>
      </c>
      <c r="BN939">
        <v>14800</v>
      </c>
      <c r="BO939" t="s">
        <v>1</v>
      </c>
      <c r="BP939" t="s">
        <v>1</v>
      </c>
      <c r="BQ939" t="s">
        <v>1</v>
      </c>
      <c r="BR939" t="s">
        <v>1</v>
      </c>
      <c r="BS939" t="s">
        <v>1</v>
      </c>
      <c r="BT939" t="s">
        <v>1</v>
      </c>
      <c r="BU939" t="s">
        <v>1</v>
      </c>
      <c r="BV939" t="s">
        <v>1</v>
      </c>
      <c r="BW939" t="s">
        <v>0</v>
      </c>
      <c r="BX939" t="s">
        <v>1</v>
      </c>
      <c r="BY939" t="s">
        <v>1</v>
      </c>
      <c r="BZ939" t="s">
        <v>1</v>
      </c>
      <c r="CA939" t="s">
        <v>1</v>
      </c>
      <c r="CB939" t="s">
        <v>1</v>
      </c>
      <c r="CD939" t="e" cm="1">
        <f t="array" aca="1" ref="CD939" ca="1">eConcatenar(A939:CB939,"|")</f>
        <v>#NAME?</v>
      </c>
    </row>
    <row r="940" spans="1:82" x14ac:dyDescent="0.25">
      <c r="A940" t="s">
        <v>1035</v>
      </c>
      <c r="B940" t="s">
        <v>2058</v>
      </c>
      <c r="C940">
        <v>3</v>
      </c>
      <c r="D940" t="s">
        <v>2153</v>
      </c>
      <c r="E940" t="s">
        <v>2158</v>
      </c>
      <c r="F940" t="s">
        <v>0</v>
      </c>
      <c r="G940" t="s">
        <v>2261</v>
      </c>
      <c r="H940" t="s">
        <v>3070</v>
      </c>
      <c r="I940">
        <v>14800</v>
      </c>
      <c r="J940">
        <v>0</v>
      </c>
      <c r="K940">
        <v>100</v>
      </c>
      <c r="L940">
        <v>50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 t="s">
        <v>3241</v>
      </c>
      <c r="AC940" t="s">
        <v>3177</v>
      </c>
      <c r="AD940" t="s">
        <v>3309</v>
      </c>
      <c r="AE940" t="s">
        <v>4</v>
      </c>
      <c r="AF940" t="s">
        <v>1</v>
      </c>
      <c r="AG940" t="s">
        <v>1</v>
      </c>
      <c r="AH940" t="s">
        <v>4770</v>
      </c>
      <c r="AI940" t="s">
        <v>2261</v>
      </c>
      <c r="AJ940" t="s">
        <v>1</v>
      </c>
      <c r="AK940">
        <v>9371008775</v>
      </c>
      <c r="AL940" t="s">
        <v>1</v>
      </c>
      <c r="AM940" t="s">
        <v>1</v>
      </c>
      <c r="AN940" t="s">
        <v>1</v>
      </c>
      <c r="AO940" t="s">
        <v>4770</v>
      </c>
      <c r="AP940" t="s">
        <v>1</v>
      </c>
      <c r="AQ940" t="s">
        <v>2</v>
      </c>
      <c r="AR940" t="s">
        <v>1</v>
      </c>
      <c r="AS940" t="s">
        <v>1</v>
      </c>
      <c r="AT940" t="s">
        <v>1</v>
      </c>
      <c r="AU940" t="s">
        <v>1</v>
      </c>
      <c r="AV940" t="s">
        <v>1</v>
      </c>
      <c r="AW940" t="s">
        <v>9</v>
      </c>
      <c r="AX940">
        <f>Tabla1[[#This Row],[precio del paquete]]-Tabla1[[#This Row],[Saldo_Deudor]]</f>
        <v>4000</v>
      </c>
      <c r="AY940">
        <v>10800</v>
      </c>
      <c r="AZ940">
        <v>0</v>
      </c>
      <c r="BA940">
        <v>0</v>
      </c>
      <c r="BB940">
        <v>0</v>
      </c>
      <c r="BC940" t="s">
        <v>4883</v>
      </c>
      <c r="BD940" t="s">
        <v>4971</v>
      </c>
      <c r="BE940" t="s">
        <v>3</v>
      </c>
      <c r="BF940" t="s">
        <v>3</v>
      </c>
      <c r="BG940" t="s">
        <v>3</v>
      </c>
      <c r="BH940" t="s">
        <v>3</v>
      </c>
      <c r="BI940" t="s">
        <v>3</v>
      </c>
      <c r="BJ940" t="s">
        <v>5016</v>
      </c>
      <c r="BK940" t="s">
        <v>3</v>
      </c>
      <c r="BL940" t="s">
        <v>96</v>
      </c>
      <c r="BM940" t="s">
        <v>1</v>
      </c>
      <c r="BN940">
        <v>14800</v>
      </c>
      <c r="BO940" t="s">
        <v>1</v>
      </c>
      <c r="BP940" t="s">
        <v>1</v>
      </c>
      <c r="BQ940" t="s">
        <v>1</v>
      </c>
      <c r="BR940" t="s">
        <v>1</v>
      </c>
      <c r="BS940" t="s">
        <v>1</v>
      </c>
      <c r="BT940" t="s">
        <v>1</v>
      </c>
      <c r="BU940" t="s">
        <v>1</v>
      </c>
      <c r="BV940" t="s">
        <v>1</v>
      </c>
      <c r="BW940" t="s">
        <v>0</v>
      </c>
      <c r="BX940" t="s">
        <v>1</v>
      </c>
      <c r="BY940" t="s">
        <v>1</v>
      </c>
      <c r="BZ940" t="s">
        <v>1</v>
      </c>
      <c r="CA940" t="s">
        <v>1</v>
      </c>
      <c r="CB940" t="s">
        <v>1</v>
      </c>
      <c r="CD940" t="e" cm="1">
        <f t="array" aca="1" ref="CD940" ca="1">eConcatenar(A940:CB940,"|")</f>
        <v>#NAME?</v>
      </c>
    </row>
    <row r="941" spans="1:82" x14ac:dyDescent="0.25">
      <c r="A941" t="s">
        <v>1036</v>
      </c>
      <c r="B941" t="s">
        <v>2059</v>
      </c>
      <c r="C941">
        <v>3</v>
      </c>
      <c r="D941" t="s">
        <v>2153</v>
      </c>
      <c r="E941" t="s">
        <v>2158</v>
      </c>
      <c r="F941" t="s">
        <v>0</v>
      </c>
      <c r="G941" t="s">
        <v>2668</v>
      </c>
      <c r="H941" t="s">
        <v>3090</v>
      </c>
      <c r="I941">
        <v>14800</v>
      </c>
      <c r="J941">
        <v>0</v>
      </c>
      <c r="K941">
        <v>100</v>
      </c>
      <c r="L941">
        <v>50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 t="s">
        <v>4041</v>
      </c>
      <c r="AC941" t="s">
        <v>3236</v>
      </c>
      <c r="AD941" t="s">
        <v>3269</v>
      </c>
      <c r="AE941" t="s">
        <v>4</v>
      </c>
      <c r="AF941" t="s">
        <v>1</v>
      </c>
      <c r="AG941" t="s">
        <v>1</v>
      </c>
      <c r="AH941" t="s">
        <v>4771</v>
      </c>
      <c r="AI941" t="s">
        <v>2668</v>
      </c>
      <c r="AJ941" t="s">
        <v>1</v>
      </c>
      <c r="AK941">
        <v>9371251188</v>
      </c>
      <c r="AL941" t="s">
        <v>1</v>
      </c>
      <c r="AM941" t="s">
        <v>1</v>
      </c>
      <c r="AN941" t="s">
        <v>1</v>
      </c>
      <c r="AO941" t="s">
        <v>4771</v>
      </c>
      <c r="AP941" t="s">
        <v>1</v>
      </c>
      <c r="AQ941" t="s">
        <v>2</v>
      </c>
      <c r="AR941" t="s">
        <v>1</v>
      </c>
      <c r="AS941" t="s">
        <v>1</v>
      </c>
      <c r="AT941" t="s">
        <v>1</v>
      </c>
      <c r="AU941" t="s">
        <v>1</v>
      </c>
      <c r="AV941" t="s">
        <v>1</v>
      </c>
      <c r="AW941" t="s">
        <v>9</v>
      </c>
      <c r="AX941">
        <f>Tabla1[[#This Row],[precio del paquete]]-Tabla1[[#This Row],[Saldo_Deudor]]</f>
        <v>2500</v>
      </c>
      <c r="AY941">
        <v>12300</v>
      </c>
      <c r="AZ941">
        <v>0</v>
      </c>
      <c r="BA941">
        <v>0</v>
      </c>
      <c r="BB941">
        <v>0</v>
      </c>
      <c r="BC941" t="s">
        <v>4883</v>
      </c>
      <c r="BD941" t="s">
        <v>4971</v>
      </c>
      <c r="BE941" t="s">
        <v>3</v>
      </c>
      <c r="BF941" t="s">
        <v>3</v>
      </c>
      <c r="BG941" t="s">
        <v>3</v>
      </c>
      <c r="BH941" t="s">
        <v>3</v>
      </c>
      <c r="BI941" t="s">
        <v>3</v>
      </c>
      <c r="BJ941" t="s">
        <v>5016</v>
      </c>
      <c r="BK941" t="s">
        <v>3</v>
      </c>
      <c r="BL941" t="s">
        <v>96</v>
      </c>
      <c r="BM941" t="s">
        <v>1</v>
      </c>
      <c r="BN941">
        <v>14800</v>
      </c>
      <c r="BO941" t="s">
        <v>1</v>
      </c>
      <c r="BP941" t="s">
        <v>1</v>
      </c>
      <c r="BQ941" t="s">
        <v>1</v>
      </c>
      <c r="BR941" t="s">
        <v>1</v>
      </c>
      <c r="BS941" t="s">
        <v>1</v>
      </c>
      <c r="BT941" t="s">
        <v>1</v>
      </c>
      <c r="BU941" t="s">
        <v>1</v>
      </c>
      <c r="BV941" t="s">
        <v>1</v>
      </c>
      <c r="BW941" t="s">
        <v>0</v>
      </c>
      <c r="BX941" t="s">
        <v>1</v>
      </c>
      <c r="BY941" t="s">
        <v>1</v>
      </c>
      <c r="BZ941" t="s">
        <v>1</v>
      </c>
      <c r="CA941" t="s">
        <v>1</v>
      </c>
      <c r="CB941" t="s">
        <v>1</v>
      </c>
      <c r="CD941" t="e" cm="1">
        <f t="array" aca="1" ref="CD941" ca="1">eConcatenar(A941:CB941,"|")</f>
        <v>#NAME?</v>
      </c>
    </row>
    <row r="942" spans="1:82" x14ac:dyDescent="0.25">
      <c r="A942" t="s">
        <v>1037</v>
      </c>
      <c r="B942" t="s">
        <v>2060</v>
      </c>
      <c r="C942">
        <v>3</v>
      </c>
      <c r="D942" t="s">
        <v>2153</v>
      </c>
      <c r="E942" t="s">
        <v>2158</v>
      </c>
      <c r="F942" t="s">
        <v>0</v>
      </c>
      <c r="G942" t="s">
        <v>2669</v>
      </c>
      <c r="H942" t="s">
        <v>2708</v>
      </c>
      <c r="I942">
        <v>14800</v>
      </c>
      <c r="J942">
        <v>0</v>
      </c>
      <c r="K942">
        <v>50</v>
      </c>
      <c r="L942">
        <v>50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 t="s">
        <v>5</v>
      </c>
      <c r="AC942" t="s">
        <v>4042</v>
      </c>
      <c r="AD942" t="s">
        <v>3805</v>
      </c>
      <c r="AE942" t="s">
        <v>4</v>
      </c>
      <c r="AF942" t="s">
        <v>1</v>
      </c>
      <c r="AG942" t="s">
        <v>1</v>
      </c>
      <c r="AH942" t="s">
        <v>4099</v>
      </c>
      <c r="AI942" t="s">
        <v>2669</v>
      </c>
      <c r="AJ942" t="s">
        <v>1</v>
      </c>
      <c r="AK942">
        <v>9371086152</v>
      </c>
      <c r="AL942" t="s">
        <v>1</v>
      </c>
      <c r="AM942" t="s">
        <v>1</v>
      </c>
      <c r="AN942" t="s">
        <v>1</v>
      </c>
      <c r="AO942" t="s">
        <v>4099</v>
      </c>
      <c r="AP942" t="s">
        <v>1</v>
      </c>
      <c r="AQ942" t="s">
        <v>2</v>
      </c>
      <c r="AR942" t="s">
        <v>1</v>
      </c>
      <c r="AS942" t="s">
        <v>1</v>
      </c>
      <c r="AT942" t="s">
        <v>1</v>
      </c>
      <c r="AU942" t="s">
        <v>1</v>
      </c>
      <c r="AV942" t="s">
        <v>1</v>
      </c>
      <c r="AW942" t="s">
        <v>9</v>
      </c>
      <c r="AX942">
        <f>Tabla1[[#This Row],[precio del paquete]]-Tabla1[[#This Row],[Saldo_Deudor]]</f>
        <v>650</v>
      </c>
      <c r="AY942">
        <v>14150</v>
      </c>
      <c r="AZ942">
        <v>0</v>
      </c>
      <c r="BA942">
        <v>0</v>
      </c>
      <c r="BB942">
        <v>0</v>
      </c>
      <c r="BC942" t="s">
        <v>4887</v>
      </c>
      <c r="BD942" t="s">
        <v>4975</v>
      </c>
      <c r="BE942" t="s">
        <v>3</v>
      </c>
      <c r="BF942" t="s">
        <v>3</v>
      </c>
      <c r="BG942" t="s">
        <v>3</v>
      </c>
      <c r="BH942" t="s">
        <v>3</v>
      </c>
      <c r="BI942" t="s">
        <v>3</v>
      </c>
      <c r="BJ942" t="s">
        <v>5016</v>
      </c>
      <c r="BK942" t="s">
        <v>3</v>
      </c>
      <c r="BL942" t="s">
        <v>96</v>
      </c>
      <c r="BM942" t="s">
        <v>1</v>
      </c>
      <c r="BN942">
        <v>14800</v>
      </c>
      <c r="BO942" t="s">
        <v>1</v>
      </c>
      <c r="BP942" t="s">
        <v>1</v>
      </c>
      <c r="BQ942" t="s">
        <v>1</v>
      </c>
      <c r="BR942" t="s">
        <v>1</v>
      </c>
      <c r="BS942" t="s">
        <v>1</v>
      </c>
      <c r="BT942" t="s">
        <v>1</v>
      </c>
      <c r="BU942" t="s">
        <v>1</v>
      </c>
      <c r="BV942" t="s">
        <v>1</v>
      </c>
      <c r="BW942" t="s">
        <v>0</v>
      </c>
      <c r="BX942" t="s">
        <v>1</v>
      </c>
      <c r="BY942" t="s">
        <v>1</v>
      </c>
      <c r="BZ942" t="s">
        <v>1</v>
      </c>
      <c r="CA942" t="s">
        <v>1</v>
      </c>
      <c r="CB942" t="s">
        <v>1</v>
      </c>
      <c r="CD942" t="e" cm="1">
        <f t="array" aca="1" ref="CD942" ca="1">eConcatenar(A942:CB942,"|")</f>
        <v>#NAME?</v>
      </c>
    </row>
    <row r="943" spans="1:82" x14ac:dyDescent="0.25">
      <c r="A943" t="s">
        <v>1038</v>
      </c>
      <c r="B943" t="s">
        <v>2061</v>
      </c>
      <c r="C943">
        <v>3</v>
      </c>
      <c r="D943" t="s">
        <v>2153</v>
      </c>
      <c r="E943" t="s">
        <v>2158</v>
      </c>
      <c r="F943" t="s">
        <v>0</v>
      </c>
      <c r="G943" t="s">
        <v>2670</v>
      </c>
      <c r="H943" t="s">
        <v>3091</v>
      </c>
      <c r="I943">
        <v>14800</v>
      </c>
      <c r="J943">
        <v>0</v>
      </c>
      <c r="K943">
        <v>200</v>
      </c>
      <c r="L943">
        <v>50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 t="s">
        <v>3177</v>
      </c>
      <c r="AD943" t="s">
        <v>4043</v>
      </c>
      <c r="AE943" t="s">
        <v>4</v>
      </c>
      <c r="AF943" t="s">
        <v>1</v>
      </c>
      <c r="AG943" t="s">
        <v>1</v>
      </c>
      <c r="AH943" t="s">
        <v>4772</v>
      </c>
      <c r="AI943" t="s">
        <v>2670</v>
      </c>
      <c r="AJ943" t="s">
        <v>1</v>
      </c>
      <c r="AK943">
        <v>9372279024</v>
      </c>
      <c r="AL943" t="s">
        <v>1</v>
      </c>
      <c r="AM943" t="s">
        <v>1</v>
      </c>
      <c r="AN943" t="s">
        <v>1</v>
      </c>
      <c r="AO943" t="s">
        <v>4772</v>
      </c>
      <c r="AP943" t="s">
        <v>1</v>
      </c>
      <c r="AQ943" t="s">
        <v>2</v>
      </c>
      <c r="AR943" t="s">
        <v>1</v>
      </c>
      <c r="AS943" t="s">
        <v>1</v>
      </c>
      <c r="AT943" t="s">
        <v>1</v>
      </c>
      <c r="AU943" t="s">
        <v>1</v>
      </c>
      <c r="AV943" t="s">
        <v>1</v>
      </c>
      <c r="AW943" t="s">
        <v>9</v>
      </c>
      <c r="AX943">
        <f>Tabla1[[#This Row],[precio del paquete]]-Tabla1[[#This Row],[Saldo_Deudor]]</f>
        <v>2470</v>
      </c>
      <c r="AY943">
        <v>12330</v>
      </c>
      <c r="AZ943">
        <v>0</v>
      </c>
      <c r="BA943">
        <v>0</v>
      </c>
      <c r="BB943">
        <v>0</v>
      </c>
      <c r="BC943" t="s">
        <v>4884</v>
      </c>
      <c r="BD943" t="s">
        <v>4972</v>
      </c>
      <c r="BE943" t="s">
        <v>3</v>
      </c>
      <c r="BF943" t="s">
        <v>3</v>
      </c>
      <c r="BG943" t="s">
        <v>3</v>
      </c>
      <c r="BH943" t="s">
        <v>3</v>
      </c>
      <c r="BI943" t="s">
        <v>3</v>
      </c>
      <c r="BJ943" t="s">
        <v>5014</v>
      </c>
      <c r="BK943" t="s">
        <v>3</v>
      </c>
      <c r="BL943" t="s">
        <v>96</v>
      </c>
      <c r="BM943" t="s">
        <v>1</v>
      </c>
      <c r="BN943">
        <v>14800</v>
      </c>
      <c r="BO943" t="s">
        <v>1</v>
      </c>
      <c r="BP943" t="s">
        <v>1</v>
      </c>
      <c r="BQ943" t="s">
        <v>1</v>
      </c>
      <c r="BR943" t="s">
        <v>1</v>
      </c>
      <c r="BS943" t="s">
        <v>1</v>
      </c>
      <c r="BT943" t="s">
        <v>1</v>
      </c>
      <c r="BU943" t="s">
        <v>1</v>
      </c>
      <c r="BV943" t="s">
        <v>1</v>
      </c>
      <c r="BW943" t="s">
        <v>0</v>
      </c>
      <c r="BX943" t="s">
        <v>1</v>
      </c>
      <c r="BY943" t="s">
        <v>1</v>
      </c>
      <c r="BZ943" t="s">
        <v>1</v>
      </c>
      <c r="CA943" t="s">
        <v>1</v>
      </c>
      <c r="CB943" t="s">
        <v>1</v>
      </c>
      <c r="CD943" t="e" cm="1">
        <f t="array" aca="1" ref="CD943" ca="1">eConcatenar(A943:CB943,"|")</f>
        <v>#NAME?</v>
      </c>
    </row>
    <row r="944" spans="1:82" x14ac:dyDescent="0.25">
      <c r="A944" t="s">
        <v>1039</v>
      </c>
      <c r="B944" t="s">
        <v>2062</v>
      </c>
      <c r="C944">
        <v>3</v>
      </c>
      <c r="D944" t="s">
        <v>2153</v>
      </c>
      <c r="E944" t="s">
        <v>2158</v>
      </c>
      <c r="F944" t="s">
        <v>0</v>
      </c>
      <c r="G944" t="s">
        <v>2670</v>
      </c>
      <c r="H944" t="s">
        <v>2863</v>
      </c>
      <c r="I944">
        <v>14800</v>
      </c>
      <c r="J944">
        <v>0</v>
      </c>
      <c r="K944">
        <v>100</v>
      </c>
      <c r="L944">
        <v>50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 t="s">
        <v>3265</v>
      </c>
      <c r="AC944" t="s">
        <v>3863</v>
      </c>
      <c r="AD944" t="s">
        <v>4044</v>
      </c>
      <c r="AE944" t="s">
        <v>4</v>
      </c>
      <c r="AF944" t="s">
        <v>1</v>
      </c>
      <c r="AG944" t="s">
        <v>1</v>
      </c>
      <c r="AH944" t="s">
        <v>4773</v>
      </c>
      <c r="AI944" t="s">
        <v>2670</v>
      </c>
      <c r="AJ944" t="s">
        <v>1</v>
      </c>
      <c r="AK944">
        <v>9371633087</v>
      </c>
      <c r="AL944" t="s">
        <v>1</v>
      </c>
      <c r="AM944" t="s">
        <v>1</v>
      </c>
      <c r="AN944" t="s">
        <v>1</v>
      </c>
      <c r="AO944" t="s">
        <v>4773</v>
      </c>
      <c r="AP944" t="s">
        <v>1</v>
      </c>
      <c r="AQ944" t="s">
        <v>2</v>
      </c>
      <c r="AR944" t="s">
        <v>1</v>
      </c>
      <c r="AS944" t="s">
        <v>1</v>
      </c>
      <c r="AT944" t="s">
        <v>1</v>
      </c>
      <c r="AU944" t="s">
        <v>1</v>
      </c>
      <c r="AV944" t="s">
        <v>1</v>
      </c>
      <c r="AW944" t="s">
        <v>9</v>
      </c>
      <c r="AX944">
        <f>Tabla1[[#This Row],[precio del paquete]]-Tabla1[[#This Row],[Saldo_Deudor]]</f>
        <v>3100</v>
      </c>
      <c r="AY944">
        <v>11700</v>
      </c>
      <c r="AZ944">
        <v>0</v>
      </c>
      <c r="BA944">
        <v>0</v>
      </c>
      <c r="BB944">
        <v>0</v>
      </c>
      <c r="BC944" t="s">
        <v>4884</v>
      </c>
      <c r="BD944" t="s">
        <v>4972</v>
      </c>
      <c r="BE944" t="s">
        <v>3</v>
      </c>
      <c r="BF944" t="s">
        <v>3</v>
      </c>
      <c r="BG944" t="s">
        <v>3</v>
      </c>
      <c r="BH944" t="s">
        <v>3</v>
      </c>
      <c r="BI944" t="s">
        <v>3</v>
      </c>
      <c r="BJ944" t="s">
        <v>5016</v>
      </c>
      <c r="BK944" t="s">
        <v>3</v>
      </c>
      <c r="BL944" t="s">
        <v>96</v>
      </c>
      <c r="BM944" t="s">
        <v>1</v>
      </c>
      <c r="BN944">
        <v>14800</v>
      </c>
      <c r="BO944" t="s">
        <v>1</v>
      </c>
      <c r="BP944" t="s">
        <v>1</v>
      </c>
      <c r="BQ944" t="s">
        <v>1</v>
      </c>
      <c r="BR944" t="s">
        <v>1</v>
      </c>
      <c r="BS944" t="s">
        <v>1</v>
      </c>
      <c r="BT944" t="s">
        <v>1</v>
      </c>
      <c r="BU944" t="s">
        <v>1</v>
      </c>
      <c r="BV944" t="s">
        <v>1</v>
      </c>
      <c r="BW944" t="s">
        <v>0</v>
      </c>
      <c r="BX944" t="s">
        <v>1</v>
      </c>
      <c r="BY944" t="s">
        <v>1</v>
      </c>
      <c r="BZ944" t="s">
        <v>1</v>
      </c>
      <c r="CA944" t="s">
        <v>1</v>
      </c>
      <c r="CB944" t="s">
        <v>1</v>
      </c>
      <c r="CD944" t="e" cm="1">
        <f t="array" aca="1" ref="CD944" ca="1">eConcatenar(A944:CB944,"|")</f>
        <v>#NAME?</v>
      </c>
    </row>
    <row r="945" spans="1:82" x14ac:dyDescent="0.25">
      <c r="A945" t="s">
        <v>1040</v>
      </c>
      <c r="B945" t="s">
        <v>2063</v>
      </c>
      <c r="C945">
        <v>3</v>
      </c>
      <c r="D945" t="s">
        <v>2153</v>
      </c>
      <c r="E945" t="s">
        <v>2158</v>
      </c>
      <c r="F945" t="s">
        <v>0</v>
      </c>
      <c r="G945" t="s">
        <v>2671</v>
      </c>
      <c r="H945" t="s">
        <v>3092</v>
      </c>
      <c r="I945">
        <v>14800</v>
      </c>
      <c r="J945">
        <v>0</v>
      </c>
      <c r="K945">
        <v>100</v>
      </c>
      <c r="L945">
        <v>50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 t="s">
        <v>3193</v>
      </c>
      <c r="AC945" t="s">
        <v>3236</v>
      </c>
      <c r="AD945" t="s">
        <v>4045</v>
      </c>
      <c r="AE945" t="s">
        <v>4</v>
      </c>
      <c r="AF945" t="s">
        <v>1</v>
      </c>
      <c r="AG945" t="s">
        <v>1</v>
      </c>
      <c r="AH945" t="s">
        <v>2207</v>
      </c>
      <c r="AI945" t="s">
        <v>2671</v>
      </c>
      <c r="AJ945" t="s">
        <v>1</v>
      </c>
      <c r="AK945">
        <v>9371890783</v>
      </c>
      <c r="AL945" t="s">
        <v>1</v>
      </c>
      <c r="AM945" t="s">
        <v>1</v>
      </c>
      <c r="AN945" t="s">
        <v>1</v>
      </c>
      <c r="AO945" t="s">
        <v>2207</v>
      </c>
      <c r="AP945" t="s">
        <v>1</v>
      </c>
      <c r="AQ945" t="s">
        <v>2</v>
      </c>
      <c r="AR945" t="s">
        <v>1</v>
      </c>
      <c r="AS945" t="s">
        <v>1</v>
      </c>
      <c r="AT945" t="s">
        <v>1</v>
      </c>
      <c r="AU945" t="s">
        <v>1</v>
      </c>
      <c r="AV945" t="s">
        <v>1</v>
      </c>
      <c r="AW945" t="s">
        <v>9</v>
      </c>
      <c r="AX945">
        <f>Tabla1[[#This Row],[precio del paquete]]-Tabla1[[#This Row],[Saldo_Deudor]]</f>
        <v>2100</v>
      </c>
      <c r="AY945">
        <v>12700</v>
      </c>
      <c r="AZ945">
        <v>0</v>
      </c>
      <c r="BA945">
        <v>0</v>
      </c>
      <c r="BB945">
        <v>0</v>
      </c>
      <c r="BC945" t="s">
        <v>4883</v>
      </c>
      <c r="BD945" t="s">
        <v>4971</v>
      </c>
      <c r="BE945" t="s">
        <v>3</v>
      </c>
      <c r="BF945" t="s">
        <v>3</v>
      </c>
      <c r="BG945" t="s">
        <v>3</v>
      </c>
      <c r="BH945" t="s">
        <v>3</v>
      </c>
      <c r="BI945" t="s">
        <v>3</v>
      </c>
      <c r="BJ945" t="s">
        <v>5016</v>
      </c>
      <c r="BK945" t="s">
        <v>3</v>
      </c>
      <c r="BL945" t="s">
        <v>96</v>
      </c>
      <c r="BM945" t="s">
        <v>1</v>
      </c>
      <c r="BN945">
        <v>14800</v>
      </c>
      <c r="BO945" t="s">
        <v>1</v>
      </c>
      <c r="BP945" t="s">
        <v>1</v>
      </c>
      <c r="BQ945" t="s">
        <v>1</v>
      </c>
      <c r="BR945" t="s">
        <v>1</v>
      </c>
      <c r="BS945" t="s">
        <v>1</v>
      </c>
      <c r="BT945" t="s">
        <v>1</v>
      </c>
      <c r="BU945" t="s">
        <v>1</v>
      </c>
      <c r="BV945" t="s">
        <v>1</v>
      </c>
      <c r="BW945" t="s">
        <v>0</v>
      </c>
      <c r="BX945" t="s">
        <v>1</v>
      </c>
      <c r="BY945" t="s">
        <v>1</v>
      </c>
      <c r="BZ945" t="s">
        <v>1</v>
      </c>
      <c r="CA945" t="s">
        <v>1</v>
      </c>
      <c r="CB945" t="s">
        <v>1</v>
      </c>
      <c r="CD945" t="e" cm="1">
        <f t="array" aca="1" ref="CD945" ca="1">eConcatenar(A945:CB945,"|")</f>
        <v>#NAME?</v>
      </c>
    </row>
    <row r="946" spans="1:82" x14ac:dyDescent="0.25">
      <c r="A946" t="s">
        <v>1041</v>
      </c>
      <c r="B946" t="s">
        <v>2064</v>
      </c>
      <c r="C946">
        <v>3</v>
      </c>
      <c r="D946" t="s">
        <v>2153</v>
      </c>
      <c r="E946" t="s">
        <v>2158</v>
      </c>
      <c r="F946" t="s">
        <v>2161</v>
      </c>
      <c r="G946" t="s">
        <v>2671</v>
      </c>
      <c r="H946" t="s">
        <v>2959</v>
      </c>
      <c r="I946">
        <v>14800</v>
      </c>
      <c r="J946">
        <v>0</v>
      </c>
      <c r="K946">
        <v>100</v>
      </c>
      <c r="L946">
        <v>50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 t="s">
        <v>3138</v>
      </c>
      <c r="AC946" t="s">
        <v>3132</v>
      </c>
      <c r="AD946" t="s">
        <v>3528</v>
      </c>
      <c r="AE946" t="s">
        <v>4</v>
      </c>
      <c r="AF946" t="s">
        <v>1</v>
      </c>
      <c r="AG946" t="s">
        <v>1</v>
      </c>
      <c r="AH946" t="s">
        <v>4774</v>
      </c>
      <c r="AI946" t="s">
        <v>2671</v>
      </c>
      <c r="AJ946" t="s">
        <v>1</v>
      </c>
      <c r="AK946">
        <v>9141001142</v>
      </c>
      <c r="AL946" t="s">
        <v>1</v>
      </c>
      <c r="AM946" t="s">
        <v>1</v>
      </c>
      <c r="AN946" t="s">
        <v>1</v>
      </c>
      <c r="AO946" t="s">
        <v>4774</v>
      </c>
      <c r="AP946" t="s">
        <v>1</v>
      </c>
      <c r="AQ946" t="s">
        <v>2</v>
      </c>
      <c r="AR946" t="s">
        <v>1</v>
      </c>
      <c r="AS946" t="s">
        <v>1</v>
      </c>
      <c r="AT946" t="s">
        <v>1</v>
      </c>
      <c r="AU946" t="s">
        <v>1</v>
      </c>
      <c r="AV946" t="s">
        <v>1</v>
      </c>
      <c r="AW946" t="s">
        <v>9</v>
      </c>
      <c r="AX946">
        <f>Tabla1[[#This Row],[precio del paquete]]-Tabla1[[#This Row],[Saldo_Deudor]]</f>
        <v>3100</v>
      </c>
      <c r="AY946">
        <v>11700</v>
      </c>
      <c r="AZ946">
        <v>0</v>
      </c>
      <c r="BA946">
        <v>0</v>
      </c>
      <c r="BB946">
        <v>0</v>
      </c>
      <c r="BC946" t="s">
        <v>4884</v>
      </c>
      <c r="BD946" t="s">
        <v>4972</v>
      </c>
      <c r="BE946" t="s">
        <v>3</v>
      </c>
      <c r="BF946" t="s">
        <v>3</v>
      </c>
      <c r="BG946" t="s">
        <v>3</v>
      </c>
      <c r="BH946" t="s">
        <v>3</v>
      </c>
      <c r="BI946" t="s">
        <v>3</v>
      </c>
      <c r="BJ946" t="s">
        <v>5016</v>
      </c>
      <c r="BK946" t="s">
        <v>3</v>
      </c>
      <c r="BL946" t="s">
        <v>96</v>
      </c>
      <c r="BM946" t="s">
        <v>1</v>
      </c>
      <c r="BN946">
        <v>14800</v>
      </c>
      <c r="BO946" t="s">
        <v>1</v>
      </c>
      <c r="BP946" t="s">
        <v>1</v>
      </c>
      <c r="BQ946" t="s">
        <v>1</v>
      </c>
      <c r="BR946" t="s">
        <v>1</v>
      </c>
      <c r="BS946" t="s">
        <v>1</v>
      </c>
      <c r="BT946" t="s">
        <v>1</v>
      </c>
      <c r="BU946" t="s">
        <v>1</v>
      </c>
      <c r="BV946" t="s">
        <v>1</v>
      </c>
      <c r="BW946" t="s">
        <v>0</v>
      </c>
      <c r="BX946" t="s">
        <v>1</v>
      </c>
      <c r="BY946" t="s">
        <v>1</v>
      </c>
      <c r="BZ946" t="s">
        <v>1</v>
      </c>
      <c r="CA946" t="s">
        <v>1</v>
      </c>
      <c r="CB946" t="s">
        <v>1</v>
      </c>
      <c r="CD946" t="e" cm="1">
        <f t="array" aca="1" ref="CD946" ca="1">eConcatenar(A946:CB946,"|")</f>
        <v>#NAME?</v>
      </c>
    </row>
    <row r="947" spans="1:82" x14ac:dyDescent="0.25">
      <c r="A947" t="s">
        <v>1042</v>
      </c>
      <c r="B947" t="s">
        <v>2065</v>
      </c>
      <c r="C947">
        <v>3</v>
      </c>
      <c r="D947" t="s">
        <v>2154</v>
      </c>
      <c r="E947" t="s">
        <v>2158</v>
      </c>
      <c r="F947" t="s">
        <v>2161</v>
      </c>
      <c r="G947" t="s">
        <v>2671</v>
      </c>
      <c r="H947" t="s">
        <v>2959</v>
      </c>
      <c r="I947">
        <v>24500</v>
      </c>
      <c r="J947">
        <v>0</v>
      </c>
      <c r="K947">
        <v>500</v>
      </c>
      <c r="L947">
        <v>50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 t="s">
        <v>3241</v>
      </c>
      <c r="AC947" t="s">
        <v>3114</v>
      </c>
      <c r="AD947" t="s">
        <v>3341</v>
      </c>
      <c r="AE947" t="s">
        <v>4</v>
      </c>
      <c r="AF947" t="s">
        <v>1</v>
      </c>
      <c r="AG947" t="s">
        <v>1</v>
      </c>
      <c r="AH947" t="s">
        <v>4360</v>
      </c>
      <c r="AI947" t="s">
        <v>2671</v>
      </c>
      <c r="AJ947" t="s">
        <v>1</v>
      </c>
      <c r="AK947">
        <v>9141149408</v>
      </c>
      <c r="AL947" t="s">
        <v>1</v>
      </c>
      <c r="AM947" t="s">
        <v>1</v>
      </c>
      <c r="AN947" t="s">
        <v>1</v>
      </c>
      <c r="AO947" t="s">
        <v>4360</v>
      </c>
      <c r="AP947" t="s">
        <v>1</v>
      </c>
      <c r="AQ947" t="s">
        <v>2</v>
      </c>
      <c r="AR947" t="s">
        <v>1</v>
      </c>
      <c r="AS947" t="s">
        <v>1</v>
      </c>
      <c r="AT947" t="s">
        <v>1</v>
      </c>
      <c r="AU947" t="s">
        <v>1</v>
      </c>
      <c r="AV947" t="s">
        <v>1</v>
      </c>
      <c r="AW947" t="s">
        <v>9</v>
      </c>
      <c r="AX947">
        <f>Tabla1[[#This Row],[precio del paquete]]-Tabla1[[#This Row],[Saldo_Deudor]]</f>
        <v>3300</v>
      </c>
      <c r="AY947">
        <v>21200</v>
      </c>
      <c r="AZ947">
        <v>0</v>
      </c>
      <c r="BA947">
        <v>0</v>
      </c>
      <c r="BB947">
        <v>0</v>
      </c>
      <c r="BC947" t="s">
        <v>4884</v>
      </c>
      <c r="BD947" t="s">
        <v>4972</v>
      </c>
      <c r="BE947" t="s">
        <v>3</v>
      </c>
      <c r="BF947" t="s">
        <v>3</v>
      </c>
      <c r="BG947" t="s">
        <v>3</v>
      </c>
      <c r="BH947" t="s">
        <v>3</v>
      </c>
      <c r="BI947" t="s">
        <v>3</v>
      </c>
      <c r="BJ947" t="s">
        <v>5016</v>
      </c>
      <c r="BK947" t="s">
        <v>3</v>
      </c>
      <c r="BL947" t="s">
        <v>96</v>
      </c>
      <c r="BM947" t="s">
        <v>1</v>
      </c>
      <c r="BN947">
        <v>24500</v>
      </c>
      <c r="BO947" t="s">
        <v>1</v>
      </c>
      <c r="BP947" t="s">
        <v>1</v>
      </c>
      <c r="BQ947" t="s">
        <v>1</v>
      </c>
      <c r="BR947" t="s">
        <v>1</v>
      </c>
      <c r="BS947" t="s">
        <v>1</v>
      </c>
      <c r="BT947" t="s">
        <v>1</v>
      </c>
      <c r="BU947" t="s">
        <v>1</v>
      </c>
      <c r="BV947" t="s">
        <v>1</v>
      </c>
      <c r="BW947" t="s">
        <v>0</v>
      </c>
      <c r="BX947" t="s">
        <v>1</v>
      </c>
      <c r="BY947" t="s">
        <v>1</v>
      </c>
      <c r="BZ947" t="s">
        <v>1</v>
      </c>
      <c r="CA947" t="s">
        <v>1</v>
      </c>
      <c r="CB947" t="s">
        <v>1</v>
      </c>
      <c r="CD947" t="e" cm="1">
        <f t="array" aca="1" ref="CD947" ca="1">eConcatenar(A947:CB947,"|")</f>
        <v>#NAME?</v>
      </c>
    </row>
    <row r="948" spans="1:82" x14ac:dyDescent="0.25">
      <c r="A948" t="s">
        <v>1043</v>
      </c>
      <c r="B948" t="s">
        <v>2066</v>
      </c>
      <c r="C948">
        <v>3</v>
      </c>
      <c r="D948" t="s">
        <v>2153</v>
      </c>
      <c r="E948" t="s">
        <v>2158</v>
      </c>
      <c r="F948" t="s">
        <v>2161</v>
      </c>
      <c r="G948" t="s">
        <v>2671</v>
      </c>
      <c r="H948" t="s">
        <v>2959</v>
      </c>
      <c r="I948">
        <v>14800</v>
      </c>
      <c r="J948">
        <v>0</v>
      </c>
      <c r="K948">
        <v>100</v>
      </c>
      <c r="L948">
        <v>50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 t="s">
        <v>3117</v>
      </c>
      <c r="AC948" t="s">
        <v>3177</v>
      </c>
      <c r="AD948" t="s">
        <v>4046</v>
      </c>
      <c r="AE948" t="s">
        <v>4</v>
      </c>
      <c r="AF948" t="s">
        <v>1</v>
      </c>
      <c r="AG948" t="s">
        <v>1</v>
      </c>
      <c r="AH948" t="s">
        <v>4775</v>
      </c>
      <c r="AI948" t="s">
        <v>2671</v>
      </c>
      <c r="AJ948" t="s">
        <v>1</v>
      </c>
      <c r="AK948">
        <v>9331649255</v>
      </c>
      <c r="AL948" t="s">
        <v>1</v>
      </c>
      <c r="AM948" t="s">
        <v>1</v>
      </c>
      <c r="AN948" t="s">
        <v>1</v>
      </c>
      <c r="AO948" t="s">
        <v>4775</v>
      </c>
      <c r="AP948" t="s">
        <v>1</v>
      </c>
      <c r="AQ948" t="s">
        <v>2</v>
      </c>
      <c r="AR948" t="s">
        <v>1</v>
      </c>
      <c r="AS948" t="s">
        <v>1</v>
      </c>
      <c r="AT948" t="s">
        <v>1</v>
      </c>
      <c r="AU948" t="s">
        <v>1</v>
      </c>
      <c r="AV948" t="s">
        <v>1</v>
      </c>
      <c r="AW948" t="s">
        <v>9</v>
      </c>
      <c r="AX948">
        <f>Tabla1[[#This Row],[precio del paquete]]-Tabla1[[#This Row],[Saldo_Deudor]]</f>
        <v>3000</v>
      </c>
      <c r="AY948">
        <v>11800</v>
      </c>
      <c r="AZ948">
        <v>0</v>
      </c>
      <c r="BA948">
        <v>0</v>
      </c>
      <c r="BB948">
        <v>0</v>
      </c>
      <c r="BC948" t="s">
        <v>4884</v>
      </c>
      <c r="BD948" t="s">
        <v>4972</v>
      </c>
      <c r="BE948" t="s">
        <v>3</v>
      </c>
      <c r="BF948" t="s">
        <v>3</v>
      </c>
      <c r="BG948" t="s">
        <v>3</v>
      </c>
      <c r="BH948" t="s">
        <v>3</v>
      </c>
      <c r="BI948" t="s">
        <v>3</v>
      </c>
      <c r="BJ948" t="s">
        <v>5016</v>
      </c>
      <c r="BK948" t="s">
        <v>3</v>
      </c>
      <c r="BL948" t="s">
        <v>96</v>
      </c>
      <c r="BM948" t="s">
        <v>1</v>
      </c>
      <c r="BN948">
        <v>14800</v>
      </c>
      <c r="BO948" t="s">
        <v>1</v>
      </c>
      <c r="BP948" t="s">
        <v>1</v>
      </c>
      <c r="BQ948" t="s">
        <v>1</v>
      </c>
      <c r="BR948" t="s">
        <v>1</v>
      </c>
      <c r="BS948" t="s">
        <v>1</v>
      </c>
      <c r="BT948" t="s">
        <v>1</v>
      </c>
      <c r="BU948" t="s">
        <v>1</v>
      </c>
      <c r="BV948" t="s">
        <v>1</v>
      </c>
      <c r="BW948" t="s">
        <v>0</v>
      </c>
      <c r="BX948" t="s">
        <v>1</v>
      </c>
      <c r="BY948" t="s">
        <v>1</v>
      </c>
      <c r="BZ948" t="s">
        <v>1</v>
      </c>
      <c r="CA948" t="s">
        <v>1</v>
      </c>
      <c r="CB948" t="s">
        <v>1</v>
      </c>
      <c r="CD948" t="e" cm="1">
        <f t="array" aca="1" ref="CD948" ca="1">eConcatenar(A948:CB948,"|")</f>
        <v>#NAME?</v>
      </c>
    </row>
    <row r="949" spans="1:82" x14ac:dyDescent="0.25">
      <c r="A949" t="s">
        <v>1044</v>
      </c>
      <c r="B949" t="s">
        <v>2067</v>
      </c>
      <c r="C949">
        <v>3</v>
      </c>
      <c r="D949" t="s">
        <v>2153</v>
      </c>
      <c r="E949" t="s">
        <v>2158</v>
      </c>
      <c r="F949" t="s">
        <v>0</v>
      </c>
      <c r="G949" t="s">
        <v>2672</v>
      </c>
      <c r="H949" t="s">
        <v>3093</v>
      </c>
      <c r="I949">
        <v>14800</v>
      </c>
      <c r="J949">
        <v>0</v>
      </c>
      <c r="K949">
        <v>100</v>
      </c>
      <c r="L949">
        <v>50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 t="s">
        <v>3629</v>
      </c>
      <c r="AC949" t="s">
        <v>3378</v>
      </c>
      <c r="AD949" t="s">
        <v>4047</v>
      </c>
      <c r="AE949" t="s">
        <v>4</v>
      </c>
      <c r="AF949" t="s">
        <v>1</v>
      </c>
      <c r="AG949" t="s">
        <v>1</v>
      </c>
      <c r="AH949" t="s">
        <v>4776</v>
      </c>
      <c r="AI949" t="s">
        <v>2672</v>
      </c>
      <c r="AJ949" t="s">
        <v>1</v>
      </c>
      <c r="AK949">
        <v>9371681825</v>
      </c>
      <c r="AL949" t="s">
        <v>1</v>
      </c>
      <c r="AM949" t="s">
        <v>1</v>
      </c>
      <c r="AN949" t="s">
        <v>1</v>
      </c>
      <c r="AO949" t="s">
        <v>4776</v>
      </c>
      <c r="AP949" t="s">
        <v>1</v>
      </c>
      <c r="AQ949" t="s">
        <v>2</v>
      </c>
      <c r="AR949" t="s">
        <v>1</v>
      </c>
      <c r="AS949" t="s">
        <v>1</v>
      </c>
      <c r="AT949" t="s">
        <v>1</v>
      </c>
      <c r="AU949" t="s">
        <v>1</v>
      </c>
      <c r="AV949" t="s">
        <v>1</v>
      </c>
      <c r="AW949" t="s">
        <v>9</v>
      </c>
      <c r="AX949">
        <f>Tabla1[[#This Row],[precio del paquete]]-Tabla1[[#This Row],[Saldo_Deudor]]</f>
        <v>3300</v>
      </c>
      <c r="AY949">
        <v>11500</v>
      </c>
      <c r="AZ949">
        <v>0</v>
      </c>
      <c r="BA949">
        <v>0</v>
      </c>
      <c r="BB949">
        <v>0</v>
      </c>
      <c r="BC949" t="s">
        <v>4884</v>
      </c>
      <c r="BD949" t="s">
        <v>4972</v>
      </c>
      <c r="BE949" t="s">
        <v>3</v>
      </c>
      <c r="BF949" t="s">
        <v>3</v>
      </c>
      <c r="BG949" t="s">
        <v>3</v>
      </c>
      <c r="BH949" t="s">
        <v>3</v>
      </c>
      <c r="BI949" t="s">
        <v>3</v>
      </c>
      <c r="BJ949" t="s">
        <v>5016</v>
      </c>
      <c r="BK949" t="s">
        <v>3</v>
      </c>
      <c r="BL949" t="s">
        <v>96</v>
      </c>
      <c r="BM949" t="s">
        <v>1</v>
      </c>
      <c r="BN949">
        <v>14800</v>
      </c>
      <c r="BO949" t="s">
        <v>1</v>
      </c>
      <c r="BP949" t="s">
        <v>1</v>
      </c>
      <c r="BQ949" t="s">
        <v>1</v>
      </c>
      <c r="BR949" t="s">
        <v>1</v>
      </c>
      <c r="BS949" t="s">
        <v>1</v>
      </c>
      <c r="BT949" t="s">
        <v>1</v>
      </c>
      <c r="BU949" t="s">
        <v>1</v>
      </c>
      <c r="BV949" t="s">
        <v>1</v>
      </c>
      <c r="BW949" t="s">
        <v>0</v>
      </c>
      <c r="BX949" t="s">
        <v>1</v>
      </c>
      <c r="BY949" t="s">
        <v>1</v>
      </c>
      <c r="BZ949" t="s">
        <v>1</v>
      </c>
      <c r="CA949" t="s">
        <v>1</v>
      </c>
      <c r="CB949" t="s">
        <v>1</v>
      </c>
      <c r="CD949" t="e" cm="1">
        <f t="array" aca="1" ref="CD949" ca="1">eConcatenar(A949:CB949,"|")</f>
        <v>#NAME?</v>
      </c>
    </row>
    <row r="950" spans="1:82" x14ac:dyDescent="0.25">
      <c r="A950" t="s">
        <v>1045</v>
      </c>
      <c r="B950" t="s">
        <v>2068</v>
      </c>
      <c r="C950">
        <v>3</v>
      </c>
      <c r="D950" t="s">
        <v>2153</v>
      </c>
      <c r="E950" t="s">
        <v>2158</v>
      </c>
      <c r="F950" t="s">
        <v>0</v>
      </c>
      <c r="G950" t="s">
        <v>2673</v>
      </c>
      <c r="H950" t="s">
        <v>2737</v>
      </c>
      <c r="I950">
        <v>14800</v>
      </c>
      <c r="J950">
        <v>0</v>
      </c>
      <c r="K950">
        <v>50</v>
      </c>
      <c r="L950">
        <v>50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 t="s">
        <v>3132</v>
      </c>
      <c r="AC950" t="s">
        <v>3186</v>
      </c>
      <c r="AD950" t="s">
        <v>4048</v>
      </c>
      <c r="AE950" t="s">
        <v>4</v>
      </c>
      <c r="AF950" t="s">
        <v>1</v>
      </c>
      <c r="AG950" t="s">
        <v>1</v>
      </c>
      <c r="AH950" t="s">
        <v>4097</v>
      </c>
      <c r="AI950" t="s">
        <v>2673</v>
      </c>
      <c r="AJ950" t="s">
        <v>1</v>
      </c>
      <c r="AK950">
        <v>9372704873</v>
      </c>
      <c r="AL950" t="s">
        <v>1</v>
      </c>
      <c r="AM950" t="s">
        <v>1</v>
      </c>
      <c r="AN950" t="s">
        <v>1</v>
      </c>
      <c r="AO950" t="s">
        <v>4097</v>
      </c>
      <c r="AP950" t="s">
        <v>1</v>
      </c>
      <c r="AQ950" t="s">
        <v>2</v>
      </c>
      <c r="AR950" t="s">
        <v>1</v>
      </c>
      <c r="AS950" t="s">
        <v>1</v>
      </c>
      <c r="AT950" t="s">
        <v>1</v>
      </c>
      <c r="AU950" t="s">
        <v>1</v>
      </c>
      <c r="AV950" t="s">
        <v>1</v>
      </c>
      <c r="AW950" t="s">
        <v>9</v>
      </c>
      <c r="AX950">
        <f>Tabla1[[#This Row],[precio del paquete]]-Tabla1[[#This Row],[Saldo_Deudor]]</f>
        <v>1650</v>
      </c>
      <c r="AY950">
        <v>13150</v>
      </c>
      <c r="AZ950">
        <v>0</v>
      </c>
      <c r="BA950">
        <v>0</v>
      </c>
      <c r="BB950">
        <v>0</v>
      </c>
      <c r="BC950" t="s">
        <v>4873</v>
      </c>
      <c r="BD950" t="s">
        <v>4962</v>
      </c>
      <c r="BE950" t="s">
        <v>3</v>
      </c>
      <c r="BF950" t="s">
        <v>3</v>
      </c>
      <c r="BG950" t="s">
        <v>3</v>
      </c>
      <c r="BH950" t="s">
        <v>3</v>
      </c>
      <c r="BI950" t="s">
        <v>3</v>
      </c>
      <c r="BJ950" t="s">
        <v>5016</v>
      </c>
      <c r="BK950" t="s">
        <v>3</v>
      </c>
      <c r="BL950" t="s">
        <v>96</v>
      </c>
      <c r="BM950" t="s">
        <v>1</v>
      </c>
      <c r="BN950">
        <v>14800</v>
      </c>
      <c r="BO950" t="s">
        <v>1</v>
      </c>
      <c r="BP950" t="s">
        <v>1</v>
      </c>
      <c r="BQ950" t="s">
        <v>1</v>
      </c>
      <c r="BR950" t="s">
        <v>1</v>
      </c>
      <c r="BS950" t="s">
        <v>1</v>
      </c>
      <c r="BT950" t="s">
        <v>1</v>
      </c>
      <c r="BU950" t="s">
        <v>1</v>
      </c>
      <c r="BV950" t="s">
        <v>1</v>
      </c>
      <c r="BW950" t="s">
        <v>0</v>
      </c>
      <c r="BX950" t="s">
        <v>1</v>
      </c>
      <c r="BY950" t="s">
        <v>1</v>
      </c>
      <c r="BZ950" t="s">
        <v>1</v>
      </c>
      <c r="CA950" t="s">
        <v>1</v>
      </c>
      <c r="CB950" t="s">
        <v>1</v>
      </c>
      <c r="CD950" t="e" cm="1">
        <f t="array" aca="1" ref="CD950" ca="1">eConcatenar(A950:CB950,"|")</f>
        <v>#NAME?</v>
      </c>
    </row>
    <row r="951" spans="1:82" x14ac:dyDescent="0.25">
      <c r="A951" t="s">
        <v>1046</v>
      </c>
      <c r="B951" t="s">
        <v>2069</v>
      </c>
      <c r="C951">
        <v>3</v>
      </c>
      <c r="D951" t="s">
        <v>2153</v>
      </c>
      <c r="E951" t="s">
        <v>2158</v>
      </c>
      <c r="F951" t="s">
        <v>0</v>
      </c>
      <c r="G951" t="s">
        <v>2674</v>
      </c>
      <c r="H951" t="s">
        <v>2800</v>
      </c>
      <c r="I951">
        <v>14800</v>
      </c>
      <c r="J951">
        <v>0</v>
      </c>
      <c r="K951">
        <v>100</v>
      </c>
      <c r="L951">
        <v>50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 t="s">
        <v>3630</v>
      </c>
      <c r="AC951" t="s">
        <v>3770</v>
      </c>
      <c r="AD951" t="s">
        <v>4049</v>
      </c>
      <c r="AE951" t="s">
        <v>4</v>
      </c>
      <c r="AF951" t="s">
        <v>1</v>
      </c>
      <c r="AG951" t="s">
        <v>1</v>
      </c>
      <c r="AH951" t="s">
        <v>4777</v>
      </c>
      <c r="AI951" t="s">
        <v>2674</v>
      </c>
      <c r="AJ951" t="s">
        <v>1</v>
      </c>
      <c r="AK951">
        <v>9141338077</v>
      </c>
      <c r="AL951" t="s">
        <v>1</v>
      </c>
      <c r="AM951" t="s">
        <v>1</v>
      </c>
      <c r="AN951" t="s">
        <v>1</v>
      </c>
      <c r="AO951" t="s">
        <v>4777</v>
      </c>
      <c r="AP951" t="s">
        <v>1</v>
      </c>
      <c r="AQ951" t="s">
        <v>2</v>
      </c>
      <c r="AR951" t="s">
        <v>1</v>
      </c>
      <c r="AS951" t="s">
        <v>1</v>
      </c>
      <c r="AT951" t="s">
        <v>1</v>
      </c>
      <c r="AU951" t="s">
        <v>1</v>
      </c>
      <c r="AV951" t="s">
        <v>1</v>
      </c>
      <c r="AW951" t="s">
        <v>9</v>
      </c>
      <c r="AX951">
        <f>Tabla1[[#This Row],[precio del paquete]]-Tabla1[[#This Row],[Saldo_Deudor]]</f>
        <v>1600</v>
      </c>
      <c r="AY951">
        <v>13200</v>
      </c>
      <c r="AZ951">
        <v>0</v>
      </c>
      <c r="BA951">
        <v>0</v>
      </c>
      <c r="BB951">
        <v>0</v>
      </c>
      <c r="BC951" t="s">
        <v>4884</v>
      </c>
      <c r="BD951" t="s">
        <v>4972</v>
      </c>
      <c r="BE951" t="s">
        <v>3</v>
      </c>
      <c r="BF951" t="s">
        <v>3</v>
      </c>
      <c r="BG951" t="s">
        <v>3</v>
      </c>
      <c r="BH951" t="s">
        <v>3</v>
      </c>
      <c r="BI951" t="s">
        <v>3</v>
      </c>
      <c r="BJ951" t="s">
        <v>5014</v>
      </c>
      <c r="BK951" t="s">
        <v>3</v>
      </c>
      <c r="BL951" t="s">
        <v>96</v>
      </c>
      <c r="BM951" t="s">
        <v>1</v>
      </c>
      <c r="BN951">
        <v>14800</v>
      </c>
      <c r="BO951" t="s">
        <v>1</v>
      </c>
      <c r="BP951" t="s">
        <v>1</v>
      </c>
      <c r="BQ951" t="s">
        <v>1</v>
      </c>
      <c r="BR951" t="s">
        <v>1</v>
      </c>
      <c r="BS951" t="s">
        <v>1</v>
      </c>
      <c r="BT951" t="s">
        <v>1</v>
      </c>
      <c r="BU951" t="s">
        <v>1</v>
      </c>
      <c r="BV951" t="s">
        <v>1</v>
      </c>
      <c r="BW951" t="s">
        <v>0</v>
      </c>
      <c r="BX951" t="s">
        <v>1</v>
      </c>
      <c r="BY951" t="s">
        <v>1</v>
      </c>
      <c r="BZ951" t="s">
        <v>1</v>
      </c>
      <c r="CA951" t="s">
        <v>1</v>
      </c>
      <c r="CB951" t="s">
        <v>1</v>
      </c>
      <c r="CD951" t="e" cm="1">
        <f t="array" aca="1" ref="CD951" ca="1">eConcatenar(A951:CB951,"|")</f>
        <v>#NAME?</v>
      </c>
    </row>
    <row r="952" spans="1:82" x14ac:dyDescent="0.25">
      <c r="A952" t="s">
        <v>1047</v>
      </c>
      <c r="B952" t="s">
        <v>2070</v>
      </c>
      <c r="C952">
        <v>3</v>
      </c>
      <c r="D952" t="s">
        <v>2153</v>
      </c>
      <c r="E952" t="s">
        <v>2158</v>
      </c>
      <c r="F952" t="s">
        <v>2162</v>
      </c>
      <c r="G952" t="s">
        <v>2675</v>
      </c>
      <c r="H952" t="s">
        <v>2880</v>
      </c>
      <c r="I952">
        <v>12900</v>
      </c>
      <c r="J952">
        <v>0</v>
      </c>
      <c r="K952">
        <v>100</v>
      </c>
      <c r="L952">
        <v>50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 t="s">
        <v>3132</v>
      </c>
      <c r="AC952" t="s">
        <v>3315</v>
      </c>
      <c r="AD952" t="s">
        <v>4050</v>
      </c>
      <c r="AE952" t="s">
        <v>4</v>
      </c>
      <c r="AF952" t="s">
        <v>1</v>
      </c>
      <c r="AG952" t="s">
        <v>1</v>
      </c>
      <c r="AH952" t="s">
        <v>2316</v>
      </c>
      <c r="AI952" t="s">
        <v>2675</v>
      </c>
      <c r="AJ952" t="s">
        <v>1</v>
      </c>
      <c r="AK952" t="s">
        <v>1</v>
      </c>
      <c r="AL952" t="s">
        <v>1</v>
      </c>
      <c r="AM952" t="s">
        <v>1</v>
      </c>
      <c r="AN952" t="s">
        <v>1</v>
      </c>
      <c r="AO952" t="s">
        <v>2316</v>
      </c>
      <c r="AP952" t="s">
        <v>1</v>
      </c>
      <c r="AQ952" t="s">
        <v>2</v>
      </c>
      <c r="AR952" t="s">
        <v>1</v>
      </c>
      <c r="AS952" t="s">
        <v>1</v>
      </c>
      <c r="AT952" t="s">
        <v>1</v>
      </c>
      <c r="AU952" t="s">
        <v>1</v>
      </c>
      <c r="AV952" t="s">
        <v>1</v>
      </c>
      <c r="AW952" t="s">
        <v>9</v>
      </c>
      <c r="AX952">
        <f>Tabla1[[#This Row],[precio del paquete]]-Tabla1[[#This Row],[Saldo_Deudor]]</f>
        <v>5450</v>
      </c>
      <c r="AY952">
        <v>7450</v>
      </c>
      <c r="AZ952">
        <v>0</v>
      </c>
      <c r="BA952">
        <v>0</v>
      </c>
      <c r="BB952">
        <v>0</v>
      </c>
      <c r="BC952" t="s">
        <v>4888</v>
      </c>
      <c r="BD952" t="s">
        <v>4976</v>
      </c>
      <c r="BE952" t="s">
        <v>3</v>
      </c>
      <c r="BF952" t="s">
        <v>3</v>
      </c>
      <c r="BG952" t="s">
        <v>3</v>
      </c>
      <c r="BH952" t="s">
        <v>3</v>
      </c>
      <c r="BI952" t="s">
        <v>3</v>
      </c>
      <c r="BJ952" t="s">
        <v>5016</v>
      </c>
      <c r="BK952" t="s">
        <v>3</v>
      </c>
      <c r="BL952" t="s">
        <v>96</v>
      </c>
      <c r="BM952" t="s">
        <v>1</v>
      </c>
      <c r="BN952">
        <v>12900</v>
      </c>
      <c r="BO952" t="s">
        <v>1</v>
      </c>
      <c r="BP952" t="s">
        <v>1</v>
      </c>
      <c r="BQ952" t="s">
        <v>1</v>
      </c>
      <c r="BR952" t="s">
        <v>1</v>
      </c>
      <c r="BS952" t="s">
        <v>1</v>
      </c>
      <c r="BT952" t="s">
        <v>1</v>
      </c>
      <c r="BU952" t="s">
        <v>1</v>
      </c>
      <c r="BV952" t="s">
        <v>1</v>
      </c>
      <c r="BW952" t="s">
        <v>0</v>
      </c>
      <c r="BX952" t="s">
        <v>1</v>
      </c>
      <c r="BY952" t="s">
        <v>1</v>
      </c>
      <c r="BZ952" t="s">
        <v>1</v>
      </c>
      <c r="CA952" t="s">
        <v>1</v>
      </c>
      <c r="CB952" t="s">
        <v>1</v>
      </c>
      <c r="CD952" t="e" cm="1">
        <f t="array" aca="1" ref="CD952" ca="1">eConcatenar(A952:CB952,"|")</f>
        <v>#NAME?</v>
      </c>
    </row>
    <row r="953" spans="1:82" x14ac:dyDescent="0.25">
      <c r="A953" t="s">
        <v>1048</v>
      </c>
      <c r="B953" t="s">
        <v>2071</v>
      </c>
      <c r="C953">
        <v>3</v>
      </c>
      <c r="D953" t="s">
        <v>3107</v>
      </c>
      <c r="E953" t="s">
        <v>2158</v>
      </c>
      <c r="F953" t="s">
        <v>0</v>
      </c>
      <c r="G953" t="s">
        <v>2676</v>
      </c>
      <c r="H953" t="s">
        <v>2853</v>
      </c>
      <c r="I953">
        <v>25000</v>
      </c>
      <c r="J953">
        <v>0</v>
      </c>
      <c r="K953">
        <v>150</v>
      </c>
      <c r="L953">
        <v>50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 t="s">
        <v>3562</v>
      </c>
      <c r="AC953" t="s">
        <v>3520</v>
      </c>
      <c r="AD953" t="s">
        <v>4051</v>
      </c>
      <c r="AE953" t="s">
        <v>4</v>
      </c>
      <c r="AF953" t="s">
        <v>1</v>
      </c>
      <c r="AG953" t="s">
        <v>1</v>
      </c>
      <c r="AH953" t="s">
        <v>4778</v>
      </c>
      <c r="AI953" t="s">
        <v>2676</v>
      </c>
      <c r="AJ953" t="s">
        <v>1</v>
      </c>
      <c r="AK953">
        <v>9934051921</v>
      </c>
      <c r="AL953" t="s">
        <v>1</v>
      </c>
      <c r="AM953" t="s">
        <v>1</v>
      </c>
      <c r="AN953" t="s">
        <v>1</v>
      </c>
      <c r="AO953" t="s">
        <v>4778</v>
      </c>
      <c r="AP953" t="s">
        <v>1</v>
      </c>
      <c r="AQ953" t="s">
        <v>2</v>
      </c>
      <c r="AR953" t="s">
        <v>1</v>
      </c>
      <c r="AS953" t="s">
        <v>1</v>
      </c>
      <c r="AT953" t="s">
        <v>1</v>
      </c>
      <c r="AU953" t="s">
        <v>1</v>
      </c>
      <c r="AV953" t="s">
        <v>1</v>
      </c>
      <c r="AW953" t="s">
        <v>9</v>
      </c>
      <c r="AX953">
        <f>Tabla1[[#This Row],[precio del paquete]]-Tabla1[[#This Row],[Saldo_Deudor]]</f>
        <v>-7150</v>
      </c>
      <c r="AY953">
        <v>32150</v>
      </c>
      <c r="AZ953">
        <v>0</v>
      </c>
      <c r="BA953">
        <v>0</v>
      </c>
      <c r="BB953">
        <v>0</v>
      </c>
      <c r="BC953" t="s">
        <v>4883</v>
      </c>
      <c r="BD953" t="s">
        <v>4971</v>
      </c>
      <c r="BE953" t="s">
        <v>3</v>
      </c>
      <c r="BF953" t="s">
        <v>3</v>
      </c>
      <c r="BG953" t="s">
        <v>3</v>
      </c>
      <c r="BH953" t="s">
        <v>3</v>
      </c>
      <c r="BI953" t="s">
        <v>3</v>
      </c>
      <c r="BJ953" t="s">
        <v>4998</v>
      </c>
      <c r="BK953" t="s">
        <v>3</v>
      </c>
      <c r="BL953" t="s">
        <v>96</v>
      </c>
      <c r="BM953" t="s">
        <v>1</v>
      </c>
      <c r="BN953">
        <v>25000</v>
      </c>
      <c r="BO953" t="s">
        <v>1</v>
      </c>
      <c r="BP953" t="s">
        <v>1</v>
      </c>
      <c r="BQ953" t="s">
        <v>1</v>
      </c>
      <c r="BR953" t="s">
        <v>1</v>
      </c>
      <c r="BS953" t="s">
        <v>1</v>
      </c>
      <c r="BT953" t="s">
        <v>1</v>
      </c>
      <c r="BU953" t="s">
        <v>1</v>
      </c>
      <c r="BV953" t="s">
        <v>1</v>
      </c>
      <c r="BW953" t="s">
        <v>0</v>
      </c>
      <c r="BX953" t="s">
        <v>1</v>
      </c>
      <c r="BY953" t="s">
        <v>1</v>
      </c>
      <c r="BZ953" t="s">
        <v>1</v>
      </c>
      <c r="CA953" t="s">
        <v>1</v>
      </c>
      <c r="CB953" t="s">
        <v>1</v>
      </c>
      <c r="CD953" t="e" cm="1">
        <f t="array" aca="1" ref="CD953" ca="1">eConcatenar(A953:CB953,"|")</f>
        <v>#NAME?</v>
      </c>
    </row>
    <row r="954" spans="1:82" x14ac:dyDescent="0.25">
      <c r="A954" t="s">
        <v>1049</v>
      </c>
      <c r="B954" t="s">
        <v>2072</v>
      </c>
      <c r="C954">
        <v>3</v>
      </c>
      <c r="D954" t="s">
        <v>2154</v>
      </c>
      <c r="E954" t="s">
        <v>2158</v>
      </c>
      <c r="F954" t="s">
        <v>0</v>
      </c>
      <c r="G954" t="s">
        <v>2676</v>
      </c>
      <c r="H954" t="s">
        <v>3081</v>
      </c>
      <c r="I954">
        <v>24500</v>
      </c>
      <c r="J954">
        <v>0</v>
      </c>
      <c r="K954">
        <v>150</v>
      </c>
      <c r="L954">
        <v>50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 t="s">
        <v>3478</v>
      </c>
      <c r="AC954" t="s">
        <v>3236</v>
      </c>
      <c r="AD954" t="s">
        <v>4052</v>
      </c>
      <c r="AE954" t="s">
        <v>4</v>
      </c>
      <c r="AF954" t="s">
        <v>1</v>
      </c>
      <c r="AG954" t="s">
        <v>1</v>
      </c>
      <c r="AH954" t="s">
        <v>4779</v>
      </c>
      <c r="AI954" t="s">
        <v>2676</v>
      </c>
      <c r="AJ954" t="s">
        <v>1</v>
      </c>
      <c r="AK954">
        <v>9933117144</v>
      </c>
      <c r="AL954" t="s">
        <v>1</v>
      </c>
      <c r="AM954" t="s">
        <v>1</v>
      </c>
      <c r="AN954" t="s">
        <v>1</v>
      </c>
      <c r="AO954" t="s">
        <v>4779</v>
      </c>
      <c r="AP954" t="s">
        <v>1</v>
      </c>
      <c r="AQ954" t="s">
        <v>2</v>
      </c>
      <c r="AR954" t="s">
        <v>1</v>
      </c>
      <c r="AS954" t="s">
        <v>1</v>
      </c>
      <c r="AT954" t="s">
        <v>1</v>
      </c>
      <c r="AU954" t="s">
        <v>1</v>
      </c>
      <c r="AV954" t="s">
        <v>1</v>
      </c>
      <c r="AW954" t="s">
        <v>9</v>
      </c>
      <c r="AX954">
        <f>Tabla1[[#This Row],[precio del paquete]]-Tabla1[[#This Row],[Saldo_Deudor]]</f>
        <v>2150</v>
      </c>
      <c r="AY954">
        <v>22350</v>
      </c>
      <c r="AZ954">
        <v>0</v>
      </c>
      <c r="BA954">
        <v>0</v>
      </c>
      <c r="BB954">
        <v>0</v>
      </c>
      <c r="BC954" t="s">
        <v>4883</v>
      </c>
      <c r="BD954" t="s">
        <v>4971</v>
      </c>
      <c r="BE954" t="s">
        <v>3</v>
      </c>
      <c r="BF954" t="s">
        <v>3</v>
      </c>
      <c r="BG954" t="s">
        <v>3</v>
      </c>
      <c r="BH954" t="s">
        <v>3</v>
      </c>
      <c r="BI954" t="s">
        <v>3</v>
      </c>
      <c r="BJ954" t="s">
        <v>5016</v>
      </c>
      <c r="BK954" t="s">
        <v>3</v>
      </c>
      <c r="BL954" t="s">
        <v>96</v>
      </c>
      <c r="BM954" t="s">
        <v>1</v>
      </c>
      <c r="BN954">
        <v>24500</v>
      </c>
      <c r="BO954" t="s">
        <v>1</v>
      </c>
      <c r="BP954" t="s">
        <v>1</v>
      </c>
      <c r="BQ954" t="s">
        <v>1</v>
      </c>
      <c r="BR954" t="s">
        <v>1</v>
      </c>
      <c r="BS954" t="s">
        <v>1</v>
      </c>
      <c r="BT954" t="s">
        <v>1</v>
      </c>
      <c r="BU954" t="s">
        <v>1</v>
      </c>
      <c r="BV954" t="s">
        <v>1</v>
      </c>
      <c r="BW954" t="s">
        <v>0</v>
      </c>
      <c r="BX954" t="s">
        <v>1</v>
      </c>
      <c r="BY954" t="s">
        <v>1</v>
      </c>
      <c r="BZ954" t="s">
        <v>1</v>
      </c>
      <c r="CA954" t="s">
        <v>1</v>
      </c>
      <c r="CB954" t="s">
        <v>1</v>
      </c>
      <c r="CD954" t="e" cm="1">
        <f t="array" aca="1" ref="CD954" ca="1">eConcatenar(A954:CB954,"|")</f>
        <v>#NAME?</v>
      </c>
    </row>
    <row r="955" spans="1:82" x14ac:dyDescent="0.25">
      <c r="A955" t="s">
        <v>1050</v>
      </c>
      <c r="B955" t="s">
        <v>2073</v>
      </c>
      <c r="C955">
        <v>3</v>
      </c>
      <c r="D955" t="s">
        <v>2153</v>
      </c>
      <c r="E955" t="s">
        <v>2158</v>
      </c>
      <c r="F955" t="s">
        <v>0</v>
      </c>
      <c r="G955" t="s">
        <v>2676</v>
      </c>
      <c r="H955" t="s">
        <v>3094</v>
      </c>
      <c r="I955">
        <v>14800</v>
      </c>
      <c r="J955">
        <v>0</v>
      </c>
      <c r="K955">
        <v>100</v>
      </c>
      <c r="L955">
        <v>50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 t="s">
        <v>3152</v>
      </c>
      <c r="AC955" t="s">
        <v>3399</v>
      </c>
      <c r="AD955" t="s">
        <v>3237</v>
      </c>
      <c r="AE955" t="s">
        <v>4</v>
      </c>
      <c r="AF955" t="s">
        <v>1</v>
      </c>
      <c r="AG955" t="s">
        <v>1</v>
      </c>
      <c r="AH955" t="s">
        <v>4780</v>
      </c>
      <c r="AI955" t="s">
        <v>2676</v>
      </c>
      <c r="AJ955" t="s">
        <v>1</v>
      </c>
      <c r="AK955">
        <v>9373778063</v>
      </c>
      <c r="AL955" t="s">
        <v>1</v>
      </c>
      <c r="AM955" t="s">
        <v>1</v>
      </c>
      <c r="AN955" t="s">
        <v>1</v>
      </c>
      <c r="AO955" t="s">
        <v>4780</v>
      </c>
      <c r="AP955" t="s">
        <v>1</v>
      </c>
      <c r="AQ955" t="s">
        <v>2</v>
      </c>
      <c r="AR955" t="s">
        <v>1</v>
      </c>
      <c r="AS955" t="s">
        <v>1</v>
      </c>
      <c r="AT955" t="s">
        <v>1</v>
      </c>
      <c r="AU955" t="s">
        <v>1</v>
      </c>
      <c r="AV955" t="s">
        <v>1</v>
      </c>
      <c r="AW955" t="s">
        <v>9</v>
      </c>
      <c r="AX955">
        <f>Tabla1[[#This Row],[precio del paquete]]-Tabla1[[#This Row],[Saldo_Deudor]]</f>
        <v>2100</v>
      </c>
      <c r="AY955">
        <v>12700</v>
      </c>
      <c r="AZ955">
        <v>0</v>
      </c>
      <c r="BA955">
        <v>0</v>
      </c>
      <c r="BB955">
        <v>0</v>
      </c>
      <c r="BC955" t="s">
        <v>4883</v>
      </c>
      <c r="BD955" t="s">
        <v>4971</v>
      </c>
      <c r="BE955" t="s">
        <v>3</v>
      </c>
      <c r="BF955" t="s">
        <v>3</v>
      </c>
      <c r="BG955" t="s">
        <v>3</v>
      </c>
      <c r="BH955" t="s">
        <v>3</v>
      </c>
      <c r="BI955" t="s">
        <v>3</v>
      </c>
      <c r="BJ955" t="s">
        <v>5016</v>
      </c>
      <c r="BK955" t="s">
        <v>3</v>
      </c>
      <c r="BL955" t="s">
        <v>96</v>
      </c>
      <c r="BM955" t="s">
        <v>1</v>
      </c>
      <c r="BN955">
        <v>14800</v>
      </c>
      <c r="BO955" t="s">
        <v>1</v>
      </c>
      <c r="BP955" t="s">
        <v>1</v>
      </c>
      <c r="BQ955" t="s">
        <v>1</v>
      </c>
      <c r="BR955" t="s">
        <v>1</v>
      </c>
      <c r="BS955" t="s">
        <v>1</v>
      </c>
      <c r="BT955" t="s">
        <v>1</v>
      </c>
      <c r="BU955" t="s">
        <v>1</v>
      </c>
      <c r="BV955" t="s">
        <v>1</v>
      </c>
      <c r="BW955" t="s">
        <v>0</v>
      </c>
      <c r="BX955" t="s">
        <v>1</v>
      </c>
      <c r="BY955" t="s">
        <v>1</v>
      </c>
      <c r="BZ955" t="s">
        <v>1</v>
      </c>
      <c r="CA955" t="s">
        <v>1</v>
      </c>
      <c r="CB955" t="s">
        <v>1</v>
      </c>
      <c r="CD955" t="e" cm="1">
        <f t="array" aca="1" ref="CD955" ca="1">eConcatenar(A955:CB955,"|")</f>
        <v>#NAME?</v>
      </c>
    </row>
    <row r="956" spans="1:82" x14ac:dyDescent="0.25">
      <c r="A956" t="s">
        <v>1051</v>
      </c>
      <c r="B956" t="s">
        <v>2074</v>
      </c>
      <c r="C956">
        <v>3</v>
      </c>
      <c r="D956" t="s">
        <v>2153</v>
      </c>
      <c r="E956" t="s">
        <v>2158</v>
      </c>
      <c r="F956" t="s">
        <v>2161</v>
      </c>
      <c r="G956" t="s">
        <v>2677</v>
      </c>
      <c r="H956" t="s">
        <v>3095</v>
      </c>
      <c r="I956">
        <v>14800</v>
      </c>
      <c r="J956">
        <v>0</v>
      </c>
      <c r="K956">
        <v>100</v>
      </c>
      <c r="L956">
        <v>50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 t="s">
        <v>3629</v>
      </c>
      <c r="AC956" t="s">
        <v>3129</v>
      </c>
      <c r="AD956" t="s">
        <v>4053</v>
      </c>
      <c r="AE956" t="s">
        <v>4</v>
      </c>
      <c r="AF956" t="s">
        <v>1</v>
      </c>
      <c r="AG956" t="s">
        <v>1</v>
      </c>
      <c r="AH956" t="s">
        <v>2207</v>
      </c>
      <c r="AI956" t="s">
        <v>2677</v>
      </c>
      <c r="AJ956" t="s">
        <v>1</v>
      </c>
      <c r="AK956">
        <v>9141226811</v>
      </c>
      <c r="AL956" t="s">
        <v>1</v>
      </c>
      <c r="AM956" t="s">
        <v>1</v>
      </c>
      <c r="AN956" t="s">
        <v>1</v>
      </c>
      <c r="AO956" t="s">
        <v>2207</v>
      </c>
      <c r="AP956" t="s">
        <v>1</v>
      </c>
      <c r="AQ956" t="s">
        <v>2</v>
      </c>
      <c r="AR956" t="s">
        <v>1</v>
      </c>
      <c r="AS956" t="s">
        <v>1</v>
      </c>
      <c r="AT956" t="s">
        <v>1</v>
      </c>
      <c r="AU956" t="s">
        <v>1</v>
      </c>
      <c r="AV956" t="s">
        <v>1</v>
      </c>
      <c r="AW956" t="s">
        <v>9</v>
      </c>
      <c r="AX956">
        <f>Tabla1[[#This Row],[precio del paquete]]-Tabla1[[#This Row],[Saldo_Deudor]]</f>
        <v>3000</v>
      </c>
      <c r="AY956">
        <v>11800</v>
      </c>
      <c r="AZ956">
        <v>0</v>
      </c>
      <c r="BA956">
        <v>0</v>
      </c>
      <c r="BB956">
        <v>0</v>
      </c>
      <c r="BC956" t="s">
        <v>4884</v>
      </c>
      <c r="BD956" t="s">
        <v>4972</v>
      </c>
      <c r="BE956" t="s">
        <v>3</v>
      </c>
      <c r="BF956" t="s">
        <v>3</v>
      </c>
      <c r="BG956" t="s">
        <v>3</v>
      </c>
      <c r="BH956" t="s">
        <v>3</v>
      </c>
      <c r="BI956" t="s">
        <v>3</v>
      </c>
      <c r="BJ956" t="s">
        <v>5016</v>
      </c>
      <c r="BK956" t="s">
        <v>3</v>
      </c>
      <c r="BL956" t="s">
        <v>96</v>
      </c>
      <c r="BM956" t="s">
        <v>1</v>
      </c>
      <c r="BN956">
        <v>14800</v>
      </c>
      <c r="BO956" t="s">
        <v>1</v>
      </c>
      <c r="BP956" t="s">
        <v>1</v>
      </c>
      <c r="BQ956" t="s">
        <v>1</v>
      </c>
      <c r="BR956" t="s">
        <v>1</v>
      </c>
      <c r="BS956" t="s">
        <v>1</v>
      </c>
      <c r="BT956" t="s">
        <v>1</v>
      </c>
      <c r="BU956" t="s">
        <v>1</v>
      </c>
      <c r="BV956" t="s">
        <v>1</v>
      </c>
      <c r="BW956" t="s">
        <v>0</v>
      </c>
      <c r="BX956" t="s">
        <v>1</v>
      </c>
      <c r="BY956" t="s">
        <v>1</v>
      </c>
      <c r="BZ956" t="s">
        <v>1</v>
      </c>
      <c r="CA956" t="s">
        <v>1</v>
      </c>
      <c r="CB956" t="s">
        <v>1</v>
      </c>
      <c r="CD956" t="e" cm="1">
        <f t="array" aca="1" ref="CD956" ca="1">eConcatenar(A956:CB956,"|")</f>
        <v>#NAME?</v>
      </c>
    </row>
    <row r="957" spans="1:82" x14ac:dyDescent="0.25">
      <c r="A957" t="s">
        <v>1052</v>
      </c>
      <c r="B957" t="s">
        <v>2075</v>
      </c>
      <c r="C957">
        <v>3</v>
      </c>
      <c r="D957" t="s">
        <v>2153</v>
      </c>
      <c r="E957" t="s">
        <v>2158</v>
      </c>
      <c r="F957" t="s">
        <v>0</v>
      </c>
      <c r="G957" t="s">
        <v>2678</v>
      </c>
      <c r="H957" t="s">
        <v>3096</v>
      </c>
      <c r="I957">
        <v>14800</v>
      </c>
      <c r="J957">
        <v>0</v>
      </c>
      <c r="K957">
        <v>100</v>
      </c>
      <c r="L957">
        <v>50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 t="s">
        <v>4054</v>
      </c>
      <c r="AC957" t="s">
        <v>3115</v>
      </c>
      <c r="AD957" t="s">
        <v>4055</v>
      </c>
      <c r="AE957" t="s">
        <v>4</v>
      </c>
      <c r="AF957" t="s">
        <v>1</v>
      </c>
      <c r="AG957" t="s">
        <v>1</v>
      </c>
      <c r="AH957" t="s">
        <v>4781</v>
      </c>
      <c r="AI957" t="s">
        <v>2678</v>
      </c>
      <c r="AJ957" t="s">
        <v>1</v>
      </c>
      <c r="AK957">
        <v>9371203047</v>
      </c>
      <c r="AL957" t="s">
        <v>1</v>
      </c>
      <c r="AM957" t="s">
        <v>1</v>
      </c>
      <c r="AN957" t="s">
        <v>1</v>
      </c>
      <c r="AO957" t="s">
        <v>4781</v>
      </c>
      <c r="AP957" t="s">
        <v>1</v>
      </c>
      <c r="AQ957" t="s">
        <v>2</v>
      </c>
      <c r="AR957" t="s">
        <v>1</v>
      </c>
      <c r="AS957" t="s">
        <v>1</v>
      </c>
      <c r="AT957" t="s">
        <v>1</v>
      </c>
      <c r="AU957" t="s">
        <v>1</v>
      </c>
      <c r="AV957" t="s">
        <v>1</v>
      </c>
      <c r="AW957" t="s">
        <v>9</v>
      </c>
      <c r="AX957">
        <f>Tabla1[[#This Row],[precio del paquete]]-Tabla1[[#This Row],[Saldo_Deudor]]</f>
        <v>3300</v>
      </c>
      <c r="AY957">
        <v>11500</v>
      </c>
      <c r="AZ957">
        <v>0</v>
      </c>
      <c r="BA957">
        <v>0</v>
      </c>
      <c r="BB957">
        <v>0</v>
      </c>
      <c r="BC957" t="s">
        <v>4889</v>
      </c>
      <c r="BD957" t="s">
        <v>4977</v>
      </c>
      <c r="BE957" t="s">
        <v>3</v>
      </c>
      <c r="BF957" t="s">
        <v>3</v>
      </c>
      <c r="BG957" t="s">
        <v>3</v>
      </c>
      <c r="BH957" t="s">
        <v>3</v>
      </c>
      <c r="BI957" t="s">
        <v>3</v>
      </c>
      <c r="BJ957" t="s">
        <v>5016</v>
      </c>
      <c r="BK957" t="s">
        <v>3</v>
      </c>
      <c r="BL957" t="s">
        <v>96</v>
      </c>
      <c r="BM957" t="s">
        <v>1</v>
      </c>
      <c r="BN957">
        <v>14800</v>
      </c>
      <c r="BO957" t="s">
        <v>1</v>
      </c>
      <c r="BP957" t="s">
        <v>1</v>
      </c>
      <c r="BQ957" t="s">
        <v>1</v>
      </c>
      <c r="BR957" t="s">
        <v>1</v>
      </c>
      <c r="BS957" t="s">
        <v>1</v>
      </c>
      <c r="BT957" t="s">
        <v>1</v>
      </c>
      <c r="BU957" t="s">
        <v>1</v>
      </c>
      <c r="BV957" t="s">
        <v>1</v>
      </c>
      <c r="BW957" t="s">
        <v>0</v>
      </c>
      <c r="BX957" t="s">
        <v>1</v>
      </c>
      <c r="BY957" t="s">
        <v>1</v>
      </c>
      <c r="BZ957" t="s">
        <v>1</v>
      </c>
      <c r="CA957" t="s">
        <v>1</v>
      </c>
      <c r="CB957" t="s">
        <v>1</v>
      </c>
      <c r="CD957" t="e" cm="1">
        <f t="array" aca="1" ref="CD957" ca="1">eConcatenar(A957:CB957,"|")</f>
        <v>#NAME?</v>
      </c>
    </row>
    <row r="958" spans="1:82" x14ac:dyDescent="0.25">
      <c r="A958" t="s">
        <v>1053</v>
      </c>
      <c r="B958" t="s">
        <v>2076</v>
      </c>
      <c r="C958">
        <v>3</v>
      </c>
      <c r="D958" t="s">
        <v>3107</v>
      </c>
      <c r="E958" t="s">
        <v>2158</v>
      </c>
      <c r="F958" t="s">
        <v>2161</v>
      </c>
      <c r="G958" t="s">
        <v>2179</v>
      </c>
      <c r="H958" t="s">
        <v>3097</v>
      </c>
      <c r="I958">
        <v>35000</v>
      </c>
      <c r="J958">
        <v>0</v>
      </c>
      <c r="K958">
        <v>300</v>
      </c>
      <c r="L958">
        <v>50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 t="s">
        <v>3221</v>
      </c>
      <c r="AC958" t="s">
        <v>3290</v>
      </c>
      <c r="AD958" t="s">
        <v>3257</v>
      </c>
      <c r="AE958" t="s">
        <v>4</v>
      </c>
      <c r="AF958" t="s">
        <v>1</v>
      </c>
      <c r="AG958" t="s">
        <v>1</v>
      </c>
      <c r="AH958" t="s">
        <v>4782</v>
      </c>
      <c r="AI958" t="s">
        <v>2179</v>
      </c>
      <c r="AJ958" t="s">
        <v>1</v>
      </c>
      <c r="AK958">
        <v>9141077188</v>
      </c>
      <c r="AL958" t="s">
        <v>1</v>
      </c>
      <c r="AM958" t="s">
        <v>1</v>
      </c>
      <c r="AN958" t="s">
        <v>1</v>
      </c>
      <c r="AO958" t="s">
        <v>4782</v>
      </c>
      <c r="AP958" t="s">
        <v>1</v>
      </c>
      <c r="AQ958" t="s">
        <v>2</v>
      </c>
      <c r="AR958" t="s">
        <v>1</v>
      </c>
      <c r="AS958" t="s">
        <v>1</v>
      </c>
      <c r="AT958" t="s">
        <v>1</v>
      </c>
      <c r="AU958" t="s">
        <v>1</v>
      </c>
      <c r="AV958" t="s">
        <v>1</v>
      </c>
      <c r="AW958" t="s">
        <v>9</v>
      </c>
      <c r="AX958">
        <f>Tabla1[[#This Row],[precio del paquete]]-Tabla1[[#This Row],[Saldo_Deudor]]</f>
        <v>3100</v>
      </c>
      <c r="AY958">
        <v>31900</v>
      </c>
      <c r="AZ958">
        <v>0</v>
      </c>
      <c r="BA958">
        <v>0</v>
      </c>
      <c r="BB958">
        <v>0</v>
      </c>
      <c r="BC958" t="s">
        <v>4884</v>
      </c>
      <c r="BD958" t="s">
        <v>4972</v>
      </c>
      <c r="BE958" t="s">
        <v>3</v>
      </c>
      <c r="BF958" t="s">
        <v>3</v>
      </c>
      <c r="BG958" t="s">
        <v>3</v>
      </c>
      <c r="BH958" t="s">
        <v>3</v>
      </c>
      <c r="BI958" t="s">
        <v>3</v>
      </c>
      <c r="BJ958" t="s">
        <v>5016</v>
      </c>
      <c r="BK958" t="s">
        <v>3</v>
      </c>
      <c r="BL958" t="s">
        <v>96</v>
      </c>
      <c r="BM958" t="s">
        <v>1</v>
      </c>
      <c r="BN958">
        <v>35000</v>
      </c>
      <c r="BO958" t="s">
        <v>1</v>
      </c>
      <c r="BP958" t="s">
        <v>1</v>
      </c>
      <c r="BQ958" t="s">
        <v>1</v>
      </c>
      <c r="BR958" t="s">
        <v>1</v>
      </c>
      <c r="BS958" t="s">
        <v>1</v>
      </c>
      <c r="BT958" t="s">
        <v>1</v>
      </c>
      <c r="BU958" t="s">
        <v>1</v>
      </c>
      <c r="BV958" t="s">
        <v>1</v>
      </c>
      <c r="BW958" t="s">
        <v>0</v>
      </c>
      <c r="BX958" t="s">
        <v>1</v>
      </c>
      <c r="BY958" t="s">
        <v>1</v>
      </c>
      <c r="BZ958" t="s">
        <v>1</v>
      </c>
      <c r="CA958" t="s">
        <v>1</v>
      </c>
      <c r="CB958" t="s">
        <v>1</v>
      </c>
      <c r="CD958" t="e" cm="1">
        <f t="array" aca="1" ref="CD958" ca="1">eConcatenar(A958:CB958,"|")</f>
        <v>#NAME?</v>
      </c>
    </row>
    <row r="959" spans="1:82" x14ac:dyDescent="0.25">
      <c r="A959" t="s">
        <v>1054</v>
      </c>
      <c r="B959" t="s">
        <v>2077</v>
      </c>
      <c r="C959">
        <v>3</v>
      </c>
      <c r="D959" t="s">
        <v>2154</v>
      </c>
      <c r="E959" t="s">
        <v>2158</v>
      </c>
      <c r="F959" t="s">
        <v>2161</v>
      </c>
      <c r="G959" t="s">
        <v>2179</v>
      </c>
      <c r="H959" t="s">
        <v>2988</v>
      </c>
      <c r="I959">
        <v>24500</v>
      </c>
      <c r="J959">
        <v>0</v>
      </c>
      <c r="K959">
        <v>300</v>
      </c>
      <c r="L959">
        <v>50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 t="s">
        <v>3221</v>
      </c>
      <c r="AC959" t="s">
        <v>3193</v>
      </c>
      <c r="AD959" t="s">
        <v>3872</v>
      </c>
      <c r="AE959" t="s">
        <v>4</v>
      </c>
      <c r="AF959" t="s">
        <v>1</v>
      </c>
      <c r="AG959" t="s">
        <v>1</v>
      </c>
      <c r="AH959" t="s">
        <v>4783</v>
      </c>
      <c r="AI959" t="s">
        <v>2179</v>
      </c>
      <c r="AJ959" t="s">
        <v>1</v>
      </c>
      <c r="AK959">
        <v>9141216832</v>
      </c>
      <c r="AL959" t="s">
        <v>1</v>
      </c>
      <c r="AM959" t="s">
        <v>1</v>
      </c>
      <c r="AN959" t="s">
        <v>1</v>
      </c>
      <c r="AO959" t="s">
        <v>4783</v>
      </c>
      <c r="AP959" t="s">
        <v>1</v>
      </c>
      <c r="AQ959" t="s">
        <v>2</v>
      </c>
      <c r="AR959" t="s">
        <v>1</v>
      </c>
      <c r="AS959" t="s">
        <v>1</v>
      </c>
      <c r="AT959" t="s">
        <v>1</v>
      </c>
      <c r="AU959" t="s">
        <v>1</v>
      </c>
      <c r="AV959" t="s">
        <v>1</v>
      </c>
      <c r="AW959" t="s">
        <v>9</v>
      </c>
      <c r="AX959">
        <f>Tabla1[[#This Row],[precio del paquete]]-Tabla1[[#This Row],[Saldo_Deudor]]</f>
        <v>3200</v>
      </c>
      <c r="AY959">
        <v>21300</v>
      </c>
      <c r="AZ959">
        <v>0</v>
      </c>
      <c r="BA959">
        <v>0</v>
      </c>
      <c r="BB959">
        <v>0</v>
      </c>
      <c r="BC959" t="s">
        <v>4884</v>
      </c>
      <c r="BD959" t="s">
        <v>4972</v>
      </c>
      <c r="BE959" t="s">
        <v>3</v>
      </c>
      <c r="BF959" t="s">
        <v>3</v>
      </c>
      <c r="BG959" t="s">
        <v>3</v>
      </c>
      <c r="BH959" t="s">
        <v>3</v>
      </c>
      <c r="BI959" t="s">
        <v>3</v>
      </c>
      <c r="BJ959" t="s">
        <v>5016</v>
      </c>
      <c r="BK959" t="s">
        <v>3</v>
      </c>
      <c r="BL959" t="s">
        <v>96</v>
      </c>
      <c r="BM959" t="s">
        <v>1</v>
      </c>
      <c r="BN959">
        <v>24500</v>
      </c>
      <c r="BO959" t="s">
        <v>1</v>
      </c>
      <c r="BP959" t="s">
        <v>1</v>
      </c>
      <c r="BQ959" t="s">
        <v>1</v>
      </c>
      <c r="BR959" t="s">
        <v>1</v>
      </c>
      <c r="BS959" t="s">
        <v>1</v>
      </c>
      <c r="BT959" t="s">
        <v>1</v>
      </c>
      <c r="BU959" t="s">
        <v>1</v>
      </c>
      <c r="BV959" t="s">
        <v>1</v>
      </c>
      <c r="BW959" t="s">
        <v>0</v>
      </c>
      <c r="BX959" t="s">
        <v>1</v>
      </c>
      <c r="BY959" t="s">
        <v>1</v>
      </c>
      <c r="BZ959" t="s">
        <v>1</v>
      </c>
      <c r="CA959" t="s">
        <v>1</v>
      </c>
      <c r="CB959" t="s">
        <v>1</v>
      </c>
      <c r="CD959" t="e" cm="1">
        <f t="array" aca="1" ref="CD959" ca="1">eConcatenar(A959:CB959,"|")</f>
        <v>#NAME?</v>
      </c>
    </row>
    <row r="960" spans="1:82" x14ac:dyDescent="0.25">
      <c r="A960" t="s">
        <v>1055</v>
      </c>
      <c r="B960" t="s">
        <v>2079</v>
      </c>
      <c r="C960">
        <v>3</v>
      </c>
      <c r="D960" t="s">
        <v>2153</v>
      </c>
      <c r="E960" t="s">
        <v>2158</v>
      </c>
      <c r="F960" t="s">
        <v>0</v>
      </c>
      <c r="G960" t="s">
        <v>2679</v>
      </c>
      <c r="H960" t="s">
        <v>2705</v>
      </c>
      <c r="I960">
        <v>14800</v>
      </c>
      <c r="J960">
        <v>0</v>
      </c>
      <c r="K960">
        <v>200</v>
      </c>
      <c r="L960">
        <v>50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 t="s">
        <v>3236</v>
      </c>
      <c r="AC960" t="s">
        <v>3526</v>
      </c>
      <c r="AD960" t="s">
        <v>3645</v>
      </c>
      <c r="AE960" t="s">
        <v>4</v>
      </c>
      <c r="AF960" t="s">
        <v>1</v>
      </c>
      <c r="AG960" t="s">
        <v>1</v>
      </c>
      <c r="AH960" t="s">
        <v>4784</v>
      </c>
      <c r="AI960" t="s">
        <v>2679</v>
      </c>
      <c r="AJ960" t="s">
        <v>1</v>
      </c>
      <c r="AK960">
        <v>9372833880</v>
      </c>
      <c r="AL960" t="s">
        <v>1</v>
      </c>
      <c r="AM960" t="s">
        <v>1</v>
      </c>
      <c r="AN960" t="s">
        <v>1</v>
      </c>
      <c r="AO960" t="s">
        <v>4784</v>
      </c>
      <c r="AP960" t="s">
        <v>1</v>
      </c>
      <c r="AQ960" t="s">
        <v>2</v>
      </c>
      <c r="AR960" t="s">
        <v>1</v>
      </c>
      <c r="AS960" t="s">
        <v>1</v>
      </c>
      <c r="AT960" t="s">
        <v>1</v>
      </c>
      <c r="AU960" t="s">
        <v>1</v>
      </c>
      <c r="AV960" t="s">
        <v>1</v>
      </c>
      <c r="AW960" t="s">
        <v>9</v>
      </c>
      <c r="AX960">
        <f>Tabla1[[#This Row],[precio del paquete]]-Tabla1[[#This Row],[Saldo_Deudor]]</f>
        <v>1300</v>
      </c>
      <c r="AY960">
        <v>13500</v>
      </c>
      <c r="AZ960">
        <v>0</v>
      </c>
      <c r="BA960">
        <v>0</v>
      </c>
      <c r="BB960">
        <v>0</v>
      </c>
      <c r="BC960" t="s">
        <v>4873</v>
      </c>
      <c r="BD960" t="s">
        <v>4962</v>
      </c>
      <c r="BE960" t="s">
        <v>3</v>
      </c>
      <c r="BF960" t="s">
        <v>3</v>
      </c>
      <c r="BG960" t="s">
        <v>3</v>
      </c>
      <c r="BH960" t="s">
        <v>3</v>
      </c>
      <c r="BI960" t="s">
        <v>3</v>
      </c>
      <c r="BJ960" t="s">
        <v>5016</v>
      </c>
      <c r="BK960" t="s">
        <v>3</v>
      </c>
      <c r="BL960" t="s">
        <v>96</v>
      </c>
      <c r="BM960" t="s">
        <v>1</v>
      </c>
      <c r="BN960">
        <v>14800</v>
      </c>
      <c r="BO960" t="s">
        <v>1</v>
      </c>
      <c r="BP960" t="s">
        <v>1</v>
      </c>
      <c r="BQ960" t="s">
        <v>1</v>
      </c>
      <c r="BR960" t="s">
        <v>1</v>
      </c>
      <c r="BS960" t="s">
        <v>1</v>
      </c>
      <c r="BT960" t="s">
        <v>1</v>
      </c>
      <c r="BU960" t="s">
        <v>1</v>
      </c>
      <c r="BV960" t="s">
        <v>1</v>
      </c>
      <c r="BW960" t="s">
        <v>0</v>
      </c>
      <c r="BX960" t="s">
        <v>1</v>
      </c>
      <c r="BY960" t="s">
        <v>1</v>
      </c>
      <c r="BZ960" t="s">
        <v>1</v>
      </c>
      <c r="CA960" t="s">
        <v>1</v>
      </c>
      <c r="CB960" t="s">
        <v>1</v>
      </c>
      <c r="CD960" t="e" cm="1">
        <f t="array" aca="1" ref="CD960" ca="1">eConcatenar(A960:CB960,"|")</f>
        <v>#NAME?</v>
      </c>
    </row>
    <row r="961" spans="1:82" x14ac:dyDescent="0.25">
      <c r="A961" t="s">
        <v>1056</v>
      </c>
      <c r="B961" t="s">
        <v>2081</v>
      </c>
      <c r="C961">
        <v>3</v>
      </c>
      <c r="D961" t="s">
        <v>2153</v>
      </c>
      <c r="E961" t="s">
        <v>2158</v>
      </c>
      <c r="F961" t="s">
        <v>0</v>
      </c>
      <c r="G961" t="s">
        <v>2680</v>
      </c>
      <c r="H961" t="s">
        <v>2697</v>
      </c>
      <c r="I961">
        <v>14800</v>
      </c>
      <c r="J961">
        <v>0</v>
      </c>
      <c r="K961">
        <v>100</v>
      </c>
      <c r="L961">
        <v>50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 t="s">
        <v>3137</v>
      </c>
      <c r="AC961" t="s">
        <v>6</v>
      </c>
      <c r="AD961" t="s">
        <v>4056</v>
      </c>
      <c r="AE961" t="s">
        <v>4</v>
      </c>
      <c r="AF961" t="s">
        <v>1</v>
      </c>
      <c r="AG961" t="s">
        <v>1</v>
      </c>
      <c r="AH961" t="s">
        <v>4785</v>
      </c>
      <c r="AI961" t="s">
        <v>2680</v>
      </c>
      <c r="AJ961" t="s">
        <v>1</v>
      </c>
      <c r="AK961">
        <v>9373779485</v>
      </c>
      <c r="AL961" t="s">
        <v>1</v>
      </c>
      <c r="AM961" t="s">
        <v>1</v>
      </c>
      <c r="AN961" t="s">
        <v>1</v>
      </c>
      <c r="AO961" t="s">
        <v>4785</v>
      </c>
      <c r="AP961" t="s">
        <v>1</v>
      </c>
      <c r="AQ961" t="s">
        <v>2</v>
      </c>
      <c r="AR961" t="s">
        <v>1</v>
      </c>
      <c r="AS961" t="s">
        <v>1</v>
      </c>
      <c r="AT961" t="s">
        <v>1</v>
      </c>
      <c r="AU961" t="s">
        <v>1</v>
      </c>
      <c r="AV961" t="s">
        <v>1</v>
      </c>
      <c r="AW961" t="s">
        <v>9</v>
      </c>
      <c r="AX961">
        <f>Tabla1[[#This Row],[precio del paquete]]-Tabla1[[#This Row],[Saldo_Deudor]]</f>
        <v>1300</v>
      </c>
      <c r="AY961">
        <v>13500</v>
      </c>
      <c r="AZ961">
        <v>0</v>
      </c>
      <c r="BA961">
        <v>0</v>
      </c>
      <c r="BB961">
        <v>0</v>
      </c>
      <c r="BC961" t="s">
        <v>4880</v>
      </c>
      <c r="BD961" t="s">
        <v>4969</v>
      </c>
      <c r="BE961" t="s">
        <v>3</v>
      </c>
      <c r="BF961" t="s">
        <v>3</v>
      </c>
      <c r="BG961" t="s">
        <v>3</v>
      </c>
      <c r="BH961" t="s">
        <v>3</v>
      </c>
      <c r="BI961" t="s">
        <v>3</v>
      </c>
      <c r="BJ961" t="s">
        <v>5014</v>
      </c>
      <c r="BK961" t="s">
        <v>3</v>
      </c>
      <c r="BL961" t="s">
        <v>96</v>
      </c>
      <c r="BM961" t="s">
        <v>1</v>
      </c>
      <c r="BN961">
        <v>14800</v>
      </c>
      <c r="BO961" t="s">
        <v>1</v>
      </c>
      <c r="BP961" t="s">
        <v>1</v>
      </c>
      <c r="BQ961" t="s">
        <v>1</v>
      </c>
      <c r="BR961" t="s">
        <v>1</v>
      </c>
      <c r="BS961" t="s">
        <v>1</v>
      </c>
      <c r="BT961" t="s">
        <v>1</v>
      </c>
      <c r="BU961" t="s">
        <v>1</v>
      </c>
      <c r="BV961" t="s">
        <v>1</v>
      </c>
      <c r="BW961" t="s">
        <v>0</v>
      </c>
      <c r="BX961" t="s">
        <v>1</v>
      </c>
      <c r="BY961" t="s">
        <v>1</v>
      </c>
      <c r="BZ961" t="s">
        <v>1</v>
      </c>
      <c r="CA961" t="s">
        <v>1</v>
      </c>
      <c r="CB961" t="s">
        <v>1</v>
      </c>
      <c r="CD961" t="e" cm="1">
        <f t="array" aca="1" ref="CD961" ca="1">eConcatenar(A961:CB961,"|")</f>
        <v>#NAME?</v>
      </c>
    </row>
    <row r="962" spans="1:82" x14ac:dyDescent="0.25">
      <c r="A962" t="s">
        <v>1057</v>
      </c>
      <c r="B962" t="s">
        <v>2082</v>
      </c>
      <c r="C962">
        <v>3</v>
      </c>
      <c r="D962" t="s">
        <v>2153</v>
      </c>
      <c r="E962" t="s">
        <v>2158</v>
      </c>
      <c r="F962" t="s">
        <v>0</v>
      </c>
      <c r="G962" t="s">
        <v>2680</v>
      </c>
      <c r="H962" t="s">
        <v>2809</v>
      </c>
      <c r="I962">
        <v>24500</v>
      </c>
      <c r="J962">
        <v>0</v>
      </c>
      <c r="K962">
        <v>500</v>
      </c>
      <c r="L962">
        <v>50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 t="s">
        <v>3245</v>
      </c>
      <c r="AC962" t="s">
        <v>5</v>
      </c>
      <c r="AD962" t="s">
        <v>4057</v>
      </c>
      <c r="AE962" t="s">
        <v>4</v>
      </c>
      <c r="AF962" t="s">
        <v>1</v>
      </c>
      <c r="AG962" t="s">
        <v>1</v>
      </c>
      <c r="AH962" t="s">
        <v>4786</v>
      </c>
      <c r="AI962" t="s">
        <v>2680</v>
      </c>
      <c r="AJ962" t="s">
        <v>1</v>
      </c>
      <c r="AK962">
        <v>9371021901</v>
      </c>
      <c r="AL962" t="s">
        <v>1</v>
      </c>
      <c r="AM962" t="s">
        <v>1</v>
      </c>
      <c r="AN962" t="s">
        <v>1</v>
      </c>
      <c r="AO962" t="s">
        <v>4786</v>
      </c>
      <c r="AP962" t="s">
        <v>1</v>
      </c>
      <c r="AQ962" t="s">
        <v>2</v>
      </c>
      <c r="AR962" t="s">
        <v>1</v>
      </c>
      <c r="AS962" t="s">
        <v>1</v>
      </c>
      <c r="AT962" t="s">
        <v>1</v>
      </c>
      <c r="AU962" t="s">
        <v>1</v>
      </c>
      <c r="AV962" t="s">
        <v>1</v>
      </c>
      <c r="AW962" t="s">
        <v>9</v>
      </c>
      <c r="AX962">
        <f>Tabla1[[#This Row],[precio del paquete]]-Tabla1[[#This Row],[Saldo_Deudor]]</f>
        <v>1750</v>
      </c>
      <c r="AY962">
        <v>22750</v>
      </c>
      <c r="AZ962">
        <v>0</v>
      </c>
      <c r="BA962">
        <v>0</v>
      </c>
      <c r="BB962">
        <v>0</v>
      </c>
      <c r="BC962" t="s">
        <v>3078</v>
      </c>
      <c r="BD962" t="s">
        <v>4827</v>
      </c>
      <c r="BE962" t="s">
        <v>3</v>
      </c>
      <c r="BF962" t="s">
        <v>3</v>
      </c>
      <c r="BG962" t="s">
        <v>3</v>
      </c>
      <c r="BH962" t="s">
        <v>3</v>
      </c>
      <c r="BI962" t="s">
        <v>3</v>
      </c>
      <c r="BJ962" t="s">
        <v>5014</v>
      </c>
      <c r="BK962" t="s">
        <v>3</v>
      </c>
      <c r="BL962" t="s">
        <v>96</v>
      </c>
      <c r="BM962" t="s">
        <v>1</v>
      </c>
      <c r="BN962">
        <v>24500</v>
      </c>
      <c r="BO962" t="s">
        <v>1</v>
      </c>
      <c r="BP962" t="s">
        <v>1</v>
      </c>
      <c r="BQ962" t="s">
        <v>1</v>
      </c>
      <c r="BR962" t="s">
        <v>1</v>
      </c>
      <c r="BS962" t="s">
        <v>1</v>
      </c>
      <c r="BT962" t="s">
        <v>1</v>
      </c>
      <c r="BU962" t="s">
        <v>1</v>
      </c>
      <c r="BV962" t="s">
        <v>1</v>
      </c>
      <c r="BW962" t="s">
        <v>0</v>
      </c>
      <c r="BX962" t="s">
        <v>1</v>
      </c>
      <c r="BY962" t="s">
        <v>1</v>
      </c>
      <c r="BZ962" t="s">
        <v>1</v>
      </c>
      <c r="CA962" t="s">
        <v>1</v>
      </c>
      <c r="CB962" t="s">
        <v>1</v>
      </c>
      <c r="CD962" t="e" cm="1">
        <f t="array" aca="1" ref="CD962" ca="1">eConcatenar(A962:CB962,"|")</f>
        <v>#NAME?</v>
      </c>
    </row>
    <row r="963" spans="1:82" x14ac:dyDescent="0.25">
      <c r="A963" t="s">
        <v>1058</v>
      </c>
      <c r="B963" t="s">
        <v>2083</v>
      </c>
      <c r="C963">
        <v>3</v>
      </c>
      <c r="D963" t="s">
        <v>2153</v>
      </c>
      <c r="E963" t="s">
        <v>2158</v>
      </c>
      <c r="F963" t="s">
        <v>0</v>
      </c>
      <c r="G963" t="s">
        <v>2681</v>
      </c>
      <c r="H963" t="s">
        <v>2809</v>
      </c>
      <c r="I963">
        <v>14800</v>
      </c>
      <c r="J963">
        <v>0</v>
      </c>
      <c r="K963">
        <v>50</v>
      </c>
      <c r="L963">
        <v>50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 t="s">
        <v>3114</v>
      </c>
      <c r="AC963" t="s">
        <v>5</v>
      </c>
      <c r="AD963" t="s">
        <v>3703</v>
      </c>
      <c r="AE963" t="s">
        <v>4</v>
      </c>
      <c r="AF963" t="s">
        <v>1</v>
      </c>
      <c r="AG963" t="s">
        <v>1</v>
      </c>
      <c r="AH963" t="s">
        <v>4787</v>
      </c>
      <c r="AI963" t="s">
        <v>2681</v>
      </c>
      <c r="AJ963" t="s">
        <v>1</v>
      </c>
      <c r="AK963">
        <v>9372716649</v>
      </c>
      <c r="AL963" t="s">
        <v>1</v>
      </c>
      <c r="AM963" t="s">
        <v>1</v>
      </c>
      <c r="AN963" t="s">
        <v>1</v>
      </c>
      <c r="AO963" t="s">
        <v>4787</v>
      </c>
      <c r="AP963" t="s">
        <v>1</v>
      </c>
      <c r="AQ963" t="s">
        <v>2</v>
      </c>
      <c r="AR963" t="s">
        <v>1</v>
      </c>
      <c r="AS963" t="s">
        <v>1</v>
      </c>
      <c r="AT963" t="s">
        <v>1</v>
      </c>
      <c r="AU963" t="s">
        <v>1</v>
      </c>
      <c r="AV963" t="s">
        <v>1</v>
      </c>
      <c r="AW963" t="s">
        <v>9</v>
      </c>
      <c r="AX963">
        <f>Tabla1[[#This Row],[precio del paquete]]-Tabla1[[#This Row],[Saldo_Deudor]]</f>
        <v>1050</v>
      </c>
      <c r="AY963">
        <v>13750</v>
      </c>
      <c r="AZ963">
        <v>0</v>
      </c>
      <c r="BA963">
        <v>0</v>
      </c>
      <c r="BB963">
        <v>0</v>
      </c>
      <c r="BC963" t="s">
        <v>4890</v>
      </c>
      <c r="BD963" t="s">
        <v>4978</v>
      </c>
      <c r="BE963" t="s">
        <v>3</v>
      </c>
      <c r="BF963" t="s">
        <v>3</v>
      </c>
      <c r="BG963" t="s">
        <v>3</v>
      </c>
      <c r="BH963" t="s">
        <v>3</v>
      </c>
      <c r="BI963" t="s">
        <v>3</v>
      </c>
      <c r="BJ963" t="s">
        <v>5014</v>
      </c>
      <c r="BK963" t="s">
        <v>3</v>
      </c>
      <c r="BL963" t="s">
        <v>96</v>
      </c>
      <c r="BM963" t="s">
        <v>1</v>
      </c>
      <c r="BN963">
        <v>14800</v>
      </c>
      <c r="BO963" t="s">
        <v>1</v>
      </c>
      <c r="BP963" t="s">
        <v>1</v>
      </c>
      <c r="BQ963" t="s">
        <v>1</v>
      </c>
      <c r="BR963" t="s">
        <v>1</v>
      </c>
      <c r="BS963" t="s">
        <v>1</v>
      </c>
      <c r="BT963" t="s">
        <v>1</v>
      </c>
      <c r="BU963" t="s">
        <v>1</v>
      </c>
      <c r="BV963" t="s">
        <v>1</v>
      </c>
      <c r="BW963" t="s">
        <v>0</v>
      </c>
      <c r="BX963" t="s">
        <v>1</v>
      </c>
      <c r="BY963" t="s">
        <v>1</v>
      </c>
      <c r="BZ963" t="s">
        <v>1</v>
      </c>
      <c r="CA963" t="s">
        <v>1</v>
      </c>
      <c r="CB963" t="s">
        <v>1</v>
      </c>
      <c r="CD963" t="e" cm="1">
        <f t="array" aca="1" ref="CD963" ca="1">eConcatenar(A963:CB963,"|")</f>
        <v>#NAME?</v>
      </c>
    </row>
    <row r="964" spans="1:82" x14ac:dyDescent="0.25">
      <c r="A964" t="s">
        <v>1059</v>
      </c>
      <c r="B964" t="s">
        <v>2084</v>
      </c>
      <c r="C964">
        <v>3</v>
      </c>
      <c r="D964" t="s">
        <v>2153</v>
      </c>
      <c r="E964" t="s">
        <v>2158</v>
      </c>
      <c r="F964" t="s">
        <v>0</v>
      </c>
      <c r="G964" t="s">
        <v>2681</v>
      </c>
      <c r="H964" t="s">
        <v>2804</v>
      </c>
      <c r="I964">
        <v>14800</v>
      </c>
      <c r="J964">
        <v>0</v>
      </c>
      <c r="K964">
        <v>50</v>
      </c>
      <c r="L964">
        <v>50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 t="s">
        <v>4058</v>
      </c>
      <c r="AC964" t="s">
        <v>3627</v>
      </c>
      <c r="AD964" t="s">
        <v>4059</v>
      </c>
      <c r="AE964" t="s">
        <v>4</v>
      </c>
      <c r="AF964" t="s">
        <v>1</v>
      </c>
      <c r="AG964" t="s">
        <v>1</v>
      </c>
      <c r="AH964" t="s">
        <v>4788</v>
      </c>
      <c r="AI964" t="s">
        <v>2681</v>
      </c>
      <c r="AJ964" t="s">
        <v>1</v>
      </c>
      <c r="AK964">
        <v>9371267536</v>
      </c>
      <c r="AL964" t="s">
        <v>1</v>
      </c>
      <c r="AM964" t="s">
        <v>1</v>
      </c>
      <c r="AN964" t="s">
        <v>1</v>
      </c>
      <c r="AO964" t="s">
        <v>4788</v>
      </c>
      <c r="AP964" t="s">
        <v>1</v>
      </c>
      <c r="AQ964" t="s">
        <v>2</v>
      </c>
      <c r="AR964" t="s">
        <v>1</v>
      </c>
      <c r="AS964" t="s">
        <v>1</v>
      </c>
      <c r="AT964" t="s">
        <v>1</v>
      </c>
      <c r="AU964" t="s">
        <v>1</v>
      </c>
      <c r="AV964" t="s">
        <v>1</v>
      </c>
      <c r="AW964" t="s">
        <v>9</v>
      </c>
      <c r="AX964">
        <f>Tabla1[[#This Row],[precio del paquete]]-Tabla1[[#This Row],[Saldo_Deudor]]</f>
        <v>1350</v>
      </c>
      <c r="AY964">
        <v>13450</v>
      </c>
      <c r="AZ964">
        <v>0</v>
      </c>
      <c r="BA964">
        <v>0</v>
      </c>
      <c r="BB964">
        <v>0</v>
      </c>
      <c r="BC964" t="s">
        <v>4827</v>
      </c>
      <c r="BD964" t="s">
        <v>4895</v>
      </c>
      <c r="BE964" t="s">
        <v>3</v>
      </c>
      <c r="BF964" t="s">
        <v>3</v>
      </c>
      <c r="BG964" t="s">
        <v>3</v>
      </c>
      <c r="BH964" t="s">
        <v>3</v>
      </c>
      <c r="BI964" t="s">
        <v>3</v>
      </c>
      <c r="BJ964" t="s">
        <v>5014</v>
      </c>
      <c r="BK964" t="s">
        <v>3</v>
      </c>
      <c r="BL964" t="s">
        <v>96</v>
      </c>
      <c r="BM964" t="s">
        <v>1</v>
      </c>
      <c r="BN964">
        <v>14800</v>
      </c>
      <c r="BO964" t="s">
        <v>1</v>
      </c>
      <c r="BP964" t="s">
        <v>1</v>
      </c>
      <c r="BQ964" t="s">
        <v>1</v>
      </c>
      <c r="BR964" t="s">
        <v>1</v>
      </c>
      <c r="BS964" t="s">
        <v>1</v>
      </c>
      <c r="BT964" t="s">
        <v>1</v>
      </c>
      <c r="BU964" t="s">
        <v>1</v>
      </c>
      <c r="BV964" t="s">
        <v>1</v>
      </c>
      <c r="BW964" t="s">
        <v>0</v>
      </c>
      <c r="BX964" t="s">
        <v>1</v>
      </c>
      <c r="BY964" t="s">
        <v>1</v>
      </c>
      <c r="BZ964" t="s">
        <v>1</v>
      </c>
      <c r="CA964" t="s">
        <v>1</v>
      </c>
      <c r="CB964" t="s">
        <v>1</v>
      </c>
      <c r="CD964" t="e" cm="1">
        <f t="array" aca="1" ref="CD964" ca="1">eConcatenar(A964:CB964,"|")</f>
        <v>#NAME?</v>
      </c>
    </row>
    <row r="965" spans="1:82" x14ac:dyDescent="0.25">
      <c r="A965" t="s">
        <v>1060</v>
      </c>
      <c r="B965" t="s">
        <v>2085</v>
      </c>
      <c r="C965">
        <v>3</v>
      </c>
      <c r="D965" t="s">
        <v>2153</v>
      </c>
      <c r="E965" t="s">
        <v>2158</v>
      </c>
      <c r="F965" t="s">
        <v>0</v>
      </c>
      <c r="G965" t="s">
        <v>2681</v>
      </c>
      <c r="H965" t="s">
        <v>2874</v>
      </c>
      <c r="I965">
        <v>14800</v>
      </c>
      <c r="J965">
        <v>0</v>
      </c>
      <c r="K965">
        <v>500</v>
      </c>
      <c r="L965">
        <v>50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 t="s">
        <v>3114</v>
      </c>
      <c r="AC965" t="s">
        <v>3177</v>
      </c>
      <c r="AD965" t="s">
        <v>3614</v>
      </c>
      <c r="AE965" t="s">
        <v>4</v>
      </c>
      <c r="AF965" t="s">
        <v>1</v>
      </c>
      <c r="AG965" t="s">
        <v>1</v>
      </c>
      <c r="AH965" t="s">
        <v>4788</v>
      </c>
      <c r="AI965" t="s">
        <v>2681</v>
      </c>
      <c r="AJ965" t="s">
        <v>1</v>
      </c>
      <c r="AK965">
        <v>9933069142</v>
      </c>
      <c r="AL965" t="s">
        <v>1</v>
      </c>
      <c r="AM965" t="s">
        <v>1</v>
      </c>
      <c r="AN965" t="s">
        <v>1</v>
      </c>
      <c r="AO965" t="s">
        <v>4788</v>
      </c>
      <c r="AP965" t="s">
        <v>1</v>
      </c>
      <c r="AQ965" t="s">
        <v>2</v>
      </c>
      <c r="AR965" t="s">
        <v>1</v>
      </c>
      <c r="AS965" t="s">
        <v>1</v>
      </c>
      <c r="AT965" t="s">
        <v>1</v>
      </c>
      <c r="AU965" t="s">
        <v>1</v>
      </c>
      <c r="AV965" t="s">
        <v>1</v>
      </c>
      <c r="AW965" t="s">
        <v>9</v>
      </c>
      <c r="AX965">
        <f>Tabla1[[#This Row],[precio del paquete]]-Tabla1[[#This Row],[Saldo_Deudor]]</f>
        <v>1900</v>
      </c>
      <c r="AY965">
        <v>12900</v>
      </c>
      <c r="AZ965">
        <v>0</v>
      </c>
      <c r="BA965">
        <v>0</v>
      </c>
      <c r="BB965">
        <v>0</v>
      </c>
      <c r="BC965" t="s">
        <v>2874</v>
      </c>
      <c r="BD965" t="s">
        <v>4932</v>
      </c>
      <c r="BE965" t="s">
        <v>3</v>
      </c>
      <c r="BF965" t="s">
        <v>3</v>
      </c>
      <c r="BG965" t="s">
        <v>3</v>
      </c>
      <c r="BH965" t="s">
        <v>3</v>
      </c>
      <c r="BI965" t="s">
        <v>3</v>
      </c>
      <c r="BJ965" t="s">
        <v>5014</v>
      </c>
      <c r="BK965" t="s">
        <v>3</v>
      </c>
      <c r="BL965" t="s">
        <v>96</v>
      </c>
      <c r="BM965" t="s">
        <v>1</v>
      </c>
      <c r="BN965">
        <v>14800</v>
      </c>
      <c r="BO965" t="s">
        <v>1</v>
      </c>
      <c r="BP965" t="s">
        <v>1</v>
      </c>
      <c r="BQ965" t="s">
        <v>1</v>
      </c>
      <c r="BR965" t="s">
        <v>1</v>
      </c>
      <c r="BS965" t="s">
        <v>1</v>
      </c>
      <c r="BT965" t="s">
        <v>1</v>
      </c>
      <c r="BU965" t="s">
        <v>1</v>
      </c>
      <c r="BV965" t="s">
        <v>1</v>
      </c>
      <c r="BW965" t="s">
        <v>0</v>
      </c>
      <c r="BX965" t="s">
        <v>1</v>
      </c>
      <c r="BY965" t="s">
        <v>1</v>
      </c>
      <c r="BZ965" t="s">
        <v>1</v>
      </c>
      <c r="CA965" t="s">
        <v>1</v>
      </c>
      <c r="CB965" t="s">
        <v>1</v>
      </c>
      <c r="CD965" t="e" cm="1">
        <f t="array" aca="1" ref="CD965" ca="1">eConcatenar(A965:CB965,"|")</f>
        <v>#NAME?</v>
      </c>
    </row>
    <row r="966" spans="1:82" x14ac:dyDescent="0.25">
      <c r="A966" t="s">
        <v>1061</v>
      </c>
      <c r="B966" t="s">
        <v>2086</v>
      </c>
      <c r="C966">
        <v>3</v>
      </c>
      <c r="D966" t="s">
        <v>2153</v>
      </c>
      <c r="E966" t="s">
        <v>2158</v>
      </c>
      <c r="F966" t="s">
        <v>0</v>
      </c>
      <c r="G966" t="s">
        <v>2681</v>
      </c>
      <c r="H966" t="s">
        <v>2809</v>
      </c>
      <c r="I966">
        <v>14800</v>
      </c>
      <c r="J966">
        <v>0</v>
      </c>
      <c r="K966">
        <v>100</v>
      </c>
      <c r="L966">
        <v>50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 t="s">
        <v>3257</v>
      </c>
      <c r="AC966" t="s">
        <v>3562</v>
      </c>
      <c r="AD966" t="s">
        <v>3695</v>
      </c>
      <c r="AE966" t="s">
        <v>4</v>
      </c>
      <c r="AF966" t="s">
        <v>1</v>
      </c>
      <c r="AG966" t="s">
        <v>1</v>
      </c>
      <c r="AH966" t="s">
        <v>4789</v>
      </c>
      <c r="AI966" t="s">
        <v>2681</v>
      </c>
      <c r="AJ966" t="s">
        <v>1</v>
      </c>
      <c r="AK966">
        <v>9372702369</v>
      </c>
      <c r="AL966" t="s">
        <v>1</v>
      </c>
      <c r="AM966" t="s">
        <v>1</v>
      </c>
      <c r="AN966" t="s">
        <v>1</v>
      </c>
      <c r="AO966" t="s">
        <v>4789</v>
      </c>
      <c r="AP966" t="s">
        <v>1</v>
      </c>
      <c r="AQ966" t="s">
        <v>2</v>
      </c>
      <c r="AR966" t="s">
        <v>1</v>
      </c>
      <c r="AS966" t="s">
        <v>1</v>
      </c>
      <c r="AT966" t="s">
        <v>1</v>
      </c>
      <c r="AU966" t="s">
        <v>1</v>
      </c>
      <c r="AV966" t="s">
        <v>1</v>
      </c>
      <c r="AW966" t="s">
        <v>9</v>
      </c>
      <c r="AX966">
        <f>Tabla1[[#This Row],[precio del paquete]]-Tabla1[[#This Row],[Saldo_Deudor]]</f>
        <v>1200</v>
      </c>
      <c r="AY966">
        <v>13600</v>
      </c>
      <c r="AZ966">
        <v>0</v>
      </c>
      <c r="BA966">
        <v>0</v>
      </c>
      <c r="BB966">
        <v>0</v>
      </c>
      <c r="BC966" t="s">
        <v>4873</v>
      </c>
      <c r="BD966" t="s">
        <v>4962</v>
      </c>
      <c r="BE966" t="s">
        <v>3</v>
      </c>
      <c r="BF966" t="s">
        <v>3</v>
      </c>
      <c r="BG966" t="s">
        <v>3</v>
      </c>
      <c r="BH966" t="s">
        <v>3</v>
      </c>
      <c r="BI966" t="s">
        <v>3</v>
      </c>
      <c r="BJ966" t="s">
        <v>5014</v>
      </c>
      <c r="BK966" t="s">
        <v>3</v>
      </c>
      <c r="BL966" t="s">
        <v>96</v>
      </c>
      <c r="BM966" t="s">
        <v>1</v>
      </c>
      <c r="BN966">
        <v>14800</v>
      </c>
      <c r="BO966" t="s">
        <v>1</v>
      </c>
      <c r="BP966" t="s">
        <v>1</v>
      </c>
      <c r="BQ966" t="s">
        <v>1</v>
      </c>
      <c r="BR966" t="s">
        <v>1</v>
      </c>
      <c r="BS966" t="s">
        <v>1</v>
      </c>
      <c r="BT966" t="s">
        <v>1</v>
      </c>
      <c r="BU966" t="s">
        <v>1</v>
      </c>
      <c r="BV966" t="s">
        <v>1</v>
      </c>
      <c r="BW966" t="s">
        <v>0</v>
      </c>
      <c r="BX966" t="s">
        <v>1</v>
      </c>
      <c r="BY966" t="s">
        <v>1</v>
      </c>
      <c r="BZ966" t="s">
        <v>1</v>
      </c>
      <c r="CA966" t="s">
        <v>1</v>
      </c>
      <c r="CB966" t="s">
        <v>1</v>
      </c>
      <c r="CD966" t="e" cm="1">
        <f t="array" aca="1" ref="CD966" ca="1">eConcatenar(A966:CB966,"|")</f>
        <v>#NAME?</v>
      </c>
    </row>
    <row r="967" spans="1:82" x14ac:dyDescent="0.25">
      <c r="A967" t="s">
        <v>1062</v>
      </c>
      <c r="B967" t="s">
        <v>2088</v>
      </c>
      <c r="C967">
        <v>3</v>
      </c>
      <c r="D967" t="s">
        <v>2153</v>
      </c>
      <c r="E967" t="s">
        <v>2158</v>
      </c>
      <c r="F967" t="s">
        <v>0</v>
      </c>
      <c r="G967" t="s">
        <v>2681</v>
      </c>
      <c r="H967" t="s">
        <v>2915</v>
      </c>
      <c r="I967">
        <v>14800</v>
      </c>
      <c r="J967">
        <v>0</v>
      </c>
      <c r="K967">
        <v>200</v>
      </c>
      <c r="L967">
        <v>50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 t="s">
        <v>3155</v>
      </c>
      <c r="AC967" t="s">
        <v>3214</v>
      </c>
      <c r="AD967" t="s">
        <v>3583</v>
      </c>
      <c r="AE967" t="s">
        <v>4</v>
      </c>
      <c r="AF967" t="s">
        <v>1</v>
      </c>
      <c r="AG967" t="s">
        <v>1</v>
      </c>
      <c r="AH967" t="s">
        <v>4790</v>
      </c>
      <c r="AI967" t="s">
        <v>2681</v>
      </c>
      <c r="AJ967" t="s">
        <v>1</v>
      </c>
      <c r="AK967">
        <v>9371283930</v>
      </c>
      <c r="AL967" t="s">
        <v>1</v>
      </c>
      <c r="AM967" t="s">
        <v>1</v>
      </c>
      <c r="AN967" t="s">
        <v>1</v>
      </c>
      <c r="AO967" t="s">
        <v>4790</v>
      </c>
      <c r="AP967" t="s">
        <v>1</v>
      </c>
      <c r="AQ967" t="s">
        <v>2</v>
      </c>
      <c r="AR967" t="s">
        <v>1</v>
      </c>
      <c r="AS967" t="s">
        <v>1</v>
      </c>
      <c r="AT967" t="s">
        <v>1</v>
      </c>
      <c r="AU967" t="s">
        <v>1</v>
      </c>
      <c r="AV967" t="s">
        <v>1</v>
      </c>
      <c r="AW967" t="s">
        <v>9</v>
      </c>
      <c r="AX967">
        <f>Tabla1[[#This Row],[precio del paquete]]-Tabla1[[#This Row],[Saldo_Deudor]]</f>
        <v>1800</v>
      </c>
      <c r="AY967">
        <v>13000</v>
      </c>
      <c r="AZ967">
        <v>0</v>
      </c>
      <c r="BA967">
        <v>0</v>
      </c>
      <c r="BB967">
        <v>0</v>
      </c>
      <c r="BC967" t="s">
        <v>4873</v>
      </c>
      <c r="BD967" t="s">
        <v>4962</v>
      </c>
      <c r="BE967" t="s">
        <v>3</v>
      </c>
      <c r="BF967" t="s">
        <v>3</v>
      </c>
      <c r="BG967" t="s">
        <v>3</v>
      </c>
      <c r="BH967" t="s">
        <v>3</v>
      </c>
      <c r="BI967" t="s">
        <v>3</v>
      </c>
      <c r="BJ967" t="s">
        <v>5014</v>
      </c>
      <c r="BK967" t="s">
        <v>3</v>
      </c>
      <c r="BL967" t="s">
        <v>96</v>
      </c>
      <c r="BM967" t="s">
        <v>1</v>
      </c>
      <c r="BN967">
        <v>14800</v>
      </c>
      <c r="BO967" t="s">
        <v>1</v>
      </c>
      <c r="BP967" t="s">
        <v>1</v>
      </c>
      <c r="BQ967" t="s">
        <v>1</v>
      </c>
      <c r="BR967" t="s">
        <v>1</v>
      </c>
      <c r="BS967" t="s">
        <v>1</v>
      </c>
      <c r="BT967" t="s">
        <v>1</v>
      </c>
      <c r="BU967" t="s">
        <v>1</v>
      </c>
      <c r="BV967" t="s">
        <v>1</v>
      </c>
      <c r="BW967" t="s">
        <v>0</v>
      </c>
      <c r="BX967" t="s">
        <v>1</v>
      </c>
      <c r="BY967" t="s">
        <v>1</v>
      </c>
      <c r="BZ967" t="s">
        <v>1</v>
      </c>
      <c r="CA967" t="s">
        <v>1</v>
      </c>
      <c r="CB967" t="s">
        <v>1</v>
      </c>
      <c r="CD967" t="e" cm="1">
        <f t="array" aca="1" ref="CD967" ca="1">eConcatenar(A967:CB967,"|")</f>
        <v>#NAME?</v>
      </c>
    </row>
    <row r="968" spans="1:82" x14ac:dyDescent="0.25">
      <c r="A968" t="s">
        <v>1063</v>
      </c>
      <c r="B968" t="s">
        <v>2089</v>
      </c>
      <c r="C968">
        <v>3</v>
      </c>
      <c r="D968" t="s">
        <v>2153</v>
      </c>
      <c r="E968" t="s">
        <v>2158</v>
      </c>
      <c r="F968" t="s">
        <v>0</v>
      </c>
      <c r="G968" t="s">
        <v>2681</v>
      </c>
      <c r="H968" t="s">
        <v>2841</v>
      </c>
      <c r="I968">
        <v>14800</v>
      </c>
      <c r="J968">
        <v>0</v>
      </c>
      <c r="K968">
        <v>300</v>
      </c>
      <c r="L968">
        <v>50</v>
      </c>
      <c r="M968">
        <v>2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 t="s">
        <v>3530</v>
      </c>
      <c r="AC968" t="s">
        <v>3478</v>
      </c>
      <c r="AD968" t="s">
        <v>4060</v>
      </c>
      <c r="AE968" t="s">
        <v>4</v>
      </c>
      <c r="AF968" t="s">
        <v>1</v>
      </c>
      <c r="AG968" t="s">
        <v>1</v>
      </c>
      <c r="AH968" t="s">
        <v>4791</v>
      </c>
      <c r="AI968" t="s">
        <v>2681</v>
      </c>
      <c r="AJ968" t="s">
        <v>1</v>
      </c>
      <c r="AK968">
        <v>9372839939</v>
      </c>
      <c r="AL968" t="s">
        <v>1</v>
      </c>
      <c r="AM968" t="s">
        <v>1</v>
      </c>
      <c r="AN968" t="s">
        <v>1</v>
      </c>
      <c r="AO968" t="s">
        <v>4791</v>
      </c>
      <c r="AP968" t="s">
        <v>1</v>
      </c>
      <c r="AQ968" t="s">
        <v>2</v>
      </c>
      <c r="AR968" t="s">
        <v>1</v>
      </c>
      <c r="AS968" t="s">
        <v>1</v>
      </c>
      <c r="AT968" t="s">
        <v>1</v>
      </c>
      <c r="AU968" t="s">
        <v>1</v>
      </c>
      <c r="AV968" t="s">
        <v>1</v>
      </c>
      <c r="AW968" t="s">
        <v>9</v>
      </c>
      <c r="AX968">
        <f>Tabla1[[#This Row],[precio del paquete]]-Tabla1[[#This Row],[Saldo_Deudor]]</f>
        <v>1500</v>
      </c>
      <c r="AY968">
        <v>13300</v>
      </c>
      <c r="AZ968">
        <v>0</v>
      </c>
      <c r="BA968">
        <v>0</v>
      </c>
      <c r="BB968">
        <v>0</v>
      </c>
      <c r="BC968" t="s">
        <v>4873</v>
      </c>
      <c r="BD968" t="s">
        <v>4962</v>
      </c>
      <c r="BE968" t="s">
        <v>3</v>
      </c>
      <c r="BF968" t="s">
        <v>3</v>
      </c>
      <c r="BG968" t="s">
        <v>3</v>
      </c>
      <c r="BH968" t="s">
        <v>3</v>
      </c>
      <c r="BI968" t="s">
        <v>3</v>
      </c>
      <c r="BJ968" t="s">
        <v>5014</v>
      </c>
      <c r="BK968" t="s">
        <v>3</v>
      </c>
      <c r="BL968" t="s">
        <v>96</v>
      </c>
      <c r="BM968" t="s">
        <v>1</v>
      </c>
      <c r="BN968">
        <v>14800</v>
      </c>
      <c r="BO968" t="s">
        <v>1</v>
      </c>
      <c r="BP968" t="s">
        <v>1</v>
      </c>
      <c r="BQ968" t="s">
        <v>1</v>
      </c>
      <c r="BR968" t="s">
        <v>1</v>
      </c>
      <c r="BS968" t="s">
        <v>1</v>
      </c>
      <c r="BT968" t="s">
        <v>1</v>
      </c>
      <c r="BU968" t="s">
        <v>1</v>
      </c>
      <c r="BV968" t="s">
        <v>1</v>
      </c>
      <c r="BW968" t="s">
        <v>0</v>
      </c>
      <c r="BX968" t="s">
        <v>1</v>
      </c>
      <c r="BY968" t="s">
        <v>1</v>
      </c>
      <c r="BZ968" t="s">
        <v>1</v>
      </c>
      <c r="CA968" t="s">
        <v>1</v>
      </c>
      <c r="CB968" t="s">
        <v>1</v>
      </c>
      <c r="CD968" t="e" cm="1">
        <f t="array" aca="1" ref="CD968" ca="1">eConcatenar(A968:CB968,"|")</f>
        <v>#NAME?</v>
      </c>
    </row>
    <row r="969" spans="1:82" x14ac:dyDescent="0.25">
      <c r="A969" t="s">
        <v>1064</v>
      </c>
      <c r="B969" t="s">
        <v>2091</v>
      </c>
      <c r="C969">
        <v>3</v>
      </c>
      <c r="D969" t="s">
        <v>2153</v>
      </c>
      <c r="E969" t="s">
        <v>2158</v>
      </c>
      <c r="F969" t="s">
        <v>0</v>
      </c>
      <c r="G969" t="s">
        <v>2681</v>
      </c>
      <c r="H969" t="s">
        <v>2925</v>
      </c>
      <c r="I969">
        <v>14800</v>
      </c>
      <c r="J969">
        <v>0</v>
      </c>
      <c r="K969">
        <v>100</v>
      </c>
      <c r="L969">
        <v>50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 t="s">
        <v>3530</v>
      </c>
      <c r="AC969" t="s">
        <v>3161</v>
      </c>
      <c r="AD969" t="s">
        <v>3479</v>
      </c>
      <c r="AE969" t="s">
        <v>4</v>
      </c>
      <c r="AF969" t="s">
        <v>1</v>
      </c>
      <c r="AG969" t="s">
        <v>1</v>
      </c>
      <c r="AH969" t="s">
        <v>4792</v>
      </c>
      <c r="AI969" t="s">
        <v>2681</v>
      </c>
      <c r="AJ969" t="s">
        <v>1</v>
      </c>
      <c r="AK969">
        <v>9371188668</v>
      </c>
      <c r="AL969" t="s">
        <v>1</v>
      </c>
      <c r="AM969" t="s">
        <v>1</v>
      </c>
      <c r="AN969" t="s">
        <v>1</v>
      </c>
      <c r="AO969" t="s">
        <v>4792</v>
      </c>
      <c r="AP969" t="s">
        <v>1</v>
      </c>
      <c r="AQ969" t="s">
        <v>2</v>
      </c>
      <c r="AR969" t="s">
        <v>1</v>
      </c>
      <c r="AS969" t="s">
        <v>1</v>
      </c>
      <c r="AT969" t="s">
        <v>1</v>
      </c>
      <c r="AU969" t="s">
        <v>1</v>
      </c>
      <c r="AV969" t="s">
        <v>1</v>
      </c>
      <c r="AW969" t="s">
        <v>9</v>
      </c>
      <c r="AX969">
        <f>Tabla1[[#This Row],[precio del paquete]]-Tabla1[[#This Row],[Saldo_Deudor]]</f>
        <v>300</v>
      </c>
      <c r="AY969">
        <v>14500</v>
      </c>
      <c r="AZ969">
        <v>0</v>
      </c>
      <c r="BA969">
        <v>0</v>
      </c>
      <c r="BB969">
        <v>0</v>
      </c>
      <c r="BC969" t="s">
        <v>4873</v>
      </c>
      <c r="BD969" t="s">
        <v>4962</v>
      </c>
      <c r="BE969" t="s">
        <v>3</v>
      </c>
      <c r="BF969" t="s">
        <v>3</v>
      </c>
      <c r="BG969" t="s">
        <v>3</v>
      </c>
      <c r="BH969" t="s">
        <v>3</v>
      </c>
      <c r="BI969" t="s">
        <v>3</v>
      </c>
      <c r="BJ969" t="s">
        <v>5014</v>
      </c>
      <c r="BK969" t="s">
        <v>3</v>
      </c>
      <c r="BL969" t="s">
        <v>96</v>
      </c>
      <c r="BM969" t="s">
        <v>1</v>
      </c>
      <c r="BN969">
        <v>14800</v>
      </c>
      <c r="BO969" t="s">
        <v>1</v>
      </c>
      <c r="BP969" t="s">
        <v>1</v>
      </c>
      <c r="BQ969" t="s">
        <v>1</v>
      </c>
      <c r="BR969" t="s">
        <v>1</v>
      </c>
      <c r="BS969" t="s">
        <v>1</v>
      </c>
      <c r="BT969" t="s">
        <v>1</v>
      </c>
      <c r="BU969" t="s">
        <v>1</v>
      </c>
      <c r="BV969" t="s">
        <v>1</v>
      </c>
      <c r="BW969" t="s">
        <v>0</v>
      </c>
      <c r="BX969" t="s">
        <v>1</v>
      </c>
      <c r="BY969" t="s">
        <v>1</v>
      </c>
      <c r="BZ969" t="s">
        <v>1</v>
      </c>
      <c r="CA969" t="s">
        <v>1</v>
      </c>
      <c r="CB969" t="s">
        <v>1</v>
      </c>
      <c r="CD969" t="e" cm="1">
        <f t="array" aca="1" ref="CD969" ca="1">eConcatenar(A969:CB969,"|")</f>
        <v>#NAME?</v>
      </c>
    </row>
    <row r="970" spans="1:82" x14ac:dyDescent="0.25">
      <c r="A970" t="s">
        <v>1065</v>
      </c>
      <c r="B970" t="s">
        <v>2092</v>
      </c>
      <c r="C970">
        <v>3</v>
      </c>
      <c r="D970" t="s">
        <v>2153</v>
      </c>
      <c r="E970" t="s">
        <v>2158</v>
      </c>
      <c r="F970" t="s">
        <v>0</v>
      </c>
      <c r="G970" t="s">
        <v>2681</v>
      </c>
      <c r="H970" t="s">
        <v>2905</v>
      </c>
      <c r="I970">
        <v>14800</v>
      </c>
      <c r="J970">
        <v>0</v>
      </c>
      <c r="K970">
        <v>100</v>
      </c>
      <c r="L970">
        <v>50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 t="s">
        <v>3193</v>
      </c>
      <c r="AC970" t="s">
        <v>3627</v>
      </c>
      <c r="AD970" t="s">
        <v>3237</v>
      </c>
      <c r="AE970" t="s">
        <v>4</v>
      </c>
      <c r="AF970" t="s">
        <v>1</v>
      </c>
      <c r="AG970" t="s">
        <v>1</v>
      </c>
      <c r="AH970" t="s">
        <v>4793</v>
      </c>
      <c r="AI970" t="s">
        <v>2681</v>
      </c>
      <c r="AJ970" t="s">
        <v>1</v>
      </c>
      <c r="AK970">
        <v>9371545851</v>
      </c>
      <c r="AL970" t="s">
        <v>1</v>
      </c>
      <c r="AM970" t="s">
        <v>1</v>
      </c>
      <c r="AN970" t="s">
        <v>1</v>
      </c>
      <c r="AO970" t="s">
        <v>4793</v>
      </c>
      <c r="AP970" t="s">
        <v>1</v>
      </c>
      <c r="AQ970" t="s">
        <v>2</v>
      </c>
      <c r="AR970" t="s">
        <v>1</v>
      </c>
      <c r="AS970" t="s">
        <v>1</v>
      </c>
      <c r="AT970" t="s">
        <v>1</v>
      </c>
      <c r="AU970" t="s">
        <v>1</v>
      </c>
      <c r="AV970" t="s">
        <v>1</v>
      </c>
      <c r="AW970" t="s">
        <v>9</v>
      </c>
      <c r="AX970">
        <f>Tabla1[[#This Row],[precio del paquete]]-Tabla1[[#This Row],[Saldo_Deudor]]</f>
        <v>0</v>
      </c>
      <c r="AY970">
        <v>14800</v>
      </c>
      <c r="AZ970">
        <v>0</v>
      </c>
      <c r="BA970">
        <v>0</v>
      </c>
      <c r="BB970">
        <v>0</v>
      </c>
      <c r="BC970" t="s">
        <v>4873</v>
      </c>
      <c r="BD970" t="s">
        <v>4962</v>
      </c>
      <c r="BE970" t="s">
        <v>3</v>
      </c>
      <c r="BF970" t="s">
        <v>3</v>
      </c>
      <c r="BG970" t="s">
        <v>3</v>
      </c>
      <c r="BH970" t="s">
        <v>3</v>
      </c>
      <c r="BI970" t="s">
        <v>3</v>
      </c>
      <c r="BJ970" t="s">
        <v>5014</v>
      </c>
      <c r="BK970" t="s">
        <v>3</v>
      </c>
      <c r="BL970" t="s">
        <v>96</v>
      </c>
      <c r="BM970" t="s">
        <v>1</v>
      </c>
      <c r="BN970">
        <v>14800</v>
      </c>
      <c r="BO970" t="s">
        <v>1</v>
      </c>
      <c r="BP970" t="s">
        <v>1</v>
      </c>
      <c r="BQ970" t="s">
        <v>1</v>
      </c>
      <c r="BR970" t="s">
        <v>1</v>
      </c>
      <c r="BS970" t="s">
        <v>1</v>
      </c>
      <c r="BT970" t="s">
        <v>1</v>
      </c>
      <c r="BU970" t="s">
        <v>1</v>
      </c>
      <c r="BV970" t="s">
        <v>1</v>
      </c>
      <c r="BW970" t="s">
        <v>0</v>
      </c>
      <c r="BX970" t="s">
        <v>1</v>
      </c>
      <c r="BY970" t="s">
        <v>1</v>
      </c>
      <c r="BZ970" t="s">
        <v>1</v>
      </c>
      <c r="CA970" t="s">
        <v>1</v>
      </c>
      <c r="CB970" t="s">
        <v>1</v>
      </c>
      <c r="CD970" t="e" cm="1">
        <f t="array" aca="1" ref="CD970" ca="1">eConcatenar(A970:CB970,"|")</f>
        <v>#NAME?</v>
      </c>
    </row>
    <row r="971" spans="1:82" x14ac:dyDescent="0.25">
      <c r="A971" t="s">
        <v>1066</v>
      </c>
      <c r="B971" t="s">
        <v>2093</v>
      </c>
      <c r="C971">
        <v>3</v>
      </c>
      <c r="D971" t="s">
        <v>2153</v>
      </c>
      <c r="E971" t="s">
        <v>2158</v>
      </c>
      <c r="F971" t="s">
        <v>0</v>
      </c>
      <c r="G971" t="s">
        <v>2682</v>
      </c>
      <c r="H971" t="s">
        <v>3072</v>
      </c>
      <c r="I971">
        <v>14800</v>
      </c>
      <c r="J971">
        <v>0</v>
      </c>
      <c r="K971">
        <v>200</v>
      </c>
      <c r="L971">
        <v>50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 t="s">
        <v>3238</v>
      </c>
      <c r="AC971" t="s">
        <v>3686</v>
      </c>
      <c r="AD971" t="s">
        <v>4061</v>
      </c>
      <c r="AE971" t="s">
        <v>4</v>
      </c>
      <c r="AF971" t="s">
        <v>1</v>
      </c>
      <c r="AG971" t="s">
        <v>1</v>
      </c>
      <c r="AH971" t="s">
        <v>4794</v>
      </c>
      <c r="AI971" t="s">
        <v>2682</v>
      </c>
      <c r="AJ971" t="s">
        <v>1</v>
      </c>
      <c r="AK971">
        <v>9371253667</v>
      </c>
      <c r="AL971" t="s">
        <v>1</v>
      </c>
      <c r="AM971" t="s">
        <v>1</v>
      </c>
      <c r="AN971" t="s">
        <v>1</v>
      </c>
      <c r="AO971" t="s">
        <v>4794</v>
      </c>
      <c r="AP971" t="s">
        <v>1</v>
      </c>
      <c r="AQ971" t="s">
        <v>2</v>
      </c>
      <c r="AR971" t="s">
        <v>1</v>
      </c>
      <c r="AS971" t="s">
        <v>1</v>
      </c>
      <c r="AT971" t="s">
        <v>1</v>
      </c>
      <c r="AU971" t="s">
        <v>1</v>
      </c>
      <c r="AV971" t="s">
        <v>1</v>
      </c>
      <c r="AW971" t="s">
        <v>9</v>
      </c>
      <c r="AX971">
        <f>Tabla1[[#This Row],[precio del paquete]]-Tabla1[[#This Row],[Saldo_Deudor]]</f>
        <v>600</v>
      </c>
      <c r="AY971">
        <v>14200</v>
      </c>
      <c r="AZ971">
        <v>0</v>
      </c>
      <c r="BA971">
        <v>0</v>
      </c>
      <c r="BB971">
        <v>0</v>
      </c>
      <c r="BC971" t="s">
        <v>4827</v>
      </c>
      <c r="BD971" t="s">
        <v>4895</v>
      </c>
      <c r="BE971" t="s">
        <v>3</v>
      </c>
      <c r="BF971" t="s">
        <v>3</v>
      </c>
      <c r="BG971" t="s">
        <v>3</v>
      </c>
      <c r="BH971" t="s">
        <v>3</v>
      </c>
      <c r="BI971" t="s">
        <v>3</v>
      </c>
      <c r="BJ971" t="s">
        <v>5014</v>
      </c>
      <c r="BK971" t="s">
        <v>3</v>
      </c>
      <c r="BL971" t="s">
        <v>96</v>
      </c>
      <c r="BM971" t="s">
        <v>1</v>
      </c>
      <c r="BN971">
        <v>14800</v>
      </c>
      <c r="BO971" t="s">
        <v>1</v>
      </c>
      <c r="BP971" t="s">
        <v>1</v>
      </c>
      <c r="BQ971" t="s">
        <v>1</v>
      </c>
      <c r="BR971" t="s">
        <v>1</v>
      </c>
      <c r="BS971" t="s">
        <v>1</v>
      </c>
      <c r="BT971" t="s">
        <v>1</v>
      </c>
      <c r="BU971" t="s">
        <v>1</v>
      </c>
      <c r="BV971" t="s">
        <v>1</v>
      </c>
      <c r="BW971" t="s">
        <v>0</v>
      </c>
      <c r="BX971" t="s">
        <v>1</v>
      </c>
      <c r="BY971" t="s">
        <v>1</v>
      </c>
      <c r="BZ971" t="s">
        <v>1</v>
      </c>
      <c r="CA971" t="s">
        <v>1</v>
      </c>
      <c r="CB971" t="s">
        <v>1</v>
      </c>
      <c r="CD971" t="e" cm="1">
        <f t="array" aca="1" ref="CD971" ca="1">eConcatenar(A971:CB971,"|")</f>
        <v>#NAME?</v>
      </c>
    </row>
    <row r="972" spans="1:82" x14ac:dyDescent="0.25">
      <c r="A972" t="s">
        <v>1067</v>
      </c>
      <c r="B972" t="s">
        <v>2094</v>
      </c>
      <c r="C972">
        <v>3</v>
      </c>
      <c r="D972" t="s">
        <v>2153</v>
      </c>
      <c r="E972" t="s">
        <v>2158</v>
      </c>
      <c r="F972" t="s">
        <v>0</v>
      </c>
      <c r="G972" t="s">
        <v>2682</v>
      </c>
      <c r="H972" t="s">
        <v>3099</v>
      </c>
      <c r="I972">
        <v>14800</v>
      </c>
      <c r="J972">
        <v>0</v>
      </c>
      <c r="K972">
        <v>100</v>
      </c>
      <c r="L972">
        <v>50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 t="s">
        <v>3290</v>
      </c>
      <c r="AC972" t="s">
        <v>5</v>
      </c>
      <c r="AD972" t="s">
        <v>4062</v>
      </c>
      <c r="AE972" t="s">
        <v>4</v>
      </c>
      <c r="AF972" t="s">
        <v>1</v>
      </c>
      <c r="AG972" t="s">
        <v>1</v>
      </c>
      <c r="AH972" t="s">
        <v>4766</v>
      </c>
      <c r="AI972" t="s">
        <v>2682</v>
      </c>
      <c r="AJ972" t="s">
        <v>1</v>
      </c>
      <c r="AK972">
        <v>9231205102</v>
      </c>
      <c r="AL972" t="s">
        <v>1</v>
      </c>
      <c r="AM972" t="s">
        <v>1</v>
      </c>
      <c r="AN972" t="s">
        <v>1</v>
      </c>
      <c r="AO972" t="s">
        <v>4766</v>
      </c>
      <c r="AP972" t="s">
        <v>1</v>
      </c>
      <c r="AQ972" t="s">
        <v>2</v>
      </c>
      <c r="AR972" t="s">
        <v>1</v>
      </c>
      <c r="AS972" t="s">
        <v>1</v>
      </c>
      <c r="AT972" t="s">
        <v>1</v>
      </c>
      <c r="AU972" t="s">
        <v>1</v>
      </c>
      <c r="AV972" t="s">
        <v>1</v>
      </c>
      <c r="AW972" t="s">
        <v>9</v>
      </c>
      <c r="AX972">
        <f>Tabla1[[#This Row],[precio del paquete]]-Tabla1[[#This Row],[Saldo_Deudor]]</f>
        <v>900</v>
      </c>
      <c r="AY972">
        <v>13900</v>
      </c>
      <c r="AZ972">
        <v>0</v>
      </c>
      <c r="BA972">
        <v>0</v>
      </c>
      <c r="BB972">
        <v>0</v>
      </c>
      <c r="BC972" t="s">
        <v>2923</v>
      </c>
      <c r="BD972" t="s">
        <v>4910</v>
      </c>
      <c r="BE972" t="s">
        <v>3</v>
      </c>
      <c r="BF972" t="s">
        <v>3</v>
      </c>
      <c r="BG972" t="s">
        <v>3</v>
      </c>
      <c r="BH972" t="s">
        <v>3</v>
      </c>
      <c r="BI972" t="s">
        <v>3</v>
      </c>
      <c r="BJ972" t="s">
        <v>5014</v>
      </c>
      <c r="BK972" t="s">
        <v>3</v>
      </c>
      <c r="BL972" t="s">
        <v>96</v>
      </c>
      <c r="BM972" t="s">
        <v>1</v>
      </c>
      <c r="BN972">
        <v>14800</v>
      </c>
      <c r="BO972" t="s">
        <v>1</v>
      </c>
      <c r="BP972" t="s">
        <v>1</v>
      </c>
      <c r="BQ972" t="s">
        <v>1</v>
      </c>
      <c r="BR972" t="s">
        <v>1</v>
      </c>
      <c r="BS972" t="s">
        <v>1</v>
      </c>
      <c r="BT972" t="s">
        <v>1</v>
      </c>
      <c r="BU972" t="s">
        <v>1</v>
      </c>
      <c r="BV972" t="s">
        <v>1</v>
      </c>
      <c r="BW972" t="s">
        <v>0</v>
      </c>
      <c r="BX972" t="s">
        <v>1</v>
      </c>
      <c r="BY972" t="s">
        <v>1</v>
      </c>
      <c r="BZ972" t="s">
        <v>1</v>
      </c>
      <c r="CA972" t="s">
        <v>1</v>
      </c>
      <c r="CB972" t="s">
        <v>1</v>
      </c>
      <c r="CD972" t="e" cm="1">
        <f t="array" aca="1" ref="CD972" ca="1">eConcatenar(A972:CB972,"|")</f>
        <v>#NAME?</v>
      </c>
    </row>
    <row r="973" spans="1:82" x14ac:dyDescent="0.25">
      <c r="A973" t="s">
        <v>1068</v>
      </c>
      <c r="B973" t="s">
        <v>2095</v>
      </c>
      <c r="C973">
        <v>3</v>
      </c>
      <c r="D973" t="s">
        <v>2153</v>
      </c>
      <c r="E973" t="s">
        <v>2158</v>
      </c>
      <c r="F973" t="s">
        <v>0</v>
      </c>
      <c r="G973" t="s">
        <v>2682</v>
      </c>
      <c r="H973" t="s">
        <v>2905</v>
      </c>
      <c r="I973">
        <v>14800</v>
      </c>
      <c r="J973">
        <v>0</v>
      </c>
      <c r="K973">
        <v>100</v>
      </c>
      <c r="L973">
        <v>50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 t="s">
        <v>3214</v>
      </c>
      <c r="AC973" t="s">
        <v>3184</v>
      </c>
      <c r="AD973" t="s">
        <v>4063</v>
      </c>
      <c r="AE973" t="s">
        <v>4</v>
      </c>
      <c r="AF973" t="s">
        <v>1</v>
      </c>
      <c r="AG973" t="s">
        <v>1</v>
      </c>
      <c r="AH973" t="s">
        <v>4795</v>
      </c>
      <c r="AI973" t="s">
        <v>2682</v>
      </c>
      <c r="AJ973" t="s">
        <v>1</v>
      </c>
      <c r="AK973">
        <v>9371099669</v>
      </c>
      <c r="AL973" t="s">
        <v>1</v>
      </c>
      <c r="AM973" t="s">
        <v>1</v>
      </c>
      <c r="AN973" t="s">
        <v>1</v>
      </c>
      <c r="AO973" t="s">
        <v>4795</v>
      </c>
      <c r="AP973" t="s">
        <v>1</v>
      </c>
      <c r="AQ973" t="s">
        <v>2</v>
      </c>
      <c r="AR973" t="s">
        <v>1</v>
      </c>
      <c r="AS973" t="s">
        <v>1</v>
      </c>
      <c r="AT973" t="s">
        <v>1</v>
      </c>
      <c r="AU973" t="s">
        <v>1</v>
      </c>
      <c r="AV973" t="s">
        <v>1</v>
      </c>
      <c r="AW973" t="s">
        <v>9</v>
      </c>
      <c r="AX973">
        <f>Tabla1[[#This Row],[precio del paquete]]-Tabla1[[#This Row],[Saldo_Deudor]]</f>
        <v>300</v>
      </c>
      <c r="AY973">
        <v>14500</v>
      </c>
      <c r="AZ973">
        <v>0</v>
      </c>
      <c r="BA973">
        <v>0</v>
      </c>
      <c r="BB973">
        <v>0</v>
      </c>
      <c r="BC973" t="s">
        <v>4874</v>
      </c>
      <c r="BD973" t="s">
        <v>4963</v>
      </c>
      <c r="BE973" t="s">
        <v>3</v>
      </c>
      <c r="BF973" t="s">
        <v>3</v>
      </c>
      <c r="BG973" t="s">
        <v>3</v>
      </c>
      <c r="BH973" t="s">
        <v>3</v>
      </c>
      <c r="BI973" t="s">
        <v>3</v>
      </c>
      <c r="BJ973" t="s">
        <v>5014</v>
      </c>
      <c r="BK973" t="s">
        <v>3</v>
      </c>
      <c r="BL973" t="s">
        <v>96</v>
      </c>
      <c r="BM973" t="s">
        <v>1</v>
      </c>
      <c r="BN973">
        <v>14800</v>
      </c>
      <c r="BO973" t="s">
        <v>1</v>
      </c>
      <c r="BP973" t="s">
        <v>1</v>
      </c>
      <c r="BQ973" t="s">
        <v>1</v>
      </c>
      <c r="BR973" t="s">
        <v>1</v>
      </c>
      <c r="BS973" t="s">
        <v>1</v>
      </c>
      <c r="BT973" t="s">
        <v>1</v>
      </c>
      <c r="BU973" t="s">
        <v>1</v>
      </c>
      <c r="BV973" t="s">
        <v>1</v>
      </c>
      <c r="BW973" t="s">
        <v>0</v>
      </c>
      <c r="BX973" t="s">
        <v>1</v>
      </c>
      <c r="BY973" t="s">
        <v>1</v>
      </c>
      <c r="BZ973" t="s">
        <v>1</v>
      </c>
      <c r="CA973" t="s">
        <v>1</v>
      </c>
      <c r="CB973" t="s">
        <v>1</v>
      </c>
      <c r="CD973" t="e" cm="1">
        <f t="array" aca="1" ref="CD973" ca="1">eConcatenar(A973:CB973,"|")</f>
        <v>#NAME?</v>
      </c>
    </row>
    <row r="974" spans="1:82" x14ac:dyDescent="0.25">
      <c r="A974" t="s">
        <v>1069</v>
      </c>
      <c r="B974" t="s">
        <v>2096</v>
      </c>
      <c r="C974">
        <v>3</v>
      </c>
      <c r="D974" t="s">
        <v>2153</v>
      </c>
      <c r="E974" t="s">
        <v>2158</v>
      </c>
      <c r="F974" t="s">
        <v>0</v>
      </c>
      <c r="G974" t="s">
        <v>2682</v>
      </c>
      <c r="H974" t="s">
        <v>2712</v>
      </c>
      <c r="I974">
        <v>14800</v>
      </c>
      <c r="J974">
        <v>0</v>
      </c>
      <c r="K974">
        <v>100</v>
      </c>
      <c r="L974">
        <v>50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 t="s">
        <v>3290</v>
      </c>
      <c r="AC974" t="s">
        <v>3245</v>
      </c>
      <c r="AD974" t="s">
        <v>4064</v>
      </c>
      <c r="AE974" t="s">
        <v>4</v>
      </c>
      <c r="AF974" t="s">
        <v>1</v>
      </c>
      <c r="AG974" t="s">
        <v>1</v>
      </c>
      <c r="AH974" t="s">
        <v>4796</v>
      </c>
      <c r="AI974" t="s">
        <v>2682</v>
      </c>
      <c r="AJ974" t="s">
        <v>1</v>
      </c>
      <c r="AK974">
        <v>9371643699</v>
      </c>
      <c r="AL974" t="s">
        <v>1</v>
      </c>
      <c r="AM974" t="s">
        <v>1</v>
      </c>
      <c r="AN974" t="s">
        <v>1</v>
      </c>
      <c r="AO974" t="s">
        <v>4796</v>
      </c>
      <c r="AP974" t="s">
        <v>1</v>
      </c>
      <c r="AQ974" t="s">
        <v>2</v>
      </c>
      <c r="AR974" t="s">
        <v>1</v>
      </c>
      <c r="AS974" t="s">
        <v>1</v>
      </c>
      <c r="AT974" t="s">
        <v>1</v>
      </c>
      <c r="AU974" t="s">
        <v>1</v>
      </c>
      <c r="AV974" t="s">
        <v>1</v>
      </c>
      <c r="AW974" t="s">
        <v>9</v>
      </c>
      <c r="AX974">
        <f>Tabla1[[#This Row],[precio del paquete]]-Tabla1[[#This Row],[Saldo_Deudor]]</f>
        <v>100</v>
      </c>
      <c r="AY974">
        <v>14700</v>
      </c>
      <c r="AZ974">
        <v>0</v>
      </c>
      <c r="BA974">
        <v>0</v>
      </c>
      <c r="BB974">
        <v>0</v>
      </c>
      <c r="BC974" t="s">
        <v>2712</v>
      </c>
      <c r="BD974" t="s">
        <v>4901</v>
      </c>
      <c r="BE974" t="s">
        <v>3</v>
      </c>
      <c r="BF974" t="s">
        <v>3</v>
      </c>
      <c r="BG974" t="s">
        <v>3</v>
      </c>
      <c r="BH974" t="s">
        <v>3</v>
      </c>
      <c r="BI974" t="s">
        <v>3</v>
      </c>
      <c r="BJ974" t="s">
        <v>5014</v>
      </c>
      <c r="BK974" t="s">
        <v>3</v>
      </c>
      <c r="BL974" t="s">
        <v>96</v>
      </c>
      <c r="BM974" t="s">
        <v>1</v>
      </c>
      <c r="BN974">
        <v>14800</v>
      </c>
      <c r="BO974" t="s">
        <v>1</v>
      </c>
      <c r="BP974" t="s">
        <v>1</v>
      </c>
      <c r="BQ974" t="s">
        <v>1</v>
      </c>
      <c r="BR974" t="s">
        <v>1</v>
      </c>
      <c r="BS974" t="s">
        <v>1</v>
      </c>
      <c r="BT974" t="s">
        <v>1</v>
      </c>
      <c r="BU974" t="s">
        <v>1</v>
      </c>
      <c r="BV974" t="s">
        <v>1</v>
      </c>
      <c r="BW974" t="s">
        <v>0</v>
      </c>
      <c r="BX974" t="s">
        <v>1</v>
      </c>
      <c r="BY974" t="s">
        <v>1</v>
      </c>
      <c r="BZ974" t="s">
        <v>1</v>
      </c>
      <c r="CA974" t="s">
        <v>1</v>
      </c>
      <c r="CB974" t="s">
        <v>1</v>
      </c>
      <c r="CD974" t="e" cm="1">
        <f t="array" aca="1" ref="CD974" ca="1">eConcatenar(A974:CB974,"|")</f>
        <v>#NAME?</v>
      </c>
    </row>
    <row r="975" spans="1:82" x14ac:dyDescent="0.25">
      <c r="A975" t="s">
        <v>1070</v>
      </c>
      <c r="B975" t="s">
        <v>2097</v>
      </c>
      <c r="C975">
        <v>3</v>
      </c>
      <c r="D975" t="s">
        <v>3113</v>
      </c>
      <c r="E975" t="s">
        <v>2158</v>
      </c>
      <c r="F975" t="s">
        <v>0</v>
      </c>
      <c r="G975" t="s">
        <v>2682</v>
      </c>
      <c r="H975" t="s">
        <v>2841</v>
      </c>
      <c r="I975">
        <v>46000</v>
      </c>
      <c r="J975">
        <v>0</v>
      </c>
      <c r="K975">
        <v>100</v>
      </c>
      <c r="L975">
        <v>50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 t="s">
        <v>5</v>
      </c>
      <c r="AC975" t="s">
        <v>3178</v>
      </c>
      <c r="AD975" t="s">
        <v>4065</v>
      </c>
      <c r="AE975" t="s">
        <v>4</v>
      </c>
      <c r="AF975" t="s">
        <v>1</v>
      </c>
      <c r="AG975" t="s">
        <v>1</v>
      </c>
      <c r="AH975" t="s">
        <v>4797</v>
      </c>
      <c r="AI975" t="s">
        <v>2682</v>
      </c>
      <c r="AJ975" t="s">
        <v>1</v>
      </c>
      <c r="AK975">
        <v>9371086411</v>
      </c>
      <c r="AL975" t="s">
        <v>1</v>
      </c>
      <c r="AM975" t="s">
        <v>1</v>
      </c>
      <c r="AN975" t="s">
        <v>1</v>
      </c>
      <c r="AO975" t="s">
        <v>4797</v>
      </c>
      <c r="AP975" t="s">
        <v>1</v>
      </c>
      <c r="AQ975" t="s">
        <v>2</v>
      </c>
      <c r="AR975" t="s">
        <v>1</v>
      </c>
      <c r="AS975" t="s">
        <v>1</v>
      </c>
      <c r="AT975" t="s">
        <v>1</v>
      </c>
      <c r="AU975" t="s">
        <v>1</v>
      </c>
      <c r="AV975" t="s">
        <v>1</v>
      </c>
      <c r="AW975" t="s">
        <v>9</v>
      </c>
      <c r="AX975">
        <f>Tabla1[[#This Row],[precio del paquete]]-Tabla1[[#This Row],[Saldo_Deudor]]</f>
        <v>3300</v>
      </c>
      <c r="AY975">
        <v>42700</v>
      </c>
      <c r="AZ975">
        <v>0</v>
      </c>
      <c r="BA975">
        <v>0</v>
      </c>
      <c r="BB975">
        <v>0</v>
      </c>
      <c r="BC975" t="s">
        <v>4874</v>
      </c>
      <c r="BD975" t="s">
        <v>4963</v>
      </c>
      <c r="BE975" t="s">
        <v>3</v>
      </c>
      <c r="BF975" t="s">
        <v>3</v>
      </c>
      <c r="BG975" t="s">
        <v>3</v>
      </c>
      <c r="BH975" t="s">
        <v>3</v>
      </c>
      <c r="BI975" t="s">
        <v>3</v>
      </c>
      <c r="BJ975" t="s">
        <v>5014</v>
      </c>
      <c r="BK975" t="s">
        <v>3</v>
      </c>
      <c r="BL975" t="s">
        <v>96</v>
      </c>
      <c r="BM975" t="s">
        <v>1</v>
      </c>
      <c r="BN975">
        <v>46000</v>
      </c>
      <c r="BO975" t="s">
        <v>1</v>
      </c>
      <c r="BP975" t="s">
        <v>1</v>
      </c>
      <c r="BQ975" t="s">
        <v>1</v>
      </c>
      <c r="BR975" t="s">
        <v>1</v>
      </c>
      <c r="BS975" t="s">
        <v>1</v>
      </c>
      <c r="BT975" t="s">
        <v>1</v>
      </c>
      <c r="BU975" t="s">
        <v>1</v>
      </c>
      <c r="BV975" t="s">
        <v>1</v>
      </c>
      <c r="BW975" t="s">
        <v>0</v>
      </c>
      <c r="BX975" t="s">
        <v>1</v>
      </c>
      <c r="BY975" t="s">
        <v>1</v>
      </c>
      <c r="BZ975" t="s">
        <v>1</v>
      </c>
      <c r="CA975" t="s">
        <v>1</v>
      </c>
      <c r="CB975" t="s">
        <v>1</v>
      </c>
      <c r="CD975" t="e" cm="1">
        <f t="array" aca="1" ref="CD975" ca="1">eConcatenar(A975:CB975,"|")</f>
        <v>#NAME?</v>
      </c>
    </row>
    <row r="976" spans="1:82" x14ac:dyDescent="0.25">
      <c r="A976" t="s">
        <v>1071</v>
      </c>
      <c r="B976" t="s">
        <v>2098</v>
      </c>
      <c r="C976">
        <v>3</v>
      </c>
      <c r="D976" t="s">
        <v>2153</v>
      </c>
      <c r="E976" t="s">
        <v>2158</v>
      </c>
      <c r="F976" t="s">
        <v>0</v>
      </c>
      <c r="G976" t="s">
        <v>2683</v>
      </c>
      <c r="H976" t="s">
        <v>2916</v>
      </c>
      <c r="I976">
        <v>14800</v>
      </c>
      <c r="J976">
        <v>0</v>
      </c>
      <c r="K976">
        <v>50</v>
      </c>
      <c r="L976">
        <v>50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 t="s">
        <v>3214</v>
      </c>
      <c r="AC976" t="s">
        <v>3114</v>
      </c>
      <c r="AD976" t="s">
        <v>4066</v>
      </c>
      <c r="AE976" t="s">
        <v>4</v>
      </c>
      <c r="AF976" t="s">
        <v>1</v>
      </c>
      <c r="AG976" t="s">
        <v>1</v>
      </c>
      <c r="AH976" t="s">
        <v>4798</v>
      </c>
      <c r="AI976" t="s">
        <v>2683</v>
      </c>
      <c r="AJ976" t="s">
        <v>1</v>
      </c>
      <c r="AK976">
        <v>9371599570</v>
      </c>
      <c r="AL976" t="s">
        <v>1</v>
      </c>
      <c r="AM976" t="s">
        <v>1</v>
      </c>
      <c r="AN976" t="s">
        <v>1</v>
      </c>
      <c r="AO976" t="s">
        <v>4798</v>
      </c>
      <c r="AP976" t="s">
        <v>1</v>
      </c>
      <c r="AQ976" t="s">
        <v>2</v>
      </c>
      <c r="AR976" t="s">
        <v>1</v>
      </c>
      <c r="AS976" t="s">
        <v>1</v>
      </c>
      <c r="AT976" t="s">
        <v>1</v>
      </c>
      <c r="AU976" t="s">
        <v>1</v>
      </c>
      <c r="AV976" t="s">
        <v>1</v>
      </c>
      <c r="AW976" t="s">
        <v>9</v>
      </c>
      <c r="AX976">
        <f>Tabla1[[#This Row],[precio del paquete]]-Tabla1[[#This Row],[Saldo_Deudor]]</f>
        <v>350</v>
      </c>
      <c r="AY976">
        <v>14450</v>
      </c>
      <c r="AZ976">
        <v>0</v>
      </c>
      <c r="BA976">
        <v>0</v>
      </c>
      <c r="BB976">
        <v>0</v>
      </c>
      <c r="BC976" t="s">
        <v>4891</v>
      </c>
      <c r="BD976" t="s">
        <v>4979</v>
      </c>
      <c r="BE976" t="s">
        <v>3</v>
      </c>
      <c r="BF976" t="s">
        <v>3</v>
      </c>
      <c r="BG976" t="s">
        <v>3</v>
      </c>
      <c r="BH976" t="s">
        <v>3</v>
      </c>
      <c r="BI976" t="s">
        <v>3</v>
      </c>
      <c r="BJ976" t="s">
        <v>5014</v>
      </c>
      <c r="BK976" t="s">
        <v>3</v>
      </c>
      <c r="BL976" t="s">
        <v>96</v>
      </c>
      <c r="BM976" t="s">
        <v>1</v>
      </c>
      <c r="BN976">
        <v>14800</v>
      </c>
      <c r="BO976" t="s">
        <v>1</v>
      </c>
      <c r="BP976" t="s">
        <v>1</v>
      </c>
      <c r="BQ976" t="s">
        <v>1</v>
      </c>
      <c r="BR976" t="s">
        <v>1</v>
      </c>
      <c r="BS976" t="s">
        <v>1</v>
      </c>
      <c r="BT976" t="s">
        <v>1</v>
      </c>
      <c r="BU976" t="s">
        <v>1</v>
      </c>
      <c r="BV976" t="s">
        <v>1</v>
      </c>
      <c r="BW976" t="s">
        <v>0</v>
      </c>
      <c r="BX976" t="s">
        <v>1</v>
      </c>
      <c r="BY976" t="s">
        <v>1</v>
      </c>
      <c r="BZ976" t="s">
        <v>1</v>
      </c>
      <c r="CA976" t="s">
        <v>1</v>
      </c>
      <c r="CB976" t="s">
        <v>1</v>
      </c>
      <c r="CD976" t="e" cm="1">
        <f t="array" aca="1" ref="CD976" ca="1">eConcatenar(A976:CB976,"|")</f>
        <v>#NAME?</v>
      </c>
    </row>
    <row r="977" spans="1:82" x14ac:dyDescent="0.25">
      <c r="A977" t="s">
        <v>1072</v>
      </c>
      <c r="B977" t="s">
        <v>2099</v>
      </c>
      <c r="C977">
        <v>3</v>
      </c>
      <c r="D977" t="s">
        <v>2153</v>
      </c>
      <c r="E977" t="s">
        <v>2158</v>
      </c>
      <c r="F977" t="s">
        <v>0</v>
      </c>
      <c r="G977" t="s">
        <v>2683</v>
      </c>
      <c r="H977" t="s">
        <v>2839</v>
      </c>
      <c r="I977">
        <v>14800</v>
      </c>
      <c r="J977">
        <v>0</v>
      </c>
      <c r="K977">
        <v>100</v>
      </c>
      <c r="L977">
        <v>50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 t="s">
        <v>3225</v>
      </c>
      <c r="AC977" t="s">
        <v>3161</v>
      </c>
      <c r="AD977" t="s">
        <v>4067</v>
      </c>
      <c r="AE977" t="s">
        <v>4</v>
      </c>
      <c r="AF977" t="s">
        <v>1</v>
      </c>
      <c r="AG977" t="s">
        <v>1</v>
      </c>
      <c r="AH977" t="s">
        <v>4799</v>
      </c>
      <c r="AI977" t="s">
        <v>2683</v>
      </c>
      <c r="AJ977" t="s">
        <v>1</v>
      </c>
      <c r="AK977">
        <v>9935836034</v>
      </c>
      <c r="AL977" t="s">
        <v>1</v>
      </c>
      <c r="AM977" t="s">
        <v>1</v>
      </c>
      <c r="AN977" t="s">
        <v>1</v>
      </c>
      <c r="AO977" t="s">
        <v>4799</v>
      </c>
      <c r="AP977" t="s">
        <v>1</v>
      </c>
      <c r="AQ977" t="s">
        <v>2</v>
      </c>
      <c r="AR977" t="s">
        <v>1</v>
      </c>
      <c r="AS977" t="s">
        <v>1</v>
      </c>
      <c r="AT977" t="s">
        <v>1</v>
      </c>
      <c r="AU977" t="s">
        <v>1</v>
      </c>
      <c r="AV977" t="s">
        <v>1</v>
      </c>
      <c r="AW977" t="s">
        <v>9</v>
      </c>
      <c r="AX977">
        <f>Tabla1[[#This Row],[precio del paquete]]-Tabla1[[#This Row],[Saldo_Deudor]]</f>
        <v>200</v>
      </c>
      <c r="AY977">
        <v>14600</v>
      </c>
      <c r="AZ977">
        <v>0</v>
      </c>
      <c r="BA977">
        <v>0</v>
      </c>
      <c r="BB977">
        <v>0</v>
      </c>
      <c r="BC977" t="s">
        <v>4847</v>
      </c>
      <c r="BD977" t="s">
        <v>4826</v>
      </c>
      <c r="BE977" t="s">
        <v>3</v>
      </c>
      <c r="BF977" t="s">
        <v>3</v>
      </c>
      <c r="BG977" t="s">
        <v>3</v>
      </c>
      <c r="BH977" t="s">
        <v>3</v>
      </c>
      <c r="BI977" t="s">
        <v>3</v>
      </c>
      <c r="BJ977" t="s">
        <v>5014</v>
      </c>
      <c r="BK977" t="s">
        <v>3</v>
      </c>
      <c r="BL977" t="s">
        <v>96</v>
      </c>
      <c r="BM977" t="s">
        <v>1</v>
      </c>
      <c r="BN977">
        <v>14800</v>
      </c>
      <c r="BO977" t="s">
        <v>1</v>
      </c>
      <c r="BP977" t="s">
        <v>1</v>
      </c>
      <c r="BQ977" t="s">
        <v>1</v>
      </c>
      <c r="BR977" t="s">
        <v>1</v>
      </c>
      <c r="BS977" t="s">
        <v>1</v>
      </c>
      <c r="BT977" t="s">
        <v>1</v>
      </c>
      <c r="BU977" t="s">
        <v>1</v>
      </c>
      <c r="BV977" t="s">
        <v>1</v>
      </c>
      <c r="BW977" t="s">
        <v>0</v>
      </c>
      <c r="BX977" t="s">
        <v>1</v>
      </c>
      <c r="BY977" t="s">
        <v>1</v>
      </c>
      <c r="BZ977" t="s">
        <v>1</v>
      </c>
      <c r="CA977" t="s">
        <v>1</v>
      </c>
      <c r="CB977" t="s">
        <v>1</v>
      </c>
      <c r="CD977" t="e" cm="1">
        <f t="array" aca="1" ref="CD977" ca="1">eConcatenar(A977:CB977,"|")</f>
        <v>#NAME?</v>
      </c>
    </row>
    <row r="978" spans="1:82" x14ac:dyDescent="0.25">
      <c r="A978" t="s">
        <v>1073</v>
      </c>
      <c r="B978" t="s">
        <v>2100</v>
      </c>
      <c r="C978">
        <v>3</v>
      </c>
      <c r="D978" t="s">
        <v>2153</v>
      </c>
      <c r="E978" t="s">
        <v>2158</v>
      </c>
      <c r="F978" t="s">
        <v>0</v>
      </c>
      <c r="G978" t="s">
        <v>2683</v>
      </c>
      <c r="H978" t="s">
        <v>2839</v>
      </c>
      <c r="I978">
        <v>14800</v>
      </c>
      <c r="J978">
        <v>0</v>
      </c>
      <c r="K978">
        <v>100</v>
      </c>
      <c r="L978">
        <v>50</v>
      </c>
      <c r="M978">
        <v>2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 t="s">
        <v>3974</v>
      </c>
      <c r="AC978" t="s">
        <v>3240</v>
      </c>
      <c r="AD978" t="s">
        <v>4068</v>
      </c>
      <c r="AE978" t="s">
        <v>4</v>
      </c>
      <c r="AF978" t="s">
        <v>1</v>
      </c>
      <c r="AG978" t="s">
        <v>1</v>
      </c>
      <c r="AH978" t="s">
        <v>4800</v>
      </c>
      <c r="AI978" t="s">
        <v>2683</v>
      </c>
      <c r="AJ978" t="s">
        <v>1</v>
      </c>
      <c r="AK978">
        <v>9373740811</v>
      </c>
      <c r="AL978" t="s">
        <v>1</v>
      </c>
      <c r="AM978" t="s">
        <v>1</v>
      </c>
      <c r="AN978" t="s">
        <v>1</v>
      </c>
      <c r="AO978" t="s">
        <v>4800</v>
      </c>
      <c r="AP978" t="s">
        <v>1</v>
      </c>
      <c r="AQ978" t="s">
        <v>2</v>
      </c>
      <c r="AR978" t="s">
        <v>1</v>
      </c>
      <c r="AS978" t="s">
        <v>1</v>
      </c>
      <c r="AT978" t="s">
        <v>1</v>
      </c>
      <c r="AU978" t="s">
        <v>1</v>
      </c>
      <c r="AV978" t="s">
        <v>1</v>
      </c>
      <c r="AW978" t="s">
        <v>9</v>
      </c>
      <c r="AX978">
        <f>Tabla1[[#This Row],[precio del paquete]]-Tabla1[[#This Row],[Saldo_Deudor]]</f>
        <v>100</v>
      </c>
      <c r="AY978">
        <v>14700</v>
      </c>
      <c r="AZ978">
        <v>0</v>
      </c>
      <c r="BA978">
        <v>0</v>
      </c>
      <c r="BB978">
        <v>0</v>
      </c>
      <c r="BC978" t="s">
        <v>2706</v>
      </c>
      <c r="BD978" t="s">
        <v>4899</v>
      </c>
      <c r="BE978" t="s">
        <v>3</v>
      </c>
      <c r="BF978" t="s">
        <v>3</v>
      </c>
      <c r="BG978" t="s">
        <v>3</v>
      </c>
      <c r="BH978" t="s">
        <v>3</v>
      </c>
      <c r="BI978" t="s">
        <v>3</v>
      </c>
      <c r="BJ978" t="s">
        <v>5014</v>
      </c>
      <c r="BK978" t="s">
        <v>3</v>
      </c>
      <c r="BL978" t="s">
        <v>96</v>
      </c>
      <c r="BM978" t="s">
        <v>1</v>
      </c>
      <c r="BN978">
        <v>14800</v>
      </c>
      <c r="BO978" t="s">
        <v>1</v>
      </c>
      <c r="BP978" t="s">
        <v>1</v>
      </c>
      <c r="BQ978" t="s">
        <v>1</v>
      </c>
      <c r="BR978" t="s">
        <v>1</v>
      </c>
      <c r="BS978" t="s">
        <v>1</v>
      </c>
      <c r="BT978" t="s">
        <v>1</v>
      </c>
      <c r="BU978" t="s">
        <v>1</v>
      </c>
      <c r="BV978" t="s">
        <v>1</v>
      </c>
      <c r="BW978" t="s">
        <v>0</v>
      </c>
      <c r="BX978" t="s">
        <v>1</v>
      </c>
      <c r="BY978" t="s">
        <v>1</v>
      </c>
      <c r="BZ978" t="s">
        <v>1</v>
      </c>
      <c r="CA978" t="s">
        <v>1</v>
      </c>
      <c r="CB978" t="s">
        <v>1</v>
      </c>
      <c r="CD978" t="e" cm="1">
        <f t="array" aca="1" ref="CD978" ca="1">eConcatenar(A978:CB978,"|")</f>
        <v>#NAME?</v>
      </c>
    </row>
    <row r="979" spans="1:82" x14ac:dyDescent="0.25">
      <c r="A979" t="s">
        <v>1074</v>
      </c>
      <c r="B979" t="s">
        <v>2101</v>
      </c>
      <c r="C979">
        <v>3</v>
      </c>
      <c r="D979" t="s">
        <v>2153</v>
      </c>
      <c r="E979" t="s">
        <v>2158</v>
      </c>
      <c r="F979" t="s">
        <v>0</v>
      </c>
      <c r="G979" t="s">
        <v>2683</v>
      </c>
      <c r="H979" t="s">
        <v>2916</v>
      </c>
      <c r="I979">
        <v>14800</v>
      </c>
      <c r="J979">
        <v>0</v>
      </c>
      <c r="K979">
        <v>100</v>
      </c>
      <c r="L979">
        <v>50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 t="s">
        <v>3310</v>
      </c>
      <c r="AC979" t="s">
        <v>3196</v>
      </c>
      <c r="AD979" t="s">
        <v>4069</v>
      </c>
      <c r="AE979" t="s">
        <v>4</v>
      </c>
      <c r="AF979" t="s">
        <v>1</v>
      </c>
      <c r="AG979" t="s">
        <v>1</v>
      </c>
      <c r="AH979" t="s">
        <v>4801</v>
      </c>
      <c r="AI979" t="s">
        <v>2683</v>
      </c>
      <c r="AJ979" t="s">
        <v>1</v>
      </c>
      <c r="AK979">
        <v>9371197997</v>
      </c>
      <c r="AL979" t="s">
        <v>1</v>
      </c>
      <c r="AM979" t="s">
        <v>1</v>
      </c>
      <c r="AN979" t="s">
        <v>1</v>
      </c>
      <c r="AO979" t="s">
        <v>4801</v>
      </c>
      <c r="AP979" t="s">
        <v>1</v>
      </c>
      <c r="AQ979" t="s">
        <v>2</v>
      </c>
      <c r="AR979" t="s">
        <v>1</v>
      </c>
      <c r="AS979" t="s">
        <v>1</v>
      </c>
      <c r="AT979" t="s">
        <v>1</v>
      </c>
      <c r="AU979" t="s">
        <v>1</v>
      </c>
      <c r="AV979" t="s">
        <v>1</v>
      </c>
      <c r="AW979" t="s">
        <v>9</v>
      </c>
      <c r="AX979">
        <f>Tabla1[[#This Row],[precio del paquete]]-Tabla1[[#This Row],[Saldo_Deudor]]</f>
        <v>400</v>
      </c>
      <c r="AY979">
        <v>14400</v>
      </c>
      <c r="AZ979">
        <v>0</v>
      </c>
      <c r="BA979">
        <v>0</v>
      </c>
      <c r="BB979">
        <v>0</v>
      </c>
      <c r="BC979" t="s">
        <v>4873</v>
      </c>
      <c r="BD979" t="s">
        <v>4962</v>
      </c>
      <c r="BE979" t="s">
        <v>3</v>
      </c>
      <c r="BF979" t="s">
        <v>3</v>
      </c>
      <c r="BG979" t="s">
        <v>3</v>
      </c>
      <c r="BH979" t="s">
        <v>3</v>
      </c>
      <c r="BI979" t="s">
        <v>3</v>
      </c>
      <c r="BJ979" t="s">
        <v>5014</v>
      </c>
      <c r="BK979" t="s">
        <v>3</v>
      </c>
      <c r="BL979" t="s">
        <v>96</v>
      </c>
      <c r="BM979" t="s">
        <v>1</v>
      </c>
      <c r="BN979">
        <v>14800</v>
      </c>
      <c r="BO979" t="s">
        <v>1</v>
      </c>
      <c r="BP979" t="s">
        <v>1</v>
      </c>
      <c r="BQ979" t="s">
        <v>1</v>
      </c>
      <c r="BR979" t="s">
        <v>1</v>
      </c>
      <c r="BS979" t="s">
        <v>1</v>
      </c>
      <c r="BT979" t="s">
        <v>1</v>
      </c>
      <c r="BU979" t="s">
        <v>1</v>
      </c>
      <c r="BV979" t="s">
        <v>1</v>
      </c>
      <c r="BW979" t="s">
        <v>0</v>
      </c>
      <c r="BX979" t="s">
        <v>1</v>
      </c>
      <c r="BY979" t="s">
        <v>1</v>
      </c>
      <c r="BZ979" t="s">
        <v>1</v>
      </c>
      <c r="CA979" t="s">
        <v>1</v>
      </c>
      <c r="CB979" t="s">
        <v>1</v>
      </c>
      <c r="CD979" t="e" cm="1">
        <f t="array" aca="1" ref="CD979" ca="1">eConcatenar(A979:CB979,"|")</f>
        <v>#NAME?</v>
      </c>
    </row>
    <row r="980" spans="1:82" x14ac:dyDescent="0.25">
      <c r="A980" t="s">
        <v>1075</v>
      </c>
      <c r="B980" t="s">
        <v>2102</v>
      </c>
      <c r="C980">
        <v>3</v>
      </c>
      <c r="D980" t="s">
        <v>2153</v>
      </c>
      <c r="E980" t="s">
        <v>2158</v>
      </c>
      <c r="F980" t="s">
        <v>0</v>
      </c>
      <c r="G980" t="s">
        <v>2683</v>
      </c>
      <c r="H980" t="s">
        <v>2916</v>
      </c>
      <c r="I980">
        <v>14800</v>
      </c>
      <c r="J980">
        <v>0</v>
      </c>
      <c r="K980">
        <v>50</v>
      </c>
      <c r="L980">
        <v>50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 t="s">
        <v>3132</v>
      </c>
      <c r="AC980" t="s">
        <v>3214</v>
      </c>
      <c r="AD980" t="s">
        <v>4070</v>
      </c>
      <c r="AE980" t="s">
        <v>4</v>
      </c>
      <c r="AF980" t="s">
        <v>1</v>
      </c>
      <c r="AG980" t="s">
        <v>1</v>
      </c>
      <c r="AH980" t="s">
        <v>4783</v>
      </c>
      <c r="AI980" t="s">
        <v>2683</v>
      </c>
      <c r="AJ980" t="s">
        <v>1</v>
      </c>
      <c r="AK980">
        <v>9371058609</v>
      </c>
      <c r="AL980" t="s">
        <v>1</v>
      </c>
      <c r="AM980" t="s">
        <v>1</v>
      </c>
      <c r="AN980" t="s">
        <v>1</v>
      </c>
      <c r="AO980" t="s">
        <v>4783</v>
      </c>
      <c r="AP980" t="s">
        <v>1</v>
      </c>
      <c r="AQ980" t="s">
        <v>2</v>
      </c>
      <c r="AR980" t="s">
        <v>1</v>
      </c>
      <c r="AS980" t="s">
        <v>1</v>
      </c>
      <c r="AT980" t="s">
        <v>1</v>
      </c>
      <c r="AU980" t="s">
        <v>1</v>
      </c>
      <c r="AV980" t="s">
        <v>1</v>
      </c>
      <c r="AW980" t="s">
        <v>9</v>
      </c>
      <c r="AX980">
        <f>Tabla1[[#This Row],[precio del paquete]]-Tabla1[[#This Row],[Saldo_Deudor]]</f>
        <v>550</v>
      </c>
      <c r="AY980">
        <v>14250</v>
      </c>
      <c r="AZ980">
        <v>0</v>
      </c>
      <c r="BA980">
        <v>0</v>
      </c>
      <c r="BB980">
        <v>0</v>
      </c>
      <c r="BC980" t="s">
        <v>4873</v>
      </c>
      <c r="BD980" t="s">
        <v>4962</v>
      </c>
      <c r="BE980" t="s">
        <v>3</v>
      </c>
      <c r="BF980" t="s">
        <v>3</v>
      </c>
      <c r="BG980" t="s">
        <v>3</v>
      </c>
      <c r="BH980" t="s">
        <v>3</v>
      </c>
      <c r="BI980" t="s">
        <v>3</v>
      </c>
      <c r="BJ980" t="s">
        <v>5014</v>
      </c>
      <c r="BK980" t="s">
        <v>3</v>
      </c>
      <c r="BL980" t="s">
        <v>96</v>
      </c>
      <c r="BM980" t="s">
        <v>1</v>
      </c>
      <c r="BN980">
        <v>14800</v>
      </c>
      <c r="BO980" t="s">
        <v>1</v>
      </c>
      <c r="BP980" t="s">
        <v>1</v>
      </c>
      <c r="BQ980" t="s">
        <v>1</v>
      </c>
      <c r="BR980" t="s">
        <v>1</v>
      </c>
      <c r="BS980" t="s">
        <v>1</v>
      </c>
      <c r="BT980" t="s">
        <v>1</v>
      </c>
      <c r="BU980" t="s">
        <v>1</v>
      </c>
      <c r="BV980" t="s">
        <v>1</v>
      </c>
      <c r="BW980" t="s">
        <v>0</v>
      </c>
      <c r="BX980" t="s">
        <v>1</v>
      </c>
      <c r="BY980" t="s">
        <v>1</v>
      </c>
      <c r="BZ980" t="s">
        <v>1</v>
      </c>
      <c r="CA980" t="s">
        <v>1</v>
      </c>
      <c r="CB980" t="s">
        <v>1</v>
      </c>
      <c r="CD980" t="e" cm="1">
        <f t="array" aca="1" ref="CD980" ca="1">eConcatenar(A980:CB980,"|")</f>
        <v>#NAME?</v>
      </c>
    </row>
    <row r="981" spans="1:82" x14ac:dyDescent="0.25">
      <c r="A981" t="s">
        <v>1076</v>
      </c>
      <c r="B981" t="s">
        <v>2103</v>
      </c>
      <c r="C981">
        <v>3</v>
      </c>
      <c r="D981" t="s">
        <v>2153</v>
      </c>
      <c r="E981" t="s">
        <v>2158</v>
      </c>
      <c r="F981" t="s">
        <v>0</v>
      </c>
      <c r="G981" t="s">
        <v>2683</v>
      </c>
      <c r="H981" t="s">
        <v>2916</v>
      </c>
      <c r="I981">
        <v>14800</v>
      </c>
      <c r="J981">
        <v>0</v>
      </c>
      <c r="K981">
        <v>50</v>
      </c>
      <c r="L981">
        <v>50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 t="s">
        <v>3236</v>
      </c>
      <c r="AC981" t="s">
        <v>3157</v>
      </c>
      <c r="AD981" t="s">
        <v>3506</v>
      </c>
      <c r="AE981" t="s">
        <v>4</v>
      </c>
      <c r="AF981" t="s">
        <v>1</v>
      </c>
      <c r="AG981" t="s">
        <v>1</v>
      </c>
      <c r="AH981" t="s">
        <v>4802</v>
      </c>
      <c r="AI981" t="s">
        <v>2683</v>
      </c>
      <c r="AJ981" t="s">
        <v>1</v>
      </c>
      <c r="AK981">
        <v>9371220811</v>
      </c>
      <c r="AL981" t="s">
        <v>1</v>
      </c>
      <c r="AM981" t="s">
        <v>1</v>
      </c>
      <c r="AN981" t="s">
        <v>1</v>
      </c>
      <c r="AO981" t="s">
        <v>4802</v>
      </c>
      <c r="AP981" t="s">
        <v>1</v>
      </c>
      <c r="AQ981" t="s">
        <v>2</v>
      </c>
      <c r="AR981" t="s">
        <v>1</v>
      </c>
      <c r="AS981" t="s">
        <v>1</v>
      </c>
      <c r="AT981" t="s">
        <v>1</v>
      </c>
      <c r="AU981" t="s">
        <v>1</v>
      </c>
      <c r="AV981" t="s">
        <v>1</v>
      </c>
      <c r="AW981" t="s">
        <v>9</v>
      </c>
      <c r="AX981">
        <f>Tabla1[[#This Row],[precio del paquete]]-Tabla1[[#This Row],[Saldo_Deudor]]</f>
        <v>450</v>
      </c>
      <c r="AY981">
        <v>14350</v>
      </c>
      <c r="AZ981">
        <v>0</v>
      </c>
      <c r="BA981">
        <v>0</v>
      </c>
      <c r="BB981">
        <v>0</v>
      </c>
      <c r="BC981" t="s">
        <v>4873</v>
      </c>
      <c r="BD981" t="s">
        <v>4962</v>
      </c>
      <c r="BE981" t="s">
        <v>3</v>
      </c>
      <c r="BF981" t="s">
        <v>3</v>
      </c>
      <c r="BG981" t="s">
        <v>3</v>
      </c>
      <c r="BH981" t="s">
        <v>3</v>
      </c>
      <c r="BI981" t="s">
        <v>3</v>
      </c>
      <c r="BJ981" t="s">
        <v>5014</v>
      </c>
      <c r="BK981" t="s">
        <v>3</v>
      </c>
      <c r="BL981" t="s">
        <v>96</v>
      </c>
      <c r="BM981" t="s">
        <v>1</v>
      </c>
      <c r="BN981">
        <v>14800</v>
      </c>
      <c r="BO981" t="s">
        <v>1</v>
      </c>
      <c r="BP981" t="s">
        <v>1</v>
      </c>
      <c r="BQ981" t="s">
        <v>1</v>
      </c>
      <c r="BR981" t="s">
        <v>1</v>
      </c>
      <c r="BS981" t="s">
        <v>1</v>
      </c>
      <c r="BT981" t="s">
        <v>1</v>
      </c>
      <c r="BU981" t="s">
        <v>1</v>
      </c>
      <c r="BV981" t="s">
        <v>1</v>
      </c>
      <c r="BW981" t="s">
        <v>0</v>
      </c>
      <c r="BX981" t="s">
        <v>1</v>
      </c>
      <c r="BY981" t="s">
        <v>1</v>
      </c>
      <c r="BZ981" t="s">
        <v>1</v>
      </c>
      <c r="CA981" t="s">
        <v>1</v>
      </c>
      <c r="CB981" t="s">
        <v>1</v>
      </c>
      <c r="CD981" t="e" cm="1">
        <f t="array" aca="1" ref="CD981" ca="1">eConcatenar(A981:CB981,"|")</f>
        <v>#NAME?</v>
      </c>
    </row>
    <row r="982" spans="1:82" x14ac:dyDescent="0.25">
      <c r="A982" t="s">
        <v>1077</v>
      </c>
      <c r="B982" t="s">
        <v>2104</v>
      </c>
      <c r="C982">
        <v>3</v>
      </c>
      <c r="D982" t="s">
        <v>2153</v>
      </c>
      <c r="E982" t="s">
        <v>2158</v>
      </c>
      <c r="F982" t="s">
        <v>0</v>
      </c>
      <c r="G982" t="s">
        <v>2683</v>
      </c>
      <c r="H982" t="s">
        <v>2916</v>
      </c>
      <c r="I982">
        <v>14800</v>
      </c>
      <c r="J982">
        <v>0</v>
      </c>
      <c r="K982">
        <v>200</v>
      </c>
      <c r="L982">
        <v>50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 t="s">
        <v>3115</v>
      </c>
      <c r="AC982" t="s">
        <v>3186</v>
      </c>
      <c r="AD982" t="s">
        <v>3573</v>
      </c>
      <c r="AE982" t="s">
        <v>4</v>
      </c>
      <c r="AF982" t="s">
        <v>1</v>
      </c>
      <c r="AG982" t="s">
        <v>1</v>
      </c>
      <c r="AH982" t="s">
        <v>4803</v>
      </c>
      <c r="AI982" t="s">
        <v>2683</v>
      </c>
      <c r="AJ982" t="s">
        <v>1</v>
      </c>
      <c r="AK982">
        <v>9372281872</v>
      </c>
      <c r="AL982" t="s">
        <v>1</v>
      </c>
      <c r="AM982" t="s">
        <v>1</v>
      </c>
      <c r="AN982" t="s">
        <v>1</v>
      </c>
      <c r="AO982" t="s">
        <v>4803</v>
      </c>
      <c r="AP982" t="s">
        <v>1</v>
      </c>
      <c r="AQ982" t="s">
        <v>2</v>
      </c>
      <c r="AR982" t="s">
        <v>1</v>
      </c>
      <c r="AS982" t="s">
        <v>1</v>
      </c>
      <c r="AT982" t="s">
        <v>1</v>
      </c>
      <c r="AU982" t="s">
        <v>1</v>
      </c>
      <c r="AV982" t="s">
        <v>1</v>
      </c>
      <c r="AW982" t="s">
        <v>9</v>
      </c>
      <c r="AX982">
        <f>Tabla1[[#This Row],[precio del paquete]]-Tabla1[[#This Row],[Saldo_Deudor]]</f>
        <v>600</v>
      </c>
      <c r="AY982">
        <v>14200</v>
      </c>
      <c r="AZ982">
        <v>0</v>
      </c>
      <c r="BA982">
        <v>0</v>
      </c>
      <c r="BB982">
        <v>0</v>
      </c>
      <c r="BC982" t="s">
        <v>3102</v>
      </c>
      <c r="BD982" t="s">
        <v>4897</v>
      </c>
      <c r="BE982" t="s">
        <v>3</v>
      </c>
      <c r="BF982" t="s">
        <v>3</v>
      </c>
      <c r="BG982" t="s">
        <v>3</v>
      </c>
      <c r="BH982" t="s">
        <v>3</v>
      </c>
      <c r="BI982" t="s">
        <v>3</v>
      </c>
      <c r="BJ982" t="s">
        <v>5014</v>
      </c>
      <c r="BK982" t="s">
        <v>3</v>
      </c>
      <c r="BL982" t="s">
        <v>96</v>
      </c>
      <c r="BM982" t="s">
        <v>1</v>
      </c>
      <c r="BN982">
        <v>14800</v>
      </c>
      <c r="BO982" t="s">
        <v>1</v>
      </c>
      <c r="BP982" t="s">
        <v>1</v>
      </c>
      <c r="BQ982" t="s">
        <v>1</v>
      </c>
      <c r="BR982" t="s">
        <v>1</v>
      </c>
      <c r="BS982" t="s">
        <v>1</v>
      </c>
      <c r="BT982" t="s">
        <v>1</v>
      </c>
      <c r="BU982" t="s">
        <v>1</v>
      </c>
      <c r="BV982" t="s">
        <v>1</v>
      </c>
      <c r="BW982" t="s">
        <v>0</v>
      </c>
      <c r="BX982" t="s">
        <v>1</v>
      </c>
      <c r="BY982" t="s">
        <v>1</v>
      </c>
      <c r="BZ982" t="s">
        <v>1</v>
      </c>
      <c r="CA982" t="s">
        <v>1</v>
      </c>
      <c r="CB982" t="s">
        <v>1</v>
      </c>
      <c r="CD982" t="e" cm="1">
        <f t="array" aca="1" ref="CD982" ca="1">eConcatenar(A982:CB982,"|")</f>
        <v>#NAME?</v>
      </c>
    </row>
    <row r="983" spans="1:82" x14ac:dyDescent="0.25">
      <c r="A983" t="s">
        <v>1078</v>
      </c>
      <c r="B983" t="s">
        <v>2105</v>
      </c>
      <c r="C983">
        <v>3</v>
      </c>
      <c r="D983" t="s">
        <v>2153</v>
      </c>
      <c r="E983" t="s">
        <v>2158</v>
      </c>
      <c r="F983" t="s">
        <v>0</v>
      </c>
      <c r="G983" t="s">
        <v>2683</v>
      </c>
      <c r="H983" t="s">
        <v>2839</v>
      </c>
      <c r="I983">
        <v>14800</v>
      </c>
      <c r="J983">
        <v>0</v>
      </c>
      <c r="K983">
        <v>100</v>
      </c>
      <c r="L983">
        <v>50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 t="s">
        <v>3117</v>
      </c>
      <c r="AC983" t="s">
        <v>3629</v>
      </c>
      <c r="AD983" t="s">
        <v>3734</v>
      </c>
      <c r="AE983" t="s">
        <v>4</v>
      </c>
      <c r="AF983" t="s">
        <v>1</v>
      </c>
      <c r="AG983" t="s">
        <v>1</v>
      </c>
      <c r="AH983" t="s">
        <v>4804</v>
      </c>
      <c r="AI983" t="s">
        <v>2683</v>
      </c>
      <c r="AJ983" t="s">
        <v>1</v>
      </c>
      <c r="AK983">
        <v>9371254235</v>
      </c>
      <c r="AL983" t="s">
        <v>1</v>
      </c>
      <c r="AM983" t="s">
        <v>1</v>
      </c>
      <c r="AN983" t="s">
        <v>1</v>
      </c>
      <c r="AO983" t="s">
        <v>4804</v>
      </c>
      <c r="AP983" t="s">
        <v>1</v>
      </c>
      <c r="AQ983" t="s">
        <v>2</v>
      </c>
      <c r="AR983" t="s">
        <v>1</v>
      </c>
      <c r="AS983" t="s">
        <v>1</v>
      </c>
      <c r="AT983" t="s">
        <v>1</v>
      </c>
      <c r="AU983" t="s">
        <v>1</v>
      </c>
      <c r="AV983" t="s">
        <v>1</v>
      </c>
      <c r="AW983" t="s">
        <v>9</v>
      </c>
      <c r="AX983">
        <f>Tabla1[[#This Row],[precio del paquete]]-Tabla1[[#This Row],[Saldo_Deudor]]</f>
        <v>300</v>
      </c>
      <c r="AY983">
        <v>14500</v>
      </c>
      <c r="AZ983">
        <v>0</v>
      </c>
      <c r="BA983">
        <v>0</v>
      </c>
      <c r="BB983">
        <v>0</v>
      </c>
      <c r="BC983" t="s">
        <v>4873</v>
      </c>
      <c r="BD983" t="s">
        <v>4962</v>
      </c>
      <c r="BE983" t="s">
        <v>3</v>
      </c>
      <c r="BF983" t="s">
        <v>3</v>
      </c>
      <c r="BG983" t="s">
        <v>3</v>
      </c>
      <c r="BH983" t="s">
        <v>3</v>
      </c>
      <c r="BI983" t="s">
        <v>3</v>
      </c>
      <c r="BJ983" t="s">
        <v>5014</v>
      </c>
      <c r="BK983" t="s">
        <v>3</v>
      </c>
      <c r="BL983" t="s">
        <v>96</v>
      </c>
      <c r="BM983" t="s">
        <v>1</v>
      </c>
      <c r="BN983">
        <v>14800</v>
      </c>
      <c r="BO983" t="s">
        <v>1</v>
      </c>
      <c r="BP983" t="s">
        <v>1</v>
      </c>
      <c r="BQ983" t="s">
        <v>1</v>
      </c>
      <c r="BR983" t="s">
        <v>1</v>
      </c>
      <c r="BS983" t="s">
        <v>1</v>
      </c>
      <c r="BT983" t="s">
        <v>1</v>
      </c>
      <c r="BU983" t="s">
        <v>1</v>
      </c>
      <c r="BV983" t="s">
        <v>1</v>
      </c>
      <c r="BW983" t="s">
        <v>0</v>
      </c>
      <c r="BX983" t="s">
        <v>1</v>
      </c>
      <c r="BY983" t="s">
        <v>1</v>
      </c>
      <c r="BZ983" t="s">
        <v>1</v>
      </c>
      <c r="CA983" t="s">
        <v>1</v>
      </c>
      <c r="CB983" t="s">
        <v>1</v>
      </c>
      <c r="CD983" t="e" cm="1">
        <f t="array" aca="1" ref="CD983" ca="1">eConcatenar(A983:CB983,"|")</f>
        <v>#NAME?</v>
      </c>
    </row>
    <row r="984" spans="1:82" x14ac:dyDescent="0.25">
      <c r="A984" t="s">
        <v>1079</v>
      </c>
      <c r="B984" t="s">
        <v>2107</v>
      </c>
      <c r="C984">
        <v>3</v>
      </c>
      <c r="D984" t="s">
        <v>2153</v>
      </c>
      <c r="E984" t="s">
        <v>2158</v>
      </c>
      <c r="F984" t="s">
        <v>0</v>
      </c>
      <c r="G984" t="s">
        <v>2683</v>
      </c>
      <c r="H984" t="s">
        <v>3016</v>
      </c>
      <c r="I984">
        <v>14800</v>
      </c>
      <c r="J984">
        <v>0</v>
      </c>
      <c r="K984">
        <v>200</v>
      </c>
      <c r="L984">
        <v>50</v>
      </c>
      <c r="M984">
        <v>2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 t="s">
        <v>3354</v>
      </c>
      <c r="AC984" t="s">
        <v>3180</v>
      </c>
      <c r="AD984" t="s">
        <v>4071</v>
      </c>
      <c r="AE984" t="s">
        <v>4</v>
      </c>
      <c r="AF984" t="s">
        <v>1</v>
      </c>
      <c r="AG984" t="s">
        <v>1</v>
      </c>
      <c r="AH984" t="s">
        <v>4805</v>
      </c>
      <c r="AI984" t="s">
        <v>2683</v>
      </c>
      <c r="AJ984" t="s">
        <v>1</v>
      </c>
      <c r="AK984">
        <v>9371273167</v>
      </c>
      <c r="AL984" t="s">
        <v>1</v>
      </c>
      <c r="AM984" t="s">
        <v>1</v>
      </c>
      <c r="AN984" t="s">
        <v>1</v>
      </c>
      <c r="AO984" t="s">
        <v>4805</v>
      </c>
      <c r="AP984" t="s">
        <v>1</v>
      </c>
      <c r="AQ984" t="s">
        <v>2</v>
      </c>
      <c r="AR984" t="s">
        <v>1</v>
      </c>
      <c r="AS984" t="s">
        <v>1</v>
      </c>
      <c r="AT984" t="s">
        <v>1</v>
      </c>
      <c r="AU984" t="s">
        <v>1</v>
      </c>
      <c r="AV984" t="s">
        <v>1</v>
      </c>
      <c r="AW984" t="s">
        <v>9</v>
      </c>
      <c r="AX984">
        <f>Tabla1[[#This Row],[precio del paquete]]-Tabla1[[#This Row],[Saldo_Deudor]]</f>
        <v>300</v>
      </c>
      <c r="AY984">
        <v>14500</v>
      </c>
      <c r="AZ984">
        <v>0</v>
      </c>
      <c r="BA984">
        <v>0</v>
      </c>
      <c r="BB984">
        <v>0</v>
      </c>
      <c r="BC984" t="s">
        <v>2923</v>
      </c>
      <c r="BD984" t="s">
        <v>4910</v>
      </c>
      <c r="BE984" t="s">
        <v>3</v>
      </c>
      <c r="BF984" t="s">
        <v>3</v>
      </c>
      <c r="BG984" t="s">
        <v>3</v>
      </c>
      <c r="BH984" t="s">
        <v>3</v>
      </c>
      <c r="BI984" t="s">
        <v>3</v>
      </c>
      <c r="BJ984" t="s">
        <v>5014</v>
      </c>
      <c r="BK984" t="s">
        <v>3</v>
      </c>
      <c r="BL984" t="s">
        <v>96</v>
      </c>
      <c r="BM984" t="s">
        <v>1</v>
      </c>
      <c r="BN984">
        <v>14800</v>
      </c>
      <c r="BO984" t="s">
        <v>1</v>
      </c>
      <c r="BP984" t="s">
        <v>1</v>
      </c>
      <c r="BQ984" t="s">
        <v>1</v>
      </c>
      <c r="BR984" t="s">
        <v>1</v>
      </c>
      <c r="BS984" t="s">
        <v>1</v>
      </c>
      <c r="BT984" t="s">
        <v>1</v>
      </c>
      <c r="BU984" t="s">
        <v>1</v>
      </c>
      <c r="BV984" t="s">
        <v>1</v>
      </c>
      <c r="BW984" t="s">
        <v>0</v>
      </c>
      <c r="BX984" t="s">
        <v>1</v>
      </c>
      <c r="BY984" t="s">
        <v>1</v>
      </c>
      <c r="BZ984" t="s">
        <v>1</v>
      </c>
      <c r="CA984" t="s">
        <v>1</v>
      </c>
      <c r="CB984" t="s">
        <v>1</v>
      </c>
      <c r="CD984" t="e" cm="1">
        <f t="array" aca="1" ref="CD984" ca="1">eConcatenar(A984:CB984,"|")</f>
        <v>#NAME?</v>
      </c>
    </row>
    <row r="985" spans="1:82" x14ac:dyDescent="0.25">
      <c r="A985" t="s">
        <v>1080</v>
      </c>
      <c r="B985" t="s">
        <v>2108</v>
      </c>
      <c r="C985">
        <v>3</v>
      </c>
      <c r="D985" t="s">
        <v>2153</v>
      </c>
      <c r="E985" t="s">
        <v>2158</v>
      </c>
      <c r="F985" t="s">
        <v>0</v>
      </c>
      <c r="G985" t="s">
        <v>2683</v>
      </c>
      <c r="H985" t="s">
        <v>2916</v>
      </c>
      <c r="I985">
        <v>14800</v>
      </c>
      <c r="J985">
        <v>0</v>
      </c>
      <c r="K985">
        <v>200</v>
      </c>
      <c r="L985">
        <v>50</v>
      </c>
      <c r="M985">
        <v>2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 t="s">
        <v>3114</v>
      </c>
      <c r="AC985" t="s">
        <v>6</v>
      </c>
      <c r="AD985" t="s">
        <v>3165</v>
      </c>
      <c r="AE985" t="s">
        <v>4</v>
      </c>
      <c r="AF985" t="s">
        <v>1</v>
      </c>
      <c r="AG985" t="s">
        <v>1</v>
      </c>
      <c r="AH985" t="s">
        <v>4806</v>
      </c>
      <c r="AI985" t="s">
        <v>2683</v>
      </c>
      <c r="AJ985" t="s">
        <v>1</v>
      </c>
      <c r="AK985">
        <v>9371320790</v>
      </c>
      <c r="AL985" t="s">
        <v>1</v>
      </c>
      <c r="AM985" t="s">
        <v>1</v>
      </c>
      <c r="AN985" t="s">
        <v>1</v>
      </c>
      <c r="AO985" t="s">
        <v>4806</v>
      </c>
      <c r="AP985" t="s">
        <v>1</v>
      </c>
      <c r="AQ985" t="s">
        <v>2</v>
      </c>
      <c r="AR985" t="s">
        <v>1</v>
      </c>
      <c r="AS985" t="s">
        <v>1</v>
      </c>
      <c r="AT985" t="s">
        <v>1</v>
      </c>
      <c r="AU985" t="s">
        <v>1</v>
      </c>
      <c r="AV985" t="s">
        <v>1</v>
      </c>
      <c r="AW985" t="s">
        <v>9</v>
      </c>
      <c r="AX985">
        <f>Tabla1[[#This Row],[precio del paquete]]-Tabla1[[#This Row],[Saldo_Deudor]]</f>
        <v>600</v>
      </c>
      <c r="AY985">
        <v>14200</v>
      </c>
      <c r="AZ985">
        <v>0</v>
      </c>
      <c r="BA985">
        <v>0</v>
      </c>
      <c r="BB985">
        <v>0</v>
      </c>
      <c r="BC985" t="s">
        <v>4873</v>
      </c>
      <c r="BD985" t="s">
        <v>4962</v>
      </c>
      <c r="BE985" t="s">
        <v>3</v>
      </c>
      <c r="BF985" t="s">
        <v>3</v>
      </c>
      <c r="BG985" t="s">
        <v>3</v>
      </c>
      <c r="BH985" t="s">
        <v>3</v>
      </c>
      <c r="BI985" t="s">
        <v>3</v>
      </c>
      <c r="BJ985" t="s">
        <v>5014</v>
      </c>
      <c r="BK985" t="s">
        <v>3</v>
      </c>
      <c r="BL985" t="s">
        <v>96</v>
      </c>
      <c r="BM985" t="s">
        <v>1</v>
      </c>
      <c r="BN985">
        <v>14800</v>
      </c>
      <c r="BO985" t="s">
        <v>1</v>
      </c>
      <c r="BP985" t="s">
        <v>1</v>
      </c>
      <c r="BQ985" t="s">
        <v>1</v>
      </c>
      <c r="BR985" t="s">
        <v>1</v>
      </c>
      <c r="BS985" t="s">
        <v>1</v>
      </c>
      <c r="BT985" t="s">
        <v>1</v>
      </c>
      <c r="BU985" t="s">
        <v>1</v>
      </c>
      <c r="BV985" t="s">
        <v>1</v>
      </c>
      <c r="BW985" t="s">
        <v>0</v>
      </c>
      <c r="BX985" t="s">
        <v>1</v>
      </c>
      <c r="BY985" t="s">
        <v>1</v>
      </c>
      <c r="BZ985" t="s">
        <v>1</v>
      </c>
      <c r="CA985" t="s">
        <v>1</v>
      </c>
      <c r="CB985" t="s">
        <v>1</v>
      </c>
      <c r="CD985" t="e" cm="1">
        <f t="array" aca="1" ref="CD985" ca="1">eConcatenar(A985:CB985,"|")</f>
        <v>#NAME?</v>
      </c>
    </row>
    <row r="986" spans="1:82" x14ac:dyDescent="0.25">
      <c r="A986" t="s">
        <v>1081</v>
      </c>
      <c r="B986" t="s">
        <v>2109</v>
      </c>
      <c r="C986">
        <v>3</v>
      </c>
      <c r="D986" t="s">
        <v>2153</v>
      </c>
      <c r="E986" t="s">
        <v>2158</v>
      </c>
      <c r="F986" t="s">
        <v>0</v>
      </c>
      <c r="G986" t="s">
        <v>2683</v>
      </c>
      <c r="H986" t="s">
        <v>2916</v>
      </c>
      <c r="I986">
        <v>14800</v>
      </c>
      <c r="J986">
        <v>0</v>
      </c>
      <c r="K986">
        <v>50</v>
      </c>
      <c r="L986">
        <v>50</v>
      </c>
      <c r="M986">
        <v>2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 t="s">
        <v>3686</v>
      </c>
      <c r="AC986" t="s">
        <v>3114</v>
      </c>
      <c r="AD986" t="s">
        <v>3727</v>
      </c>
      <c r="AE986" t="s">
        <v>4</v>
      </c>
      <c r="AF986" t="s">
        <v>1</v>
      </c>
      <c r="AG986" t="s">
        <v>1</v>
      </c>
      <c r="AH986" t="s">
        <v>4807</v>
      </c>
      <c r="AI986" t="s">
        <v>2683</v>
      </c>
      <c r="AJ986" t="s">
        <v>1</v>
      </c>
      <c r="AK986">
        <v>9371237326</v>
      </c>
      <c r="AL986" t="s">
        <v>1</v>
      </c>
      <c r="AM986" t="s">
        <v>1</v>
      </c>
      <c r="AN986" t="s">
        <v>1</v>
      </c>
      <c r="AO986" t="s">
        <v>4807</v>
      </c>
      <c r="AP986" t="s">
        <v>1</v>
      </c>
      <c r="AQ986" t="s">
        <v>2</v>
      </c>
      <c r="AR986" t="s">
        <v>1</v>
      </c>
      <c r="AS986" t="s">
        <v>1</v>
      </c>
      <c r="AT986" t="s">
        <v>1</v>
      </c>
      <c r="AU986" t="s">
        <v>1</v>
      </c>
      <c r="AV986" t="s">
        <v>1</v>
      </c>
      <c r="AW986" t="s">
        <v>9</v>
      </c>
      <c r="AX986">
        <f>Tabla1[[#This Row],[precio del paquete]]-Tabla1[[#This Row],[Saldo_Deudor]]</f>
        <v>450</v>
      </c>
      <c r="AY986">
        <v>14350</v>
      </c>
      <c r="AZ986">
        <v>0</v>
      </c>
      <c r="BA986">
        <v>0</v>
      </c>
      <c r="BB986">
        <v>0</v>
      </c>
      <c r="BC986" t="s">
        <v>4873</v>
      </c>
      <c r="BD986" t="s">
        <v>4962</v>
      </c>
      <c r="BE986" t="s">
        <v>3</v>
      </c>
      <c r="BF986" t="s">
        <v>3</v>
      </c>
      <c r="BG986" t="s">
        <v>3</v>
      </c>
      <c r="BH986" t="s">
        <v>3</v>
      </c>
      <c r="BI986" t="s">
        <v>3</v>
      </c>
      <c r="BJ986" t="s">
        <v>5014</v>
      </c>
      <c r="BK986" t="s">
        <v>3</v>
      </c>
      <c r="BL986" t="s">
        <v>96</v>
      </c>
      <c r="BM986" t="s">
        <v>1</v>
      </c>
      <c r="BN986">
        <v>14800</v>
      </c>
      <c r="BO986" t="s">
        <v>1</v>
      </c>
      <c r="BP986" t="s">
        <v>1</v>
      </c>
      <c r="BQ986" t="s">
        <v>1</v>
      </c>
      <c r="BR986" t="s">
        <v>1</v>
      </c>
      <c r="BS986" t="s">
        <v>1</v>
      </c>
      <c r="BT986" t="s">
        <v>1</v>
      </c>
      <c r="BU986" t="s">
        <v>1</v>
      </c>
      <c r="BV986" t="s">
        <v>1</v>
      </c>
      <c r="BW986" t="s">
        <v>0</v>
      </c>
      <c r="BX986" t="s">
        <v>1</v>
      </c>
      <c r="BY986" t="s">
        <v>1</v>
      </c>
      <c r="BZ986" t="s">
        <v>1</v>
      </c>
      <c r="CA986" t="s">
        <v>1</v>
      </c>
      <c r="CB986" t="s">
        <v>1</v>
      </c>
      <c r="CD986" t="e" cm="1">
        <f t="array" aca="1" ref="CD986" ca="1">eConcatenar(A986:CB986,"|")</f>
        <v>#NAME?</v>
      </c>
    </row>
    <row r="987" spans="1:82" x14ac:dyDescent="0.25">
      <c r="A987" t="s">
        <v>1082</v>
      </c>
      <c r="B987" t="s">
        <v>2110</v>
      </c>
      <c r="C987">
        <v>3</v>
      </c>
      <c r="D987" t="s">
        <v>2153</v>
      </c>
      <c r="E987" t="s">
        <v>2158</v>
      </c>
      <c r="F987" t="s">
        <v>0</v>
      </c>
      <c r="G987" t="s">
        <v>2683</v>
      </c>
      <c r="H987" t="s">
        <v>2724</v>
      </c>
      <c r="I987">
        <v>14800</v>
      </c>
      <c r="J987">
        <v>0</v>
      </c>
      <c r="K987">
        <v>200</v>
      </c>
      <c r="L987">
        <v>50</v>
      </c>
      <c r="M987">
        <v>2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 t="s">
        <v>3214</v>
      </c>
      <c r="AC987" t="s">
        <v>3196</v>
      </c>
      <c r="AD987" t="s">
        <v>4072</v>
      </c>
      <c r="AE987" t="s">
        <v>4</v>
      </c>
      <c r="AF987" t="s">
        <v>1</v>
      </c>
      <c r="AG987" t="s">
        <v>1</v>
      </c>
      <c r="AH987" t="s">
        <v>4808</v>
      </c>
      <c r="AI987" t="s">
        <v>2683</v>
      </c>
      <c r="AJ987" t="s">
        <v>1</v>
      </c>
      <c r="AK987">
        <v>9331409802</v>
      </c>
      <c r="AL987" t="s">
        <v>1</v>
      </c>
      <c r="AM987" t="s">
        <v>1</v>
      </c>
      <c r="AN987" t="s">
        <v>1</v>
      </c>
      <c r="AO987" t="s">
        <v>4808</v>
      </c>
      <c r="AP987" t="s">
        <v>1</v>
      </c>
      <c r="AQ987" t="s">
        <v>2</v>
      </c>
      <c r="AR987" t="s">
        <v>1</v>
      </c>
      <c r="AS987" t="s">
        <v>1</v>
      </c>
      <c r="AT987" t="s">
        <v>1</v>
      </c>
      <c r="AU987" t="s">
        <v>1</v>
      </c>
      <c r="AV987" t="s">
        <v>1</v>
      </c>
      <c r="AW987" t="s">
        <v>9</v>
      </c>
      <c r="AX987">
        <f>Tabla1[[#This Row],[precio del paquete]]-Tabla1[[#This Row],[Saldo_Deudor]]</f>
        <v>3500</v>
      </c>
      <c r="AY987">
        <v>11300</v>
      </c>
      <c r="AZ987">
        <v>0</v>
      </c>
      <c r="BA987">
        <v>0</v>
      </c>
      <c r="BB987">
        <v>0</v>
      </c>
      <c r="BC987" t="s">
        <v>4873</v>
      </c>
      <c r="BD987" t="s">
        <v>4962</v>
      </c>
      <c r="BE987" t="s">
        <v>3</v>
      </c>
      <c r="BF987" t="s">
        <v>3</v>
      </c>
      <c r="BG987" t="s">
        <v>3</v>
      </c>
      <c r="BH987" t="s">
        <v>3</v>
      </c>
      <c r="BI987" t="s">
        <v>3</v>
      </c>
      <c r="BJ987" t="s">
        <v>5014</v>
      </c>
      <c r="BK987" t="s">
        <v>3</v>
      </c>
      <c r="BL987" t="s">
        <v>96</v>
      </c>
      <c r="BM987" t="s">
        <v>1</v>
      </c>
      <c r="BN987">
        <v>14800</v>
      </c>
      <c r="BO987" t="s">
        <v>1</v>
      </c>
      <c r="BP987" t="s">
        <v>1</v>
      </c>
      <c r="BQ987" t="s">
        <v>1</v>
      </c>
      <c r="BR987" t="s">
        <v>1</v>
      </c>
      <c r="BS987" t="s">
        <v>1</v>
      </c>
      <c r="BT987" t="s">
        <v>1</v>
      </c>
      <c r="BU987" t="s">
        <v>1</v>
      </c>
      <c r="BV987" t="s">
        <v>1</v>
      </c>
      <c r="BW987" t="s">
        <v>0</v>
      </c>
      <c r="BX987" t="s">
        <v>1</v>
      </c>
      <c r="BY987" t="s">
        <v>1</v>
      </c>
      <c r="BZ987" t="s">
        <v>1</v>
      </c>
      <c r="CA987" t="s">
        <v>1</v>
      </c>
      <c r="CB987" t="s">
        <v>1</v>
      </c>
      <c r="CD987" t="e" cm="1">
        <f t="array" aca="1" ref="CD987" ca="1">eConcatenar(A987:CB987,"|")</f>
        <v>#NAME?</v>
      </c>
    </row>
    <row r="988" spans="1:82" x14ac:dyDescent="0.25">
      <c r="A988" t="s">
        <v>1083</v>
      </c>
      <c r="B988" t="s">
        <v>2111</v>
      </c>
      <c r="C988">
        <v>3</v>
      </c>
      <c r="D988" t="s">
        <v>2153</v>
      </c>
      <c r="E988" t="s">
        <v>2158</v>
      </c>
      <c r="F988" t="s">
        <v>0</v>
      </c>
      <c r="G988" t="s">
        <v>2684</v>
      </c>
      <c r="H988" t="s">
        <v>2809</v>
      </c>
      <c r="I988">
        <v>14800</v>
      </c>
      <c r="J988">
        <v>0</v>
      </c>
      <c r="K988">
        <v>50</v>
      </c>
      <c r="L988">
        <v>50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 t="s">
        <v>3310</v>
      </c>
      <c r="AC988" t="s">
        <v>3686</v>
      </c>
      <c r="AD988" t="s">
        <v>4073</v>
      </c>
      <c r="AE988" t="s">
        <v>4</v>
      </c>
      <c r="AF988" t="s">
        <v>1</v>
      </c>
      <c r="AG988" t="s">
        <v>1</v>
      </c>
      <c r="AH988" t="s">
        <v>4809</v>
      </c>
      <c r="AI988" t="s">
        <v>2684</v>
      </c>
      <c r="AJ988" t="s">
        <v>1</v>
      </c>
      <c r="AK988">
        <v>9371532348</v>
      </c>
      <c r="AL988" t="s">
        <v>1</v>
      </c>
      <c r="AM988" t="s">
        <v>1</v>
      </c>
      <c r="AN988" t="s">
        <v>1</v>
      </c>
      <c r="AO988" t="s">
        <v>4809</v>
      </c>
      <c r="AP988" t="s">
        <v>1</v>
      </c>
      <c r="AQ988" t="s">
        <v>2</v>
      </c>
      <c r="AR988" t="s">
        <v>1</v>
      </c>
      <c r="AS988" t="s">
        <v>1</v>
      </c>
      <c r="AT988" t="s">
        <v>1</v>
      </c>
      <c r="AU988" t="s">
        <v>1</v>
      </c>
      <c r="AV988" t="s">
        <v>1</v>
      </c>
      <c r="AW988" t="s">
        <v>9</v>
      </c>
      <c r="AX988">
        <f>Tabla1[[#This Row],[precio del paquete]]-Tabla1[[#This Row],[Saldo_Deudor]]</f>
        <v>1050</v>
      </c>
      <c r="AY988">
        <v>13750</v>
      </c>
      <c r="AZ988">
        <v>0</v>
      </c>
      <c r="BA988">
        <v>0</v>
      </c>
      <c r="BB988">
        <v>0</v>
      </c>
      <c r="BC988" t="s">
        <v>4873</v>
      </c>
      <c r="BD988" t="s">
        <v>4962</v>
      </c>
      <c r="BE988" t="s">
        <v>3</v>
      </c>
      <c r="BF988" t="s">
        <v>3</v>
      </c>
      <c r="BG988" t="s">
        <v>3</v>
      </c>
      <c r="BH988" t="s">
        <v>3</v>
      </c>
      <c r="BI988" t="s">
        <v>3</v>
      </c>
      <c r="BJ988" t="s">
        <v>5014</v>
      </c>
      <c r="BK988" t="s">
        <v>3</v>
      </c>
      <c r="BL988" t="s">
        <v>96</v>
      </c>
      <c r="BM988" t="s">
        <v>1</v>
      </c>
      <c r="BN988">
        <v>14800</v>
      </c>
      <c r="BO988" t="s">
        <v>1</v>
      </c>
      <c r="BP988" t="s">
        <v>1</v>
      </c>
      <c r="BQ988" t="s">
        <v>1</v>
      </c>
      <c r="BR988" t="s">
        <v>1</v>
      </c>
      <c r="BS988" t="s">
        <v>1</v>
      </c>
      <c r="BT988" t="s">
        <v>1</v>
      </c>
      <c r="BU988" t="s">
        <v>1</v>
      </c>
      <c r="BV988" t="s">
        <v>1</v>
      </c>
      <c r="BW988" t="s">
        <v>0</v>
      </c>
      <c r="BX988" t="s">
        <v>1</v>
      </c>
      <c r="BY988" t="s">
        <v>1</v>
      </c>
      <c r="BZ988" t="s">
        <v>1</v>
      </c>
      <c r="CA988" t="s">
        <v>1</v>
      </c>
      <c r="CB988" t="s">
        <v>1</v>
      </c>
      <c r="CD988" t="e" cm="1">
        <f t="array" aca="1" ref="CD988" ca="1">eConcatenar(A988:CB988,"|")</f>
        <v>#NAME?</v>
      </c>
    </row>
    <row r="989" spans="1:82" x14ac:dyDescent="0.25">
      <c r="A989" t="s">
        <v>1084</v>
      </c>
      <c r="B989" t="s">
        <v>2112</v>
      </c>
      <c r="C989">
        <v>3</v>
      </c>
      <c r="D989" t="s">
        <v>2153</v>
      </c>
      <c r="E989" t="s">
        <v>2158</v>
      </c>
      <c r="F989" t="s">
        <v>0</v>
      </c>
      <c r="G989" t="s">
        <v>2685</v>
      </c>
      <c r="H989" t="s">
        <v>3089</v>
      </c>
      <c r="I989">
        <v>14800</v>
      </c>
      <c r="J989">
        <v>0</v>
      </c>
      <c r="K989">
        <v>100</v>
      </c>
      <c r="L989">
        <v>50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 t="s">
        <v>3280</v>
      </c>
      <c r="AC989" t="s">
        <v>3115</v>
      </c>
      <c r="AD989" t="s">
        <v>3326</v>
      </c>
      <c r="AE989" t="s">
        <v>4</v>
      </c>
      <c r="AF989" t="s">
        <v>1</v>
      </c>
      <c r="AG989" t="s">
        <v>1</v>
      </c>
      <c r="AH989" t="s">
        <v>4810</v>
      </c>
      <c r="AI989" t="s">
        <v>2685</v>
      </c>
      <c r="AJ989" t="s">
        <v>1</v>
      </c>
      <c r="AK989">
        <v>9371014377</v>
      </c>
      <c r="AL989" t="s">
        <v>1</v>
      </c>
      <c r="AM989" t="s">
        <v>1</v>
      </c>
      <c r="AN989" t="s">
        <v>1</v>
      </c>
      <c r="AO989" t="s">
        <v>4810</v>
      </c>
      <c r="AP989" t="s">
        <v>1</v>
      </c>
      <c r="AQ989" t="s">
        <v>2</v>
      </c>
      <c r="AR989" t="s">
        <v>1</v>
      </c>
      <c r="AS989" t="s">
        <v>1</v>
      </c>
      <c r="AT989" t="s">
        <v>1</v>
      </c>
      <c r="AU989" t="s">
        <v>1</v>
      </c>
      <c r="AV989" t="s">
        <v>1</v>
      </c>
      <c r="AW989" t="s">
        <v>9</v>
      </c>
      <c r="AX989">
        <f>Tabla1[[#This Row],[precio del paquete]]-Tabla1[[#This Row],[Saldo_Deudor]]</f>
        <v>2200</v>
      </c>
      <c r="AY989">
        <v>12600</v>
      </c>
      <c r="AZ989">
        <v>0</v>
      </c>
      <c r="BA989">
        <v>0</v>
      </c>
      <c r="BB989">
        <v>0</v>
      </c>
      <c r="BC989" t="s">
        <v>4883</v>
      </c>
      <c r="BD989" t="s">
        <v>4971</v>
      </c>
      <c r="BE989" t="s">
        <v>3</v>
      </c>
      <c r="BF989" t="s">
        <v>3</v>
      </c>
      <c r="BG989" t="s">
        <v>3</v>
      </c>
      <c r="BH989" t="s">
        <v>3</v>
      </c>
      <c r="BI989" t="s">
        <v>3</v>
      </c>
      <c r="BJ989" t="s">
        <v>5014</v>
      </c>
      <c r="BK989" t="s">
        <v>3</v>
      </c>
      <c r="BL989" t="s">
        <v>96</v>
      </c>
      <c r="BM989" t="s">
        <v>1</v>
      </c>
      <c r="BN989">
        <v>14800</v>
      </c>
      <c r="BO989" t="s">
        <v>1</v>
      </c>
      <c r="BP989" t="s">
        <v>1</v>
      </c>
      <c r="BQ989" t="s">
        <v>1</v>
      </c>
      <c r="BR989" t="s">
        <v>1</v>
      </c>
      <c r="BS989" t="s">
        <v>1</v>
      </c>
      <c r="BT989" t="s">
        <v>1</v>
      </c>
      <c r="BU989" t="s">
        <v>1</v>
      </c>
      <c r="BV989" t="s">
        <v>1</v>
      </c>
      <c r="BW989" t="s">
        <v>0</v>
      </c>
      <c r="BX989" t="s">
        <v>1</v>
      </c>
      <c r="BY989" t="s">
        <v>1</v>
      </c>
      <c r="BZ989" t="s">
        <v>1</v>
      </c>
      <c r="CA989" t="s">
        <v>1</v>
      </c>
      <c r="CB989" t="s">
        <v>1</v>
      </c>
      <c r="CD989" t="e" cm="1">
        <f t="array" aca="1" ref="CD989" ca="1">eConcatenar(A989:CB989,"|")</f>
        <v>#NAME?</v>
      </c>
    </row>
    <row r="990" spans="1:82" x14ac:dyDescent="0.25">
      <c r="A990" t="s">
        <v>1085</v>
      </c>
      <c r="B990" t="s">
        <v>2113</v>
      </c>
      <c r="C990">
        <v>3</v>
      </c>
      <c r="D990" t="s">
        <v>2157</v>
      </c>
      <c r="E990" t="s">
        <v>2158</v>
      </c>
      <c r="F990" t="s">
        <v>2162</v>
      </c>
      <c r="G990" t="s">
        <v>2463</v>
      </c>
      <c r="H990" t="s">
        <v>2706</v>
      </c>
      <c r="I990">
        <v>12900</v>
      </c>
      <c r="J990">
        <v>0</v>
      </c>
      <c r="K990">
        <v>100</v>
      </c>
      <c r="L990">
        <v>50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 t="s">
        <v>3812</v>
      </c>
      <c r="AC990" t="s">
        <v>3175</v>
      </c>
      <c r="AD990" t="s">
        <v>4074</v>
      </c>
      <c r="AE990" t="s">
        <v>4</v>
      </c>
      <c r="AF990" t="s">
        <v>1</v>
      </c>
      <c r="AG990" t="s">
        <v>1</v>
      </c>
      <c r="AH990" t="s">
        <v>4811</v>
      </c>
      <c r="AI990" t="s">
        <v>2463</v>
      </c>
      <c r="AJ990" t="s">
        <v>1</v>
      </c>
      <c r="AK990" t="s">
        <v>1</v>
      </c>
      <c r="AL990" t="s">
        <v>1</v>
      </c>
      <c r="AM990" t="s">
        <v>1</v>
      </c>
      <c r="AN990" t="s">
        <v>1</v>
      </c>
      <c r="AO990" t="s">
        <v>4811</v>
      </c>
      <c r="AP990" t="s">
        <v>1</v>
      </c>
      <c r="AQ990" t="s">
        <v>2</v>
      </c>
      <c r="AR990" t="s">
        <v>1</v>
      </c>
      <c r="AS990" t="s">
        <v>1</v>
      </c>
      <c r="AT990" t="s">
        <v>1</v>
      </c>
      <c r="AU990" t="s">
        <v>1</v>
      </c>
      <c r="AV990" t="s">
        <v>1</v>
      </c>
      <c r="AW990" t="s">
        <v>9</v>
      </c>
      <c r="AX990">
        <f>Tabla1[[#This Row],[precio del paquete]]-Tabla1[[#This Row],[Saldo_Deudor]]</f>
        <v>8700</v>
      </c>
      <c r="AY990">
        <v>4200</v>
      </c>
      <c r="AZ990">
        <v>0</v>
      </c>
      <c r="BA990">
        <v>0</v>
      </c>
      <c r="BB990">
        <v>0</v>
      </c>
      <c r="BC990" t="s">
        <v>4834</v>
      </c>
      <c r="BD990" t="s">
        <v>4915</v>
      </c>
      <c r="BE990" t="s">
        <v>3</v>
      </c>
      <c r="BF990" t="s">
        <v>3</v>
      </c>
      <c r="BG990" t="s">
        <v>3</v>
      </c>
      <c r="BH990" t="s">
        <v>3</v>
      </c>
      <c r="BI990" t="s">
        <v>3</v>
      </c>
      <c r="BJ990" t="s">
        <v>5016</v>
      </c>
      <c r="BK990" t="s">
        <v>3</v>
      </c>
      <c r="BL990" t="s">
        <v>96</v>
      </c>
      <c r="BM990" t="s">
        <v>1</v>
      </c>
      <c r="BN990">
        <v>12900</v>
      </c>
      <c r="BO990" t="s">
        <v>1</v>
      </c>
      <c r="BP990" t="s">
        <v>1</v>
      </c>
      <c r="BQ990" t="s">
        <v>1</v>
      </c>
      <c r="BR990" t="s">
        <v>1</v>
      </c>
      <c r="BS990" t="s">
        <v>1</v>
      </c>
      <c r="BT990" t="s">
        <v>1</v>
      </c>
      <c r="BU990" t="s">
        <v>1</v>
      </c>
      <c r="BV990" t="s">
        <v>1</v>
      </c>
      <c r="BW990" t="s">
        <v>0</v>
      </c>
      <c r="BX990" t="s">
        <v>1</v>
      </c>
      <c r="BY990" t="s">
        <v>1</v>
      </c>
      <c r="BZ990" t="s">
        <v>1</v>
      </c>
      <c r="CA990" t="s">
        <v>1</v>
      </c>
      <c r="CB990" t="s">
        <v>1</v>
      </c>
      <c r="CD990" t="e" cm="1">
        <f t="array" aca="1" ref="CD990" ca="1">eConcatenar(A990:CB990,"|")</f>
        <v>#NAME?</v>
      </c>
    </row>
    <row r="991" spans="1:82" x14ac:dyDescent="0.25">
      <c r="A991" t="s">
        <v>1086</v>
      </c>
      <c r="B991" t="s">
        <v>2114</v>
      </c>
      <c r="C991">
        <v>3</v>
      </c>
      <c r="D991" t="s">
        <v>2153</v>
      </c>
      <c r="E991" t="s">
        <v>2158</v>
      </c>
      <c r="F991" t="s">
        <v>0</v>
      </c>
      <c r="G991" t="s">
        <v>2686</v>
      </c>
      <c r="H991" t="s">
        <v>3088</v>
      </c>
      <c r="I991">
        <v>14800</v>
      </c>
      <c r="J991">
        <v>0</v>
      </c>
      <c r="K991">
        <v>100</v>
      </c>
      <c r="L991">
        <v>50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 t="s">
        <v>3453</v>
      </c>
      <c r="AC991" t="s">
        <v>3412</v>
      </c>
      <c r="AD991" t="s">
        <v>4075</v>
      </c>
      <c r="AE991" t="s">
        <v>4</v>
      </c>
      <c r="AF991" t="s">
        <v>1</v>
      </c>
      <c r="AG991" t="s">
        <v>1</v>
      </c>
      <c r="AH991" t="s">
        <v>4773</v>
      </c>
      <c r="AI991" t="s">
        <v>2686</v>
      </c>
      <c r="AJ991" t="s">
        <v>1</v>
      </c>
      <c r="AK991">
        <v>9371288710</v>
      </c>
      <c r="AL991" t="s">
        <v>1</v>
      </c>
      <c r="AM991" t="s">
        <v>1</v>
      </c>
      <c r="AN991" t="s">
        <v>1</v>
      </c>
      <c r="AO991" t="s">
        <v>4773</v>
      </c>
      <c r="AP991" t="s">
        <v>1</v>
      </c>
      <c r="AQ991" t="s">
        <v>2</v>
      </c>
      <c r="AR991" t="s">
        <v>1</v>
      </c>
      <c r="AS991" t="s">
        <v>1</v>
      </c>
      <c r="AT991" t="s">
        <v>1</v>
      </c>
      <c r="AU991" t="s">
        <v>1</v>
      </c>
      <c r="AV991" t="s">
        <v>1</v>
      </c>
      <c r="AW991" t="s">
        <v>9</v>
      </c>
      <c r="AX991">
        <f>Tabla1[[#This Row],[precio del paquete]]-Tabla1[[#This Row],[Saldo_Deudor]]</f>
        <v>0</v>
      </c>
      <c r="AY991">
        <v>14800</v>
      </c>
      <c r="AZ991">
        <v>0</v>
      </c>
      <c r="BA991">
        <v>0</v>
      </c>
      <c r="BB991">
        <v>0</v>
      </c>
      <c r="BC991" t="s">
        <v>4884</v>
      </c>
      <c r="BD991" t="s">
        <v>4972</v>
      </c>
      <c r="BE991" t="s">
        <v>3</v>
      </c>
      <c r="BF991" t="s">
        <v>3</v>
      </c>
      <c r="BG991" t="s">
        <v>3</v>
      </c>
      <c r="BH991" t="s">
        <v>3</v>
      </c>
      <c r="BI991" t="s">
        <v>3</v>
      </c>
      <c r="BJ991" t="s">
        <v>4998</v>
      </c>
      <c r="BK991" t="s">
        <v>3</v>
      </c>
      <c r="BL991" t="s">
        <v>96</v>
      </c>
      <c r="BM991" t="s">
        <v>1</v>
      </c>
      <c r="BN991">
        <v>14800</v>
      </c>
      <c r="BO991" t="s">
        <v>1</v>
      </c>
      <c r="BP991" t="s">
        <v>1</v>
      </c>
      <c r="BQ991" t="s">
        <v>1</v>
      </c>
      <c r="BR991" t="s">
        <v>1</v>
      </c>
      <c r="BS991" t="s">
        <v>1</v>
      </c>
      <c r="BT991" t="s">
        <v>1</v>
      </c>
      <c r="BU991" t="s">
        <v>1</v>
      </c>
      <c r="BV991" t="s">
        <v>1</v>
      </c>
      <c r="BW991" t="s">
        <v>0</v>
      </c>
      <c r="BX991" t="s">
        <v>1</v>
      </c>
      <c r="BY991" t="s">
        <v>1</v>
      </c>
      <c r="BZ991" t="s">
        <v>1</v>
      </c>
      <c r="CA991" t="s">
        <v>1</v>
      </c>
      <c r="CB991" t="s">
        <v>1</v>
      </c>
      <c r="CD991" t="e" cm="1">
        <f t="array" aca="1" ref="CD991" ca="1">eConcatenar(A991:CB991,"|")</f>
        <v>#NAME?</v>
      </c>
    </row>
    <row r="992" spans="1:82" x14ac:dyDescent="0.25">
      <c r="A992" t="s">
        <v>1087</v>
      </c>
      <c r="B992" t="s">
        <v>2115</v>
      </c>
      <c r="C992">
        <v>3</v>
      </c>
      <c r="D992" t="s">
        <v>2153</v>
      </c>
      <c r="E992" t="s">
        <v>2158</v>
      </c>
      <c r="F992" t="s">
        <v>0</v>
      </c>
      <c r="G992" t="s">
        <v>2687</v>
      </c>
      <c r="H992" t="s">
        <v>3091</v>
      </c>
      <c r="I992">
        <v>14800</v>
      </c>
      <c r="J992">
        <v>0</v>
      </c>
      <c r="K992">
        <v>200</v>
      </c>
      <c r="L992">
        <v>50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 t="s">
        <v>3384</v>
      </c>
      <c r="AC992" t="s">
        <v>3354</v>
      </c>
      <c r="AD992" t="s">
        <v>4076</v>
      </c>
      <c r="AE992" t="s">
        <v>4</v>
      </c>
      <c r="AF992" t="s">
        <v>1</v>
      </c>
      <c r="AG992" t="s">
        <v>1</v>
      </c>
      <c r="AH992" t="s">
        <v>4812</v>
      </c>
      <c r="AI992" t="s">
        <v>2687</v>
      </c>
      <c r="AJ992" t="s">
        <v>1</v>
      </c>
      <c r="AK992" t="s">
        <v>1</v>
      </c>
      <c r="AL992" t="s">
        <v>1</v>
      </c>
      <c r="AM992" t="s">
        <v>1</v>
      </c>
      <c r="AN992" t="s">
        <v>1</v>
      </c>
      <c r="AO992" t="s">
        <v>4812</v>
      </c>
      <c r="AP992" t="s">
        <v>1</v>
      </c>
      <c r="AQ992" t="s">
        <v>2</v>
      </c>
      <c r="AR992" t="s">
        <v>1</v>
      </c>
      <c r="AS992" t="s">
        <v>1</v>
      </c>
      <c r="AT992" t="s">
        <v>1</v>
      </c>
      <c r="AU992" t="s">
        <v>1</v>
      </c>
      <c r="AV992" t="s">
        <v>1</v>
      </c>
      <c r="AW992" t="s">
        <v>9</v>
      </c>
      <c r="AX992">
        <f>Tabla1[[#This Row],[precio del paquete]]-Tabla1[[#This Row],[Saldo_Deudor]]</f>
        <v>2900</v>
      </c>
      <c r="AY992">
        <v>11900</v>
      </c>
      <c r="AZ992">
        <v>0</v>
      </c>
      <c r="BA992">
        <v>0</v>
      </c>
      <c r="BB992">
        <v>0</v>
      </c>
      <c r="BC992" t="s">
        <v>4884</v>
      </c>
      <c r="BD992" t="s">
        <v>4972</v>
      </c>
      <c r="BE992" t="s">
        <v>3</v>
      </c>
      <c r="BF992" t="s">
        <v>3</v>
      </c>
      <c r="BG992" t="s">
        <v>3</v>
      </c>
      <c r="BH992" t="s">
        <v>3</v>
      </c>
      <c r="BI992" t="s">
        <v>3</v>
      </c>
      <c r="BJ992" t="s">
        <v>5016</v>
      </c>
      <c r="BK992" t="s">
        <v>3</v>
      </c>
      <c r="BL992" t="s">
        <v>96</v>
      </c>
      <c r="BM992" t="s">
        <v>1</v>
      </c>
      <c r="BN992">
        <v>14800</v>
      </c>
      <c r="BO992" t="s">
        <v>1</v>
      </c>
      <c r="BP992" t="s">
        <v>1</v>
      </c>
      <c r="BQ992" t="s">
        <v>1</v>
      </c>
      <c r="BR992" t="s">
        <v>1</v>
      </c>
      <c r="BS992" t="s">
        <v>1</v>
      </c>
      <c r="BT992" t="s">
        <v>1</v>
      </c>
      <c r="BU992" t="s">
        <v>1</v>
      </c>
      <c r="BV992" t="s">
        <v>1</v>
      </c>
      <c r="BW992" t="s">
        <v>0</v>
      </c>
      <c r="BX992" t="s">
        <v>1</v>
      </c>
      <c r="BY992" t="s">
        <v>1</v>
      </c>
      <c r="BZ992" t="s">
        <v>1</v>
      </c>
      <c r="CA992" t="s">
        <v>1</v>
      </c>
      <c r="CB992" t="s">
        <v>1</v>
      </c>
      <c r="CD992" t="e" cm="1">
        <f t="array" aca="1" ref="CD992" ca="1">eConcatenar(A992:CB992,"|")</f>
        <v>#NAME?</v>
      </c>
    </row>
    <row r="993" spans="1:82" x14ac:dyDescent="0.25">
      <c r="A993" t="s">
        <v>1088</v>
      </c>
      <c r="B993" t="s">
        <v>2116</v>
      </c>
      <c r="C993">
        <v>3</v>
      </c>
      <c r="D993" t="s">
        <v>2153</v>
      </c>
      <c r="E993" t="s">
        <v>2158</v>
      </c>
      <c r="F993" t="s">
        <v>0</v>
      </c>
      <c r="G993" t="s">
        <v>2687</v>
      </c>
      <c r="H993" t="s">
        <v>3091</v>
      </c>
      <c r="I993">
        <v>14800</v>
      </c>
      <c r="J993">
        <v>0</v>
      </c>
      <c r="K993">
        <v>500</v>
      </c>
      <c r="L993">
        <v>50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 t="s">
        <v>3225</v>
      </c>
      <c r="AC993" t="s">
        <v>3115</v>
      </c>
      <c r="AD993" t="s">
        <v>4077</v>
      </c>
      <c r="AE993" t="s">
        <v>4</v>
      </c>
      <c r="AF993" t="s">
        <v>1</v>
      </c>
      <c r="AG993" t="s">
        <v>1</v>
      </c>
      <c r="AH993" t="s">
        <v>4812</v>
      </c>
      <c r="AI993" t="s">
        <v>2687</v>
      </c>
      <c r="AJ993" t="s">
        <v>1</v>
      </c>
      <c r="AK993">
        <v>9931701313</v>
      </c>
      <c r="AL993" t="s">
        <v>1</v>
      </c>
      <c r="AM993" t="s">
        <v>1</v>
      </c>
      <c r="AN993" t="s">
        <v>1</v>
      </c>
      <c r="AO993" t="s">
        <v>4812</v>
      </c>
      <c r="AP993" t="s">
        <v>1</v>
      </c>
      <c r="AQ993" t="s">
        <v>2</v>
      </c>
      <c r="AR993" t="s">
        <v>1</v>
      </c>
      <c r="AS993" t="s">
        <v>1</v>
      </c>
      <c r="AT993" t="s">
        <v>1</v>
      </c>
      <c r="AU993" t="s">
        <v>1</v>
      </c>
      <c r="AV993" t="s">
        <v>1</v>
      </c>
      <c r="AW993" t="s">
        <v>9</v>
      </c>
      <c r="AX993">
        <f>Tabla1[[#This Row],[precio del paquete]]-Tabla1[[#This Row],[Saldo_Deudor]]</f>
        <v>3250</v>
      </c>
      <c r="AY993">
        <v>11550</v>
      </c>
      <c r="AZ993">
        <v>0</v>
      </c>
      <c r="BA993">
        <v>0</v>
      </c>
      <c r="BB993">
        <v>0</v>
      </c>
      <c r="BC993" t="s">
        <v>4884</v>
      </c>
      <c r="BD993" t="s">
        <v>4972</v>
      </c>
      <c r="BE993" t="s">
        <v>3</v>
      </c>
      <c r="BF993" t="s">
        <v>3</v>
      </c>
      <c r="BG993" t="s">
        <v>3</v>
      </c>
      <c r="BH993" t="s">
        <v>3</v>
      </c>
      <c r="BI993" t="s">
        <v>3</v>
      </c>
      <c r="BJ993" t="s">
        <v>5016</v>
      </c>
      <c r="BK993" t="s">
        <v>3</v>
      </c>
      <c r="BL993" t="s">
        <v>96</v>
      </c>
      <c r="BM993" t="s">
        <v>1</v>
      </c>
      <c r="BN993">
        <v>14800</v>
      </c>
      <c r="BO993" t="s">
        <v>1</v>
      </c>
      <c r="BP993" t="s">
        <v>1</v>
      </c>
      <c r="BQ993" t="s">
        <v>1</v>
      </c>
      <c r="BR993" t="s">
        <v>1</v>
      </c>
      <c r="BS993" t="s">
        <v>1</v>
      </c>
      <c r="BT993" t="s">
        <v>1</v>
      </c>
      <c r="BU993" t="s">
        <v>1</v>
      </c>
      <c r="BV993" t="s">
        <v>1</v>
      </c>
      <c r="BW993" t="s">
        <v>0</v>
      </c>
      <c r="BX993" t="s">
        <v>1</v>
      </c>
      <c r="BY993" t="s">
        <v>1</v>
      </c>
      <c r="BZ993" t="s">
        <v>1</v>
      </c>
      <c r="CA993" t="s">
        <v>1</v>
      </c>
      <c r="CB993" t="s">
        <v>1</v>
      </c>
      <c r="CD993" t="e" cm="1">
        <f t="array" aca="1" ref="CD993" ca="1">eConcatenar(A993:CB993,"|")</f>
        <v>#NAME?</v>
      </c>
    </row>
    <row r="994" spans="1:82" x14ac:dyDescent="0.25">
      <c r="A994" t="s">
        <v>1089</v>
      </c>
      <c r="B994" t="s">
        <v>2117</v>
      </c>
      <c r="C994">
        <v>3</v>
      </c>
      <c r="D994" t="s">
        <v>2153</v>
      </c>
      <c r="E994" t="s">
        <v>2158</v>
      </c>
      <c r="F994" t="s">
        <v>0</v>
      </c>
      <c r="G994" t="s">
        <v>2688</v>
      </c>
      <c r="H994" t="s">
        <v>3096</v>
      </c>
      <c r="I994">
        <v>14800</v>
      </c>
      <c r="J994">
        <v>0</v>
      </c>
      <c r="K994">
        <v>400</v>
      </c>
      <c r="L994">
        <v>50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 t="s">
        <v>3518</v>
      </c>
      <c r="AC994" t="s">
        <v>3132</v>
      </c>
      <c r="AD994" t="s">
        <v>3457</v>
      </c>
      <c r="AE994" t="s">
        <v>4</v>
      </c>
      <c r="AF994" t="s">
        <v>1</v>
      </c>
      <c r="AG994" t="s">
        <v>1</v>
      </c>
      <c r="AH994" t="s">
        <v>4813</v>
      </c>
      <c r="AI994" t="s">
        <v>2688</v>
      </c>
      <c r="AJ994" t="s">
        <v>1</v>
      </c>
      <c r="AK994">
        <v>9371057998</v>
      </c>
      <c r="AL994" t="s">
        <v>1</v>
      </c>
      <c r="AM994" t="s">
        <v>1</v>
      </c>
      <c r="AN994" t="s">
        <v>1</v>
      </c>
      <c r="AO994" t="s">
        <v>4813</v>
      </c>
      <c r="AP994" t="s">
        <v>1</v>
      </c>
      <c r="AQ994" t="s">
        <v>2</v>
      </c>
      <c r="AR994" t="s">
        <v>1</v>
      </c>
      <c r="AS994" t="s">
        <v>1</v>
      </c>
      <c r="AT994" t="s">
        <v>1</v>
      </c>
      <c r="AU994" t="s">
        <v>1</v>
      </c>
      <c r="AV994" t="s">
        <v>1</v>
      </c>
      <c r="AW994" t="s">
        <v>9</v>
      </c>
      <c r="AX994">
        <f>Tabla1[[#This Row],[precio del paquete]]-Tabla1[[#This Row],[Saldo_Deudor]]</f>
        <v>4900</v>
      </c>
      <c r="AY994">
        <v>9900</v>
      </c>
      <c r="AZ994">
        <v>0</v>
      </c>
      <c r="BA994">
        <v>0</v>
      </c>
      <c r="BB994">
        <v>0</v>
      </c>
      <c r="BC994" t="s">
        <v>4883</v>
      </c>
      <c r="BD994" t="s">
        <v>4971</v>
      </c>
      <c r="BE994" t="s">
        <v>3</v>
      </c>
      <c r="BF994" t="s">
        <v>3</v>
      </c>
      <c r="BG994" t="s">
        <v>3</v>
      </c>
      <c r="BH994" t="s">
        <v>3</v>
      </c>
      <c r="BI994" t="s">
        <v>3</v>
      </c>
      <c r="BJ994" t="s">
        <v>5016</v>
      </c>
      <c r="BK994" t="s">
        <v>3</v>
      </c>
      <c r="BL994" t="s">
        <v>96</v>
      </c>
      <c r="BM994" t="s">
        <v>1</v>
      </c>
      <c r="BN994">
        <v>14800</v>
      </c>
      <c r="BO994" t="s">
        <v>1</v>
      </c>
      <c r="BP994" t="s">
        <v>1</v>
      </c>
      <c r="BQ994" t="s">
        <v>1</v>
      </c>
      <c r="BR994" t="s">
        <v>1</v>
      </c>
      <c r="BS994" t="s">
        <v>1</v>
      </c>
      <c r="BT994" t="s">
        <v>1</v>
      </c>
      <c r="BU994" t="s">
        <v>1</v>
      </c>
      <c r="BV994" t="s">
        <v>1</v>
      </c>
      <c r="BW994" t="s">
        <v>0</v>
      </c>
      <c r="BX994" t="s">
        <v>1</v>
      </c>
      <c r="BY994" t="s">
        <v>1</v>
      </c>
      <c r="BZ994" t="s">
        <v>1</v>
      </c>
      <c r="CA994" t="s">
        <v>1</v>
      </c>
      <c r="CB994" t="s">
        <v>1</v>
      </c>
      <c r="CD994" t="e" cm="1">
        <f t="array" aca="1" ref="CD994" ca="1">eConcatenar(A994:CB994,"|")</f>
        <v>#NAME?</v>
      </c>
    </row>
    <row r="995" spans="1:82" x14ac:dyDescent="0.25">
      <c r="A995" t="s">
        <v>1090</v>
      </c>
      <c r="B995" t="s">
        <v>2118</v>
      </c>
      <c r="C995">
        <v>3</v>
      </c>
      <c r="D995" t="s">
        <v>2153</v>
      </c>
      <c r="E995" t="s">
        <v>2158</v>
      </c>
      <c r="F995" t="s">
        <v>2161</v>
      </c>
      <c r="G995" t="s">
        <v>2689</v>
      </c>
      <c r="H995" t="s">
        <v>3076</v>
      </c>
      <c r="I995">
        <v>14800</v>
      </c>
      <c r="J995">
        <v>0</v>
      </c>
      <c r="K995">
        <v>100</v>
      </c>
      <c r="L995">
        <v>50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 t="s">
        <v>3656</v>
      </c>
      <c r="AC995" t="s">
        <v>3129</v>
      </c>
      <c r="AD995" t="s">
        <v>4078</v>
      </c>
      <c r="AE995" t="s">
        <v>4</v>
      </c>
      <c r="AF995" t="s">
        <v>1</v>
      </c>
      <c r="AG995" t="s">
        <v>1</v>
      </c>
      <c r="AH995" t="s">
        <v>4814</v>
      </c>
      <c r="AI995" t="s">
        <v>2689</v>
      </c>
      <c r="AJ995" t="s">
        <v>1</v>
      </c>
      <c r="AK995" t="s">
        <v>1</v>
      </c>
      <c r="AL995" t="s">
        <v>1</v>
      </c>
      <c r="AM995" t="s">
        <v>1</v>
      </c>
      <c r="AN995" t="s">
        <v>1</v>
      </c>
      <c r="AO995" t="s">
        <v>4814</v>
      </c>
      <c r="AP995" t="s">
        <v>1</v>
      </c>
      <c r="AQ995" t="s">
        <v>2</v>
      </c>
      <c r="AR995" t="s">
        <v>1</v>
      </c>
      <c r="AS995" t="s">
        <v>1</v>
      </c>
      <c r="AT995" t="s">
        <v>1</v>
      </c>
      <c r="AU995" t="s">
        <v>1</v>
      </c>
      <c r="AV995" t="s">
        <v>1</v>
      </c>
      <c r="AW995" t="s">
        <v>9</v>
      </c>
      <c r="AX995">
        <f>Tabla1[[#This Row],[precio del paquete]]-Tabla1[[#This Row],[Saldo_Deudor]]</f>
        <v>3600</v>
      </c>
      <c r="AY995">
        <v>11200</v>
      </c>
      <c r="AZ995">
        <v>0</v>
      </c>
      <c r="BA995">
        <v>0</v>
      </c>
      <c r="BB995">
        <v>0</v>
      </c>
      <c r="BC995" t="s">
        <v>4892</v>
      </c>
      <c r="BD995" t="s">
        <v>4980</v>
      </c>
      <c r="BE995" t="s">
        <v>3</v>
      </c>
      <c r="BF995" t="s">
        <v>3</v>
      </c>
      <c r="BG995" t="s">
        <v>3</v>
      </c>
      <c r="BH995" t="s">
        <v>3</v>
      </c>
      <c r="BI995" t="s">
        <v>3</v>
      </c>
      <c r="BJ995" t="s">
        <v>5016</v>
      </c>
      <c r="BK995" t="s">
        <v>3</v>
      </c>
      <c r="BL995" t="s">
        <v>96</v>
      </c>
      <c r="BM995" t="s">
        <v>1</v>
      </c>
      <c r="BN995">
        <v>14800</v>
      </c>
      <c r="BO995" t="s">
        <v>1</v>
      </c>
      <c r="BP995" t="s">
        <v>1</v>
      </c>
      <c r="BQ995" t="s">
        <v>1</v>
      </c>
      <c r="BR995" t="s">
        <v>1</v>
      </c>
      <c r="BS995" t="s">
        <v>1</v>
      </c>
      <c r="BT995" t="s">
        <v>1</v>
      </c>
      <c r="BU995" t="s">
        <v>1</v>
      </c>
      <c r="BV995" t="s">
        <v>1</v>
      </c>
      <c r="BW995" t="s">
        <v>0</v>
      </c>
      <c r="BX995" t="s">
        <v>1</v>
      </c>
      <c r="BY995" t="s">
        <v>1</v>
      </c>
      <c r="BZ995" t="s">
        <v>1</v>
      </c>
      <c r="CA995" t="s">
        <v>1</v>
      </c>
      <c r="CB995" t="s">
        <v>1</v>
      </c>
      <c r="CD995" t="e" cm="1">
        <f t="array" aca="1" ref="CD995" ca="1">eConcatenar(A995:CB995,"|")</f>
        <v>#NAME?</v>
      </c>
    </row>
    <row r="996" spans="1:82" x14ac:dyDescent="0.25">
      <c r="A996" t="s">
        <v>1091</v>
      </c>
      <c r="B996" t="s">
        <v>2119</v>
      </c>
      <c r="C996">
        <v>3</v>
      </c>
      <c r="D996" t="s">
        <v>2153</v>
      </c>
      <c r="E996" t="s">
        <v>2158</v>
      </c>
      <c r="F996" t="s">
        <v>2161</v>
      </c>
      <c r="G996" t="s">
        <v>2686</v>
      </c>
      <c r="H996" t="s">
        <v>3100</v>
      </c>
      <c r="I996">
        <v>14800</v>
      </c>
      <c r="J996">
        <v>0</v>
      </c>
      <c r="K996">
        <v>200</v>
      </c>
      <c r="L996">
        <v>50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 t="s">
        <v>3412</v>
      </c>
      <c r="AC996" t="s">
        <v>3155</v>
      </c>
      <c r="AD996" t="s">
        <v>3361</v>
      </c>
      <c r="AE996" t="s">
        <v>4</v>
      </c>
      <c r="AF996" t="s">
        <v>1</v>
      </c>
      <c r="AG996" t="s">
        <v>1</v>
      </c>
      <c r="AH996" t="s">
        <v>4099</v>
      </c>
      <c r="AI996" t="s">
        <v>2686</v>
      </c>
      <c r="AJ996" t="s">
        <v>1</v>
      </c>
      <c r="AK996">
        <v>6868577452</v>
      </c>
      <c r="AL996" t="s">
        <v>1</v>
      </c>
      <c r="AM996" t="s">
        <v>1</v>
      </c>
      <c r="AN996" t="s">
        <v>1</v>
      </c>
      <c r="AO996" t="s">
        <v>4099</v>
      </c>
      <c r="AP996" t="s">
        <v>1</v>
      </c>
      <c r="AQ996" t="s">
        <v>2</v>
      </c>
      <c r="AR996" t="s">
        <v>1</v>
      </c>
      <c r="AS996" t="s">
        <v>1</v>
      </c>
      <c r="AT996" t="s">
        <v>1</v>
      </c>
      <c r="AU996" t="s">
        <v>1</v>
      </c>
      <c r="AV996" t="s">
        <v>1</v>
      </c>
      <c r="AW996" t="s">
        <v>9</v>
      </c>
      <c r="AX996">
        <f>Tabla1[[#This Row],[precio del paquete]]-Tabla1[[#This Row],[Saldo_Deudor]]</f>
        <v>3500</v>
      </c>
      <c r="AY996">
        <v>11300</v>
      </c>
      <c r="AZ996">
        <v>0</v>
      </c>
      <c r="BA996">
        <v>0</v>
      </c>
      <c r="BB996">
        <v>0</v>
      </c>
      <c r="BC996" t="s">
        <v>4883</v>
      </c>
      <c r="BD996" t="s">
        <v>4971</v>
      </c>
      <c r="BE996" t="s">
        <v>3</v>
      </c>
      <c r="BF996" t="s">
        <v>3</v>
      </c>
      <c r="BG996" t="s">
        <v>3</v>
      </c>
      <c r="BH996" t="s">
        <v>3</v>
      </c>
      <c r="BI996" t="s">
        <v>3</v>
      </c>
      <c r="BJ996" t="s">
        <v>5016</v>
      </c>
      <c r="BK996" t="s">
        <v>3</v>
      </c>
      <c r="BL996" t="s">
        <v>96</v>
      </c>
      <c r="BM996" t="s">
        <v>1</v>
      </c>
      <c r="BN996">
        <v>14800</v>
      </c>
      <c r="BO996" t="s">
        <v>1</v>
      </c>
      <c r="BP996" t="s">
        <v>1</v>
      </c>
      <c r="BQ996" t="s">
        <v>1</v>
      </c>
      <c r="BR996" t="s">
        <v>1</v>
      </c>
      <c r="BS996" t="s">
        <v>1</v>
      </c>
      <c r="BT996" t="s">
        <v>1</v>
      </c>
      <c r="BU996" t="s">
        <v>1</v>
      </c>
      <c r="BV996" t="s">
        <v>1</v>
      </c>
      <c r="BW996" t="s">
        <v>0</v>
      </c>
      <c r="BX996" t="s">
        <v>1</v>
      </c>
      <c r="BY996" t="s">
        <v>1</v>
      </c>
      <c r="BZ996" t="s">
        <v>1</v>
      </c>
      <c r="CA996" t="s">
        <v>1</v>
      </c>
      <c r="CB996" t="s">
        <v>1</v>
      </c>
      <c r="CD996" t="e" cm="1">
        <f t="array" aca="1" ref="CD996" ca="1">eConcatenar(A996:CB996,"|")</f>
        <v>#NAME?</v>
      </c>
    </row>
    <row r="997" spans="1:82" x14ac:dyDescent="0.25">
      <c r="A997" t="s">
        <v>1092</v>
      </c>
      <c r="B997" t="s">
        <v>2120</v>
      </c>
      <c r="C997">
        <v>3</v>
      </c>
      <c r="D997" t="s">
        <v>2153</v>
      </c>
      <c r="E997" t="s">
        <v>2158</v>
      </c>
      <c r="F997" t="s">
        <v>0</v>
      </c>
      <c r="G997" t="s">
        <v>2686</v>
      </c>
      <c r="H997" t="s">
        <v>3094</v>
      </c>
      <c r="I997">
        <v>14800</v>
      </c>
      <c r="J997">
        <v>0</v>
      </c>
      <c r="K997">
        <v>100</v>
      </c>
      <c r="L997">
        <v>50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 t="s">
        <v>3236</v>
      </c>
      <c r="AC997" t="s">
        <v>3161</v>
      </c>
      <c r="AD997" t="s">
        <v>4079</v>
      </c>
      <c r="AE997" t="s">
        <v>4</v>
      </c>
      <c r="AF997" t="s">
        <v>1</v>
      </c>
      <c r="AG997" t="s">
        <v>1</v>
      </c>
      <c r="AH997" t="s">
        <v>4815</v>
      </c>
      <c r="AI997" t="s">
        <v>2686</v>
      </c>
      <c r="AJ997" t="s">
        <v>1</v>
      </c>
      <c r="AK997">
        <v>9141377797</v>
      </c>
      <c r="AL997" t="s">
        <v>1</v>
      </c>
      <c r="AM997" t="s">
        <v>1</v>
      </c>
      <c r="AN997" t="s">
        <v>1</v>
      </c>
      <c r="AO997" t="s">
        <v>4815</v>
      </c>
      <c r="AP997" t="s">
        <v>1</v>
      </c>
      <c r="AQ997" t="s">
        <v>2</v>
      </c>
      <c r="AR997" t="s">
        <v>1</v>
      </c>
      <c r="AS997" t="s">
        <v>1</v>
      </c>
      <c r="AT997" t="s">
        <v>1</v>
      </c>
      <c r="AU997" t="s">
        <v>1</v>
      </c>
      <c r="AV997" t="s">
        <v>1</v>
      </c>
      <c r="AW997" t="s">
        <v>9</v>
      </c>
      <c r="AX997">
        <f>Tabla1[[#This Row],[precio del paquete]]-Tabla1[[#This Row],[Saldo_Deudor]]</f>
        <v>3150</v>
      </c>
      <c r="AY997">
        <v>11650</v>
      </c>
      <c r="AZ997">
        <v>0</v>
      </c>
      <c r="BA997">
        <v>0</v>
      </c>
      <c r="BB997">
        <v>0</v>
      </c>
      <c r="BC997" t="s">
        <v>4884</v>
      </c>
      <c r="BD997" t="s">
        <v>4972</v>
      </c>
      <c r="BE997" t="s">
        <v>3</v>
      </c>
      <c r="BF997" t="s">
        <v>3</v>
      </c>
      <c r="BG997" t="s">
        <v>3</v>
      </c>
      <c r="BH997" t="s">
        <v>3</v>
      </c>
      <c r="BI997" t="s">
        <v>3</v>
      </c>
      <c r="BJ997" t="s">
        <v>5016</v>
      </c>
      <c r="BK997" t="s">
        <v>3</v>
      </c>
      <c r="BL997" t="s">
        <v>96</v>
      </c>
      <c r="BM997" t="s">
        <v>1</v>
      </c>
      <c r="BN997">
        <v>14800</v>
      </c>
      <c r="BO997" t="s">
        <v>1</v>
      </c>
      <c r="BP997" t="s">
        <v>1</v>
      </c>
      <c r="BQ997" t="s">
        <v>1</v>
      </c>
      <c r="BR997" t="s">
        <v>1</v>
      </c>
      <c r="BS997" t="s">
        <v>1</v>
      </c>
      <c r="BT997" t="s">
        <v>1</v>
      </c>
      <c r="BU997" t="s">
        <v>1</v>
      </c>
      <c r="BV997" t="s">
        <v>1</v>
      </c>
      <c r="BW997" t="s">
        <v>0</v>
      </c>
      <c r="BX997" t="s">
        <v>1</v>
      </c>
      <c r="BY997" t="s">
        <v>1</v>
      </c>
      <c r="BZ997" t="s">
        <v>1</v>
      </c>
      <c r="CA997" t="s">
        <v>1</v>
      </c>
      <c r="CB997" t="s">
        <v>1</v>
      </c>
      <c r="CD997" t="e" cm="1">
        <f t="array" aca="1" ref="CD997" ca="1">eConcatenar(A997:CB997,"|")</f>
        <v>#NAME?</v>
      </c>
    </row>
    <row r="998" spans="1:82" x14ac:dyDescent="0.25">
      <c r="A998" t="s">
        <v>1093</v>
      </c>
      <c r="B998" t="s">
        <v>2121</v>
      </c>
      <c r="C998">
        <v>3</v>
      </c>
      <c r="D998" t="s">
        <v>2153</v>
      </c>
      <c r="E998" t="s">
        <v>2158</v>
      </c>
      <c r="F998" t="s">
        <v>0</v>
      </c>
      <c r="G998" t="s">
        <v>2686</v>
      </c>
      <c r="H998" t="s">
        <v>3088</v>
      </c>
      <c r="I998">
        <v>14800</v>
      </c>
      <c r="J998">
        <v>0</v>
      </c>
      <c r="K998">
        <v>100</v>
      </c>
      <c r="L998">
        <v>50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 t="s">
        <v>3453</v>
      </c>
      <c r="AC998" t="s">
        <v>3629</v>
      </c>
      <c r="AD998" t="s">
        <v>3428</v>
      </c>
      <c r="AE998" t="s">
        <v>4</v>
      </c>
      <c r="AF998" t="s">
        <v>1</v>
      </c>
      <c r="AG998" t="s">
        <v>1</v>
      </c>
      <c r="AH998" t="s">
        <v>4816</v>
      </c>
      <c r="AI998" t="s">
        <v>2686</v>
      </c>
      <c r="AJ998" t="s">
        <v>1</v>
      </c>
      <c r="AK998">
        <v>9371024795</v>
      </c>
      <c r="AL998" t="s">
        <v>1</v>
      </c>
      <c r="AM998" t="s">
        <v>1</v>
      </c>
      <c r="AN998" t="s">
        <v>1</v>
      </c>
      <c r="AO998" t="s">
        <v>4816</v>
      </c>
      <c r="AP998" t="s">
        <v>1</v>
      </c>
      <c r="AQ998" t="s">
        <v>2</v>
      </c>
      <c r="AR998" t="s">
        <v>1</v>
      </c>
      <c r="AS998" t="s">
        <v>1</v>
      </c>
      <c r="AT998" t="s">
        <v>1</v>
      </c>
      <c r="AU998" t="s">
        <v>1</v>
      </c>
      <c r="AV998" t="s">
        <v>1</v>
      </c>
      <c r="AW998" t="s">
        <v>9</v>
      </c>
      <c r="AX998">
        <f>Tabla1[[#This Row],[precio del paquete]]-Tabla1[[#This Row],[Saldo_Deudor]]</f>
        <v>3150</v>
      </c>
      <c r="AY998">
        <v>11650</v>
      </c>
      <c r="AZ998">
        <v>0</v>
      </c>
      <c r="BA998">
        <v>0</v>
      </c>
      <c r="BB998">
        <v>0</v>
      </c>
      <c r="BC998" t="s">
        <v>3088</v>
      </c>
      <c r="BD998" t="s">
        <v>3073</v>
      </c>
      <c r="BE998" t="s">
        <v>3</v>
      </c>
      <c r="BF998" t="s">
        <v>3</v>
      </c>
      <c r="BG998" t="s">
        <v>3</v>
      </c>
      <c r="BH998" t="s">
        <v>3</v>
      </c>
      <c r="BI998" t="s">
        <v>3</v>
      </c>
      <c r="BJ998" t="s">
        <v>5016</v>
      </c>
      <c r="BK998" t="s">
        <v>3</v>
      </c>
      <c r="BL998" t="s">
        <v>96</v>
      </c>
      <c r="BM998" t="s">
        <v>1</v>
      </c>
      <c r="BN998">
        <v>14800</v>
      </c>
      <c r="BO998" t="s">
        <v>1</v>
      </c>
      <c r="BP998" t="s">
        <v>1</v>
      </c>
      <c r="BQ998" t="s">
        <v>1</v>
      </c>
      <c r="BR998" t="s">
        <v>1</v>
      </c>
      <c r="BS998" t="s">
        <v>1</v>
      </c>
      <c r="BT998" t="s">
        <v>1</v>
      </c>
      <c r="BU998" t="s">
        <v>1</v>
      </c>
      <c r="BV998" t="s">
        <v>1</v>
      </c>
      <c r="BW998" t="s">
        <v>0</v>
      </c>
      <c r="BX998" t="s">
        <v>1</v>
      </c>
      <c r="BY998" t="s">
        <v>1</v>
      </c>
      <c r="BZ998" t="s">
        <v>1</v>
      </c>
      <c r="CA998" t="s">
        <v>1</v>
      </c>
      <c r="CB998" t="s">
        <v>1</v>
      </c>
      <c r="CD998" t="e" cm="1">
        <f t="array" aca="1" ref="CD998" ca="1">eConcatenar(A998:CB998,"|")</f>
        <v>#NAME?</v>
      </c>
    </row>
    <row r="999" spans="1:82" x14ac:dyDescent="0.25">
      <c r="A999" t="s">
        <v>1094</v>
      </c>
      <c r="B999" t="s">
        <v>2122</v>
      </c>
      <c r="C999">
        <v>3</v>
      </c>
      <c r="D999" t="s">
        <v>2153</v>
      </c>
      <c r="E999" t="s">
        <v>2158</v>
      </c>
      <c r="F999" t="s">
        <v>0</v>
      </c>
      <c r="G999" t="s">
        <v>2686</v>
      </c>
      <c r="H999" t="s">
        <v>3088</v>
      </c>
      <c r="I999">
        <v>14800</v>
      </c>
      <c r="J999">
        <v>0</v>
      </c>
      <c r="K999">
        <v>100</v>
      </c>
      <c r="L999">
        <v>50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 t="s">
        <v>3114</v>
      </c>
      <c r="AC999" t="s">
        <v>3177</v>
      </c>
      <c r="AD999" t="s">
        <v>4080</v>
      </c>
      <c r="AE999" t="s">
        <v>4</v>
      </c>
      <c r="AF999" t="s">
        <v>1</v>
      </c>
      <c r="AG999" t="s">
        <v>1</v>
      </c>
      <c r="AH999" t="s">
        <v>4817</v>
      </c>
      <c r="AI999" t="s">
        <v>2686</v>
      </c>
      <c r="AJ999" t="s">
        <v>1</v>
      </c>
      <c r="AK999">
        <v>6631163688</v>
      </c>
      <c r="AL999" t="s">
        <v>1</v>
      </c>
      <c r="AM999" t="s">
        <v>1</v>
      </c>
      <c r="AN999" t="s">
        <v>1</v>
      </c>
      <c r="AO999" t="s">
        <v>4817</v>
      </c>
      <c r="AP999" t="s">
        <v>1</v>
      </c>
      <c r="AQ999" t="s">
        <v>2</v>
      </c>
      <c r="AR999" t="s">
        <v>1</v>
      </c>
      <c r="AS999" t="s">
        <v>1</v>
      </c>
      <c r="AT999" t="s">
        <v>1</v>
      </c>
      <c r="AU999" t="s">
        <v>1</v>
      </c>
      <c r="AV999" t="s">
        <v>1</v>
      </c>
      <c r="AW999" t="s">
        <v>9</v>
      </c>
      <c r="AX999">
        <f>Tabla1[[#This Row],[precio del paquete]]-Tabla1[[#This Row],[Saldo_Deudor]]</f>
        <v>3300</v>
      </c>
      <c r="AY999">
        <v>11500</v>
      </c>
      <c r="AZ999">
        <v>0</v>
      </c>
      <c r="BA999">
        <v>0</v>
      </c>
      <c r="BB999">
        <v>0</v>
      </c>
      <c r="BC999" t="s">
        <v>4884</v>
      </c>
      <c r="BD999" t="s">
        <v>4972</v>
      </c>
      <c r="BE999" t="s">
        <v>3</v>
      </c>
      <c r="BF999" t="s">
        <v>3</v>
      </c>
      <c r="BG999" t="s">
        <v>3</v>
      </c>
      <c r="BH999" t="s">
        <v>3</v>
      </c>
      <c r="BI999" t="s">
        <v>3</v>
      </c>
      <c r="BJ999" t="s">
        <v>5016</v>
      </c>
      <c r="BK999" t="s">
        <v>3</v>
      </c>
      <c r="BL999" t="s">
        <v>96</v>
      </c>
      <c r="BM999" t="s">
        <v>1</v>
      </c>
      <c r="BN999">
        <v>14800</v>
      </c>
      <c r="BO999" t="s">
        <v>1</v>
      </c>
      <c r="BP999" t="s">
        <v>1</v>
      </c>
      <c r="BQ999" t="s">
        <v>1</v>
      </c>
      <c r="BR999" t="s">
        <v>1</v>
      </c>
      <c r="BS999" t="s">
        <v>1</v>
      </c>
      <c r="BT999" t="s">
        <v>1</v>
      </c>
      <c r="BU999" t="s">
        <v>1</v>
      </c>
      <c r="BV999" t="s">
        <v>1</v>
      </c>
      <c r="BW999" t="s">
        <v>0</v>
      </c>
      <c r="BX999" t="s">
        <v>1</v>
      </c>
      <c r="BY999" t="s">
        <v>1</v>
      </c>
      <c r="BZ999" t="s">
        <v>1</v>
      </c>
      <c r="CA999" t="s">
        <v>1</v>
      </c>
      <c r="CB999" t="s">
        <v>1</v>
      </c>
      <c r="CD999" t="e" cm="1">
        <f t="array" aca="1" ref="CD999" ca="1">eConcatenar(A999:CB999,"|")</f>
        <v>#NAME?</v>
      </c>
    </row>
    <row r="1000" spans="1:82" x14ac:dyDescent="0.25">
      <c r="A1000" t="s">
        <v>1095</v>
      </c>
      <c r="B1000" t="s">
        <v>2123</v>
      </c>
      <c r="C1000">
        <v>3</v>
      </c>
      <c r="D1000" t="s">
        <v>2153</v>
      </c>
      <c r="E1000" t="s">
        <v>2158</v>
      </c>
      <c r="F1000" t="s">
        <v>0</v>
      </c>
      <c r="G1000" t="s">
        <v>2247</v>
      </c>
      <c r="H1000" t="s">
        <v>3101</v>
      </c>
      <c r="I1000">
        <v>14800</v>
      </c>
      <c r="J1000">
        <v>0</v>
      </c>
      <c r="K1000">
        <v>100</v>
      </c>
      <c r="L1000">
        <v>50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 t="s">
        <v>3420</v>
      </c>
      <c r="AC1000" t="s">
        <v>3114</v>
      </c>
      <c r="AD1000" t="s">
        <v>3257</v>
      </c>
      <c r="AE1000" t="s">
        <v>4</v>
      </c>
      <c r="AF1000" t="s">
        <v>1</v>
      </c>
      <c r="AG1000" t="s">
        <v>1</v>
      </c>
      <c r="AH1000" t="s">
        <v>4818</v>
      </c>
      <c r="AI1000" t="s">
        <v>2247</v>
      </c>
      <c r="AJ1000" t="s">
        <v>1</v>
      </c>
      <c r="AK1000">
        <v>5587502174</v>
      </c>
      <c r="AL1000" t="s">
        <v>1</v>
      </c>
      <c r="AM1000" t="s">
        <v>1</v>
      </c>
      <c r="AN1000" t="s">
        <v>1</v>
      </c>
      <c r="AO1000" t="s">
        <v>4818</v>
      </c>
      <c r="AP1000" t="s">
        <v>1</v>
      </c>
      <c r="AQ1000" t="s">
        <v>2</v>
      </c>
      <c r="AR1000" t="s">
        <v>1</v>
      </c>
      <c r="AS1000" t="s">
        <v>1</v>
      </c>
      <c r="AT1000" t="s">
        <v>1</v>
      </c>
      <c r="AU1000" t="s">
        <v>1</v>
      </c>
      <c r="AV1000" t="s">
        <v>1</v>
      </c>
      <c r="AW1000" t="s">
        <v>9</v>
      </c>
      <c r="AX1000">
        <f>Tabla1[[#This Row],[precio del paquete]]-Tabla1[[#This Row],[Saldo_Deudor]]</f>
        <v>2700</v>
      </c>
      <c r="AY1000">
        <v>12100</v>
      </c>
      <c r="AZ1000">
        <v>0</v>
      </c>
      <c r="BA1000">
        <v>0</v>
      </c>
      <c r="BB1000">
        <v>0</v>
      </c>
      <c r="BC1000" t="s">
        <v>4883</v>
      </c>
      <c r="BD1000" t="s">
        <v>4971</v>
      </c>
      <c r="BE1000" t="s">
        <v>3</v>
      </c>
      <c r="BF1000" t="s">
        <v>3</v>
      </c>
      <c r="BG1000" t="s">
        <v>3</v>
      </c>
      <c r="BH1000" t="s">
        <v>3</v>
      </c>
      <c r="BI1000" t="s">
        <v>3</v>
      </c>
      <c r="BJ1000" t="s">
        <v>5016</v>
      </c>
      <c r="BK1000" t="s">
        <v>3</v>
      </c>
      <c r="BL1000" t="s">
        <v>96</v>
      </c>
      <c r="BM1000" t="s">
        <v>1</v>
      </c>
      <c r="BN1000">
        <v>14800</v>
      </c>
      <c r="BO1000" t="s">
        <v>1</v>
      </c>
      <c r="BP1000" t="s">
        <v>1</v>
      </c>
      <c r="BQ1000" t="s">
        <v>1</v>
      </c>
      <c r="BR1000" t="s">
        <v>1</v>
      </c>
      <c r="BS1000" t="s">
        <v>1</v>
      </c>
      <c r="BT1000" t="s">
        <v>1</v>
      </c>
      <c r="BU1000" t="s">
        <v>1</v>
      </c>
      <c r="BV1000" t="s">
        <v>1</v>
      </c>
      <c r="BW1000" t="s">
        <v>0</v>
      </c>
      <c r="BX1000" t="s">
        <v>1</v>
      </c>
      <c r="BY1000" t="s">
        <v>1</v>
      </c>
      <c r="BZ1000" t="s">
        <v>1</v>
      </c>
      <c r="CA1000" t="s">
        <v>1</v>
      </c>
      <c r="CB1000" t="s">
        <v>1</v>
      </c>
      <c r="CD1000" t="e" cm="1">
        <f t="array" aca="1" ref="CD1000" ca="1">eConcatenar(A1000:CB1000,"|")</f>
        <v>#NAME?</v>
      </c>
    </row>
    <row r="1001" spans="1:82" x14ac:dyDescent="0.25">
      <c r="A1001" t="s">
        <v>1096</v>
      </c>
      <c r="B1001" t="s">
        <v>2124</v>
      </c>
      <c r="C1001">
        <v>3</v>
      </c>
      <c r="D1001" t="s">
        <v>2153</v>
      </c>
      <c r="E1001" t="s">
        <v>2158</v>
      </c>
      <c r="F1001" t="s">
        <v>0</v>
      </c>
      <c r="G1001" t="s">
        <v>2690</v>
      </c>
      <c r="H1001" t="s">
        <v>3091</v>
      </c>
      <c r="I1001">
        <v>14800</v>
      </c>
      <c r="J1001">
        <v>0</v>
      </c>
      <c r="K1001">
        <v>100</v>
      </c>
      <c r="L1001">
        <v>50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 t="s">
        <v>3290</v>
      </c>
      <c r="AC1001" t="s">
        <v>5</v>
      </c>
      <c r="AD1001" t="s">
        <v>3220</v>
      </c>
      <c r="AE1001" t="s">
        <v>4</v>
      </c>
      <c r="AF1001" t="s">
        <v>1</v>
      </c>
      <c r="AG1001" t="s">
        <v>1</v>
      </c>
      <c r="AH1001" t="s">
        <v>4819</v>
      </c>
      <c r="AI1001" t="s">
        <v>2690</v>
      </c>
      <c r="AJ1001" t="s">
        <v>1</v>
      </c>
      <c r="AK1001">
        <v>9141358352</v>
      </c>
      <c r="AL1001" t="s">
        <v>1</v>
      </c>
      <c r="AM1001" t="s">
        <v>1</v>
      </c>
      <c r="AN1001" t="s">
        <v>1</v>
      </c>
      <c r="AO1001" t="s">
        <v>4819</v>
      </c>
      <c r="AP1001" t="s">
        <v>1</v>
      </c>
      <c r="AQ1001" t="s">
        <v>2</v>
      </c>
      <c r="AR1001" t="s">
        <v>1</v>
      </c>
      <c r="AS1001" t="s">
        <v>1</v>
      </c>
      <c r="AT1001" t="s">
        <v>1</v>
      </c>
      <c r="AU1001" t="s">
        <v>1</v>
      </c>
      <c r="AV1001" t="s">
        <v>1</v>
      </c>
      <c r="AW1001" t="s">
        <v>9</v>
      </c>
      <c r="AX1001">
        <f>Tabla1[[#This Row],[precio del paquete]]-Tabla1[[#This Row],[Saldo_Deudor]]</f>
        <v>3200</v>
      </c>
      <c r="AY1001">
        <v>11600</v>
      </c>
      <c r="AZ1001">
        <v>0</v>
      </c>
      <c r="BA1001">
        <v>0</v>
      </c>
      <c r="BB1001">
        <v>0</v>
      </c>
      <c r="BC1001" t="s">
        <v>4884</v>
      </c>
      <c r="BD1001" t="s">
        <v>4972</v>
      </c>
      <c r="BE1001" t="s">
        <v>3</v>
      </c>
      <c r="BF1001" t="s">
        <v>3</v>
      </c>
      <c r="BG1001" t="s">
        <v>3</v>
      </c>
      <c r="BH1001" t="s">
        <v>3</v>
      </c>
      <c r="BI1001" t="s">
        <v>3</v>
      </c>
      <c r="BJ1001" t="s">
        <v>5016</v>
      </c>
      <c r="BK1001" t="s">
        <v>3</v>
      </c>
      <c r="BL1001" t="s">
        <v>96</v>
      </c>
      <c r="BM1001" t="s">
        <v>1</v>
      </c>
      <c r="BN1001">
        <v>14800</v>
      </c>
      <c r="BO1001" t="s">
        <v>1</v>
      </c>
      <c r="BP1001" t="s">
        <v>1</v>
      </c>
      <c r="BQ1001" t="s">
        <v>1</v>
      </c>
      <c r="BR1001" t="s">
        <v>1</v>
      </c>
      <c r="BS1001" t="s">
        <v>1</v>
      </c>
      <c r="BT1001" t="s">
        <v>1</v>
      </c>
      <c r="BU1001" t="s">
        <v>1</v>
      </c>
      <c r="BV1001" t="s">
        <v>1</v>
      </c>
      <c r="BW1001" t="s">
        <v>0</v>
      </c>
      <c r="BX1001" t="s">
        <v>1</v>
      </c>
      <c r="BY1001" t="s">
        <v>1</v>
      </c>
      <c r="BZ1001" t="s">
        <v>1</v>
      </c>
      <c r="CA1001" t="s">
        <v>1</v>
      </c>
      <c r="CB1001" t="s">
        <v>1</v>
      </c>
      <c r="CD1001" t="e" cm="1">
        <f t="array" aca="1" ref="CD1001" ca="1">eConcatenar(A1001:CB1001,"|")</f>
        <v>#NAME?</v>
      </c>
    </row>
    <row r="1002" spans="1:82" x14ac:dyDescent="0.25">
      <c r="A1002" t="s">
        <v>1097</v>
      </c>
      <c r="B1002" t="s">
        <v>2125</v>
      </c>
      <c r="C1002">
        <v>3</v>
      </c>
      <c r="D1002" t="s">
        <v>2153</v>
      </c>
      <c r="E1002" t="s">
        <v>2158</v>
      </c>
      <c r="F1002" t="s">
        <v>0</v>
      </c>
      <c r="G1002" t="s">
        <v>2214</v>
      </c>
      <c r="H1002" t="s">
        <v>2708</v>
      </c>
      <c r="I1002">
        <v>14800</v>
      </c>
      <c r="J1002">
        <v>0</v>
      </c>
      <c r="K1002">
        <v>100</v>
      </c>
      <c r="L1002">
        <v>50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 t="s">
        <v>3114</v>
      </c>
      <c r="AC1002" t="s">
        <v>3686</v>
      </c>
      <c r="AD1002" t="s">
        <v>4081</v>
      </c>
      <c r="AE1002" t="s">
        <v>4</v>
      </c>
      <c r="AF1002" t="s">
        <v>1</v>
      </c>
      <c r="AG1002" t="s">
        <v>1</v>
      </c>
      <c r="AH1002" t="s">
        <v>2207</v>
      </c>
      <c r="AI1002" t="s">
        <v>2214</v>
      </c>
      <c r="AJ1002" t="s">
        <v>1</v>
      </c>
      <c r="AK1002">
        <v>9371061130</v>
      </c>
      <c r="AL1002" t="s">
        <v>1</v>
      </c>
      <c r="AM1002" t="s">
        <v>1</v>
      </c>
      <c r="AN1002" t="s">
        <v>1</v>
      </c>
      <c r="AO1002" t="s">
        <v>2207</v>
      </c>
      <c r="AP1002" t="s">
        <v>1</v>
      </c>
      <c r="AQ1002" t="s">
        <v>2</v>
      </c>
      <c r="AR1002" t="s">
        <v>1</v>
      </c>
      <c r="AS1002" t="s">
        <v>1</v>
      </c>
      <c r="AT1002" t="s">
        <v>1</v>
      </c>
      <c r="AU1002" t="s">
        <v>1</v>
      </c>
      <c r="AV1002" t="s">
        <v>1</v>
      </c>
      <c r="AW1002" t="s">
        <v>9</v>
      </c>
      <c r="AX1002">
        <f>Tabla1[[#This Row],[precio del paquete]]-Tabla1[[#This Row],[Saldo_Deudor]]</f>
        <v>4150</v>
      </c>
      <c r="AY1002">
        <v>10650</v>
      </c>
      <c r="AZ1002">
        <v>0</v>
      </c>
      <c r="BA1002">
        <v>0</v>
      </c>
      <c r="BB1002">
        <v>0</v>
      </c>
      <c r="BC1002" t="s">
        <v>4827</v>
      </c>
      <c r="BD1002" t="s">
        <v>4895</v>
      </c>
      <c r="BE1002" t="s">
        <v>3</v>
      </c>
      <c r="BF1002" t="s">
        <v>3</v>
      </c>
      <c r="BG1002" t="s">
        <v>3</v>
      </c>
      <c r="BH1002" t="s">
        <v>3</v>
      </c>
      <c r="BI1002" t="s">
        <v>3</v>
      </c>
      <c r="BJ1002" t="s">
        <v>5016</v>
      </c>
      <c r="BK1002" t="s">
        <v>3</v>
      </c>
      <c r="BL1002" t="s">
        <v>96</v>
      </c>
      <c r="BM1002" t="s">
        <v>1</v>
      </c>
      <c r="BN1002">
        <v>14800</v>
      </c>
      <c r="BO1002" t="s">
        <v>1</v>
      </c>
      <c r="BP1002" t="s">
        <v>1</v>
      </c>
      <c r="BQ1002" t="s">
        <v>1</v>
      </c>
      <c r="BR1002" t="s">
        <v>1</v>
      </c>
      <c r="BS1002" t="s">
        <v>1</v>
      </c>
      <c r="BT1002" t="s">
        <v>1</v>
      </c>
      <c r="BU1002" t="s">
        <v>1</v>
      </c>
      <c r="BV1002" t="s">
        <v>1</v>
      </c>
      <c r="BW1002" t="s">
        <v>0</v>
      </c>
      <c r="BX1002" t="s">
        <v>1</v>
      </c>
      <c r="BY1002" t="s">
        <v>1</v>
      </c>
      <c r="BZ1002" t="s">
        <v>1</v>
      </c>
      <c r="CA1002" t="s">
        <v>1</v>
      </c>
      <c r="CB1002" t="s">
        <v>1</v>
      </c>
      <c r="CD1002" t="e" cm="1">
        <f t="array" aca="1" ref="CD1002" ca="1">eConcatenar(A1002:CB1002,"|")</f>
        <v>#NAME?</v>
      </c>
    </row>
    <row r="1003" spans="1:82" x14ac:dyDescent="0.25">
      <c r="A1003" t="s">
        <v>1098</v>
      </c>
      <c r="B1003" t="s">
        <v>2126</v>
      </c>
      <c r="C1003">
        <v>3</v>
      </c>
      <c r="D1003" t="s">
        <v>2153</v>
      </c>
      <c r="E1003" t="s">
        <v>2158</v>
      </c>
      <c r="F1003" t="s">
        <v>0</v>
      </c>
      <c r="G1003" t="s">
        <v>2691</v>
      </c>
      <c r="H1003" t="s">
        <v>3090</v>
      </c>
      <c r="I1003">
        <v>14800</v>
      </c>
      <c r="J1003">
        <v>0</v>
      </c>
      <c r="K1003">
        <v>50</v>
      </c>
      <c r="L1003">
        <v>50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 t="s">
        <v>4082</v>
      </c>
      <c r="AC1003" t="s">
        <v>4083</v>
      </c>
      <c r="AD1003" t="s">
        <v>4084</v>
      </c>
      <c r="AE1003" t="s">
        <v>4</v>
      </c>
      <c r="AF1003" t="s">
        <v>1</v>
      </c>
      <c r="AG1003" t="s">
        <v>1</v>
      </c>
      <c r="AH1003" t="s">
        <v>4820</v>
      </c>
      <c r="AI1003" t="s">
        <v>2691</v>
      </c>
      <c r="AJ1003" t="s">
        <v>1</v>
      </c>
      <c r="AK1003">
        <v>9371005711</v>
      </c>
      <c r="AL1003" t="s">
        <v>1</v>
      </c>
      <c r="AM1003" t="s">
        <v>1</v>
      </c>
      <c r="AN1003" t="s">
        <v>1</v>
      </c>
      <c r="AO1003" t="s">
        <v>4820</v>
      </c>
      <c r="AP1003" t="s">
        <v>1</v>
      </c>
      <c r="AQ1003" t="s">
        <v>2</v>
      </c>
      <c r="AR1003" t="s">
        <v>1</v>
      </c>
      <c r="AS1003" t="s">
        <v>1</v>
      </c>
      <c r="AT1003" t="s">
        <v>1</v>
      </c>
      <c r="AU1003" t="s">
        <v>1</v>
      </c>
      <c r="AV1003" t="s">
        <v>1</v>
      </c>
      <c r="AW1003" t="s">
        <v>9</v>
      </c>
      <c r="AX1003">
        <f>Tabla1[[#This Row],[precio del paquete]]-Tabla1[[#This Row],[Saldo_Deudor]]</f>
        <v>3050</v>
      </c>
      <c r="AY1003">
        <v>11750</v>
      </c>
      <c r="AZ1003">
        <v>0</v>
      </c>
      <c r="BA1003">
        <v>0</v>
      </c>
      <c r="BB1003">
        <v>0</v>
      </c>
      <c r="BC1003" t="s">
        <v>4883</v>
      </c>
      <c r="BD1003" t="s">
        <v>4971</v>
      </c>
      <c r="BE1003" t="s">
        <v>3</v>
      </c>
      <c r="BF1003" t="s">
        <v>3</v>
      </c>
      <c r="BG1003" t="s">
        <v>3</v>
      </c>
      <c r="BH1003" t="s">
        <v>3</v>
      </c>
      <c r="BI1003" t="s">
        <v>3</v>
      </c>
      <c r="BJ1003" t="s">
        <v>5014</v>
      </c>
      <c r="BK1003" t="s">
        <v>3</v>
      </c>
      <c r="BL1003" t="s">
        <v>96</v>
      </c>
      <c r="BM1003" t="s">
        <v>1</v>
      </c>
      <c r="BN1003">
        <v>14800</v>
      </c>
      <c r="BO1003" t="s">
        <v>1</v>
      </c>
      <c r="BP1003" t="s">
        <v>1</v>
      </c>
      <c r="BQ1003" t="s">
        <v>1</v>
      </c>
      <c r="BR1003" t="s">
        <v>1</v>
      </c>
      <c r="BS1003" t="s">
        <v>1</v>
      </c>
      <c r="BT1003" t="s">
        <v>1</v>
      </c>
      <c r="BU1003" t="s">
        <v>1</v>
      </c>
      <c r="BV1003" t="s">
        <v>1</v>
      </c>
      <c r="BW1003" t="s">
        <v>0</v>
      </c>
      <c r="BX1003" t="s">
        <v>1</v>
      </c>
      <c r="BY1003" t="s">
        <v>1</v>
      </c>
      <c r="BZ1003" t="s">
        <v>1</v>
      </c>
      <c r="CA1003" t="s">
        <v>1</v>
      </c>
      <c r="CB1003" t="s">
        <v>1</v>
      </c>
      <c r="CD1003" t="e" cm="1">
        <f t="array" aca="1" ref="CD1003" ca="1">eConcatenar(A1003:CB1003,"|")</f>
        <v>#NAME?</v>
      </c>
    </row>
    <row r="1004" spans="1:82" x14ac:dyDescent="0.25">
      <c r="A1004" t="s">
        <v>1099</v>
      </c>
      <c r="B1004" t="s">
        <v>2127</v>
      </c>
      <c r="C1004">
        <v>3</v>
      </c>
      <c r="D1004" t="s">
        <v>2153</v>
      </c>
      <c r="E1004" t="s">
        <v>2158</v>
      </c>
      <c r="F1004" t="s">
        <v>0</v>
      </c>
      <c r="G1004" t="s">
        <v>2691</v>
      </c>
      <c r="H1004" t="s">
        <v>3097</v>
      </c>
      <c r="I1004">
        <v>14800</v>
      </c>
      <c r="J1004">
        <v>0</v>
      </c>
      <c r="K1004">
        <v>100</v>
      </c>
      <c r="L1004">
        <v>50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 t="s">
        <v>3245</v>
      </c>
      <c r="AC1004" t="s">
        <v>3761</v>
      </c>
      <c r="AD1004" t="s">
        <v>3344</v>
      </c>
      <c r="AE1004" t="s">
        <v>4</v>
      </c>
      <c r="AF1004" t="s">
        <v>1</v>
      </c>
      <c r="AG1004" t="s">
        <v>1</v>
      </c>
      <c r="AH1004" t="s">
        <v>4099</v>
      </c>
      <c r="AI1004" t="s">
        <v>2691</v>
      </c>
      <c r="AJ1004" t="s">
        <v>1</v>
      </c>
      <c r="AK1004">
        <v>9141231780</v>
      </c>
      <c r="AL1004" t="s">
        <v>1</v>
      </c>
      <c r="AM1004" t="s">
        <v>1</v>
      </c>
      <c r="AN1004" t="s">
        <v>1</v>
      </c>
      <c r="AO1004" t="s">
        <v>4099</v>
      </c>
      <c r="AP1004" t="s">
        <v>1</v>
      </c>
      <c r="AQ1004" t="s">
        <v>2</v>
      </c>
      <c r="AR1004" t="s">
        <v>1</v>
      </c>
      <c r="AS1004" t="s">
        <v>1</v>
      </c>
      <c r="AT1004" t="s">
        <v>1</v>
      </c>
      <c r="AU1004" t="s">
        <v>1</v>
      </c>
      <c r="AV1004" t="s">
        <v>1</v>
      </c>
      <c r="AW1004" t="s">
        <v>9</v>
      </c>
      <c r="AX1004">
        <f>Tabla1[[#This Row],[precio del paquete]]-Tabla1[[#This Row],[Saldo_Deudor]]</f>
        <v>3000</v>
      </c>
      <c r="AY1004">
        <v>11800</v>
      </c>
      <c r="AZ1004">
        <v>0</v>
      </c>
      <c r="BA1004">
        <v>0</v>
      </c>
      <c r="BB1004">
        <v>0</v>
      </c>
      <c r="BC1004" t="s">
        <v>4884</v>
      </c>
      <c r="BD1004" t="s">
        <v>4972</v>
      </c>
      <c r="BE1004" t="s">
        <v>3</v>
      </c>
      <c r="BF1004" t="s">
        <v>3</v>
      </c>
      <c r="BG1004" t="s">
        <v>3</v>
      </c>
      <c r="BH1004" t="s">
        <v>3</v>
      </c>
      <c r="BI1004" t="s">
        <v>3</v>
      </c>
      <c r="BJ1004" t="s">
        <v>5016</v>
      </c>
      <c r="BK1004" t="s">
        <v>3</v>
      </c>
      <c r="BL1004" t="s">
        <v>96</v>
      </c>
      <c r="BM1004" t="s">
        <v>1</v>
      </c>
      <c r="BN1004">
        <v>14800</v>
      </c>
      <c r="BO1004" t="s">
        <v>1</v>
      </c>
      <c r="BP1004" t="s">
        <v>1</v>
      </c>
      <c r="BQ1004" t="s">
        <v>1</v>
      </c>
      <c r="BR1004" t="s">
        <v>1</v>
      </c>
      <c r="BS1004" t="s">
        <v>1</v>
      </c>
      <c r="BT1004" t="s">
        <v>1</v>
      </c>
      <c r="BU1004" t="s">
        <v>1</v>
      </c>
      <c r="BV1004" t="s">
        <v>1</v>
      </c>
      <c r="BW1004" t="s">
        <v>0</v>
      </c>
      <c r="BX1004" t="s">
        <v>1</v>
      </c>
      <c r="BY1004" t="s">
        <v>1</v>
      </c>
      <c r="BZ1004" t="s">
        <v>1</v>
      </c>
      <c r="CA1004" t="s">
        <v>1</v>
      </c>
      <c r="CB1004" t="s">
        <v>1</v>
      </c>
      <c r="CD1004" t="e" cm="1">
        <f t="array" aca="1" ref="CD1004" ca="1">eConcatenar(A1004:CB1004,"|")</f>
        <v>#NAME?</v>
      </c>
    </row>
    <row r="1005" spans="1:82" x14ac:dyDescent="0.25">
      <c r="A1005" t="s">
        <v>1100</v>
      </c>
      <c r="B1005" t="s">
        <v>2128</v>
      </c>
      <c r="C1005">
        <v>3</v>
      </c>
      <c r="D1005" t="s">
        <v>2153</v>
      </c>
      <c r="E1005" t="s">
        <v>2158</v>
      </c>
      <c r="F1005" t="s">
        <v>0</v>
      </c>
      <c r="G1005" t="s">
        <v>2692</v>
      </c>
      <c r="H1005" t="s">
        <v>3036</v>
      </c>
      <c r="I1005">
        <v>14800</v>
      </c>
      <c r="J1005">
        <v>0</v>
      </c>
      <c r="K1005">
        <v>100</v>
      </c>
      <c r="L1005">
        <v>50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 t="s">
        <v>3132</v>
      </c>
      <c r="AC1005" t="s">
        <v>5</v>
      </c>
      <c r="AD1005" t="s">
        <v>3283</v>
      </c>
      <c r="AE1005" t="s">
        <v>4</v>
      </c>
      <c r="AF1005" t="s">
        <v>1</v>
      </c>
      <c r="AG1005" t="s">
        <v>1</v>
      </c>
      <c r="AH1005" t="s">
        <v>4821</v>
      </c>
      <c r="AI1005" t="s">
        <v>2692</v>
      </c>
      <c r="AJ1005" t="s">
        <v>1</v>
      </c>
      <c r="AK1005">
        <v>9141005580</v>
      </c>
      <c r="AL1005" t="s">
        <v>1</v>
      </c>
      <c r="AM1005" t="s">
        <v>1</v>
      </c>
      <c r="AN1005" t="s">
        <v>1</v>
      </c>
      <c r="AO1005" t="s">
        <v>4821</v>
      </c>
      <c r="AP1005" t="s">
        <v>1</v>
      </c>
      <c r="AQ1005" t="s">
        <v>2</v>
      </c>
      <c r="AR1005" t="s">
        <v>1</v>
      </c>
      <c r="AS1005" t="s">
        <v>1</v>
      </c>
      <c r="AT1005" t="s">
        <v>1</v>
      </c>
      <c r="AU1005" t="s">
        <v>1</v>
      </c>
      <c r="AV1005" t="s">
        <v>1</v>
      </c>
      <c r="AW1005" t="s">
        <v>9</v>
      </c>
      <c r="AX1005">
        <f>Tabla1[[#This Row],[precio del paquete]]-Tabla1[[#This Row],[Saldo_Deudor]]</f>
        <v>2900</v>
      </c>
      <c r="AY1005">
        <v>11900</v>
      </c>
      <c r="AZ1005">
        <v>0</v>
      </c>
      <c r="BA1005">
        <v>0</v>
      </c>
      <c r="BB1005">
        <v>0</v>
      </c>
      <c r="BC1005" t="s">
        <v>4884</v>
      </c>
      <c r="BD1005" t="s">
        <v>4972</v>
      </c>
      <c r="BE1005" t="s">
        <v>3</v>
      </c>
      <c r="BF1005" t="s">
        <v>3</v>
      </c>
      <c r="BG1005" t="s">
        <v>3</v>
      </c>
      <c r="BH1005" t="s">
        <v>3</v>
      </c>
      <c r="BI1005" t="s">
        <v>3</v>
      </c>
      <c r="BJ1005" t="s">
        <v>5016</v>
      </c>
      <c r="BK1005" t="s">
        <v>3</v>
      </c>
      <c r="BL1005" t="s">
        <v>96</v>
      </c>
      <c r="BM1005" t="s">
        <v>1</v>
      </c>
      <c r="BN1005">
        <v>14800</v>
      </c>
      <c r="BO1005" t="s">
        <v>1</v>
      </c>
      <c r="BP1005" t="s">
        <v>1</v>
      </c>
      <c r="BQ1005" t="s">
        <v>1</v>
      </c>
      <c r="BR1005" t="s">
        <v>1</v>
      </c>
      <c r="BS1005" t="s">
        <v>1</v>
      </c>
      <c r="BT1005" t="s">
        <v>1</v>
      </c>
      <c r="BU1005" t="s">
        <v>1</v>
      </c>
      <c r="BV1005" t="s">
        <v>1</v>
      </c>
      <c r="BW1005" t="s">
        <v>0</v>
      </c>
      <c r="BX1005" t="s">
        <v>1</v>
      </c>
      <c r="BY1005" t="s">
        <v>1</v>
      </c>
      <c r="BZ1005" t="s">
        <v>1</v>
      </c>
      <c r="CA1005" t="s">
        <v>1</v>
      </c>
      <c r="CB1005" t="s">
        <v>1</v>
      </c>
      <c r="CD1005" t="e" cm="1">
        <f t="array" aca="1" ref="CD1005" ca="1">eConcatenar(A1005:CB1005,"|")</f>
        <v>#NAME?</v>
      </c>
    </row>
    <row r="1006" spans="1:82" x14ac:dyDescent="0.25">
      <c r="A1006" t="s">
        <v>1101</v>
      </c>
      <c r="B1006" t="s">
        <v>2129</v>
      </c>
      <c r="C1006">
        <v>3</v>
      </c>
      <c r="D1006" t="s">
        <v>2153</v>
      </c>
      <c r="E1006" t="s">
        <v>2158</v>
      </c>
      <c r="F1006" t="s">
        <v>2159</v>
      </c>
      <c r="G1006" t="s">
        <v>2693</v>
      </c>
      <c r="H1006" t="s">
        <v>2982</v>
      </c>
      <c r="I1006">
        <v>14800</v>
      </c>
      <c r="J1006">
        <v>0</v>
      </c>
      <c r="K1006">
        <v>100</v>
      </c>
      <c r="L1006">
        <v>50</v>
      </c>
      <c r="M1006">
        <v>2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 t="s">
        <v>6</v>
      </c>
      <c r="AC1006" t="s">
        <v>3367</v>
      </c>
      <c r="AD1006" t="s">
        <v>4085</v>
      </c>
      <c r="AE1006" t="s">
        <v>4</v>
      </c>
      <c r="AF1006" t="s">
        <v>1</v>
      </c>
      <c r="AG1006" t="s">
        <v>1</v>
      </c>
      <c r="AH1006" t="s">
        <v>4822</v>
      </c>
      <c r="AI1006" t="s">
        <v>2693</v>
      </c>
      <c r="AJ1006" t="s">
        <v>1</v>
      </c>
      <c r="AK1006">
        <v>9331562667</v>
      </c>
      <c r="AL1006" t="s">
        <v>1</v>
      </c>
      <c r="AM1006" t="s">
        <v>1</v>
      </c>
      <c r="AN1006" t="s">
        <v>1</v>
      </c>
      <c r="AO1006" t="s">
        <v>4822</v>
      </c>
      <c r="AP1006" t="s">
        <v>1</v>
      </c>
      <c r="AQ1006" t="s">
        <v>2</v>
      </c>
      <c r="AR1006" t="s">
        <v>1</v>
      </c>
      <c r="AS1006" t="s">
        <v>1</v>
      </c>
      <c r="AT1006" t="s">
        <v>1</v>
      </c>
      <c r="AU1006" t="s">
        <v>1</v>
      </c>
      <c r="AV1006" t="s">
        <v>1</v>
      </c>
      <c r="AW1006" t="s">
        <v>9</v>
      </c>
      <c r="AX1006">
        <f>Tabla1[[#This Row],[precio del paquete]]-Tabla1[[#This Row],[Saldo_Deudor]]</f>
        <v>500</v>
      </c>
      <c r="AY1006">
        <v>14300</v>
      </c>
      <c r="AZ1006">
        <v>0</v>
      </c>
      <c r="BA1006">
        <v>0</v>
      </c>
      <c r="BB1006">
        <v>0</v>
      </c>
      <c r="BC1006" t="s">
        <v>4873</v>
      </c>
      <c r="BD1006" t="s">
        <v>4962</v>
      </c>
      <c r="BE1006" t="s">
        <v>3</v>
      </c>
      <c r="BF1006" t="s">
        <v>3</v>
      </c>
      <c r="BG1006" t="s">
        <v>3</v>
      </c>
      <c r="BH1006" t="s">
        <v>3</v>
      </c>
      <c r="BI1006" t="s">
        <v>3</v>
      </c>
      <c r="BJ1006" t="s">
        <v>5016</v>
      </c>
      <c r="BK1006" t="s">
        <v>3</v>
      </c>
      <c r="BL1006" t="s">
        <v>96</v>
      </c>
      <c r="BM1006" t="s">
        <v>1</v>
      </c>
      <c r="BN1006">
        <v>14800</v>
      </c>
      <c r="BO1006" t="s">
        <v>1</v>
      </c>
      <c r="BP1006" t="s">
        <v>1</v>
      </c>
      <c r="BQ1006" t="s">
        <v>1</v>
      </c>
      <c r="BR1006" t="s">
        <v>1</v>
      </c>
      <c r="BS1006" t="s">
        <v>1</v>
      </c>
      <c r="BT1006" t="s">
        <v>1</v>
      </c>
      <c r="BU1006" t="s">
        <v>1</v>
      </c>
      <c r="BV1006" t="s">
        <v>1</v>
      </c>
      <c r="BW1006" t="s">
        <v>0</v>
      </c>
      <c r="BX1006" t="s">
        <v>1</v>
      </c>
      <c r="BY1006" t="s">
        <v>1</v>
      </c>
      <c r="BZ1006" t="s">
        <v>1</v>
      </c>
      <c r="CA1006" t="s">
        <v>1</v>
      </c>
      <c r="CB1006" t="s">
        <v>1</v>
      </c>
      <c r="CD1006" t="e" cm="1">
        <f t="array" aca="1" ref="CD1006" ca="1">eConcatenar(A1006:CB1006,"|")</f>
        <v>#NAME?</v>
      </c>
    </row>
    <row r="1007" spans="1:82" x14ac:dyDescent="0.25">
      <c r="A1007" t="s">
        <v>1102</v>
      </c>
      <c r="B1007" t="s">
        <v>2130</v>
      </c>
      <c r="C1007">
        <v>3</v>
      </c>
      <c r="D1007" t="s">
        <v>2153</v>
      </c>
      <c r="E1007" t="s">
        <v>2158</v>
      </c>
      <c r="F1007" t="s">
        <v>2162</v>
      </c>
      <c r="G1007" t="s">
        <v>2590</v>
      </c>
      <c r="H1007" t="s">
        <v>3102</v>
      </c>
      <c r="I1007">
        <v>14800</v>
      </c>
      <c r="J1007">
        <v>0</v>
      </c>
      <c r="K1007">
        <v>50</v>
      </c>
      <c r="L1007">
        <v>50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 t="s">
        <v>3395</v>
      </c>
      <c r="AC1007" t="s">
        <v>3114</v>
      </c>
      <c r="AD1007" t="s">
        <v>4086</v>
      </c>
      <c r="AE1007" t="s">
        <v>4</v>
      </c>
      <c r="AF1007" t="s">
        <v>1</v>
      </c>
      <c r="AG1007" t="s">
        <v>1</v>
      </c>
      <c r="AH1007" t="s">
        <v>4823</v>
      </c>
      <c r="AI1007" t="s">
        <v>2590</v>
      </c>
      <c r="AJ1007" t="s">
        <v>1</v>
      </c>
      <c r="AK1007">
        <v>9331367358</v>
      </c>
      <c r="AL1007" t="s">
        <v>1</v>
      </c>
      <c r="AM1007" t="s">
        <v>1</v>
      </c>
      <c r="AN1007" t="s">
        <v>1</v>
      </c>
      <c r="AO1007" t="s">
        <v>4823</v>
      </c>
      <c r="AP1007" t="s">
        <v>1</v>
      </c>
      <c r="AQ1007" t="s">
        <v>2</v>
      </c>
      <c r="AR1007" t="s">
        <v>1</v>
      </c>
      <c r="AS1007" t="s">
        <v>1</v>
      </c>
      <c r="AT1007" t="s">
        <v>1</v>
      </c>
      <c r="AU1007" t="s">
        <v>1</v>
      </c>
      <c r="AV1007" t="s">
        <v>1</v>
      </c>
      <c r="AW1007" t="s">
        <v>9</v>
      </c>
      <c r="AX1007">
        <f>Tabla1[[#This Row],[precio del paquete]]-Tabla1[[#This Row],[Saldo_Deudor]]</f>
        <v>250</v>
      </c>
      <c r="AY1007">
        <v>14550</v>
      </c>
      <c r="AZ1007">
        <v>0</v>
      </c>
      <c r="BA1007">
        <v>0</v>
      </c>
      <c r="BB1007">
        <v>0</v>
      </c>
      <c r="BC1007" t="s">
        <v>2898</v>
      </c>
      <c r="BD1007" t="s">
        <v>4981</v>
      </c>
      <c r="BE1007" t="s">
        <v>3</v>
      </c>
      <c r="BF1007" t="s">
        <v>3</v>
      </c>
      <c r="BG1007" t="s">
        <v>3</v>
      </c>
      <c r="BH1007" t="s">
        <v>3</v>
      </c>
      <c r="BI1007" t="s">
        <v>3</v>
      </c>
      <c r="BJ1007" t="s">
        <v>4998</v>
      </c>
      <c r="BK1007" t="s">
        <v>3</v>
      </c>
      <c r="BL1007" t="s">
        <v>96</v>
      </c>
      <c r="BM1007" t="s">
        <v>1</v>
      </c>
      <c r="BN1007">
        <v>14800</v>
      </c>
      <c r="BO1007" t="s">
        <v>1</v>
      </c>
      <c r="BP1007" t="s">
        <v>1</v>
      </c>
      <c r="BQ1007" t="s">
        <v>1</v>
      </c>
      <c r="BR1007" t="s">
        <v>1</v>
      </c>
      <c r="BS1007" t="s">
        <v>1</v>
      </c>
      <c r="BT1007" t="s">
        <v>1</v>
      </c>
      <c r="BU1007" t="s">
        <v>1</v>
      </c>
      <c r="BV1007" t="s">
        <v>1</v>
      </c>
      <c r="BW1007" t="s">
        <v>0</v>
      </c>
      <c r="BX1007" t="s">
        <v>1</v>
      </c>
      <c r="BY1007" t="s">
        <v>1</v>
      </c>
      <c r="BZ1007" t="s">
        <v>1</v>
      </c>
      <c r="CA1007" t="s">
        <v>1</v>
      </c>
      <c r="CB1007" t="s">
        <v>1</v>
      </c>
      <c r="CD1007" t="e" cm="1">
        <f t="array" aca="1" ref="CD1007" ca="1">eConcatenar(A1007:CB1007,"|")</f>
        <v>#NAME?</v>
      </c>
    </row>
    <row r="1008" spans="1:82" x14ac:dyDescent="0.25">
      <c r="A1008" t="s">
        <v>1103</v>
      </c>
      <c r="B1008" t="s">
        <v>2131</v>
      </c>
      <c r="C1008">
        <v>3</v>
      </c>
      <c r="D1008" t="s">
        <v>2153</v>
      </c>
      <c r="E1008" t="s">
        <v>2158</v>
      </c>
      <c r="F1008" t="s">
        <v>2162</v>
      </c>
      <c r="G1008" t="s">
        <v>2590</v>
      </c>
      <c r="H1008" t="s">
        <v>3103</v>
      </c>
      <c r="I1008">
        <v>12900</v>
      </c>
      <c r="J1008">
        <v>0</v>
      </c>
      <c r="K1008">
        <v>100</v>
      </c>
      <c r="L1008">
        <v>50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 t="s">
        <v>3148</v>
      </c>
      <c r="AC1008" t="s">
        <v>3148</v>
      </c>
      <c r="AD1008" t="s">
        <v>4087</v>
      </c>
      <c r="AE1008" t="s">
        <v>4</v>
      </c>
      <c r="AF1008" t="s">
        <v>1</v>
      </c>
      <c r="AG1008" t="s">
        <v>1</v>
      </c>
      <c r="AH1008" t="s">
        <v>4824</v>
      </c>
      <c r="AI1008" t="s">
        <v>2590</v>
      </c>
      <c r="AJ1008" t="s">
        <v>1</v>
      </c>
      <c r="AK1008" t="s">
        <v>1</v>
      </c>
      <c r="AL1008" t="s">
        <v>1</v>
      </c>
      <c r="AM1008" t="s">
        <v>1</v>
      </c>
      <c r="AN1008" t="s">
        <v>1</v>
      </c>
      <c r="AO1008" t="s">
        <v>4824</v>
      </c>
      <c r="AP1008" t="s">
        <v>1</v>
      </c>
      <c r="AQ1008" t="s">
        <v>2</v>
      </c>
      <c r="AR1008" t="s">
        <v>1</v>
      </c>
      <c r="AS1008" t="s">
        <v>1</v>
      </c>
      <c r="AT1008" t="s">
        <v>1</v>
      </c>
      <c r="AU1008" t="s">
        <v>1</v>
      </c>
      <c r="AV1008" t="s">
        <v>1</v>
      </c>
      <c r="AW1008" t="s">
        <v>9</v>
      </c>
      <c r="AX1008">
        <f>Tabla1[[#This Row],[precio del paquete]]-Tabla1[[#This Row],[Saldo_Deudor]]</f>
        <v>6600</v>
      </c>
      <c r="AY1008">
        <v>6300</v>
      </c>
      <c r="AZ1008">
        <v>0</v>
      </c>
      <c r="BA1008">
        <v>0</v>
      </c>
      <c r="BB1008">
        <v>0</v>
      </c>
      <c r="BC1008" t="s">
        <v>2898</v>
      </c>
      <c r="BD1008" t="s">
        <v>4981</v>
      </c>
      <c r="BE1008" t="s">
        <v>3</v>
      </c>
      <c r="BF1008" t="s">
        <v>3</v>
      </c>
      <c r="BG1008" t="s">
        <v>3</v>
      </c>
      <c r="BH1008" t="s">
        <v>3</v>
      </c>
      <c r="BI1008" t="s">
        <v>3</v>
      </c>
      <c r="BJ1008" t="s">
        <v>4998</v>
      </c>
      <c r="BK1008" t="s">
        <v>3</v>
      </c>
      <c r="BL1008" t="s">
        <v>96</v>
      </c>
      <c r="BM1008" t="s">
        <v>1</v>
      </c>
      <c r="BN1008">
        <v>12900</v>
      </c>
      <c r="BO1008" t="s">
        <v>1</v>
      </c>
      <c r="BP1008" t="s">
        <v>1</v>
      </c>
      <c r="BQ1008" t="s">
        <v>1</v>
      </c>
      <c r="BR1008" t="s">
        <v>1</v>
      </c>
      <c r="BS1008" t="s">
        <v>1</v>
      </c>
      <c r="BT1008" t="s">
        <v>1</v>
      </c>
      <c r="BU1008" t="s">
        <v>1</v>
      </c>
      <c r="BV1008" t="s">
        <v>1</v>
      </c>
      <c r="BW1008" t="s">
        <v>0</v>
      </c>
      <c r="BX1008" t="s">
        <v>1</v>
      </c>
      <c r="BY1008" t="s">
        <v>1</v>
      </c>
      <c r="BZ1008" t="s">
        <v>1</v>
      </c>
      <c r="CA1008" t="s">
        <v>1</v>
      </c>
      <c r="CB1008" t="s">
        <v>1</v>
      </c>
      <c r="CD1008" t="e" cm="1">
        <f t="array" aca="1" ref="CD1008" ca="1">eConcatenar(A1008:CB1008,"|")</f>
        <v>#NAME?</v>
      </c>
    </row>
    <row r="1009" spans="1:82" x14ac:dyDescent="0.25">
      <c r="A1009" t="s">
        <v>1104</v>
      </c>
      <c r="B1009" t="s">
        <v>2132</v>
      </c>
      <c r="C1009">
        <v>3</v>
      </c>
      <c r="D1009" t="s">
        <v>2153</v>
      </c>
      <c r="E1009" t="s">
        <v>2158</v>
      </c>
      <c r="F1009" t="s">
        <v>0</v>
      </c>
      <c r="G1009" t="s">
        <v>1</v>
      </c>
      <c r="H1009" t="s">
        <v>3090</v>
      </c>
      <c r="I1009">
        <v>14800</v>
      </c>
      <c r="J1009">
        <v>0</v>
      </c>
      <c r="K1009">
        <v>100</v>
      </c>
      <c r="L1009">
        <v>50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 t="s">
        <v>3686</v>
      </c>
      <c r="AC1009" t="s">
        <v>5</v>
      </c>
      <c r="AD1009" t="s">
        <v>4088</v>
      </c>
      <c r="AE1009" t="s">
        <v>4</v>
      </c>
      <c r="AF1009" t="s">
        <v>1</v>
      </c>
      <c r="AG1009" t="s">
        <v>1</v>
      </c>
      <c r="AH1009" t="s">
        <v>4825</v>
      </c>
      <c r="AI1009" t="s">
        <v>1</v>
      </c>
      <c r="AJ1009" t="s">
        <v>1</v>
      </c>
      <c r="AK1009">
        <v>9373781938</v>
      </c>
      <c r="AL1009" t="s">
        <v>1</v>
      </c>
      <c r="AM1009" t="s">
        <v>1</v>
      </c>
      <c r="AN1009" t="s">
        <v>1</v>
      </c>
      <c r="AO1009" t="s">
        <v>4825</v>
      </c>
      <c r="AP1009" t="s">
        <v>1</v>
      </c>
      <c r="AQ1009" t="s">
        <v>2</v>
      </c>
      <c r="AR1009" t="s">
        <v>1</v>
      </c>
      <c r="AS1009" t="s">
        <v>1</v>
      </c>
      <c r="AT1009" t="s">
        <v>1</v>
      </c>
      <c r="AU1009" t="s">
        <v>1</v>
      </c>
      <c r="AV1009" t="s">
        <v>1</v>
      </c>
      <c r="AW1009" t="s">
        <v>9</v>
      </c>
      <c r="AX1009">
        <f>Tabla1[[#This Row],[precio del paquete]]-Tabla1[[#This Row],[Saldo_Deudor]]</f>
        <v>1900</v>
      </c>
      <c r="AY1009">
        <v>12900</v>
      </c>
      <c r="AZ1009">
        <v>0</v>
      </c>
      <c r="BA1009">
        <v>0</v>
      </c>
      <c r="BB1009">
        <v>0</v>
      </c>
      <c r="BC1009" t="s">
        <v>4884</v>
      </c>
      <c r="BD1009" t="s">
        <v>4972</v>
      </c>
      <c r="BE1009" t="s">
        <v>3</v>
      </c>
      <c r="BF1009" t="s">
        <v>3</v>
      </c>
      <c r="BG1009" t="s">
        <v>3</v>
      </c>
      <c r="BH1009" t="s">
        <v>3</v>
      </c>
      <c r="BI1009" t="s">
        <v>3</v>
      </c>
      <c r="BJ1009" t="s">
        <v>4998</v>
      </c>
      <c r="BK1009" t="s">
        <v>3</v>
      </c>
      <c r="BL1009" t="s">
        <v>96</v>
      </c>
      <c r="BM1009" t="s">
        <v>1</v>
      </c>
      <c r="BN1009">
        <v>14800</v>
      </c>
      <c r="BO1009" t="s">
        <v>1</v>
      </c>
      <c r="BP1009" t="s">
        <v>1</v>
      </c>
      <c r="BQ1009" t="s">
        <v>1</v>
      </c>
      <c r="BR1009" t="s">
        <v>1</v>
      </c>
      <c r="BS1009" t="s">
        <v>1</v>
      </c>
      <c r="BT1009" t="s">
        <v>1</v>
      </c>
      <c r="BU1009" t="s">
        <v>1</v>
      </c>
      <c r="BV1009" t="s">
        <v>1</v>
      </c>
      <c r="BW1009" t="s">
        <v>0</v>
      </c>
      <c r="BX1009" t="s">
        <v>1</v>
      </c>
      <c r="BY1009" t="s">
        <v>1</v>
      </c>
      <c r="BZ1009" t="s">
        <v>1</v>
      </c>
      <c r="CA1009" t="s">
        <v>1</v>
      </c>
      <c r="CB1009" t="s">
        <v>1</v>
      </c>
      <c r="CD1009" t="e" cm="1">
        <f t="array" aca="1" ref="CD1009" ca="1">eConcatenar(A1009:CB1009,"|")</f>
        <v>#NAME?</v>
      </c>
    </row>
    <row r="1010" spans="1:82" x14ac:dyDescent="0.25">
      <c r="H1010" s="1"/>
      <c r="BB1010" s="7"/>
      <c r="BC1010" s="1"/>
      <c r="BD1010" s="1"/>
      <c r="BJ1010" s="5"/>
    </row>
    <row r="1011" spans="1:82" x14ac:dyDescent="0.25">
      <c r="H1011" s="1"/>
      <c r="BB1011" s="7"/>
      <c r="BC1011" s="1"/>
      <c r="BD1011" s="1"/>
      <c r="BJ1011" s="6"/>
    </row>
    <row r="1012" spans="1:82" x14ac:dyDescent="0.25">
      <c r="H1012" s="1"/>
      <c r="BB1012" s="7"/>
      <c r="BC1012" s="1"/>
      <c r="BD1012" s="1"/>
      <c r="BJ1012" s="5"/>
    </row>
    <row r="1013" spans="1:82" x14ac:dyDescent="0.25">
      <c r="H1013" s="1"/>
      <c r="BB1013" s="7"/>
      <c r="BC1013" s="1"/>
      <c r="BD1013" s="1"/>
      <c r="BJ1013" s="6"/>
    </row>
    <row r="1014" spans="1:82" x14ac:dyDescent="0.25">
      <c r="H1014" s="1"/>
      <c r="BB1014" s="7"/>
      <c r="BC1014" s="1"/>
      <c r="BD1014" s="1"/>
      <c r="BJ1014" s="5"/>
    </row>
    <row r="1015" spans="1:82" x14ac:dyDescent="0.25">
      <c r="H1015" s="1"/>
      <c r="BB1015" s="7"/>
      <c r="BC1015" s="1"/>
      <c r="BD1015" s="1"/>
      <c r="BJ1015" s="6"/>
    </row>
    <row r="1016" spans="1:82" x14ac:dyDescent="0.25">
      <c r="H1016" s="1"/>
      <c r="BB1016" s="7"/>
      <c r="BC1016" s="1"/>
      <c r="BD1016" s="1"/>
      <c r="BJ1016" s="6"/>
    </row>
    <row r="1017" spans="1:82" x14ac:dyDescent="0.25">
      <c r="H1017" s="1"/>
      <c r="BB1017" s="7"/>
      <c r="BC1017" s="1"/>
      <c r="BD1017" s="1"/>
      <c r="BJ1017" s="5"/>
    </row>
    <row r="1018" spans="1:82" x14ac:dyDescent="0.25">
      <c r="H1018" s="1"/>
      <c r="BB1018" s="7"/>
      <c r="BC1018" s="1"/>
      <c r="BD1018" s="1"/>
      <c r="BJ1018" s="6"/>
    </row>
    <row r="1019" spans="1:82" x14ac:dyDescent="0.25">
      <c r="H1019" s="1"/>
      <c r="BB1019" s="7"/>
      <c r="BC1019" s="1"/>
      <c r="BD1019" s="1"/>
      <c r="BJ1019" s="6"/>
    </row>
    <row r="1020" spans="1:82" x14ac:dyDescent="0.25">
      <c r="H1020" s="1"/>
      <c r="BB1020" s="7"/>
      <c r="BC1020" s="1"/>
      <c r="BD1020" s="1"/>
      <c r="BJ1020" s="6"/>
    </row>
    <row r="1021" spans="1:82" x14ac:dyDescent="0.25">
      <c r="H1021" s="1"/>
      <c r="BB1021" s="7"/>
      <c r="BC1021" s="1"/>
      <c r="BD1021" s="1"/>
      <c r="BJ1021" s="6"/>
    </row>
    <row r="1022" spans="1:82" x14ac:dyDescent="0.25">
      <c r="H1022" s="1"/>
      <c r="BB1022" s="7"/>
      <c r="BC1022" s="1"/>
      <c r="BD1022" s="1"/>
      <c r="BJ1022" s="5"/>
    </row>
    <row r="1023" spans="1:82" x14ac:dyDescent="0.25">
      <c r="H1023" s="1"/>
      <c r="BB1023" s="7"/>
      <c r="BC1023" s="1"/>
      <c r="BD1023" s="1"/>
      <c r="BJ1023" s="6"/>
    </row>
    <row r="1024" spans="1:82" x14ac:dyDescent="0.25">
      <c r="H1024" s="1"/>
      <c r="BB1024" s="7"/>
      <c r="BC1024" s="1"/>
      <c r="BD1024" s="1"/>
      <c r="BJ1024" s="5"/>
    </row>
    <row r="1025" spans="3:76" x14ac:dyDescent="0.25">
      <c r="H1025" s="1"/>
      <c r="BB1025" s="7"/>
      <c r="BC1025" s="1"/>
      <c r="BD1025" s="1"/>
      <c r="BJ1025" s="5"/>
    </row>
    <row r="1026" spans="3:76" x14ac:dyDescent="0.25">
      <c r="H1026" s="1"/>
      <c r="BB1026" s="7"/>
      <c r="BC1026" s="1"/>
      <c r="BD1026" s="1"/>
      <c r="BJ1026" s="6"/>
    </row>
    <row r="1027" spans="3:76" x14ac:dyDescent="0.25">
      <c r="H1027" s="1"/>
      <c r="BB1027" s="7"/>
      <c r="BC1027" s="1"/>
      <c r="BD1027" s="1"/>
      <c r="BJ1027" s="6"/>
    </row>
    <row r="1028" spans="3:76" x14ac:dyDescent="0.25">
      <c r="H1028" s="1"/>
      <c r="BB1028" s="7"/>
      <c r="BC1028" s="1"/>
      <c r="BD1028" s="1"/>
      <c r="BJ1028" s="5"/>
    </row>
    <row r="1029" spans="3:76" x14ac:dyDescent="0.25">
      <c r="H1029" s="1"/>
      <c r="BB1029" s="7"/>
      <c r="BC1029" s="1"/>
      <c r="BD1029" s="1"/>
      <c r="BJ1029" s="6"/>
    </row>
    <row r="1030" spans="3:76" x14ac:dyDescent="0.25">
      <c r="H1030" s="1"/>
      <c r="BB1030" s="7"/>
      <c r="BC1030" s="1"/>
      <c r="BD1030" s="1"/>
      <c r="BJ1030" s="5"/>
    </row>
    <row r="1031" spans="3:76" x14ac:dyDescent="0.25">
      <c r="H1031" s="1"/>
      <c r="BB1031" s="7"/>
      <c r="BC1031" s="1"/>
      <c r="BD1031" s="1"/>
      <c r="BJ1031" s="5"/>
    </row>
    <row r="1032" spans="3:76" x14ac:dyDescent="0.25">
      <c r="H1032" s="1"/>
      <c r="BB1032" s="7"/>
      <c r="BC1032" s="1"/>
      <c r="BD1032" s="1"/>
      <c r="BJ1032" s="5"/>
    </row>
    <row r="1033" spans="3:76" x14ac:dyDescent="0.25">
      <c r="H1033" s="1"/>
      <c r="BB1033" s="7"/>
      <c r="BC1033" s="1"/>
      <c r="BD1033" s="1"/>
      <c r="BJ1033" s="5"/>
    </row>
    <row r="1034" spans="3:76" x14ac:dyDescent="0.25">
      <c r="H1034" s="1"/>
      <c r="BB1034" s="7"/>
      <c r="BC1034" s="1"/>
      <c r="BD1034" s="1"/>
      <c r="BJ1034" s="6"/>
    </row>
    <row r="1035" spans="3:76" x14ac:dyDescent="0.25">
      <c r="H1035" s="1"/>
      <c r="BB1035" s="7"/>
      <c r="BC1035" s="1"/>
      <c r="BD1035" s="1"/>
      <c r="BJ1035" s="6"/>
    </row>
    <row r="1036" spans="3:76" x14ac:dyDescent="0.25">
      <c r="H1036" s="1"/>
      <c r="BB1036" s="7"/>
      <c r="BC1036" s="1"/>
      <c r="BD1036" s="1"/>
      <c r="BJ1036" s="6"/>
    </row>
    <row r="1037" spans="3:76" x14ac:dyDescent="0.25">
      <c r="C1037" s="3"/>
      <c r="H1037" s="1"/>
      <c r="J1037" s="3"/>
      <c r="L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E1037" s="3"/>
      <c r="AF1037" s="3"/>
      <c r="AG1037" s="3"/>
      <c r="AL1037" s="3"/>
      <c r="AM1037" s="3"/>
      <c r="AN1037" s="3"/>
      <c r="AP1037" s="3"/>
      <c r="AQ1037" s="3"/>
      <c r="AR1037" s="3"/>
      <c r="AS1037" s="3"/>
      <c r="AT1037" s="3"/>
      <c r="AU1037" s="3"/>
      <c r="AV1037" s="3"/>
      <c r="AW1037" s="3"/>
      <c r="AX1037" s="3"/>
      <c r="AZ1037" s="3"/>
      <c r="BA1037" s="3"/>
      <c r="BB1037" s="8"/>
      <c r="BC1037" s="1"/>
      <c r="BD1037" s="1"/>
      <c r="BE1037" s="3"/>
      <c r="BF1037" s="3"/>
      <c r="BG1037" s="3"/>
      <c r="BH1037" s="3"/>
      <c r="BI1037" s="3"/>
      <c r="BJ1037" s="6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</row>
    <row r="1038" spans="3:76" x14ac:dyDescent="0.25">
      <c r="H1038" s="1"/>
      <c r="BB1038" s="7"/>
      <c r="BC1038" s="1"/>
      <c r="BD1038" s="1"/>
      <c r="BJ1038" s="5"/>
    </row>
    <row r="1039" spans="3:76" x14ac:dyDescent="0.25">
      <c r="AD1039" s="4"/>
      <c r="BB1039" s="7"/>
      <c r="BJ1039" s="6"/>
    </row>
    <row r="1040" spans="3:76" x14ac:dyDescent="0.25">
      <c r="AD1040" s="4"/>
      <c r="BB1040" s="7"/>
      <c r="BJ1040" s="6"/>
    </row>
    <row r="1041" spans="30:82" x14ac:dyDescent="0.25">
      <c r="AD1041" s="4"/>
      <c r="BB1041" s="7"/>
      <c r="BJ1041" s="5"/>
    </row>
    <row r="1042" spans="30:82" x14ac:dyDescent="0.25">
      <c r="BB1042" s="7"/>
      <c r="BJ1042" s="5"/>
    </row>
    <row r="1043" spans="30:82" x14ac:dyDescent="0.25">
      <c r="BB1043" s="7"/>
      <c r="BJ1043" s="6"/>
    </row>
    <row r="1044" spans="30:82" x14ac:dyDescent="0.25">
      <c r="BB1044" s="7"/>
      <c r="BJ1044" s="6"/>
    </row>
    <row r="1045" spans="30:82" x14ac:dyDescent="0.25">
      <c r="BB1045" s="7"/>
      <c r="BJ1045" s="6"/>
    </row>
    <row r="1046" spans="30:82" x14ac:dyDescent="0.25">
      <c r="BB1046" s="7"/>
      <c r="BJ1046" s="6"/>
    </row>
    <row r="1047" spans="30:82" x14ac:dyDescent="0.25">
      <c r="BB1047" s="7"/>
      <c r="BJ1047" s="6"/>
    </row>
    <row r="1048" spans="30:82" x14ac:dyDescent="0.25">
      <c r="BB1048" s="7"/>
      <c r="BJ1048" s="5"/>
    </row>
    <row r="1049" spans="30:82" x14ac:dyDescent="0.25">
      <c r="BB1049" s="7"/>
      <c r="BJ1049" s="6"/>
    </row>
    <row r="1050" spans="30:82" x14ac:dyDescent="0.25">
      <c r="BB1050" s="7"/>
      <c r="BJ1050" s="6"/>
    </row>
    <row r="1051" spans="30:82" x14ac:dyDescent="0.25">
      <c r="BB1051" s="7"/>
      <c r="BJ1051" s="5"/>
    </row>
    <row r="1055" spans="30:82" x14ac:dyDescent="0.25">
      <c r="CD1055" t="e" cm="1">
        <f t="array" aca="1" ref="CD1055" ca="1">eConcatenar(A1039:CB1039,"|")</f>
        <v>#NAME?</v>
      </c>
    </row>
    <row r="1056" spans="30:82" x14ac:dyDescent="0.25">
      <c r="CD1056" t="e" cm="1">
        <f t="array" aca="1" ref="CD1056" ca="1">eConcatenar(A1040:CB1040,"|")</f>
        <v>#NAME?</v>
      </c>
    </row>
    <row r="1057" spans="82:82" x14ac:dyDescent="0.25">
      <c r="CD1057" t="e" cm="1">
        <f t="array" aca="1" ref="CD1057" ca="1">eConcatenar(A1041:CB1041,"|")</f>
        <v>#NAME?</v>
      </c>
    </row>
    <row r="1058" spans="82:82" x14ac:dyDescent="0.25">
      <c r="CD1058" t="e" cm="1">
        <f t="array" aca="1" ref="CD1058" ca="1">eConcatenar(A1042:CB1042,"|")</f>
        <v>#NAME?</v>
      </c>
    </row>
    <row r="1059" spans="82:82" x14ac:dyDescent="0.25">
      <c r="CD1059" t="e" cm="1">
        <f t="array" aca="1" ref="CD1059" ca="1">eConcatenar(A1043:CB1043,"|")</f>
        <v>#NAME?</v>
      </c>
    </row>
    <row r="1060" spans="82:82" x14ac:dyDescent="0.25">
      <c r="CD1060" t="e" cm="1">
        <f t="array" aca="1" ref="CD1060" ca="1">eConcatenar(A1044:CB1044,"|")</f>
        <v>#NAME?</v>
      </c>
    </row>
    <row r="1061" spans="82:82" x14ac:dyDescent="0.25">
      <c r="CD1061" t="e" cm="1">
        <f t="array" aca="1" ref="CD1061" ca="1">eConcatenar(A1045:CB1045,"|")</f>
        <v>#NAME?</v>
      </c>
    </row>
    <row r="1062" spans="82:82" x14ac:dyDescent="0.25">
      <c r="CD1062" t="e" cm="1">
        <f t="array" aca="1" ref="CD1062" ca="1">eConcatenar(A1046:CB1046,"|")</f>
        <v>#NAME?</v>
      </c>
    </row>
    <row r="1063" spans="82:82" x14ac:dyDescent="0.25">
      <c r="CD1063" t="e" cm="1">
        <f t="array" aca="1" ref="CD1063" ca="1">eConcatenar(A1047:CB1047,"|")</f>
        <v>#NAME?</v>
      </c>
    </row>
    <row r="1064" spans="82:82" x14ac:dyDescent="0.25">
      <c r="CD1064" t="e" cm="1">
        <f t="array" aca="1" ref="CD1064" ca="1">eConcatenar(A1048:CB1048,"|")</f>
        <v>#NAME?</v>
      </c>
    </row>
    <row r="1065" spans="82:82" x14ac:dyDescent="0.25">
      <c r="CD1065" t="e" cm="1">
        <f t="array" aca="1" ref="CD1065" ca="1">eConcatenar(A1049:CB1049,"|")</f>
        <v>#NAME?</v>
      </c>
    </row>
    <row r="1066" spans="82:82" x14ac:dyDescent="0.25">
      <c r="CD1066" t="e" cm="1">
        <f t="array" aca="1" ref="CD1066" ca="1">eConcatenar(A1050:CB1050,"|")</f>
        <v>#NAME?</v>
      </c>
    </row>
    <row r="1067" spans="82:82" x14ac:dyDescent="0.25">
      <c r="CD1067" t="e" cm="1">
        <f t="array" aca="1" ref="CD1067" ca="1">eConcatenar(A1051:CB1051,"|")</f>
        <v>#NAME?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3D90F-76ED-4072-833E-0D44300FBED2}">
  <dimension ref="A1:B1048"/>
  <sheetViews>
    <sheetView workbookViewId="0">
      <selection activeCell="F17" sqref="F17"/>
    </sheetView>
  </sheetViews>
  <sheetFormatPr baseColWidth="10" defaultRowHeight="15" x14ac:dyDescent="0.25"/>
  <sheetData>
    <row r="1" spans="1:2" x14ac:dyDescent="0.25">
      <c r="A1" s="9" t="s">
        <v>1105</v>
      </c>
      <c r="B1" s="9" t="str">
        <f t="shared" ref="B1:B64" si="0">_xlfn.CONCAT(A1,"|","final")</f>
        <v>CAR2019-0891|final</v>
      </c>
    </row>
    <row r="2" spans="1:2" x14ac:dyDescent="0.25">
      <c r="A2" s="9" t="s">
        <v>1106</v>
      </c>
      <c r="B2" s="9" t="str">
        <f t="shared" si="0"/>
        <v>CAR2021-6208|final</v>
      </c>
    </row>
    <row r="3" spans="1:2" x14ac:dyDescent="0.25">
      <c r="A3" s="9" t="s">
        <v>1107</v>
      </c>
      <c r="B3" s="9" t="str">
        <f t="shared" si="0"/>
        <v>COM2021-3105|final</v>
      </c>
    </row>
    <row r="4" spans="1:2" x14ac:dyDescent="0.25">
      <c r="A4" s="9" t="s">
        <v>1108</v>
      </c>
      <c r="B4" s="9" t="str">
        <f t="shared" si="0"/>
        <v>CAR2021-7607|final</v>
      </c>
    </row>
    <row r="5" spans="1:2" x14ac:dyDescent="0.25">
      <c r="A5" s="9" t="s">
        <v>1109</v>
      </c>
      <c r="B5" s="9" t="str">
        <f t="shared" si="0"/>
        <v>CAR2021-7602|final</v>
      </c>
    </row>
    <row r="6" spans="1:2" x14ac:dyDescent="0.25">
      <c r="A6" s="9" t="s">
        <v>1110</v>
      </c>
      <c r="B6" s="9" t="str">
        <f t="shared" si="0"/>
        <v>CAR2021-6403|final</v>
      </c>
    </row>
    <row r="7" spans="1:2" x14ac:dyDescent="0.25">
      <c r="A7" s="9" t="s">
        <v>1111</v>
      </c>
      <c r="B7" s="9" t="str">
        <f t="shared" si="0"/>
        <v>CAR2021-6474|final</v>
      </c>
    </row>
    <row r="8" spans="1:2" x14ac:dyDescent="0.25">
      <c r="A8" s="9" t="s">
        <v>1112</v>
      </c>
      <c r="B8" s="9" t="str">
        <f t="shared" si="0"/>
        <v>CAR2021-6487|final</v>
      </c>
    </row>
    <row r="9" spans="1:2" x14ac:dyDescent="0.25">
      <c r="A9" s="9" t="s">
        <v>1113</v>
      </c>
      <c r="B9" s="9" t="str">
        <f t="shared" si="0"/>
        <v>CAR2021-6681|final</v>
      </c>
    </row>
    <row r="10" spans="1:2" x14ac:dyDescent="0.25">
      <c r="A10" s="9" t="s">
        <v>1114</v>
      </c>
      <c r="B10" s="9" t="str">
        <f t="shared" si="0"/>
        <v>CAR2021-7288|final</v>
      </c>
    </row>
    <row r="11" spans="1:2" x14ac:dyDescent="0.25">
      <c r="A11" s="9" t="s">
        <v>1115</v>
      </c>
      <c r="B11" s="9" t="str">
        <f t="shared" si="0"/>
        <v>CAR2021-7035|final</v>
      </c>
    </row>
    <row r="12" spans="1:2" x14ac:dyDescent="0.25">
      <c r="A12" s="9" t="s">
        <v>1116</v>
      </c>
      <c r="B12" s="9" t="str">
        <f t="shared" si="0"/>
        <v>PAR2021-2249|final</v>
      </c>
    </row>
    <row r="13" spans="1:2" x14ac:dyDescent="0.25">
      <c r="A13" s="9" t="s">
        <v>1117</v>
      </c>
      <c r="B13" s="9" t="str">
        <f t="shared" si="0"/>
        <v>PAR2021-3349|final</v>
      </c>
    </row>
    <row r="14" spans="1:2" x14ac:dyDescent="0.25">
      <c r="A14" s="9" t="s">
        <v>1118</v>
      </c>
      <c r="B14" s="9" t="str">
        <f t="shared" si="0"/>
        <v>PAR2021-0101|final</v>
      </c>
    </row>
    <row r="15" spans="1:2" x14ac:dyDescent="0.25">
      <c r="A15" s="9" t="s">
        <v>1119</v>
      </c>
      <c r="B15" s="9" t="str">
        <f t="shared" si="0"/>
        <v>COM2021-3709|final</v>
      </c>
    </row>
    <row r="16" spans="1:2" x14ac:dyDescent="0.25">
      <c r="A16" s="9" t="s">
        <v>1120</v>
      </c>
      <c r="B16" s="9" t="str">
        <f t="shared" si="0"/>
        <v>COM2021-3716|final</v>
      </c>
    </row>
    <row r="17" spans="1:2" x14ac:dyDescent="0.25">
      <c r="A17" s="9" t="s">
        <v>1121</v>
      </c>
      <c r="B17" s="9" t="str">
        <f t="shared" si="0"/>
        <v>COM2021-3967|final</v>
      </c>
    </row>
    <row r="18" spans="1:2" x14ac:dyDescent="0.25">
      <c r="A18" s="9" t="s">
        <v>1122</v>
      </c>
      <c r="B18" s="9" t="str">
        <f t="shared" si="0"/>
        <v>COM2021-3327|final</v>
      </c>
    </row>
    <row r="19" spans="1:2" x14ac:dyDescent="0.25">
      <c r="A19" s="9" t="s">
        <v>1123</v>
      </c>
      <c r="B19" s="9" t="str">
        <f t="shared" si="0"/>
        <v>COM2021-3329|final</v>
      </c>
    </row>
    <row r="20" spans="1:2" x14ac:dyDescent="0.25">
      <c r="A20" s="9" t="s">
        <v>1124</v>
      </c>
      <c r="B20" s="9" t="str">
        <f t="shared" si="0"/>
        <v>COM2022-0425|final</v>
      </c>
    </row>
    <row r="21" spans="1:2" x14ac:dyDescent="0.25">
      <c r="A21" s="9" t="s">
        <v>1125</v>
      </c>
      <c r="B21" s="9" t="str">
        <f t="shared" si="0"/>
        <v>CAR2022-0490|final</v>
      </c>
    </row>
    <row r="22" spans="1:2" x14ac:dyDescent="0.25">
      <c r="A22" s="9" t="s">
        <v>1126</v>
      </c>
      <c r="B22" s="9" t="str">
        <f t="shared" si="0"/>
        <v>CAR2021-0274|final</v>
      </c>
    </row>
    <row r="23" spans="1:2" x14ac:dyDescent="0.25">
      <c r="A23" s="9" t="s">
        <v>1127</v>
      </c>
      <c r="B23" s="9" t="str">
        <f t="shared" si="0"/>
        <v>CAR2021-7452|final</v>
      </c>
    </row>
    <row r="24" spans="1:2" x14ac:dyDescent="0.25">
      <c r="A24" s="9" t="s">
        <v>1128</v>
      </c>
      <c r="B24" s="9" t="str">
        <f t="shared" si="0"/>
        <v>CAR2021-6209|final</v>
      </c>
    </row>
    <row r="25" spans="1:2" x14ac:dyDescent="0.25">
      <c r="A25" s="9" t="s">
        <v>1129</v>
      </c>
      <c r="B25" s="9" t="str">
        <f t="shared" si="0"/>
        <v>CAR2021-0805|final</v>
      </c>
    </row>
    <row r="26" spans="1:2" x14ac:dyDescent="0.25">
      <c r="A26" s="9" t="s">
        <v>1130</v>
      </c>
      <c r="B26" s="9" t="str">
        <f t="shared" si="0"/>
        <v>CAR2021-5496|final</v>
      </c>
    </row>
    <row r="27" spans="1:2" x14ac:dyDescent="0.25">
      <c r="A27" s="9" t="s">
        <v>1131</v>
      </c>
      <c r="B27" s="9" t="str">
        <f t="shared" si="0"/>
        <v>CAR2021-6210|final</v>
      </c>
    </row>
    <row r="28" spans="1:2" x14ac:dyDescent="0.25">
      <c r="A28" s="9" t="s">
        <v>1132</v>
      </c>
      <c r="B28" s="9" t="str">
        <f t="shared" si="0"/>
        <v>COM2020-0979|final</v>
      </c>
    </row>
    <row r="29" spans="1:2" x14ac:dyDescent="0.25">
      <c r="A29" s="9" t="s">
        <v>1133</v>
      </c>
      <c r="B29" s="9" t="str">
        <f t="shared" si="0"/>
        <v>PAR2018-1817|final</v>
      </c>
    </row>
    <row r="30" spans="1:2" x14ac:dyDescent="0.25">
      <c r="A30" s="9" t="s">
        <v>1134</v>
      </c>
      <c r="B30" s="9" t="str">
        <f t="shared" si="0"/>
        <v>PAR2020-0158|final</v>
      </c>
    </row>
    <row r="31" spans="1:2" x14ac:dyDescent="0.25">
      <c r="A31" s="9" t="s">
        <v>1135</v>
      </c>
      <c r="B31" s="9" t="str">
        <f t="shared" si="0"/>
        <v>CAR2021-6628|final</v>
      </c>
    </row>
    <row r="32" spans="1:2" x14ac:dyDescent="0.25">
      <c r="A32" s="9" t="s">
        <v>1136</v>
      </c>
      <c r="B32" s="9" t="str">
        <f t="shared" si="0"/>
        <v>CAR2021-5481|final</v>
      </c>
    </row>
    <row r="33" spans="1:2" x14ac:dyDescent="0.25">
      <c r="A33" s="9" t="s">
        <v>1137</v>
      </c>
      <c r="B33" s="9" t="str">
        <f t="shared" si="0"/>
        <v>CAR2021-5653|final</v>
      </c>
    </row>
    <row r="34" spans="1:2" x14ac:dyDescent="0.25">
      <c r="A34" s="9" t="s">
        <v>1138</v>
      </c>
      <c r="B34" s="9" t="str">
        <f t="shared" si="0"/>
        <v>CAR2921-5618|final</v>
      </c>
    </row>
    <row r="35" spans="1:2" x14ac:dyDescent="0.25">
      <c r="A35" s="9" t="s">
        <v>1139</v>
      </c>
      <c r="B35" s="9" t="str">
        <f t="shared" si="0"/>
        <v>CAR2021-6682|final</v>
      </c>
    </row>
    <row r="36" spans="1:2" x14ac:dyDescent="0.25">
      <c r="A36" s="9" t="s">
        <v>1140</v>
      </c>
      <c r="B36" s="9" t="str">
        <f t="shared" si="0"/>
        <v>CAR2019-3580|final</v>
      </c>
    </row>
    <row r="37" spans="1:2" x14ac:dyDescent="0.25">
      <c r="A37" s="9" t="s">
        <v>1141</v>
      </c>
      <c r="B37" s="9" t="str">
        <f t="shared" si="0"/>
        <v>CAR2021-6077|final</v>
      </c>
    </row>
    <row r="38" spans="1:2" x14ac:dyDescent="0.25">
      <c r="A38" s="9" t="s">
        <v>1142</v>
      </c>
      <c r="B38" s="9" t="str">
        <f t="shared" si="0"/>
        <v>CAR2017-2704|final</v>
      </c>
    </row>
    <row r="39" spans="1:2" x14ac:dyDescent="0.25">
      <c r="A39" s="9" t="s">
        <v>1143</v>
      </c>
      <c r="B39" s="9" t="str">
        <f t="shared" si="0"/>
        <v>CAR2021-5484|final</v>
      </c>
    </row>
    <row r="40" spans="1:2" x14ac:dyDescent="0.25">
      <c r="A40" s="9" t="s">
        <v>1144</v>
      </c>
      <c r="B40" s="9" t="str">
        <f t="shared" si="0"/>
        <v>CAR2021-6895|final</v>
      </c>
    </row>
    <row r="41" spans="1:2" x14ac:dyDescent="0.25">
      <c r="A41" s="9" t="s">
        <v>1145</v>
      </c>
      <c r="B41" s="9" t="str">
        <f t="shared" si="0"/>
        <v>CAR2021-6418|final</v>
      </c>
    </row>
    <row r="42" spans="1:2" x14ac:dyDescent="0.25">
      <c r="A42" s="9" t="s">
        <v>1146</v>
      </c>
      <c r="B42" s="9" t="str">
        <f t="shared" si="0"/>
        <v>CAR2021-6641|final</v>
      </c>
    </row>
    <row r="43" spans="1:2" x14ac:dyDescent="0.25">
      <c r="A43" s="9" t="s">
        <v>1147</v>
      </c>
      <c r="B43" s="9" t="str">
        <f t="shared" si="0"/>
        <v>CAR2021-5211|final</v>
      </c>
    </row>
    <row r="44" spans="1:2" x14ac:dyDescent="0.25">
      <c r="A44" s="9" t="s">
        <v>1148</v>
      </c>
      <c r="B44" s="9" t="str">
        <f t="shared" si="0"/>
        <v>CAR2021-5801|final</v>
      </c>
    </row>
    <row r="45" spans="1:2" x14ac:dyDescent="0.25">
      <c r="A45" s="9" t="s">
        <v>1149</v>
      </c>
      <c r="B45" s="9" t="str">
        <f t="shared" si="0"/>
        <v>CAR2021-7442|final</v>
      </c>
    </row>
    <row r="46" spans="1:2" x14ac:dyDescent="0.25">
      <c r="A46" s="9" t="s">
        <v>1150</v>
      </c>
      <c r="B46" s="9" t="str">
        <f t="shared" si="0"/>
        <v>PAR2021-3176|final</v>
      </c>
    </row>
    <row r="47" spans="1:2" x14ac:dyDescent="0.25">
      <c r="A47" s="9" t="s">
        <v>1151</v>
      </c>
      <c r="B47" s="9" t="str">
        <f t="shared" si="0"/>
        <v>CAR2020-1048|final</v>
      </c>
    </row>
    <row r="48" spans="1:2" x14ac:dyDescent="0.25">
      <c r="A48" s="9" t="s">
        <v>1152</v>
      </c>
      <c r="B48" s="9" t="str">
        <f t="shared" si="0"/>
        <v>COM2022-0105|final</v>
      </c>
    </row>
    <row r="49" spans="1:2" x14ac:dyDescent="0.25">
      <c r="A49" s="9" t="s">
        <v>1153</v>
      </c>
      <c r="B49" s="9" t="str">
        <f t="shared" si="0"/>
        <v>COM2021-3108|final</v>
      </c>
    </row>
    <row r="50" spans="1:2" x14ac:dyDescent="0.25">
      <c r="A50" s="9" t="s">
        <v>1154</v>
      </c>
      <c r="B50" s="9" t="str">
        <f t="shared" si="0"/>
        <v>PAR2020-3396|final</v>
      </c>
    </row>
    <row r="51" spans="1:2" x14ac:dyDescent="0.25">
      <c r="A51" s="9" t="s">
        <v>1155</v>
      </c>
      <c r="B51" s="9" t="str">
        <f t="shared" si="0"/>
        <v>PAR2017-3369|final</v>
      </c>
    </row>
    <row r="52" spans="1:2" x14ac:dyDescent="0.25">
      <c r="A52" s="9" t="s">
        <v>1156</v>
      </c>
      <c r="B52" s="9" t="str">
        <f t="shared" si="0"/>
        <v>CAR2021-5843|final</v>
      </c>
    </row>
    <row r="53" spans="1:2" x14ac:dyDescent="0.25">
      <c r="A53" s="9" t="s">
        <v>1157</v>
      </c>
      <c r="B53" s="9" t="str">
        <f t="shared" si="0"/>
        <v>CAR2021-5485|final</v>
      </c>
    </row>
    <row r="54" spans="1:2" x14ac:dyDescent="0.25">
      <c r="A54" s="9" t="s">
        <v>1158</v>
      </c>
      <c r="B54" s="9" t="str">
        <f t="shared" si="0"/>
        <v>CAR2017-2921|final</v>
      </c>
    </row>
    <row r="55" spans="1:2" x14ac:dyDescent="0.25">
      <c r="A55" s="9" t="s">
        <v>1159</v>
      </c>
      <c r="B55" s="9" t="str">
        <f t="shared" si="0"/>
        <v>CAR2021-6283|final</v>
      </c>
    </row>
    <row r="56" spans="1:2" x14ac:dyDescent="0.25">
      <c r="A56" s="9" t="s">
        <v>1160</v>
      </c>
      <c r="B56" s="9" t="str">
        <f t="shared" si="0"/>
        <v>PAR2021-3321|final</v>
      </c>
    </row>
    <row r="57" spans="1:2" x14ac:dyDescent="0.25">
      <c r="A57" s="9" t="s">
        <v>1161</v>
      </c>
      <c r="B57" s="9" t="str">
        <f t="shared" si="0"/>
        <v>PAR2021-3578|final</v>
      </c>
    </row>
    <row r="58" spans="1:2" x14ac:dyDescent="0.25">
      <c r="A58" s="9" t="s">
        <v>1162</v>
      </c>
      <c r="B58" s="9" t="str">
        <f t="shared" si="0"/>
        <v>PAR2021-3547|final</v>
      </c>
    </row>
    <row r="59" spans="1:2" x14ac:dyDescent="0.25">
      <c r="A59" s="9" t="s">
        <v>1163</v>
      </c>
      <c r="B59" s="9" t="str">
        <f t="shared" si="0"/>
        <v>CAR2021-7546|final</v>
      </c>
    </row>
    <row r="60" spans="1:2" x14ac:dyDescent="0.25">
      <c r="A60" s="9" t="s">
        <v>1164</v>
      </c>
      <c r="B60" s="9" t="str">
        <f t="shared" si="0"/>
        <v>CAR2021-5434|final</v>
      </c>
    </row>
    <row r="61" spans="1:2" x14ac:dyDescent="0.25">
      <c r="A61" s="9" t="s">
        <v>1165</v>
      </c>
      <c r="B61" s="9" t="str">
        <f t="shared" si="0"/>
        <v>PAR2021-0707|final</v>
      </c>
    </row>
    <row r="62" spans="1:2" x14ac:dyDescent="0.25">
      <c r="A62" s="9" t="s">
        <v>1166</v>
      </c>
      <c r="B62" s="9" t="str">
        <f t="shared" si="0"/>
        <v>PAR2021-1158|final</v>
      </c>
    </row>
    <row r="63" spans="1:2" x14ac:dyDescent="0.25">
      <c r="A63" s="9" t="s">
        <v>1167</v>
      </c>
      <c r="B63" s="9" t="str">
        <f t="shared" si="0"/>
        <v>PAR2021-3383|final</v>
      </c>
    </row>
    <row r="64" spans="1:2" x14ac:dyDescent="0.25">
      <c r="A64" s="9" t="s">
        <v>1168</v>
      </c>
      <c r="B64" s="9" t="str">
        <f t="shared" si="0"/>
        <v>PAR2021-3385|final</v>
      </c>
    </row>
    <row r="65" spans="1:2" x14ac:dyDescent="0.25">
      <c r="A65" s="9" t="s">
        <v>1169</v>
      </c>
      <c r="B65" s="9" t="str">
        <f t="shared" ref="B65:B128" si="1">_xlfn.CONCAT(A65,"|","final")</f>
        <v>COM2021-1136|final</v>
      </c>
    </row>
    <row r="66" spans="1:2" x14ac:dyDescent="0.25">
      <c r="A66" s="9" t="s">
        <v>1170</v>
      </c>
      <c r="B66" s="9" t="str">
        <f t="shared" si="1"/>
        <v>PAR2021-3334|final</v>
      </c>
    </row>
    <row r="67" spans="1:2" x14ac:dyDescent="0.25">
      <c r="A67" s="9" t="s">
        <v>1171</v>
      </c>
      <c r="B67" s="9" t="str">
        <f t="shared" si="1"/>
        <v>PAR2021-3142|final</v>
      </c>
    </row>
    <row r="68" spans="1:2" x14ac:dyDescent="0.25">
      <c r="A68" s="9" t="s">
        <v>1172</v>
      </c>
      <c r="B68" s="9" t="str">
        <f t="shared" si="1"/>
        <v>PAR2021-3573|final</v>
      </c>
    </row>
    <row r="69" spans="1:2" x14ac:dyDescent="0.25">
      <c r="A69" s="9" t="s">
        <v>1173</v>
      </c>
      <c r="B69" s="9" t="str">
        <f t="shared" si="1"/>
        <v>PAR2021-3500|final</v>
      </c>
    </row>
    <row r="70" spans="1:2" x14ac:dyDescent="0.25">
      <c r="A70" s="9" t="s">
        <v>1174</v>
      </c>
      <c r="B70" s="9" t="str">
        <f t="shared" si="1"/>
        <v>COM2021-3168|final</v>
      </c>
    </row>
    <row r="71" spans="1:2" x14ac:dyDescent="0.25">
      <c r="A71" s="9" t="s">
        <v>1175</v>
      </c>
      <c r="B71" s="9" t="str">
        <f t="shared" si="1"/>
        <v>PAR2021-3359|final</v>
      </c>
    </row>
    <row r="72" spans="1:2" x14ac:dyDescent="0.25">
      <c r="A72" s="9" t="s">
        <v>1176</v>
      </c>
      <c r="B72" s="9" t="str">
        <f t="shared" si="1"/>
        <v>COM2020-3531|final</v>
      </c>
    </row>
    <row r="73" spans="1:2" x14ac:dyDescent="0.25">
      <c r="A73" s="9" t="s">
        <v>1177</v>
      </c>
      <c r="B73" s="9" t="str">
        <f t="shared" si="1"/>
        <v>PAR2021-1171|final</v>
      </c>
    </row>
    <row r="74" spans="1:2" x14ac:dyDescent="0.25">
      <c r="A74" s="9" t="s">
        <v>1178</v>
      </c>
      <c r="B74" s="9" t="str">
        <f t="shared" si="1"/>
        <v>PAR2021-1133|final</v>
      </c>
    </row>
    <row r="75" spans="1:2" x14ac:dyDescent="0.25">
      <c r="A75" s="9" t="s">
        <v>1179</v>
      </c>
      <c r="B75" s="9" t="str">
        <f t="shared" si="1"/>
        <v>PAR2019-1418|final</v>
      </c>
    </row>
    <row r="76" spans="1:2" x14ac:dyDescent="0.25">
      <c r="A76" s="9" t="s">
        <v>1180</v>
      </c>
      <c r="B76" s="9" t="str">
        <f t="shared" si="1"/>
        <v>PAR2020-3162|final</v>
      </c>
    </row>
    <row r="77" spans="1:2" x14ac:dyDescent="0.25">
      <c r="A77" s="9" t="s">
        <v>1181</v>
      </c>
      <c r="B77" s="9" t="str">
        <f t="shared" si="1"/>
        <v>PAR2021-2157|final</v>
      </c>
    </row>
    <row r="78" spans="1:2" x14ac:dyDescent="0.25">
      <c r="A78" s="9" t="s">
        <v>1182</v>
      </c>
      <c r="B78" s="9" t="str">
        <f t="shared" si="1"/>
        <v>PAR2021-3376|final</v>
      </c>
    </row>
    <row r="79" spans="1:2" x14ac:dyDescent="0.25">
      <c r="A79" s="9" t="s">
        <v>1183</v>
      </c>
      <c r="B79" s="9" t="str">
        <f t="shared" si="1"/>
        <v>PAR2020-1762|final</v>
      </c>
    </row>
    <row r="80" spans="1:2" x14ac:dyDescent="0.25">
      <c r="A80" s="9" t="s">
        <v>1184</v>
      </c>
      <c r="B80" s="9" t="str">
        <f t="shared" si="1"/>
        <v>PAR2019-2551|final</v>
      </c>
    </row>
    <row r="81" spans="1:2" x14ac:dyDescent="0.25">
      <c r="A81" s="9" t="s">
        <v>1185</v>
      </c>
      <c r="B81" s="9" t="str">
        <f t="shared" si="1"/>
        <v>PAR2020-3528|final</v>
      </c>
    </row>
    <row r="82" spans="1:2" x14ac:dyDescent="0.25">
      <c r="A82" s="9" t="s">
        <v>1186</v>
      </c>
      <c r="B82" s="9" t="str">
        <f t="shared" si="1"/>
        <v>PAR2021-1142|final</v>
      </c>
    </row>
    <row r="83" spans="1:2" x14ac:dyDescent="0.25">
      <c r="A83" s="9" t="s">
        <v>1187</v>
      </c>
      <c r="B83" s="9" t="str">
        <f t="shared" si="1"/>
        <v>COM2021-3917|final</v>
      </c>
    </row>
    <row r="84" spans="1:2" x14ac:dyDescent="0.25">
      <c r="A84" s="9" t="s">
        <v>1188</v>
      </c>
      <c r="B84" s="9" t="str">
        <f t="shared" si="1"/>
        <v>COM2022-0131|final</v>
      </c>
    </row>
    <row r="85" spans="1:2" x14ac:dyDescent="0.25">
      <c r="A85" s="9" t="s">
        <v>1189</v>
      </c>
      <c r="B85" s="9" t="str">
        <f t="shared" si="1"/>
        <v>COM2021-3541|final</v>
      </c>
    </row>
    <row r="86" spans="1:2" x14ac:dyDescent="0.25">
      <c r="A86" s="9" t="s">
        <v>1190</v>
      </c>
      <c r="B86" s="9" t="str">
        <f t="shared" si="1"/>
        <v>COM2021-3522|final</v>
      </c>
    </row>
    <row r="87" spans="1:2" x14ac:dyDescent="0.25">
      <c r="A87" s="9" t="s">
        <v>1191</v>
      </c>
      <c r="B87" s="9" t="str">
        <f t="shared" si="1"/>
        <v>CAR2020-4252|final</v>
      </c>
    </row>
    <row r="88" spans="1:2" x14ac:dyDescent="0.25">
      <c r="A88" s="9" t="s">
        <v>1192</v>
      </c>
      <c r="B88" s="9" t="str">
        <f t="shared" si="1"/>
        <v>CAR2021-7604|final</v>
      </c>
    </row>
    <row r="89" spans="1:2" x14ac:dyDescent="0.25">
      <c r="A89" s="9" t="s">
        <v>1193</v>
      </c>
      <c r="B89" s="9" t="str">
        <f t="shared" si="1"/>
        <v>CAR2021-7610|final</v>
      </c>
    </row>
    <row r="90" spans="1:2" x14ac:dyDescent="0.25">
      <c r="A90" s="9" t="s">
        <v>1194</v>
      </c>
      <c r="B90" s="9" t="str">
        <f t="shared" si="1"/>
        <v>CAR2019-1908|final</v>
      </c>
    </row>
    <row r="91" spans="1:2" x14ac:dyDescent="0.25">
      <c r="A91" s="9" t="s">
        <v>1195</v>
      </c>
      <c r="B91" s="9" t="str">
        <f t="shared" si="1"/>
        <v>COM2020-1716|final</v>
      </c>
    </row>
    <row r="92" spans="1:2" x14ac:dyDescent="0.25">
      <c r="A92" s="9" t="s">
        <v>1196</v>
      </c>
      <c r="B92" s="9" t="str">
        <f t="shared" si="1"/>
        <v>CAR2021-6091|final</v>
      </c>
    </row>
    <row r="93" spans="1:2" x14ac:dyDescent="0.25">
      <c r="A93" s="9" t="s">
        <v>1197</v>
      </c>
      <c r="B93" s="9" t="str">
        <f t="shared" si="1"/>
        <v>COM2020-1997|final</v>
      </c>
    </row>
    <row r="94" spans="1:2" x14ac:dyDescent="0.25">
      <c r="A94" s="9" t="s">
        <v>1198</v>
      </c>
      <c r="B94" s="9" t="str">
        <f t="shared" si="1"/>
        <v>CAR2019-3748|final</v>
      </c>
    </row>
    <row r="95" spans="1:2" x14ac:dyDescent="0.25">
      <c r="A95" s="9" t="s">
        <v>1199</v>
      </c>
      <c r="B95" s="9" t="str">
        <f t="shared" si="1"/>
        <v>CAR2021-0445|final</v>
      </c>
    </row>
    <row r="96" spans="1:2" x14ac:dyDescent="0.25">
      <c r="A96" s="9" t="s">
        <v>1200</v>
      </c>
      <c r="B96" s="9" t="str">
        <f t="shared" si="1"/>
        <v>PAR2021-3971|final</v>
      </c>
    </row>
    <row r="97" spans="1:2" x14ac:dyDescent="0.25">
      <c r="A97" s="9" t="s">
        <v>1201</v>
      </c>
      <c r="B97" s="9" t="str">
        <f t="shared" si="1"/>
        <v>CAR2021-0547|final</v>
      </c>
    </row>
    <row r="98" spans="1:2" x14ac:dyDescent="0.25">
      <c r="A98" s="9" t="s">
        <v>1202</v>
      </c>
      <c r="B98" s="9" t="str">
        <f t="shared" si="1"/>
        <v>CAR2020-4620|final</v>
      </c>
    </row>
    <row r="99" spans="1:2" x14ac:dyDescent="0.25">
      <c r="A99" s="9" t="s">
        <v>1203</v>
      </c>
      <c r="B99" s="9" t="str">
        <f t="shared" si="1"/>
        <v>CAR2020-2017|final</v>
      </c>
    </row>
    <row r="100" spans="1:2" x14ac:dyDescent="0.25">
      <c r="A100" s="9" t="s">
        <v>1204</v>
      </c>
      <c r="B100" s="9" t="str">
        <f t="shared" si="1"/>
        <v>PAR2020-0187|final</v>
      </c>
    </row>
    <row r="101" spans="1:2" x14ac:dyDescent="0.25">
      <c r="A101" s="9" t="s">
        <v>1205</v>
      </c>
      <c r="B101" s="9" t="str">
        <f t="shared" si="1"/>
        <v>PAR2021-3514|final</v>
      </c>
    </row>
    <row r="102" spans="1:2" x14ac:dyDescent="0.25">
      <c r="A102" s="9" t="s">
        <v>1206</v>
      </c>
      <c r="B102" s="9" t="str">
        <f t="shared" si="1"/>
        <v>CAR2021-1550|final</v>
      </c>
    </row>
    <row r="103" spans="1:2" x14ac:dyDescent="0.25">
      <c r="A103" s="9" t="s">
        <v>1207</v>
      </c>
      <c r="B103" s="9" t="str">
        <f t="shared" si="1"/>
        <v>CAR2021-7580|final</v>
      </c>
    </row>
    <row r="104" spans="1:2" x14ac:dyDescent="0.25">
      <c r="A104" s="9" t="s">
        <v>1208</v>
      </c>
      <c r="B104" s="9" t="str">
        <f t="shared" si="1"/>
        <v>CAR2021-7431|final</v>
      </c>
    </row>
    <row r="105" spans="1:2" x14ac:dyDescent="0.25">
      <c r="A105" s="9" t="s">
        <v>1209</v>
      </c>
      <c r="B105" s="9" t="str">
        <f t="shared" si="1"/>
        <v>CAR2021-7542|final</v>
      </c>
    </row>
    <row r="106" spans="1:2" x14ac:dyDescent="0.25">
      <c r="A106" s="9" t="s">
        <v>1210</v>
      </c>
      <c r="B106" s="9" t="str">
        <f t="shared" si="1"/>
        <v>CAR2021-5688|final</v>
      </c>
    </row>
    <row r="107" spans="1:2" x14ac:dyDescent="0.25">
      <c r="A107" s="9" t="s">
        <v>1211</v>
      </c>
      <c r="B107" s="9" t="str">
        <f t="shared" si="1"/>
        <v>PAR2022-0235|final</v>
      </c>
    </row>
    <row r="108" spans="1:2" x14ac:dyDescent="0.25">
      <c r="A108" s="9" t="s">
        <v>1212</v>
      </c>
      <c r="B108" s="9" t="str">
        <f t="shared" si="1"/>
        <v>CAR2021-0413|final</v>
      </c>
    </row>
    <row r="109" spans="1:2" x14ac:dyDescent="0.25">
      <c r="A109" s="9" t="s">
        <v>1213</v>
      </c>
      <c r="B109" s="9" t="str">
        <f t="shared" si="1"/>
        <v>CAR2021-6828|final</v>
      </c>
    </row>
    <row r="110" spans="1:2" x14ac:dyDescent="0.25">
      <c r="A110" s="9" t="s">
        <v>1214</v>
      </c>
      <c r="B110" s="9" t="str">
        <f t="shared" si="1"/>
        <v>CAR2022-0422|final</v>
      </c>
    </row>
    <row r="111" spans="1:2" x14ac:dyDescent="0.25">
      <c r="A111" s="9" t="s">
        <v>1215</v>
      </c>
      <c r="B111" s="9" t="str">
        <f t="shared" si="1"/>
        <v>CAR2020-4448|final</v>
      </c>
    </row>
    <row r="112" spans="1:2" x14ac:dyDescent="0.25">
      <c r="A112" s="9" t="s">
        <v>1216</v>
      </c>
      <c r="B112" s="9" t="str">
        <f t="shared" si="1"/>
        <v>COM2021-3157|final</v>
      </c>
    </row>
    <row r="113" spans="1:2" x14ac:dyDescent="0.25">
      <c r="A113" s="9" t="s">
        <v>1217</v>
      </c>
      <c r="B113" s="9" t="str">
        <f t="shared" si="1"/>
        <v>CAR2021-5807|final</v>
      </c>
    </row>
    <row r="114" spans="1:2" x14ac:dyDescent="0.25">
      <c r="A114" s="9" t="s">
        <v>1218</v>
      </c>
      <c r="B114" s="9" t="str">
        <f t="shared" si="1"/>
        <v>PAR2021-3515|final</v>
      </c>
    </row>
    <row r="115" spans="1:2" x14ac:dyDescent="0.25">
      <c r="A115" s="9" t="s">
        <v>1219</v>
      </c>
      <c r="B115" s="9" t="str">
        <f t="shared" si="1"/>
        <v>PAR2021-3396|final</v>
      </c>
    </row>
    <row r="116" spans="1:2" x14ac:dyDescent="0.25">
      <c r="A116" s="9" t="s">
        <v>1220</v>
      </c>
      <c r="B116" s="9" t="str">
        <f t="shared" si="1"/>
        <v>PAR2021-3397|final</v>
      </c>
    </row>
    <row r="117" spans="1:2" x14ac:dyDescent="0.25">
      <c r="A117" s="9" t="s">
        <v>1221</v>
      </c>
      <c r="B117" s="9" t="str">
        <f t="shared" si="1"/>
        <v>PAR2021-3399|final</v>
      </c>
    </row>
    <row r="118" spans="1:2" x14ac:dyDescent="0.25">
      <c r="A118" s="9" t="s">
        <v>1222</v>
      </c>
      <c r="B118" s="9" t="str">
        <f t="shared" si="1"/>
        <v>CAR2021-0467|final</v>
      </c>
    </row>
    <row r="119" spans="1:2" x14ac:dyDescent="0.25">
      <c r="A119" s="9" t="s">
        <v>1223</v>
      </c>
      <c r="B119" s="9" t="str">
        <f t="shared" si="1"/>
        <v>CAR2021-7475|final</v>
      </c>
    </row>
    <row r="120" spans="1:2" x14ac:dyDescent="0.25">
      <c r="A120" s="9" t="s">
        <v>1224</v>
      </c>
      <c r="B120" s="9" t="str">
        <f t="shared" si="1"/>
        <v>CAR2021-6821|final</v>
      </c>
    </row>
    <row r="121" spans="1:2" x14ac:dyDescent="0.25">
      <c r="A121" s="9" t="s">
        <v>1225</v>
      </c>
      <c r="B121" s="9" t="str">
        <f t="shared" si="1"/>
        <v>CAR2021-6691|final</v>
      </c>
    </row>
    <row r="122" spans="1:2" x14ac:dyDescent="0.25">
      <c r="A122" s="9" t="s">
        <v>1226</v>
      </c>
      <c r="B122" s="9" t="str">
        <f t="shared" si="1"/>
        <v>CAR2021-5897|final</v>
      </c>
    </row>
    <row r="123" spans="1:2" x14ac:dyDescent="0.25">
      <c r="A123" s="9" t="s">
        <v>1227</v>
      </c>
      <c r="B123" s="9" t="str">
        <f t="shared" si="1"/>
        <v>CAR2021-7586|final</v>
      </c>
    </row>
    <row r="124" spans="1:2" x14ac:dyDescent="0.25">
      <c r="A124" s="9" t="s">
        <v>1228</v>
      </c>
      <c r="B124" s="9" t="str">
        <f t="shared" si="1"/>
        <v>COM2021-3789|final</v>
      </c>
    </row>
    <row r="125" spans="1:2" x14ac:dyDescent="0.25">
      <c r="A125" s="9" t="s">
        <v>1229</v>
      </c>
      <c r="B125" s="9" t="str">
        <f t="shared" si="1"/>
        <v>COM2021-2512|final</v>
      </c>
    </row>
    <row r="126" spans="1:2" x14ac:dyDescent="0.25">
      <c r="A126" s="9" t="s">
        <v>1230</v>
      </c>
      <c r="B126" s="9" t="str">
        <f t="shared" si="1"/>
        <v>CAR2021-6649|final</v>
      </c>
    </row>
    <row r="127" spans="1:2" x14ac:dyDescent="0.25">
      <c r="A127" s="9" t="s">
        <v>1231</v>
      </c>
      <c r="B127" s="9" t="str">
        <f t="shared" si="1"/>
        <v>CAR2021-5802|final</v>
      </c>
    </row>
    <row r="128" spans="1:2" x14ac:dyDescent="0.25">
      <c r="A128" s="9" t="s">
        <v>1232</v>
      </c>
      <c r="B128" s="9" t="str">
        <f t="shared" si="1"/>
        <v>CAR2021-1431|final</v>
      </c>
    </row>
    <row r="129" spans="1:2" x14ac:dyDescent="0.25">
      <c r="A129" s="9" t="s">
        <v>1233</v>
      </c>
      <c r="B129" s="9" t="str">
        <f t="shared" ref="B129:B192" si="2">_xlfn.CONCAT(A129,"|","final")</f>
        <v>CAR2021-7275|final</v>
      </c>
    </row>
    <row r="130" spans="1:2" x14ac:dyDescent="0.25">
      <c r="A130" s="9" t="s">
        <v>1234</v>
      </c>
      <c r="B130" s="9" t="str">
        <f t="shared" si="2"/>
        <v>CAR2021-7439|final</v>
      </c>
    </row>
    <row r="131" spans="1:2" x14ac:dyDescent="0.25">
      <c r="A131" s="9" t="s">
        <v>1235</v>
      </c>
      <c r="B131" s="9" t="str">
        <f t="shared" si="2"/>
        <v>CAR2020-1691|final</v>
      </c>
    </row>
    <row r="132" spans="1:2" x14ac:dyDescent="0.25">
      <c r="A132" s="9" t="s">
        <v>1236</v>
      </c>
      <c r="B132" s="9" t="str">
        <f t="shared" si="2"/>
        <v>CAR2020-3226|final</v>
      </c>
    </row>
    <row r="133" spans="1:2" x14ac:dyDescent="0.25">
      <c r="A133" s="9" t="s">
        <v>1237</v>
      </c>
      <c r="B133" s="9" t="str">
        <f t="shared" si="2"/>
        <v>CAR2020-5452|final</v>
      </c>
    </row>
    <row r="134" spans="1:2" x14ac:dyDescent="0.25">
      <c r="A134" s="9" t="s">
        <v>1238</v>
      </c>
      <c r="B134" s="9" t="str">
        <f t="shared" si="2"/>
        <v>CAR2021-7450|final</v>
      </c>
    </row>
    <row r="135" spans="1:2" x14ac:dyDescent="0.25">
      <c r="A135" s="9" t="s">
        <v>1239</v>
      </c>
      <c r="B135" s="9" t="str">
        <f t="shared" si="2"/>
        <v>CAR2021-6072|final</v>
      </c>
    </row>
    <row r="136" spans="1:2" x14ac:dyDescent="0.25">
      <c r="A136" s="9" t="s">
        <v>1240</v>
      </c>
      <c r="B136" s="9" t="str">
        <f t="shared" si="2"/>
        <v>CAR2019-2144|final</v>
      </c>
    </row>
    <row r="137" spans="1:2" x14ac:dyDescent="0.25">
      <c r="A137" s="9" t="s">
        <v>1241</v>
      </c>
      <c r="B137" s="9" t="str">
        <f t="shared" si="2"/>
        <v>COM2019-0524|final</v>
      </c>
    </row>
    <row r="138" spans="1:2" x14ac:dyDescent="0.25">
      <c r="A138" s="9" t="s">
        <v>1242</v>
      </c>
      <c r="B138" s="9" t="str">
        <f t="shared" si="2"/>
        <v>CAR2020-3867|final</v>
      </c>
    </row>
    <row r="139" spans="1:2" x14ac:dyDescent="0.25">
      <c r="A139" s="9" t="s">
        <v>1243</v>
      </c>
      <c r="B139" s="9" t="str">
        <f t="shared" si="2"/>
        <v>CAR2021-2673|final</v>
      </c>
    </row>
    <row r="140" spans="1:2" x14ac:dyDescent="0.25">
      <c r="A140" s="9" t="s">
        <v>1244</v>
      </c>
      <c r="B140" s="9" t="str">
        <f t="shared" si="2"/>
        <v>CAR2021-5608|final</v>
      </c>
    </row>
    <row r="141" spans="1:2" x14ac:dyDescent="0.25">
      <c r="A141" s="9" t="s">
        <v>1245</v>
      </c>
      <c r="B141" s="9" t="str">
        <f t="shared" si="2"/>
        <v>CAR2021-0632|final</v>
      </c>
    </row>
    <row r="142" spans="1:2" x14ac:dyDescent="0.25">
      <c r="A142" s="9" t="s">
        <v>1246</v>
      </c>
      <c r="B142" s="9" t="str">
        <f t="shared" si="2"/>
        <v>CAR2020-0088|final</v>
      </c>
    </row>
    <row r="143" spans="1:2" x14ac:dyDescent="0.25">
      <c r="A143" s="9" t="s">
        <v>1247</v>
      </c>
      <c r="B143" s="9" t="str">
        <f t="shared" si="2"/>
        <v>CAR2020-4421|final</v>
      </c>
    </row>
    <row r="144" spans="1:2" x14ac:dyDescent="0.25">
      <c r="A144" s="9" t="s">
        <v>1248</v>
      </c>
      <c r="B144" s="9" t="str">
        <f t="shared" si="2"/>
        <v>CAR2020-0817|final</v>
      </c>
    </row>
    <row r="145" spans="1:2" x14ac:dyDescent="0.25">
      <c r="A145" s="9" t="s">
        <v>1249</v>
      </c>
      <c r="B145" s="9" t="str">
        <f t="shared" si="2"/>
        <v>CAR2021-0626|final</v>
      </c>
    </row>
    <row r="146" spans="1:2" x14ac:dyDescent="0.25">
      <c r="A146" s="9" t="s">
        <v>1250</v>
      </c>
      <c r="B146" s="9" t="str">
        <f t="shared" si="2"/>
        <v>CAR2020-4476|final</v>
      </c>
    </row>
    <row r="147" spans="1:2" x14ac:dyDescent="0.25">
      <c r="A147" s="9" t="s">
        <v>1251</v>
      </c>
      <c r="B147" s="9" t="str">
        <f t="shared" si="2"/>
        <v>COM2021-3799|final</v>
      </c>
    </row>
    <row r="148" spans="1:2" x14ac:dyDescent="0.25">
      <c r="A148" s="9" t="s">
        <v>1252</v>
      </c>
      <c r="B148" s="9" t="str">
        <f t="shared" si="2"/>
        <v>CAR2021-7210|final</v>
      </c>
    </row>
    <row r="149" spans="1:2" x14ac:dyDescent="0.25">
      <c r="A149" s="9" t="s">
        <v>1253</v>
      </c>
      <c r="B149" s="9" t="str">
        <f t="shared" si="2"/>
        <v>CAR2019-1091|final</v>
      </c>
    </row>
    <row r="150" spans="1:2" x14ac:dyDescent="0.25">
      <c r="A150" s="9" t="s">
        <v>1254</v>
      </c>
      <c r="B150" s="9" t="str">
        <f t="shared" si="2"/>
        <v>CAR2021-5858|final</v>
      </c>
    </row>
    <row r="151" spans="1:2" x14ac:dyDescent="0.25">
      <c r="A151" s="9" t="s">
        <v>1255</v>
      </c>
      <c r="B151" s="9" t="str">
        <f t="shared" si="2"/>
        <v>CAR2021-7005|final</v>
      </c>
    </row>
    <row r="152" spans="1:2" x14ac:dyDescent="0.25">
      <c r="A152" s="9" t="s">
        <v>1256</v>
      </c>
      <c r="B152" s="9" t="str">
        <f t="shared" si="2"/>
        <v>CAR2021-6840|final</v>
      </c>
    </row>
    <row r="153" spans="1:2" x14ac:dyDescent="0.25">
      <c r="A153" s="9" t="s">
        <v>1257</v>
      </c>
      <c r="B153" s="9" t="str">
        <f t="shared" si="2"/>
        <v>CAR2021-6637|final</v>
      </c>
    </row>
    <row r="154" spans="1:2" x14ac:dyDescent="0.25">
      <c r="A154" s="9" t="s">
        <v>1258</v>
      </c>
      <c r="B154" s="9" t="str">
        <f t="shared" si="2"/>
        <v>PAR2021-3333|final</v>
      </c>
    </row>
    <row r="155" spans="1:2" x14ac:dyDescent="0.25">
      <c r="A155" s="9" t="s">
        <v>1259</v>
      </c>
      <c r="B155" s="9" t="str">
        <f t="shared" si="2"/>
        <v>COM2019-3415|final</v>
      </c>
    </row>
    <row r="156" spans="1:2" x14ac:dyDescent="0.25">
      <c r="A156" s="9" t="s">
        <v>1260</v>
      </c>
      <c r="B156" s="9" t="str">
        <f t="shared" si="2"/>
        <v>COM2020-0191|final</v>
      </c>
    </row>
    <row r="157" spans="1:2" x14ac:dyDescent="0.25">
      <c r="A157" s="9" t="s">
        <v>1261</v>
      </c>
      <c r="B157" s="9" t="str">
        <f t="shared" si="2"/>
        <v>CAR2021-5808|final</v>
      </c>
    </row>
    <row r="158" spans="1:2" x14ac:dyDescent="0.25">
      <c r="A158" s="9" t="s">
        <v>1262</v>
      </c>
      <c r="B158" s="9" t="str">
        <f t="shared" si="2"/>
        <v>CAR2021-7055|final</v>
      </c>
    </row>
    <row r="159" spans="1:2" x14ac:dyDescent="0.25">
      <c r="A159" s="9" t="s">
        <v>1263</v>
      </c>
      <c r="B159" s="9" t="str">
        <f t="shared" si="2"/>
        <v>CAR2021-7052|final</v>
      </c>
    </row>
    <row r="160" spans="1:2" x14ac:dyDescent="0.25">
      <c r="A160" s="9" t="s">
        <v>1264</v>
      </c>
      <c r="B160" s="9" t="str">
        <f t="shared" si="2"/>
        <v>CAR2022-6684|final</v>
      </c>
    </row>
    <row r="161" spans="1:2" x14ac:dyDescent="0.25">
      <c r="A161" s="9" t="s">
        <v>1265</v>
      </c>
      <c r="B161" s="9" t="str">
        <f t="shared" si="2"/>
        <v>CAR2021-7201|final</v>
      </c>
    </row>
    <row r="162" spans="1:2" x14ac:dyDescent="0.25">
      <c r="A162" s="9" t="s">
        <v>1266</v>
      </c>
      <c r="B162" s="9" t="str">
        <f t="shared" si="2"/>
        <v>CAR2021-5695|final</v>
      </c>
    </row>
    <row r="163" spans="1:2" x14ac:dyDescent="0.25">
      <c r="A163" s="9" t="s">
        <v>1267</v>
      </c>
      <c r="B163" s="9" t="str">
        <f t="shared" si="2"/>
        <v>CAR2021-7479|final</v>
      </c>
    </row>
    <row r="164" spans="1:2" x14ac:dyDescent="0.25">
      <c r="A164" s="9" t="s">
        <v>1268</v>
      </c>
      <c r="B164" s="9" t="str">
        <f t="shared" si="2"/>
        <v>CAR2021-7401|final</v>
      </c>
    </row>
    <row r="165" spans="1:2" x14ac:dyDescent="0.25">
      <c r="A165" s="9" t="s">
        <v>1269</v>
      </c>
      <c r="B165" s="9" t="str">
        <f t="shared" si="2"/>
        <v>CAR2021-6415|final</v>
      </c>
    </row>
    <row r="166" spans="1:2" x14ac:dyDescent="0.25">
      <c r="A166" s="9" t="s">
        <v>1270</v>
      </c>
      <c r="B166" s="9" t="str">
        <f t="shared" si="2"/>
        <v>CAR2018-2638|final</v>
      </c>
    </row>
    <row r="167" spans="1:2" x14ac:dyDescent="0.25">
      <c r="A167" s="9" t="s">
        <v>1271</v>
      </c>
      <c r="B167" s="9" t="str">
        <f t="shared" si="2"/>
        <v>COM2021-3916|final</v>
      </c>
    </row>
    <row r="168" spans="1:2" x14ac:dyDescent="0.25">
      <c r="A168" s="9" t="s">
        <v>1272</v>
      </c>
      <c r="B168" s="9" t="str">
        <f t="shared" si="2"/>
        <v>CAR2020-3870|final</v>
      </c>
    </row>
    <row r="169" spans="1:2" x14ac:dyDescent="0.25">
      <c r="A169" s="9" t="s">
        <v>1273</v>
      </c>
      <c r="B169" s="9" t="str">
        <f t="shared" si="2"/>
        <v>COM2021-3197|final</v>
      </c>
    </row>
    <row r="170" spans="1:2" x14ac:dyDescent="0.25">
      <c r="A170" s="9" t="s">
        <v>1274</v>
      </c>
      <c r="B170" s="9" t="str">
        <f t="shared" si="2"/>
        <v>COM2020-0918|final</v>
      </c>
    </row>
    <row r="171" spans="1:2" x14ac:dyDescent="0.25">
      <c r="A171" s="9" t="s">
        <v>1275</v>
      </c>
      <c r="B171" s="9" t="str">
        <f t="shared" si="2"/>
        <v>COM2021-3366|final</v>
      </c>
    </row>
    <row r="172" spans="1:2" x14ac:dyDescent="0.25">
      <c r="A172" s="9" t="s">
        <v>1276</v>
      </c>
      <c r="B172" s="9" t="str">
        <f t="shared" si="2"/>
        <v>COM2021-1573|final</v>
      </c>
    </row>
    <row r="173" spans="1:2" x14ac:dyDescent="0.25">
      <c r="A173" s="9" t="s">
        <v>1277</v>
      </c>
      <c r="B173" s="9" t="str">
        <f t="shared" si="2"/>
        <v>CAR2021-7095|final</v>
      </c>
    </row>
    <row r="174" spans="1:2" x14ac:dyDescent="0.25">
      <c r="A174" s="9" t="s">
        <v>1278</v>
      </c>
      <c r="B174" s="9" t="str">
        <f t="shared" si="2"/>
        <v>CAR2021-7075|final</v>
      </c>
    </row>
    <row r="175" spans="1:2" x14ac:dyDescent="0.25">
      <c r="A175" s="9" t="s">
        <v>1279</v>
      </c>
      <c r="B175" s="9" t="str">
        <f t="shared" si="2"/>
        <v>CAR2018-2469|final</v>
      </c>
    </row>
    <row r="176" spans="1:2" x14ac:dyDescent="0.25">
      <c r="A176" s="9" t="s">
        <v>1280</v>
      </c>
      <c r="B176" s="9" t="str">
        <f t="shared" si="2"/>
        <v>CAR2021-0640|final</v>
      </c>
    </row>
    <row r="177" spans="1:2" x14ac:dyDescent="0.25">
      <c r="A177" s="9" t="s">
        <v>1281</v>
      </c>
      <c r="B177" s="9" t="str">
        <f t="shared" si="2"/>
        <v>CAR2021-3553|final</v>
      </c>
    </row>
    <row r="178" spans="1:2" x14ac:dyDescent="0.25">
      <c r="A178" s="9" t="s">
        <v>1282</v>
      </c>
      <c r="B178" s="9" t="str">
        <f t="shared" si="2"/>
        <v>CAR2021-0663|final</v>
      </c>
    </row>
    <row r="179" spans="1:2" x14ac:dyDescent="0.25">
      <c r="A179" s="9" t="s">
        <v>1283</v>
      </c>
      <c r="B179" s="9" t="str">
        <f t="shared" si="2"/>
        <v>PAR2019-2943|final</v>
      </c>
    </row>
    <row r="180" spans="1:2" x14ac:dyDescent="0.25">
      <c r="A180" s="9" t="s">
        <v>1284</v>
      </c>
      <c r="B180" s="9" t="str">
        <f t="shared" si="2"/>
        <v>PAR2019-2949|final</v>
      </c>
    </row>
    <row r="181" spans="1:2" x14ac:dyDescent="0.25">
      <c r="A181" s="9" t="s">
        <v>1285</v>
      </c>
      <c r="B181" s="9" t="str">
        <f t="shared" si="2"/>
        <v>PAR2022-0118|final</v>
      </c>
    </row>
    <row r="182" spans="1:2" x14ac:dyDescent="0.25">
      <c r="A182" s="9" t="s">
        <v>1286</v>
      </c>
      <c r="B182" s="9" t="str">
        <f t="shared" si="2"/>
        <v>PAR2022-0104|final</v>
      </c>
    </row>
    <row r="183" spans="1:2" x14ac:dyDescent="0.25">
      <c r="A183" s="9" t="s">
        <v>1287</v>
      </c>
      <c r="B183" s="9" t="str">
        <f t="shared" si="2"/>
        <v>PAR2019-2487|final</v>
      </c>
    </row>
    <row r="184" spans="1:2" x14ac:dyDescent="0.25">
      <c r="A184" s="9" t="s">
        <v>1288</v>
      </c>
      <c r="B184" s="9" t="str">
        <f t="shared" si="2"/>
        <v>PAR2019-2924|final</v>
      </c>
    </row>
    <row r="185" spans="1:2" x14ac:dyDescent="0.25">
      <c r="A185" s="9" t="s">
        <v>1289</v>
      </c>
      <c r="B185" s="9" t="str">
        <f t="shared" si="2"/>
        <v>PAR2019-1676|final</v>
      </c>
    </row>
    <row r="186" spans="1:2" x14ac:dyDescent="0.25">
      <c r="A186" s="9" t="s">
        <v>1290</v>
      </c>
      <c r="B186" s="9" t="str">
        <f t="shared" si="2"/>
        <v>PAR2019-1681|final</v>
      </c>
    </row>
    <row r="187" spans="1:2" x14ac:dyDescent="0.25">
      <c r="A187" s="9" t="s">
        <v>1291</v>
      </c>
      <c r="B187" s="9" t="str">
        <f t="shared" si="2"/>
        <v>CAR2021-1290|final</v>
      </c>
    </row>
    <row r="188" spans="1:2" x14ac:dyDescent="0.25">
      <c r="A188" s="9" t="s">
        <v>1292</v>
      </c>
      <c r="B188" s="9" t="str">
        <f t="shared" si="2"/>
        <v>CAR2019-1327|final</v>
      </c>
    </row>
    <row r="189" spans="1:2" x14ac:dyDescent="0.25">
      <c r="A189" s="9" t="s">
        <v>1293</v>
      </c>
      <c r="B189" s="9" t="str">
        <f t="shared" si="2"/>
        <v>CAR2021-6076|final</v>
      </c>
    </row>
    <row r="190" spans="1:2" x14ac:dyDescent="0.25">
      <c r="A190" s="9" t="s">
        <v>1294</v>
      </c>
      <c r="B190" s="9" t="str">
        <f t="shared" si="2"/>
        <v>CAR2021-0680|final</v>
      </c>
    </row>
    <row r="191" spans="1:2" x14ac:dyDescent="0.25">
      <c r="A191" s="9" t="s">
        <v>1295</v>
      </c>
      <c r="B191" s="9" t="str">
        <f t="shared" si="2"/>
        <v>CAR2019-2613|final</v>
      </c>
    </row>
    <row r="192" spans="1:2" x14ac:dyDescent="0.25">
      <c r="A192" s="9" t="s">
        <v>1296</v>
      </c>
      <c r="B192" s="9" t="str">
        <f t="shared" si="2"/>
        <v>PAR2021-0483|final</v>
      </c>
    </row>
    <row r="193" spans="1:2" x14ac:dyDescent="0.25">
      <c r="A193" s="9" t="s">
        <v>1297</v>
      </c>
      <c r="B193" s="9" t="str">
        <f t="shared" ref="B193:B256" si="3">_xlfn.CONCAT(A193,"|","final")</f>
        <v>PAR2021-3959|final</v>
      </c>
    </row>
    <row r="194" spans="1:2" x14ac:dyDescent="0.25">
      <c r="A194" s="9" t="s">
        <v>1298</v>
      </c>
      <c r="B194" s="9" t="str">
        <f t="shared" si="3"/>
        <v>PAR2019-2964|final</v>
      </c>
    </row>
    <row r="195" spans="1:2" x14ac:dyDescent="0.25">
      <c r="A195" s="9" t="s">
        <v>1299</v>
      </c>
      <c r="B195" s="9" t="str">
        <f t="shared" si="3"/>
        <v>PAR2021-3597|final</v>
      </c>
    </row>
    <row r="196" spans="1:2" x14ac:dyDescent="0.25">
      <c r="A196" s="9" t="s">
        <v>1300</v>
      </c>
      <c r="B196" s="9" t="str">
        <f t="shared" si="3"/>
        <v>PAR2020-3134|final</v>
      </c>
    </row>
    <row r="197" spans="1:2" x14ac:dyDescent="0.25">
      <c r="A197" s="9" t="s">
        <v>1301</v>
      </c>
      <c r="B197" s="9" t="str">
        <f t="shared" si="3"/>
        <v>PAR2019-1645|final</v>
      </c>
    </row>
    <row r="198" spans="1:2" x14ac:dyDescent="0.25">
      <c r="A198" s="9" t="s">
        <v>1302</v>
      </c>
      <c r="B198" s="9" t="str">
        <f t="shared" si="3"/>
        <v>PAR2021-3529|final</v>
      </c>
    </row>
    <row r="199" spans="1:2" x14ac:dyDescent="0.25">
      <c r="A199" s="9" t="s">
        <v>1303</v>
      </c>
      <c r="B199" s="9" t="str">
        <f t="shared" si="3"/>
        <v>PAR2019-2765|final</v>
      </c>
    </row>
    <row r="200" spans="1:2" x14ac:dyDescent="0.25">
      <c r="A200" s="9" t="s">
        <v>1304</v>
      </c>
      <c r="B200" s="9" t="str">
        <f t="shared" si="3"/>
        <v>PAR2021-1923|final</v>
      </c>
    </row>
    <row r="201" spans="1:2" x14ac:dyDescent="0.25">
      <c r="A201" s="9" t="s">
        <v>1305</v>
      </c>
      <c r="B201" s="9" t="str">
        <f t="shared" si="3"/>
        <v>PAR2021-3904|final</v>
      </c>
    </row>
    <row r="202" spans="1:2" x14ac:dyDescent="0.25">
      <c r="A202" s="9" t="s">
        <v>1306</v>
      </c>
      <c r="B202" s="9" t="str">
        <f t="shared" si="3"/>
        <v>PAR2019-2965|final</v>
      </c>
    </row>
    <row r="203" spans="1:2" x14ac:dyDescent="0.25">
      <c r="A203" s="9" t="s">
        <v>1307</v>
      </c>
      <c r="B203" s="9" t="str">
        <f t="shared" si="3"/>
        <v>CAR2021-6022|final</v>
      </c>
    </row>
    <row r="204" spans="1:2" x14ac:dyDescent="0.25">
      <c r="A204" s="9" t="s">
        <v>1308</v>
      </c>
      <c r="B204" s="9" t="str">
        <f t="shared" si="3"/>
        <v>CAR2021-6833|final</v>
      </c>
    </row>
    <row r="205" spans="1:2" x14ac:dyDescent="0.25">
      <c r="A205" s="9" t="s">
        <v>1309</v>
      </c>
      <c r="B205" s="9" t="str">
        <f t="shared" si="3"/>
        <v>CAR2021-5299|final</v>
      </c>
    </row>
    <row r="206" spans="1:2" x14ac:dyDescent="0.25">
      <c r="A206" s="9" t="s">
        <v>1310</v>
      </c>
      <c r="B206" s="9" t="str">
        <f t="shared" si="3"/>
        <v>CAR2020-4654|final</v>
      </c>
    </row>
    <row r="207" spans="1:2" x14ac:dyDescent="0.25">
      <c r="A207" s="9" t="s">
        <v>1311</v>
      </c>
      <c r="B207" s="9" t="str">
        <f t="shared" si="3"/>
        <v>CAR2021-5690|final</v>
      </c>
    </row>
    <row r="208" spans="1:2" x14ac:dyDescent="0.25">
      <c r="A208" s="9" t="s">
        <v>1312</v>
      </c>
      <c r="B208" s="9" t="str">
        <f t="shared" si="3"/>
        <v>COM2021-2913|final</v>
      </c>
    </row>
    <row r="209" spans="1:2" x14ac:dyDescent="0.25">
      <c r="A209" s="9" t="s">
        <v>1313</v>
      </c>
      <c r="B209" s="9" t="str">
        <f t="shared" si="3"/>
        <v>CAR2021-6438|final</v>
      </c>
    </row>
    <row r="210" spans="1:2" x14ac:dyDescent="0.25">
      <c r="A210" s="9" t="s">
        <v>1314</v>
      </c>
      <c r="B210" s="9" t="str">
        <f t="shared" si="3"/>
        <v>CAR2021-6670|final</v>
      </c>
    </row>
    <row r="211" spans="1:2" x14ac:dyDescent="0.25">
      <c r="A211" s="9" t="s">
        <v>1315</v>
      </c>
      <c r="B211" s="9" t="str">
        <f t="shared" si="3"/>
        <v>CAR2021-5841|final</v>
      </c>
    </row>
    <row r="212" spans="1:2" x14ac:dyDescent="0.25">
      <c r="A212" s="9" t="s">
        <v>1316</v>
      </c>
      <c r="B212" s="9" t="str">
        <f t="shared" si="3"/>
        <v>CAR2021-5846|final</v>
      </c>
    </row>
    <row r="213" spans="1:2" x14ac:dyDescent="0.25">
      <c r="A213" s="9" t="s">
        <v>1317</v>
      </c>
      <c r="B213" s="9" t="str">
        <f t="shared" si="3"/>
        <v>CAR2021-7216|final</v>
      </c>
    </row>
    <row r="214" spans="1:2" x14ac:dyDescent="0.25">
      <c r="A214" s="9" t="s">
        <v>1318</v>
      </c>
      <c r="B214" s="9" t="str">
        <f t="shared" si="3"/>
        <v>CAR2021-7215|final</v>
      </c>
    </row>
    <row r="215" spans="1:2" x14ac:dyDescent="0.25">
      <c r="A215" s="9" t="s">
        <v>1319</v>
      </c>
      <c r="B215" s="9" t="str">
        <f t="shared" si="3"/>
        <v>CAR2021-6464|final</v>
      </c>
    </row>
    <row r="216" spans="1:2" x14ac:dyDescent="0.25">
      <c r="A216" s="9" t="s">
        <v>1320</v>
      </c>
      <c r="B216" s="9" t="str">
        <f t="shared" si="3"/>
        <v>CAR2021-5647|final</v>
      </c>
    </row>
    <row r="217" spans="1:2" x14ac:dyDescent="0.25">
      <c r="A217" s="9" t="s">
        <v>1321</v>
      </c>
      <c r="B217" s="9" t="str">
        <f t="shared" si="3"/>
        <v>CAR2019-1504|final</v>
      </c>
    </row>
    <row r="218" spans="1:2" x14ac:dyDescent="0.25">
      <c r="A218" s="9" t="s">
        <v>1322</v>
      </c>
      <c r="B218" s="9" t="str">
        <f t="shared" si="3"/>
        <v>CAR2021-5657|final</v>
      </c>
    </row>
    <row r="219" spans="1:2" x14ac:dyDescent="0.25">
      <c r="A219" s="9" t="s">
        <v>1323</v>
      </c>
      <c r="B219" s="9" t="str">
        <f t="shared" si="3"/>
        <v>CAR2021-6442|final</v>
      </c>
    </row>
    <row r="220" spans="1:2" x14ac:dyDescent="0.25">
      <c r="A220" s="9" t="s">
        <v>1324</v>
      </c>
      <c r="B220" s="9" t="str">
        <f t="shared" si="3"/>
        <v>CAR2021-5649|final</v>
      </c>
    </row>
    <row r="221" spans="1:2" x14ac:dyDescent="0.25">
      <c r="A221" s="9" t="s">
        <v>1325</v>
      </c>
      <c r="B221" s="9" t="str">
        <f t="shared" si="3"/>
        <v>CAR2021-0891|final</v>
      </c>
    </row>
    <row r="222" spans="1:2" x14ac:dyDescent="0.25">
      <c r="A222" s="9" t="s">
        <v>1326</v>
      </c>
      <c r="B222" s="9" t="str">
        <f t="shared" si="3"/>
        <v>CAR2021-6466|final</v>
      </c>
    </row>
    <row r="223" spans="1:2" x14ac:dyDescent="0.25">
      <c r="A223" s="9" t="s">
        <v>1327</v>
      </c>
      <c r="B223" s="9" t="str">
        <f t="shared" si="3"/>
        <v>CAR2021-7072|final</v>
      </c>
    </row>
    <row r="224" spans="1:2" x14ac:dyDescent="0.25">
      <c r="A224" s="9" t="s">
        <v>1328</v>
      </c>
      <c r="B224" s="9" t="str">
        <f t="shared" si="3"/>
        <v>CAR2021-5625|final</v>
      </c>
    </row>
    <row r="225" spans="1:2" x14ac:dyDescent="0.25">
      <c r="A225" s="9" t="s">
        <v>1329</v>
      </c>
      <c r="B225" s="9" t="str">
        <f t="shared" si="3"/>
        <v>CAR2021-5645|final</v>
      </c>
    </row>
    <row r="226" spans="1:2" x14ac:dyDescent="0.25">
      <c r="A226" s="9" t="s">
        <v>1330</v>
      </c>
      <c r="B226" s="9" t="str">
        <f t="shared" si="3"/>
        <v>CAR2021-5046|final</v>
      </c>
    </row>
    <row r="227" spans="1:2" x14ac:dyDescent="0.25">
      <c r="A227" s="9" t="s">
        <v>1331</v>
      </c>
      <c r="B227" s="9" t="str">
        <f t="shared" si="3"/>
        <v>CAR2021-5845|final</v>
      </c>
    </row>
    <row r="228" spans="1:2" x14ac:dyDescent="0.25">
      <c r="A228" s="9" t="s">
        <v>1332</v>
      </c>
      <c r="B228" s="9" t="str">
        <f t="shared" si="3"/>
        <v>COM2021-7717|final</v>
      </c>
    </row>
    <row r="229" spans="1:2" x14ac:dyDescent="0.25">
      <c r="A229" s="9" t="s">
        <v>1333</v>
      </c>
      <c r="B229" s="9" t="str">
        <f t="shared" si="3"/>
        <v>CAR2018-3343|final</v>
      </c>
    </row>
    <row r="230" spans="1:2" x14ac:dyDescent="0.25">
      <c r="A230" s="9" t="s">
        <v>1334</v>
      </c>
      <c r="B230" s="9" t="str">
        <f t="shared" si="3"/>
        <v>CAR2021-6277|final</v>
      </c>
    </row>
    <row r="231" spans="1:2" x14ac:dyDescent="0.25">
      <c r="A231" s="9" t="s">
        <v>1335</v>
      </c>
      <c r="B231" s="9" t="str">
        <f t="shared" si="3"/>
        <v>PAR2021-2777|final</v>
      </c>
    </row>
    <row r="232" spans="1:2" x14ac:dyDescent="0.25">
      <c r="A232" s="9" t="s">
        <v>1336</v>
      </c>
      <c r="B232" s="9" t="str">
        <f t="shared" si="3"/>
        <v>PAR2021-3580|final</v>
      </c>
    </row>
    <row r="233" spans="1:2" x14ac:dyDescent="0.25">
      <c r="A233" s="9" t="s">
        <v>1337</v>
      </c>
      <c r="B233" s="9" t="str">
        <f t="shared" si="3"/>
        <v>PAR2021-3703|final</v>
      </c>
    </row>
    <row r="234" spans="1:2" x14ac:dyDescent="0.25">
      <c r="A234" s="9" t="s">
        <v>1338</v>
      </c>
      <c r="B234" s="9" t="str">
        <f t="shared" si="3"/>
        <v>PAR2019-2136|final</v>
      </c>
    </row>
    <row r="235" spans="1:2" x14ac:dyDescent="0.25">
      <c r="A235" s="9" t="s">
        <v>1339</v>
      </c>
      <c r="B235" s="9" t="str">
        <f t="shared" si="3"/>
        <v>PAR2019-3046|final</v>
      </c>
    </row>
    <row r="236" spans="1:2" x14ac:dyDescent="0.25">
      <c r="A236" s="9" t="s">
        <v>1340</v>
      </c>
      <c r="B236" s="9" t="str">
        <f t="shared" si="3"/>
        <v>CAR2019-1988|final</v>
      </c>
    </row>
    <row r="237" spans="1:2" x14ac:dyDescent="0.25">
      <c r="A237" s="9" t="s">
        <v>1341</v>
      </c>
      <c r="B237" s="9" t="str">
        <f t="shared" si="3"/>
        <v>CAR2021-5673|final</v>
      </c>
    </row>
    <row r="238" spans="1:2" x14ac:dyDescent="0.25">
      <c r="A238" s="9" t="s">
        <v>1342</v>
      </c>
      <c r="B238" s="9" t="str">
        <f t="shared" si="3"/>
        <v>CAR2021-5019|final</v>
      </c>
    </row>
    <row r="239" spans="1:2" x14ac:dyDescent="0.25">
      <c r="A239" s="9" t="s">
        <v>1343</v>
      </c>
      <c r="B239" s="9" t="str">
        <f t="shared" si="3"/>
        <v>CAR2021-1066|final</v>
      </c>
    </row>
    <row r="240" spans="1:2" x14ac:dyDescent="0.25">
      <c r="A240" s="9" t="s">
        <v>1344</v>
      </c>
      <c r="B240" s="9" t="str">
        <f t="shared" si="3"/>
        <v>CAR2021-6040|final</v>
      </c>
    </row>
    <row r="241" spans="1:2" x14ac:dyDescent="0.25">
      <c r="A241" s="9" t="s">
        <v>1345</v>
      </c>
      <c r="B241" s="9" t="str">
        <f t="shared" si="3"/>
        <v>CAR2019-0442|final</v>
      </c>
    </row>
    <row r="242" spans="1:2" x14ac:dyDescent="0.25">
      <c r="A242" s="9" t="s">
        <v>1346</v>
      </c>
      <c r="B242" s="9" t="str">
        <f t="shared" si="3"/>
        <v>COM2021-7471|final</v>
      </c>
    </row>
    <row r="243" spans="1:2" x14ac:dyDescent="0.25">
      <c r="A243" s="9" t="s">
        <v>1347</v>
      </c>
      <c r="B243" s="9" t="str">
        <f t="shared" si="3"/>
        <v>COM2021-7611|final</v>
      </c>
    </row>
    <row r="244" spans="1:2" x14ac:dyDescent="0.25">
      <c r="A244" s="9" t="s">
        <v>1348</v>
      </c>
      <c r="B244" s="9" t="str">
        <f t="shared" si="3"/>
        <v>PAR2019-0259|final</v>
      </c>
    </row>
    <row r="245" spans="1:2" x14ac:dyDescent="0.25">
      <c r="A245" s="9" t="s">
        <v>1349</v>
      </c>
      <c r="B245" s="9" t="str">
        <f t="shared" si="3"/>
        <v>PAR2020-1720|final</v>
      </c>
    </row>
    <row r="246" spans="1:2" x14ac:dyDescent="0.25">
      <c r="A246" s="9" t="s">
        <v>1350</v>
      </c>
      <c r="B246" s="9" t="str">
        <f t="shared" si="3"/>
        <v>PAR2021-3510|final</v>
      </c>
    </row>
    <row r="247" spans="1:2" x14ac:dyDescent="0.25">
      <c r="A247" s="9" t="s">
        <v>1351</v>
      </c>
      <c r="B247" s="9" t="str">
        <f t="shared" si="3"/>
        <v>PAR2021-3511|final</v>
      </c>
    </row>
    <row r="248" spans="1:2" x14ac:dyDescent="0.25">
      <c r="A248" s="9" t="s">
        <v>1352</v>
      </c>
      <c r="B248" s="9" t="str">
        <f t="shared" si="3"/>
        <v>PAR2021-3584|final</v>
      </c>
    </row>
    <row r="249" spans="1:2" x14ac:dyDescent="0.25">
      <c r="A249" s="9" t="s">
        <v>1353</v>
      </c>
      <c r="B249" s="9" t="str">
        <f t="shared" si="3"/>
        <v>PAR2019-2755|final</v>
      </c>
    </row>
    <row r="250" spans="1:2" x14ac:dyDescent="0.25">
      <c r="A250" s="9" t="s">
        <v>1354</v>
      </c>
      <c r="B250" s="9" t="str">
        <f t="shared" si="3"/>
        <v>PAR2019-2559|final</v>
      </c>
    </row>
    <row r="251" spans="1:2" x14ac:dyDescent="0.25">
      <c r="A251" s="9" t="s">
        <v>1355</v>
      </c>
      <c r="B251" s="9" t="str">
        <f t="shared" si="3"/>
        <v>PAR2020-1721|final</v>
      </c>
    </row>
    <row r="252" spans="1:2" x14ac:dyDescent="0.25">
      <c r="A252" s="9" t="s">
        <v>1356</v>
      </c>
      <c r="B252" s="9" t="str">
        <f t="shared" si="3"/>
        <v>PAR2020-3124|final</v>
      </c>
    </row>
    <row r="253" spans="1:2" x14ac:dyDescent="0.25">
      <c r="A253" s="9" t="s">
        <v>1357</v>
      </c>
      <c r="B253" s="9" t="str">
        <f t="shared" si="3"/>
        <v>PAR2019-0583|final</v>
      </c>
    </row>
    <row r="254" spans="1:2" x14ac:dyDescent="0.25">
      <c r="A254" s="9" t="s">
        <v>1358</v>
      </c>
      <c r="B254" s="9" t="str">
        <f t="shared" si="3"/>
        <v>CAR2021-4086|final</v>
      </c>
    </row>
    <row r="255" spans="1:2" x14ac:dyDescent="0.25">
      <c r="A255" s="9" t="s">
        <v>1359</v>
      </c>
      <c r="B255" s="9" t="str">
        <f t="shared" si="3"/>
        <v>PAR2020-3555|final</v>
      </c>
    </row>
    <row r="256" spans="1:2" x14ac:dyDescent="0.25">
      <c r="A256" s="9" t="s">
        <v>1360</v>
      </c>
      <c r="B256" s="9" t="str">
        <f t="shared" si="3"/>
        <v>PAR2021-0983|final</v>
      </c>
    </row>
    <row r="257" spans="1:2" x14ac:dyDescent="0.25">
      <c r="A257" s="9" t="s">
        <v>1361</v>
      </c>
      <c r="B257" s="9" t="str">
        <f t="shared" ref="B257:B320" si="4">_xlfn.CONCAT(A257,"|","final")</f>
        <v>PAR2021-0941|final</v>
      </c>
    </row>
    <row r="258" spans="1:2" x14ac:dyDescent="0.25">
      <c r="A258" s="9" t="s">
        <v>1362</v>
      </c>
      <c r="B258" s="9" t="str">
        <f t="shared" si="4"/>
        <v>PAR2021-1759|final</v>
      </c>
    </row>
    <row r="259" spans="1:2" x14ac:dyDescent="0.25">
      <c r="A259" s="9" t="s">
        <v>1363</v>
      </c>
      <c r="B259" s="9" t="str">
        <f t="shared" si="4"/>
        <v>PAR2021-3540|final</v>
      </c>
    </row>
    <row r="260" spans="1:2" x14ac:dyDescent="0.25">
      <c r="A260" s="9" t="s">
        <v>1364</v>
      </c>
      <c r="B260" s="9" t="str">
        <f t="shared" si="4"/>
        <v>PAR2021-2381|final</v>
      </c>
    </row>
    <row r="261" spans="1:2" x14ac:dyDescent="0.25">
      <c r="A261" s="9" t="s">
        <v>1365</v>
      </c>
      <c r="B261" s="9" t="str">
        <f t="shared" si="4"/>
        <v>PAR2021-2388|final</v>
      </c>
    </row>
    <row r="262" spans="1:2" x14ac:dyDescent="0.25">
      <c r="A262" s="9" t="s">
        <v>1366</v>
      </c>
      <c r="B262" s="9" t="str">
        <f t="shared" si="4"/>
        <v>PAR2021-2158|final</v>
      </c>
    </row>
    <row r="263" spans="1:2" x14ac:dyDescent="0.25">
      <c r="A263" s="9" t="s">
        <v>1367</v>
      </c>
      <c r="B263" s="9" t="str">
        <f t="shared" si="4"/>
        <v>PAR2021-1172|final</v>
      </c>
    </row>
    <row r="264" spans="1:2" x14ac:dyDescent="0.25">
      <c r="A264" s="9" t="s">
        <v>1368</v>
      </c>
      <c r="B264" s="9" t="str">
        <f t="shared" si="4"/>
        <v>CAR2021-6082|final</v>
      </c>
    </row>
    <row r="265" spans="1:2" x14ac:dyDescent="0.25">
      <c r="A265" s="9" t="s">
        <v>1369</v>
      </c>
      <c r="B265" s="9" t="str">
        <f t="shared" si="4"/>
        <v>CAR2021-6286|final</v>
      </c>
    </row>
    <row r="266" spans="1:2" x14ac:dyDescent="0.25">
      <c r="A266" s="9" t="s">
        <v>1370</v>
      </c>
      <c r="B266" s="9" t="str">
        <f t="shared" si="4"/>
        <v>CAR2021-7018|final</v>
      </c>
    </row>
    <row r="267" spans="1:2" x14ac:dyDescent="0.25">
      <c r="A267" s="9" t="s">
        <v>1371</v>
      </c>
      <c r="B267" s="9" t="str">
        <f t="shared" si="4"/>
        <v>CAR2021-6622|final</v>
      </c>
    </row>
    <row r="268" spans="1:2" x14ac:dyDescent="0.25">
      <c r="A268" s="9" t="s">
        <v>1372</v>
      </c>
      <c r="B268" s="9" t="str">
        <f t="shared" si="4"/>
        <v>CAR2021-6084|final</v>
      </c>
    </row>
    <row r="269" spans="1:2" x14ac:dyDescent="0.25">
      <c r="A269" s="9" t="s">
        <v>1373</v>
      </c>
      <c r="B269" s="9" t="str">
        <f t="shared" si="4"/>
        <v>CAR2021-7437|final</v>
      </c>
    </row>
    <row r="270" spans="1:2" x14ac:dyDescent="0.25">
      <c r="A270" s="9" t="s">
        <v>1374</v>
      </c>
      <c r="B270" s="9" t="str">
        <f t="shared" si="4"/>
        <v>CAR2021-6019|final</v>
      </c>
    </row>
    <row r="271" spans="1:2" x14ac:dyDescent="0.25">
      <c r="A271" s="9" t="s">
        <v>1375</v>
      </c>
      <c r="B271" s="9" t="str">
        <f t="shared" si="4"/>
        <v>COM2020-0143|final</v>
      </c>
    </row>
    <row r="272" spans="1:2" x14ac:dyDescent="0.25">
      <c r="A272" s="9" t="s">
        <v>1376</v>
      </c>
      <c r="B272" s="9" t="str">
        <f t="shared" si="4"/>
        <v>COM2021-3103|final</v>
      </c>
    </row>
    <row r="273" spans="1:2" x14ac:dyDescent="0.25">
      <c r="A273" s="9" t="s">
        <v>1377</v>
      </c>
      <c r="B273" s="9" t="str">
        <f t="shared" si="4"/>
        <v>CAR2019-1357|final</v>
      </c>
    </row>
    <row r="274" spans="1:2" x14ac:dyDescent="0.25">
      <c r="A274" s="9" t="s">
        <v>1378</v>
      </c>
      <c r="B274" s="9" t="str">
        <f t="shared" si="4"/>
        <v>CAR2020-1400|final</v>
      </c>
    </row>
    <row r="275" spans="1:2" x14ac:dyDescent="0.25">
      <c r="A275" s="9" t="s">
        <v>1379</v>
      </c>
      <c r="B275" s="9" t="str">
        <f t="shared" si="4"/>
        <v>CAR2021-5614|final</v>
      </c>
    </row>
    <row r="276" spans="1:2" x14ac:dyDescent="0.25">
      <c r="A276" s="9" t="s">
        <v>1380</v>
      </c>
      <c r="B276" s="9" t="str">
        <f t="shared" si="4"/>
        <v>COM2021-3309|final</v>
      </c>
    </row>
    <row r="277" spans="1:2" x14ac:dyDescent="0.25">
      <c r="A277" s="9" t="s">
        <v>1381</v>
      </c>
      <c r="B277" s="9" t="str">
        <f t="shared" si="4"/>
        <v>COM2021-3339|final</v>
      </c>
    </row>
    <row r="278" spans="1:2" x14ac:dyDescent="0.25">
      <c r="A278" s="9" t="s">
        <v>1382</v>
      </c>
      <c r="B278" s="9" t="str">
        <f t="shared" si="4"/>
        <v>CAR2021-6627|final</v>
      </c>
    </row>
    <row r="279" spans="1:2" x14ac:dyDescent="0.25">
      <c r="A279" s="9" t="s">
        <v>1383</v>
      </c>
      <c r="B279" s="9" t="str">
        <f t="shared" si="4"/>
        <v>CAR2020-1699|final</v>
      </c>
    </row>
    <row r="280" spans="1:2" x14ac:dyDescent="0.25">
      <c r="A280" s="9" t="s">
        <v>1384</v>
      </c>
      <c r="B280" s="9" t="str">
        <f t="shared" si="4"/>
        <v>CAR2021-6824|final</v>
      </c>
    </row>
    <row r="281" spans="1:2" x14ac:dyDescent="0.25">
      <c r="A281" s="9" t="s">
        <v>1385</v>
      </c>
      <c r="B281" s="9" t="str">
        <f t="shared" si="4"/>
        <v>CAR2021-6919|final</v>
      </c>
    </row>
    <row r="282" spans="1:2" x14ac:dyDescent="0.25">
      <c r="A282" s="9" t="s">
        <v>1386</v>
      </c>
      <c r="B282" s="9" t="str">
        <f t="shared" si="4"/>
        <v>CAR2021-5873|final</v>
      </c>
    </row>
    <row r="283" spans="1:2" x14ac:dyDescent="0.25">
      <c r="A283" s="9" t="s">
        <v>1387</v>
      </c>
      <c r="B283" s="9" t="str">
        <f t="shared" si="4"/>
        <v>CAR2021-7445|final</v>
      </c>
    </row>
    <row r="284" spans="1:2" x14ac:dyDescent="0.25">
      <c r="A284" s="9" t="s">
        <v>1388</v>
      </c>
      <c r="B284" s="9" t="str">
        <f t="shared" si="4"/>
        <v>PAR2020-0730|final</v>
      </c>
    </row>
    <row r="285" spans="1:2" x14ac:dyDescent="0.25">
      <c r="A285" s="9" t="s">
        <v>1389</v>
      </c>
      <c r="B285" s="9" t="str">
        <f t="shared" si="4"/>
        <v>PAR2021-3354|final</v>
      </c>
    </row>
    <row r="286" spans="1:2" x14ac:dyDescent="0.25">
      <c r="A286" s="9" t="s">
        <v>1390</v>
      </c>
      <c r="B286" s="9" t="str">
        <f t="shared" si="4"/>
        <v>PAR2021-3363|final</v>
      </c>
    </row>
    <row r="287" spans="1:2" x14ac:dyDescent="0.25">
      <c r="A287" s="9" t="s">
        <v>1391</v>
      </c>
      <c r="B287" s="9" t="str">
        <f t="shared" si="4"/>
        <v>PAR2021-3773|final</v>
      </c>
    </row>
    <row r="288" spans="1:2" x14ac:dyDescent="0.25">
      <c r="A288" s="9" t="s">
        <v>1392</v>
      </c>
      <c r="B288" s="9" t="str">
        <f t="shared" si="4"/>
        <v>PAR2019-1460|final</v>
      </c>
    </row>
    <row r="289" spans="1:2" x14ac:dyDescent="0.25">
      <c r="A289" s="9" t="s">
        <v>1393</v>
      </c>
      <c r="B289" s="9" t="str">
        <f t="shared" si="4"/>
        <v>CAR2020-4840|final</v>
      </c>
    </row>
    <row r="290" spans="1:2" x14ac:dyDescent="0.25">
      <c r="A290" s="9" t="s">
        <v>1394</v>
      </c>
      <c r="B290" s="9" t="str">
        <f t="shared" si="4"/>
        <v>CAR2021-5206|final</v>
      </c>
    </row>
    <row r="291" spans="1:2" x14ac:dyDescent="0.25">
      <c r="A291" s="9" t="s">
        <v>1395</v>
      </c>
      <c r="B291" s="9" t="str">
        <f t="shared" si="4"/>
        <v>CAR2021-2473|final</v>
      </c>
    </row>
    <row r="292" spans="1:2" x14ac:dyDescent="0.25">
      <c r="A292" s="9" t="s">
        <v>1396</v>
      </c>
      <c r="B292" s="9" t="str">
        <f t="shared" si="4"/>
        <v>CAR2021-7090|final</v>
      </c>
    </row>
    <row r="293" spans="1:2" x14ac:dyDescent="0.25">
      <c r="A293" s="9" t="s">
        <v>1397</v>
      </c>
      <c r="B293" s="9" t="str">
        <f t="shared" si="4"/>
        <v>PAR2021-3337|final</v>
      </c>
    </row>
    <row r="294" spans="1:2" x14ac:dyDescent="0.25">
      <c r="A294" s="9" t="s">
        <v>1398</v>
      </c>
      <c r="B294" s="9" t="str">
        <f t="shared" si="4"/>
        <v>CAR2019-1146|final</v>
      </c>
    </row>
    <row r="295" spans="1:2" x14ac:dyDescent="0.25">
      <c r="A295" s="9" t="s">
        <v>1399</v>
      </c>
      <c r="B295" s="9" t="str">
        <f t="shared" si="4"/>
        <v>PAR2018-0504|final</v>
      </c>
    </row>
    <row r="296" spans="1:2" x14ac:dyDescent="0.25">
      <c r="A296" s="9" t="s">
        <v>1400</v>
      </c>
      <c r="B296" s="9" t="str">
        <f t="shared" si="4"/>
        <v>PAR2022-0129|final</v>
      </c>
    </row>
    <row r="297" spans="1:2" x14ac:dyDescent="0.25">
      <c r="A297" s="9" t="s">
        <v>1401</v>
      </c>
      <c r="B297" s="9" t="str">
        <f t="shared" si="4"/>
        <v>PAR2022-0130|final</v>
      </c>
    </row>
    <row r="298" spans="1:2" x14ac:dyDescent="0.25">
      <c r="A298" s="9" t="s">
        <v>1402</v>
      </c>
      <c r="B298" s="9" t="str">
        <f t="shared" si="4"/>
        <v>PAR2022-0126|final</v>
      </c>
    </row>
    <row r="299" spans="1:2" x14ac:dyDescent="0.25">
      <c r="A299" s="9" t="s">
        <v>1403</v>
      </c>
      <c r="B299" s="9" t="str">
        <f t="shared" si="4"/>
        <v>COM2021-2987|final</v>
      </c>
    </row>
    <row r="300" spans="1:2" x14ac:dyDescent="0.25">
      <c r="A300" s="9" t="s">
        <v>1404</v>
      </c>
      <c r="B300" s="9" t="str">
        <f t="shared" si="4"/>
        <v>COM2021-2997|final</v>
      </c>
    </row>
    <row r="301" spans="1:2" x14ac:dyDescent="0.25">
      <c r="A301" s="9" t="s">
        <v>1405</v>
      </c>
      <c r="B301" s="9" t="str">
        <f t="shared" si="4"/>
        <v>COM2021-2500|final</v>
      </c>
    </row>
    <row r="302" spans="1:2" x14ac:dyDescent="0.25">
      <c r="A302" s="9" t="s">
        <v>1406</v>
      </c>
      <c r="B302" s="9" t="str">
        <f t="shared" si="4"/>
        <v>COM2021-3106|final</v>
      </c>
    </row>
    <row r="303" spans="1:2" x14ac:dyDescent="0.25">
      <c r="A303" s="9" t="s">
        <v>1407</v>
      </c>
      <c r="B303" s="9" t="str">
        <f t="shared" si="4"/>
        <v>PAR2021-3172|final</v>
      </c>
    </row>
    <row r="304" spans="1:2" x14ac:dyDescent="0.25">
      <c r="A304" s="9" t="s">
        <v>1408</v>
      </c>
      <c r="B304" s="9" t="str">
        <f t="shared" si="4"/>
        <v>PAR2021-2357|final</v>
      </c>
    </row>
    <row r="305" spans="1:2" x14ac:dyDescent="0.25">
      <c r="A305" s="9" t="s">
        <v>1409</v>
      </c>
      <c r="B305" s="9" t="str">
        <f t="shared" si="4"/>
        <v>COM2021-3572|final</v>
      </c>
    </row>
    <row r="306" spans="1:2" x14ac:dyDescent="0.25">
      <c r="A306" s="9" t="s">
        <v>1410</v>
      </c>
      <c r="B306" s="9" t="str">
        <f t="shared" si="4"/>
        <v>PAR2021-3193|final</v>
      </c>
    </row>
    <row r="307" spans="1:2" x14ac:dyDescent="0.25">
      <c r="A307" s="9" t="s">
        <v>1411</v>
      </c>
      <c r="B307" s="9" t="str">
        <f t="shared" si="4"/>
        <v>COM2021-1717|final</v>
      </c>
    </row>
    <row r="308" spans="1:2" x14ac:dyDescent="0.25">
      <c r="A308" s="9" t="s">
        <v>1412</v>
      </c>
      <c r="B308" s="9" t="str">
        <f t="shared" si="4"/>
        <v>COM2021-1721|final</v>
      </c>
    </row>
    <row r="309" spans="1:2" x14ac:dyDescent="0.25">
      <c r="A309" s="9" t="s">
        <v>1413</v>
      </c>
      <c r="B309" s="9" t="str">
        <f t="shared" si="4"/>
        <v>COM2021-2989|final</v>
      </c>
    </row>
    <row r="310" spans="1:2" x14ac:dyDescent="0.25">
      <c r="A310" s="9" t="s">
        <v>1414</v>
      </c>
      <c r="B310" s="9" t="str">
        <f t="shared" si="4"/>
        <v>COM2021-3116|final</v>
      </c>
    </row>
    <row r="311" spans="1:2" x14ac:dyDescent="0.25">
      <c r="A311" s="9" t="s">
        <v>1415</v>
      </c>
      <c r="B311" s="9" t="str">
        <f t="shared" si="4"/>
        <v>COM2021-3577|final</v>
      </c>
    </row>
    <row r="312" spans="1:2" x14ac:dyDescent="0.25">
      <c r="A312" s="9" t="s">
        <v>1416</v>
      </c>
      <c r="B312" s="9" t="str">
        <f t="shared" si="4"/>
        <v>PAR2021-3387|final</v>
      </c>
    </row>
    <row r="313" spans="1:2" x14ac:dyDescent="0.25">
      <c r="A313" s="9" t="s">
        <v>1417</v>
      </c>
      <c r="B313" s="9" t="str">
        <f t="shared" si="4"/>
        <v>COM2019-2103|final</v>
      </c>
    </row>
    <row r="314" spans="1:2" x14ac:dyDescent="0.25">
      <c r="A314" s="9" t="s">
        <v>1418</v>
      </c>
      <c r="B314" s="9" t="str">
        <f t="shared" si="4"/>
        <v>PAR2019-1822|final</v>
      </c>
    </row>
    <row r="315" spans="1:2" x14ac:dyDescent="0.25">
      <c r="A315" s="9" t="s">
        <v>1419</v>
      </c>
      <c r="B315" s="9" t="str">
        <f t="shared" si="4"/>
        <v>COM2021-2738|final</v>
      </c>
    </row>
    <row r="316" spans="1:2" x14ac:dyDescent="0.25">
      <c r="A316" s="9" t="s">
        <v>1420</v>
      </c>
      <c r="B316" s="9" t="str">
        <f t="shared" si="4"/>
        <v>COM2021-3997|final</v>
      </c>
    </row>
    <row r="317" spans="1:2" x14ac:dyDescent="0.25">
      <c r="A317" s="9" t="s">
        <v>1421</v>
      </c>
      <c r="B317" s="9" t="str">
        <f t="shared" si="4"/>
        <v>CAR2018-2932|final</v>
      </c>
    </row>
    <row r="318" spans="1:2" x14ac:dyDescent="0.25">
      <c r="A318" s="9" t="s">
        <v>1422</v>
      </c>
      <c r="B318" s="9" t="str">
        <f t="shared" si="4"/>
        <v>CAR2021-0883|final</v>
      </c>
    </row>
    <row r="319" spans="1:2" x14ac:dyDescent="0.25">
      <c r="A319" s="9" t="s">
        <v>1423</v>
      </c>
      <c r="B319" s="9" t="str">
        <f t="shared" si="4"/>
        <v>CAR2021-7525|final</v>
      </c>
    </row>
    <row r="320" spans="1:2" x14ac:dyDescent="0.25">
      <c r="A320" s="9" t="s">
        <v>1424</v>
      </c>
      <c r="B320" s="9" t="str">
        <f t="shared" si="4"/>
        <v>CAR2021-7527|final</v>
      </c>
    </row>
    <row r="321" spans="1:2" x14ac:dyDescent="0.25">
      <c r="A321" s="9" t="s">
        <v>1425</v>
      </c>
      <c r="B321" s="9" t="str">
        <f t="shared" ref="B321:B384" si="5">_xlfn.CONCAT(A321,"|","final")</f>
        <v>CAR2021-7489|final</v>
      </c>
    </row>
    <row r="322" spans="1:2" x14ac:dyDescent="0.25">
      <c r="A322" s="9" t="s">
        <v>1426</v>
      </c>
      <c r="B322" s="9" t="str">
        <f t="shared" si="5"/>
        <v>CAR2021-7486|final</v>
      </c>
    </row>
    <row r="323" spans="1:2" x14ac:dyDescent="0.25">
      <c r="A323" s="9" t="s">
        <v>1427</v>
      </c>
      <c r="B323" s="9" t="str">
        <f t="shared" si="5"/>
        <v>CAR2021-7484|final</v>
      </c>
    </row>
    <row r="324" spans="1:2" x14ac:dyDescent="0.25">
      <c r="A324" s="9" t="s">
        <v>1428</v>
      </c>
      <c r="B324" s="9" t="str">
        <f t="shared" si="5"/>
        <v>CAR2021-7478|final</v>
      </c>
    </row>
    <row r="325" spans="1:2" x14ac:dyDescent="0.25">
      <c r="A325" s="9" t="s">
        <v>1429</v>
      </c>
      <c r="B325" s="9" t="str">
        <f t="shared" si="5"/>
        <v>CAR2021-7529|final</v>
      </c>
    </row>
    <row r="326" spans="1:2" x14ac:dyDescent="0.25">
      <c r="A326" s="9" t="s">
        <v>1430</v>
      </c>
      <c r="B326" s="9" t="str">
        <f t="shared" si="5"/>
        <v>CAR2021-7522|final</v>
      </c>
    </row>
    <row r="327" spans="1:2" x14ac:dyDescent="0.25">
      <c r="A327" s="9" t="s">
        <v>1431</v>
      </c>
      <c r="B327" s="9" t="str">
        <f t="shared" si="5"/>
        <v>CAR2021-7523|final</v>
      </c>
    </row>
    <row r="328" spans="1:2" x14ac:dyDescent="0.25">
      <c r="A328" s="9" t="s">
        <v>1432</v>
      </c>
      <c r="B328" s="9" t="str">
        <f t="shared" si="5"/>
        <v>CAR2021-5809|final</v>
      </c>
    </row>
    <row r="329" spans="1:2" x14ac:dyDescent="0.25">
      <c r="A329" s="9" t="s">
        <v>1433</v>
      </c>
      <c r="B329" s="9" t="str">
        <f t="shared" si="5"/>
        <v>CAR2021-6808|final</v>
      </c>
    </row>
    <row r="330" spans="1:2" x14ac:dyDescent="0.25">
      <c r="A330" s="9" t="s">
        <v>1434</v>
      </c>
      <c r="B330" s="9" t="str">
        <f t="shared" si="5"/>
        <v>COM2021-2974|final</v>
      </c>
    </row>
    <row r="331" spans="1:2" x14ac:dyDescent="0.25">
      <c r="A331" s="9" t="s">
        <v>1435</v>
      </c>
      <c r="B331" s="9" t="str">
        <f t="shared" si="5"/>
        <v>COM2021-2752|final</v>
      </c>
    </row>
    <row r="332" spans="1:2" x14ac:dyDescent="0.25">
      <c r="A332" s="9" t="s">
        <v>1436</v>
      </c>
      <c r="B332" s="9" t="str">
        <f t="shared" si="5"/>
        <v>COM2021-3720|final</v>
      </c>
    </row>
    <row r="333" spans="1:2" x14ac:dyDescent="0.25">
      <c r="A333" s="9" t="s">
        <v>1437</v>
      </c>
      <c r="B333" s="9" t="str">
        <f t="shared" si="5"/>
        <v>COM2021-0747|final</v>
      </c>
    </row>
    <row r="334" spans="1:2" x14ac:dyDescent="0.25">
      <c r="A334" s="9" t="s">
        <v>1438</v>
      </c>
      <c r="B334" s="9" t="str">
        <f t="shared" si="5"/>
        <v>PAR2021-1991|final</v>
      </c>
    </row>
    <row r="335" spans="1:2" x14ac:dyDescent="0.25">
      <c r="A335" s="9" t="s">
        <v>1439</v>
      </c>
      <c r="B335" s="9" t="str">
        <f t="shared" si="5"/>
        <v>CAR2021-7046|final</v>
      </c>
    </row>
    <row r="336" spans="1:2" x14ac:dyDescent="0.25">
      <c r="A336" s="9" t="s">
        <v>1440</v>
      </c>
      <c r="B336" s="9" t="str">
        <f t="shared" si="5"/>
        <v>CAR2021-6685|final</v>
      </c>
    </row>
    <row r="337" spans="1:2" x14ac:dyDescent="0.25">
      <c r="A337" s="9" t="s">
        <v>1441</v>
      </c>
      <c r="B337" s="9" t="str">
        <f t="shared" si="5"/>
        <v>CAR2021-7605|final</v>
      </c>
    </row>
    <row r="338" spans="1:2" x14ac:dyDescent="0.25">
      <c r="A338" s="9" t="s">
        <v>1442</v>
      </c>
      <c r="B338" s="9" t="str">
        <f t="shared" si="5"/>
        <v>CAR2021-7606|final</v>
      </c>
    </row>
    <row r="339" spans="1:2" x14ac:dyDescent="0.25">
      <c r="A339" s="9" t="s">
        <v>1443</v>
      </c>
      <c r="B339" s="9" t="str">
        <f t="shared" si="5"/>
        <v>CAR2021-0012|final</v>
      </c>
    </row>
    <row r="340" spans="1:2" x14ac:dyDescent="0.25">
      <c r="A340" s="9" t="s">
        <v>1444</v>
      </c>
      <c r="B340" s="9" t="str">
        <f t="shared" si="5"/>
        <v>CAR2021-7536|final</v>
      </c>
    </row>
    <row r="341" spans="1:2" x14ac:dyDescent="0.25">
      <c r="A341" s="9" t="s">
        <v>1445</v>
      </c>
      <c r="B341" s="9" t="str">
        <f t="shared" si="5"/>
        <v>CAR2021-6090|final</v>
      </c>
    </row>
    <row r="342" spans="1:2" x14ac:dyDescent="0.25">
      <c r="A342" s="9" t="s">
        <v>1446</v>
      </c>
      <c r="B342" s="9" t="str">
        <f t="shared" si="5"/>
        <v>CAR2021-5685|final</v>
      </c>
    </row>
    <row r="343" spans="1:2" x14ac:dyDescent="0.25">
      <c r="A343" s="9" t="s">
        <v>1447</v>
      </c>
      <c r="B343" s="9" t="str">
        <f t="shared" si="5"/>
        <v>CAR2021-7538|final</v>
      </c>
    </row>
    <row r="344" spans="1:2" x14ac:dyDescent="0.25">
      <c r="A344" s="9" t="s">
        <v>1448</v>
      </c>
      <c r="B344" s="9" t="str">
        <f t="shared" si="5"/>
        <v>CAR2021-7451|final</v>
      </c>
    </row>
    <row r="345" spans="1:2" x14ac:dyDescent="0.25">
      <c r="A345" s="9" t="s">
        <v>1449</v>
      </c>
      <c r="B345" s="9" t="str">
        <f t="shared" si="5"/>
        <v>CAR2020-4262|final</v>
      </c>
    </row>
    <row r="346" spans="1:2" x14ac:dyDescent="0.25">
      <c r="A346" s="9" t="s">
        <v>1450</v>
      </c>
      <c r="B346" s="9" t="str">
        <f t="shared" si="5"/>
        <v>CAR2021-5264|final</v>
      </c>
    </row>
    <row r="347" spans="1:2" x14ac:dyDescent="0.25">
      <c r="A347" s="9" t="s">
        <v>1451</v>
      </c>
      <c r="B347" s="9" t="str">
        <f t="shared" si="5"/>
        <v>COM2020-1486|final</v>
      </c>
    </row>
    <row r="348" spans="1:2" x14ac:dyDescent="0.25">
      <c r="A348" s="9" t="s">
        <v>1452</v>
      </c>
      <c r="B348" s="9" t="str">
        <f t="shared" si="5"/>
        <v>PAR2019-1649|final</v>
      </c>
    </row>
    <row r="349" spans="1:2" x14ac:dyDescent="0.25">
      <c r="A349" s="9" t="s">
        <v>1453</v>
      </c>
      <c r="B349" s="9" t="str">
        <f t="shared" si="5"/>
        <v>PAR2019-1686|final</v>
      </c>
    </row>
    <row r="350" spans="1:2" x14ac:dyDescent="0.25">
      <c r="A350" s="9" t="s">
        <v>1454</v>
      </c>
      <c r="B350" s="9" t="str">
        <f t="shared" si="5"/>
        <v>PAR2019-0343|final</v>
      </c>
    </row>
    <row r="351" spans="1:2" x14ac:dyDescent="0.25">
      <c r="A351" s="9" t="s">
        <v>1455</v>
      </c>
      <c r="B351" s="9" t="str">
        <f t="shared" si="5"/>
        <v>PAR2021-3741|final</v>
      </c>
    </row>
    <row r="352" spans="1:2" x14ac:dyDescent="0.25">
      <c r="A352" s="9" t="s">
        <v>1456</v>
      </c>
      <c r="B352" s="9" t="str">
        <f t="shared" si="5"/>
        <v>PAR2019-2758|final</v>
      </c>
    </row>
    <row r="353" spans="1:2" x14ac:dyDescent="0.25">
      <c r="A353" s="9" t="s">
        <v>1457</v>
      </c>
      <c r="B353" s="9" t="str">
        <f t="shared" si="5"/>
        <v>PAR2020-0156|final</v>
      </c>
    </row>
    <row r="354" spans="1:2" x14ac:dyDescent="0.25">
      <c r="A354" s="9" t="s">
        <v>1458</v>
      </c>
      <c r="B354" s="9" t="str">
        <f t="shared" si="5"/>
        <v>PAR2019-2759|final</v>
      </c>
    </row>
    <row r="355" spans="1:2" x14ac:dyDescent="0.25">
      <c r="A355" s="9" t="s">
        <v>1459</v>
      </c>
      <c r="B355" s="9" t="str">
        <f t="shared" si="5"/>
        <v>CAR2021-5279|final</v>
      </c>
    </row>
    <row r="356" spans="1:2" x14ac:dyDescent="0.25">
      <c r="A356" s="9" t="s">
        <v>1460</v>
      </c>
      <c r="B356" s="9" t="str">
        <f t="shared" si="5"/>
        <v>CAR2021-7205|final</v>
      </c>
    </row>
    <row r="357" spans="1:2" x14ac:dyDescent="0.25">
      <c r="A357" s="9" t="s">
        <v>1461</v>
      </c>
      <c r="B357" s="9" t="str">
        <f t="shared" si="5"/>
        <v>COM2021-3171|final</v>
      </c>
    </row>
    <row r="358" spans="1:2" x14ac:dyDescent="0.25">
      <c r="A358" s="9" t="s">
        <v>1462</v>
      </c>
      <c r="B358" s="9" t="str">
        <f t="shared" si="5"/>
        <v>COM2021-3998|final</v>
      </c>
    </row>
    <row r="359" spans="1:2" x14ac:dyDescent="0.25">
      <c r="A359" s="9" t="s">
        <v>1463</v>
      </c>
      <c r="B359" s="9" t="str">
        <f t="shared" si="5"/>
        <v>CAR2021-6071|final</v>
      </c>
    </row>
    <row r="360" spans="1:2" x14ac:dyDescent="0.25">
      <c r="A360" s="9" t="s">
        <v>1464</v>
      </c>
      <c r="B360" s="9" t="str">
        <f t="shared" si="5"/>
        <v>CAR2021-5822|final</v>
      </c>
    </row>
    <row r="361" spans="1:2" x14ac:dyDescent="0.25">
      <c r="A361" s="9" t="s">
        <v>1465</v>
      </c>
      <c r="B361" s="9" t="str">
        <f t="shared" si="5"/>
        <v>PAR2021-0178|final</v>
      </c>
    </row>
    <row r="362" spans="1:2" x14ac:dyDescent="0.25">
      <c r="A362" s="9" t="s">
        <v>1466</v>
      </c>
      <c r="B362" s="9" t="str">
        <f t="shared" si="5"/>
        <v>COM2021-2995|final</v>
      </c>
    </row>
    <row r="363" spans="1:2" x14ac:dyDescent="0.25">
      <c r="A363" s="9" t="s">
        <v>1467</v>
      </c>
      <c r="B363" s="9" t="str">
        <f t="shared" si="5"/>
        <v>PAR2021-7548|final</v>
      </c>
    </row>
    <row r="364" spans="1:2" x14ac:dyDescent="0.25">
      <c r="A364" s="9" t="s">
        <v>1468</v>
      </c>
      <c r="B364" s="9" t="str">
        <f t="shared" si="5"/>
        <v>CAR2021-7673|final</v>
      </c>
    </row>
    <row r="365" spans="1:2" x14ac:dyDescent="0.25">
      <c r="A365" s="9" t="s">
        <v>1469</v>
      </c>
      <c r="B365" s="9" t="str">
        <f t="shared" si="5"/>
        <v>CAR2020-0694|final</v>
      </c>
    </row>
    <row r="366" spans="1:2" x14ac:dyDescent="0.25">
      <c r="A366" s="9" t="s">
        <v>1470</v>
      </c>
      <c r="B366" s="9" t="str">
        <f t="shared" si="5"/>
        <v>CAR2021-5876|final</v>
      </c>
    </row>
    <row r="367" spans="1:2" x14ac:dyDescent="0.25">
      <c r="A367" s="9" t="s">
        <v>1471</v>
      </c>
      <c r="B367" s="9" t="str">
        <f t="shared" si="5"/>
        <v>CAR2020-1238|final</v>
      </c>
    </row>
    <row r="368" spans="1:2" x14ac:dyDescent="0.25">
      <c r="A368" s="9" t="s">
        <v>1472</v>
      </c>
      <c r="B368" s="9" t="str">
        <f t="shared" si="5"/>
        <v>CAR2021-5857|final</v>
      </c>
    </row>
    <row r="369" spans="1:2" x14ac:dyDescent="0.25">
      <c r="A369" s="9" t="s">
        <v>1473</v>
      </c>
      <c r="B369" s="9" t="str">
        <f t="shared" si="5"/>
        <v>PAR2020-0188|final</v>
      </c>
    </row>
    <row r="370" spans="1:2" x14ac:dyDescent="0.25">
      <c r="A370" s="9" t="s">
        <v>1474</v>
      </c>
      <c r="B370" s="9" t="str">
        <f t="shared" si="5"/>
        <v>CAR2021-7534|final</v>
      </c>
    </row>
    <row r="371" spans="1:2" x14ac:dyDescent="0.25">
      <c r="A371" s="9" t="s">
        <v>1475</v>
      </c>
      <c r="B371" s="9" t="str">
        <f t="shared" si="5"/>
        <v>CAR2021-7541|final</v>
      </c>
    </row>
    <row r="372" spans="1:2" x14ac:dyDescent="0.25">
      <c r="A372" s="9" t="s">
        <v>1476</v>
      </c>
      <c r="B372" s="9" t="str">
        <f t="shared" si="5"/>
        <v>PAR2021-0731|final</v>
      </c>
    </row>
    <row r="373" spans="1:2" x14ac:dyDescent="0.25">
      <c r="A373" s="9" t="s">
        <v>1477</v>
      </c>
      <c r="B373" s="9" t="str">
        <f t="shared" si="5"/>
        <v>PAR2021-0582|final</v>
      </c>
    </row>
    <row r="374" spans="1:2" x14ac:dyDescent="0.25">
      <c r="A374" s="9" t="s">
        <v>1478</v>
      </c>
      <c r="B374" s="9" t="str">
        <f t="shared" si="5"/>
        <v>PAR2021-0579|final</v>
      </c>
    </row>
    <row r="375" spans="1:2" x14ac:dyDescent="0.25">
      <c r="A375" s="9" t="s">
        <v>1479</v>
      </c>
      <c r="B375" s="9" t="str">
        <f t="shared" si="5"/>
        <v>PAR2021-3320|final</v>
      </c>
    </row>
    <row r="376" spans="1:2" x14ac:dyDescent="0.25">
      <c r="A376" s="9" t="s">
        <v>1480</v>
      </c>
      <c r="B376" s="9" t="str">
        <f t="shared" si="5"/>
        <v>PAR2021-3982|final</v>
      </c>
    </row>
    <row r="377" spans="1:2" x14ac:dyDescent="0.25">
      <c r="A377" s="9" t="s">
        <v>1481</v>
      </c>
      <c r="B377" s="9" t="str">
        <f t="shared" si="5"/>
        <v>PAR2021-3134|final</v>
      </c>
    </row>
    <row r="378" spans="1:2" x14ac:dyDescent="0.25">
      <c r="A378" s="9" t="s">
        <v>1482</v>
      </c>
      <c r="B378" s="9" t="str">
        <f t="shared" si="5"/>
        <v>COM2021-3908|final</v>
      </c>
    </row>
    <row r="379" spans="1:2" x14ac:dyDescent="0.25">
      <c r="A379" s="9" t="s">
        <v>1483</v>
      </c>
      <c r="B379" s="9" t="str">
        <f t="shared" si="5"/>
        <v>COM2020-3164|final</v>
      </c>
    </row>
    <row r="380" spans="1:2" x14ac:dyDescent="0.25">
      <c r="A380" s="9" t="s">
        <v>1484</v>
      </c>
      <c r="B380" s="9" t="str">
        <f t="shared" si="5"/>
        <v>COM2017-4214|final</v>
      </c>
    </row>
    <row r="381" spans="1:2" x14ac:dyDescent="0.25">
      <c r="A381" s="9" t="s">
        <v>1485</v>
      </c>
      <c r="B381" s="9" t="str">
        <f t="shared" si="5"/>
        <v>COM2017-4083|final</v>
      </c>
    </row>
    <row r="382" spans="1:2" x14ac:dyDescent="0.25">
      <c r="A382" s="9" t="s">
        <v>1486</v>
      </c>
      <c r="B382" s="9" t="str">
        <f t="shared" si="5"/>
        <v>PAR2021-3585|final</v>
      </c>
    </row>
    <row r="383" spans="1:2" x14ac:dyDescent="0.25">
      <c r="A383" s="9" t="s">
        <v>1487</v>
      </c>
      <c r="B383" s="9" t="str">
        <f t="shared" si="5"/>
        <v>CAR2019-0931|final</v>
      </c>
    </row>
    <row r="384" spans="1:2" x14ac:dyDescent="0.25">
      <c r="A384" s="9" t="s">
        <v>1488</v>
      </c>
      <c r="B384" s="9" t="str">
        <f t="shared" si="5"/>
        <v>CAR2019-3037|final</v>
      </c>
    </row>
    <row r="385" spans="1:2" x14ac:dyDescent="0.25">
      <c r="A385" s="9" t="s">
        <v>1489</v>
      </c>
      <c r="B385" s="9" t="str">
        <f t="shared" ref="B385:B448" si="6">_xlfn.CONCAT(A385,"|","final")</f>
        <v>CAR2021-7017|final</v>
      </c>
    </row>
    <row r="386" spans="1:2" x14ac:dyDescent="0.25">
      <c r="A386" s="9" t="s">
        <v>1490</v>
      </c>
      <c r="B386" s="9" t="str">
        <f t="shared" si="6"/>
        <v>CAR2021-0835|final</v>
      </c>
    </row>
    <row r="387" spans="1:2" x14ac:dyDescent="0.25">
      <c r="A387" s="9" t="s">
        <v>1491</v>
      </c>
      <c r="B387" s="9" t="str">
        <f t="shared" si="6"/>
        <v>COM2019-0356|final</v>
      </c>
    </row>
    <row r="388" spans="1:2" x14ac:dyDescent="0.25">
      <c r="A388" s="9" t="s">
        <v>1492</v>
      </c>
      <c r="B388" s="9" t="str">
        <f t="shared" si="6"/>
        <v>CAR2021-5844|final</v>
      </c>
    </row>
    <row r="389" spans="1:2" x14ac:dyDescent="0.25">
      <c r="A389" s="9" t="s">
        <v>1493</v>
      </c>
      <c r="B389" s="9" t="str">
        <f t="shared" si="6"/>
        <v>CAR2020-1086|final</v>
      </c>
    </row>
    <row r="390" spans="1:2" x14ac:dyDescent="0.25">
      <c r="A390" s="9" t="s">
        <v>1494</v>
      </c>
      <c r="B390" s="9" t="str">
        <f t="shared" si="6"/>
        <v>COM2021-3191|final</v>
      </c>
    </row>
    <row r="391" spans="1:2" x14ac:dyDescent="0.25">
      <c r="A391" s="9" t="s">
        <v>1495</v>
      </c>
      <c r="B391" s="9" t="str">
        <f t="shared" si="6"/>
        <v>CAR2021-3549|final</v>
      </c>
    </row>
    <row r="392" spans="1:2" x14ac:dyDescent="0.25">
      <c r="A392" s="9" t="s">
        <v>1496</v>
      </c>
      <c r="B392" s="9" t="str">
        <f t="shared" si="6"/>
        <v>CAR2021-7535|final</v>
      </c>
    </row>
    <row r="393" spans="1:2" x14ac:dyDescent="0.25">
      <c r="A393" s="9" t="s">
        <v>1497</v>
      </c>
      <c r="B393" s="9" t="str">
        <f t="shared" si="6"/>
        <v>CAR2021-5088|final</v>
      </c>
    </row>
    <row r="394" spans="1:2" x14ac:dyDescent="0.25">
      <c r="A394" s="9" t="s">
        <v>1498</v>
      </c>
      <c r="B394" s="9" t="str">
        <f t="shared" si="6"/>
        <v>COM2021-0782|final</v>
      </c>
    </row>
    <row r="395" spans="1:2" x14ac:dyDescent="0.25">
      <c r="A395" s="9" t="s">
        <v>1499</v>
      </c>
      <c r="B395" s="9" t="str">
        <f t="shared" si="6"/>
        <v>COM2021-3160|final</v>
      </c>
    </row>
    <row r="396" spans="1:2" x14ac:dyDescent="0.25">
      <c r="A396" s="9" t="s">
        <v>1500</v>
      </c>
      <c r="B396" s="9" t="str">
        <f t="shared" si="6"/>
        <v>CAR2021-1211|final</v>
      </c>
    </row>
    <row r="397" spans="1:2" x14ac:dyDescent="0.25">
      <c r="A397" s="9" t="s">
        <v>1501</v>
      </c>
      <c r="B397" s="9" t="str">
        <f t="shared" si="6"/>
        <v>CAR2021-5659|final</v>
      </c>
    </row>
    <row r="398" spans="1:2" x14ac:dyDescent="0.25">
      <c r="A398" s="9" t="s">
        <v>1502</v>
      </c>
      <c r="B398" s="9" t="str">
        <f t="shared" si="6"/>
        <v>CAR2021-6235|final</v>
      </c>
    </row>
    <row r="399" spans="1:2" x14ac:dyDescent="0.25">
      <c r="A399" s="9" t="s">
        <v>1503</v>
      </c>
      <c r="B399" s="9" t="str">
        <f t="shared" si="6"/>
        <v>CAR2021-7204|final</v>
      </c>
    </row>
    <row r="400" spans="1:2" x14ac:dyDescent="0.25">
      <c r="A400" s="9" t="s">
        <v>1504</v>
      </c>
      <c r="B400" s="9" t="str">
        <f t="shared" si="6"/>
        <v>PAR2021-7229|final</v>
      </c>
    </row>
    <row r="401" spans="1:2" x14ac:dyDescent="0.25">
      <c r="A401" s="9" t="s">
        <v>1505</v>
      </c>
      <c r="B401" s="9" t="str">
        <f t="shared" si="6"/>
        <v>CAR2021-7226|final</v>
      </c>
    </row>
    <row r="402" spans="1:2" x14ac:dyDescent="0.25">
      <c r="A402" s="9" t="s">
        <v>1506</v>
      </c>
      <c r="B402" s="9" t="str">
        <f t="shared" si="6"/>
        <v>CAR2021-7227|final</v>
      </c>
    </row>
    <row r="403" spans="1:2" x14ac:dyDescent="0.25">
      <c r="A403" s="9" t="s">
        <v>1507</v>
      </c>
      <c r="B403" s="9" t="str">
        <f t="shared" si="6"/>
        <v>PAR2021-7228|final</v>
      </c>
    </row>
    <row r="404" spans="1:2" x14ac:dyDescent="0.25">
      <c r="A404" s="9" t="s">
        <v>1508</v>
      </c>
      <c r="B404" s="9" t="str">
        <f t="shared" si="6"/>
        <v>COM2018-1932|final</v>
      </c>
    </row>
    <row r="405" spans="1:2" x14ac:dyDescent="0.25">
      <c r="A405" s="9" t="s">
        <v>1509</v>
      </c>
      <c r="B405" s="9" t="str">
        <f t="shared" si="6"/>
        <v>COM2021-3147|final</v>
      </c>
    </row>
    <row r="406" spans="1:2" x14ac:dyDescent="0.25">
      <c r="A406" s="9" t="s">
        <v>1510</v>
      </c>
      <c r="B406" s="9" t="str">
        <f t="shared" si="6"/>
        <v>CAR2021-6809|final</v>
      </c>
    </row>
    <row r="407" spans="1:2" x14ac:dyDescent="0.25">
      <c r="A407" s="9" t="s">
        <v>1511</v>
      </c>
      <c r="B407" s="9" t="str">
        <f t="shared" si="6"/>
        <v>COM2021-3755|final</v>
      </c>
    </row>
    <row r="408" spans="1:2" x14ac:dyDescent="0.25">
      <c r="A408" s="9" t="s">
        <v>1512</v>
      </c>
      <c r="B408" s="9" t="str">
        <f t="shared" si="6"/>
        <v>COM2021-3308|final</v>
      </c>
    </row>
    <row r="409" spans="1:2" x14ac:dyDescent="0.25">
      <c r="A409" s="9" t="s">
        <v>1513</v>
      </c>
      <c r="B409" s="9" t="str">
        <f t="shared" si="6"/>
        <v>PAR2021-3150|final</v>
      </c>
    </row>
    <row r="410" spans="1:2" x14ac:dyDescent="0.25">
      <c r="A410" s="9" t="s">
        <v>1514</v>
      </c>
      <c r="B410" s="9" t="str">
        <f t="shared" si="6"/>
        <v>PAR2021-3145|final</v>
      </c>
    </row>
    <row r="411" spans="1:2" x14ac:dyDescent="0.25">
      <c r="A411" s="9" t="s">
        <v>1515</v>
      </c>
      <c r="B411" s="9" t="str">
        <f t="shared" si="6"/>
        <v>PAR2021-1100|final</v>
      </c>
    </row>
    <row r="412" spans="1:2" x14ac:dyDescent="0.25">
      <c r="A412" s="9" t="s">
        <v>1516</v>
      </c>
      <c r="B412" s="9" t="str">
        <f t="shared" si="6"/>
        <v>PAR2021-3307|final</v>
      </c>
    </row>
    <row r="413" spans="1:2" x14ac:dyDescent="0.25">
      <c r="A413" s="9" t="s">
        <v>1517</v>
      </c>
      <c r="B413" s="9" t="str">
        <f t="shared" si="6"/>
        <v>PAR2021-0979|final</v>
      </c>
    </row>
    <row r="414" spans="1:2" x14ac:dyDescent="0.25">
      <c r="A414" s="9" t="s">
        <v>1518</v>
      </c>
      <c r="B414" s="9" t="str">
        <f t="shared" si="6"/>
        <v>PAR2021-6618|final</v>
      </c>
    </row>
    <row r="415" spans="1:2" x14ac:dyDescent="0.25">
      <c r="A415" s="9" t="s">
        <v>1519</v>
      </c>
      <c r="B415" s="9" t="str">
        <f t="shared" si="6"/>
        <v>PAR2021-3153|final</v>
      </c>
    </row>
    <row r="416" spans="1:2" x14ac:dyDescent="0.25">
      <c r="A416" s="9" t="s">
        <v>1520</v>
      </c>
      <c r="B416" s="9" t="str">
        <f t="shared" si="6"/>
        <v>PAR2021-3757|final</v>
      </c>
    </row>
    <row r="417" spans="1:2" x14ac:dyDescent="0.25">
      <c r="A417" s="9" t="s">
        <v>1521</v>
      </c>
      <c r="B417" s="9" t="str">
        <f t="shared" si="6"/>
        <v>CAR2021-6890|final</v>
      </c>
    </row>
    <row r="418" spans="1:2" x14ac:dyDescent="0.25">
      <c r="A418" s="9" t="s">
        <v>1522</v>
      </c>
      <c r="B418" s="9" t="str">
        <f t="shared" si="6"/>
        <v>COM2018-1499|final</v>
      </c>
    </row>
    <row r="419" spans="1:2" x14ac:dyDescent="0.25">
      <c r="A419" s="9" t="s">
        <v>1523</v>
      </c>
      <c r="B419" s="9" t="str">
        <f t="shared" si="6"/>
        <v>CAR2021-3715|final</v>
      </c>
    </row>
    <row r="420" spans="1:2" x14ac:dyDescent="0.25">
      <c r="A420" s="9" t="s">
        <v>1524</v>
      </c>
      <c r="B420" s="9" t="str">
        <f t="shared" si="6"/>
        <v>PAR2021-0777|final</v>
      </c>
    </row>
    <row r="421" spans="1:2" x14ac:dyDescent="0.25">
      <c r="A421" s="9" t="s">
        <v>1525</v>
      </c>
      <c r="B421" s="9" t="str">
        <f t="shared" si="6"/>
        <v>COM2021-0026|final</v>
      </c>
    </row>
    <row r="422" spans="1:2" x14ac:dyDescent="0.25">
      <c r="A422" s="9" t="s">
        <v>1526</v>
      </c>
      <c r="B422" s="9" t="str">
        <f t="shared" si="6"/>
        <v>PAR2021-0369|final</v>
      </c>
    </row>
    <row r="423" spans="1:2" x14ac:dyDescent="0.25">
      <c r="A423" s="9" t="s">
        <v>1527</v>
      </c>
      <c r="B423" s="9" t="str">
        <f t="shared" si="6"/>
        <v>COM2021-3178|final</v>
      </c>
    </row>
    <row r="424" spans="1:2" x14ac:dyDescent="0.25">
      <c r="A424" s="9" t="s">
        <v>1528</v>
      </c>
      <c r="B424" s="9" t="str">
        <f t="shared" si="6"/>
        <v>CAR2021-7015|final</v>
      </c>
    </row>
    <row r="425" spans="1:2" x14ac:dyDescent="0.25">
      <c r="A425" s="9" t="s">
        <v>1529</v>
      </c>
      <c r="B425" s="9" t="str">
        <f t="shared" si="6"/>
        <v>CAR2021-7039|final</v>
      </c>
    </row>
    <row r="426" spans="1:2" x14ac:dyDescent="0.25">
      <c r="A426" s="9" t="s">
        <v>1530</v>
      </c>
      <c r="B426" s="9" t="str">
        <f t="shared" si="6"/>
        <v>CAR2020-3405|final</v>
      </c>
    </row>
    <row r="427" spans="1:2" x14ac:dyDescent="0.25">
      <c r="A427" s="9" t="s">
        <v>1531</v>
      </c>
      <c r="B427" s="9" t="str">
        <f t="shared" si="6"/>
        <v>CAR2021-3891|final</v>
      </c>
    </row>
    <row r="428" spans="1:2" x14ac:dyDescent="0.25">
      <c r="A428" s="9" t="s">
        <v>1532</v>
      </c>
      <c r="B428" s="9" t="str">
        <f t="shared" si="6"/>
        <v>CAR2021-2851|final</v>
      </c>
    </row>
    <row r="429" spans="1:2" x14ac:dyDescent="0.25">
      <c r="A429" s="9" t="s">
        <v>1533</v>
      </c>
      <c r="B429" s="9" t="str">
        <f t="shared" si="6"/>
        <v>CAR2021-6251|final</v>
      </c>
    </row>
    <row r="430" spans="1:2" x14ac:dyDescent="0.25">
      <c r="A430" s="9" t="s">
        <v>1534</v>
      </c>
      <c r="B430" s="9" t="str">
        <f t="shared" si="6"/>
        <v>CAR2021-6250|final</v>
      </c>
    </row>
    <row r="431" spans="1:2" x14ac:dyDescent="0.25">
      <c r="A431" s="9" t="s">
        <v>1535</v>
      </c>
      <c r="B431" s="9" t="str">
        <f t="shared" si="6"/>
        <v>CAR2021-6699|final</v>
      </c>
    </row>
    <row r="432" spans="1:2" x14ac:dyDescent="0.25">
      <c r="A432" s="9" t="s">
        <v>1536</v>
      </c>
      <c r="B432" s="9" t="str">
        <f t="shared" si="6"/>
        <v>CAR2021-6619|final</v>
      </c>
    </row>
    <row r="433" spans="1:2" x14ac:dyDescent="0.25">
      <c r="A433" s="9" t="s">
        <v>1537</v>
      </c>
      <c r="B433" s="9" t="str">
        <f t="shared" si="6"/>
        <v>CAR2021-6698|final</v>
      </c>
    </row>
    <row r="434" spans="1:2" x14ac:dyDescent="0.25">
      <c r="A434" s="9" t="s">
        <v>1538</v>
      </c>
      <c r="B434" s="9" t="str">
        <f t="shared" si="6"/>
        <v>PAR2019-0104|final</v>
      </c>
    </row>
    <row r="435" spans="1:2" x14ac:dyDescent="0.25">
      <c r="A435" s="9" t="s">
        <v>1539</v>
      </c>
      <c r="B435" s="9" t="str">
        <f t="shared" si="6"/>
        <v>PAR2021-3520|final</v>
      </c>
    </row>
    <row r="436" spans="1:2" x14ac:dyDescent="0.25">
      <c r="A436" s="9" t="s">
        <v>1540</v>
      </c>
      <c r="B436" s="9" t="str">
        <f t="shared" si="6"/>
        <v>PAR2019-2528|final</v>
      </c>
    </row>
    <row r="437" spans="1:2" x14ac:dyDescent="0.25">
      <c r="A437" s="9" t="s">
        <v>1541</v>
      </c>
      <c r="B437" s="9" t="str">
        <f t="shared" si="6"/>
        <v>PAR2021-3519|final</v>
      </c>
    </row>
    <row r="438" spans="1:2" x14ac:dyDescent="0.25">
      <c r="A438" s="9" t="s">
        <v>1542</v>
      </c>
      <c r="B438" s="9" t="str">
        <f t="shared" si="6"/>
        <v>PAR2022-0101|final</v>
      </c>
    </row>
    <row r="439" spans="1:2" x14ac:dyDescent="0.25">
      <c r="A439" s="9" t="s">
        <v>1543</v>
      </c>
      <c r="B439" s="9" t="str">
        <f t="shared" si="6"/>
        <v>PAR2021-1311|final</v>
      </c>
    </row>
    <row r="440" spans="1:2" x14ac:dyDescent="0.25">
      <c r="A440" s="9" t="s">
        <v>1544</v>
      </c>
      <c r="B440" s="9" t="str">
        <f t="shared" si="6"/>
        <v>CAR2021-5414|final</v>
      </c>
    </row>
    <row r="441" spans="1:2" x14ac:dyDescent="0.25">
      <c r="A441" s="9" t="s">
        <v>1545</v>
      </c>
      <c r="B441" s="9" t="str">
        <f t="shared" si="6"/>
        <v>CAR2021-7543|final</v>
      </c>
    </row>
    <row r="442" spans="1:2" x14ac:dyDescent="0.25">
      <c r="A442" s="9" t="s">
        <v>1546</v>
      </c>
      <c r="B442" s="9" t="str">
        <f t="shared" si="6"/>
        <v>COM2021-1719|final</v>
      </c>
    </row>
    <row r="443" spans="1:2" x14ac:dyDescent="0.25">
      <c r="A443" s="9" t="s">
        <v>1547</v>
      </c>
      <c r="B443" s="9" t="str">
        <f t="shared" si="6"/>
        <v>PAR2021-2756|final</v>
      </c>
    </row>
    <row r="444" spans="1:2" x14ac:dyDescent="0.25">
      <c r="A444" s="9" t="s">
        <v>1548</v>
      </c>
      <c r="B444" s="9" t="str">
        <f t="shared" si="6"/>
        <v>PAR2021-2855|final</v>
      </c>
    </row>
    <row r="445" spans="1:2" x14ac:dyDescent="0.25">
      <c r="A445" s="9" t="s">
        <v>1549</v>
      </c>
      <c r="B445" s="9" t="str">
        <f t="shared" si="6"/>
        <v>CAR2021-7414|final</v>
      </c>
    </row>
    <row r="446" spans="1:2" x14ac:dyDescent="0.25">
      <c r="A446" s="9" t="s">
        <v>1550</v>
      </c>
      <c r="B446" s="9" t="str">
        <f t="shared" si="6"/>
        <v>CAR2021-7011|final</v>
      </c>
    </row>
    <row r="447" spans="1:2" x14ac:dyDescent="0.25">
      <c r="A447" s="9" t="s">
        <v>1551</v>
      </c>
      <c r="B447" s="9" t="str">
        <f t="shared" si="6"/>
        <v>COM2022-0176|final</v>
      </c>
    </row>
    <row r="448" spans="1:2" x14ac:dyDescent="0.25">
      <c r="A448" s="9" t="s">
        <v>1552</v>
      </c>
      <c r="B448" s="9" t="str">
        <f t="shared" si="6"/>
        <v>COM2022-0108|final</v>
      </c>
    </row>
    <row r="449" spans="1:2" x14ac:dyDescent="0.25">
      <c r="A449" s="9" t="s">
        <v>1553</v>
      </c>
      <c r="B449" s="9" t="str">
        <f t="shared" ref="B449:B512" si="7">_xlfn.CONCAT(A449,"|","final")</f>
        <v>COM2021-1304|final</v>
      </c>
    </row>
    <row r="450" spans="1:2" x14ac:dyDescent="0.25">
      <c r="A450" s="9" t="s">
        <v>1554</v>
      </c>
      <c r="B450" s="9" t="str">
        <f t="shared" si="7"/>
        <v>PAR2021-0901|final</v>
      </c>
    </row>
    <row r="451" spans="1:2" x14ac:dyDescent="0.25">
      <c r="A451" s="9" t="s">
        <v>1555</v>
      </c>
      <c r="B451" s="9" t="str">
        <f t="shared" si="7"/>
        <v>PAR2021-1358|final</v>
      </c>
    </row>
    <row r="452" spans="1:2" x14ac:dyDescent="0.25">
      <c r="A452" s="9" t="s">
        <v>1556</v>
      </c>
      <c r="B452" s="9" t="str">
        <f t="shared" si="7"/>
        <v>PAR2021-0166|final</v>
      </c>
    </row>
    <row r="453" spans="1:2" x14ac:dyDescent="0.25">
      <c r="A453" s="9" t="s">
        <v>1557</v>
      </c>
      <c r="B453" s="9" t="str">
        <f t="shared" si="7"/>
        <v>COM2021-2984|final</v>
      </c>
    </row>
    <row r="454" spans="1:2" x14ac:dyDescent="0.25">
      <c r="A454" s="9" t="s">
        <v>1558</v>
      </c>
      <c r="B454" s="9" t="str">
        <f t="shared" si="7"/>
        <v>PAR2021-2538|final</v>
      </c>
    </row>
    <row r="455" spans="1:2" x14ac:dyDescent="0.25">
      <c r="A455" s="9" t="s">
        <v>1559</v>
      </c>
      <c r="B455" s="9" t="str">
        <f t="shared" si="7"/>
        <v>CAR2021-7507|final</v>
      </c>
    </row>
    <row r="456" spans="1:2" x14ac:dyDescent="0.25">
      <c r="A456" s="9" t="s">
        <v>1560</v>
      </c>
      <c r="B456" s="9" t="str">
        <f t="shared" si="7"/>
        <v>CAR2021-7219|final</v>
      </c>
    </row>
    <row r="457" spans="1:2" x14ac:dyDescent="0.25">
      <c r="A457" s="9" t="s">
        <v>1561</v>
      </c>
      <c r="B457" s="9" t="str">
        <f t="shared" si="7"/>
        <v>COM2021-6615|final</v>
      </c>
    </row>
    <row r="458" spans="1:2" x14ac:dyDescent="0.25">
      <c r="A458" s="9" t="s">
        <v>1562</v>
      </c>
      <c r="B458" s="9" t="str">
        <f t="shared" si="7"/>
        <v>COM2021-7298|final</v>
      </c>
    </row>
    <row r="459" spans="1:2" x14ac:dyDescent="0.25">
      <c r="A459" s="9" t="s">
        <v>1563</v>
      </c>
      <c r="B459" s="9" t="str">
        <f t="shared" si="7"/>
        <v>COM2021-2729|final</v>
      </c>
    </row>
    <row r="460" spans="1:2" x14ac:dyDescent="0.25">
      <c r="A460" s="9" t="s">
        <v>1564</v>
      </c>
      <c r="B460" s="9" t="str">
        <f t="shared" si="7"/>
        <v>PAR2019-2948|final</v>
      </c>
    </row>
    <row r="461" spans="1:2" x14ac:dyDescent="0.25">
      <c r="A461" s="9" t="s">
        <v>1565</v>
      </c>
      <c r="B461" s="9" t="str">
        <f t="shared" si="7"/>
        <v>PAR2021-3360|final</v>
      </c>
    </row>
    <row r="462" spans="1:2" x14ac:dyDescent="0.25">
      <c r="A462" s="9" t="s">
        <v>1566</v>
      </c>
      <c r="B462" s="9" t="str">
        <f t="shared" si="7"/>
        <v>PAR2019-2568|final</v>
      </c>
    </row>
    <row r="463" spans="1:2" x14ac:dyDescent="0.25">
      <c r="A463" s="9" t="s">
        <v>1567</v>
      </c>
      <c r="B463" s="9" t="str">
        <f t="shared" si="7"/>
        <v>CAR2021-0228|final</v>
      </c>
    </row>
    <row r="464" spans="1:2" x14ac:dyDescent="0.25">
      <c r="A464" s="9" t="s">
        <v>1568</v>
      </c>
      <c r="B464" s="9" t="str">
        <f t="shared" si="7"/>
        <v>COM2019-2672|final</v>
      </c>
    </row>
    <row r="465" spans="1:2" x14ac:dyDescent="0.25">
      <c r="A465" s="9" t="s">
        <v>1569</v>
      </c>
      <c r="B465" s="9" t="str">
        <f t="shared" si="7"/>
        <v>CAR2021-5831|final</v>
      </c>
    </row>
    <row r="466" spans="1:2" x14ac:dyDescent="0.25">
      <c r="A466" s="9" t="s">
        <v>1570</v>
      </c>
      <c r="B466" s="9" t="str">
        <f t="shared" si="7"/>
        <v>CAR2021-5629|final</v>
      </c>
    </row>
    <row r="467" spans="1:2" x14ac:dyDescent="0.25">
      <c r="A467" s="9" t="s">
        <v>1571</v>
      </c>
      <c r="B467" s="9" t="str">
        <f t="shared" si="7"/>
        <v>CAR2021-5615|final</v>
      </c>
    </row>
    <row r="468" spans="1:2" x14ac:dyDescent="0.25">
      <c r="A468" s="9" t="s">
        <v>1572</v>
      </c>
      <c r="B468" s="9" t="str">
        <f t="shared" si="7"/>
        <v>CAR2021-6486|final</v>
      </c>
    </row>
    <row r="469" spans="1:2" x14ac:dyDescent="0.25">
      <c r="A469" s="9" t="s">
        <v>1573</v>
      </c>
      <c r="B469" s="9" t="str">
        <f t="shared" si="7"/>
        <v>CAR2021-6433|final</v>
      </c>
    </row>
    <row r="470" spans="1:2" x14ac:dyDescent="0.25">
      <c r="A470" s="9" t="s">
        <v>1574</v>
      </c>
      <c r="B470" s="9" t="str">
        <f t="shared" si="7"/>
        <v>CAR2021-5867|final</v>
      </c>
    </row>
    <row r="471" spans="1:2" x14ac:dyDescent="0.25">
      <c r="A471" s="9" t="s">
        <v>1575</v>
      </c>
      <c r="B471" s="9" t="str">
        <f t="shared" si="7"/>
        <v>CAR2022-0002|final</v>
      </c>
    </row>
    <row r="472" spans="1:2" x14ac:dyDescent="0.25">
      <c r="A472" s="9" t="s">
        <v>1576</v>
      </c>
      <c r="B472" s="9" t="str">
        <f t="shared" si="7"/>
        <v>CAR2021-5859|final</v>
      </c>
    </row>
    <row r="473" spans="1:2" x14ac:dyDescent="0.25">
      <c r="A473" s="9" t="s">
        <v>1577</v>
      </c>
      <c r="B473" s="9" t="str">
        <f t="shared" si="7"/>
        <v>CAR2020-1073|final</v>
      </c>
    </row>
    <row r="474" spans="1:2" x14ac:dyDescent="0.25">
      <c r="A474" s="9" t="s">
        <v>1578</v>
      </c>
      <c r="B474" s="9" t="str">
        <f t="shared" si="7"/>
        <v>CAR2021-1685|final</v>
      </c>
    </row>
    <row r="475" spans="1:2" x14ac:dyDescent="0.25">
      <c r="A475" s="9" t="s">
        <v>1579</v>
      </c>
      <c r="B475" s="9" t="str">
        <f t="shared" si="7"/>
        <v>CAR2021-1624|final</v>
      </c>
    </row>
    <row r="476" spans="1:2" x14ac:dyDescent="0.25">
      <c r="A476" s="9" t="s">
        <v>1580</v>
      </c>
      <c r="B476" s="9" t="str">
        <f t="shared" si="7"/>
        <v>CAR2021-1637|final</v>
      </c>
    </row>
    <row r="477" spans="1:2" x14ac:dyDescent="0.25">
      <c r="A477" s="9" t="s">
        <v>1581</v>
      </c>
      <c r="B477" s="9" t="str">
        <f t="shared" si="7"/>
        <v>CAR2021-2404|final</v>
      </c>
    </row>
    <row r="478" spans="1:2" x14ac:dyDescent="0.25">
      <c r="A478" s="9" t="s">
        <v>1582</v>
      </c>
      <c r="B478" s="9" t="str">
        <f t="shared" si="7"/>
        <v>CAR2021-5259|final</v>
      </c>
    </row>
    <row r="479" spans="1:2" x14ac:dyDescent="0.25">
      <c r="A479" s="9" t="s">
        <v>1583</v>
      </c>
      <c r="B479" s="9" t="str">
        <f t="shared" si="7"/>
        <v>CAR2020-0424|final</v>
      </c>
    </row>
    <row r="480" spans="1:2" x14ac:dyDescent="0.25">
      <c r="A480" s="9" t="s">
        <v>1584</v>
      </c>
      <c r="B480" s="9" t="str">
        <f t="shared" si="7"/>
        <v>CAR2019-2333|final</v>
      </c>
    </row>
    <row r="481" spans="1:2" x14ac:dyDescent="0.25">
      <c r="A481" s="9" t="s">
        <v>1585</v>
      </c>
      <c r="B481" s="9" t="str">
        <f t="shared" si="7"/>
        <v>CAR2021-6856|final</v>
      </c>
    </row>
    <row r="482" spans="1:2" x14ac:dyDescent="0.25">
      <c r="A482" s="9" t="s">
        <v>1586</v>
      </c>
      <c r="B482" s="9" t="str">
        <f t="shared" si="7"/>
        <v>CAR2021-6858|final</v>
      </c>
    </row>
    <row r="483" spans="1:2" x14ac:dyDescent="0.25">
      <c r="A483" s="9" t="s">
        <v>1587</v>
      </c>
      <c r="B483" s="9" t="str">
        <f t="shared" si="7"/>
        <v>CAR2021-6686|final</v>
      </c>
    </row>
    <row r="484" spans="1:2" x14ac:dyDescent="0.25">
      <c r="A484" s="9" t="s">
        <v>1588</v>
      </c>
      <c r="B484" s="9" t="str">
        <f t="shared" si="7"/>
        <v>CAR2021-6662|final</v>
      </c>
    </row>
    <row r="485" spans="1:2" x14ac:dyDescent="0.25">
      <c r="A485" s="9" t="s">
        <v>1589</v>
      </c>
      <c r="B485" s="9" t="str">
        <f t="shared" si="7"/>
        <v>CAR2021-5651|final</v>
      </c>
    </row>
    <row r="486" spans="1:2" x14ac:dyDescent="0.25">
      <c r="A486" s="9" t="s">
        <v>1590</v>
      </c>
      <c r="B486" s="9" t="str">
        <f t="shared" si="7"/>
        <v>CAR2020-0278|final</v>
      </c>
    </row>
    <row r="487" spans="1:2" x14ac:dyDescent="0.25">
      <c r="A487" s="9" t="s">
        <v>1591</v>
      </c>
      <c r="B487" s="9" t="str">
        <f t="shared" si="7"/>
        <v>COM2021-3994|final</v>
      </c>
    </row>
    <row r="488" spans="1:2" x14ac:dyDescent="0.25">
      <c r="A488" s="9" t="s">
        <v>1592</v>
      </c>
      <c r="B488" s="9" t="str">
        <f t="shared" si="7"/>
        <v>PAR2021-1532|final</v>
      </c>
    </row>
    <row r="489" spans="1:2" x14ac:dyDescent="0.25">
      <c r="A489" s="9" t="s">
        <v>1593</v>
      </c>
      <c r="B489" s="9" t="str">
        <f t="shared" si="7"/>
        <v>PAR2021-1713|final</v>
      </c>
    </row>
    <row r="490" spans="1:2" x14ac:dyDescent="0.25">
      <c r="A490" s="9" t="s">
        <v>1594</v>
      </c>
      <c r="B490" s="9" t="str">
        <f t="shared" si="7"/>
        <v>PAR2022-0122|final</v>
      </c>
    </row>
    <row r="491" spans="1:2" x14ac:dyDescent="0.25">
      <c r="A491" s="9" t="s">
        <v>1595</v>
      </c>
      <c r="B491" s="9" t="str">
        <f t="shared" si="7"/>
        <v>PAR2021-4110|final</v>
      </c>
    </row>
    <row r="492" spans="1:2" x14ac:dyDescent="0.25">
      <c r="A492" s="9" t="s">
        <v>1596</v>
      </c>
      <c r="B492" s="9" t="str">
        <f t="shared" si="7"/>
        <v>PAR2021-4107|final</v>
      </c>
    </row>
    <row r="493" spans="1:2" x14ac:dyDescent="0.25">
      <c r="A493" s="9" t="s">
        <v>1597</v>
      </c>
      <c r="B493" s="9" t="str">
        <f t="shared" si="7"/>
        <v>PAR2022-0173|final</v>
      </c>
    </row>
    <row r="494" spans="1:2" x14ac:dyDescent="0.25">
      <c r="A494" s="9" t="s">
        <v>1598</v>
      </c>
      <c r="B494" s="9" t="str">
        <f t="shared" si="7"/>
        <v>COM2021-4112|final</v>
      </c>
    </row>
    <row r="495" spans="1:2" x14ac:dyDescent="0.25">
      <c r="A495" s="9" t="s">
        <v>1599</v>
      </c>
      <c r="B495" s="9" t="str">
        <f t="shared" si="7"/>
        <v>PAR2021-4113|final</v>
      </c>
    </row>
    <row r="496" spans="1:2" x14ac:dyDescent="0.25">
      <c r="A496" s="9" t="s">
        <v>1600</v>
      </c>
      <c r="B496" s="9" t="str">
        <f t="shared" si="7"/>
        <v>CAR2018-1499|final</v>
      </c>
    </row>
    <row r="497" spans="1:2" x14ac:dyDescent="0.25">
      <c r="A497" s="9" t="s">
        <v>1601</v>
      </c>
      <c r="B497" s="9" t="str">
        <f t="shared" si="7"/>
        <v>PAR2021-3392|final</v>
      </c>
    </row>
    <row r="498" spans="1:2" x14ac:dyDescent="0.25">
      <c r="A498" s="9" t="s">
        <v>1602</v>
      </c>
      <c r="B498" s="9" t="str">
        <f t="shared" si="7"/>
        <v>CAR2021-7239|final</v>
      </c>
    </row>
    <row r="499" spans="1:2" x14ac:dyDescent="0.25">
      <c r="A499" s="9" t="s">
        <v>1603</v>
      </c>
      <c r="B499" s="9" t="str">
        <f t="shared" si="7"/>
        <v>CAR2021-7260|final</v>
      </c>
    </row>
    <row r="500" spans="1:2" x14ac:dyDescent="0.25">
      <c r="A500" s="9" t="s">
        <v>1604</v>
      </c>
      <c r="B500" s="9" t="str">
        <f t="shared" si="7"/>
        <v>CAR2021-7248|final</v>
      </c>
    </row>
    <row r="501" spans="1:2" x14ac:dyDescent="0.25">
      <c r="A501" s="9" t="s">
        <v>1605</v>
      </c>
      <c r="B501" s="9" t="str">
        <f t="shared" si="7"/>
        <v>CAR2021-6273|final</v>
      </c>
    </row>
    <row r="502" spans="1:2" x14ac:dyDescent="0.25">
      <c r="A502" s="9" t="s">
        <v>1606</v>
      </c>
      <c r="B502" s="9" t="str">
        <f t="shared" si="7"/>
        <v>CAR2021-6489|final</v>
      </c>
    </row>
    <row r="503" spans="1:2" x14ac:dyDescent="0.25">
      <c r="A503" s="9" t="s">
        <v>1607</v>
      </c>
      <c r="B503" s="9" t="str">
        <f t="shared" si="7"/>
        <v>COM2020-2585|final</v>
      </c>
    </row>
    <row r="504" spans="1:2" x14ac:dyDescent="0.25">
      <c r="A504" s="9" t="s">
        <v>1608</v>
      </c>
      <c r="B504" s="9" t="str">
        <f t="shared" si="7"/>
        <v>PAR2021-3700|final</v>
      </c>
    </row>
    <row r="505" spans="1:2" x14ac:dyDescent="0.25">
      <c r="A505" s="9" t="s">
        <v>1609</v>
      </c>
      <c r="B505" s="9" t="str">
        <f t="shared" si="7"/>
        <v>PAR2021-3557|final</v>
      </c>
    </row>
    <row r="506" spans="1:2" x14ac:dyDescent="0.25">
      <c r="A506" s="9" t="s">
        <v>1610</v>
      </c>
      <c r="B506" s="9" t="str">
        <f t="shared" si="7"/>
        <v>PAR2021-0726|final</v>
      </c>
    </row>
    <row r="507" spans="1:2" x14ac:dyDescent="0.25">
      <c r="A507" s="9" t="s">
        <v>1611</v>
      </c>
      <c r="B507" s="9" t="str">
        <f t="shared" si="7"/>
        <v>PAR2021-3708|final</v>
      </c>
    </row>
    <row r="508" spans="1:2" x14ac:dyDescent="0.25">
      <c r="A508" s="9" t="s">
        <v>1612</v>
      </c>
      <c r="B508" s="9" t="str">
        <f t="shared" si="7"/>
        <v>PAR2021-3503|final</v>
      </c>
    </row>
    <row r="509" spans="1:2" x14ac:dyDescent="0.25">
      <c r="A509" s="9" t="s">
        <v>1613</v>
      </c>
      <c r="B509" s="9" t="str">
        <f t="shared" si="7"/>
        <v>PAR2019-0001|final</v>
      </c>
    </row>
    <row r="510" spans="1:2" x14ac:dyDescent="0.25">
      <c r="A510" s="9" t="s">
        <v>1614</v>
      </c>
      <c r="B510" s="9" t="str">
        <f t="shared" si="7"/>
        <v>PAR2021-1951|final</v>
      </c>
    </row>
    <row r="511" spans="1:2" x14ac:dyDescent="0.25">
      <c r="A511" s="9" t="s">
        <v>1615</v>
      </c>
      <c r="B511" s="9" t="str">
        <f t="shared" si="7"/>
        <v>PAR2021-1952|final</v>
      </c>
    </row>
    <row r="512" spans="1:2" x14ac:dyDescent="0.25">
      <c r="A512" s="9" t="s">
        <v>1616</v>
      </c>
      <c r="B512" s="9" t="str">
        <f t="shared" si="7"/>
        <v>PAR2021-1372|final</v>
      </c>
    </row>
    <row r="513" spans="1:2" x14ac:dyDescent="0.25">
      <c r="A513" s="9" t="s">
        <v>1617</v>
      </c>
      <c r="B513" s="9" t="str">
        <f t="shared" ref="B513:B576" si="8">_xlfn.CONCAT(A513,"|","final")</f>
        <v>PAR2019-0718|final</v>
      </c>
    </row>
    <row r="514" spans="1:2" x14ac:dyDescent="0.25">
      <c r="A514" s="9" t="s">
        <v>1618</v>
      </c>
      <c r="B514" s="9" t="str">
        <f t="shared" si="8"/>
        <v>PAR2020-3121|final</v>
      </c>
    </row>
    <row r="515" spans="1:2" x14ac:dyDescent="0.25">
      <c r="A515" s="9" t="s">
        <v>1619</v>
      </c>
      <c r="B515" s="9" t="str">
        <f t="shared" si="8"/>
        <v>PAR2021-3705|final</v>
      </c>
    </row>
    <row r="516" spans="1:2" x14ac:dyDescent="0.25">
      <c r="A516" s="9" t="s">
        <v>1620</v>
      </c>
      <c r="B516" s="9" t="str">
        <f t="shared" si="8"/>
        <v>PAR2020-3120|final</v>
      </c>
    </row>
    <row r="517" spans="1:2" x14ac:dyDescent="0.25">
      <c r="A517" s="9" t="s">
        <v>1621</v>
      </c>
      <c r="B517" s="9" t="str">
        <f t="shared" si="8"/>
        <v>PAR2021-1387|final</v>
      </c>
    </row>
    <row r="518" spans="1:2" x14ac:dyDescent="0.25">
      <c r="A518" s="9" t="s">
        <v>1622</v>
      </c>
      <c r="B518" s="9" t="str">
        <f t="shared" si="8"/>
        <v>PAR2021-1356|final</v>
      </c>
    </row>
    <row r="519" spans="1:2" x14ac:dyDescent="0.25">
      <c r="A519" s="9" t="s">
        <v>1623</v>
      </c>
      <c r="B519" s="9" t="str">
        <f t="shared" si="8"/>
        <v>PAR2016-1361|final</v>
      </c>
    </row>
    <row r="520" spans="1:2" x14ac:dyDescent="0.25">
      <c r="A520" s="9" t="s">
        <v>1624</v>
      </c>
      <c r="B520" s="9" t="str">
        <f t="shared" si="8"/>
        <v>PAR2021-1129|final</v>
      </c>
    </row>
    <row r="521" spans="1:2" x14ac:dyDescent="0.25">
      <c r="A521" s="9" t="s">
        <v>1625</v>
      </c>
      <c r="B521" s="9" t="str">
        <f t="shared" si="8"/>
        <v>PAR2019-0018|final</v>
      </c>
    </row>
    <row r="522" spans="1:2" x14ac:dyDescent="0.25">
      <c r="A522" s="9" t="s">
        <v>1626</v>
      </c>
      <c r="B522" s="9" t="str">
        <f t="shared" si="8"/>
        <v>PAR2021-1946|final</v>
      </c>
    </row>
    <row r="523" spans="1:2" x14ac:dyDescent="0.25">
      <c r="A523" s="9" t="s">
        <v>1627</v>
      </c>
      <c r="B523" s="9" t="str">
        <f t="shared" si="8"/>
        <v>PAR2021-0325|final</v>
      </c>
    </row>
    <row r="524" spans="1:2" x14ac:dyDescent="0.25">
      <c r="A524" s="9" t="s">
        <v>1628</v>
      </c>
      <c r="B524" s="9" t="str">
        <f t="shared" si="8"/>
        <v>PAR2021-0316|final</v>
      </c>
    </row>
    <row r="525" spans="1:2" x14ac:dyDescent="0.25">
      <c r="A525" s="9" t="s">
        <v>1629</v>
      </c>
      <c r="B525" s="9" t="str">
        <f t="shared" si="8"/>
        <v>PAR2021-1715|final</v>
      </c>
    </row>
    <row r="526" spans="1:2" x14ac:dyDescent="0.25">
      <c r="A526" s="9" t="s">
        <v>1630</v>
      </c>
      <c r="B526" s="9" t="str">
        <f t="shared" si="8"/>
        <v>PAR2021-1351|final</v>
      </c>
    </row>
    <row r="527" spans="1:2" x14ac:dyDescent="0.25">
      <c r="A527" s="9" t="s">
        <v>1631</v>
      </c>
      <c r="B527" s="9" t="str">
        <f t="shared" si="8"/>
        <v>PAR2021-0517|final</v>
      </c>
    </row>
    <row r="528" spans="1:2" x14ac:dyDescent="0.25">
      <c r="A528" s="9" t="s">
        <v>1632</v>
      </c>
      <c r="B528" s="9" t="str">
        <f t="shared" si="8"/>
        <v>PAR2021-0394|final</v>
      </c>
    </row>
    <row r="529" spans="1:2" x14ac:dyDescent="0.25">
      <c r="A529" s="9" t="s">
        <v>1633</v>
      </c>
      <c r="B529" s="9" t="str">
        <f t="shared" si="8"/>
        <v>PAR2021-7051|final</v>
      </c>
    </row>
    <row r="530" spans="1:2" x14ac:dyDescent="0.25">
      <c r="A530" s="9" t="s">
        <v>1634</v>
      </c>
      <c r="B530" s="9" t="str">
        <f t="shared" si="8"/>
        <v>PAR2021-3753|final</v>
      </c>
    </row>
    <row r="531" spans="1:2" x14ac:dyDescent="0.25">
      <c r="A531" s="9" t="s">
        <v>1635</v>
      </c>
      <c r="B531" s="9" t="str">
        <f t="shared" si="8"/>
        <v>PAR2020-0112|final</v>
      </c>
    </row>
    <row r="532" spans="1:2" x14ac:dyDescent="0.25">
      <c r="A532" s="9" t="s">
        <v>1636</v>
      </c>
      <c r="B532" s="9" t="str">
        <f t="shared" si="8"/>
        <v>PAR2021-0879|final</v>
      </c>
    </row>
    <row r="533" spans="1:2" x14ac:dyDescent="0.25">
      <c r="A533" s="9" t="s">
        <v>1637</v>
      </c>
      <c r="B533" s="9" t="str">
        <f t="shared" si="8"/>
        <v>PAR2019-2320|final</v>
      </c>
    </row>
    <row r="534" spans="1:2" x14ac:dyDescent="0.25">
      <c r="A534" s="9" t="s">
        <v>1638</v>
      </c>
      <c r="B534" s="9" t="str">
        <f t="shared" si="8"/>
        <v>PAR2021-2779|final</v>
      </c>
    </row>
    <row r="535" spans="1:2" x14ac:dyDescent="0.25">
      <c r="A535" s="9" t="s">
        <v>1639</v>
      </c>
      <c r="B535" s="9" t="str">
        <f t="shared" si="8"/>
        <v>PAR2018-2734|final</v>
      </c>
    </row>
    <row r="536" spans="1:2" x14ac:dyDescent="0.25">
      <c r="A536" s="9" t="s">
        <v>1640</v>
      </c>
      <c r="B536" s="9" t="str">
        <f t="shared" si="8"/>
        <v>PAR2019-2763|final</v>
      </c>
    </row>
    <row r="537" spans="1:2" x14ac:dyDescent="0.25">
      <c r="A537" s="9" t="s">
        <v>1641</v>
      </c>
      <c r="B537" s="9" t="str">
        <f t="shared" si="8"/>
        <v>COM2021-0396|final</v>
      </c>
    </row>
    <row r="538" spans="1:2" x14ac:dyDescent="0.25">
      <c r="A538" s="9" t="s">
        <v>1642</v>
      </c>
      <c r="B538" s="9" t="str">
        <f t="shared" si="8"/>
        <v>COM2021-2994|final</v>
      </c>
    </row>
    <row r="539" spans="1:2" x14ac:dyDescent="0.25">
      <c r="A539" s="9" t="s">
        <v>1643</v>
      </c>
      <c r="B539" s="9" t="str">
        <f t="shared" si="8"/>
        <v>COM2021-2993|final</v>
      </c>
    </row>
    <row r="540" spans="1:2" x14ac:dyDescent="0.25">
      <c r="A540" s="9" t="s">
        <v>1644</v>
      </c>
      <c r="B540" s="9" t="str">
        <f t="shared" si="8"/>
        <v>CAR2021-1040|final</v>
      </c>
    </row>
    <row r="541" spans="1:2" x14ac:dyDescent="0.25">
      <c r="A541" s="9" t="s">
        <v>1645</v>
      </c>
      <c r="B541" s="9" t="str">
        <f t="shared" si="8"/>
        <v>COM2020-3558|final</v>
      </c>
    </row>
    <row r="542" spans="1:2" x14ac:dyDescent="0.25">
      <c r="A542" s="9" t="s">
        <v>1646</v>
      </c>
      <c r="B542" s="9" t="str">
        <f t="shared" si="8"/>
        <v>PAR2022-0148|final</v>
      </c>
    </row>
    <row r="543" spans="1:2" x14ac:dyDescent="0.25">
      <c r="A543" s="9" t="s">
        <v>1647</v>
      </c>
      <c r="B543" s="9" t="str">
        <f t="shared" si="8"/>
        <v>PAR2019-2841|final</v>
      </c>
    </row>
    <row r="544" spans="1:2" x14ac:dyDescent="0.25">
      <c r="A544" s="9" t="s">
        <v>1648</v>
      </c>
      <c r="B544" s="9" t="str">
        <f t="shared" si="8"/>
        <v>PAR2021-2702|final</v>
      </c>
    </row>
    <row r="545" spans="1:2" x14ac:dyDescent="0.25">
      <c r="A545" s="9" t="s">
        <v>1649</v>
      </c>
      <c r="B545" s="9" t="str">
        <f t="shared" si="8"/>
        <v>COM2021-3107|final</v>
      </c>
    </row>
    <row r="546" spans="1:2" x14ac:dyDescent="0.25">
      <c r="A546" s="9" t="s">
        <v>1650</v>
      </c>
      <c r="B546" s="9" t="str">
        <f t="shared" si="8"/>
        <v>COM2021-3315|final</v>
      </c>
    </row>
    <row r="547" spans="1:2" x14ac:dyDescent="0.25">
      <c r="A547" s="9" t="s">
        <v>1651</v>
      </c>
      <c r="B547" s="9" t="str">
        <f t="shared" si="8"/>
        <v>CAR2021-1485|final</v>
      </c>
    </row>
    <row r="548" spans="1:2" x14ac:dyDescent="0.25">
      <c r="A548" s="9" t="s">
        <v>1652</v>
      </c>
      <c r="B548" s="9" t="str">
        <f t="shared" si="8"/>
        <v>CAR2020-0618|final</v>
      </c>
    </row>
    <row r="549" spans="1:2" x14ac:dyDescent="0.25">
      <c r="A549" s="9" t="s">
        <v>1653</v>
      </c>
      <c r="B549" s="9" t="str">
        <f t="shared" si="8"/>
        <v>CAR2021-1361|final</v>
      </c>
    </row>
    <row r="550" spans="1:2" x14ac:dyDescent="0.25">
      <c r="A550" s="9" t="s">
        <v>1654</v>
      </c>
      <c r="B550" s="9" t="str">
        <f t="shared" si="8"/>
        <v>CAR2021-1940|final</v>
      </c>
    </row>
    <row r="551" spans="1:2" x14ac:dyDescent="0.25">
      <c r="A551" s="9" t="s">
        <v>1655</v>
      </c>
      <c r="B551" s="9" t="str">
        <f t="shared" si="8"/>
        <v>PAR2021-7490|final</v>
      </c>
    </row>
    <row r="552" spans="1:2" x14ac:dyDescent="0.25">
      <c r="A552" s="9" t="s">
        <v>1656</v>
      </c>
      <c r="B552" s="9" t="str">
        <f t="shared" si="8"/>
        <v>CAR2021-7487|final</v>
      </c>
    </row>
    <row r="553" spans="1:2" x14ac:dyDescent="0.25">
      <c r="A553" s="9" t="s">
        <v>1657</v>
      </c>
      <c r="B553" s="9" t="str">
        <f t="shared" si="8"/>
        <v>PAR2019-3281|final</v>
      </c>
    </row>
    <row r="554" spans="1:2" x14ac:dyDescent="0.25">
      <c r="A554" s="9" t="s">
        <v>1658</v>
      </c>
      <c r="B554" s="9" t="str">
        <f t="shared" si="8"/>
        <v>COM2021-0783|final</v>
      </c>
    </row>
    <row r="555" spans="1:2" x14ac:dyDescent="0.25">
      <c r="A555" s="9" t="s">
        <v>1659</v>
      </c>
      <c r="B555" s="9" t="str">
        <f t="shared" si="8"/>
        <v>COM2018-2844|final</v>
      </c>
    </row>
    <row r="556" spans="1:2" x14ac:dyDescent="0.25">
      <c r="A556" s="9" t="s">
        <v>1660</v>
      </c>
      <c r="B556" s="9" t="str">
        <f t="shared" si="8"/>
        <v>CAR2021-3374|final</v>
      </c>
    </row>
    <row r="557" spans="1:2" x14ac:dyDescent="0.25">
      <c r="A557" s="9" t="s">
        <v>1661</v>
      </c>
      <c r="B557" s="9" t="str">
        <f t="shared" si="8"/>
        <v>PAR2021-3744|final</v>
      </c>
    </row>
    <row r="558" spans="1:2" x14ac:dyDescent="0.25">
      <c r="A558" s="9" t="s">
        <v>1662</v>
      </c>
      <c r="B558" s="9" t="str">
        <f t="shared" si="8"/>
        <v>PAR2019-1793|final</v>
      </c>
    </row>
    <row r="559" spans="1:2" x14ac:dyDescent="0.25">
      <c r="A559" s="9" t="s">
        <v>1663</v>
      </c>
      <c r="B559" s="9" t="str">
        <f t="shared" si="8"/>
        <v>PAR2021-2906|final</v>
      </c>
    </row>
    <row r="560" spans="1:2" x14ac:dyDescent="0.25">
      <c r="A560" s="9" t="s">
        <v>1664</v>
      </c>
      <c r="B560" s="9" t="str">
        <f t="shared" si="8"/>
        <v>PAR2021-3735|final</v>
      </c>
    </row>
    <row r="561" spans="1:2" x14ac:dyDescent="0.25">
      <c r="A561" s="9" t="s">
        <v>1665</v>
      </c>
      <c r="B561" s="9" t="str">
        <f t="shared" si="8"/>
        <v>PAR2019-2927|final</v>
      </c>
    </row>
    <row r="562" spans="1:2" x14ac:dyDescent="0.25">
      <c r="A562" s="9" t="s">
        <v>1666</v>
      </c>
      <c r="B562" s="9" t="str">
        <f t="shared" si="8"/>
        <v>PAR2021-3537|final</v>
      </c>
    </row>
    <row r="563" spans="1:2" x14ac:dyDescent="0.25">
      <c r="A563" s="9" t="s">
        <v>1667</v>
      </c>
      <c r="B563" s="9" t="str">
        <f t="shared" si="8"/>
        <v>PAR2019-2735|final</v>
      </c>
    </row>
    <row r="564" spans="1:2" x14ac:dyDescent="0.25">
      <c r="A564" s="9" t="s">
        <v>1668</v>
      </c>
      <c r="B564" s="9" t="str">
        <f t="shared" si="8"/>
        <v>PAR2021-3536|final</v>
      </c>
    </row>
    <row r="565" spans="1:2" x14ac:dyDescent="0.25">
      <c r="A565" s="9" t="s">
        <v>1669</v>
      </c>
      <c r="B565" s="9" t="str">
        <f t="shared" si="8"/>
        <v>CAR2018-1680|final</v>
      </c>
    </row>
    <row r="566" spans="1:2" x14ac:dyDescent="0.25">
      <c r="A566" s="9" t="s">
        <v>1670</v>
      </c>
      <c r="B566" s="9" t="str">
        <f t="shared" si="8"/>
        <v>PAR2021-3975|final</v>
      </c>
    </row>
    <row r="567" spans="1:2" x14ac:dyDescent="0.25">
      <c r="A567" s="9" t="s">
        <v>1671</v>
      </c>
      <c r="B567" s="9" t="str">
        <f t="shared" si="8"/>
        <v>PAR2021-3983|final</v>
      </c>
    </row>
    <row r="568" spans="1:2" x14ac:dyDescent="0.25">
      <c r="A568" s="9" t="s">
        <v>1672</v>
      </c>
      <c r="B568" s="9" t="str">
        <f t="shared" si="8"/>
        <v>PAR2022-0133|final</v>
      </c>
    </row>
    <row r="569" spans="1:2" x14ac:dyDescent="0.25">
      <c r="A569" s="9" t="s">
        <v>1673</v>
      </c>
      <c r="B569" s="9" t="str">
        <f t="shared" si="8"/>
        <v>COM2021-3906|final</v>
      </c>
    </row>
    <row r="570" spans="1:2" x14ac:dyDescent="0.25">
      <c r="A570" s="9" t="s">
        <v>1674</v>
      </c>
      <c r="B570" s="9" t="str">
        <f t="shared" si="8"/>
        <v>COM2021-3907|final</v>
      </c>
    </row>
    <row r="571" spans="1:2" x14ac:dyDescent="0.25">
      <c r="A571" s="9" t="s">
        <v>1675</v>
      </c>
      <c r="B571" s="9" t="str">
        <f t="shared" si="8"/>
        <v>COM2021-7299|final</v>
      </c>
    </row>
    <row r="572" spans="1:2" x14ac:dyDescent="0.25">
      <c r="A572" s="9" t="s">
        <v>1676</v>
      </c>
      <c r="B572" s="9" t="str">
        <f t="shared" si="8"/>
        <v>PAR2021-4102|final</v>
      </c>
    </row>
    <row r="573" spans="1:2" x14ac:dyDescent="0.25">
      <c r="A573" s="9" t="s">
        <v>1677</v>
      </c>
      <c r="B573" s="9" t="str">
        <f t="shared" si="8"/>
        <v>PAR2019-0371|final</v>
      </c>
    </row>
    <row r="574" spans="1:2" x14ac:dyDescent="0.25">
      <c r="A574" s="9" t="s">
        <v>1678</v>
      </c>
      <c r="B574" s="9" t="str">
        <f t="shared" si="8"/>
        <v>PAR2021-0312|final</v>
      </c>
    </row>
    <row r="575" spans="1:2" x14ac:dyDescent="0.25">
      <c r="A575" s="9" t="s">
        <v>1679</v>
      </c>
      <c r="B575" s="9" t="str">
        <f t="shared" si="8"/>
        <v>PAR2019-3223|final</v>
      </c>
    </row>
    <row r="576" spans="1:2" x14ac:dyDescent="0.25">
      <c r="A576" s="9" t="s">
        <v>1680</v>
      </c>
      <c r="B576" s="9" t="str">
        <f t="shared" si="8"/>
        <v>PAR2021-2778|final</v>
      </c>
    </row>
    <row r="577" spans="1:2" x14ac:dyDescent="0.25">
      <c r="A577" s="9" t="s">
        <v>1681</v>
      </c>
      <c r="B577" s="9" t="str">
        <f t="shared" ref="B577:B640" si="9">_xlfn.CONCAT(A577,"|","final")</f>
        <v>PAR2021-7277|final</v>
      </c>
    </row>
    <row r="578" spans="1:2" x14ac:dyDescent="0.25">
      <c r="A578" s="9" t="s">
        <v>1682</v>
      </c>
      <c r="B578" s="9" t="str">
        <f t="shared" si="9"/>
        <v>PAR2021-6412|final</v>
      </c>
    </row>
    <row r="579" spans="1:2" x14ac:dyDescent="0.25">
      <c r="A579" s="9" t="s">
        <v>1683</v>
      </c>
      <c r="B579" s="9" t="str">
        <f t="shared" si="9"/>
        <v>PAR2020-0318|final</v>
      </c>
    </row>
    <row r="580" spans="1:2" x14ac:dyDescent="0.25">
      <c r="A580" s="9" t="s">
        <v>1684</v>
      </c>
      <c r="B580" s="9" t="str">
        <f t="shared" si="9"/>
        <v>CAR2021-5082|final</v>
      </c>
    </row>
    <row r="581" spans="1:2" x14ac:dyDescent="0.25">
      <c r="A581" s="9" t="s">
        <v>1685</v>
      </c>
      <c r="B581" s="9" t="str">
        <f t="shared" si="9"/>
        <v>CAR2020-5665|final</v>
      </c>
    </row>
    <row r="582" spans="1:2" x14ac:dyDescent="0.25">
      <c r="A582" s="9" t="s">
        <v>1686</v>
      </c>
      <c r="B582" s="9" t="str">
        <f t="shared" si="9"/>
        <v>CAR2021-6288|final</v>
      </c>
    </row>
    <row r="583" spans="1:2" x14ac:dyDescent="0.25">
      <c r="A583" s="9" t="s">
        <v>1687</v>
      </c>
      <c r="B583" s="9" t="str">
        <f t="shared" si="9"/>
        <v>CAR202113049|final</v>
      </c>
    </row>
    <row r="584" spans="1:2" x14ac:dyDescent="0.25">
      <c r="A584" s="9" t="s">
        <v>1688</v>
      </c>
      <c r="B584" s="9" t="str">
        <f t="shared" si="9"/>
        <v>CAR2021-3051|final</v>
      </c>
    </row>
    <row r="585" spans="1:2" x14ac:dyDescent="0.25">
      <c r="A585" s="9" t="s">
        <v>1689</v>
      </c>
      <c r="B585" s="9" t="str">
        <f t="shared" si="9"/>
        <v>COM2021-2771|final</v>
      </c>
    </row>
    <row r="586" spans="1:2" x14ac:dyDescent="0.25">
      <c r="A586" s="9" t="s">
        <v>1690</v>
      </c>
      <c r="B586" s="9" t="str">
        <f t="shared" si="9"/>
        <v>COM2020-0583|final</v>
      </c>
    </row>
    <row r="587" spans="1:2" x14ac:dyDescent="0.25">
      <c r="A587" s="9" t="s">
        <v>1691</v>
      </c>
      <c r="B587" s="9" t="str">
        <f t="shared" si="9"/>
        <v>CAR2021-1792|final</v>
      </c>
    </row>
    <row r="588" spans="1:2" x14ac:dyDescent="0.25">
      <c r="A588" s="9" t="s">
        <v>1692</v>
      </c>
      <c r="B588" s="9" t="str">
        <f t="shared" si="9"/>
        <v>PAR2021-3727|final</v>
      </c>
    </row>
    <row r="589" spans="1:2" x14ac:dyDescent="0.25">
      <c r="A589" s="9" t="s">
        <v>1693</v>
      </c>
      <c r="B589" s="9" t="str">
        <f t="shared" si="9"/>
        <v>PAR2021-4106|final</v>
      </c>
    </row>
    <row r="590" spans="1:2" x14ac:dyDescent="0.25">
      <c r="A590" s="9" t="s">
        <v>1694</v>
      </c>
      <c r="B590" s="9" t="str">
        <f t="shared" si="9"/>
        <v>PAR2021-4105|final</v>
      </c>
    </row>
    <row r="591" spans="1:2" x14ac:dyDescent="0.25">
      <c r="A591" s="9" t="s">
        <v>1695</v>
      </c>
      <c r="B591" s="9" t="str">
        <f t="shared" si="9"/>
        <v>PAR2021-0585|final</v>
      </c>
    </row>
    <row r="592" spans="1:2" x14ac:dyDescent="0.25">
      <c r="A592" s="9" t="s">
        <v>1696</v>
      </c>
      <c r="B592" s="9" t="str">
        <f t="shared" si="9"/>
        <v>PAR2021-3955|final</v>
      </c>
    </row>
    <row r="593" spans="1:2" x14ac:dyDescent="0.25">
      <c r="A593" s="9" t="s">
        <v>1697</v>
      </c>
      <c r="B593" s="9" t="str">
        <f t="shared" si="9"/>
        <v>PAR2021-3990|final</v>
      </c>
    </row>
    <row r="594" spans="1:2" x14ac:dyDescent="0.25">
      <c r="A594" s="9" t="s">
        <v>1698</v>
      </c>
      <c r="B594" s="9" t="str">
        <f t="shared" si="9"/>
        <v>PAR2021-3721|final</v>
      </c>
    </row>
    <row r="595" spans="1:2" x14ac:dyDescent="0.25">
      <c r="A595" s="9" t="s">
        <v>1699</v>
      </c>
      <c r="B595" s="9" t="str">
        <f t="shared" si="9"/>
        <v>PAR2021-2153|final</v>
      </c>
    </row>
    <row r="596" spans="1:2" x14ac:dyDescent="0.25">
      <c r="A596" s="9" t="s">
        <v>1700</v>
      </c>
      <c r="B596" s="9" t="str">
        <f t="shared" si="9"/>
        <v>PAR2021-3938|final</v>
      </c>
    </row>
    <row r="597" spans="1:2" x14ac:dyDescent="0.25">
      <c r="A597" s="9" t="s">
        <v>1701</v>
      </c>
      <c r="B597" s="9" t="str">
        <f t="shared" si="9"/>
        <v>COM2019-3236|final</v>
      </c>
    </row>
    <row r="598" spans="1:2" x14ac:dyDescent="0.25">
      <c r="A598" s="9" t="s">
        <v>1702</v>
      </c>
      <c r="B598" s="9" t="str">
        <f t="shared" si="9"/>
        <v>COM2019-1218|final</v>
      </c>
    </row>
    <row r="599" spans="1:2" x14ac:dyDescent="0.25">
      <c r="A599" s="9" t="s">
        <v>1703</v>
      </c>
      <c r="B599" s="9" t="str">
        <f t="shared" si="9"/>
        <v>COM2019-3072|final</v>
      </c>
    </row>
    <row r="600" spans="1:2" x14ac:dyDescent="0.25">
      <c r="A600" s="9" t="s">
        <v>1704</v>
      </c>
      <c r="B600" s="9" t="str">
        <f t="shared" si="9"/>
        <v>COM2020-0782|final</v>
      </c>
    </row>
    <row r="601" spans="1:2" x14ac:dyDescent="0.25">
      <c r="A601" s="9" t="s">
        <v>1705</v>
      </c>
      <c r="B601" s="9" t="str">
        <f t="shared" si="9"/>
        <v>PAR2021-2586|final</v>
      </c>
    </row>
    <row r="602" spans="1:2" x14ac:dyDescent="0.25">
      <c r="A602" s="9" t="s">
        <v>1706</v>
      </c>
      <c r="B602" s="9" t="str">
        <f t="shared" si="9"/>
        <v>COM2020-1314|final</v>
      </c>
    </row>
    <row r="603" spans="1:2" x14ac:dyDescent="0.25">
      <c r="A603" s="9" t="s">
        <v>1707</v>
      </c>
      <c r="B603" s="9" t="str">
        <f t="shared" si="9"/>
        <v>COM2019-2327|final</v>
      </c>
    </row>
    <row r="604" spans="1:2" x14ac:dyDescent="0.25">
      <c r="A604" s="9" t="s">
        <v>1708</v>
      </c>
      <c r="B604" s="9" t="str">
        <f t="shared" si="9"/>
        <v>PAR2019-2328|final</v>
      </c>
    </row>
    <row r="605" spans="1:2" x14ac:dyDescent="0.25">
      <c r="A605" s="9" t="s">
        <v>1709</v>
      </c>
      <c r="B605" s="9" t="str">
        <f t="shared" si="9"/>
        <v>PAR2019-2341|final</v>
      </c>
    </row>
    <row r="606" spans="1:2" x14ac:dyDescent="0.25">
      <c r="A606" s="9" t="s">
        <v>1710</v>
      </c>
      <c r="B606" s="9" t="str">
        <f t="shared" si="9"/>
        <v>PAR2022-0179|final</v>
      </c>
    </row>
    <row r="607" spans="1:2" x14ac:dyDescent="0.25">
      <c r="A607" s="9" t="s">
        <v>1711</v>
      </c>
      <c r="B607" s="9" t="str">
        <f t="shared" si="9"/>
        <v>PAR2022-0180|final</v>
      </c>
    </row>
    <row r="608" spans="1:2" x14ac:dyDescent="0.25">
      <c r="A608" s="9" t="s">
        <v>1712</v>
      </c>
      <c r="B608" s="9" t="str">
        <f t="shared" si="9"/>
        <v>COM2018-1152|final</v>
      </c>
    </row>
    <row r="609" spans="1:2" x14ac:dyDescent="0.25">
      <c r="A609" s="9" t="s">
        <v>1713</v>
      </c>
      <c r="B609" s="9" t="str">
        <f t="shared" si="9"/>
        <v>PAR2022-0163|final</v>
      </c>
    </row>
    <row r="610" spans="1:2" x14ac:dyDescent="0.25">
      <c r="A610" s="9" t="s">
        <v>1714</v>
      </c>
      <c r="B610" s="9" t="str">
        <f t="shared" si="9"/>
        <v>COM2021-2773|final</v>
      </c>
    </row>
    <row r="611" spans="1:2" x14ac:dyDescent="0.25">
      <c r="A611" s="9" t="s">
        <v>1715</v>
      </c>
      <c r="B611" s="9" t="str">
        <f t="shared" si="9"/>
        <v>COM2019-2308|final</v>
      </c>
    </row>
    <row r="612" spans="1:2" x14ac:dyDescent="0.25">
      <c r="A612" s="9" t="s">
        <v>1716</v>
      </c>
      <c r="B612" s="9" t="str">
        <f t="shared" si="9"/>
        <v>PAR2021-0360|final</v>
      </c>
    </row>
    <row r="613" spans="1:2" x14ac:dyDescent="0.25">
      <c r="A613" s="9" t="s">
        <v>1717</v>
      </c>
      <c r="B613" s="9" t="str">
        <f t="shared" si="9"/>
        <v>PAR2021-0161|final</v>
      </c>
    </row>
    <row r="614" spans="1:2" x14ac:dyDescent="0.25">
      <c r="A614" s="9" t="s">
        <v>1718</v>
      </c>
      <c r="B614" s="9" t="str">
        <f t="shared" si="9"/>
        <v>COM2022-0109|final</v>
      </c>
    </row>
    <row r="615" spans="1:2" x14ac:dyDescent="0.25">
      <c r="A615" s="9" t="s">
        <v>1719</v>
      </c>
      <c r="B615" s="9" t="str">
        <f t="shared" si="9"/>
        <v>COM2020-0915|final</v>
      </c>
    </row>
    <row r="616" spans="1:2" x14ac:dyDescent="0.25">
      <c r="A616" s="9" t="s">
        <v>1720</v>
      </c>
      <c r="B616" s="9" t="str">
        <f t="shared" si="9"/>
        <v>COM2021-3702|final</v>
      </c>
    </row>
    <row r="617" spans="1:2" x14ac:dyDescent="0.25">
      <c r="A617" s="9" t="s">
        <v>1721</v>
      </c>
      <c r="B617" s="9" t="str">
        <f t="shared" si="9"/>
        <v>COM2018-2895|final</v>
      </c>
    </row>
    <row r="618" spans="1:2" x14ac:dyDescent="0.25">
      <c r="A618" s="9" t="s">
        <v>1722</v>
      </c>
      <c r="B618" s="9" t="str">
        <f t="shared" si="9"/>
        <v>COM2019-1458|final</v>
      </c>
    </row>
    <row r="619" spans="1:2" x14ac:dyDescent="0.25">
      <c r="A619" s="9" t="s">
        <v>1723</v>
      </c>
      <c r="B619" s="9" t="str">
        <f t="shared" si="9"/>
        <v>PAR2021-3931|final</v>
      </c>
    </row>
    <row r="620" spans="1:2" x14ac:dyDescent="0.25">
      <c r="A620" s="9" t="s">
        <v>1724</v>
      </c>
      <c r="B620" s="9" t="str">
        <f t="shared" si="9"/>
        <v>COM2017-2638|final</v>
      </c>
    </row>
    <row r="621" spans="1:2" x14ac:dyDescent="0.25">
      <c r="A621" s="9" t="s">
        <v>1725</v>
      </c>
      <c r="B621" s="9" t="str">
        <f t="shared" si="9"/>
        <v>COM2020-2325|final</v>
      </c>
    </row>
    <row r="622" spans="1:2" x14ac:dyDescent="0.25">
      <c r="A622" s="9" t="s">
        <v>1726</v>
      </c>
      <c r="B622" s="9" t="str">
        <f t="shared" si="9"/>
        <v>COM2019-2631|final</v>
      </c>
    </row>
    <row r="623" spans="1:2" x14ac:dyDescent="0.25">
      <c r="A623" s="9" t="s">
        <v>1727</v>
      </c>
      <c r="B623" s="9" t="str">
        <f t="shared" si="9"/>
        <v>CAR2020-3866|final</v>
      </c>
    </row>
    <row r="624" spans="1:2" x14ac:dyDescent="0.25">
      <c r="A624" s="9" t="s">
        <v>1728</v>
      </c>
      <c r="B624" s="9" t="str">
        <f t="shared" si="9"/>
        <v>CAR2021-7256|final</v>
      </c>
    </row>
    <row r="625" spans="1:2" x14ac:dyDescent="0.25">
      <c r="A625" s="9" t="s">
        <v>1729</v>
      </c>
      <c r="B625" s="9" t="str">
        <f t="shared" si="9"/>
        <v>CAR2021-7461|final</v>
      </c>
    </row>
    <row r="626" spans="1:2" x14ac:dyDescent="0.25">
      <c r="A626" s="9" t="s">
        <v>1730</v>
      </c>
      <c r="B626" s="9" t="str">
        <f t="shared" si="9"/>
        <v>CAR2021-2641|final</v>
      </c>
    </row>
    <row r="627" spans="1:2" x14ac:dyDescent="0.25">
      <c r="A627" s="9" t="s">
        <v>1731</v>
      </c>
      <c r="B627" s="9" t="str">
        <f t="shared" si="9"/>
        <v>COM2021-2942|final</v>
      </c>
    </row>
    <row r="628" spans="1:2" x14ac:dyDescent="0.25">
      <c r="A628" s="9" t="s">
        <v>1732</v>
      </c>
      <c r="B628" s="9" t="str">
        <f t="shared" si="9"/>
        <v>PAR2021-3714|final</v>
      </c>
    </row>
    <row r="629" spans="1:2" x14ac:dyDescent="0.25">
      <c r="A629" s="9" t="s">
        <v>1733</v>
      </c>
      <c r="B629" s="9" t="str">
        <f t="shared" si="9"/>
        <v>CAR2021-6008|final</v>
      </c>
    </row>
    <row r="630" spans="1:2" x14ac:dyDescent="0.25">
      <c r="A630" s="9" t="s">
        <v>1734</v>
      </c>
      <c r="B630" s="9" t="str">
        <f t="shared" si="9"/>
        <v>COM2021-6818|final</v>
      </c>
    </row>
    <row r="631" spans="1:2" x14ac:dyDescent="0.25">
      <c r="A631" s="9" t="s">
        <v>1735</v>
      </c>
      <c r="B631" s="9" t="str">
        <f t="shared" si="9"/>
        <v>COM2021-4628|final</v>
      </c>
    </row>
    <row r="632" spans="1:2" x14ac:dyDescent="0.25">
      <c r="A632" s="9" t="s">
        <v>1736</v>
      </c>
      <c r="B632" s="9" t="str">
        <f t="shared" si="9"/>
        <v>CAR2017-4087|final</v>
      </c>
    </row>
    <row r="633" spans="1:2" x14ac:dyDescent="0.25">
      <c r="A633" s="9" t="s">
        <v>1737</v>
      </c>
      <c r="B633" s="9" t="str">
        <f t="shared" si="9"/>
        <v>COM2021-6817|final</v>
      </c>
    </row>
    <row r="634" spans="1:2" x14ac:dyDescent="0.25">
      <c r="A634" s="9" t="s">
        <v>1738</v>
      </c>
      <c r="B634" s="9" t="str">
        <f t="shared" si="9"/>
        <v>CAR2021-5213|final</v>
      </c>
    </row>
    <row r="635" spans="1:2" x14ac:dyDescent="0.25">
      <c r="A635" s="9" t="s">
        <v>1739</v>
      </c>
      <c r="B635" s="9" t="str">
        <f t="shared" si="9"/>
        <v>CAR2021-5224|final</v>
      </c>
    </row>
    <row r="636" spans="1:2" x14ac:dyDescent="0.25">
      <c r="A636" s="9" t="s">
        <v>1740</v>
      </c>
      <c r="B636" s="9" t="str">
        <f t="shared" si="9"/>
        <v>CAR2021-5812|final</v>
      </c>
    </row>
    <row r="637" spans="1:2" x14ac:dyDescent="0.25">
      <c r="A637" s="9" t="s">
        <v>1741</v>
      </c>
      <c r="B637" s="9" t="str">
        <f t="shared" si="9"/>
        <v>CAR2021-0270|final</v>
      </c>
    </row>
    <row r="638" spans="1:2" x14ac:dyDescent="0.25">
      <c r="A638" s="9" t="s">
        <v>1742</v>
      </c>
      <c r="B638" s="9" t="str">
        <f t="shared" si="9"/>
        <v>CAR2021-5891|final</v>
      </c>
    </row>
    <row r="639" spans="1:2" x14ac:dyDescent="0.25">
      <c r="A639" s="9" t="s">
        <v>1743</v>
      </c>
      <c r="B639" s="9" t="str">
        <f t="shared" si="9"/>
        <v>CAR2021-7417|final</v>
      </c>
    </row>
    <row r="640" spans="1:2" x14ac:dyDescent="0.25">
      <c r="A640" s="9" t="s">
        <v>1744</v>
      </c>
      <c r="B640" s="9" t="str">
        <f t="shared" si="9"/>
        <v>CAR2021-7428|final</v>
      </c>
    </row>
    <row r="641" spans="1:2" x14ac:dyDescent="0.25">
      <c r="A641" s="9" t="s">
        <v>1745</v>
      </c>
      <c r="B641" s="9" t="str">
        <f t="shared" ref="B641:B704" si="10">_xlfn.CONCAT(A641,"|","final")</f>
        <v>CAR2021-6002|final</v>
      </c>
    </row>
    <row r="642" spans="1:2" x14ac:dyDescent="0.25">
      <c r="A642" s="9" t="s">
        <v>1746</v>
      </c>
      <c r="B642" s="9" t="str">
        <f t="shared" si="10"/>
        <v>CAR2021-5216|final</v>
      </c>
    </row>
    <row r="643" spans="1:2" x14ac:dyDescent="0.25">
      <c r="A643" s="9" t="s">
        <v>1747</v>
      </c>
      <c r="B643" s="9" t="str">
        <f t="shared" si="10"/>
        <v>CAR2021-5899|final</v>
      </c>
    </row>
    <row r="644" spans="1:2" x14ac:dyDescent="0.25">
      <c r="A644" s="9" t="s">
        <v>1748</v>
      </c>
      <c r="B644" s="9" t="str">
        <f t="shared" si="10"/>
        <v>CAR2021-5815|final</v>
      </c>
    </row>
    <row r="645" spans="1:2" x14ac:dyDescent="0.25">
      <c r="A645" s="9" t="s">
        <v>1749</v>
      </c>
      <c r="B645" s="9" t="str">
        <f t="shared" si="10"/>
        <v>CAR2021-7440|final</v>
      </c>
    </row>
    <row r="646" spans="1:2" x14ac:dyDescent="0.25">
      <c r="A646" s="9" t="s">
        <v>1750</v>
      </c>
      <c r="B646" s="9" t="str">
        <f t="shared" si="10"/>
        <v>CAR2021-6000|final</v>
      </c>
    </row>
    <row r="647" spans="1:2" x14ac:dyDescent="0.25">
      <c r="A647" s="9" t="s">
        <v>1751</v>
      </c>
      <c r="B647" s="9" t="str">
        <f t="shared" si="10"/>
        <v>CAR2021-6204|final</v>
      </c>
    </row>
    <row r="648" spans="1:2" x14ac:dyDescent="0.25">
      <c r="A648" s="9" t="s">
        <v>1752</v>
      </c>
      <c r="B648" s="9" t="str">
        <f t="shared" si="10"/>
        <v>COM2019-1426|final</v>
      </c>
    </row>
    <row r="649" spans="1:2" x14ac:dyDescent="0.25">
      <c r="A649" s="9" t="s">
        <v>1753</v>
      </c>
      <c r="B649" s="9" t="str">
        <f t="shared" si="10"/>
        <v>COM2022-0141|final</v>
      </c>
    </row>
    <row r="650" spans="1:2" x14ac:dyDescent="0.25">
      <c r="A650" s="9" t="s">
        <v>1754</v>
      </c>
      <c r="B650" s="9" t="str">
        <f t="shared" si="10"/>
        <v>COM2022-0140|final</v>
      </c>
    </row>
    <row r="651" spans="1:2" x14ac:dyDescent="0.25">
      <c r="A651" s="9" t="s">
        <v>1755</v>
      </c>
      <c r="B651" s="9" t="str">
        <f t="shared" si="10"/>
        <v>COM2020-1913|final</v>
      </c>
    </row>
    <row r="652" spans="1:2" x14ac:dyDescent="0.25">
      <c r="A652" s="9" t="s">
        <v>1756</v>
      </c>
      <c r="B652" s="9" t="str">
        <f t="shared" si="10"/>
        <v>COM2021-3761|final</v>
      </c>
    </row>
    <row r="653" spans="1:2" x14ac:dyDescent="0.25">
      <c r="A653" s="9" t="s">
        <v>1757</v>
      </c>
      <c r="B653" s="9" t="str">
        <f t="shared" si="10"/>
        <v>COM2021-3775|final</v>
      </c>
    </row>
    <row r="654" spans="1:2" x14ac:dyDescent="0.25">
      <c r="A654" s="9" t="s">
        <v>1758</v>
      </c>
      <c r="B654" s="9" t="str">
        <f t="shared" si="10"/>
        <v>COM2021-3769|final</v>
      </c>
    </row>
    <row r="655" spans="1:2" x14ac:dyDescent="0.25">
      <c r="A655" s="9" t="s">
        <v>1759</v>
      </c>
      <c r="B655" s="9" t="str">
        <f t="shared" si="10"/>
        <v>CAR2021-1217|final</v>
      </c>
    </row>
    <row r="656" spans="1:2" x14ac:dyDescent="0.25">
      <c r="A656" s="9" t="s">
        <v>1760</v>
      </c>
      <c r="B656" s="9" t="str">
        <f t="shared" si="10"/>
        <v>COM2021-3369|final</v>
      </c>
    </row>
    <row r="657" spans="1:2" x14ac:dyDescent="0.25">
      <c r="A657" s="9" t="s">
        <v>1761</v>
      </c>
      <c r="B657" s="9" t="str">
        <f t="shared" si="10"/>
        <v>COM2021-2980|final</v>
      </c>
    </row>
    <row r="658" spans="1:2" x14ac:dyDescent="0.25">
      <c r="A658" s="9" t="s">
        <v>1762</v>
      </c>
      <c r="B658" s="9" t="str">
        <f t="shared" si="10"/>
        <v>COM2021-3949|final</v>
      </c>
    </row>
    <row r="659" spans="1:2" x14ac:dyDescent="0.25">
      <c r="A659" s="9" t="s">
        <v>1763</v>
      </c>
      <c r="B659" s="9" t="str">
        <f t="shared" si="10"/>
        <v>COM2020-3192|final</v>
      </c>
    </row>
    <row r="660" spans="1:2" x14ac:dyDescent="0.25">
      <c r="A660" s="9" t="s">
        <v>1764</v>
      </c>
      <c r="B660" s="9" t="str">
        <f t="shared" si="10"/>
        <v>COM2021-3948|final</v>
      </c>
    </row>
    <row r="661" spans="1:2" x14ac:dyDescent="0.25">
      <c r="A661" s="9" t="s">
        <v>1765</v>
      </c>
      <c r="B661" s="9" t="str">
        <f t="shared" si="10"/>
        <v>CAR2020-0248|final</v>
      </c>
    </row>
    <row r="662" spans="1:2" x14ac:dyDescent="0.25">
      <c r="A662" s="9" t="s">
        <v>1766</v>
      </c>
      <c r="B662" s="9" t="str">
        <f t="shared" si="10"/>
        <v>CAR2020-0247|final</v>
      </c>
    </row>
    <row r="663" spans="1:2" x14ac:dyDescent="0.25">
      <c r="A663" s="9" t="s">
        <v>1767</v>
      </c>
      <c r="B663" s="9" t="str">
        <f t="shared" si="10"/>
        <v>CAR2021-5671|final</v>
      </c>
    </row>
    <row r="664" spans="1:2" x14ac:dyDescent="0.25">
      <c r="A664" s="9" t="s">
        <v>1768</v>
      </c>
      <c r="B664" s="9" t="str">
        <f t="shared" si="10"/>
        <v>CAR2021-5461|final</v>
      </c>
    </row>
    <row r="665" spans="1:2" x14ac:dyDescent="0.25">
      <c r="A665" s="9" t="s">
        <v>1769</v>
      </c>
      <c r="B665" s="9" t="str">
        <f t="shared" si="10"/>
        <v>CAR2021-3470|final</v>
      </c>
    </row>
    <row r="666" spans="1:2" x14ac:dyDescent="0.25">
      <c r="A666" s="9" t="s">
        <v>1770</v>
      </c>
      <c r="B666" s="9" t="str">
        <f t="shared" si="10"/>
        <v>CAR2022-0419|final</v>
      </c>
    </row>
    <row r="667" spans="1:2" x14ac:dyDescent="0.25">
      <c r="A667" s="9" t="s">
        <v>1771</v>
      </c>
      <c r="B667" s="9" t="str">
        <f t="shared" si="10"/>
        <v>CAR2021-6680|final</v>
      </c>
    </row>
    <row r="668" spans="1:2" x14ac:dyDescent="0.25">
      <c r="A668" s="9" t="s">
        <v>1772</v>
      </c>
      <c r="B668" s="9" t="str">
        <f t="shared" si="10"/>
        <v>CAR2021-7572|final</v>
      </c>
    </row>
    <row r="669" spans="1:2" x14ac:dyDescent="0.25">
      <c r="A669" s="9" t="s">
        <v>1773</v>
      </c>
      <c r="B669" s="9" t="str">
        <f t="shared" si="10"/>
        <v>CAR2021-7223|final</v>
      </c>
    </row>
    <row r="670" spans="1:2" x14ac:dyDescent="0.25">
      <c r="A670" s="9" t="s">
        <v>1774</v>
      </c>
      <c r="B670" s="9" t="str">
        <f t="shared" si="10"/>
        <v>CAR2021-5214|final</v>
      </c>
    </row>
    <row r="671" spans="1:2" x14ac:dyDescent="0.25">
      <c r="A671" s="9" t="s">
        <v>1775</v>
      </c>
      <c r="B671" s="9" t="str">
        <f t="shared" si="10"/>
        <v>CAR2021-6047|final</v>
      </c>
    </row>
    <row r="672" spans="1:2" x14ac:dyDescent="0.25">
      <c r="A672" s="9" t="s">
        <v>1776</v>
      </c>
      <c r="B672" s="9" t="str">
        <f t="shared" si="10"/>
        <v>COM2021-3182|final</v>
      </c>
    </row>
    <row r="673" spans="1:2" x14ac:dyDescent="0.25">
      <c r="A673" s="9" t="s">
        <v>1777</v>
      </c>
      <c r="B673" s="9" t="str">
        <f t="shared" si="10"/>
        <v>COM2020-2336|final</v>
      </c>
    </row>
    <row r="674" spans="1:2" x14ac:dyDescent="0.25">
      <c r="A674" s="9" t="s">
        <v>1778</v>
      </c>
      <c r="B674" s="9" t="str">
        <f t="shared" si="10"/>
        <v>COM2020-2928|final</v>
      </c>
    </row>
    <row r="675" spans="1:2" x14ac:dyDescent="0.25">
      <c r="A675" s="9" t="s">
        <v>1779</v>
      </c>
      <c r="B675" s="9" t="str">
        <f t="shared" si="10"/>
        <v>PAR2020-0338|final</v>
      </c>
    </row>
    <row r="676" spans="1:2" x14ac:dyDescent="0.25">
      <c r="A676" s="9" t="s">
        <v>1780</v>
      </c>
      <c r="B676" s="9" t="str">
        <f t="shared" si="10"/>
        <v>PAR2019-1238|final</v>
      </c>
    </row>
    <row r="677" spans="1:2" x14ac:dyDescent="0.25">
      <c r="A677" s="9" t="s">
        <v>1781</v>
      </c>
      <c r="B677" s="9" t="str">
        <f t="shared" si="10"/>
        <v>CAR2021-7061|final</v>
      </c>
    </row>
    <row r="678" spans="1:2" x14ac:dyDescent="0.25">
      <c r="A678" s="9" t="s">
        <v>1782</v>
      </c>
      <c r="B678" s="9" t="str">
        <f t="shared" si="10"/>
        <v>CAR2021-6096|final</v>
      </c>
    </row>
    <row r="679" spans="1:2" x14ac:dyDescent="0.25">
      <c r="A679" s="9" t="s">
        <v>1783</v>
      </c>
      <c r="B679" s="9" t="str">
        <f t="shared" si="10"/>
        <v>CAR2021-7054|final</v>
      </c>
    </row>
    <row r="680" spans="1:2" x14ac:dyDescent="0.25">
      <c r="A680" s="9" t="s">
        <v>1784</v>
      </c>
      <c r="B680" s="9" t="str">
        <f t="shared" si="10"/>
        <v>CAR2021-0248|final</v>
      </c>
    </row>
    <row r="681" spans="1:2" x14ac:dyDescent="0.25">
      <c r="A681" s="9" t="s">
        <v>1785</v>
      </c>
      <c r="B681" s="9" t="str">
        <f t="shared" si="10"/>
        <v>CAR2021-7496|final</v>
      </c>
    </row>
    <row r="682" spans="1:2" x14ac:dyDescent="0.25">
      <c r="A682" s="9" t="s">
        <v>1786</v>
      </c>
      <c r="B682" s="9" t="str">
        <f t="shared" si="10"/>
        <v>CAR2021-2808|final</v>
      </c>
    </row>
    <row r="683" spans="1:2" x14ac:dyDescent="0.25">
      <c r="A683" s="9" t="s">
        <v>1787</v>
      </c>
      <c r="B683" s="9" t="str">
        <f t="shared" si="10"/>
        <v>CAR2021-6899|final</v>
      </c>
    </row>
    <row r="684" spans="1:2" x14ac:dyDescent="0.25">
      <c r="A684" s="9" t="s">
        <v>1788</v>
      </c>
      <c r="B684" s="9" t="str">
        <f t="shared" si="10"/>
        <v>CAR2021-7446|final</v>
      </c>
    </row>
    <row r="685" spans="1:2" x14ac:dyDescent="0.25">
      <c r="A685" s="9" t="s">
        <v>1789</v>
      </c>
      <c r="B685" s="9" t="str">
        <f t="shared" si="10"/>
        <v>CAR2021-5818|final</v>
      </c>
    </row>
    <row r="686" spans="1:2" x14ac:dyDescent="0.25">
      <c r="A686" s="9" t="s">
        <v>1790</v>
      </c>
      <c r="B686" s="9" t="str">
        <f t="shared" si="10"/>
        <v>CAR2021-7447|final</v>
      </c>
    </row>
    <row r="687" spans="1:2" x14ac:dyDescent="0.25">
      <c r="A687" s="9" t="s">
        <v>1791</v>
      </c>
      <c r="B687" s="9" t="str">
        <f t="shared" si="10"/>
        <v>CAR2020-5000|final</v>
      </c>
    </row>
    <row r="688" spans="1:2" x14ac:dyDescent="0.25">
      <c r="A688" s="9" t="s">
        <v>1792</v>
      </c>
      <c r="B688" s="9" t="str">
        <f t="shared" si="10"/>
        <v>CAR2021-7426|final</v>
      </c>
    </row>
    <row r="689" spans="1:2" x14ac:dyDescent="0.25">
      <c r="A689" s="9" t="s">
        <v>1793</v>
      </c>
      <c r="B689" s="9" t="str">
        <f t="shared" si="10"/>
        <v>CAR2021-7425|final</v>
      </c>
    </row>
    <row r="690" spans="1:2" x14ac:dyDescent="0.25">
      <c r="A690" s="9" t="s">
        <v>1794</v>
      </c>
      <c r="B690" s="9" t="str">
        <f t="shared" si="10"/>
        <v>CAR2021-5814|final</v>
      </c>
    </row>
    <row r="691" spans="1:2" x14ac:dyDescent="0.25">
      <c r="A691" s="9" t="s">
        <v>1795</v>
      </c>
      <c r="B691" s="9" t="str">
        <f t="shared" si="10"/>
        <v>CAR2021-5816|final</v>
      </c>
    </row>
    <row r="692" spans="1:2" x14ac:dyDescent="0.25">
      <c r="A692" s="9" t="s">
        <v>1796</v>
      </c>
      <c r="B692" s="9" t="str">
        <f t="shared" si="10"/>
        <v>CAR2019-0856|final</v>
      </c>
    </row>
    <row r="693" spans="1:2" x14ac:dyDescent="0.25">
      <c r="A693" s="9" t="s">
        <v>1797</v>
      </c>
      <c r="B693" s="9" t="str">
        <f t="shared" si="10"/>
        <v>CAR2020-5085|final</v>
      </c>
    </row>
    <row r="694" spans="1:2" x14ac:dyDescent="0.25">
      <c r="A694" s="9" t="s">
        <v>1798</v>
      </c>
      <c r="B694" s="9" t="str">
        <f t="shared" si="10"/>
        <v>CAR2021-5811|final</v>
      </c>
    </row>
    <row r="695" spans="1:2" x14ac:dyDescent="0.25">
      <c r="A695" s="9" t="s">
        <v>1799</v>
      </c>
      <c r="B695" s="9" t="str">
        <f t="shared" si="10"/>
        <v>CAR2020-4896|final</v>
      </c>
    </row>
    <row r="696" spans="1:2" x14ac:dyDescent="0.25">
      <c r="A696" s="9" t="s">
        <v>1800</v>
      </c>
      <c r="B696" s="9" t="str">
        <f t="shared" si="10"/>
        <v>CAR2021-6001|final</v>
      </c>
    </row>
    <row r="697" spans="1:2" x14ac:dyDescent="0.25">
      <c r="A697" s="9" t="s">
        <v>1801</v>
      </c>
      <c r="B697" s="9" t="str">
        <f t="shared" si="10"/>
        <v>CAR2021-5894|final</v>
      </c>
    </row>
    <row r="698" spans="1:2" x14ac:dyDescent="0.25">
      <c r="A698" s="9" t="s">
        <v>1802</v>
      </c>
      <c r="B698" s="9" t="str">
        <f t="shared" si="10"/>
        <v>CAR2021-7019|final</v>
      </c>
    </row>
    <row r="699" spans="1:2" x14ac:dyDescent="0.25">
      <c r="A699" s="9" t="s">
        <v>1803</v>
      </c>
      <c r="B699" s="9" t="str">
        <f t="shared" si="10"/>
        <v>CAR2021-6003|final</v>
      </c>
    </row>
    <row r="700" spans="1:2" x14ac:dyDescent="0.25">
      <c r="A700" s="9" t="s">
        <v>1804</v>
      </c>
      <c r="B700" s="9" t="str">
        <f t="shared" si="10"/>
        <v>COM2021-1707|final</v>
      </c>
    </row>
    <row r="701" spans="1:2" x14ac:dyDescent="0.25">
      <c r="A701" s="9" t="s">
        <v>1805</v>
      </c>
      <c r="B701" s="9" t="str">
        <f t="shared" si="10"/>
        <v>CAR2021-6080|final</v>
      </c>
    </row>
    <row r="702" spans="1:2" x14ac:dyDescent="0.25">
      <c r="A702" s="9" t="s">
        <v>1806</v>
      </c>
      <c r="B702" s="9" t="str">
        <f t="shared" si="10"/>
        <v>CAR2021-7630|final</v>
      </c>
    </row>
    <row r="703" spans="1:2" x14ac:dyDescent="0.25">
      <c r="A703" s="9" t="s">
        <v>1807</v>
      </c>
      <c r="B703" s="9" t="str">
        <f t="shared" si="10"/>
        <v>COM2021-3313|final</v>
      </c>
    </row>
    <row r="704" spans="1:2" x14ac:dyDescent="0.25">
      <c r="A704" s="9" t="s">
        <v>1808</v>
      </c>
      <c r="B704" s="9" t="str">
        <f t="shared" si="10"/>
        <v>COM2021-3184|final</v>
      </c>
    </row>
    <row r="705" spans="1:2" x14ac:dyDescent="0.25">
      <c r="A705" s="9" t="s">
        <v>1809</v>
      </c>
      <c r="B705" s="9" t="str">
        <f t="shared" ref="B705:B768" si="11">_xlfn.CONCAT(A705,"|","final")</f>
        <v>COM2021-3316|final</v>
      </c>
    </row>
    <row r="706" spans="1:2" x14ac:dyDescent="0.25">
      <c r="A706" s="9" t="s">
        <v>1810</v>
      </c>
      <c r="B706" s="9" t="str">
        <f t="shared" si="11"/>
        <v>COM2020-0973|final</v>
      </c>
    </row>
    <row r="707" spans="1:2" x14ac:dyDescent="0.25">
      <c r="A707" s="9" t="s">
        <v>1811</v>
      </c>
      <c r="B707" s="9" t="str">
        <f t="shared" si="11"/>
        <v>COM2020-0984|final</v>
      </c>
    </row>
    <row r="708" spans="1:2" x14ac:dyDescent="0.25">
      <c r="A708" s="9" t="s">
        <v>1812</v>
      </c>
      <c r="B708" s="9" t="str">
        <f t="shared" si="11"/>
        <v>CAR2021-3314|final</v>
      </c>
    </row>
    <row r="709" spans="1:2" x14ac:dyDescent="0.25">
      <c r="A709" s="9" t="s">
        <v>1813</v>
      </c>
      <c r="B709" s="9" t="str">
        <f t="shared" si="11"/>
        <v>COM2021-3765|final</v>
      </c>
    </row>
    <row r="710" spans="1:2" x14ac:dyDescent="0.25">
      <c r="A710" s="9" t="s">
        <v>1814</v>
      </c>
      <c r="B710" s="9" t="str">
        <f t="shared" si="11"/>
        <v>COM2021-3375|final</v>
      </c>
    </row>
    <row r="711" spans="1:2" x14ac:dyDescent="0.25">
      <c r="A711" s="9" t="s">
        <v>1815</v>
      </c>
      <c r="B711" s="9" t="str">
        <f t="shared" si="11"/>
        <v>COM2018-1379|final</v>
      </c>
    </row>
    <row r="712" spans="1:2" x14ac:dyDescent="0.25">
      <c r="A712" s="9" t="s">
        <v>1816</v>
      </c>
      <c r="B712" s="9" t="str">
        <f t="shared" si="11"/>
        <v>COM2021-2935|final</v>
      </c>
    </row>
    <row r="713" spans="1:2" x14ac:dyDescent="0.25">
      <c r="A713" s="9" t="s">
        <v>1817</v>
      </c>
      <c r="B713" s="9" t="str">
        <f t="shared" si="11"/>
        <v>COM2021-2931|final</v>
      </c>
    </row>
    <row r="714" spans="1:2" x14ac:dyDescent="0.25">
      <c r="A714" s="9" t="s">
        <v>1818</v>
      </c>
      <c r="B714" s="9" t="str">
        <f t="shared" si="11"/>
        <v>COM2018-0678|final</v>
      </c>
    </row>
    <row r="715" spans="1:2" x14ac:dyDescent="0.25">
      <c r="A715" s="9" t="s">
        <v>1819</v>
      </c>
      <c r="B715" s="9" t="str">
        <f t="shared" si="11"/>
        <v>COM2020-2970|final</v>
      </c>
    </row>
    <row r="716" spans="1:2" x14ac:dyDescent="0.25">
      <c r="A716" s="9" t="s">
        <v>1820</v>
      </c>
      <c r="B716" s="9" t="str">
        <f t="shared" si="11"/>
        <v>COM2021-2965|final</v>
      </c>
    </row>
    <row r="717" spans="1:2" x14ac:dyDescent="0.25">
      <c r="A717" s="9" t="s">
        <v>1821</v>
      </c>
      <c r="B717" s="9" t="str">
        <f t="shared" si="11"/>
        <v>COM2021-2937|final</v>
      </c>
    </row>
    <row r="718" spans="1:2" x14ac:dyDescent="0.25">
      <c r="A718" s="9" t="s">
        <v>1822</v>
      </c>
      <c r="B718" s="9" t="str">
        <f t="shared" si="11"/>
        <v>COM2021-3918|final</v>
      </c>
    </row>
    <row r="719" spans="1:2" x14ac:dyDescent="0.25">
      <c r="A719" s="9" t="s">
        <v>1823</v>
      </c>
      <c r="B719" s="9" t="str">
        <f t="shared" si="11"/>
        <v>COM2021-3927|final</v>
      </c>
    </row>
    <row r="720" spans="1:2" x14ac:dyDescent="0.25">
      <c r="A720" s="9" t="s">
        <v>1824</v>
      </c>
      <c r="B720" s="9" t="str">
        <f t="shared" si="11"/>
        <v>COM2018-1714|final</v>
      </c>
    </row>
    <row r="721" spans="1:2" x14ac:dyDescent="0.25">
      <c r="A721" s="9" t="s">
        <v>1825</v>
      </c>
      <c r="B721" s="9" t="str">
        <f t="shared" si="11"/>
        <v>COM2018-2132|final</v>
      </c>
    </row>
    <row r="722" spans="1:2" x14ac:dyDescent="0.25">
      <c r="A722" s="9" t="s">
        <v>1826</v>
      </c>
      <c r="B722" s="9" t="str">
        <f t="shared" si="11"/>
        <v>CAR2021-5421|final</v>
      </c>
    </row>
    <row r="723" spans="1:2" x14ac:dyDescent="0.25">
      <c r="A723" s="9" t="s">
        <v>1827</v>
      </c>
      <c r="B723" s="9" t="str">
        <f t="shared" si="11"/>
        <v>CAR2021-5849|final</v>
      </c>
    </row>
    <row r="724" spans="1:2" x14ac:dyDescent="0.25">
      <c r="A724" s="9" t="s">
        <v>1828</v>
      </c>
      <c r="B724" s="9" t="str">
        <f t="shared" si="11"/>
        <v>CAR2021-6863|final</v>
      </c>
    </row>
    <row r="725" spans="1:2" x14ac:dyDescent="0.25">
      <c r="A725" s="9" t="s">
        <v>1829</v>
      </c>
      <c r="B725" s="9" t="str">
        <f t="shared" si="11"/>
        <v>PAR2020-1535|final</v>
      </c>
    </row>
    <row r="726" spans="1:2" x14ac:dyDescent="0.25">
      <c r="A726" s="9" t="s">
        <v>1830</v>
      </c>
      <c r="B726" s="9" t="str">
        <f t="shared" si="11"/>
        <v>PAR2020-1557|final</v>
      </c>
    </row>
    <row r="727" spans="1:2" x14ac:dyDescent="0.25">
      <c r="A727" s="9" t="s">
        <v>1831</v>
      </c>
      <c r="B727" s="9" t="str">
        <f t="shared" si="11"/>
        <v>PAR2021-3521|final</v>
      </c>
    </row>
    <row r="728" spans="1:2" x14ac:dyDescent="0.25">
      <c r="A728" s="9" t="s">
        <v>1832</v>
      </c>
      <c r="B728" s="9" t="str">
        <f t="shared" si="11"/>
        <v>CAR2021-6010|final</v>
      </c>
    </row>
    <row r="729" spans="1:2" x14ac:dyDescent="0.25">
      <c r="A729" s="9" t="s">
        <v>1833</v>
      </c>
      <c r="B729" s="9" t="str">
        <f t="shared" si="11"/>
        <v>CAR2021-6013|final</v>
      </c>
    </row>
    <row r="730" spans="1:2" x14ac:dyDescent="0.25">
      <c r="A730" s="9" t="s">
        <v>1834</v>
      </c>
      <c r="B730" s="9" t="str">
        <f t="shared" si="11"/>
        <v>CAR2021-6028|final</v>
      </c>
    </row>
    <row r="731" spans="1:2" x14ac:dyDescent="0.25">
      <c r="A731" s="9" t="s">
        <v>1835</v>
      </c>
      <c r="B731" s="9" t="str">
        <f t="shared" si="11"/>
        <v>CAR2021-6239|final</v>
      </c>
    </row>
    <row r="732" spans="1:2" x14ac:dyDescent="0.25">
      <c r="A732" s="9" t="s">
        <v>1836</v>
      </c>
      <c r="B732" s="9" t="str">
        <f t="shared" si="11"/>
        <v>CAR2021-6023|final</v>
      </c>
    </row>
    <row r="733" spans="1:2" x14ac:dyDescent="0.25">
      <c r="A733" s="9" t="s">
        <v>1837</v>
      </c>
      <c r="B733" s="9" t="str">
        <f t="shared" si="11"/>
        <v>CAR2021-6041|final</v>
      </c>
    </row>
    <row r="734" spans="1:2" x14ac:dyDescent="0.25">
      <c r="A734" s="9" t="s">
        <v>1838</v>
      </c>
      <c r="B734" s="9" t="str">
        <f t="shared" si="11"/>
        <v>CAR2021-6038|final</v>
      </c>
    </row>
    <row r="735" spans="1:2" x14ac:dyDescent="0.25">
      <c r="A735" s="9" t="s">
        <v>1839</v>
      </c>
      <c r="B735" s="9" t="str">
        <f t="shared" si="11"/>
        <v>CAR2021-7245|final</v>
      </c>
    </row>
    <row r="736" spans="1:2" x14ac:dyDescent="0.25">
      <c r="A736" s="9" t="s">
        <v>1840</v>
      </c>
      <c r="B736" s="9" t="str">
        <f t="shared" si="11"/>
        <v>CAR2022-0006|final</v>
      </c>
    </row>
    <row r="737" spans="1:2" x14ac:dyDescent="0.25">
      <c r="A737" s="9" t="s">
        <v>1841</v>
      </c>
      <c r="B737" s="9" t="str">
        <f t="shared" si="11"/>
        <v>CAR2021-0646|final</v>
      </c>
    </row>
    <row r="738" spans="1:2" x14ac:dyDescent="0.25">
      <c r="A738" s="9" t="s">
        <v>1842</v>
      </c>
      <c r="B738" s="9" t="str">
        <f t="shared" si="11"/>
        <v>CAR2021-5670|final</v>
      </c>
    </row>
    <row r="739" spans="1:2" x14ac:dyDescent="0.25">
      <c r="A739" s="9" t="s">
        <v>1843</v>
      </c>
      <c r="B739" s="9" t="str">
        <f t="shared" si="11"/>
        <v>COM2017-4230|final</v>
      </c>
    </row>
    <row r="740" spans="1:2" x14ac:dyDescent="0.25">
      <c r="A740" s="9" t="s">
        <v>1844</v>
      </c>
      <c r="B740" s="9" t="str">
        <f t="shared" si="11"/>
        <v>COM2021-1724|final</v>
      </c>
    </row>
    <row r="741" spans="1:2" x14ac:dyDescent="0.25">
      <c r="A741" s="9" t="s">
        <v>1845</v>
      </c>
      <c r="B741" s="9" t="str">
        <f t="shared" si="11"/>
        <v>COM2021-3996|final</v>
      </c>
    </row>
    <row r="742" spans="1:2" x14ac:dyDescent="0.25">
      <c r="A742" s="9" t="s">
        <v>1846</v>
      </c>
      <c r="B742" s="9" t="str">
        <f t="shared" si="11"/>
        <v>COM2021-3945|final</v>
      </c>
    </row>
    <row r="743" spans="1:2" x14ac:dyDescent="0.25">
      <c r="A743" s="9" t="s">
        <v>1847</v>
      </c>
      <c r="B743" s="9" t="str">
        <f t="shared" si="11"/>
        <v>COM2018-2371|final</v>
      </c>
    </row>
    <row r="744" spans="1:2" x14ac:dyDescent="0.25">
      <c r="A744" s="9" t="s">
        <v>1848</v>
      </c>
      <c r="B744" s="9" t="str">
        <f t="shared" si="11"/>
        <v>COM2021-3935|final</v>
      </c>
    </row>
    <row r="745" spans="1:2" x14ac:dyDescent="0.25">
      <c r="A745" s="9" t="s">
        <v>1849</v>
      </c>
      <c r="B745" s="9" t="str">
        <f t="shared" si="11"/>
        <v>COM2020-5045|final</v>
      </c>
    </row>
    <row r="746" spans="1:2" x14ac:dyDescent="0.25">
      <c r="A746" s="9" t="s">
        <v>1850</v>
      </c>
      <c r="B746" s="9" t="str">
        <f t="shared" si="11"/>
        <v>COM2021-0179|final</v>
      </c>
    </row>
    <row r="747" spans="1:2" x14ac:dyDescent="0.25">
      <c r="A747" s="9" t="s">
        <v>1851</v>
      </c>
      <c r="B747" s="9" t="str">
        <f t="shared" si="11"/>
        <v>COM2018-2180|final</v>
      </c>
    </row>
    <row r="748" spans="1:2" x14ac:dyDescent="0.25">
      <c r="A748" s="9" t="s">
        <v>1852</v>
      </c>
      <c r="B748" s="9" t="str">
        <f t="shared" si="11"/>
        <v>COM2021-3781|final</v>
      </c>
    </row>
    <row r="749" spans="1:2" x14ac:dyDescent="0.25">
      <c r="A749" s="9" t="s">
        <v>1853</v>
      </c>
      <c r="B749" s="9" t="str">
        <f t="shared" si="11"/>
        <v>COM2021-3988|final</v>
      </c>
    </row>
    <row r="750" spans="1:2" x14ac:dyDescent="0.25">
      <c r="A750" s="9" t="s">
        <v>1854</v>
      </c>
      <c r="B750" s="9" t="str">
        <f t="shared" si="11"/>
        <v>COM2021-3985|final</v>
      </c>
    </row>
    <row r="751" spans="1:2" x14ac:dyDescent="0.25">
      <c r="A751" s="9" t="s">
        <v>1855</v>
      </c>
      <c r="B751" s="9" t="str">
        <f t="shared" si="11"/>
        <v>COM2021-3986|final</v>
      </c>
    </row>
    <row r="752" spans="1:2" x14ac:dyDescent="0.25">
      <c r="A752" s="9" t="s">
        <v>1856</v>
      </c>
      <c r="B752" s="9" t="str">
        <f t="shared" si="11"/>
        <v>COM2021-3544|final</v>
      </c>
    </row>
    <row r="753" spans="1:2" x14ac:dyDescent="0.25">
      <c r="A753" s="9" t="s">
        <v>1857</v>
      </c>
      <c r="B753" s="9" t="str">
        <f t="shared" si="11"/>
        <v>COM2021-3932|final</v>
      </c>
    </row>
    <row r="754" spans="1:2" x14ac:dyDescent="0.25">
      <c r="A754" s="9" t="s">
        <v>1858</v>
      </c>
      <c r="B754" s="9" t="str">
        <f t="shared" si="11"/>
        <v>COM2018-2846|final</v>
      </c>
    </row>
    <row r="755" spans="1:2" x14ac:dyDescent="0.25">
      <c r="A755" s="9" t="s">
        <v>1859</v>
      </c>
      <c r="B755" s="9" t="str">
        <f t="shared" si="11"/>
        <v>COM2021-1739|final</v>
      </c>
    </row>
    <row r="756" spans="1:2" x14ac:dyDescent="0.25">
      <c r="A756" s="9" t="s">
        <v>1860</v>
      </c>
      <c r="B756" s="9" t="str">
        <f t="shared" si="11"/>
        <v>COM2021-3987|final</v>
      </c>
    </row>
    <row r="757" spans="1:2" x14ac:dyDescent="0.25">
      <c r="A757" s="9" t="s">
        <v>1861</v>
      </c>
      <c r="B757" s="9" t="str">
        <f t="shared" si="11"/>
        <v>CAR2021-5842|final</v>
      </c>
    </row>
    <row r="758" spans="1:2" x14ac:dyDescent="0.25">
      <c r="A758" s="9" t="s">
        <v>1862</v>
      </c>
      <c r="B758" s="9" t="str">
        <f t="shared" si="11"/>
        <v>CAR2021-6613|final</v>
      </c>
    </row>
    <row r="759" spans="1:2" x14ac:dyDescent="0.25">
      <c r="A759" s="9" t="s">
        <v>1863</v>
      </c>
      <c r="B759" s="9" t="str">
        <f t="shared" si="11"/>
        <v>PAR2022-0106|final</v>
      </c>
    </row>
    <row r="760" spans="1:2" x14ac:dyDescent="0.25">
      <c r="A760" s="9" t="s">
        <v>1864</v>
      </c>
      <c r="B760" s="9" t="str">
        <f t="shared" si="11"/>
        <v>PAR2022-0115|final</v>
      </c>
    </row>
    <row r="761" spans="1:2" x14ac:dyDescent="0.25">
      <c r="A761" s="9" t="s">
        <v>1865</v>
      </c>
      <c r="B761" s="9" t="str">
        <f t="shared" si="11"/>
        <v>PAR2021-3586|final</v>
      </c>
    </row>
    <row r="762" spans="1:2" x14ac:dyDescent="0.25">
      <c r="A762" s="9" t="s">
        <v>1866</v>
      </c>
      <c r="B762" s="9" t="str">
        <f t="shared" si="11"/>
        <v>PAR2021-3587|final</v>
      </c>
    </row>
    <row r="763" spans="1:2" x14ac:dyDescent="0.25">
      <c r="A763" s="9" t="s">
        <v>1867</v>
      </c>
      <c r="B763" s="9" t="str">
        <f t="shared" si="11"/>
        <v>PAR2022-0116|final</v>
      </c>
    </row>
    <row r="764" spans="1:2" x14ac:dyDescent="0.25">
      <c r="A764" s="9" t="s">
        <v>1868</v>
      </c>
      <c r="B764" s="9" t="str">
        <f t="shared" si="11"/>
        <v>PAR2021-0350|final</v>
      </c>
    </row>
    <row r="765" spans="1:2" x14ac:dyDescent="0.25">
      <c r="A765" s="9" t="s">
        <v>1869</v>
      </c>
      <c r="B765" s="9" t="str">
        <f t="shared" si="11"/>
        <v>COM2021-1316|final</v>
      </c>
    </row>
    <row r="766" spans="1:2" x14ac:dyDescent="0.25">
      <c r="A766" s="9" t="s">
        <v>1870</v>
      </c>
      <c r="B766" s="9" t="str">
        <f t="shared" si="11"/>
        <v>COM2021-3794|final</v>
      </c>
    </row>
    <row r="767" spans="1:2" x14ac:dyDescent="0.25">
      <c r="A767" s="9" t="s">
        <v>1871</v>
      </c>
      <c r="B767" s="9" t="str">
        <f t="shared" si="11"/>
        <v>COM2021-2920|final</v>
      </c>
    </row>
    <row r="768" spans="1:2" x14ac:dyDescent="0.25">
      <c r="A768" s="9" t="s">
        <v>1872</v>
      </c>
      <c r="B768" s="9" t="str">
        <f t="shared" si="11"/>
        <v>COM2021-3784|final</v>
      </c>
    </row>
    <row r="769" spans="1:2" x14ac:dyDescent="0.25">
      <c r="A769" s="9" t="s">
        <v>1873</v>
      </c>
      <c r="B769" s="9" t="str">
        <f t="shared" ref="B769:B832" si="12">_xlfn.CONCAT(A769,"|","final")</f>
        <v>COM2021-3941|final</v>
      </c>
    </row>
    <row r="770" spans="1:2" x14ac:dyDescent="0.25">
      <c r="A770" s="9" t="s">
        <v>1874</v>
      </c>
      <c r="B770" s="9" t="str">
        <f t="shared" si="12"/>
        <v>PAR2022-0114|final</v>
      </c>
    </row>
    <row r="771" spans="1:2" x14ac:dyDescent="0.25">
      <c r="A771" s="9" t="s">
        <v>1875</v>
      </c>
      <c r="B771" s="9" t="str">
        <f t="shared" si="12"/>
        <v>CAR2019-1110|final</v>
      </c>
    </row>
    <row r="772" spans="1:2" x14ac:dyDescent="0.25">
      <c r="A772" s="9" t="s">
        <v>1876</v>
      </c>
      <c r="B772" s="9" t="str">
        <f t="shared" si="12"/>
        <v>COM2019-2022|final</v>
      </c>
    </row>
    <row r="773" spans="1:2" x14ac:dyDescent="0.25">
      <c r="A773" s="9" t="s">
        <v>1877</v>
      </c>
      <c r="B773" s="9" t="str">
        <f t="shared" si="12"/>
        <v>PAR2021-5821|final</v>
      </c>
    </row>
    <row r="774" spans="1:2" x14ac:dyDescent="0.25">
      <c r="A774" s="9" t="s">
        <v>1878</v>
      </c>
      <c r="B774" s="9" t="str">
        <f t="shared" si="12"/>
        <v>CAR2021-5820|final</v>
      </c>
    </row>
    <row r="775" spans="1:2" x14ac:dyDescent="0.25">
      <c r="A775" s="9" t="s">
        <v>1879</v>
      </c>
      <c r="B775" s="9" t="str">
        <f t="shared" si="12"/>
        <v>PAR2021-5839|final</v>
      </c>
    </row>
    <row r="776" spans="1:2" x14ac:dyDescent="0.25">
      <c r="A776" s="9" t="s">
        <v>1880</v>
      </c>
      <c r="B776" s="9" t="str">
        <f t="shared" si="12"/>
        <v>COM2021-1925|final</v>
      </c>
    </row>
    <row r="777" spans="1:2" x14ac:dyDescent="0.25">
      <c r="A777" s="9" t="s">
        <v>1881</v>
      </c>
      <c r="B777" s="9" t="str">
        <f t="shared" si="12"/>
        <v>CAR2021-7505|final</v>
      </c>
    </row>
    <row r="778" spans="1:2" x14ac:dyDescent="0.25">
      <c r="A778" s="9" t="s">
        <v>1882</v>
      </c>
      <c r="B778" s="9" t="str">
        <f t="shared" si="12"/>
        <v>PAR2021-3378|final</v>
      </c>
    </row>
    <row r="779" spans="1:2" x14ac:dyDescent="0.25">
      <c r="A779" s="9" t="s">
        <v>1883</v>
      </c>
      <c r="B779" s="9" t="str">
        <f t="shared" si="12"/>
        <v>COM2022-0144|final</v>
      </c>
    </row>
    <row r="780" spans="1:2" x14ac:dyDescent="0.25">
      <c r="A780" s="9" t="s">
        <v>1884</v>
      </c>
      <c r="B780" s="9" t="str">
        <f t="shared" si="12"/>
        <v>COM2021-3367|final</v>
      </c>
    </row>
    <row r="781" spans="1:2" x14ac:dyDescent="0.25">
      <c r="A781" s="9" t="s">
        <v>1885</v>
      </c>
      <c r="B781" s="9" t="str">
        <f t="shared" si="12"/>
        <v>PAR2021-3368|final</v>
      </c>
    </row>
    <row r="782" spans="1:2" x14ac:dyDescent="0.25">
      <c r="A782" s="9" t="s">
        <v>1886</v>
      </c>
      <c r="B782" s="9" t="str">
        <f t="shared" si="12"/>
        <v>COM2020-1970|final</v>
      </c>
    </row>
    <row r="783" spans="1:2" x14ac:dyDescent="0.25">
      <c r="A783" s="9" t="s">
        <v>1887</v>
      </c>
      <c r="B783" s="9" t="str">
        <f t="shared" si="12"/>
        <v>COM2020-1909|final</v>
      </c>
    </row>
    <row r="784" spans="1:2" x14ac:dyDescent="0.25">
      <c r="A784" s="9" t="s">
        <v>1888</v>
      </c>
      <c r="B784" s="9" t="str">
        <f t="shared" si="12"/>
        <v>COM2021-3181|final</v>
      </c>
    </row>
    <row r="785" spans="1:2" x14ac:dyDescent="0.25">
      <c r="A785" s="9" t="s">
        <v>1889</v>
      </c>
      <c r="B785" s="9" t="str">
        <f t="shared" si="12"/>
        <v>COM2022-0112|final</v>
      </c>
    </row>
    <row r="786" spans="1:2" x14ac:dyDescent="0.25">
      <c r="A786" s="9" t="s">
        <v>1890</v>
      </c>
      <c r="B786" s="9" t="str">
        <f t="shared" si="12"/>
        <v>PAR2021-1957|final</v>
      </c>
    </row>
    <row r="787" spans="1:2" x14ac:dyDescent="0.25">
      <c r="A787" s="9" t="s">
        <v>1891</v>
      </c>
      <c r="B787" s="9" t="str">
        <f t="shared" si="12"/>
        <v>COM2021-2711|final</v>
      </c>
    </row>
    <row r="788" spans="1:2" x14ac:dyDescent="0.25">
      <c r="A788" s="9" t="s">
        <v>1892</v>
      </c>
      <c r="B788" s="9" t="str">
        <f t="shared" si="12"/>
        <v>COM2022-0322|final</v>
      </c>
    </row>
    <row r="789" spans="1:2" x14ac:dyDescent="0.25">
      <c r="A789" s="9" t="s">
        <v>1893</v>
      </c>
      <c r="B789" s="9" t="str">
        <f t="shared" si="12"/>
        <v>CAR2019-2509|final</v>
      </c>
    </row>
    <row r="790" spans="1:2" x14ac:dyDescent="0.25">
      <c r="A790" s="9" t="s">
        <v>1894</v>
      </c>
      <c r="B790" s="9" t="str">
        <f t="shared" si="12"/>
        <v>CAR2021-2779|final</v>
      </c>
    </row>
    <row r="791" spans="1:2" x14ac:dyDescent="0.25">
      <c r="A791" s="9" t="s">
        <v>1895</v>
      </c>
      <c r="B791" s="9" t="str">
        <f t="shared" si="12"/>
        <v>CAR2019-2568|final</v>
      </c>
    </row>
    <row r="792" spans="1:2" x14ac:dyDescent="0.25">
      <c r="A792" s="9" t="s">
        <v>1896</v>
      </c>
      <c r="B792" s="9" t="str">
        <f t="shared" si="12"/>
        <v>CAR2017-3343|final</v>
      </c>
    </row>
    <row r="793" spans="1:2" x14ac:dyDescent="0.25">
      <c r="A793" s="9" t="s">
        <v>1897</v>
      </c>
      <c r="B793" s="9" t="str">
        <f t="shared" si="12"/>
        <v>CAR2019-0651|final</v>
      </c>
    </row>
    <row r="794" spans="1:2" x14ac:dyDescent="0.25">
      <c r="A794" s="9" t="s">
        <v>1898</v>
      </c>
      <c r="B794" s="9" t="str">
        <f t="shared" si="12"/>
        <v>CAR2019-0498|final</v>
      </c>
    </row>
    <row r="795" spans="1:2" x14ac:dyDescent="0.25">
      <c r="A795" s="9" t="s">
        <v>1899</v>
      </c>
      <c r="B795" s="9" t="str">
        <f t="shared" si="12"/>
        <v>PAR2021-2755|final</v>
      </c>
    </row>
    <row r="796" spans="1:2" x14ac:dyDescent="0.25">
      <c r="A796" s="9" t="s">
        <v>1900</v>
      </c>
      <c r="B796" s="9" t="str">
        <f t="shared" si="12"/>
        <v>PAR2021-1726|final</v>
      </c>
    </row>
    <row r="797" spans="1:2" x14ac:dyDescent="0.25">
      <c r="A797" s="9" t="s">
        <v>1901</v>
      </c>
      <c r="B797" s="9" t="str">
        <f t="shared" si="12"/>
        <v>PAR2021-4104|final</v>
      </c>
    </row>
    <row r="798" spans="1:2" x14ac:dyDescent="0.25">
      <c r="A798" s="9" t="s">
        <v>1902</v>
      </c>
      <c r="B798" s="9" t="str">
        <f t="shared" si="12"/>
        <v>PAR2021-3969|final</v>
      </c>
    </row>
    <row r="799" spans="1:2" x14ac:dyDescent="0.25">
      <c r="A799" s="9" t="s">
        <v>1903</v>
      </c>
      <c r="B799" s="9" t="str">
        <f t="shared" si="12"/>
        <v>CAR2020-0825|final</v>
      </c>
    </row>
    <row r="800" spans="1:2" x14ac:dyDescent="0.25">
      <c r="A800" s="9" t="s">
        <v>1904</v>
      </c>
      <c r="B800" s="9" t="str">
        <f t="shared" si="12"/>
        <v>CAR2019-1020|final</v>
      </c>
    </row>
    <row r="801" spans="1:2" x14ac:dyDescent="0.25">
      <c r="A801" s="9" t="s">
        <v>1905</v>
      </c>
      <c r="B801" s="9" t="str">
        <f t="shared" si="12"/>
        <v>CAR2021-6636|final</v>
      </c>
    </row>
    <row r="802" spans="1:2" x14ac:dyDescent="0.25">
      <c r="A802" s="9" t="s">
        <v>1906</v>
      </c>
      <c r="B802" s="9" t="str">
        <f t="shared" si="12"/>
        <v>CAR2021-2266|final</v>
      </c>
    </row>
    <row r="803" spans="1:2" x14ac:dyDescent="0.25">
      <c r="A803" s="9" t="s">
        <v>1907</v>
      </c>
      <c r="B803" s="9" t="str">
        <f t="shared" si="12"/>
        <v>CAR2019-0899|final</v>
      </c>
    </row>
    <row r="804" spans="1:2" x14ac:dyDescent="0.25">
      <c r="A804" s="9" t="s">
        <v>1908</v>
      </c>
      <c r="B804" s="9" t="str">
        <f t="shared" si="12"/>
        <v>CAR2021-7462|final</v>
      </c>
    </row>
    <row r="805" spans="1:2" x14ac:dyDescent="0.25">
      <c r="A805" s="9" t="s">
        <v>1909</v>
      </c>
      <c r="B805" s="9" t="str">
        <f t="shared" si="12"/>
        <v>CAR2019-1025|final</v>
      </c>
    </row>
    <row r="806" spans="1:2" x14ac:dyDescent="0.25">
      <c r="A806" s="9" t="s">
        <v>1910</v>
      </c>
      <c r="B806" s="9" t="str">
        <f t="shared" si="12"/>
        <v>CAR2019-3108|final</v>
      </c>
    </row>
    <row r="807" spans="1:2" x14ac:dyDescent="0.25">
      <c r="A807" s="9" t="s">
        <v>1911</v>
      </c>
      <c r="B807" s="9" t="str">
        <f t="shared" si="12"/>
        <v>CAR2019-1105|final</v>
      </c>
    </row>
    <row r="808" spans="1:2" x14ac:dyDescent="0.25">
      <c r="A808" s="9" t="s">
        <v>1912</v>
      </c>
      <c r="B808" s="9" t="str">
        <f t="shared" si="12"/>
        <v>CAR2021-2456|final</v>
      </c>
    </row>
    <row r="809" spans="1:2" x14ac:dyDescent="0.25">
      <c r="A809" s="9" t="s">
        <v>1913</v>
      </c>
      <c r="B809" s="9" t="str">
        <f t="shared" si="12"/>
        <v>CAR2021-3838|final</v>
      </c>
    </row>
    <row r="810" spans="1:2" x14ac:dyDescent="0.25">
      <c r="A810" s="9" t="s">
        <v>1914</v>
      </c>
      <c r="B810" s="9" t="str">
        <f t="shared" si="12"/>
        <v>CAR2019-1117|final</v>
      </c>
    </row>
    <row r="811" spans="1:2" x14ac:dyDescent="0.25">
      <c r="A811" s="9" t="s">
        <v>1915</v>
      </c>
      <c r="B811" s="9" t="str">
        <f t="shared" si="12"/>
        <v>CAR2019-1201|final</v>
      </c>
    </row>
    <row r="812" spans="1:2" x14ac:dyDescent="0.25">
      <c r="A812" s="9" t="s">
        <v>1916</v>
      </c>
      <c r="B812" s="9" t="str">
        <f t="shared" si="12"/>
        <v>CAR2019-1224|final</v>
      </c>
    </row>
    <row r="813" spans="1:2" x14ac:dyDescent="0.25">
      <c r="A813" s="9" t="s">
        <v>1917</v>
      </c>
      <c r="B813" s="9" t="str">
        <f t="shared" si="12"/>
        <v>CAR2019-3198|final</v>
      </c>
    </row>
    <row r="814" spans="1:2" x14ac:dyDescent="0.25">
      <c r="A814" s="9" t="s">
        <v>1918</v>
      </c>
      <c r="B814" s="9" t="str">
        <f t="shared" si="12"/>
        <v>CAR2021-3248|final</v>
      </c>
    </row>
    <row r="815" spans="1:2" x14ac:dyDescent="0.25">
      <c r="A815" s="9" t="s">
        <v>1919</v>
      </c>
      <c r="B815" s="9" t="str">
        <f t="shared" si="12"/>
        <v>CAR2019-1051|final</v>
      </c>
    </row>
    <row r="816" spans="1:2" x14ac:dyDescent="0.25">
      <c r="A816" s="9" t="s">
        <v>1920</v>
      </c>
      <c r="B816" s="9" t="str">
        <f t="shared" si="12"/>
        <v>CAR2021-2604|final</v>
      </c>
    </row>
    <row r="817" spans="1:2" x14ac:dyDescent="0.25">
      <c r="A817" s="9" t="s">
        <v>1921</v>
      </c>
      <c r="B817" s="9" t="str">
        <f t="shared" si="12"/>
        <v>CAR2017-3086|final</v>
      </c>
    </row>
    <row r="818" spans="1:2" x14ac:dyDescent="0.25">
      <c r="A818" s="9" t="s">
        <v>1922</v>
      </c>
      <c r="B818" s="9" t="str">
        <f t="shared" si="12"/>
        <v>CAR2022-0482|final</v>
      </c>
    </row>
    <row r="819" spans="1:2" x14ac:dyDescent="0.25">
      <c r="A819" s="9" t="s">
        <v>1923</v>
      </c>
      <c r="B819" s="9" t="str">
        <f t="shared" si="12"/>
        <v>CAR2019-1580|final</v>
      </c>
    </row>
    <row r="820" spans="1:2" x14ac:dyDescent="0.25">
      <c r="A820" s="9" t="s">
        <v>1924</v>
      </c>
      <c r="B820" s="9" t="str">
        <f t="shared" si="12"/>
        <v>CAR2019-1094|final</v>
      </c>
    </row>
    <row r="821" spans="1:2" x14ac:dyDescent="0.25">
      <c r="A821" s="9" t="s">
        <v>1925</v>
      </c>
      <c r="B821" s="9" t="str">
        <f t="shared" si="12"/>
        <v>CAR2019-1044|final</v>
      </c>
    </row>
    <row r="822" spans="1:2" x14ac:dyDescent="0.25">
      <c r="A822" s="9" t="s">
        <v>1926</v>
      </c>
      <c r="B822" s="9" t="str">
        <f t="shared" si="12"/>
        <v>CAR2022-0479|final</v>
      </c>
    </row>
    <row r="823" spans="1:2" x14ac:dyDescent="0.25">
      <c r="A823" s="9" t="s">
        <v>1927</v>
      </c>
      <c r="B823" s="9" t="str">
        <f t="shared" si="12"/>
        <v>CAR2022-0480|final</v>
      </c>
    </row>
    <row r="824" spans="1:2" x14ac:dyDescent="0.25">
      <c r="A824" s="9" t="s">
        <v>1928</v>
      </c>
      <c r="B824" s="9" t="str">
        <f t="shared" si="12"/>
        <v>CAR2020-0404|final</v>
      </c>
    </row>
    <row r="825" spans="1:2" x14ac:dyDescent="0.25">
      <c r="A825" s="9" t="s">
        <v>1929</v>
      </c>
      <c r="B825" s="9" t="str">
        <f t="shared" si="12"/>
        <v>CAR2019-3543|final</v>
      </c>
    </row>
    <row r="826" spans="1:2" x14ac:dyDescent="0.25">
      <c r="A826" s="9" t="s">
        <v>1930</v>
      </c>
      <c r="B826" s="9" t="str">
        <f t="shared" si="12"/>
        <v>CAR2019-1008|final</v>
      </c>
    </row>
    <row r="827" spans="1:2" x14ac:dyDescent="0.25">
      <c r="A827" s="9" t="s">
        <v>1931</v>
      </c>
      <c r="B827" s="9" t="str">
        <f t="shared" si="12"/>
        <v>CAR2019-0692|final</v>
      </c>
    </row>
    <row r="828" spans="1:2" x14ac:dyDescent="0.25">
      <c r="A828" s="9" t="s">
        <v>1932</v>
      </c>
      <c r="B828" s="9" t="str">
        <f t="shared" si="12"/>
        <v>CAR2019-1071|final</v>
      </c>
    </row>
    <row r="829" spans="1:2" x14ac:dyDescent="0.25">
      <c r="A829" s="9" t="s">
        <v>1933</v>
      </c>
      <c r="B829" s="9" t="str">
        <f t="shared" si="12"/>
        <v>CAR2020-0028|final</v>
      </c>
    </row>
    <row r="830" spans="1:2" x14ac:dyDescent="0.25">
      <c r="A830" s="9" t="s">
        <v>1934</v>
      </c>
      <c r="B830" s="9" t="str">
        <f t="shared" si="12"/>
        <v>CAR2019-0466|final</v>
      </c>
    </row>
    <row r="831" spans="1:2" x14ac:dyDescent="0.25">
      <c r="A831" s="9" t="s">
        <v>1935</v>
      </c>
      <c r="B831" s="9" t="str">
        <f t="shared" si="12"/>
        <v>CAR2019-0606|final</v>
      </c>
    </row>
    <row r="832" spans="1:2" x14ac:dyDescent="0.25">
      <c r="A832" s="9" t="s">
        <v>1936</v>
      </c>
      <c r="B832" s="9" t="str">
        <f t="shared" si="12"/>
        <v>CAR2019-1039|final</v>
      </c>
    </row>
    <row r="833" spans="1:2" x14ac:dyDescent="0.25">
      <c r="A833" s="9" t="s">
        <v>1937</v>
      </c>
      <c r="B833" s="9" t="str">
        <f t="shared" ref="B833:B896" si="13">_xlfn.CONCAT(A833,"|","final")</f>
        <v>CAR2019-1083|final</v>
      </c>
    </row>
    <row r="834" spans="1:2" x14ac:dyDescent="0.25">
      <c r="A834" s="9" t="s">
        <v>1938</v>
      </c>
      <c r="B834" s="9" t="str">
        <f t="shared" si="13"/>
        <v>CAR2019-0275|final</v>
      </c>
    </row>
    <row r="835" spans="1:2" x14ac:dyDescent="0.25">
      <c r="A835" s="9" t="s">
        <v>1939</v>
      </c>
      <c r="B835" s="9" t="str">
        <f t="shared" si="13"/>
        <v>CAR2019-1216|final</v>
      </c>
    </row>
    <row r="836" spans="1:2" x14ac:dyDescent="0.25">
      <c r="A836" s="9" t="s">
        <v>1940</v>
      </c>
      <c r="B836" s="9" t="str">
        <f t="shared" si="13"/>
        <v>CAR2019-1069|final</v>
      </c>
    </row>
    <row r="837" spans="1:2" x14ac:dyDescent="0.25">
      <c r="A837" s="9" t="s">
        <v>1941</v>
      </c>
      <c r="B837" s="9" t="str">
        <f t="shared" si="13"/>
        <v>CAR2018-1249|final</v>
      </c>
    </row>
    <row r="838" spans="1:2" x14ac:dyDescent="0.25">
      <c r="A838" s="9" t="s">
        <v>1942</v>
      </c>
      <c r="B838" s="9" t="str">
        <f t="shared" si="13"/>
        <v>CAR2019-1127|final</v>
      </c>
    </row>
    <row r="839" spans="1:2" x14ac:dyDescent="0.25">
      <c r="A839" s="9" t="s">
        <v>1943</v>
      </c>
      <c r="B839" s="9" t="str">
        <f t="shared" si="13"/>
        <v>CAR2021-7668|final</v>
      </c>
    </row>
    <row r="840" spans="1:2" x14ac:dyDescent="0.25">
      <c r="A840" s="9" t="s">
        <v>1944</v>
      </c>
      <c r="B840" s="9" t="str">
        <f t="shared" si="13"/>
        <v>CAR2018-1859|final</v>
      </c>
    </row>
    <row r="841" spans="1:2" x14ac:dyDescent="0.25">
      <c r="A841" s="9" t="s">
        <v>1945</v>
      </c>
      <c r="B841" s="9" t="str">
        <f t="shared" si="13"/>
        <v>CAR2021-5679|final</v>
      </c>
    </row>
    <row r="842" spans="1:2" x14ac:dyDescent="0.25">
      <c r="A842" s="9" t="s">
        <v>1946</v>
      </c>
      <c r="B842" s="9" t="str">
        <f t="shared" si="13"/>
        <v>CAR2020-1208|final</v>
      </c>
    </row>
    <row r="843" spans="1:2" x14ac:dyDescent="0.25">
      <c r="A843" s="9" t="s">
        <v>1947</v>
      </c>
      <c r="B843" s="9" t="str">
        <f t="shared" si="13"/>
        <v>CAR2021-7228|final</v>
      </c>
    </row>
    <row r="844" spans="1:2" x14ac:dyDescent="0.25">
      <c r="A844" s="9" t="s">
        <v>1948</v>
      </c>
      <c r="B844" s="9" t="str">
        <f t="shared" si="13"/>
        <v>CAR2022-0416|final</v>
      </c>
    </row>
    <row r="845" spans="1:2" x14ac:dyDescent="0.25">
      <c r="A845" s="9" t="s">
        <v>1949</v>
      </c>
      <c r="B845" s="9" t="str">
        <f t="shared" si="13"/>
        <v>CAR2018-2561|final</v>
      </c>
    </row>
    <row r="846" spans="1:2" x14ac:dyDescent="0.25">
      <c r="A846" s="9" t="s">
        <v>1950</v>
      </c>
      <c r="B846" s="9" t="str">
        <f t="shared" si="13"/>
        <v>CAR2018-2261|final</v>
      </c>
    </row>
    <row r="847" spans="1:2" x14ac:dyDescent="0.25">
      <c r="A847" s="9" t="s">
        <v>1951</v>
      </c>
      <c r="B847" s="9" t="str">
        <f t="shared" si="13"/>
        <v>CAR2018-2410|final</v>
      </c>
    </row>
    <row r="848" spans="1:2" x14ac:dyDescent="0.25">
      <c r="A848" s="9" t="s">
        <v>1952</v>
      </c>
      <c r="B848" s="9" t="str">
        <f t="shared" si="13"/>
        <v>CAR2022-0602|final</v>
      </c>
    </row>
    <row r="849" spans="1:2" x14ac:dyDescent="0.25">
      <c r="A849" s="9" t="s">
        <v>1953</v>
      </c>
      <c r="B849" s="9" t="str">
        <f t="shared" si="13"/>
        <v>CAR2022-0600|final</v>
      </c>
    </row>
    <row r="850" spans="1:2" x14ac:dyDescent="0.25">
      <c r="A850" s="9" t="s">
        <v>1954</v>
      </c>
      <c r="B850" s="9" t="str">
        <f t="shared" si="13"/>
        <v>CAR2022-0499|final</v>
      </c>
    </row>
    <row r="851" spans="1:2" x14ac:dyDescent="0.25">
      <c r="A851" s="9" t="s">
        <v>1955</v>
      </c>
      <c r="B851" s="9" t="str">
        <f t="shared" si="13"/>
        <v>CAR2022-0603|final</v>
      </c>
    </row>
    <row r="852" spans="1:2" x14ac:dyDescent="0.25">
      <c r="A852" s="9" t="s">
        <v>1956</v>
      </c>
      <c r="B852" s="9" t="str">
        <f t="shared" si="13"/>
        <v>CAR2022-0601|final</v>
      </c>
    </row>
    <row r="853" spans="1:2" x14ac:dyDescent="0.25">
      <c r="A853" s="9" t="s">
        <v>1957</v>
      </c>
      <c r="B853" s="9" t="str">
        <f t="shared" si="13"/>
        <v>CAR2022-0495|final</v>
      </c>
    </row>
    <row r="854" spans="1:2" x14ac:dyDescent="0.25">
      <c r="A854" s="9" t="s">
        <v>1958</v>
      </c>
      <c r="B854" s="9" t="str">
        <f t="shared" si="13"/>
        <v>CAR2021-5656|final</v>
      </c>
    </row>
    <row r="855" spans="1:2" x14ac:dyDescent="0.25">
      <c r="A855" s="9" t="s">
        <v>1959</v>
      </c>
      <c r="B855" s="9" t="str">
        <f t="shared" si="13"/>
        <v>CAR2021-2684|final</v>
      </c>
    </row>
    <row r="856" spans="1:2" x14ac:dyDescent="0.25">
      <c r="A856" s="9" t="s">
        <v>1960</v>
      </c>
      <c r="B856" s="9" t="str">
        <f t="shared" si="13"/>
        <v>CAR2021-5480|final</v>
      </c>
    </row>
    <row r="857" spans="1:2" x14ac:dyDescent="0.25">
      <c r="A857" s="9" t="s">
        <v>1961</v>
      </c>
      <c r="B857" s="9" t="str">
        <f t="shared" si="13"/>
        <v>CAR2020-2201|final</v>
      </c>
    </row>
    <row r="858" spans="1:2" x14ac:dyDescent="0.25">
      <c r="A858" s="9" t="s">
        <v>1962</v>
      </c>
      <c r="B858" s="9" t="str">
        <f t="shared" si="13"/>
        <v>CAR2019-3148|final</v>
      </c>
    </row>
    <row r="859" spans="1:2" x14ac:dyDescent="0.25">
      <c r="A859" s="9" t="s">
        <v>1963</v>
      </c>
      <c r="B859" s="9" t="str">
        <f t="shared" si="13"/>
        <v>CAR2019-1350|final</v>
      </c>
    </row>
    <row r="860" spans="1:2" x14ac:dyDescent="0.25">
      <c r="A860" s="9" t="s">
        <v>1964</v>
      </c>
      <c r="B860" s="9" t="str">
        <f t="shared" si="13"/>
        <v>CAR2019-1570|final</v>
      </c>
    </row>
    <row r="861" spans="1:2" x14ac:dyDescent="0.25">
      <c r="A861" s="9" t="s">
        <v>1965</v>
      </c>
      <c r="B861" s="9" t="str">
        <f t="shared" si="13"/>
        <v>CAR2021-3059|final</v>
      </c>
    </row>
    <row r="862" spans="1:2" x14ac:dyDescent="0.25">
      <c r="A862" s="9" t="s">
        <v>1966</v>
      </c>
      <c r="B862" s="9" t="str">
        <f t="shared" si="13"/>
        <v>CAR2021-2883|final</v>
      </c>
    </row>
    <row r="863" spans="1:2" x14ac:dyDescent="0.25">
      <c r="A863" s="9" t="s">
        <v>1967</v>
      </c>
      <c r="B863" s="9" t="str">
        <f t="shared" si="13"/>
        <v>CAR2019-0288|final</v>
      </c>
    </row>
    <row r="864" spans="1:2" x14ac:dyDescent="0.25">
      <c r="A864" s="9" t="s">
        <v>1968</v>
      </c>
      <c r="B864" s="9" t="str">
        <f t="shared" si="13"/>
        <v>CAR20212464|final</v>
      </c>
    </row>
    <row r="865" spans="1:2" x14ac:dyDescent="0.25">
      <c r="A865" s="9" t="s">
        <v>1969</v>
      </c>
      <c r="B865" s="9" t="str">
        <f t="shared" si="13"/>
        <v>CAR2021-5086|final</v>
      </c>
    </row>
    <row r="866" spans="1:2" x14ac:dyDescent="0.25">
      <c r="A866" s="9" t="s">
        <v>1970</v>
      </c>
      <c r="B866" s="9" t="str">
        <f t="shared" si="13"/>
        <v>CAR2022-0041|final</v>
      </c>
    </row>
    <row r="867" spans="1:2" x14ac:dyDescent="0.25">
      <c r="A867" s="9" t="s">
        <v>1971</v>
      </c>
      <c r="B867" s="9" t="str">
        <f t="shared" si="13"/>
        <v>CAR2021-6654|final</v>
      </c>
    </row>
    <row r="868" spans="1:2" x14ac:dyDescent="0.25">
      <c r="A868" s="9" t="s">
        <v>1972</v>
      </c>
      <c r="B868" s="9" t="str">
        <f t="shared" si="13"/>
        <v>CAR2021-0011|final</v>
      </c>
    </row>
    <row r="869" spans="1:2" x14ac:dyDescent="0.25">
      <c r="A869" s="9" t="s">
        <v>1973</v>
      </c>
      <c r="B869" s="9" t="str">
        <f t="shared" si="13"/>
        <v>CAR2022-0008|final</v>
      </c>
    </row>
    <row r="870" spans="1:2" x14ac:dyDescent="0.25">
      <c r="A870" s="9" t="s">
        <v>1974</v>
      </c>
      <c r="B870" s="9" t="str">
        <f t="shared" si="13"/>
        <v>CAR2022-0031|final</v>
      </c>
    </row>
    <row r="871" spans="1:2" x14ac:dyDescent="0.25">
      <c r="A871" s="9" t="s">
        <v>1975</v>
      </c>
      <c r="B871" s="9" t="str">
        <f t="shared" si="13"/>
        <v>CAR2021-4012|final</v>
      </c>
    </row>
    <row r="872" spans="1:2" x14ac:dyDescent="0.25">
      <c r="A872" s="9" t="s">
        <v>1976</v>
      </c>
      <c r="B872" s="9" t="str">
        <f t="shared" si="13"/>
        <v>CAR2022-0009|final</v>
      </c>
    </row>
    <row r="873" spans="1:2" x14ac:dyDescent="0.25">
      <c r="A873" s="9" t="s">
        <v>1977</v>
      </c>
      <c r="B873" s="9" t="str">
        <f t="shared" si="13"/>
        <v>CAR2021-7202|final</v>
      </c>
    </row>
    <row r="874" spans="1:2" x14ac:dyDescent="0.25">
      <c r="A874" s="9" t="s">
        <v>1978</v>
      </c>
      <c r="B874" s="9" t="str">
        <f t="shared" si="13"/>
        <v>CAR2021-6666|final</v>
      </c>
    </row>
    <row r="875" spans="1:2" x14ac:dyDescent="0.25">
      <c r="A875" s="9" t="s">
        <v>1979</v>
      </c>
      <c r="B875" s="9" t="str">
        <f t="shared" si="13"/>
        <v>CAR2021-3844|final</v>
      </c>
    </row>
    <row r="876" spans="1:2" x14ac:dyDescent="0.25">
      <c r="A876" s="9" t="s">
        <v>1980</v>
      </c>
      <c r="B876" s="9" t="str">
        <f t="shared" si="13"/>
        <v>CAR2021-3405|final</v>
      </c>
    </row>
    <row r="877" spans="1:2" x14ac:dyDescent="0.25">
      <c r="A877" s="9" t="s">
        <v>1981</v>
      </c>
      <c r="B877" s="9" t="str">
        <f t="shared" si="13"/>
        <v>CAR2021-6244|final</v>
      </c>
    </row>
    <row r="878" spans="1:2" x14ac:dyDescent="0.25">
      <c r="A878" s="9" t="s">
        <v>1982</v>
      </c>
      <c r="B878" s="9" t="str">
        <f t="shared" si="13"/>
        <v>CAR2021-7016|final</v>
      </c>
    </row>
    <row r="879" spans="1:2" x14ac:dyDescent="0.25">
      <c r="A879" s="9" t="s">
        <v>1983</v>
      </c>
      <c r="B879" s="9" t="str">
        <f t="shared" si="13"/>
        <v>CAR2021-6883|final</v>
      </c>
    </row>
    <row r="880" spans="1:2" x14ac:dyDescent="0.25">
      <c r="A880" s="9" t="s">
        <v>1984</v>
      </c>
      <c r="B880" s="9" t="str">
        <f t="shared" si="13"/>
        <v>CAR2021-6885|final</v>
      </c>
    </row>
    <row r="881" spans="1:2" x14ac:dyDescent="0.25">
      <c r="A881" s="9" t="s">
        <v>1985</v>
      </c>
      <c r="B881" s="9" t="str">
        <f t="shared" si="13"/>
        <v>CAR2021-6269|final</v>
      </c>
    </row>
    <row r="882" spans="1:2" x14ac:dyDescent="0.25">
      <c r="A882" s="9" t="s">
        <v>1986</v>
      </c>
      <c r="B882" s="9" t="str">
        <f t="shared" si="13"/>
        <v>CAR2021-7561|final</v>
      </c>
    </row>
    <row r="883" spans="1:2" x14ac:dyDescent="0.25">
      <c r="A883" s="9" t="s">
        <v>1987</v>
      </c>
      <c r="B883" s="9" t="str">
        <f t="shared" si="13"/>
        <v>CAR2021-4632|final</v>
      </c>
    </row>
    <row r="884" spans="1:2" x14ac:dyDescent="0.25">
      <c r="A884" s="9" t="s">
        <v>1988</v>
      </c>
      <c r="B884" s="9" t="str">
        <f t="shared" si="13"/>
        <v>CAR2021-4444|final</v>
      </c>
    </row>
    <row r="885" spans="1:2" x14ac:dyDescent="0.25">
      <c r="A885" s="9" t="s">
        <v>1989</v>
      </c>
      <c r="B885" s="9" t="str">
        <f t="shared" si="13"/>
        <v>CAR2021-4633|final</v>
      </c>
    </row>
    <row r="886" spans="1:2" x14ac:dyDescent="0.25">
      <c r="A886" s="9" t="s">
        <v>1990</v>
      </c>
      <c r="B886" s="9" t="str">
        <f t="shared" si="13"/>
        <v>CAR2021-4834|final</v>
      </c>
    </row>
    <row r="887" spans="1:2" x14ac:dyDescent="0.25">
      <c r="A887" s="9" t="s">
        <v>1991</v>
      </c>
      <c r="B887" s="9" t="str">
        <f t="shared" si="13"/>
        <v>CAR2022-0032|final</v>
      </c>
    </row>
    <row r="888" spans="1:2" x14ac:dyDescent="0.25">
      <c r="A888" s="9" t="s">
        <v>1992</v>
      </c>
      <c r="B888" s="9" t="str">
        <f t="shared" si="13"/>
        <v>CAR2021-5834|final</v>
      </c>
    </row>
    <row r="889" spans="1:2" x14ac:dyDescent="0.25">
      <c r="A889" s="9" t="s">
        <v>1993</v>
      </c>
      <c r="B889" s="9" t="str">
        <f t="shared" si="13"/>
        <v>CAR2021-5827|final</v>
      </c>
    </row>
    <row r="890" spans="1:2" x14ac:dyDescent="0.25">
      <c r="A890" s="9" t="s">
        <v>1994</v>
      </c>
      <c r="B890" s="9" t="str">
        <f t="shared" si="13"/>
        <v>CAR2021-6633|final</v>
      </c>
    </row>
    <row r="891" spans="1:2" x14ac:dyDescent="0.25">
      <c r="A891" s="9" t="s">
        <v>1995</v>
      </c>
      <c r="B891" s="9" t="str">
        <f t="shared" si="13"/>
        <v>CAR2021-3408|final</v>
      </c>
    </row>
    <row r="892" spans="1:2" x14ac:dyDescent="0.25">
      <c r="A892" s="9" t="s">
        <v>1996</v>
      </c>
      <c r="B892" s="9" t="str">
        <f t="shared" si="13"/>
        <v>CAR2021-3082|final</v>
      </c>
    </row>
    <row r="893" spans="1:2" x14ac:dyDescent="0.25">
      <c r="A893" s="9" t="s">
        <v>1997</v>
      </c>
      <c r="B893" s="9" t="str">
        <f t="shared" si="13"/>
        <v>CAR2021-38424|final</v>
      </c>
    </row>
    <row r="894" spans="1:2" x14ac:dyDescent="0.25">
      <c r="A894" s="9" t="s">
        <v>1998</v>
      </c>
      <c r="B894" s="9" t="str">
        <f t="shared" si="13"/>
        <v>CAR2021-3423|final</v>
      </c>
    </row>
    <row r="895" spans="1:2" x14ac:dyDescent="0.25">
      <c r="A895" s="9" t="s">
        <v>1999</v>
      </c>
      <c r="B895" s="9" t="str">
        <f t="shared" si="13"/>
        <v>CAR2021-4661|final</v>
      </c>
    </row>
    <row r="896" spans="1:2" x14ac:dyDescent="0.25">
      <c r="A896" s="9" t="s">
        <v>2000</v>
      </c>
      <c r="B896" s="9" t="str">
        <f t="shared" si="13"/>
        <v>CAR2022-0018|final</v>
      </c>
    </row>
    <row r="897" spans="1:2" x14ac:dyDescent="0.25">
      <c r="A897" s="9" t="s">
        <v>2001</v>
      </c>
      <c r="B897" s="9" t="str">
        <f t="shared" ref="B897:B960" si="14">_xlfn.CONCAT(A897,"|","final")</f>
        <v>CAR2022-0440|final</v>
      </c>
    </row>
    <row r="898" spans="1:2" x14ac:dyDescent="0.25">
      <c r="A898" s="9" t="s">
        <v>2002</v>
      </c>
      <c r="B898" s="9" t="str">
        <f t="shared" si="14"/>
        <v>CAR2022-0003|final</v>
      </c>
    </row>
    <row r="899" spans="1:2" x14ac:dyDescent="0.25">
      <c r="A899" s="9" t="s">
        <v>2003</v>
      </c>
      <c r="B899" s="9" t="str">
        <f t="shared" si="14"/>
        <v>CAR2021-6240|final</v>
      </c>
    </row>
    <row r="900" spans="1:2" x14ac:dyDescent="0.25">
      <c r="A900" s="9" t="s">
        <v>2004</v>
      </c>
      <c r="B900" s="9" t="str">
        <f t="shared" si="14"/>
        <v>CAR2021-7565|final</v>
      </c>
    </row>
    <row r="901" spans="1:2" x14ac:dyDescent="0.25">
      <c r="A901" s="9" t="s">
        <v>2005</v>
      </c>
      <c r="B901" s="9" t="str">
        <f t="shared" si="14"/>
        <v>CAR2021-3862|final</v>
      </c>
    </row>
    <row r="902" spans="1:2" x14ac:dyDescent="0.25">
      <c r="A902" s="9" t="s">
        <v>2006</v>
      </c>
      <c r="B902" s="9" t="str">
        <f t="shared" si="14"/>
        <v>CAR2021-3040|final</v>
      </c>
    </row>
    <row r="903" spans="1:2" x14ac:dyDescent="0.25">
      <c r="A903" s="9" t="s">
        <v>2007</v>
      </c>
      <c r="B903" s="9" t="str">
        <f t="shared" si="14"/>
        <v>CAR2021-4835|final</v>
      </c>
    </row>
    <row r="904" spans="1:2" x14ac:dyDescent="0.25">
      <c r="A904" s="9" t="s">
        <v>2008</v>
      </c>
      <c r="B904" s="9" t="str">
        <f t="shared" si="14"/>
        <v>CAR2022-0013|final</v>
      </c>
    </row>
    <row r="905" spans="1:2" x14ac:dyDescent="0.25">
      <c r="A905" s="9" t="s">
        <v>2009</v>
      </c>
      <c r="B905" s="9" t="str">
        <f t="shared" si="14"/>
        <v>CAR2021-7659|final</v>
      </c>
    </row>
    <row r="906" spans="1:2" x14ac:dyDescent="0.25">
      <c r="A906" s="9" t="s">
        <v>2010</v>
      </c>
      <c r="B906" s="9" t="str">
        <f t="shared" si="14"/>
        <v>CAR2021-7007|final</v>
      </c>
    </row>
    <row r="907" spans="1:2" x14ac:dyDescent="0.25">
      <c r="A907" s="9" t="s">
        <v>2011</v>
      </c>
      <c r="B907" s="9" t="str">
        <f t="shared" si="14"/>
        <v>CAR2022-0021|final</v>
      </c>
    </row>
    <row r="908" spans="1:2" x14ac:dyDescent="0.25">
      <c r="A908" s="9" t="s">
        <v>2012</v>
      </c>
      <c r="B908" s="9" t="str">
        <f t="shared" si="14"/>
        <v>CAR2021-6665|final</v>
      </c>
    </row>
    <row r="909" spans="1:2" x14ac:dyDescent="0.25">
      <c r="A909" s="9" t="s">
        <v>2013</v>
      </c>
      <c r="B909" s="9" t="str">
        <f t="shared" si="14"/>
        <v>CAR2022-0478|final</v>
      </c>
    </row>
    <row r="910" spans="1:2" x14ac:dyDescent="0.25">
      <c r="A910" s="9" t="s">
        <v>2014</v>
      </c>
      <c r="B910" s="9" t="str">
        <f t="shared" si="14"/>
        <v>CAR2021-7559|final</v>
      </c>
    </row>
    <row r="911" spans="1:2" x14ac:dyDescent="0.25">
      <c r="A911" s="9" t="s">
        <v>2015</v>
      </c>
      <c r="B911" s="9" t="str">
        <f t="shared" si="14"/>
        <v>CAR2022-0264|final</v>
      </c>
    </row>
    <row r="912" spans="1:2" x14ac:dyDescent="0.25">
      <c r="A912" s="9" t="s">
        <v>2016</v>
      </c>
      <c r="B912" s="9" t="str">
        <f t="shared" si="14"/>
        <v>CAR2021-4011|final</v>
      </c>
    </row>
    <row r="913" spans="1:2" x14ac:dyDescent="0.25">
      <c r="A913" s="9" t="s">
        <v>2017</v>
      </c>
      <c r="B913" s="9" t="str">
        <f t="shared" si="14"/>
        <v>CAR2021-6219|final</v>
      </c>
    </row>
    <row r="914" spans="1:2" x14ac:dyDescent="0.25">
      <c r="A914" s="9" t="s">
        <v>2018</v>
      </c>
      <c r="B914" s="9" t="str">
        <f t="shared" si="14"/>
        <v>CAR2021-7552|final</v>
      </c>
    </row>
    <row r="915" spans="1:2" x14ac:dyDescent="0.25">
      <c r="A915" s="9" t="s">
        <v>2019</v>
      </c>
      <c r="B915" s="9" t="str">
        <f t="shared" si="14"/>
        <v>COM2020-1189|final</v>
      </c>
    </row>
    <row r="916" spans="1:2" x14ac:dyDescent="0.25">
      <c r="A916" s="9" t="s">
        <v>2020</v>
      </c>
      <c r="B916" s="9" t="str">
        <f t="shared" si="14"/>
        <v>COM2020-0964|final</v>
      </c>
    </row>
    <row r="917" spans="1:2" x14ac:dyDescent="0.25">
      <c r="A917" s="9" t="s">
        <v>2021</v>
      </c>
      <c r="B917" s="9" t="str">
        <f t="shared" si="14"/>
        <v>COM2019-3207|final</v>
      </c>
    </row>
    <row r="918" spans="1:2" x14ac:dyDescent="0.25">
      <c r="A918" s="9" t="s">
        <v>2022</v>
      </c>
      <c r="B918" s="9" t="str">
        <f t="shared" si="14"/>
        <v>COM2019-3206|final</v>
      </c>
    </row>
    <row r="919" spans="1:2" x14ac:dyDescent="0.25">
      <c r="A919" s="9" t="s">
        <v>2023</v>
      </c>
      <c r="B919" s="9" t="str">
        <f t="shared" si="14"/>
        <v>COM2020-0347|final</v>
      </c>
    </row>
    <row r="920" spans="1:2" x14ac:dyDescent="0.25">
      <c r="A920" s="9" t="s">
        <v>2024</v>
      </c>
      <c r="B920" s="9" t="str">
        <f t="shared" si="14"/>
        <v>CAR2021-7404|final</v>
      </c>
    </row>
    <row r="921" spans="1:2" x14ac:dyDescent="0.25">
      <c r="A921" s="9" t="s">
        <v>2025</v>
      </c>
      <c r="B921" s="9" t="str">
        <f t="shared" si="14"/>
        <v>CAR2021-7454|final</v>
      </c>
    </row>
    <row r="922" spans="1:2" x14ac:dyDescent="0.25">
      <c r="A922" s="9" t="s">
        <v>2026</v>
      </c>
      <c r="B922" s="9" t="str">
        <f t="shared" si="14"/>
        <v>CAR2021-4000|final</v>
      </c>
    </row>
    <row r="923" spans="1:2" x14ac:dyDescent="0.25">
      <c r="A923" s="9" t="s">
        <v>2027</v>
      </c>
      <c r="B923" s="9" t="str">
        <f t="shared" si="14"/>
        <v>CAR2021-3462|final</v>
      </c>
    </row>
    <row r="924" spans="1:2" x14ac:dyDescent="0.25">
      <c r="A924" s="9" t="s">
        <v>2028</v>
      </c>
      <c r="B924" s="9" t="str">
        <f t="shared" si="14"/>
        <v>CAR2021-7025|final</v>
      </c>
    </row>
    <row r="925" spans="1:2" x14ac:dyDescent="0.25">
      <c r="A925" s="9" t="s">
        <v>2029</v>
      </c>
      <c r="B925" s="9" t="str">
        <f t="shared" si="14"/>
        <v>CAR2018-2602|final</v>
      </c>
    </row>
    <row r="926" spans="1:2" x14ac:dyDescent="0.25">
      <c r="A926" s="9" t="s">
        <v>2030</v>
      </c>
      <c r="B926" s="9" t="str">
        <f t="shared" si="14"/>
        <v>CAR2021-3919|final</v>
      </c>
    </row>
    <row r="927" spans="1:2" x14ac:dyDescent="0.25">
      <c r="A927" s="9" t="s">
        <v>2031</v>
      </c>
      <c r="B927" s="9" t="str">
        <f t="shared" si="14"/>
        <v>CAR2021-7576|final</v>
      </c>
    </row>
    <row r="928" spans="1:2" x14ac:dyDescent="0.25">
      <c r="A928" s="9" t="s">
        <v>2032</v>
      </c>
      <c r="B928" s="9" t="str">
        <f t="shared" si="14"/>
        <v>PAR2021-0860|final</v>
      </c>
    </row>
    <row r="929" spans="1:2" x14ac:dyDescent="0.25">
      <c r="A929" s="9" t="s">
        <v>2033</v>
      </c>
      <c r="B929" s="9" t="str">
        <f t="shared" si="14"/>
        <v>CAR2021-6830|final</v>
      </c>
    </row>
    <row r="930" spans="1:2" x14ac:dyDescent="0.25">
      <c r="A930" s="9" t="s">
        <v>2034</v>
      </c>
      <c r="B930" s="9" t="str">
        <f t="shared" si="14"/>
        <v>CAR2021-6457|final</v>
      </c>
    </row>
    <row r="931" spans="1:2" x14ac:dyDescent="0.25">
      <c r="A931" s="9" t="s">
        <v>2035</v>
      </c>
      <c r="B931" s="9" t="str">
        <f t="shared" si="14"/>
        <v>CAR2021-6611|final</v>
      </c>
    </row>
    <row r="932" spans="1:2" x14ac:dyDescent="0.25">
      <c r="A932" s="9" t="s">
        <v>2036</v>
      </c>
      <c r="B932" s="9" t="str">
        <f t="shared" si="14"/>
        <v>CAR2021-7677|final</v>
      </c>
    </row>
    <row r="933" spans="1:2" x14ac:dyDescent="0.25">
      <c r="A933" s="9" t="s">
        <v>2037</v>
      </c>
      <c r="B933" s="9" t="str">
        <f t="shared" si="14"/>
        <v>CAR2021-7676|final</v>
      </c>
    </row>
    <row r="934" spans="1:2" x14ac:dyDescent="0.25">
      <c r="A934" s="9" t="s">
        <v>2038</v>
      </c>
      <c r="B934" s="9" t="str">
        <f t="shared" si="14"/>
        <v>CAR2021-7547|final</v>
      </c>
    </row>
    <row r="935" spans="1:2" x14ac:dyDescent="0.25">
      <c r="A935" s="9" t="s">
        <v>2039</v>
      </c>
      <c r="B935" s="9" t="str">
        <f t="shared" si="14"/>
        <v>CAR2021-7453|final</v>
      </c>
    </row>
    <row r="936" spans="1:2" x14ac:dyDescent="0.25">
      <c r="A936" s="9" t="s">
        <v>2040</v>
      </c>
      <c r="B936" s="9" t="str">
        <f t="shared" si="14"/>
        <v>CAR2021-5654|final</v>
      </c>
    </row>
    <row r="937" spans="1:2" x14ac:dyDescent="0.25">
      <c r="A937" s="9" t="s">
        <v>2041</v>
      </c>
      <c r="B937" s="9" t="str">
        <f t="shared" si="14"/>
        <v>CAR2017-4086|final</v>
      </c>
    </row>
    <row r="938" spans="1:2" x14ac:dyDescent="0.25">
      <c r="A938" s="9" t="s">
        <v>2042</v>
      </c>
      <c r="B938" s="9" t="str">
        <f t="shared" si="14"/>
        <v>COM2021-0348|final</v>
      </c>
    </row>
    <row r="939" spans="1:2" x14ac:dyDescent="0.25">
      <c r="A939" s="9" t="s">
        <v>2043</v>
      </c>
      <c r="B939" s="9" t="str">
        <f t="shared" si="14"/>
        <v>CAR2021-4020|final</v>
      </c>
    </row>
    <row r="940" spans="1:2" x14ac:dyDescent="0.25">
      <c r="A940" s="9" t="s">
        <v>2044</v>
      </c>
      <c r="B940" s="9" t="str">
        <f t="shared" si="14"/>
        <v>PAR2019-0584|final</v>
      </c>
    </row>
    <row r="941" spans="1:2" x14ac:dyDescent="0.25">
      <c r="A941" s="9" t="s">
        <v>2045</v>
      </c>
      <c r="B941" s="9" t="str">
        <f t="shared" si="14"/>
        <v>CAR2021-3859|final</v>
      </c>
    </row>
    <row r="942" spans="1:2" x14ac:dyDescent="0.25">
      <c r="A942" s="9" t="s">
        <v>2046</v>
      </c>
      <c r="B942" s="9" t="str">
        <f t="shared" si="14"/>
        <v>CAR2021-4232|final</v>
      </c>
    </row>
    <row r="943" spans="1:2" x14ac:dyDescent="0.25">
      <c r="A943" s="9" t="s">
        <v>2047</v>
      </c>
      <c r="B943" s="9" t="str">
        <f t="shared" si="14"/>
        <v>CAR2021-7422|final</v>
      </c>
    </row>
    <row r="944" spans="1:2" x14ac:dyDescent="0.25">
      <c r="A944" s="9" t="s">
        <v>2048</v>
      </c>
      <c r="B944" s="9" t="str">
        <f t="shared" si="14"/>
        <v>CAR2021-3867|final</v>
      </c>
    </row>
    <row r="945" spans="1:2" x14ac:dyDescent="0.25">
      <c r="A945" s="9" t="s">
        <v>2049</v>
      </c>
      <c r="B945" s="9" t="str">
        <f t="shared" si="14"/>
        <v>CAR2021-3291|final</v>
      </c>
    </row>
    <row r="946" spans="1:2" x14ac:dyDescent="0.25">
      <c r="A946" s="9" t="s">
        <v>2050</v>
      </c>
      <c r="B946" s="9" t="str">
        <f t="shared" si="14"/>
        <v>CAR2021-7581|final</v>
      </c>
    </row>
    <row r="947" spans="1:2" x14ac:dyDescent="0.25">
      <c r="A947" s="9" t="s">
        <v>2051</v>
      </c>
      <c r="B947" s="9" t="str">
        <f t="shared" si="14"/>
        <v>CAR2021-7568|final</v>
      </c>
    </row>
    <row r="948" spans="1:2" x14ac:dyDescent="0.25">
      <c r="A948" s="9" t="s">
        <v>2052</v>
      </c>
      <c r="B948" s="9" t="str">
        <f t="shared" si="14"/>
        <v>CAR2021-7658|final</v>
      </c>
    </row>
    <row r="949" spans="1:2" x14ac:dyDescent="0.25">
      <c r="A949" s="9" t="s">
        <v>2053</v>
      </c>
      <c r="B949" s="9" t="str">
        <f t="shared" si="14"/>
        <v>CAR2021-2255|final</v>
      </c>
    </row>
    <row r="950" spans="1:2" x14ac:dyDescent="0.25">
      <c r="A950" s="9" t="s">
        <v>2054</v>
      </c>
      <c r="B950" s="9" t="str">
        <f t="shared" si="14"/>
        <v>CAR2021-3831|final</v>
      </c>
    </row>
    <row r="951" spans="1:2" x14ac:dyDescent="0.25">
      <c r="A951" s="9" t="s">
        <v>2055</v>
      </c>
      <c r="B951" s="9" t="str">
        <f t="shared" si="14"/>
        <v>PAR2022-0132|final</v>
      </c>
    </row>
    <row r="952" spans="1:2" x14ac:dyDescent="0.25">
      <c r="A952" s="9" t="s">
        <v>2056</v>
      </c>
      <c r="B952" s="9" t="str">
        <f t="shared" si="14"/>
        <v>CAR2021-2833|final</v>
      </c>
    </row>
    <row r="953" spans="1:2" x14ac:dyDescent="0.25">
      <c r="A953" s="9" t="s">
        <v>2057</v>
      </c>
      <c r="B953" s="9" t="str">
        <f t="shared" si="14"/>
        <v>CAR2021-4248|final</v>
      </c>
    </row>
    <row r="954" spans="1:2" x14ac:dyDescent="0.25">
      <c r="A954" s="9" t="s">
        <v>2058</v>
      </c>
      <c r="B954" s="9" t="str">
        <f t="shared" si="14"/>
        <v>CAR2021-4211|final</v>
      </c>
    </row>
    <row r="955" spans="1:2" x14ac:dyDescent="0.25">
      <c r="A955" s="9" t="s">
        <v>2059</v>
      </c>
      <c r="B955" s="9" t="str">
        <f t="shared" si="14"/>
        <v>CAR2021-4405|final</v>
      </c>
    </row>
    <row r="956" spans="1:2" x14ac:dyDescent="0.25">
      <c r="A956" s="9" t="s">
        <v>2060</v>
      </c>
      <c r="B956" s="9" t="str">
        <f t="shared" si="14"/>
        <v>CAR2021-7010|final</v>
      </c>
    </row>
    <row r="957" spans="1:2" x14ac:dyDescent="0.25">
      <c r="A957" s="9" t="s">
        <v>2061</v>
      </c>
      <c r="B957" s="9" t="str">
        <f t="shared" si="14"/>
        <v>CAR2021-3098|final</v>
      </c>
    </row>
    <row r="958" spans="1:2" x14ac:dyDescent="0.25">
      <c r="A958" s="9" t="s">
        <v>2062</v>
      </c>
      <c r="B958" s="9" t="str">
        <f t="shared" si="14"/>
        <v>CAR2021-3221|final</v>
      </c>
    </row>
    <row r="959" spans="1:2" x14ac:dyDescent="0.25">
      <c r="A959" s="9" t="s">
        <v>2063</v>
      </c>
      <c r="B959" s="9" t="str">
        <f t="shared" si="14"/>
        <v>CAR2021-4040|final</v>
      </c>
    </row>
    <row r="960" spans="1:2" x14ac:dyDescent="0.25">
      <c r="A960" s="9" t="s">
        <v>2064</v>
      </c>
      <c r="B960" s="9" t="str">
        <f t="shared" si="14"/>
        <v>CAR2021.3058|final</v>
      </c>
    </row>
    <row r="961" spans="1:2" x14ac:dyDescent="0.25">
      <c r="A961" s="9" t="s">
        <v>2065</v>
      </c>
      <c r="B961" s="9" t="str">
        <f t="shared" ref="B961:B1024" si="15">_xlfn.CONCAT(A961,"|","final")</f>
        <v>CAR2021-3042|final</v>
      </c>
    </row>
    <row r="962" spans="1:2" x14ac:dyDescent="0.25">
      <c r="A962" s="9" t="s">
        <v>2066</v>
      </c>
      <c r="B962" s="9" t="str">
        <f t="shared" si="15"/>
        <v>CAR2021-3057|final</v>
      </c>
    </row>
    <row r="963" spans="1:2" x14ac:dyDescent="0.25">
      <c r="A963" s="9" t="s">
        <v>2067</v>
      </c>
      <c r="B963" s="9" t="str">
        <f t="shared" si="15"/>
        <v>CAR2021-3019|final</v>
      </c>
    </row>
    <row r="964" spans="1:2" x14ac:dyDescent="0.25">
      <c r="A964" s="9" t="s">
        <v>2068</v>
      </c>
      <c r="B964" s="9" t="str">
        <f t="shared" si="15"/>
        <v>CAR2021-6243|final</v>
      </c>
    </row>
    <row r="965" spans="1:2" x14ac:dyDescent="0.25">
      <c r="A965" s="9" t="s">
        <v>2069</v>
      </c>
      <c r="B965" s="9" t="str">
        <f t="shared" si="15"/>
        <v>CAR2021-5819|final</v>
      </c>
    </row>
    <row r="966" spans="1:2" x14ac:dyDescent="0.25">
      <c r="A966" s="9" t="s">
        <v>2070</v>
      </c>
      <c r="B966" s="9" t="str">
        <f t="shared" si="15"/>
        <v>PAR2020-0556|final</v>
      </c>
    </row>
    <row r="967" spans="1:2" x14ac:dyDescent="0.25">
      <c r="A967" s="9" t="s">
        <v>2071</v>
      </c>
      <c r="B967" s="9" t="str">
        <f t="shared" si="15"/>
        <v>CAR2021-4064|final</v>
      </c>
    </row>
    <row r="968" spans="1:2" x14ac:dyDescent="0.25">
      <c r="A968" s="9" t="s">
        <v>2072</v>
      </c>
      <c r="B968" s="9" t="str">
        <f t="shared" si="15"/>
        <v>CAR2021-4016|final</v>
      </c>
    </row>
    <row r="969" spans="1:2" x14ac:dyDescent="0.25">
      <c r="A969" s="9" t="s">
        <v>2073</v>
      </c>
      <c r="B969" s="9" t="str">
        <f t="shared" si="15"/>
        <v>CAR2021-3257|final</v>
      </c>
    </row>
    <row r="970" spans="1:2" x14ac:dyDescent="0.25">
      <c r="A970" s="9" t="s">
        <v>2074</v>
      </c>
      <c r="B970" s="9" t="str">
        <f t="shared" si="15"/>
        <v>CAR2021-3474|final</v>
      </c>
    </row>
    <row r="971" spans="1:2" x14ac:dyDescent="0.25">
      <c r="A971" s="9" t="s">
        <v>2075</v>
      </c>
      <c r="B971" s="9" t="str">
        <f t="shared" si="15"/>
        <v>CAR2021-3640|final</v>
      </c>
    </row>
    <row r="972" spans="1:2" x14ac:dyDescent="0.25">
      <c r="A972" s="9" t="s">
        <v>2076</v>
      </c>
      <c r="B972" s="9" t="str">
        <f t="shared" si="15"/>
        <v>CAR2021-3805|final</v>
      </c>
    </row>
    <row r="973" spans="1:2" x14ac:dyDescent="0.25">
      <c r="A973" s="9" t="s">
        <v>2077</v>
      </c>
      <c r="B973" s="9" t="str">
        <f t="shared" si="15"/>
        <v>CAR2021-3473|final</v>
      </c>
    </row>
    <row r="974" spans="1:2" x14ac:dyDescent="0.25">
      <c r="A974" s="9" t="s">
        <v>2078</v>
      </c>
      <c r="B974" s="9" t="str">
        <f t="shared" si="15"/>
        <v>CAR2021-4857|final</v>
      </c>
    </row>
    <row r="975" spans="1:2" x14ac:dyDescent="0.25">
      <c r="A975" s="9" t="s">
        <v>2079</v>
      </c>
      <c r="B975" s="9" t="str">
        <f t="shared" si="15"/>
        <v>CAR2021-7031|final</v>
      </c>
    </row>
    <row r="976" spans="1:2" x14ac:dyDescent="0.25">
      <c r="A976" s="9" t="s">
        <v>2080</v>
      </c>
      <c r="B976" s="9" t="str">
        <f t="shared" si="15"/>
        <v>CAR2021-6230|final</v>
      </c>
    </row>
    <row r="977" spans="1:2" x14ac:dyDescent="0.25">
      <c r="A977" s="9" t="s">
        <v>2081</v>
      </c>
      <c r="B977" s="9" t="str">
        <f t="shared" si="15"/>
        <v>CAR2021-6221|final</v>
      </c>
    </row>
    <row r="978" spans="1:2" x14ac:dyDescent="0.25">
      <c r="A978" s="9" t="s">
        <v>2082</v>
      </c>
      <c r="B978" s="9" t="str">
        <f t="shared" si="15"/>
        <v>CAR2021-7096|final</v>
      </c>
    </row>
    <row r="979" spans="1:2" x14ac:dyDescent="0.25">
      <c r="A979" s="9" t="s">
        <v>2083</v>
      </c>
      <c r="B979" s="9" t="str">
        <f t="shared" si="15"/>
        <v>CAR2021-7093|final</v>
      </c>
    </row>
    <row r="980" spans="1:2" x14ac:dyDescent="0.25">
      <c r="A980" s="9" t="s">
        <v>2084</v>
      </c>
      <c r="B980" s="9" t="str">
        <f t="shared" si="15"/>
        <v>CAR2021-7405|final</v>
      </c>
    </row>
    <row r="981" spans="1:2" x14ac:dyDescent="0.25">
      <c r="A981" s="9" t="s">
        <v>2085</v>
      </c>
      <c r="B981" s="9" t="str">
        <f t="shared" si="15"/>
        <v>CAR2021-7498|final</v>
      </c>
    </row>
    <row r="982" spans="1:2" x14ac:dyDescent="0.25">
      <c r="A982" s="9" t="s">
        <v>2086</v>
      </c>
      <c r="B982" s="9" t="str">
        <f t="shared" si="15"/>
        <v>CAR2021-7098|final</v>
      </c>
    </row>
    <row r="983" spans="1:2" x14ac:dyDescent="0.25">
      <c r="A983" s="9" t="s">
        <v>2087</v>
      </c>
      <c r="B983" s="9" t="str">
        <f t="shared" si="15"/>
        <v>CAR2022-0297|final</v>
      </c>
    </row>
    <row r="984" spans="1:2" x14ac:dyDescent="0.25">
      <c r="A984" s="9" t="s">
        <v>2088</v>
      </c>
      <c r="B984" s="9" t="str">
        <f t="shared" si="15"/>
        <v>CAR2021-5835|final</v>
      </c>
    </row>
    <row r="985" spans="1:2" x14ac:dyDescent="0.25">
      <c r="A985" s="9" t="s">
        <v>2089</v>
      </c>
      <c r="B985" s="9" t="str">
        <f t="shared" si="15"/>
        <v>CAR2021-6262|final</v>
      </c>
    </row>
    <row r="986" spans="1:2" x14ac:dyDescent="0.25">
      <c r="A986" s="9" t="s">
        <v>2090</v>
      </c>
      <c r="B986" s="9" t="str">
        <f t="shared" si="15"/>
        <v>CAR2021-5833|final</v>
      </c>
    </row>
    <row r="987" spans="1:2" x14ac:dyDescent="0.25">
      <c r="A987" s="9" t="s">
        <v>2091</v>
      </c>
      <c r="B987" s="9" t="str">
        <f t="shared" si="15"/>
        <v>CAR2022-0262|final</v>
      </c>
    </row>
    <row r="988" spans="1:2" x14ac:dyDescent="0.25">
      <c r="A988" s="9" t="s">
        <v>2092</v>
      </c>
      <c r="B988" s="9" t="str">
        <f t="shared" si="15"/>
        <v>CAR2022-0290|final</v>
      </c>
    </row>
    <row r="989" spans="1:2" x14ac:dyDescent="0.25">
      <c r="A989" s="9" t="s">
        <v>2093</v>
      </c>
      <c r="B989" s="9" t="str">
        <f t="shared" si="15"/>
        <v>CAR2021-7560|final</v>
      </c>
    </row>
    <row r="990" spans="1:2" x14ac:dyDescent="0.25">
      <c r="A990" s="9" t="s">
        <v>2094</v>
      </c>
      <c r="B990" s="9" t="str">
        <f t="shared" si="15"/>
        <v>CAR2021-7034|final</v>
      </c>
    </row>
    <row r="991" spans="1:2" x14ac:dyDescent="0.25">
      <c r="A991" s="9" t="s">
        <v>2095</v>
      </c>
      <c r="B991" s="9" t="str">
        <f t="shared" si="15"/>
        <v>CAR2022-0291|final</v>
      </c>
    </row>
    <row r="992" spans="1:2" x14ac:dyDescent="0.25">
      <c r="A992" s="9" t="s">
        <v>2096</v>
      </c>
      <c r="B992" s="9" t="str">
        <f t="shared" si="15"/>
        <v>CAR2022-0494|final</v>
      </c>
    </row>
    <row r="993" spans="1:2" x14ac:dyDescent="0.25">
      <c r="A993" s="9" t="s">
        <v>2097</v>
      </c>
      <c r="B993" s="9" t="str">
        <f t="shared" si="15"/>
        <v>CAR2021-6278|final</v>
      </c>
    </row>
    <row r="994" spans="1:2" x14ac:dyDescent="0.25">
      <c r="A994" s="9" t="s">
        <v>2098</v>
      </c>
      <c r="B994" s="9" t="str">
        <f t="shared" si="15"/>
        <v>CAR2022-0010|final</v>
      </c>
    </row>
    <row r="995" spans="1:2" x14ac:dyDescent="0.25">
      <c r="A995" s="9" t="s">
        <v>2099</v>
      </c>
      <c r="B995" s="9" t="str">
        <f t="shared" si="15"/>
        <v>CAR2021-7711|final</v>
      </c>
    </row>
    <row r="996" spans="1:2" x14ac:dyDescent="0.25">
      <c r="A996" s="9" t="s">
        <v>2100</v>
      </c>
      <c r="B996" s="9" t="str">
        <f t="shared" si="15"/>
        <v>CAR2021-7708|final</v>
      </c>
    </row>
    <row r="997" spans="1:2" x14ac:dyDescent="0.25">
      <c r="A997" s="9" t="s">
        <v>2101</v>
      </c>
      <c r="B997" s="9" t="str">
        <f t="shared" si="15"/>
        <v>CAR2022-0015|final</v>
      </c>
    </row>
    <row r="998" spans="1:2" x14ac:dyDescent="0.25">
      <c r="A998" s="9" t="s">
        <v>2102</v>
      </c>
      <c r="B998" s="9" t="str">
        <f t="shared" si="15"/>
        <v>CAR2022-0016|final</v>
      </c>
    </row>
    <row r="999" spans="1:2" x14ac:dyDescent="0.25">
      <c r="A999" s="9" t="s">
        <v>2103</v>
      </c>
      <c r="B999" s="9" t="str">
        <f t="shared" si="15"/>
        <v>CAR2022-0017|final</v>
      </c>
    </row>
    <row r="1000" spans="1:2" x14ac:dyDescent="0.25">
      <c r="A1000" s="9" t="s">
        <v>2104</v>
      </c>
      <c r="B1000" s="9" t="str">
        <f t="shared" si="15"/>
        <v>CAR2022-0019|final</v>
      </c>
    </row>
    <row r="1001" spans="1:2" x14ac:dyDescent="0.25">
      <c r="A1001" s="9" t="s">
        <v>2105</v>
      </c>
      <c r="B1001" s="9" t="str">
        <f t="shared" si="15"/>
        <v>CAR2021-7709|final</v>
      </c>
    </row>
    <row r="1002" spans="1:2" x14ac:dyDescent="0.25">
      <c r="A1002" s="9" t="s">
        <v>2106</v>
      </c>
      <c r="B1002" s="9" t="str">
        <f t="shared" si="15"/>
        <v>CAR2021-7710|final</v>
      </c>
    </row>
    <row r="1003" spans="1:2" x14ac:dyDescent="0.25">
      <c r="A1003" s="9" t="s">
        <v>2107</v>
      </c>
      <c r="B1003" s="9" t="str">
        <f t="shared" si="15"/>
        <v>CAR2022-0026|final</v>
      </c>
    </row>
    <row r="1004" spans="1:2" x14ac:dyDescent="0.25">
      <c r="A1004" s="9" t="s">
        <v>2108</v>
      </c>
      <c r="B1004" s="9" t="str">
        <f t="shared" si="15"/>
        <v>CAR2022-0014|final</v>
      </c>
    </row>
    <row r="1005" spans="1:2" x14ac:dyDescent="0.25">
      <c r="A1005" s="9" t="s">
        <v>2109</v>
      </c>
      <c r="B1005" s="9" t="str">
        <f t="shared" si="15"/>
        <v>CAR2022-0012|final</v>
      </c>
    </row>
    <row r="1006" spans="1:2" x14ac:dyDescent="0.25">
      <c r="A1006" s="9" t="s">
        <v>2110</v>
      </c>
      <c r="B1006" s="9" t="str">
        <f t="shared" si="15"/>
        <v>CAR2021-6886|final</v>
      </c>
    </row>
    <row r="1007" spans="1:2" x14ac:dyDescent="0.25">
      <c r="A1007" s="9" t="s">
        <v>2111</v>
      </c>
      <c r="B1007" s="9" t="str">
        <f t="shared" si="15"/>
        <v>CAR2021-7022|final</v>
      </c>
    </row>
    <row r="1008" spans="1:2" x14ac:dyDescent="0.25">
      <c r="A1008" s="9" t="s">
        <v>2112</v>
      </c>
      <c r="B1008" s="9" t="str">
        <f t="shared" si="15"/>
        <v>CAR2021-4249|final</v>
      </c>
    </row>
    <row r="1009" spans="1:2" x14ac:dyDescent="0.25">
      <c r="A1009" s="9" t="s">
        <v>2113</v>
      </c>
      <c r="B1009" s="9" t="str">
        <f t="shared" si="15"/>
        <v>PAR2019-2744|final</v>
      </c>
    </row>
    <row r="1010" spans="1:2" x14ac:dyDescent="0.25">
      <c r="A1010" s="9" t="s">
        <v>2114</v>
      </c>
      <c r="B1010" s="9" t="str">
        <f t="shared" si="15"/>
        <v>CAR2021-3287|final</v>
      </c>
    </row>
    <row r="1011" spans="1:2" x14ac:dyDescent="0.25">
      <c r="A1011" s="9" t="s">
        <v>2115</v>
      </c>
      <c r="B1011" s="9" t="str">
        <f t="shared" si="15"/>
        <v>CAR2021-3204|final</v>
      </c>
    </row>
    <row r="1012" spans="1:2" x14ac:dyDescent="0.25">
      <c r="A1012" s="9" t="s">
        <v>2116</v>
      </c>
      <c r="B1012" s="9" t="str">
        <f t="shared" si="15"/>
        <v>CAR2021-3097|final</v>
      </c>
    </row>
    <row r="1013" spans="1:2" x14ac:dyDescent="0.25">
      <c r="A1013" s="9" t="s">
        <v>2117</v>
      </c>
      <c r="B1013" s="9" t="str">
        <f t="shared" si="15"/>
        <v>CAR2021-3626|final</v>
      </c>
    </row>
    <row r="1014" spans="1:2" x14ac:dyDescent="0.25">
      <c r="A1014" s="9" t="s">
        <v>2118</v>
      </c>
      <c r="B1014" s="9" t="str">
        <f t="shared" si="15"/>
        <v>CAR2021-3403|final</v>
      </c>
    </row>
    <row r="1015" spans="1:2" x14ac:dyDescent="0.25">
      <c r="A1015" s="9" t="s">
        <v>2119</v>
      </c>
      <c r="B1015" s="9" t="str">
        <f t="shared" si="15"/>
        <v>CAR2021-3207|final</v>
      </c>
    </row>
    <row r="1016" spans="1:2" x14ac:dyDescent="0.25">
      <c r="A1016" s="9" t="s">
        <v>2120</v>
      </c>
      <c r="B1016" s="9" t="str">
        <f t="shared" si="15"/>
        <v>CAR2021-3272|final</v>
      </c>
    </row>
    <row r="1017" spans="1:2" x14ac:dyDescent="0.25">
      <c r="A1017" s="9" t="s">
        <v>2121</v>
      </c>
      <c r="B1017" s="9" t="str">
        <f t="shared" si="15"/>
        <v>CAR2021-3280|final</v>
      </c>
    </row>
    <row r="1018" spans="1:2" x14ac:dyDescent="0.25">
      <c r="A1018" s="9" t="s">
        <v>2122</v>
      </c>
      <c r="B1018" s="9" t="str">
        <f t="shared" si="15"/>
        <v>CAR2021-3288|final</v>
      </c>
    </row>
    <row r="1019" spans="1:2" x14ac:dyDescent="0.25">
      <c r="A1019" s="9" t="s">
        <v>2123</v>
      </c>
      <c r="B1019" s="9" t="str">
        <f t="shared" si="15"/>
        <v>CAR2021-4290|final</v>
      </c>
    </row>
    <row r="1020" spans="1:2" x14ac:dyDescent="0.25">
      <c r="A1020" s="9" t="s">
        <v>2124</v>
      </c>
      <c r="B1020" s="9" t="str">
        <f t="shared" si="15"/>
        <v>CAR2021-3203|final</v>
      </c>
    </row>
    <row r="1021" spans="1:2" x14ac:dyDescent="0.25">
      <c r="A1021" s="9" t="s">
        <v>2125</v>
      </c>
      <c r="B1021" s="9" t="str">
        <f t="shared" si="15"/>
        <v>CAR2021-7013|final</v>
      </c>
    </row>
    <row r="1022" spans="1:2" x14ac:dyDescent="0.25">
      <c r="A1022" s="9" t="s">
        <v>2126</v>
      </c>
      <c r="B1022" s="9" t="str">
        <f t="shared" si="15"/>
        <v>CAR2021-4411|final</v>
      </c>
    </row>
    <row r="1023" spans="1:2" x14ac:dyDescent="0.25">
      <c r="A1023" s="9" t="s">
        <v>2127</v>
      </c>
      <c r="B1023" s="9" t="str">
        <f t="shared" si="15"/>
        <v>CAR2021-3686|final</v>
      </c>
    </row>
    <row r="1024" spans="1:2" x14ac:dyDescent="0.25">
      <c r="A1024" s="9" t="s">
        <v>2128</v>
      </c>
      <c r="B1024" s="9" t="str">
        <f t="shared" si="15"/>
        <v>CAR2021-3247|final</v>
      </c>
    </row>
    <row r="1025" spans="1:2" x14ac:dyDescent="0.25">
      <c r="A1025" s="9" t="s">
        <v>2129</v>
      </c>
      <c r="B1025" s="9" t="str">
        <f t="shared" ref="B1025:B1048" si="16">_xlfn.CONCAT(A1025,"|","final")</f>
        <v>COM2022-0143|final</v>
      </c>
    </row>
    <row r="1026" spans="1:2" x14ac:dyDescent="0.25">
      <c r="A1026" s="9" t="s">
        <v>2130</v>
      </c>
      <c r="B1026" s="9" t="str">
        <f t="shared" si="16"/>
        <v>PAR2022-0113|final</v>
      </c>
    </row>
    <row r="1027" spans="1:2" x14ac:dyDescent="0.25">
      <c r="A1027" s="9" t="s">
        <v>2131</v>
      </c>
      <c r="B1027" s="9" t="str">
        <f t="shared" si="16"/>
        <v>PAR2019-2711|final</v>
      </c>
    </row>
    <row r="1028" spans="1:2" x14ac:dyDescent="0.25">
      <c r="A1028" s="9" t="s">
        <v>2132</v>
      </c>
      <c r="B1028" s="9" t="str">
        <f t="shared" si="16"/>
        <v>CAR2021-4425|final</v>
      </c>
    </row>
    <row r="1029" spans="1:2" x14ac:dyDescent="0.25">
      <c r="A1029" s="9" t="s">
        <v>2133</v>
      </c>
      <c r="B1029" s="9" t="str">
        <f t="shared" si="16"/>
        <v>CAR2020-3285|final</v>
      </c>
    </row>
    <row r="1030" spans="1:2" x14ac:dyDescent="0.25">
      <c r="A1030" s="9" t="s">
        <v>2134</v>
      </c>
      <c r="B1030" s="9" t="str">
        <f t="shared" si="16"/>
        <v>CAR2021-5478|final</v>
      </c>
    </row>
    <row r="1031" spans="1:2" x14ac:dyDescent="0.25">
      <c r="A1031" s="9" t="s">
        <v>2135</v>
      </c>
      <c r="B1031" s="9" t="str">
        <f t="shared" si="16"/>
        <v>CAR2021-0431|final</v>
      </c>
    </row>
    <row r="1032" spans="1:2" x14ac:dyDescent="0.25">
      <c r="A1032" s="9" t="s">
        <v>2136</v>
      </c>
      <c r="B1032" s="9" t="str">
        <f t="shared" si="16"/>
        <v>CAR2019-3569|final</v>
      </c>
    </row>
    <row r="1033" spans="1:2" x14ac:dyDescent="0.25">
      <c r="A1033" s="9" t="s">
        <v>2137</v>
      </c>
      <c r="B1033" s="9" t="str">
        <f t="shared" si="16"/>
        <v>COM2020-2991|final</v>
      </c>
    </row>
    <row r="1034" spans="1:2" x14ac:dyDescent="0.25">
      <c r="A1034" s="9" t="s">
        <v>2138</v>
      </c>
      <c r="B1034" s="9" t="str">
        <f t="shared" si="16"/>
        <v>COM2021-1728|final</v>
      </c>
    </row>
    <row r="1035" spans="1:2" x14ac:dyDescent="0.25">
      <c r="A1035" s="9" t="s">
        <v>2139</v>
      </c>
      <c r="B1035" s="9" t="str">
        <f t="shared" si="16"/>
        <v>COM2021-2133|final</v>
      </c>
    </row>
    <row r="1036" spans="1:2" x14ac:dyDescent="0.25">
      <c r="A1036" s="9" t="s">
        <v>2140</v>
      </c>
      <c r="B1036" s="9" t="str">
        <f t="shared" si="16"/>
        <v>CAR2021-1082|final</v>
      </c>
    </row>
    <row r="1037" spans="1:2" x14ac:dyDescent="0.25">
      <c r="A1037" s="9" t="s">
        <v>2141</v>
      </c>
      <c r="B1037" s="9" t="str">
        <f t="shared" si="16"/>
        <v>CAR2022-0287|final</v>
      </c>
    </row>
    <row r="1038" spans="1:2" x14ac:dyDescent="0.25">
      <c r="A1038" s="9" t="s">
        <v>2142</v>
      </c>
      <c r="B1038" s="9" t="str">
        <f t="shared" si="16"/>
        <v>CAR2022-0289|final</v>
      </c>
    </row>
    <row r="1039" spans="1:2" x14ac:dyDescent="0.25">
      <c r="A1039" s="9" t="s">
        <v>2143</v>
      </c>
      <c r="B1039" s="9" t="str">
        <f t="shared" si="16"/>
        <v>CAR2022-0272|final</v>
      </c>
    </row>
    <row r="1040" spans="1:2" x14ac:dyDescent="0.25">
      <c r="A1040" s="9" t="s">
        <v>2144</v>
      </c>
      <c r="B1040" s="9" t="str">
        <f t="shared" si="16"/>
        <v>CAR2022-0254|final</v>
      </c>
    </row>
    <row r="1041" spans="1:2" x14ac:dyDescent="0.25">
      <c r="A1041" s="9" t="s">
        <v>2145</v>
      </c>
      <c r="B1041" s="9" t="str">
        <f t="shared" si="16"/>
        <v>CAR2022-0282|final</v>
      </c>
    </row>
    <row r="1042" spans="1:2" x14ac:dyDescent="0.25">
      <c r="A1042" s="9" t="s">
        <v>2146</v>
      </c>
      <c r="B1042" s="9" t="str">
        <f t="shared" si="16"/>
        <v>CAR2022-0299|final</v>
      </c>
    </row>
    <row r="1043" spans="1:2" x14ac:dyDescent="0.25">
      <c r="A1043" s="9" t="s">
        <v>2147</v>
      </c>
      <c r="B1043" s="9" t="str">
        <f t="shared" si="16"/>
        <v>CAR2021-7590|final</v>
      </c>
    </row>
    <row r="1044" spans="1:2" x14ac:dyDescent="0.25">
      <c r="A1044" s="9" t="s">
        <v>2148</v>
      </c>
      <c r="B1044" s="9" t="str">
        <f t="shared" si="16"/>
        <v>CAR2021-0081|final</v>
      </c>
    </row>
    <row r="1045" spans="1:2" x14ac:dyDescent="0.25">
      <c r="A1045" s="9" t="s">
        <v>2149</v>
      </c>
      <c r="B1045" s="9" t="str">
        <f t="shared" si="16"/>
        <v>CAR2021-2667|final</v>
      </c>
    </row>
    <row r="1046" spans="1:2" x14ac:dyDescent="0.25">
      <c r="A1046" s="9" t="s">
        <v>2150</v>
      </c>
      <c r="B1046" s="9" t="str">
        <f t="shared" si="16"/>
        <v>PAR2019-0518|final</v>
      </c>
    </row>
    <row r="1047" spans="1:2" x14ac:dyDescent="0.25">
      <c r="A1047" s="9" t="s">
        <v>2151</v>
      </c>
      <c r="B1047" s="9" t="str">
        <f t="shared" si="16"/>
        <v>PAR2018-2777|final</v>
      </c>
    </row>
    <row r="1048" spans="1:2" x14ac:dyDescent="0.25">
      <c r="A1048" s="10" t="s">
        <v>2152</v>
      </c>
      <c r="B1048" s="10" t="str">
        <f t="shared" si="16"/>
        <v>PAR2020-1765|final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2021-09-21T01:16:34Z</dcterms:created>
  <dcterms:modified xsi:type="dcterms:W3CDTF">2022-02-15T04:03:26Z</dcterms:modified>
</cp:coreProperties>
</file>
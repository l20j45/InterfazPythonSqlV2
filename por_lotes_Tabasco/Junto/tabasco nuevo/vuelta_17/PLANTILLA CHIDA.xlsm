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7\"/>
    </mc:Choice>
  </mc:AlternateContent>
  <xr:revisionPtr revIDLastSave="0" documentId="13_ncr:1_{1513110B-5AE2-4F3E-AF4D-722CBE8ABA3C}" xr6:coauthVersionLast="47" xr6:coauthVersionMax="47" xr10:uidLastSave="{00000000-0000-0000-0000-000000000000}"/>
  <bookViews>
    <workbookView xWindow="-120" yWindow="-120" windowWidth="24240" windowHeight="13290" xr2:uid="{C4629C50-221B-412B-BAA9-4276A71C39D7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X10" i="1" l="1"/>
  <c r="AX11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X30" i="1"/>
  <c r="AX31" i="1"/>
  <c r="AX32" i="1"/>
  <c r="AX33" i="1"/>
  <c r="AX34" i="1"/>
  <c r="AX35" i="1"/>
  <c r="AX36" i="1"/>
  <c r="AX37" i="1"/>
  <c r="AX38" i="1"/>
  <c r="AX39" i="1"/>
  <c r="AX40" i="1"/>
  <c r="AX41" i="1"/>
  <c r="AX42" i="1"/>
  <c r="AX43" i="1"/>
  <c r="AX44" i="1"/>
  <c r="AX45" i="1"/>
  <c r="AX46" i="1"/>
  <c r="AX47" i="1"/>
  <c r="AX48" i="1"/>
  <c r="AX49" i="1"/>
  <c r="AX50" i="1"/>
  <c r="AX51" i="1"/>
  <c r="AX52" i="1"/>
  <c r="AX53" i="1"/>
  <c r="AX54" i="1"/>
  <c r="AX55" i="1"/>
  <c r="AX56" i="1"/>
  <c r="AX57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75" i="1"/>
  <c r="AX76" i="1"/>
  <c r="AX77" i="1"/>
  <c r="AX78" i="1"/>
  <c r="AX79" i="1"/>
  <c r="AX80" i="1"/>
  <c r="AX81" i="1"/>
  <c r="CD13" i="1" a="1"/>
  <c r="CD25" i="1" a="1"/>
  <c r="CD37" i="1" a="1"/>
  <c r="CD45" i="1" a="1"/>
  <c r="CD57" i="1" a="1"/>
  <c r="CD65" i="1" a="1"/>
  <c r="CD73" i="1" a="1"/>
  <c r="CD81" i="1" a="1"/>
  <c r="CD74" i="1" a="1"/>
  <c r="CD14" i="1" a="1"/>
  <c r="CD30" i="1" a="1"/>
  <c r="CD38" i="1" a="1"/>
  <c r="CD46" i="1" a="1"/>
  <c r="CD54" i="1" a="1"/>
  <c r="CD62" i="1" a="1"/>
  <c r="CD78" i="1" a="1"/>
  <c r="CD10" i="1" a="1"/>
  <c r="CD18" i="1" a="1"/>
  <c r="CD22" i="1" a="1"/>
  <c r="CD26" i="1" a="1"/>
  <c r="CD34" i="1" a="1"/>
  <c r="CD42" i="1" a="1"/>
  <c r="CD50" i="1" a="1"/>
  <c r="CD58" i="1" a="1"/>
  <c r="CD70" i="1" a="1"/>
  <c r="CD11" i="1" a="1"/>
  <c r="CD19" i="1" a="1"/>
  <c r="CD23" i="1" a="1"/>
  <c r="CD27" i="1" a="1"/>
  <c r="CD35" i="1" a="1"/>
  <c r="CD43" i="1" a="1"/>
  <c r="CD47" i="1" a="1"/>
  <c r="CD55" i="1" a="1"/>
  <c r="CD63" i="1" a="1"/>
  <c r="CD71" i="1" a="1"/>
  <c r="CD75" i="1" a="1"/>
  <c r="CD76" i="1" a="1"/>
  <c r="CD15" i="1" a="1"/>
  <c r="CD31" i="1" a="1"/>
  <c r="CD39" i="1" a="1"/>
  <c r="CD51" i="1" a="1"/>
  <c r="CD59" i="1" a="1"/>
  <c r="CD67" i="1" a="1"/>
  <c r="CD79" i="1" a="1"/>
  <c r="CD16" i="1" a="1"/>
  <c r="CD32" i="1" a="1"/>
  <c r="CD40" i="1" a="1"/>
  <c r="CD48" i="1" a="1"/>
  <c r="CD56" i="1" a="1"/>
  <c r="CD64" i="1" a="1"/>
  <c r="CD68" i="1" a="1"/>
  <c r="CD80" i="1" a="1"/>
  <c r="CD12" i="1" a="1"/>
  <c r="CD20" i="1" a="1"/>
  <c r="CD24" i="1" a="1"/>
  <c r="CD28" i="1" a="1"/>
  <c r="CD36" i="1" a="1"/>
  <c r="CD44" i="1" a="1"/>
  <c r="CD52" i="1" a="1"/>
  <c r="CD60" i="1" a="1"/>
  <c r="CD72" i="1" a="1"/>
  <c r="CD9" i="1" a="1"/>
  <c r="CD17" i="1" a="1"/>
  <c r="CD21" i="1" a="1"/>
  <c r="CD29" i="1" a="1"/>
  <c r="CD33" i="1" a="1"/>
  <c r="CD41" i="1" a="1"/>
  <c r="CD49" i="1" a="1"/>
  <c r="CD53" i="1" a="1"/>
  <c r="CD61" i="1" a="1"/>
  <c r="CD69" i="1" a="1"/>
  <c r="CD77" i="1" a="1"/>
  <c r="CD66" i="1" a="1"/>
  <c r="CD66" i="1" l="1"/>
  <c r="CD77" i="1"/>
  <c r="CD69" i="1"/>
  <c r="CD61" i="1"/>
  <c r="CD53" i="1"/>
  <c r="CD49" i="1"/>
  <c r="CD41" i="1"/>
  <c r="CD33" i="1"/>
  <c r="CD29" i="1"/>
  <c r="CD21" i="1"/>
  <c r="CD17" i="1"/>
  <c r="CD9" i="1"/>
  <c r="CD72" i="1"/>
  <c r="CD60" i="1"/>
  <c r="CD52" i="1"/>
  <c r="CD44" i="1"/>
  <c r="CD36" i="1"/>
  <c r="CD28" i="1"/>
  <c r="CD24" i="1"/>
  <c r="CD20" i="1"/>
  <c r="CD12" i="1"/>
  <c r="CD80" i="1"/>
  <c r="CD68" i="1"/>
  <c r="CD64" i="1"/>
  <c r="CD56" i="1"/>
  <c r="CD48" i="1"/>
  <c r="CD40" i="1"/>
  <c r="CD32" i="1"/>
  <c r="CD16" i="1"/>
  <c r="CD79" i="1"/>
  <c r="CD67" i="1"/>
  <c r="CD59" i="1"/>
  <c r="CD51" i="1"/>
  <c r="CD39" i="1"/>
  <c r="CD31" i="1"/>
  <c r="CD15" i="1"/>
  <c r="CD76" i="1"/>
  <c r="CD75" i="1"/>
  <c r="CD71" i="1"/>
  <c r="CD63" i="1"/>
  <c r="CD55" i="1"/>
  <c r="CD47" i="1"/>
  <c r="CD43" i="1"/>
  <c r="CD35" i="1"/>
  <c r="CD27" i="1"/>
  <c r="CD23" i="1"/>
  <c r="CD19" i="1"/>
  <c r="CD11" i="1"/>
  <c r="CD70" i="1"/>
  <c r="CD58" i="1"/>
  <c r="CD50" i="1"/>
  <c r="CD42" i="1"/>
  <c r="CD34" i="1"/>
  <c r="CD26" i="1"/>
  <c r="CD22" i="1"/>
  <c r="CD18" i="1"/>
  <c r="CD10" i="1"/>
  <c r="CD78" i="1"/>
  <c r="CD62" i="1"/>
  <c r="CD54" i="1"/>
  <c r="CD46" i="1"/>
  <c r="CD38" i="1"/>
  <c r="CD30" i="1"/>
  <c r="CD14" i="1"/>
  <c r="CD74" i="1"/>
  <c r="CD81" i="1"/>
  <c r="CD73" i="1"/>
  <c r="CD65" i="1"/>
  <c r="CD57" i="1"/>
  <c r="CD45" i="1"/>
  <c r="CD37" i="1"/>
  <c r="CD25" i="1"/>
  <c r="CD13" i="1"/>
  <c r="B5" i="1"/>
  <c r="C5" i="1" s="1"/>
  <c r="D5" i="1" s="1"/>
  <c r="E5" i="1" s="1"/>
  <c r="F5" i="1" s="1"/>
  <c r="G5" i="1" s="1"/>
  <c r="H5" i="1" s="1"/>
  <c r="I5" i="1" s="1"/>
  <c r="J5" i="1" s="1"/>
  <c r="K5" i="1" s="1"/>
  <c r="L5" i="1" s="1"/>
  <c r="M5" i="1" s="1"/>
  <c r="N5" i="1" s="1"/>
  <c r="O5" i="1" s="1"/>
  <c r="P5" i="1" s="1"/>
  <c r="Q5" i="1" s="1"/>
  <c r="R5" i="1" s="1"/>
  <c r="Y5" i="1" s="1"/>
  <c r="Z5" i="1" s="1"/>
  <c r="AA5" i="1" s="1"/>
  <c r="AB5" i="1" s="1"/>
  <c r="AC5" i="1" s="1"/>
  <c r="AD5" i="1" s="1"/>
  <c r="AE5" i="1" s="1"/>
  <c r="AF5" i="1" s="1"/>
  <c r="AG5" i="1" s="1"/>
  <c r="AH5" i="1" s="1"/>
  <c r="AI5" i="1" s="1"/>
  <c r="AJ5" i="1" s="1"/>
  <c r="AK5" i="1" s="1"/>
  <c r="AL5" i="1" s="1"/>
  <c r="AM5" i="1" s="1"/>
  <c r="C2" i="1"/>
  <c r="CD6" i="1" a="1"/>
  <c r="CD8" i="1" a="1"/>
  <c r="CD7" i="1" a="1"/>
  <c r="CD7" i="1" l="1"/>
  <c r="CD8" i="1"/>
  <c r="CD6" i="1"/>
  <c r="D2" i="1"/>
  <c r="E2" i="1" s="1"/>
  <c r="F2" i="1" s="1"/>
  <c r="G2" i="1" s="1"/>
  <c r="H2" i="1" s="1"/>
  <c r="I2" i="1" s="1"/>
  <c r="J2" i="1" s="1"/>
  <c r="K2" i="1" s="1"/>
  <c r="L2" i="1" s="1"/>
  <c r="M2" i="1" s="1"/>
  <c r="N2" i="1" s="1"/>
  <c r="O2" i="1" s="1"/>
  <c r="P2" i="1" s="1"/>
  <c r="Q2" i="1" s="1"/>
  <c r="R2" i="1" s="1"/>
  <c r="S2" i="1" s="1"/>
  <c r="T2" i="1" s="1"/>
  <c r="U2" i="1" s="1"/>
  <c r="V2" i="1" s="1"/>
  <c r="W2" i="1" s="1"/>
  <c r="X2" i="1" s="1"/>
  <c r="Y2" i="1" s="1"/>
  <c r="Z2" i="1" s="1"/>
  <c r="AA2" i="1" s="1"/>
  <c r="AB2" i="1" s="1"/>
  <c r="AC2" i="1" s="1"/>
  <c r="AD2" i="1" s="1"/>
  <c r="AE2" i="1" s="1"/>
  <c r="AF2" i="1" s="1"/>
  <c r="AG2" i="1" s="1"/>
  <c r="AH2" i="1" s="1"/>
  <c r="AI2" i="1" s="1"/>
  <c r="AJ2" i="1" s="1"/>
  <c r="AK2" i="1" s="1"/>
  <c r="AL2" i="1" s="1"/>
  <c r="AM2" i="1" s="1"/>
  <c r="AN2" i="1" s="1"/>
  <c r="AO2" i="1" s="1"/>
  <c r="AP2" i="1" s="1"/>
  <c r="AQ2" i="1" s="1"/>
  <c r="AR2" i="1" s="1"/>
  <c r="AS2" i="1" s="1"/>
  <c r="AT2" i="1" s="1"/>
  <c r="AU2" i="1" s="1"/>
  <c r="AV2" i="1" s="1"/>
  <c r="AW2" i="1" s="1"/>
  <c r="AX2" i="1" s="1"/>
  <c r="AY2" i="1" s="1"/>
  <c r="AZ2" i="1" s="1"/>
  <c r="BA2" i="1" s="1"/>
  <c r="BB2" i="1" s="1"/>
  <c r="BC2" i="1" s="1"/>
  <c r="BD2" i="1" s="1"/>
  <c r="BE2" i="1" s="1"/>
  <c r="BF2" i="1" s="1"/>
  <c r="BG2" i="1" s="1"/>
  <c r="BH2" i="1" s="1"/>
  <c r="BI2" i="1" s="1"/>
  <c r="BJ2" i="1" s="1"/>
  <c r="BK2" i="1" s="1"/>
  <c r="BL2" i="1" s="1"/>
  <c r="BM2" i="1" s="1"/>
  <c r="BN2" i="1" s="1"/>
  <c r="BO2" i="1" s="1"/>
  <c r="BP2" i="1" s="1"/>
  <c r="BQ2" i="1" s="1"/>
  <c r="BR2" i="1" s="1"/>
  <c r="BS2" i="1" s="1"/>
  <c r="BT2" i="1" s="1"/>
  <c r="BU2" i="1" s="1"/>
  <c r="BV2" i="1" s="1"/>
  <c r="BW2" i="1" s="1"/>
  <c r="BX2" i="1" s="1"/>
  <c r="BY2" i="1" s="1"/>
  <c r="BZ2" i="1" s="1"/>
  <c r="CA2" i="1" s="1"/>
  <c r="AN5" i="1"/>
  <c r="AO5" i="1" s="1"/>
  <c r="AP5" i="1" s="1"/>
  <c r="AQ5" i="1" s="1"/>
  <c r="AR5" i="1" s="1"/>
  <c r="AS5" i="1" s="1"/>
  <c r="AT5" i="1" s="1"/>
  <c r="AU5" i="1" s="1"/>
  <c r="AV5" i="1" s="1"/>
  <c r="AW5" i="1" s="1"/>
  <c r="AX5" i="1" s="1"/>
  <c r="AY5" i="1" s="1"/>
  <c r="AZ5" i="1" s="1"/>
  <c r="BA5" i="1" s="1"/>
  <c r="BB5" i="1" s="1"/>
  <c r="BC5" i="1" s="1"/>
  <c r="BD5" i="1" s="1"/>
  <c r="BE5" i="1" s="1"/>
  <c r="BF5" i="1" s="1"/>
  <c r="BG5" i="1" s="1"/>
  <c r="BH5" i="1" s="1"/>
  <c r="BI5" i="1" s="1"/>
  <c r="BJ5" i="1" s="1"/>
  <c r="BK5" i="1" s="1"/>
  <c r="BL5" i="1" s="1"/>
  <c r="BM5" i="1" s="1"/>
  <c r="BN5" i="1" s="1"/>
  <c r="BO5" i="1" s="1"/>
  <c r="BP5" i="1" s="1"/>
  <c r="BQ5" i="1" s="1"/>
  <c r="BR5" i="1" s="1"/>
  <c r="BS5" i="1" s="1"/>
  <c r="BT5" i="1" s="1"/>
  <c r="BU5" i="1" s="1"/>
  <c r="BV5" i="1" s="1"/>
  <c r="BW5" i="1" s="1"/>
  <c r="BX5" i="1" s="1"/>
  <c r="BY5" i="1" s="1"/>
  <c r="BZ5" i="1" s="1"/>
  <c r="CA5" i="1" s="1"/>
  <c r="CD1" i="1" a="1"/>
  <c r="CD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<sst xmlns="http://schemas.openxmlformats.org/spreadsheetml/2006/main" count="2442" uniqueCount="687">
  <si>
    <t>CARDENAS</t>
  </si>
  <si>
    <t>X</t>
  </si>
  <si>
    <t>LUNES</t>
  </si>
  <si>
    <t>x</t>
  </si>
  <si>
    <t>SOLTERO</t>
  </si>
  <si>
    <t>CENTRO</t>
  </si>
  <si>
    <t>CASADO</t>
  </si>
  <si>
    <t>LOPEZ</t>
  </si>
  <si>
    <t>GOMEZ</t>
  </si>
  <si>
    <t>ROBERTO</t>
  </si>
  <si>
    <t xml:space="preserve">CARDENAS </t>
  </si>
  <si>
    <t xml:space="preserve">DOMICILIO </t>
  </si>
  <si>
    <t xml:space="preserve">TABASCO </t>
  </si>
  <si>
    <t>GUTIERREZ</t>
  </si>
  <si>
    <t xml:space="preserve">ECONOLINE </t>
  </si>
  <si>
    <t xml:space="preserve">PEREZ </t>
  </si>
  <si>
    <t>cadenaEs[ecial</t>
  </si>
  <si>
    <t>Folio del contrato</t>
  </si>
  <si>
    <t>Estatus</t>
  </si>
  <si>
    <t>Paquete</t>
  </si>
  <si>
    <t>Estado</t>
  </si>
  <si>
    <t>Municipio</t>
  </si>
  <si>
    <t>Localidad</t>
  </si>
  <si>
    <t>Fecha de inscripcion</t>
  </si>
  <si>
    <t>precio del paquete</t>
  </si>
  <si>
    <t>promocion</t>
  </si>
  <si>
    <t>pago_inicial</t>
  </si>
  <si>
    <t>Abonos_de</t>
  </si>
  <si>
    <t>Plan_de_Pago</t>
  </si>
  <si>
    <t>limite_asignado</t>
  </si>
  <si>
    <t>Funeraria_Procedencia</t>
  </si>
  <si>
    <t>archivo_adjunto</t>
  </si>
  <si>
    <t>Nombre del Vendedor</t>
  </si>
  <si>
    <t>Comision_Vendedor</t>
  </si>
  <si>
    <t>comision de vendedor pagada</t>
  </si>
  <si>
    <t>Comision_Lider</t>
  </si>
  <si>
    <t>comision de lider  pagada</t>
  </si>
  <si>
    <t>Comision_Gerente</t>
  </si>
  <si>
    <t>comision de gerente pagada</t>
  </si>
  <si>
    <t>Bono</t>
  </si>
  <si>
    <t>Bono_Asignado</t>
  </si>
  <si>
    <t>Inscripcion</t>
  </si>
  <si>
    <t>Inscripcion_Asignado</t>
  </si>
  <si>
    <t>Apellido_Paterno</t>
  </si>
  <si>
    <t>Apellido_Materno</t>
  </si>
  <si>
    <t>Nombre</t>
  </si>
  <si>
    <t>Estado_Civil</t>
  </si>
  <si>
    <t>Nacimiento del cliente</t>
  </si>
  <si>
    <t>IFE</t>
  </si>
  <si>
    <t>Domicilio</t>
  </si>
  <si>
    <t>Colonia</t>
  </si>
  <si>
    <t>Entre_Calles</t>
  </si>
  <si>
    <t>Telefono</t>
  </si>
  <si>
    <t>Beneficiario</t>
  </si>
  <si>
    <t>Observaciones</t>
  </si>
  <si>
    <t>archivo_contrato</t>
  </si>
  <si>
    <t>Domicilio2</t>
  </si>
  <si>
    <t>Correo</t>
  </si>
  <si>
    <t>dia_cobro</t>
  </si>
  <si>
    <t>firma1</t>
  </si>
  <si>
    <t>firma2</t>
  </si>
  <si>
    <t>plazo_entrega</t>
  </si>
  <si>
    <t>latitud</t>
  </si>
  <si>
    <t>longitud</t>
  </si>
  <si>
    <t>Tipo_Cobranza</t>
  </si>
  <si>
    <t>Monto_Liquidado a la fecha</t>
  </si>
  <si>
    <t>Saldo_Deudor</t>
  </si>
  <si>
    <t>horario_cobro</t>
  </si>
  <si>
    <t>Estado_Cobro</t>
  </si>
  <si>
    <t>Retrasos dias retrasados</t>
  </si>
  <si>
    <t>ultimo_pago</t>
  </si>
  <si>
    <t>pago_programado</t>
  </si>
  <si>
    <t>fecha_entrega</t>
  </si>
  <si>
    <t>idgrupo</t>
  </si>
  <si>
    <t>idvendedor</t>
  </si>
  <si>
    <t>idlider</t>
  </si>
  <si>
    <t>idgerente</t>
  </si>
  <si>
    <t>Colonia de cobranza</t>
  </si>
  <si>
    <t>edad</t>
  </si>
  <si>
    <t>genero</t>
  </si>
  <si>
    <t>hora_calle</t>
  </si>
  <si>
    <t>precio_paquete</t>
  </si>
  <si>
    <t>NumeroServicio</t>
  </si>
  <si>
    <t>NumeroFactura</t>
  </si>
  <si>
    <t>NumeroTitulo</t>
  </si>
  <si>
    <t>Fecha_Cancelacion</t>
  </si>
  <si>
    <t>Fecha_Pagado</t>
  </si>
  <si>
    <t>Fecha_Utilizado</t>
  </si>
  <si>
    <t>idpaquete_kit</t>
  </si>
  <si>
    <t>deleted</t>
  </si>
  <si>
    <t>idsucursal</t>
  </si>
  <si>
    <t>pagos</t>
  </si>
  <si>
    <t>tipo_comision_vendedor</t>
  </si>
  <si>
    <t>tipo_comision_lider</t>
  </si>
  <si>
    <t>tipo_comision_gerente</t>
  </si>
  <si>
    <t>final</t>
  </si>
  <si>
    <t>idcontrato_individual</t>
  </si>
  <si>
    <t>Folio</t>
  </si>
  <si>
    <t>Fecha</t>
  </si>
  <si>
    <t>precio</t>
  </si>
  <si>
    <t>idusuario</t>
  </si>
  <si>
    <t>Nacimiento</t>
  </si>
  <si>
    <t>Monto_Liquidado</t>
  </si>
  <si>
    <t>Retrasos</t>
  </si>
  <si>
    <t>idcolonia</t>
  </si>
  <si>
    <t>A2002</t>
  </si>
  <si>
    <t>BELGICA</t>
  </si>
  <si>
    <t>JALISCO</t>
  </si>
  <si>
    <t>AMATITAN</t>
  </si>
  <si>
    <t>MARIA ELISA</t>
  </si>
  <si>
    <t>0000-00-00</t>
  </si>
  <si>
    <t>XX</t>
  </si>
  <si>
    <t>HIDALGO # 189</t>
  </si>
  <si>
    <t>LOPEZ MATEOS Y JUAN JOSE FLORES</t>
  </si>
  <si>
    <t xml:space="preserve">MARIA ELISA GOMEZ GUTIERREZ
</t>
  </si>
  <si>
    <t>contratos_registrados/Individual_A2002.docx</t>
  </si>
  <si>
    <t>sin archivo</t>
  </si>
  <si>
    <t>2021-9-7</t>
  </si>
  <si>
    <t>2021-9-27</t>
  </si>
  <si>
    <t xml:space="preserve">ORIENTE PRIMERA SECCION </t>
  </si>
  <si>
    <t xml:space="preserve">COMALCALCO </t>
  </si>
  <si>
    <t xml:space="preserve">IMPERIAL DE LUJO </t>
  </si>
  <si>
    <t xml:space="preserve">LUNES </t>
  </si>
  <si>
    <t xml:space="preserve">LUIS ROBERTO </t>
  </si>
  <si>
    <t xml:space="preserve">CUNDUACAN </t>
  </si>
  <si>
    <t xml:space="preserve">ROMERO </t>
  </si>
  <si>
    <t>sXd3zoQceyNtFnn2</t>
  </si>
  <si>
    <t>COM2019-2501</t>
  </si>
  <si>
    <t>2019-9-3</t>
  </si>
  <si>
    <t xml:space="preserve">CALLEJON DOÑA BENITA SIN NUMERO </t>
  </si>
  <si>
    <t xml:space="preserve">RUTA 4 L </t>
  </si>
  <si>
    <t xml:space="preserve">HOMBRE </t>
  </si>
  <si>
    <t>HOMBRE</t>
  </si>
  <si>
    <t>2021-10-4</t>
  </si>
  <si>
    <t>2020-12-5</t>
  </si>
  <si>
    <t xml:space="preserve">HUIMANGO SEGUNDA SECCION LA MONA </t>
  </si>
  <si>
    <t>094HQJPFKmzvG5Yx</t>
  </si>
  <si>
    <t>CAR 2020-5204</t>
  </si>
  <si>
    <t xml:space="preserve">CUANDUACAN </t>
  </si>
  <si>
    <t>CORTOZA</t>
  </si>
  <si>
    <t>CARRETERA A BENITO JUAREZ</t>
  </si>
  <si>
    <t xml:space="preserve">MARIA DEL ROSARIO CORTAZA GARCIA </t>
  </si>
  <si>
    <t xml:space="preserve">BENEFICIARIO 2: MARISOL CORTAZA GARCIA </t>
  </si>
  <si>
    <t>NL2E7OEHPWYUH7Y</t>
  </si>
  <si>
    <t>8YIzTnSyWRdJR5lB</t>
  </si>
  <si>
    <t>VC3sAyEhMG0n2JZK</t>
  </si>
  <si>
    <t>G1VnGDJEARBuSjoq</t>
  </si>
  <si>
    <t>PM9ZsfciZLGr1ZJW</t>
  </si>
  <si>
    <t>G29HyzlACOAYy7QH</t>
  </si>
  <si>
    <t>ODxUpyF4cGhxivOk</t>
  </si>
  <si>
    <t>wMLXjkhE72Lfmdst</t>
  </si>
  <si>
    <t>ZDvjSe4kCW1c3ghW</t>
  </si>
  <si>
    <t>0oGL2ktgNlBdQ0oz</t>
  </si>
  <si>
    <t>2gtBv38vmQMeU6VC</t>
  </si>
  <si>
    <t>TljI6GixdM8jB5HS</t>
  </si>
  <si>
    <t>UjdwmDG5UuZwzkKT</t>
  </si>
  <si>
    <t>fVAvmeRDX4lmrB6r</t>
  </si>
  <si>
    <t>uR500BjuRRbbBS2g</t>
  </si>
  <si>
    <t>iwMPsYKyN8oxyy6G</t>
  </si>
  <si>
    <t>hByDuG1IHE0WHbss</t>
  </si>
  <si>
    <t>JBMB0OY3YakvM5WP</t>
  </si>
  <si>
    <t>eQYSgnxZ2ghzrWeS</t>
  </si>
  <si>
    <t>CNRxx2gNndJOjUrP</t>
  </si>
  <si>
    <t>Pkndt5T1LN9u1fqH</t>
  </si>
  <si>
    <t>2chHVTJ5QBkz4yzq</t>
  </si>
  <si>
    <t>SuQ2pHOFFrzxKzw9</t>
  </si>
  <si>
    <t>Xw1qbAsl65qUURit</t>
  </si>
  <si>
    <t>DnOp0yE74DTxlbUK</t>
  </si>
  <si>
    <t>k4OcQbicQNuMA8km</t>
  </si>
  <si>
    <t>uDrOCGtjeUL4jMji</t>
  </si>
  <si>
    <t>FsMxrTZhL9ftykbw</t>
  </si>
  <si>
    <t>OYyxgmsCDpjHc0D0</t>
  </si>
  <si>
    <t>PGFuqz04lhzDERH4</t>
  </si>
  <si>
    <t>MPuFcR3jbIwuDWqT</t>
  </si>
  <si>
    <t>a6KoKUvia5XRw1mD</t>
  </si>
  <si>
    <t>IoSDDf1scxMFd2tv</t>
  </si>
  <si>
    <t>40JHlPrRU0phC7T9</t>
  </si>
  <si>
    <t>oxw1S7v96bDAQqNB</t>
  </si>
  <si>
    <t>hRaCTqDOl2yC52Ci</t>
  </si>
  <si>
    <t>GyyYOZyB73pfKEKi</t>
  </si>
  <si>
    <t>gcHyt9PLtJ7WFuRA</t>
  </si>
  <si>
    <t>eXLn2RO9arxcdfLA</t>
  </si>
  <si>
    <t>IU1ROUE4LetaGxdN</t>
  </si>
  <si>
    <t>Efo1M7JI5Tm0Tzvt</t>
  </si>
  <si>
    <t>ym03gr1oWd4Y2jcQ</t>
  </si>
  <si>
    <t>cwG86DQs8orKsz1T</t>
  </si>
  <si>
    <t>Q0816qKqdGGPt1UQ</t>
  </si>
  <si>
    <t>DA01BJMIKTg8dy9i</t>
  </si>
  <si>
    <t>dH8BhqEBbmOhedb0</t>
  </si>
  <si>
    <t>7LrjmSJdmAWupjZI</t>
  </si>
  <si>
    <t>yx5lQvpGI7MNwU32</t>
  </si>
  <si>
    <t>FlO6DLDSExO6c3I0</t>
  </si>
  <si>
    <t>74aQD2aNRxS81DzO</t>
  </si>
  <si>
    <t>jBrjbgWUweJQG1BD</t>
  </si>
  <si>
    <t>BgozABw6t1Ws3OhU</t>
  </si>
  <si>
    <t>FFUy27cPc9PgkL3k</t>
  </si>
  <si>
    <t>QLIbCWIxMmwWpXvV</t>
  </si>
  <si>
    <t>jdTYcjcQLxRJMbUg</t>
  </si>
  <si>
    <t>niTkIxBVRWICaO42</t>
  </si>
  <si>
    <t>PkmxlxFk1MPkCU3m</t>
  </si>
  <si>
    <t>ezYLBnGlmuKnUGla</t>
  </si>
  <si>
    <t>j2heG2gfCEaDoZqu</t>
  </si>
  <si>
    <t>RZIR1yNHdUfMJp7f</t>
  </si>
  <si>
    <t>4BK4JWmySPEdyqEe</t>
  </si>
  <si>
    <t>Kvp7ZN1OObiXlltV</t>
  </si>
  <si>
    <t>qlvANvvleDSpeP74</t>
  </si>
  <si>
    <t>Vi2MlaaNfkT7btRb</t>
  </si>
  <si>
    <t>GY3sgbHezJqDqDXY</t>
  </si>
  <si>
    <t>JPt4XJs6JjLrv4PG</t>
  </si>
  <si>
    <t>1I1PvzmyHcY5p2Lv</t>
  </si>
  <si>
    <t>y8UtkHzbYhjvbrzn</t>
  </si>
  <si>
    <t>vTmwn4DO9MiUDrSs</t>
  </si>
  <si>
    <t>SbneiycoiKNOoHSc</t>
  </si>
  <si>
    <t>6tif1M2U6Z7NysvW</t>
  </si>
  <si>
    <t>lcHCMfWOqmcqIfY7</t>
  </si>
  <si>
    <t>mAeGwWlzuaWneSzF</t>
  </si>
  <si>
    <t>CAR2020-2043</t>
  </si>
  <si>
    <t>CAR2020-2477</t>
  </si>
  <si>
    <t>CAR2021-6668</t>
  </si>
  <si>
    <t>CAR2018-1490</t>
  </si>
  <si>
    <t>CAR2018-1463</t>
  </si>
  <si>
    <t>CAR2019-0290</t>
  </si>
  <si>
    <t>CAR2021-1022</t>
  </si>
  <si>
    <t>CAR2021-6428</t>
  </si>
  <si>
    <t>CAR2020-3638</t>
  </si>
  <si>
    <t>CAR2021-6888</t>
  </si>
  <si>
    <t>CAR2021-6216</t>
  </si>
  <si>
    <t>CAR2021-5832</t>
  </si>
  <si>
    <t>CAR2021-6217</t>
  </si>
  <si>
    <t>CAR2021-6475</t>
  </si>
  <si>
    <t>CAR2021-6406</t>
  </si>
  <si>
    <t>CAR2021-4486</t>
  </si>
  <si>
    <t>CAR2020-5221</t>
  </si>
  <si>
    <t>CAR2021-1202</t>
  </si>
  <si>
    <t>CAR2020-4626</t>
  </si>
  <si>
    <t>CAR2020-0093</t>
  </si>
  <si>
    <t>CAR2020-0434</t>
  </si>
  <si>
    <t>CAR2018-2075</t>
  </si>
  <si>
    <t>CAR2018-2076</t>
  </si>
  <si>
    <t>CAR2021-1267</t>
  </si>
  <si>
    <t>CAR2017-2548</t>
  </si>
  <si>
    <t>CAR2021-1815</t>
  </si>
  <si>
    <t>CAR2017-2432</t>
  </si>
  <si>
    <t>CAR2019-1902</t>
  </si>
  <si>
    <t>CAR2016-2207</t>
  </si>
  <si>
    <t>CAR2017-2727</t>
  </si>
  <si>
    <t>COM2021-2593</t>
  </si>
  <si>
    <t>PAR2020-1562</t>
  </si>
  <si>
    <t>PAR2019-2572</t>
  </si>
  <si>
    <t>PAR2018-0310</t>
  </si>
  <si>
    <t>PAR2018-0311</t>
  </si>
  <si>
    <t>PAR2022-0316</t>
  </si>
  <si>
    <t>PAR2022-0313</t>
  </si>
  <si>
    <t>PAR2022-0134</t>
  </si>
  <si>
    <t>CAR2021-7655</t>
  </si>
  <si>
    <t>CAR2021-7036</t>
  </si>
  <si>
    <t>CAR2021-5662</t>
  </si>
  <si>
    <t>CAR2020-5059</t>
  </si>
  <si>
    <t>CAR2016-1702</t>
  </si>
  <si>
    <t>CAR2019-0022</t>
  </si>
  <si>
    <t>CAR2020-5423</t>
  </si>
  <si>
    <t>CAR2021-0069</t>
  </si>
  <si>
    <t>CAR2020-5069</t>
  </si>
  <si>
    <t>CAR2020-5297</t>
  </si>
  <si>
    <t>CAR2020-5060</t>
  </si>
  <si>
    <t>CAR2021-6012</t>
  </si>
  <si>
    <t>CAR2021-6669</t>
  </si>
  <si>
    <t>CAR2020-0411</t>
  </si>
  <si>
    <t>CAR2020-5099</t>
  </si>
  <si>
    <t>CAR2018-2729</t>
  </si>
  <si>
    <t>CAR2017-3188</t>
  </si>
  <si>
    <t>CAR2017-3603</t>
  </si>
  <si>
    <t>CAR2019-3777</t>
  </si>
  <si>
    <t>CAR2019-3562</t>
  </si>
  <si>
    <t>COM2021-3326</t>
  </si>
  <si>
    <t>COM2021-3161</t>
  </si>
  <si>
    <t>CAR2019-1113</t>
  </si>
  <si>
    <t>CAR2019-1013</t>
  </si>
  <si>
    <t>CAR2021-7597</t>
  </si>
  <si>
    <t>CAR2019-1189</t>
  </si>
  <si>
    <t>CAR2019-3177</t>
  </si>
  <si>
    <t>CAR2019-1104</t>
  </si>
  <si>
    <t>CAR2019-0629-1</t>
  </si>
  <si>
    <t>CAR2019-0877</t>
  </si>
  <si>
    <t>CAR2019-1559</t>
  </si>
  <si>
    <t>CAR2019-0006</t>
  </si>
  <si>
    <t>CAR2019-1182</t>
  </si>
  <si>
    <t>CAR2019-0469</t>
  </si>
  <si>
    <t>IMPERIAL DEL LUJO</t>
  </si>
  <si>
    <t>MEMORIAL</t>
  </si>
  <si>
    <t>ECONOLINE</t>
  </si>
  <si>
    <t>ZAFIRO</t>
  </si>
  <si>
    <t>DIGNITY</t>
  </si>
  <si>
    <t>IMPEIAL DE LUJO</t>
  </si>
  <si>
    <t>TABASCO</t>
  </si>
  <si>
    <t>CUNDUACAN</t>
  </si>
  <si>
    <t>COMALCALCO</t>
  </si>
  <si>
    <t>PARAISO</t>
  </si>
  <si>
    <t>2020-07-30</t>
  </si>
  <si>
    <t>2020-08-17</t>
  </si>
  <si>
    <t>2021-05-11</t>
  </si>
  <si>
    <t>2018-09-28</t>
  </si>
  <si>
    <t>2018-08-21</t>
  </si>
  <si>
    <t>2019-08-02</t>
  </si>
  <si>
    <t>2021-03-17</t>
  </si>
  <si>
    <t>2021-10-25</t>
  </si>
  <si>
    <t>2020-03-10</t>
  </si>
  <si>
    <t>2021-11-13</t>
  </si>
  <si>
    <t>2021-10-16</t>
  </si>
  <si>
    <t>2021-04-10</t>
  </si>
  <si>
    <t>2021-10-28</t>
  </si>
  <si>
    <t>2021-10-22</t>
  </si>
  <si>
    <t>2021-12-08</t>
  </si>
  <si>
    <t>2020-09-12</t>
  </si>
  <si>
    <t>2021-01-04</t>
  </si>
  <si>
    <t>2020-11-11</t>
  </si>
  <si>
    <t>2020-01-17</t>
  </si>
  <si>
    <t>2020-10-02</t>
  </si>
  <si>
    <t>2018-09-10</t>
  </si>
  <si>
    <t>2021-12-04</t>
  </si>
  <si>
    <t>2017-12-22</t>
  </si>
  <si>
    <t>2021-01-05</t>
  </si>
  <si>
    <t>2017-11-13</t>
  </si>
  <si>
    <t>2019-07-16</t>
  </si>
  <si>
    <t>2016-11-18</t>
  </si>
  <si>
    <t>2017-02-28</t>
  </si>
  <si>
    <t>2021-08-16</t>
  </si>
  <si>
    <t>2021-03-20</t>
  </si>
  <si>
    <t>2018-03-16</t>
  </si>
  <si>
    <t>2022-01-25</t>
  </si>
  <si>
    <t>2022-10-01</t>
  </si>
  <si>
    <t>2021-12-23</t>
  </si>
  <si>
    <t>2021-11-18</t>
  </si>
  <si>
    <t>2021-09-28</t>
  </si>
  <si>
    <t>2020-03-12</t>
  </si>
  <si>
    <t>2016-02-25</t>
  </si>
  <si>
    <t>2019-07-01</t>
  </si>
  <si>
    <t>2020-12-15</t>
  </si>
  <si>
    <t>2021-01-15</t>
  </si>
  <si>
    <t>2020-04-12</t>
  </si>
  <si>
    <t>2020-12-12</t>
  </si>
  <si>
    <t>2021-08-10</t>
  </si>
  <si>
    <t>2020-05-02</t>
  </si>
  <si>
    <t>2020-06-12</t>
  </si>
  <si>
    <t>2018-03-26</t>
  </si>
  <si>
    <t>2017-11-05</t>
  </si>
  <si>
    <t>2017-04-07</t>
  </si>
  <si>
    <t>2019-12-28</t>
  </si>
  <si>
    <t>2021-02-09</t>
  </si>
  <si>
    <t>2021-10-20</t>
  </si>
  <si>
    <t>2021-07-10</t>
  </si>
  <si>
    <t>2019-01-11</t>
  </si>
  <si>
    <t>2019-11-09</t>
  </si>
  <si>
    <t>2021-12-16</t>
  </si>
  <si>
    <t>2019-05-13</t>
  </si>
  <si>
    <t>2019-10-24</t>
  </si>
  <si>
    <t>2019-09-30</t>
  </si>
  <si>
    <t>2019-02-28</t>
  </si>
  <si>
    <t>2021-03-04</t>
  </si>
  <si>
    <t>2019-06-14</t>
  </si>
  <si>
    <t>2019-03-01</t>
  </si>
  <si>
    <t>2019-02-19</t>
  </si>
  <si>
    <t>ARSIA</t>
  </si>
  <si>
    <t>DE LA CRUZ</t>
  </si>
  <si>
    <t>CARMEN</t>
  </si>
  <si>
    <t>JIMENEZ</t>
  </si>
  <si>
    <t>DOMINGUEZ</t>
  </si>
  <si>
    <t>CORDOVA</t>
  </si>
  <si>
    <t>GARCIA</t>
  </si>
  <si>
    <t>BENITO</t>
  </si>
  <si>
    <t>MARTINEZ</t>
  </si>
  <si>
    <t>DIAZ</t>
  </si>
  <si>
    <t>ENRIQUETA</t>
  </si>
  <si>
    <t>ARELLANO</t>
  </si>
  <si>
    <t/>
  </si>
  <si>
    <t>JORGE</t>
  </si>
  <si>
    <t>GERONIMO</t>
  </si>
  <si>
    <t>NELLY</t>
  </si>
  <si>
    <t>URIBE</t>
  </si>
  <si>
    <t>GLADYS</t>
  </si>
  <si>
    <t>SANCHEZ</t>
  </si>
  <si>
    <t>MOISES EDUARDO</t>
  </si>
  <si>
    <t>CRUZ</t>
  </si>
  <si>
    <t>LUNA</t>
  </si>
  <si>
    <t>CARINA</t>
  </si>
  <si>
    <t>MONTIEL</t>
  </si>
  <si>
    <t>PEREZ</t>
  </si>
  <si>
    <t>JESUS FABIAN</t>
  </si>
  <si>
    <t>SALVADOR</t>
  </si>
  <si>
    <t>RODRIGUEZ</t>
  </si>
  <si>
    <t>SALUSTRIANO</t>
  </si>
  <si>
    <t>TORRES</t>
  </si>
  <si>
    <t>ERNAN</t>
  </si>
  <si>
    <t>LEYVA</t>
  </si>
  <si>
    <t>ETELVINA</t>
  </si>
  <si>
    <t>DE DIOS</t>
  </si>
  <si>
    <t>ANDRES</t>
  </si>
  <si>
    <t>REYES</t>
  </si>
  <si>
    <t>BAUTISTA</t>
  </si>
  <si>
    <t>NOE</t>
  </si>
  <si>
    <t>MAGDIEL JIMENEZ</t>
  </si>
  <si>
    <t>CHABLE</t>
  </si>
  <si>
    <t>HERNANDEZ</t>
  </si>
  <si>
    <t>LUCIA</t>
  </si>
  <si>
    <t>DE LA FUENTE</t>
  </si>
  <si>
    <t>DE LOS SANTOS</t>
  </si>
  <si>
    <t>FRANCO</t>
  </si>
  <si>
    <t>ELIZABETH</t>
  </si>
  <si>
    <t>MONTEJO</t>
  </si>
  <si>
    <t>GLORIA</t>
  </si>
  <si>
    <t>V</t>
  </si>
  <si>
    <t>PORFIRIO</t>
  </si>
  <si>
    <t>MORALES</t>
  </si>
  <si>
    <t>ALMA ROSA</t>
  </si>
  <si>
    <t>RAMIREZ</t>
  </si>
  <si>
    <t>YULIANA</t>
  </si>
  <si>
    <t>MANUELA</t>
  </si>
  <si>
    <t>VAZCONCELOS</t>
  </si>
  <si>
    <t>FERNANDO</t>
  </si>
  <si>
    <t>RUIZ</t>
  </si>
  <si>
    <t>OCHOA</t>
  </si>
  <si>
    <t>LILIA</t>
  </si>
  <si>
    <t>ORTIZ</t>
  </si>
  <si>
    <t>CARLOS MARIO</t>
  </si>
  <si>
    <t>ESTRADA</t>
  </si>
  <si>
    <t>FLOR ALHELI</t>
  </si>
  <si>
    <t>YOLANDA</t>
  </si>
  <si>
    <t>EDELMIRA</t>
  </si>
  <si>
    <t>PEDRO</t>
  </si>
  <si>
    <t>MENDOZA</t>
  </si>
  <si>
    <t>VICENTE</t>
  </si>
  <si>
    <t>MARIA DOLORES</t>
  </si>
  <si>
    <t>TRINIDAD</t>
  </si>
  <si>
    <t>OVANDO</t>
  </si>
  <si>
    <t>MARIO HUMBERTO</t>
  </si>
  <si>
    <t>ARAUJO</t>
  </si>
  <si>
    <t>RONULTO</t>
  </si>
  <si>
    <t>CLEMENTE</t>
  </si>
  <si>
    <t>ARMANDO</t>
  </si>
  <si>
    <t>LANDERO</t>
  </si>
  <si>
    <t>SEBASTIAN</t>
  </si>
  <si>
    <t>CABALLERO</t>
  </si>
  <si>
    <t>EDILBERTO</t>
  </si>
  <si>
    <t>GRISELDA</t>
  </si>
  <si>
    <t>LEZAMA</t>
  </si>
  <si>
    <t>DE LA TORRE</t>
  </si>
  <si>
    <t>LUZ MARIA</t>
  </si>
  <si>
    <t>PANTASY</t>
  </si>
  <si>
    <t>GERALDINE</t>
  </si>
  <si>
    <t>JUAN JOSE</t>
  </si>
  <si>
    <t>OLAN</t>
  </si>
  <si>
    <t>CLEMENCIA</t>
  </si>
  <si>
    <t>RIOS</t>
  </si>
  <si>
    <t>VALERIA</t>
  </si>
  <si>
    <t>CASANOVA</t>
  </si>
  <si>
    <t>MARIA DEL CARMEN</t>
  </si>
  <si>
    <t>ROMAN</t>
  </si>
  <si>
    <t>IRLANDA JANET</t>
  </si>
  <si>
    <t>BEATRIZ ADRIANA</t>
  </si>
  <si>
    <t>CASTAÃ‘EDA</t>
  </si>
  <si>
    <t>OLIVA</t>
  </si>
  <si>
    <t>ARACELY</t>
  </si>
  <si>
    <t>NARANJO</t>
  </si>
  <si>
    <t>IZQUIERDO</t>
  </si>
  <si>
    <t>OMAR</t>
  </si>
  <si>
    <t>LUCIO REY</t>
  </si>
  <si>
    <t>ARIAS</t>
  </si>
  <si>
    <t>GONZALEZ</t>
  </si>
  <si>
    <t>VICTOR ALEJANDRO</t>
  </si>
  <si>
    <t>C</t>
  </si>
  <si>
    <t>FLOR DE LIZ</t>
  </si>
  <si>
    <t>OCAÃ‘A</t>
  </si>
  <si>
    <t>ANGEL</t>
  </si>
  <si>
    <t>MARIN</t>
  </si>
  <si>
    <t>MARIA DE LOS ANGELES</t>
  </si>
  <si>
    <t>CANDELARIA</t>
  </si>
  <si>
    <t>IRMA</t>
  </si>
  <si>
    <t>AREVALOS</t>
  </si>
  <si>
    <t>AMADILDA</t>
  </si>
  <si>
    <t>JUAN CARLOS</t>
  </si>
  <si>
    <t>MAGAÃ‘A</t>
  </si>
  <si>
    <t>MIGUEL ANGEL</t>
  </si>
  <si>
    <t>ZAPATA</t>
  </si>
  <si>
    <t>BERTHA LILA</t>
  </si>
  <si>
    <t>LEON</t>
  </si>
  <si>
    <t>ALDAMA</t>
  </si>
  <si>
    <t>DIEGO</t>
  </si>
  <si>
    <t>FLORES</t>
  </si>
  <si>
    <t>ROSA ISELA</t>
  </si>
  <si>
    <t>HILDA</t>
  </si>
  <si>
    <t>MIRNA DEL CARMEN</t>
  </si>
  <si>
    <t>CANUL</t>
  </si>
  <si>
    <t>PATRICIA</t>
  </si>
  <si>
    <t>GUADALUPE</t>
  </si>
  <si>
    <t>RAMON</t>
  </si>
  <si>
    <t>JUAREZ</t>
  </si>
  <si>
    <t>soltero</t>
  </si>
  <si>
    <t>CALLE PROLONGACION DE CARRILLO</t>
  </si>
  <si>
    <t>CALLE FRANCISCO I MADERO</t>
  </si>
  <si>
    <t>CALLE 9 SIN NUMERO</t>
  </si>
  <si>
    <t>COLONIA INDEPENDENCIA</t>
  </si>
  <si>
    <t>CAMINO VECINAL CARDENAS</t>
  </si>
  <si>
    <t>CALLE PRINCIPAL</t>
  </si>
  <si>
    <t>CARRETERA PRINCIPAL A CARDENAS</t>
  </si>
  <si>
    <t>CERRADA SIN NOMBRE NUMERO 245</t>
  </si>
  <si>
    <t>ENTRADA DEL ALMENDRO</t>
  </si>
  <si>
    <t>CARRETERA 2 70 SIN NUMERO</t>
  </si>
  <si>
    <t>CALLE NUMERO 3 FRENTE A TIENDA</t>
  </si>
  <si>
    <t>CALLE 8 ZONA VERDE SIN NUMERO</t>
  </si>
  <si>
    <t xml:space="preserve">CALLE SEIS SIN NUMERO </t>
  </si>
  <si>
    <t>CALLE ENTRADA EL MARIACH SIN NUMERO</t>
  </si>
  <si>
    <t>CALLE SIN NOMBRE</t>
  </si>
  <si>
    <t>CARRETERA A INTERCAMBIO</t>
  </si>
  <si>
    <t>CALLE CESAR A BRITO NUMERO 307</t>
  </si>
  <si>
    <t>PROLONGACION DE XICOTENCAZTL NUMERO 125 B</t>
  </si>
  <si>
    <t>CALLE DIVISION DEL SUR CALLE 1 MANZANA 12</t>
  </si>
  <si>
    <t>CALLE MANGO NUMERO 14</t>
  </si>
  <si>
    <t>ANDADOR ORQUIDEA NUMERO 2</t>
  </si>
  <si>
    <t>ENTRADA LA NATIVIDAD</t>
  </si>
  <si>
    <t>CALLEJON NUMERO 70</t>
  </si>
  <si>
    <t>CALLE MIGUEL HIDALGO SIN NUMERO</t>
  </si>
  <si>
    <t>CALLE EMILIANO ZAPATA SIN NUMERO</t>
  </si>
  <si>
    <t>CARRETERA PRINCIPAL</t>
  </si>
  <si>
    <t>CARRETERA CARDENAS COMALCALCO</t>
  </si>
  <si>
    <t>ALADO DE LA ERMITA PRECIOSA SANGRTE Y FRENTE AL TEMPLO</t>
  </si>
  <si>
    <t>ENFRENTE DEL CARCAMOS EN EL TALLE CASA ROJA</t>
  </si>
  <si>
    <t>FRENTE DEL HERRERO CASI FRENTE AL PANTEON LOCAL AZUL</t>
  </si>
  <si>
    <t>POR LA IGLESIA ESTETICA RAFA</t>
  </si>
  <si>
    <t>ENTRADA POR LA IGLESIA CASA NARANJA</t>
  </si>
  <si>
    <t>ENTRADA AL EJIDO BANCO FRENTE A MATERIALES DE CONSTRUCCION</t>
  </si>
  <si>
    <t>CARRETERA A JAPALITA SIN NUMERO</t>
  </si>
  <si>
    <t xml:space="preserve">CARRETERA FEDERAL CARDENAS COMALCALCO </t>
  </si>
  <si>
    <t>ENTRADA DE LOS PRIEGOS CAMINO VECINAL</t>
  </si>
  <si>
    <t xml:space="preserve">CARRETERA A INTERCAMBIO </t>
  </si>
  <si>
    <t xml:space="preserve">CERRADA SAN JUAN 24 </t>
  </si>
  <si>
    <t>CARRETERA AL CASTAÃ‘O</t>
  </si>
  <si>
    <t xml:space="preserve">INGENIO SANTA ROSALIA </t>
  </si>
  <si>
    <t>CALLE NUEVA SIN NUMERO</t>
  </si>
  <si>
    <t>CALLE CANAGUA MANZANA 35 LOTE 15</t>
  </si>
  <si>
    <t>CALLE ANTONIO ORTIZ</t>
  </si>
  <si>
    <t>AVENIDA MIGUEL HIDALGO SIN NUMERO</t>
  </si>
  <si>
    <t xml:space="preserve">ANDADOR CASAS DUPLES NUMERO 14 </t>
  </si>
  <si>
    <t>CALLE PRINCIPAL SIN NUMERO</t>
  </si>
  <si>
    <t xml:space="preserve">CARRETERA FEDERAL   </t>
  </si>
  <si>
    <t>CALLE LOS CEDROS</t>
  </si>
  <si>
    <t>AVENIDA JOSE MARIA</t>
  </si>
  <si>
    <t>FRENTE A LA UPCH</t>
  </si>
  <si>
    <t>FRENTE A L AENTRADA UVERO</t>
  </si>
  <si>
    <t>ENTRADA EL PUENTE FLAVIANO</t>
  </si>
  <si>
    <t>CASA COLOR MORADA ANTES DE LLEGAR A LA PRIMARIA</t>
  </si>
  <si>
    <t>FERNANDO MONTES DE OCAÃ‘A</t>
  </si>
  <si>
    <t>ALADO DE PURIFICADORA</t>
  </si>
  <si>
    <t>ESQUINA 27 DE FEBRERO 212</t>
  </si>
  <si>
    <t>PROLONGACION GUADALUPE VICTORIA</t>
  </si>
  <si>
    <t>CALLE EL TAMARINDO ENTRADA EL DESPACHADOR</t>
  </si>
  <si>
    <t>CALLE PINO SUAREZ</t>
  </si>
  <si>
    <t>ENTRADA AL POSTE BLANCO</t>
  </si>
  <si>
    <t>CALLE SAN PEDRO</t>
  </si>
  <si>
    <t>ATTRAS DE LA MADERIA</t>
  </si>
  <si>
    <t>CASA COLOR NARANJA ENTRADA LA BIMBO</t>
  </si>
  <si>
    <t>CASA VERDE ENTRASA LA VAZCULA</t>
  </si>
  <si>
    <t>COBRAR EN POLIPLAS</t>
  </si>
  <si>
    <t>COLONIA PUEBLO NUEVO</t>
  </si>
  <si>
    <t>COLONIA CENTRO</t>
  </si>
  <si>
    <t>FRACCIONAMIENTO CAÃ‘ALES SEGUNDA ETAPA</t>
  </si>
  <si>
    <t>RANCHERIA MIGUEL HIDALGO</t>
  </si>
  <si>
    <t>COLONIA LOS SANTOS</t>
  </si>
  <si>
    <t>RANCHERIA MELCHOR OCAMPO</t>
  </si>
  <si>
    <t>COLONIA AGUA SOL</t>
  </si>
  <si>
    <t>COLONIA INGENIO BENITO JUAREZ</t>
  </si>
  <si>
    <t>POBLADO C-14 PLUTARCO ELIAS CALLES</t>
  </si>
  <si>
    <t>POBLADO C-15 ADOLFO LOPEZ MATEOS</t>
  </si>
  <si>
    <t>RANCHERIA ARROYO HONDO PRIMERA SECCION</t>
  </si>
  <si>
    <t>POBLADO IGNACIO GUTIERREZ GOMEZ</t>
  </si>
  <si>
    <t xml:space="preserve">EJIDO SANTA LUCIA </t>
  </si>
  <si>
    <t>COLONIA SANTA RITA INFONAVIT</t>
  </si>
  <si>
    <t>COLONIA CARLOS PELLICER CAMARA</t>
  </si>
  <si>
    <t>COLONIA ARBOLEDA</t>
  </si>
  <si>
    <t>COLONIA INGENIO SANTA ROSALIA</t>
  </si>
  <si>
    <t>EJIDO HIDALGO SEGUNDA SECCION</t>
  </si>
  <si>
    <t>POBLADO ONCE DE FEBRERO</t>
  </si>
  <si>
    <t>RANCHERIA YOLOXOCHIL</t>
  </si>
  <si>
    <t>COLONIA MELCHOR OCAMPO</t>
  </si>
  <si>
    <t>VILLA ALDAMA</t>
  </si>
  <si>
    <t>8 DE OCTUBRE</t>
  </si>
  <si>
    <t>EL BELLOTE</t>
  </si>
  <si>
    <t>CHILTEPEC</t>
  </si>
  <si>
    <t>SECCION BANCO</t>
  </si>
  <si>
    <t>RANCHERIA JALAPITA</t>
  </si>
  <si>
    <t>RANCHERIA QUILES SERDAN</t>
  </si>
  <si>
    <t>FRACCIONAMIENTO CAÃ‘ALES LADO SUR</t>
  </si>
  <si>
    <t xml:space="preserve">EJIDO HIDALGO SEGUNDA SECCION </t>
  </si>
  <si>
    <t>RANCHERIA MANTILLA</t>
  </si>
  <si>
    <t xml:space="preserve">RANCHERIA MIAHUATLAN PRIMERA SECCION </t>
  </si>
  <si>
    <t>EJIDO BUENA VENTURA</t>
  </si>
  <si>
    <t xml:space="preserve">COLONIA EL PORVENIR </t>
  </si>
  <si>
    <t>EJIDO TULIPAN</t>
  </si>
  <si>
    <t>FRACCIONAMIENTO CAÃ‘ALES II</t>
  </si>
  <si>
    <t>COLONIA NUEVO PROGRESO</t>
  </si>
  <si>
    <t>POBLADO 11 DE FEBRERO</t>
  </si>
  <si>
    <t>COLONIA COLOSIO</t>
  </si>
  <si>
    <t>COLONIA SAN LAZARO</t>
  </si>
  <si>
    <t>COLONIA PASO Y PLAYA</t>
  </si>
  <si>
    <t>EJIDO CARDENAS SEGUNDA SECCION</t>
  </si>
  <si>
    <t>RANCHERIA ARROYO HONFO SEGUNDA SECCION</t>
  </si>
  <si>
    <t>RANCHERIA LAZARO CARDENAS SEGUNDA SECCION</t>
  </si>
  <si>
    <t>CARDENAS CENTRO</t>
  </si>
  <si>
    <t>COLONIA SANTA MARIA GUADALUPE</t>
  </si>
  <si>
    <t>RANCHERIA EL BAJIO</t>
  </si>
  <si>
    <t>COLONIA NUEVA ESPERANZA</t>
  </si>
  <si>
    <t>CALZADA SEGUNDA SECCION</t>
  </si>
  <si>
    <t>lunes</t>
  </si>
  <si>
    <t>2022-02-16</t>
  </si>
  <si>
    <t>2022-10-03</t>
  </si>
  <si>
    <t>2022-02-17</t>
  </si>
  <si>
    <t>2022-09-03</t>
  </si>
  <si>
    <t>2022-02-23</t>
  </si>
  <si>
    <t>2022-02-03</t>
  </si>
  <si>
    <t>2022-04-03</t>
  </si>
  <si>
    <t>2022-07-03</t>
  </si>
  <si>
    <t>2022-08-03</t>
  </si>
  <si>
    <t>2022-07-02</t>
  </si>
  <si>
    <t>2022-01-03</t>
  </si>
  <si>
    <t>2022-02-15</t>
  </si>
  <si>
    <t>2021-04-19</t>
  </si>
  <si>
    <t>2021-04-01</t>
  </si>
  <si>
    <t>2021-12-07</t>
  </si>
  <si>
    <t>2021-10-26</t>
  </si>
  <si>
    <t>2021-07-19</t>
  </si>
  <si>
    <t>2021-09-29</t>
  </si>
  <si>
    <t>2021-05-03</t>
  </si>
  <si>
    <t>2019-05-20</t>
  </si>
  <si>
    <t>2021-12-10</t>
  </si>
  <si>
    <t>2022-12-03</t>
  </si>
  <si>
    <t>2022-03-13</t>
  </si>
  <si>
    <t>2022-11-03</t>
  </si>
  <si>
    <t>2021-04-13</t>
  </si>
  <si>
    <t>2021-06-22</t>
  </si>
  <si>
    <t>2021-06-07</t>
  </si>
  <si>
    <t>2022-02-01</t>
  </si>
  <si>
    <t>2022-02-22</t>
  </si>
  <si>
    <t>2022-01-21</t>
  </si>
  <si>
    <t>2022-03-21</t>
  </si>
  <si>
    <t>2022-10-02</t>
  </si>
  <si>
    <t>A</t>
  </si>
  <si>
    <t>2022-10-10</t>
  </si>
  <si>
    <t>2022-02-24</t>
  </si>
  <si>
    <t>2022-09-10</t>
  </si>
  <si>
    <t>2022-03-02</t>
  </si>
  <si>
    <t>2022-02-10</t>
  </si>
  <si>
    <t>2022-04-10</t>
  </si>
  <si>
    <t>2022-07-10</t>
  </si>
  <si>
    <t>2022-08-10</t>
  </si>
  <si>
    <t>2022-07-09</t>
  </si>
  <si>
    <t>2022-01-10</t>
  </si>
  <si>
    <t>2021-08-23</t>
  </si>
  <si>
    <t>2021-04-26</t>
  </si>
  <si>
    <t>2021-04-08</t>
  </si>
  <si>
    <t>2021-12-14</t>
  </si>
  <si>
    <t>2021-11-02</t>
  </si>
  <si>
    <t>2021-07-26</t>
  </si>
  <si>
    <t>2021-10-06</t>
  </si>
  <si>
    <t>2021-05-10</t>
  </si>
  <si>
    <t>2019-05-27</t>
  </si>
  <si>
    <t>2021-12-17</t>
  </si>
  <si>
    <t>2022-12-10</t>
  </si>
  <si>
    <t>2022-03-20</t>
  </si>
  <si>
    <t>2022-11-10</t>
  </si>
  <si>
    <t>2021-04-20</t>
  </si>
  <si>
    <t>2021-06-29</t>
  </si>
  <si>
    <t>2021-06-14</t>
  </si>
  <si>
    <t>2022-02-08</t>
  </si>
  <si>
    <t>2021-12-11</t>
  </si>
  <si>
    <t>2022-03-01</t>
  </si>
  <si>
    <t>2022-01-28</t>
  </si>
  <si>
    <t>2022-03-28</t>
  </si>
  <si>
    <t>2022-10-09</t>
  </si>
  <si>
    <t>XJ7NCYLLDZFLMWF</t>
  </si>
  <si>
    <t>QX002L6W9KVTQO</t>
  </si>
  <si>
    <t>XUMGJ9LE8RXKR9U</t>
  </si>
  <si>
    <t>3O8PTA2AZPGA3HB</t>
  </si>
  <si>
    <t>DSYPMZPXEANHGLM</t>
  </si>
  <si>
    <t>QWZGYT4O9KVTQO</t>
  </si>
  <si>
    <t>QX002LYO9KVTQO</t>
  </si>
  <si>
    <t>QWZGYSX69KVTQO</t>
  </si>
  <si>
    <t>RJC990KJLQSW15E</t>
  </si>
  <si>
    <t>FINAL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</si>
</sst>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;[Red]\-&quot;$&quot;#,##0"/>
    <numFmt numFmtId="44" formatCode="_-&quot;$&quot;* #,##0.00_-;\-&quot;$&quot;* #,##0.00_-;_-&quot;$&quot;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0000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21" fontId="0" fillId="0" borderId="0" xfId="0" applyNumberFormat="1"/>
    <xf numFmtId="6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0" fontId="0" fillId="3" borderId="0" xfId="0" applyFill="1"/>
    <xf numFmtId="0" fontId="0" fillId="0" borderId="0" xfId="0" applyAlignment="1">
      <alignment horizontal="right"/>
    </xf>
    <xf numFmtId="2" fontId="0" fillId="0" borderId="0" xfId="0" applyNumberFormat="1"/>
    <xf numFmtId="17" fontId="0" fillId="0" borderId="0" xfId="0" applyNumberFormat="1"/>
    <xf numFmtId="0" fontId="0" fillId="4" borderId="0" xfId="0" applyFill="1"/>
    <xf numFmtId="12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0" fillId="5" borderId="0" xfId="0" applyFill="1"/>
    <xf numFmtId="14" fontId="0" fillId="5" borderId="0" xfId="0" applyNumberFormat="1" applyFill="1"/>
    <xf numFmtId="21" fontId="0" fillId="5" borderId="0" xfId="0" applyNumberFormat="1" applyFill="1"/>
    <xf numFmtId="0" fontId="0" fillId="0" borderId="1" xfId="0" applyBorder="1"/>
    <xf numFmtId="0" fontId="0" fillId="2" borderId="2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2">
    <cellStyle name="Moneda 2" xfId="1" xr:uid="{65286637-67D4-41F9-854F-EBC87CB06439}"/>
    <cellStyle name="Normal" xfId="0" builtinId="0"/>
  </cellStyles>
  <dxfs count="3">
    <dxf>
      <numFmt numFmtId="19" formatCode="dd/mm/yyyy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A7A67-4D60-4300-AE16-AF4C5E2D204F}" name="Tabla1" displayName="Tabla1" ref="A1:CB3427" totalsRowShown="0">
  <autoFilter ref="A1:CB3427" xr:uid="{EB8A7A67-4D60-4300-AE16-AF4C5E2D204F}"/>
  <tableColumns count="80">
    <tableColumn id="1" xr3:uid="{6EE81817-A61A-403F-AAE3-A487DFCCEC28}" name="cadenaEs[ecial"/>
    <tableColumn id="2" xr3:uid="{42C2E691-B014-4583-8795-1A33EA59A4C7}" name="Folio del contrato"/>
    <tableColumn id="3" xr3:uid="{71575AC9-404E-4FE5-9655-6E205B699685}" name="Estatus"/>
    <tableColumn id="4" xr3:uid="{092EB295-61F0-4C61-BC9A-4956887BF0D4}" name="Paquete"/>
    <tableColumn id="5" xr3:uid="{73C601FB-9837-41A2-8E44-45956C457C7C}" name="Estado"/>
    <tableColumn id="6" xr3:uid="{30EF9166-54D9-4401-BF9E-F445FACDBC3F}" name="Municipio"/>
    <tableColumn id="7" xr3:uid="{E93B23F5-4B32-42F6-B548-533E3D561776}" name="Localidad"/>
    <tableColumn id="8" xr3:uid="{916F836D-694A-44ED-90F5-2D4C1DD9CE4F}" name="Fecha de inscripcion" dataDxfId="2"/>
    <tableColumn id="9" xr3:uid="{81C5E4DE-57F1-4BD3-A991-9999A97BEFC8}" name="precio del paquete"/>
    <tableColumn id="10" xr3:uid="{6575B13A-F5A9-4741-83D0-F6F8F417BA29}" name="promocion"/>
    <tableColumn id="11" xr3:uid="{80E65003-D644-47BA-97C6-D0A8B2470176}" name="pago_inicial"/>
    <tableColumn id="12" xr3:uid="{E4D8B8D0-E52A-46F9-A3F7-F9AFF26AC815}" name="Abonos_de"/>
    <tableColumn id="13" xr3:uid="{706EECC0-BD0E-47BC-BFD2-2999BD1BB823}" name="Plan_de_Pago"/>
    <tableColumn id="14" xr3:uid="{D4A50245-FA7A-46A7-90FF-729C877644CB}" name="limite_asignado"/>
    <tableColumn id="15" xr3:uid="{6225B735-3D04-449A-BABF-A5BB13DC9E22}" name="Funeraria_Procedencia"/>
    <tableColumn id="16" xr3:uid="{E25C1ED6-0BCE-46C1-88E4-1C2989F0C7C4}" name="archivo_adjunto"/>
    <tableColumn id="17" xr3:uid="{E513EFE9-426A-450E-975E-5FB5C29257B8}" name="Nombre del Vendedor"/>
    <tableColumn id="18" xr3:uid="{245236BA-25F6-42DF-B763-9F4AB93F4F63}" name="Comision_Vendedor"/>
    <tableColumn id="19" xr3:uid="{4693254F-FC9C-4B2B-818D-82235FCDACF2}" name="comision de vendedor pagada"/>
    <tableColumn id="20" xr3:uid="{AF9FA43A-F4D8-4E74-AE4B-E046EFBE21AC}" name="Comision_Lider"/>
    <tableColumn id="21" xr3:uid="{3D21CCEB-C1A4-4F38-8D2D-1987F081D5DA}" name="comision de lider  pagada"/>
    <tableColumn id="22" xr3:uid="{964F0C02-184A-4B24-96AB-83665349A0D3}" name="Comision_Gerente"/>
    <tableColumn id="23" xr3:uid="{48BBDC26-2F37-46E1-9976-63F1D98844C6}" name="comision de gerente pagada"/>
    <tableColumn id="24" xr3:uid="{6165E166-D577-47B2-86C2-381BED6E7837}" name="Bono"/>
    <tableColumn id="25" xr3:uid="{BE85C255-6D33-455A-90FE-97F0C9FC8EBF}" name="Bono_Asignado"/>
    <tableColumn id="26" xr3:uid="{20EBA629-4AE1-45AE-90B7-A9F0077E4C95}" name="Inscripcion"/>
    <tableColumn id="27" xr3:uid="{6F1EA1DD-843E-47E2-A0B3-C3D0CF98E235}" name="Inscripcion_Asignado"/>
    <tableColumn id="28" xr3:uid="{0B837D0E-7859-470A-99A3-2F4E11E2CD8F}" name="Apellido_Paterno"/>
    <tableColumn id="29" xr3:uid="{DB7335C3-0B2B-4561-8ABC-A7F39C974C09}" name="Apellido_Materno"/>
    <tableColumn id="30" xr3:uid="{B45A1019-564D-4495-A048-80C5F7BE85E5}" name="Nombre"/>
    <tableColumn id="31" xr3:uid="{4B038F1B-1E9E-4653-88DE-79887CE2F9F3}" name="Estado_Civil"/>
    <tableColumn id="32" xr3:uid="{D47D5AB7-05AF-4E41-A063-EA309D5FF18E}" name="Nacimiento del cliente"/>
    <tableColumn id="33" xr3:uid="{2295DEDA-ADCF-420B-924C-E00D36191D76}" name="IFE"/>
    <tableColumn id="34" xr3:uid="{CA5356FA-2864-4EB7-9E79-4E57F54F9F38}" name="Domicilio"/>
    <tableColumn id="35" xr3:uid="{9785B3DB-5F4D-4337-AFD8-67942F24C9DB}" name="Colonia"/>
    <tableColumn id="36" xr3:uid="{E8651F6D-2BF0-417D-A091-0A9E0226926F}" name="Entre_Calles"/>
    <tableColumn id="37" xr3:uid="{D88E29A1-901C-4457-B3CB-CB3A21ECCE95}" name="Telefono"/>
    <tableColumn id="38" xr3:uid="{081E94E4-A487-439D-9924-C2FF97F8A240}" name="Beneficiario"/>
    <tableColumn id="39" xr3:uid="{D2F0460C-CC41-4E57-813C-D2DCC934CB2E}" name="Observaciones"/>
    <tableColumn id="40" xr3:uid="{F6AA92C0-9338-491B-9236-56DD54E3D660}" name="archivo_contrato"/>
    <tableColumn id="41" xr3:uid="{2F815C2C-3B6E-4802-9CE6-26C9BDA2CF0E}" name="Domicilio2"/>
    <tableColumn id="42" xr3:uid="{C6997930-4E69-462B-A41D-8378D88EBDAC}" name="Correo"/>
    <tableColumn id="43" xr3:uid="{A1B3E9DD-AA9F-41CD-BB5C-DBCC23475F29}" name="dia_cobro"/>
    <tableColumn id="44" xr3:uid="{4B89E7AB-36AE-4352-B9EF-3BB4E0194786}" name="firma1"/>
    <tableColumn id="45" xr3:uid="{DE8BD210-3ACA-4506-BE9E-1522246490EF}" name="firma2"/>
    <tableColumn id="46" xr3:uid="{51FD87F5-E9DD-4487-B4A8-DA4FA12EA401}" name="plazo_entrega"/>
    <tableColumn id="47" xr3:uid="{9268935F-B07B-46C3-8E45-DE58C527E713}" name="latitud"/>
    <tableColumn id="48" xr3:uid="{CD0A5782-7449-4248-AF59-0C9E617617C0}" name="longitud"/>
    <tableColumn id="49" xr3:uid="{93178ECF-BACF-41AA-A62B-FFEC34B400A1}" name="Tipo_Cobranza"/>
    <tableColumn id="50" xr3:uid="{B52D0D53-0D87-4320-9E10-45CA1F720C08}" name="Monto_Liquidado a la fecha"/>
    <tableColumn id="51" xr3:uid="{9CA59E71-EF13-49E4-99BF-19D7DCD7C7D1}" name="Saldo_Deudor"/>
    <tableColumn id="52" xr3:uid="{A3DD1391-949C-4A51-AA9D-2B1989EBAA9E}" name="horario_cobro"/>
    <tableColumn id="53" xr3:uid="{CFACBDD6-A01C-49D3-8001-F806DB68553A}" name="Estado_Cobro"/>
    <tableColumn id="54" xr3:uid="{7ED8E854-5A18-48C0-912A-0082B578060A}" name="Retrasos dias retrasados"/>
    <tableColumn id="55" xr3:uid="{61A3AEC9-0FAC-4AC3-B5E1-27B9F8ADC8A6}" name="ultimo_pago" dataDxfId="1"/>
    <tableColumn id="56" xr3:uid="{7D644F3F-0303-4573-97DD-1DA9F4FDD082}" name="pago_programado" dataDxfId="0"/>
    <tableColumn id="57" xr3:uid="{C51F63DB-CFF7-47FF-A919-67C30A7F68F1}" name="fecha_entrega"/>
    <tableColumn id="58" xr3:uid="{8B7D5031-E59B-4832-8D7B-F454F3A2E872}" name="idgrupo"/>
    <tableColumn id="59" xr3:uid="{EA86780A-F672-4942-9206-D39242EF37DA}" name="idvendedor"/>
    <tableColumn id="60" xr3:uid="{C1008E4E-8F1A-4FE9-AE20-E0E8D9118727}" name="idlider"/>
    <tableColumn id="61" xr3:uid="{4EC4357A-2615-481B-A8E8-20317BD5A8EC}" name="idgerente"/>
    <tableColumn id="62" xr3:uid="{C4B90D6F-CFCC-44F7-8D1A-95A49041AE48}" name="Colonia de cobranza"/>
    <tableColumn id="63" xr3:uid="{743AFF1A-9278-4C53-93D7-2F33EFD4FA4A}" name="edad"/>
    <tableColumn id="64" xr3:uid="{8BB2C0A1-4DE7-4ADB-A3FD-1EC4C6D6B107}" name="genero"/>
    <tableColumn id="65" xr3:uid="{73E34992-FDC6-4371-9D6F-BDC83CB2A34E}" name="hora_calle"/>
    <tableColumn id="66" xr3:uid="{1CDF2A3B-7B10-4AF4-9CE8-C92F6D623A79}" name="precio_paquete"/>
    <tableColumn id="67" xr3:uid="{D3FDDDB2-CA57-4BB2-9829-0A9D2D02F040}" name="NumeroServicio"/>
    <tableColumn id="68" xr3:uid="{FBEE1470-37E9-41CC-8737-247C25992B6C}" name="NumeroFactura"/>
    <tableColumn id="69" xr3:uid="{ABDD0D10-5120-4A77-BF0E-84551667F62F}" name="NumeroTitulo"/>
    <tableColumn id="70" xr3:uid="{DB13B7C9-74DA-4565-BE48-DA926F5B619E}" name="Fecha_Cancelacion"/>
    <tableColumn id="71" xr3:uid="{8259198A-E33C-409A-A46E-F3B29CC22E29}" name="Fecha_Pagado"/>
    <tableColumn id="72" xr3:uid="{D0600241-E1D4-4878-B350-50C0496815AE}" name="Fecha_Utilizado"/>
    <tableColumn id="73" xr3:uid="{66C41323-8C88-41B8-9F0F-4CAFACCB3FFE}" name="idpaquete_kit"/>
    <tableColumn id="74" xr3:uid="{EC535FC8-9DB1-41B9-A6C7-B2E7C5309B31}" name="deleted"/>
    <tableColumn id="75" xr3:uid="{AF182406-D79D-4725-ADCD-9B3174A04D31}" name="idsucursal"/>
    <tableColumn id="76" xr3:uid="{C956D5D4-4B9C-4F19-AFBA-CE85A49E51AC}" name="pagos"/>
    <tableColumn id="77" xr3:uid="{DFA2064B-1CAC-4906-8A06-66466ADA4F25}" name="tipo_comision_vendedor"/>
    <tableColumn id="78" xr3:uid="{320F5F5D-4CBF-412F-A9B4-B380CF4FE8FE}" name="tipo_comision_lider"/>
    <tableColumn id="79" xr3:uid="{412A5A90-71D8-4663-847C-15E8B4854718}" name="tipo_comision_gerente"/>
    <tableColumn id="80" xr3:uid="{75ECC750-BAD5-4E3C-B506-1BD3DEA412C7}" name="final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496FF-F4EE-488F-8C8A-E9E0B0499D75}">
  <sheetPr codeName="Hoja1"/>
  <dimension ref="A1:CD3427"/>
  <sheetViews>
    <sheetView tabSelected="1" topLeftCell="AV1" zoomScaleNormal="100" workbookViewId="0">
      <pane ySplit="1" topLeftCell="A45" activePane="bottomLeft" state="frozen"/>
      <selection activeCell="BP1" sqref="BP1"/>
      <selection pane="bottomLeft" activeCell="AX10" sqref="AX10"/>
    </sheetView>
  </sheetViews>
  <sheetFormatPr baseColWidth="10" defaultRowHeight="15" x14ac:dyDescent="0.25"/>
  <cols>
    <col min="1" max="1" width="22.140625" bestFit="1" customWidth="1"/>
    <col min="2" max="2" width="19" bestFit="1" customWidth="1"/>
    <col min="6" max="6" width="12" customWidth="1"/>
    <col min="8" max="8" width="21" customWidth="1"/>
    <col min="9" max="9" width="19.85546875" customWidth="1"/>
    <col min="10" max="10" width="12.7109375" customWidth="1"/>
    <col min="11" max="11" width="13.7109375" customWidth="1"/>
    <col min="12" max="12" width="13.140625" customWidth="1"/>
    <col min="13" max="13" width="15.5703125" customWidth="1"/>
    <col min="14" max="14" width="17.28515625" customWidth="1"/>
    <col min="15" max="15" width="23.42578125" customWidth="1"/>
    <col min="16" max="16" width="17.42578125" customWidth="1"/>
    <col min="17" max="17" width="23" customWidth="1"/>
    <col min="18" max="18" width="21.28515625" customWidth="1"/>
    <col min="19" max="19" width="29.5703125" customWidth="1"/>
    <col min="20" max="20" width="16.85546875" customWidth="1"/>
    <col min="21" max="21" width="25.5703125" customWidth="1"/>
    <col min="22" max="22" width="19.7109375" customWidth="1"/>
    <col min="23" max="23" width="28" customWidth="1"/>
    <col min="25" max="25" width="16.85546875" customWidth="1"/>
    <col min="26" max="26" width="12.7109375" customWidth="1"/>
    <col min="27" max="27" width="21.85546875" customWidth="1"/>
    <col min="28" max="28" width="18.7109375" customWidth="1"/>
    <col min="29" max="29" width="19.28515625" customWidth="1"/>
    <col min="31" max="31" width="13.85546875" customWidth="1"/>
    <col min="32" max="32" width="23.28515625" customWidth="1"/>
    <col min="34" max="34" width="78.7109375" bestFit="1" customWidth="1"/>
    <col min="35" max="35" width="53.140625" bestFit="1" customWidth="1"/>
    <col min="36" max="36" width="14.140625" customWidth="1"/>
    <col min="38" max="38" width="13.85546875" customWidth="1"/>
    <col min="39" max="39" width="56.28515625" bestFit="1" customWidth="1"/>
    <col min="40" max="40" width="43.140625" bestFit="1" customWidth="1"/>
    <col min="41" max="41" width="74.7109375" bestFit="1" customWidth="1"/>
    <col min="43" max="43" width="11.85546875" customWidth="1"/>
    <col min="46" max="46" width="15.7109375" customWidth="1"/>
    <col min="49" max="49" width="16.140625" customWidth="1"/>
    <col min="50" max="50" width="27.42578125" customWidth="1"/>
    <col min="51" max="52" width="15.5703125" customWidth="1"/>
    <col min="53" max="53" width="15.28515625" customWidth="1"/>
    <col min="54" max="54" width="24.42578125" customWidth="1"/>
    <col min="55" max="55" width="14.28515625" customWidth="1"/>
    <col min="56" max="56" width="19.140625" customWidth="1"/>
    <col min="57" max="57" width="15.85546875" customWidth="1"/>
    <col min="59" max="59" width="13.42578125" customWidth="1"/>
    <col min="61" max="61" width="11.85546875" customWidth="1"/>
    <col min="62" max="62" width="20.85546875" customWidth="1"/>
    <col min="65" max="65" width="12.28515625" customWidth="1"/>
    <col min="66" max="66" width="17.140625" customWidth="1"/>
    <col min="67" max="67" width="17.42578125" customWidth="1"/>
    <col min="68" max="68" width="16.85546875" customWidth="1"/>
    <col min="69" max="69" width="15.5703125" customWidth="1"/>
    <col min="70" max="70" width="19.85546875" customWidth="1"/>
    <col min="71" max="71" width="15.7109375" customWidth="1"/>
    <col min="72" max="72" width="17.140625" customWidth="1"/>
    <col min="73" max="73" width="15.5703125" customWidth="1"/>
    <col min="75" max="75" width="12" customWidth="1"/>
    <col min="77" max="77" width="25.28515625" customWidth="1"/>
    <col min="78" max="78" width="20.85546875" customWidth="1"/>
    <col min="79" max="79" width="23.7109375" customWidth="1"/>
    <col min="82" max="82" width="255.7109375" bestFit="1" customWidth="1"/>
  </cols>
  <sheetData>
    <row r="1" spans="1:82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t="s">
        <v>33</v>
      </c>
      <c r="S1" t="s">
        <v>34</v>
      </c>
      <c r="T1" t="s">
        <v>35</v>
      </c>
      <c r="U1" t="s">
        <v>36</v>
      </c>
      <c r="V1" t="s">
        <v>37</v>
      </c>
      <c r="W1" t="s">
        <v>38</v>
      </c>
      <c r="X1" t="s">
        <v>39</v>
      </c>
      <c r="Y1" t="s">
        <v>40</v>
      </c>
      <c r="Z1" t="s">
        <v>41</v>
      </c>
      <c r="AA1" t="s">
        <v>42</v>
      </c>
      <c r="AB1" t="s">
        <v>43</v>
      </c>
      <c r="AC1" t="s">
        <v>44</v>
      </c>
      <c r="AD1" t="s">
        <v>45</v>
      </c>
      <c r="AE1" t="s">
        <v>46</v>
      </c>
      <c r="AF1" t="s">
        <v>47</v>
      </c>
      <c r="AG1" t="s">
        <v>48</v>
      </c>
      <c r="AH1" t="s">
        <v>49</v>
      </c>
      <c r="AI1" t="s">
        <v>50</v>
      </c>
      <c r="AJ1" t="s">
        <v>51</v>
      </c>
      <c r="AK1" t="s">
        <v>52</v>
      </c>
      <c r="AL1" t="s">
        <v>53</v>
      </c>
      <c r="AM1" t="s">
        <v>54</v>
      </c>
      <c r="AN1" t="s">
        <v>55</v>
      </c>
      <c r="AO1" t="s">
        <v>56</v>
      </c>
      <c r="AP1" t="s">
        <v>57</v>
      </c>
      <c r="AQ1" t="s">
        <v>58</v>
      </c>
      <c r="AR1" t="s">
        <v>59</v>
      </c>
      <c r="AS1" t="s">
        <v>60</v>
      </c>
      <c r="AT1" t="s">
        <v>61</v>
      </c>
      <c r="AU1" t="s">
        <v>62</v>
      </c>
      <c r="AV1" t="s">
        <v>63</v>
      </c>
      <c r="AW1" t="s">
        <v>64</v>
      </c>
      <c r="AX1" t="s">
        <v>65</v>
      </c>
      <c r="AY1" t="s">
        <v>66</v>
      </c>
      <c r="AZ1" t="s">
        <v>67</v>
      </c>
      <c r="BA1" t="s">
        <v>68</v>
      </c>
      <c r="BB1" t="s">
        <v>69</v>
      </c>
      <c r="BC1" t="s">
        <v>70</v>
      </c>
      <c r="BD1" t="s">
        <v>71</v>
      </c>
      <c r="BE1" t="s">
        <v>72</v>
      </c>
      <c r="BF1" t="s">
        <v>73</v>
      </c>
      <c r="BG1" t="s">
        <v>74</v>
      </c>
      <c r="BH1" t="s">
        <v>75</v>
      </c>
      <c r="BI1" t="s">
        <v>76</v>
      </c>
      <c r="BJ1" t="s">
        <v>77</v>
      </c>
      <c r="BK1" t="s">
        <v>78</v>
      </c>
      <c r="BL1" t="s">
        <v>79</v>
      </c>
      <c r="BM1" t="s">
        <v>80</v>
      </c>
      <c r="BN1" t="s">
        <v>81</v>
      </c>
      <c r="BO1" t="s">
        <v>82</v>
      </c>
      <c r="BP1" t="s">
        <v>83</v>
      </c>
      <c r="BQ1" t="s">
        <v>84</v>
      </c>
      <c r="BR1" t="s">
        <v>85</v>
      </c>
      <c r="BS1" t="s">
        <v>86</v>
      </c>
      <c r="BT1" t="s">
        <v>87</v>
      </c>
      <c r="BU1" t="s">
        <v>88</v>
      </c>
      <c r="BV1" t="s">
        <v>89</v>
      </c>
      <c r="BW1" t="s">
        <v>90</v>
      </c>
      <c r="BX1" t="s">
        <v>91</v>
      </c>
      <c r="BY1" t="s">
        <v>92</v>
      </c>
      <c r="BZ1" t="s">
        <v>93</v>
      </c>
      <c r="CA1" t="s">
        <v>94</v>
      </c>
      <c r="CB1" t="s">
        <v>95</v>
      </c>
      <c r="CC1" t="s">
        <v>1</v>
      </c>
      <c r="CD1" t="str" cm="1">
        <f t="array" aca="1" ref="CD1" ca="1">eConcatenar(A1:CB1,"|")</f>
        <v>cadenaEs[ecial|Folio del contrato|Estatus|Paquete|Estado|Municipio|Localidad|Fecha de inscripcion|precio del paquete|promocion|pago_inicial|Abonos_de|Plan_de_Pago|limite_asignado|Funeraria_Procedencia|archivo_adjunto|Nombre del Vendedor|Comision_Vendedor|comision de vendedor pagada|Comision_Lider|comision de lider  pagada|Comision_Gerente|comision de gerente pagada|Bono|Bono_Asignado|Inscripcion|Inscripcion_Asignado|Apellido_Paterno|Apellido_Materno|Nombre|Estado_Civil|Nacimiento del cliente|IFE|Domicilio|Colonia|Entre_Calles|Telefono|Beneficiario|Observaciones|archivo_contrato|Domicilio2|Correo|dia_cobro|firma1|firma2|plazo_entrega|latitud|longitud|Tipo_Cobranza|Monto_Liquidado a la fecha|Saldo_Deudor|horario_cobro|Estado_Cobro|Retrasos dias retrasados|ultimo_pago|pago_programado|fecha_entrega|idgrupo|idvendedor|idlider|idgerente|Colonia de cobranza|edad|genero|hora_calle|precio_paquete|NumeroServicio|NumeroFactura|NumeroTitulo|Fecha_Cancelacion|Fecha_Pagado|Fecha_Utilizado|idpaquete_kit|deleted|idsucursal|pagos|tipo_comision_vendedor|tipo_comision_lider|tipo_comision_gerente|final</v>
      </c>
    </row>
    <row r="2" spans="1:82" x14ac:dyDescent="0.25">
      <c r="A2">
        <v>0</v>
      </c>
      <c r="B2">
        <v>1</v>
      </c>
      <c r="C2">
        <f>Tabla1[[#This Row],[Folio del contrato]]+1</f>
        <v>2</v>
      </c>
      <c r="D2">
        <f>Tabla1[[#This Row],[Estatus]]+1</f>
        <v>3</v>
      </c>
      <c r="E2">
        <f>Tabla1[[#This Row],[Paquete]]+1</f>
        <v>4</v>
      </c>
      <c r="F2">
        <f>Tabla1[[#This Row],[Estado]]+1</f>
        <v>5</v>
      </c>
      <c r="G2">
        <f>Tabla1[[#This Row],[Municipio]]+1</f>
        <v>6</v>
      </c>
      <c r="H2">
        <f>Tabla1[[#This Row],[Localidad]]+1</f>
        <v>7</v>
      </c>
      <c r="I2">
        <f>Tabla1[[#This Row],[Fecha de inscripcion]]+1</f>
        <v>8</v>
      </c>
      <c r="J2">
        <f>Tabla1[[#This Row],[precio del paquete]]+1</f>
        <v>9</v>
      </c>
      <c r="K2">
        <f>Tabla1[[#This Row],[promocion]]+1</f>
        <v>10</v>
      </c>
      <c r="L2">
        <f>Tabla1[[#This Row],[pago_inicial]]+1</f>
        <v>11</v>
      </c>
      <c r="M2">
        <f>Tabla1[[#This Row],[Abonos_de]]+1</f>
        <v>12</v>
      </c>
      <c r="N2">
        <f>Tabla1[[#This Row],[Plan_de_Pago]]+1</f>
        <v>13</v>
      </c>
      <c r="O2">
        <f>Tabla1[[#This Row],[limite_asignado]]+1</f>
        <v>14</v>
      </c>
      <c r="P2">
        <f>Tabla1[[#This Row],[Funeraria_Procedencia]]+1</f>
        <v>15</v>
      </c>
      <c r="Q2">
        <f>Tabla1[[#This Row],[archivo_adjunto]]+1</f>
        <v>16</v>
      </c>
      <c r="R2">
        <f>Tabla1[[#This Row],[Nombre del Vendedor]]+1</f>
        <v>17</v>
      </c>
      <c r="S2">
        <f>Tabla1[[#This Row],[Comision_Vendedor]]+1</f>
        <v>18</v>
      </c>
      <c r="T2">
        <f>Tabla1[[#This Row],[comision de vendedor pagada]]+1</f>
        <v>19</v>
      </c>
      <c r="U2">
        <f>Tabla1[[#This Row],[Comision_Lider]]+1</f>
        <v>20</v>
      </c>
      <c r="V2">
        <f>Tabla1[[#This Row],[comision de lider  pagada]]+1</f>
        <v>21</v>
      </c>
      <c r="W2">
        <f>Tabla1[[#This Row],[Comision_Gerente]]+1</f>
        <v>22</v>
      </c>
      <c r="X2">
        <f>Tabla1[[#This Row],[comision de gerente pagada]]+1</f>
        <v>23</v>
      </c>
      <c r="Y2">
        <f>Tabla1[[#This Row],[Bono]]+1</f>
        <v>24</v>
      </c>
      <c r="Z2">
        <f>Tabla1[[#This Row],[Bono_Asignado]]+1</f>
        <v>25</v>
      </c>
      <c r="AA2">
        <f>Tabla1[[#This Row],[Inscripcion]]+1</f>
        <v>26</v>
      </c>
      <c r="AB2">
        <f>Tabla1[[#This Row],[Inscripcion_Asignado]]+1</f>
        <v>27</v>
      </c>
      <c r="AC2">
        <f>Tabla1[[#This Row],[Apellido_Paterno]]+1</f>
        <v>28</v>
      </c>
      <c r="AD2">
        <f>Tabla1[[#This Row],[Apellido_Materno]]+1</f>
        <v>29</v>
      </c>
      <c r="AE2">
        <f>Tabla1[[#This Row],[Nombre]]+1</f>
        <v>30</v>
      </c>
      <c r="AF2">
        <f>Tabla1[[#This Row],[Estado_Civil]]+1</f>
        <v>31</v>
      </c>
      <c r="AG2">
        <f>Tabla1[[#This Row],[Nacimiento del cliente]]+1</f>
        <v>32</v>
      </c>
      <c r="AH2">
        <f>Tabla1[[#This Row],[IFE]]+1</f>
        <v>33</v>
      </c>
      <c r="AI2">
        <f>Tabla1[[#This Row],[Domicilio]]+1</f>
        <v>34</v>
      </c>
      <c r="AJ2">
        <f>Tabla1[[#This Row],[Colonia]]+1</f>
        <v>35</v>
      </c>
      <c r="AK2">
        <f>Tabla1[[#This Row],[Entre_Calles]]+1</f>
        <v>36</v>
      </c>
      <c r="AL2">
        <f>Tabla1[[#This Row],[Telefono]]+1</f>
        <v>37</v>
      </c>
      <c r="AM2">
        <f>Tabla1[[#This Row],[Beneficiario]]+1</f>
        <v>38</v>
      </c>
      <c r="AN2">
        <f>Tabla1[[#This Row],[Observaciones]]+1</f>
        <v>39</v>
      </c>
      <c r="AO2">
        <f>Tabla1[[#This Row],[archivo_contrato]]+1</f>
        <v>40</v>
      </c>
      <c r="AP2">
        <f>Tabla1[[#This Row],[Domicilio2]]+1</f>
        <v>41</v>
      </c>
      <c r="AQ2">
        <f>Tabla1[[#This Row],[Correo]]+1</f>
        <v>42</v>
      </c>
      <c r="AR2">
        <f>Tabla1[[#This Row],[dia_cobro]]+1</f>
        <v>43</v>
      </c>
      <c r="AS2">
        <f>Tabla1[[#This Row],[firma1]]+1</f>
        <v>44</v>
      </c>
      <c r="AT2">
        <f>Tabla1[[#This Row],[firma2]]+1</f>
        <v>45</v>
      </c>
      <c r="AU2">
        <f>Tabla1[[#This Row],[plazo_entrega]]+1</f>
        <v>46</v>
      </c>
      <c r="AV2">
        <f>Tabla1[[#This Row],[latitud]]+1</f>
        <v>47</v>
      </c>
      <c r="AW2">
        <f>Tabla1[[#This Row],[longitud]]+1</f>
        <v>48</v>
      </c>
      <c r="AX2">
        <f>Tabla1[[#This Row],[Tipo_Cobranza]]+1</f>
        <v>49</v>
      </c>
      <c r="AY2">
        <f>Tabla1[[#This Row],[Monto_Liquidado a la fecha]]+1</f>
        <v>50</v>
      </c>
      <c r="AZ2">
        <f>Tabla1[[#This Row],[Saldo_Deudor]]+1</f>
        <v>51</v>
      </c>
      <c r="BA2">
        <f>Tabla1[[#This Row],[horario_cobro]]+1</f>
        <v>52</v>
      </c>
      <c r="BB2">
        <f>Tabla1[[#This Row],[Estado_Cobro]]+1</f>
        <v>53</v>
      </c>
      <c r="BC2">
        <f>Tabla1[[#This Row],[Retrasos dias retrasados]]+1</f>
        <v>54</v>
      </c>
      <c r="BD2">
        <f>Tabla1[[#This Row],[ultimo_pago]]+1</f>
        <v>55</v>
      </c>
      <c r="BE2">
        <f>Tabla1[[#This Row],[pago_programado]]+1</f>
        <v>56</v>
      </c>
      <c r="BF2">
        <f>Tabla1[[#This Row],[fecha_entrega]]+1</f>
        <v>57</v>
      </c>
      <c r="BG2">
        <f>Tabla1[[#This Row],[idgrupo]]+1</f>
        <v>58</v>
      </c>
      <c r="BH2">
        <f>Tabla1[[#This Row],[idvendedor]]+1</f>
        <v>59</v>
      </c>
      <c r="BI2">
        <f>Tabla1[[#This Row],[idlider]]+1</f>
        <v>60</v>
      </c>
      <c r="BJ2">
        <f>Tabla1[[#This Row],[idgerente]]+1</f>
        <v>61</v>
      </c>
      <c r="BK2">
        <f>Tabla1[[#This Row],[Colonia de cobranza]]+1</f>
        <v>62</v>
      </c>
      <c r="BL2">
        <f>Tabla1[[#This Row],[edad]]+1</f>
        <v>63</v>
      </c>
      <c r="BM2">
        <f>Tabla1[[#This Row],[genero]]+1</f>
        <v>64</v>
      </c>
      <c r="BN2">
        <f>Tabla1[[#This Row],[hora_calle]]+1</f>
        <v>65</v>
      </c>
      <c r="BO2">
        <f>Tabla1[[#This Row],[precio_paquete]]+1</f>
        <v>66</v>
      </c>
      <c r="BP2">
        <f>Tabla1[[#This Row],[NumeroServicio]]+1</f>
        <v>67</v>
      </c>
      <c r="BQ2">
        <f>Tabla1[[#This Row],[NumeroFactura]]+1</f>
        <v>68</v>
      </c>
      <c r="BR2">
        <f>Tabla1[[#This Row],[NumeroTitulo]]+1</f>
        <v>69</v>
      </c>
      <c r="BS2">
        <f>Tabla1[[#This Row],[Fecha_Cancelacion]]+1</f>
        <v>70</v>
      </c>
      <c r="BT2">
        <f>Tabla1[[#This Row],[Fecha_Pagado]]+1</f>
        <v>71</v>
      </c>
      <c r="BU2">
        <f>Tabla1[[#This Row],[Fecha_Utilizado]]+1</f>
        <v>72</v>
      </c>
      <c r="BV2">
        <f>Tabla1[[#This Row],[idpaquete_kit]]+1</f>
        <v>73</v>
      </c>
      <c r="BW2">
        <f>Tabla1[[#This Row],[deleted]]+1</f>
        <v>74</v>
      </c>
      <c r="BX2">
        <f>Tabla1[[#This Row],[idsucursal]]+1</f>
        <v>75</v>
      </c>
      <c r="BY2">
        <f>Tabla1[[#This Row],[pagos]]+1</f>
        <v>76</v>
      </c>
      <c r="BZ2">
        <f>Tabla1[[#This Row],[tipo_comision_vendedor]]+1</f>
        <v>77</v>
      </c>
      <c r="CA2">
        <f>Tabla1[[#This Row],[tipo_comision_lider]]+1</f>
        <v>78</v>
      </c>
      <c r="CB2" t="s">
        <v>95</v>
      </c>
      <c r="CC2" t="s">
        <v>1</v>
      </c>
      <c r="CD2" t="s">
        <v>3</v>
      </c>
    </row>
    <row r="3" spans="1:82" x14ac:dyDescent="0.25">
      <c r="A3" t="s">
        <v>96</v>
      </c>
      <c r="B3" t="s">
        <v>97</v>
      </c>
      <c r="C3" t="s">
        <v>18</v>
      </c>
      <c r="D3" t="s">
        <v>19</v>
      </c>
      <c r="E3" t="s">
        <v>20</v>
      </c>
      <c r="F3" t="s">
        <v>21</v>
      </c>
      <c r="G3" t="s">
        <v>22</v>
      </c>
      <c r="H3" s="1" t="s">
        <v>98</v>
      </c>
      <c r="I3" t="s">
        <v>99</v>
      </c>
      <c r="J3" t="s">
        <v>25</v>
      </c>
      <c r="K3" t="s">
        <v>26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100</v>
      </c>
      <c r="R3" t="s">
        <v>33</v>
      </c>
      <c r="S3" t="s">
        <v>3</v>
      </c>
      <c r="T3" t="s">
        <v>35</v>
      </c>
      <c r="U3" t="s">
        <v>3</v>
      </c>
      <c r="V3" t="s">
        <v>37</v>
      </c>
      <c r="W3" t="s">
        <v>3</v>
      </c>
      <c r="X3" t="s">
        <v>39</v>
      </c>
      <c r="Y3" t="s">
        <v>40</v>
      </c>
      <c r="Z3" t="s">
        <v>41</v>
      </c>
      <c r="AA3" t="s">
        <v>42</v>
      </c>
      <c r="AB3" t="s">
        <v>43</v>
      </c>
      <c r="AC3" t="s">
        <v>44</v>
      </c>
      <c r="AD3" t="s">
        <v>45</v>
      </c>
      <c r="AE3" t="s">
        <v>46</v>
      </c>
      <c r="AF3" t="s">
        <v>101</v>
      </c>
      <c r="AG3" t="s">
        <v>48</v>
      </c>
      <c r="AH3" t="s">
        <v>49</v>
      </c>
      <c r="AI3" t="s">
        <v>50</v>
      </c>
      <c r="AJ3" t="s">
        <v>51</v>
      </c>
      <c r="AK3" t="s">
        <v>52</v>
      </c>
      <c r="AL3" t="s">
        <v>53</v>
      </c>
      <c r="AM3" t="s">
        <v>54</v>
      </c>
      <c r="AN3" t="s">
        <v>55</v>
      </c>
      <c r="AO3" t="s">
        <v>56</v>
      </c>
      <c r="AP3" t="s">
        <v>57</v>
      </c>
      <c r="AQ3" t="s">
        <v>58</v>
      </c>
      <c r="AR3" t="s">
        <v>59</v>
      </c>
      <c r="AS3" t="s">
        <v>60</v>
      </c>
      <c r="AT3" t="s">
        <v>61</v>
      </c>
      <c r="AU3" t="s">
        <v>62</v>
      </c>
      <c r="AV3" t="s">
        <v>63</v>
      </c>
      <c r="AW3" t="s">
        <v>64</v>
      </c>
      <c r="AX3" t="s">
        <v>102</v>
      </c>
      <c r="AY3" t="s">
        <v>66</v>
      </c>
      <c r="AZ3" t="s">
        <v>67</v>
      </c>
      <c r="BA3" t="s">
        <v>68</v>
      </c>
      <c r="BB3" t="s">
        <v>103</v>
      </c>
      <c r="BC3" s="1" t="s">
        <v>70</v>
      </c>
      <c r="BD3" s="1" t="s">
        <v>71</v>
      </c>
      <c r="BE3" s="1" t="s">
        <v>72</v>
      </c>
      <c r="BF3" s="1" t="s">
        <v>73</v>
      </c>
      <c r="BG3" s="1" t="s">
        <v>74</v>
      </c>
      <c r="BH3" t="s">
        <v>75</v>
      </c>
      <c r="BI3" t="s">
        <v>76</v>
      </c>
      <c r="BJ3" t="s">
        <v>104</v>
      </c>
      <c r="BK3" t="s">
        <v>78</v>
      </c>
      <c r="BL3" t="s">
        <v>79</v>
      </c>
      <c r="BM3" t="s">
        <v>80</v>
      </c>
      <c r="BN3" t="s">
        <v>81</v>
      </c>
      <c r="BO3" t="s">
        <v>82</v>
      </c>
      <c r="BP3" t="s">
        <v>83</v>
      </c>
      <c r="BQ3" t="s">
        <v>84</v>
      </c>
      <c r="BR3" t="s">
        <v>85</v>
      </c>
      <c r="BS3" t="s">
        <v>86</v>
      </c>
      <c r="BT3" t="s">
        <v>87</v>
      </c>
      <c r="BU3" t="s">
        <v>88</v>
      </c>
      <c r="BV3" t="s">
        <v>89</v>
      </c>
      <c r="BW3" t="s">
        <v>90</v>
      </c>
      <c r="BX3" t="s">
        <v>91</v>
      </c>
      <c r="BY3" t="s">
        <v>92</v>
      </c>
      <c r="BZ3" t="s">
        <v>93</v>
      </c>
      <c r="CA3" t="s">
        <v>94</v>
      </c>
      <c r="CB3" t="s">
        <v>95</v>
      </c>
      <c r="CC3" t="s">
        <v>1</v>
      </c>
      <c r="CD3" t="s">
        <v>3</v>
      </c>
    </row>
    <row r="4" spans="1:82" ht="75" x14ac:dyDescent="0.25">
      <c r="A4">
        <v>1</v>
      </c>
      <c r="B4" t="s">
        <v>105</v>
      </c>
      <c r="C4">
        <v>7</v>
      </c>
      <c r="D4" t="s">
        <v>106</v>
      </c>
      <c r="E4" t="s">
        <v>107</v>
      </c>
      <c r="F4" t="s">
        <v>108</v>
      </c>
      <c r="G4" t="s">
        <v>108</v>
      </c>
      <c r="H4" s="1">
        <v>40745</v>
      </c>
      <c r="I4">
        <v>15600</v>
      </c>
      <c r="J4">
        <v>0</v>
      </c>
      <c r="K4">
        <v>0</v>
      </c>
      <c r="L4">
        <v>50</v>
      </c>
      <c r="M4">
        <v>0</v>
      </c>
      <c r="N4">
        <v>0</v>
      </c>
      <c r="O4" t="s">
        <v>3</v>
      </c>
      <c r="P4" t="s">
        <v>116</v>
      </c>
      <c r="Q4">
        <v>33</v>
      </c>
      <c r="R4">
        <v>0</v>
      </c>
      <c r="S4" t="s">
        <v>3</v>
      </c>
      <c r="T4">
        <v>0</v>
      </c>
      <c r="U4" t="s">
        <v>3</v>
      </c>
      <c r="V4">
        <v>0</v>
      </c>
      <c r="W4" t="s">
        <v>3</v>
      </c>
      <c r="X4">
        <v>0</v>
      </c>
      <c r="Y4">
        <v>0</v>
      </c>
      <c r="Z4">
        <v>0</v>
      </c>
      <c r="AA4">
        <v>0</v>
      </c>
      <c r="AB4" t="s">
        <v>8</v>
      </c>
      <c r="AC4" t="s">
        <v>13</v>
      </c>
      <c r="AD4" t="s">
        <v>109</v>
      </c>
      <c r="AE4">
        <v>0</v>
      </c>
      <c r="AF4" t="s">
        <v>110</v>
      </c>
      <c r="AG4" t="s">
        <v>111</v>
      </c>
      <c r="AH4" t="s">
        <v>112</v>
      </c>
      <c r="AI4" t="s">
        <v>5</v>
      </c>
      <c r="AJ4" t="s">
        <v>113</v>
      </c>
      <c r="AK4">
        <v>3311599272</v>
      </c>
      <c r="AL4" s="4" t="s">
        <v>114</v>
      </c>
      <c r="AM4" t="s">
        <v>3</v>
      </c>
      <c r="AN4" t="s">
        <v>115</v>
      </c>
      <c r="AO4" t="s">
        <v>112</v>
      </c>
      <c r="AP4" t="s">
        <v>3</v>
      </c>
      <c r="AQ4">
        <v>2</v>
      </c>
      <c r="AR4" t="s">
        <v>3</v>
      </c>
      <c r="AS4" t="s">
        <v>3</v>
      </c>
      <c r="AT4">
        <v>15</v>
      </c>
      <c r="AU4">
        <v>20.835594799999999</v>
      </c>
      <c r="AV4">
        <v>-103.73285370000001</v>
      </c>
      <c r="AW4">
        <v>0</v>
      </c>
      <c r="AX4">
        <v>15550</v>
      </c>
      <c r="AY4">
        <v>50</v>
      </c>
      <c r="AZ4">
        <v>4</v>
      </c>
      <c r="BA4">
        <v>0</v>
      </c>
      <c r="BB4">
        <v>74</v>
      </c>
      <c r="BC4" s="1">
        <v>43920</v>
      </c>
      <c r="BD4" s="1">
        <v>43928</v>
      </c>
      <c r="BE4" s="1" t="s">
        <v>110</v>
      </c>
      <c r="BF4" s="1">
        <v>1</v>
      </c>
      <c r="BG4" s="1">
        <v>33</v>
      </c>
      <c r="BH4">
        <v>0</v>
      </c>
      <c r="BI4">
        <v>0</v>
      </c>
      <c r="BJ4">
        <v>65</v>
      </c>
      <c r="BK4">
        <v>0</v>
      </c>
      <c r="BL4">
        <v>0</v>
      </c>
      <c r="BM4" s="2">
        <v>0</v>
      </c>
      <c r="BN4">
        <v>15600</v>
      </c>
      <c r="BO4">
        <v>0</v>
      </c>
      <c r="BP4">
        <v>0</v>
      </c>
      <c r="BQ4">
        <v>0</v>
      </c>
      <c r="BR4" t="s">
        <v>110</v>
      </c>
      <c r="BS4" s="1">
        <v>43920</v>
      </c>
      <c r="BT4" t="s">
        <v>110</v>
      </c>
      <c r="BU4">
        <v>0</v>
      </c>
      <c r="BV4">
        <v>0</v>
      </c>
      <c r="BW4">
        <v>1</v>
      </c>
      <c r="BX4">
        <v>0</v>
      </c>
      <c r="BY4">
        <v>0</v>
      </c>
      <c r="BZ4">
        <v>0</v>
      </c>
      <c r="CA4">
        <v>0</v>
      </c>
      <c r="CB4" t="s">
        <v>95</v>
      </c>
      <c r="CC4" t="s">
        <v>1</v>
      </c>
      <c r="CD4" t="s">
        <v>3</v>
      </c>
    </row>
    <row r="5" spans="1:82" x14ac:dyDescent="0.25">
      <c r="A5">
        <v>0</v>
      </c>
      <c r="B5">
        <f>Tabla1[[#This Row],[cadenaEs'[ecial]]+1</f>
        <v>1</v>
      </c>
      <c r="C5">
        <f>Tabla1[[#This Row],[Folio del contrato]]+1</f>
        <v>2</v>
      </c>
      <c r="D5">
        <f>Tabla1[[#This Row],[Estatus]]+1</f>
        <v>3</v>
      </c>
      <c r="E5">
        <f>Tabla1[[#This Row],[Paquete]]+1</f>
        <v>4</v>
      </c>
      <c r="F5">
        <f>Tabla1[[#This Row],[Estado]]+1</f>
        <v>5</v>
      </c>
      <c r="G5">
        <f>Tabla1[[#This Row],[Municipio]]+1</f>
        <v>6</v>
      </c>
      <c r="H5">
        <f>Tabla1[[#This Row],[Localidad]]+1</f>
        <v>7</v>
      </c>
      <c r="I5">
        <f>Tabla1[[#This Row],[Fecha de inscripcion]]+1</f>
        <v>8</v>
      </c>
      <c r="J5">
        <f>Tabla1[[#This Row],[precio del paquete]]+1</f>
        <v>9</v>
      </c>
      <c r="K5">
        <f>Tabla1[[#This Row],[promocion]]+1</f>
        <v>10</v>
      </c>
      <c r="L5">
        <f>Tabla1[[#This Row],[pago_inicial]]+1</f>
        <v>11</v>
      </c>
      <c r="M5">
        <f>Tabla1[[#This Row],[Abonos_de]]+1</f>
        <v>12</v>
      </c>
      <c r="N5">
        <f>Tabla1[[#This Row],[Plan_de_Pago]]+1</f>
        <v>13</v>
      </c>
      <c r="O5">
        <f>Tabla1[[#This Row],[limite_asignado]]+1</f>
        <v>14</v>
      </c>
      <c r="P5">
        <f>Tabla1[[#This Row],[Funeraria_Procedencia]]+1</f>
        <v>15</v>
      </c>
      <c r="Q5">
        <f>Tabla1[[#This Row],[archivo_adjunto]]+1</f>
        <v>16</v>
      </c>
      <c r="R5">
        <f>Tabla1[[#This Row],[Nombre del Vendedor]]+1</f>
        <v>17</v>
      </c>
      <c r="S5" t="s">
        <v>3</v>
      </c>
      <c r="T5">
        <v>18</v>
      </c>
      <c r="U5" t="s">
        <v>3</v>
      </c>
      <c r="V5">
        <v>19</v>
      </c>
      <c r="W5" t="s">
        <v>3</v>
      </c>
      <c r="X5">
        <v>20</v>
      </c>
      <c r="Y5">
        <f>Tabla1[[#This Row],[Bono]]+1</f>
        <v>21</v>
      </c>
      <c r="Z5">
        <f>Tabla1[[#This Row],[Bono_Asignado]]+1</f>
        <v>22</v>
      </c>
      <c r="AA5">
        <f>Tabla1[[#This Row],[Inscripcion]]+1</f>
        <v>23</v>
      </c>
      <c r="AB5">
        <f>Tabla1[[#This Row],[Inscripcion_Asignado]]+1</f>
        <v>24</v>
      </c>
      <c r="AC5">
        <f>Tabla1[[#This Row],[Apellido_Paterno]]+1</f>
        <v>25</v>
      </c>
      <c r="AD5">
        <f>Tabla1[[#This Row],[Apellido_Materno]]+1</f>
        <v>26</v>
      </c>
      <c r="AE5">
        <f>Tabla1[[#This Row],[Nombre]]+1</f>
        <v>27</v>
      </c>
      <c r="AF5">
        <f>Tabla1[[#This Row],[Estado_Civil]]+1</f>
        <v>28</v>
      </c>
      <c r="AG5">
        <f>Tabla1[[#This Row],[Nacimiento del cliente]]+1</f>
        <v>29</v>
      </c>
      <c r="AH5">
        <f>Tabla1[[#This Row],[IFE]]+1</f>
        <v>30</v>
      </c>
      <c r="AI5">
        <f>Tabla1[[#This Row],[Domicilio]]+1</f>
        <v>31</v>
      </c>
      <c r="AJ5">
        <f>Tabla1[[#This Row],[Colonia]]+1</f>
        <v>32</v>
      </c>
      <c r="AK5">
        <f>Tabla1[[#This Row],[Entre_Calles]]+1</f>
        <v>33</v>
      </c>
      <c r="AL5">
        <f>Tabla1[[#This Row],[Telefono]]+1</f>
        <v>34</v>
      </c>
      <c r="AM5">
        <f>Tabla1[[#This Row],[Beneficiario]]+1</f>
        <v>35</v>
      </c>
      <c r="AN5">
        <f>Tabla1[[#This Row],[Observaciones]]+1</f>
        <v>36</v>
      </c>
      <c r="AO5">
        <f>Tabla1[[#This Row],[archivo_contrato]]+1</f>
        <v>37</v>
      </c>
      <c r="AP5">
        <f>Tabla1[[#This Row],[Domicilio2]]+1</f>
        <v>38</v>
      </c>
      <c r="AQ5">
        <f>Tabla1[[#This Row],[Correo]]+1</f>
        <v>39</v>
      </c>
      <c r="AR5">
        <f>Tabla1[[#This Row],[dia_cobro]]+1</f>
        <v>40</v>
      </c>
      <c r="AS5">
        <f>Tabla1[[#This Row],[firma1]]+1</f>
        <v>41</v>
      </c>
      <c r="AT5">
        <f>Tabla1[[#This Row],[firma2]]+1</f>
        <v>42</v>
      </c>
      <c r="AU5">
        <f>Tabla1[[#This Row],[plazo_entrega]]+1</f>
        <v>43</v>
      </c>
      <c r="AV5">
        <f>Tabla1[[#This Row],[latitud]]+1</f>
        <v>44</v>
      </c>
      <c r="AW5">
        <f>Tabla1[[#This Row],[longitud]]+1</f>
        <v>45</v>
      </c>
      <c r="AX5">
        <f>Tabla1[[#This Row],[Tipo_Cobranza]]+1</f>
        <v>46</v>
      </c>
      <c r="AY5">
        <f>Tabla1[[#This Row],[Monto_Liquidado a la fecha]]+1</f>
        <v>47</v>
      </c>
      <c r="AZ5">
        <f>Tabla1[[#This Row],[Saldo_Deudor]]+1</f>
        <v>48</v>
      </c>
      <c r="BA5">
        <f>Tabla1[[#This Row],[horario_cobro]]+1</f>
        <v>49</v>
      </c>
      <c r="BB5">
        <f>Tabla1[[#This Row],[Estado_Cobro]]+1</f>
        <v>50</v>
      </c>
      <c r="BC5">
        <f>Tabla1[[#This Row],[Retrasos dias retrasados]]+1</f>
        <v>51</v>
      </c>
      <c r="BD5">
        <f>Tabla1[[#This Row],[ultimo_pago]]+1</f>
        <v>52</v>
      </c>
      <c r="BE5">
        <f>Tabla1[[#This Row],[pago_programado]]+1</f>
        <v>53</v>
      </c>
      <c r="BF5">
        <f>Tabla1[[#This Row],[fecha_entrega]]+1</f>
        <v>54</v>
      </c>
      <c r="BG5">
        <f>Tabla1[[#This Row],[idgrupo]]+1</f>
        <v>55</v>
      </c>
      <c r="BH5">
        <f>Tabla1[[#This Row],[idvendedor]]+1</f>
        <v>56</v>
      </c>
      <c r="BI5">
        <f>Tabla1[[#This Row],[idlider]]+1</f>
        <v>57</v>
      </c>
      <c r="BJ5">
        <f>Tabla1[[#This Row],[idgerente]]+1</f>
        <v>58</v>
      </c>
      <c r="BK5">
        <f>Tabla1[[#This Row],[Colonia de cobranza]]+1</f>
        <v>59</v>
      </c>
      <c r="BL5">
        <f>Tabla1[[#This Row],[edad]]+1</f>
        <v>60</v>
      </c>
      <c r="BM5">
        <f>Tabla1[[#This Row],[genero]]+1</f>
        <v>61</v>
      </c>
      <c r="BN5">
        <f>Tabla1[[#This Row],[hora_calle]]+1</f>
        <v>62</v>
      </c>
      <c r="BO5">
        <f>Tabla1[[#This Row],[precio_paquete]]+1</f>
        <v>63</v>
      </c>
      <c r="BP5">
        <f>Tabla1[[#This Row],[NumeroServicio]]+1</f>
        <v>64</v>
      </c>
      <c r="BQ5">
        <f>Tabla1[[#This Row],[NumeroFactura]]+1</f>
        <v>65</v>
      </c>
      <c r="BR5">
        <f>Tabla1[[#This Row],[NumeroTitulo]]+1</f>
        <v>66</v>
      </c>
      <c r="BS5">
        <f>Tabla1[[#This Row],[Fecha_Cancelacion]]+1</f>
        <v>67</v>
      </c>
      <c r="BT5">
        <f>Tabla1[[#This Row],[Fecha_Pagado]]+1</f>
        <v>68</v>
      </c>
      <c r="BU5">
        <f>Tabla1[[#This Row],[Fecha_Utilizado]]+1</f>
        <v>69</v>
      </c>
      <c r="BV5">
        <f>Tabla1[[#This Row],[idpaquete_kit]]+1</f>
        <v>70</v>
      </c>
      <c r="BW5">
        <f>Tabla1[[#This Row],[deleted]]+1</f>
        <v>71</v>
      </c>
      <c r="BX5">
        <f>Tabla1[[#This Row],[idsucursal]]+1</f>
        <v>72</v>
      </c>
      <c r="BY5">
        <f>Tabla1[[#This Row],[pagos]]+1</f>
        <v>73</v>
      </c>
      <c r="BZ5">
        <f>Tabla1[[#This Row],[tipo_comision_vendedor]]+1</f>
        <v>74</v>
      </c>
      <c r="CA5">
        <f>Tabla1[[#This Row],[tipo_comision_lider]]+1</f>
        <v>75</v>
      </c>
      <c r="CB5" t="s">
        <v>95</v>
      </c>
      <c r="CC5" t="s">
        <v>1</v>
      </c>
      <c r="CD5" t="s">
        <v>3</v>
      </c>
    </row>
    <row r="6" spans="1:82" x14ac:dyDescent="0.25">
      <c r="A6" t="s">
        <v>126</v>
      </c>
      <c r="B6" t="s">
        <v>127</v>
      </c>
      <c r="C6">
        <v>3</v>
      </c>
      <c r="D6" t="s">
        <v>14</v>
      </c>
      <c r="E6" t="s">
        <v>12</v>
      </c>
      <c r="F6" t="s">
        <v>120</v>
      </c>
      <c r="G6" t="s">
        <v>120</v>
      </c>
      <c r="H6" t="s">
        <v>128</v>
      </c>
      <c r="I6">
        <v>12900</v>
      </c>
      <c r="J6" t="s">
        <v>1</v>
      </c>
      <c r="K6" t="s">
        <v>1</v>
      </c>
      <c r="L6">
        <v>400</v>
      </c>
      <c r="M6">
        <v>2</v>
      </c>
      <c r="N6" t="s">
        <v>1</v>
      </c>
      <c r="O6" t="s">
        <v>1</v>
      </c>
      <c r="P6" t="s">
        <v>1</v>
      </c>
      <c r="Q6" t="s">
        <v>1</v>
      </c>
      <c r="R6" t="s">
        <v>1</v>
      </c>
      <c r="S6" t="s">
        <v>1</v>
      </c>
      <c r="T6" t="s">
        <v>1</v>
      </c>
      <c r="U6" t="s">
        <v>1</v>
      </c>
      <c r="V6" t="s">
        <v>1</v>
      </c>
      <c r="W6" t="s">
        <v>1</v>
      </c>
      <c r="X6" t="s">
        <v>1</v>
      </c>
      <c r="Y6" t="s">
        <v>1</v>
      </c>
      <c r="Z6" t="s">
        <v>1</v>
      </c>
      <c r="AA6" t="s">
        <v>1</v>
      </c>
      <c r="AB6" t="s">
        <v>15</v>
      </c>
      <c r="AC6" t="s">
        <v>125</v>
      </c>
      <c r="AD6" t="s">
        <v>123</v>
      </c>
      <c r="AE6" t="s">
        <v>4</v>
      </c>
      <c r="AF6" s="1" t="s">
        <v>1</v>
      </c>
      <c r="AG6" t="s">
        <v>1</v>
      </c>
      <c r="AH6" t="s">
        <v>129</v>
      </c>
      <c r="AI6" t="s">
        <v>119</v>
      </c>
      <c r="AJ6" t="s">
        <v>1</v>
      </c>
      <c r="AK6">
        <v>9331169247</v>
      </c>
      <c r="AL6" t="s">
        <v>1</v>
      </c>
      <c r="AM6" t="s">
        <v>1</v>
      </c>
      <c r="AN6" t="s">
        <v>1</v>
      </c>
      <c r="AO6" s="5" t="s">
        <v>130</v>
      </c>
      <c r="AP6" t="s">
        <v>1</v>
      </c>
      <c r="AQ6" t="s">
        <v>122</v>
      </c>
      <c r="AR6" t="s">
        <v>1</v>
      </c>
      <c r="AS6" t="s">
        <v>1</v>
      </c>
      <c r="AT6" t="s">
        <v>1</v>
      </c>
      <c r="AU6" t="s">
        <v>1</v>
      </c>
      <c r="AV6" t="s">
        <v>1</v>
      </c>
      <c r="AW6" t="s">
        <v>11</v>
      </c>
      <c r="AX6">
        <v>9000</v>
      </c>
      <c r="AY6">
        <v>3900</v>
      </c>
      <c r="AZ6" t="s">
        <v>1</v>
      </c>
      <c r="BA6" t="s">
        <v>1</v>
      </c>
      <c r="BB6" t="s">
        <v>1</v>
      </c>
      <c r="BC6" t="s">
        <v>117</v>
      </c>
      <c r="BD6" t="s">
        <v>133</v>
      </c>
      <c r="BE6" s="1" t="s">
        <v>1</v>
      </c>
      <c r="BF6" t="s">
        <v>1</v>
      </c>
      <c r="BG6" s="1" t="s">
        <v>1</v>
      </c>
      <c r="BH6" t="s">
        <v>1</v>
      </c>
      <c r="BI6" t="s">
        <v>1</v>
      </c>
      <c r="BJ6" t="s">
        <v>119</v>
      </c>
      <c r="BK6" t="s">
        <v>1</v>
      </c>
      <c r="BL6" t="s">
        <v>131</v>
      </c>
      <c r="BM6" s="2" t="s">
        <v>1</v>
      </c>
      <c r="BN6">
        <v>12900</v>
      </c>
      <c r="BO6" t="s">
        <v>1</v>
      </c>
      <c r="BP6" t="s">
        <v>1</v>
      </c>
      <c r="BQ6" t="s">
        <v>1</v>
      </c>
      <c r="BR6" t="s">
        <v>1</v>
      </c>
      <c r="BS6" t="s">
        <v>1</v>
      </c>
      <c r="BT6" t="s">
        <v>1</v>
      </c>
      <c r="BU6" t="s">
        <v>1</v>
      </c>
      <c r="BV6" t="s">
        <v>1</v>
      </c>
      <c r="BW6" t="s">
        <v>10</v>
      </c>
      <c r="BX6" t="s">
        <v>1</v>
      </c>
      <c r="BY6" t="s">
        <v>3</v>
      </c>
      <c r="BZ6" t="s">
        <v>3</v>
      </c>
      <c r="CA6" t="s">
        <v>3</v>
      </c>
      <c r="CB6" t="s">
        <v>95</v>
      </c>
      <c r="CC6" t="s">
        <v>1</v>
      </c>
      <c r="CD6" t="str" cm="1">
        <f t="array" aca="1" ref="CD6" ca="1">eConcatenar(A6:CB6,"|")</f>
        <v>sXd3zoQceyNtFnn2|COM2019-2501|3|ECONOLINE |TABASCO |COMALCALCO |COMALCALCO |2019-9-3|12900|X|X|400|2|X|X|X|X|X|X|X|X|X|X|X|X|X|X|PEREZ |ROMERO |LUIS ROBERTO |SOLTERO|X|X|CALLEJON DOÑA BENITA SIN NUMERO |ORIENTE PRIMERA SECCION |X|9331169247|X|X|X|RUTA 4 L |X|LUNES |X|X|X|X|X|DOMICILIO |9000|3900|X|X|X|2021-9-7|2021-10-4|X|X|X|X|X|ORIENTE PRIMERA SECCION |X|HOMBRE |X|12900|X|X|X|X|X|X|X|X|CARDENAS |X|x|x|x|final</v>
      </c>
    </row>
    <row r="7" spans="1:82" x14ac:dyDescent="0.25">
      <c r="AO7" s="5"/>
      <c r="BE7" s="1"/>
      <c r="CC7" t="s">
        <v>1</v>
      </c>
      <c r="CD7" t="str" cm="1">
        <f t="array" aca="1" ref="CD7" ca="1">eConcatenar(A7:CB7,"|")</f>
        <v>|||||||||||||||||||||||||||||||||||||||||||||||||||||||||||||||||||||||||||||||</v>
      </c>
    </row>
    <row r="8" spans="1:82" x14ac:dyDescent="0.25">
      <c r="A8" t="s">
        <v>136</v>
      </c>
      <c r="B8" t="s">
        <v>137</v>
      </c>
      <c r="C8">
        <v>3</v>
      </c>
      <c r="D8" t="s">
        <v>121</v>
      </c>
      <c r="E8" t="s">
        <v>12</v>
      </c>
      <c r="F8" t="s">
        <v>124</v>
      </c>
      <c r="G8" t="s">
        <v>138</v>
      </c>
      <c r="H8" t="s">
        <v>134</v>
      </c>
      <c r="I8">
        <v>12900</v>
      </c>
      <c r="J8" t="s">
        <v>1</v>
      </c>
      <c r="K8" t="s">
        <v>1</v>
      </c>
      <c r="L8">
        <v>100</v>
      </c>
      <c r="M8">
        <v>0</v>
      </c>
      <c r="N8" t="s">
        <v>3</v>
      </c>
      <c r="O8" t="s">
        <v>1</v>
      </c>
      <c r="P8" t="s">
        <v>1</v>
      </c>
      <c r="Q8" t="s">
        <v>1</v>
      </c>
      <c r="R8" t="s">
        <v>1</v>
      </c>
      <c r="S8" t="s">
        <v>1</v>
      </c>
      <c r="T8" t="s">
        <v>1</v>
      </c>
      <c r="U8" t="s">
        <v>1</v>
      </c>
      <c r="V8" t="s">
        <v>1</v>
      </c>
      <c r="W8" t="s">
        <v>1</v>
      </c>
      <c r="X8" t="s">
        <v>1</v>
      </c>
      <c r="Y8" t="s">
        <v>1</v>
      </c>
      <c r="Z8" t="s">
        <v>1</v>
      </c>
      <c r="AA8" t="s">
        <v>3</v>
      </c>
      <c r="AB8" t="s">
        <v>139</v>
      </c>
      <c r="AC8" t="s">
        <v>7</v>
      </c>
      <c r="AD8" t="s">
        <v>9</v>
      </c>
      <c r="AE8" t="s">
        <v>6</v>
      </c>
      <c r="AF8" t="s">
        <v>1</v>
      </c>
      <c r="AG8" t="s">
        <v>1</v>
      </c>
      <c r="AH8" t="s">
        <v>140</v>
      </c>
      <c r="AI8" t="s">
        <v>135</v>
      </c>
      <c r="AJ8" t="s">
        <v>1</v>
      </c>
      <c r="AK8">
        <v>9141372179</v>
      </c>
      <c r="AL8" t="s">
        <v>141</v>
      </c>
      <c r="AM8" t="s">
        <v>142</v>
      </c>
      <c r="AN8" t="s">
        <v>1</v>
      </c>
      <c r="AO8" t="s">
        <v>135</v>
      </c>
      <c r="AP8" t="s">
        <v>1</v>
      </c>
      <c r="AQ8" t="s">
        <v>2</v>
      </c>
      <c r="AR8" t="s">
        <v>3</v>
      </c>
      <c r="AS8" t="s">
        <v>3</v>
      </c>
      <c r="AT8" t="s">
        <v>1</v>
      </c>
      <c r="AU8" t="s">
        <v>1</v>
      </c>
      <c r="AV8" t="s">
        <v>1</v>
      </c>
      <c r="AW8" t="s">
        <v>11</v>
      </c>
      <c r="AX8">
        <v>4450</v>
      </c>
      <c r="AY8">
        <v>8450</v>
      </c>
      <c r="AZ8" t="s">
        <v>3</v>
      </c>
      <c r="BA8" t="s">
        <v>3</v>
      </c>
      <c r="BB8" t="s">
        <v>1</v>
      </c>
      <c r="BC8" t="s">
        <v>118</v>
      </c>
      <c r="BD8" t="s">
        <v>133</v>
      </c>
      <c r="BE8" t="s">
        <v>1</v>
      </c>
      <c r="BF8" t="s">
        <v>3</v>
      </c>
      <c r="BG8" t="s">
        <v>1</v>
      </c>
      <c r="BH8" t="s">
        <v>3</v>
      </c>
      <c r="BI8" t="s">
        <v>3</v>
      </c>
      <c r="BJ8" t="s">
        <v>143</v>
      </c>
      <c r="BK8" t="s">
        <v>1</v>
      </c>
      <c r="BL8" t="s">
        <v>132</v>
      </c>
      <c r="BM8" t="s">
        <v>3</v>
      </c>
      <c r="BN8">
        <v>12900</v>
      </c>
      <c r="BO8" t="s">
        <v>3</v>
      </c>
      <c r="BP8" t="s">
        <v>3</v>
      </c>
      <c r="BQ8" t="s">
        <v>3</v>
      </c>
      <c r="BR8" t="s">
        <v>1</v>
      </c>
      <c r="BS8" t="s">
        <v>1</v>
      </c>
      <c r="BT8" t="s">
        <v>1</v>
      </c>
      <c r="BU8" t="s">
        <v>1</v>
      </c>
      <c r="BV8" t="s">
        <v>1</v>
      </c>
      <c r="BW8" t="s">
        <v>0</v>
      </c>
      <c r="BX8" t="s">
        <v>3</v>
      </c>
      <c r="BY8" t="s">
        <v>3</v>
      </c>
      <c r="BZ8" t="s">
        <v>3</v>
      </c>
      <c r="CA8" t="s">
        <v>3</v>
      </c>
      <c r="CB8" t="s">
        <v>3</v>
      </c>
      <c r="CD8" t="str" cm="1">
        <f t="array" aca="1" ref="CD8" ca="1">eConcatenar(A8:CB8,"|")</f>
        <v>094HQJPFKmzvG5Yx|CAR 2020-5204|3|IMPERIAL DE LUJO |TABASCO |CUNDUACAN |CUANDUACAN |2020-12-5|12900|X|X|100|0|x|X|X|X|X|X|X|X|X|X|X|X|X|x|CORTOZA|LOPEZ|ROBERTO|CASADO|X|X|CARRETERA A BENITO JUAREZ|HUIMANGO SEGUNDA SECCION LA MONA |X|9141372179|MARIA DEL ROSARIO CORTAZA GARCIA |BENEFICIARIO 2: MARISOL CORTAZA GARCIA |X|HUIMANGO SEGUNDA SECCION LA MONA |X|LUNES|x|x|X|X|X|DOMICILIO |4450|8450|x|x|X|2021-9-27|2021-10-4|X|x|X|x|x|NL2E7OEHPWYUH7Y|X|HOMBRE|x|12900|x|x|x|X|X|X|X|X|CARDENAS|x|x|x|x|x</v>
      </c>
    </row>
    <row r="9" spans="1:82" s="5" customFormat="1" x14ac:dyDescent="0.25">
      <c r="CD9" s="5" t="str" cm="1">
        <f t="array" aca="1" ref="CD9" ca="1">eConcatenar(A9:CB9,"|")</f>
        <v>|||||||||||||||||||||||||||||||||||||||||||||||||||||||||||||||||||||||||||||||</v>
      </c>
    </row>
    <row r="10" spans="1:82" x14ac:dyDescent="0.25">
      <c r="A10" t="s">
        <v>144</v>
      </c>
      <c r="B10" t="s">
        <v>216</v>
      </c>
      <c r="C10">
        <v>3</v>
      </c>
      <c r="D10" t="s">
        <v>288</v>
      </c>
      <c r="E10" t="s">
        <v>294</v>
      </c>
      <c r="F10" t="s">
        <v>0</v>
      </c>
      <c r="G10" t="s">
        <v>0</v>
      </c>
      <c r="H10" t="s">
        <v>298</v>
      </c>
      <c r="I10">
        <v>12900</v>
      </c>
      <c r="J10">
        <v>0</v>
      </c>
      <c r="K10">
        <v>0</v>
      </c>
      <c r="L10">
        <v>50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 s="5" t="s">
        <v>362</v>
      </c>
      <c r="AC10" s="5" t="s">
        <v>363</v>
      </c>
      <c r="AD10" s="17" t="s">
        <v>364</v>
      </c>
      <c r="AE10" t="s">
        <v>496</v>
      </c>
      <c r="AF10">
        <v>0</v>
      </c>
      <c r="AG10">
        <v>0</v>
      </c>
      <c r="AH10" t="s">
        <v>497</v>
      </c>
      <c r="AI10" t="s">
        <v>562</v>
      </c>
      <c r="AJ10" t="s">
        <v>3</v>
      </c>
      <c r="AK10">
        <v>9371409990</v>
      </c>
      <c r="AL10" t="s">
        <v>3</v>
      </c>
      <c r="AM10" t="s">
        <v>3</v>
      </c>
      <c r="AN10" t="s">
        <v>3</v>
      </c>
      <c r="AO10" t="s">
        <v>497</v>
      </c>
      <c r="AP10">
        <v>0</v>
      </c>
      <c r="AQ10" t="s">
        <v>611</v>
      </c>
      <c r="AR10">
        <v>0</v>
      </c>
      <c r="AS10">
        <v>0</v>
      </c>
      <c r="AT10">
        <v>0</v>
      </c>
      <c r="AU10">
        <v>0</v>
      </c>
      <c r="AV10">
        <v>0</v>
      </c>
      <c r="AW10" t="s">
        <v>11</v>
      </c>
      <c r="AX10">
        <f>Tabla1[[#This Row],[precio del paquete]]-Tabla1[[#This Row],[Saldo_Deudor]]</f>
        <v>4900</v>
      </c>
      <c r="AY10">
        <v>8000</v>
      </c>
      <c r="AZ10" t="s">
        <v>1</v>
      </c>
      <c r="BA10" t="s">
        <v>1</v>
      </c>
      <c r="BB10" t="s">
        <v>1</v>
      </c>
      <c r="BC10" t="s">
        <v>612</v>
      </c>
      <c r="BD10" t="s">
        <v>616</v>
      </c>
      <c r="BE10">
        <v>0</v>
      </c>
      <c r="BF10">
        <v>0</v>
      </c>
      <c r="BG10">
        <v>0</v>
      </c>
      <c r="BH10">
        <v>0</v>
      </c>
      <c r="BI10">
        <v>0</v>
      </c>
      <c r="BJ10" t="s">
        <v>677</v>
      </c>
      <c r="BK10">
        <v>0</v>
      </c>
      <c r="BL10" t="s">
        <v>132</v>
      </c>
      <c r="BM10">
        <v>0</v>
      </c>
      <c r="BN10">
        <v>12900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 t="s">
        <v>0</v>
      </c>
      <c r="BX10">
        <v>0</v>
      </c>
      <c r="BY10">
        <v>0</v>
      </c>
      <c r="BZ10">
        <v>0</v>
      </c>
      <c r="CA10">
        <v>0</v>
      </c>
      <c r="CB10" t="s">
        <v>686</v>
      </c>
      <c r="CD10" t="str" cm="1">
        <f t="array" aca="1" ref="CD10" ca="1">eConcatenar(A10:CB10,"|")</f>
        <v>8YIzTnSyWRdJR5lB|CAR2020-2043|3|IMPERIAL DEL LUJO|TABASCO|CARDENAS|CARDENAS|2020-07-30|12900|0|0|50|1|0|0|0|0|0|0|0|0|0|0|0|0|0|0|ARSIA|DE LA CRUZ|CARMEN|soltero|0|0|CALLE PROLONGACION DE CARRILLO|COLONIA PUEBLO NUEVO|x|9371409990|x|x|x|CALLE PROLONGACION DE CARRILLO|0|lunes|0|0|0|0|0|DOMICILIO |4900|8000|X|X|X|2022-02-16|2022-02-23|0|0|0|0|0|XJ7NCYLLDZFLMWF|0|HOMBRE|0|12900|0|0|0|0|0|0|0|0|CARDENAS|0|0|0|0|FINAL</v>
      </c>
    </row>
    <row r="11" spans="1:82" x14ac:dyDescent="0.25">
      <c r="A11" t="s">
        <v>145</v>
      </c>
      <c r="B11" t="s">
        <v>217</v>
      </c>
      <c r="C11">
        <v>3</v>
      </c>
      <c r="D11" t="s">
        <v>288</v>
      </c>
      <c r="E11" t="s">
        <v>294</v>
      </c>
      <c r="F11" t="s">
        <v>0</v>
      </c>
      <c r="G11" t="s">
        <v>0</v>
      </c>
      <c r="H11" t="s">
        <v>299</v>
      </c>
      <c r="I11">
        <v>12900</v>
      </c>
      <c r="J11">
        <v>0</v>
      </c>
      <c r="K11">
        <v>0</v>
      </c>
      <c r="L11">
        <v>50</v>
      </c>
      <c r="M11">
        <v>2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 t="s">
        <v>365</v>
      </c>
      <c r="AC11" t="s">
        <v>366</v>
      </c>
      <c r="AD11" s="18" t="s">
        <v>9</v>
      </c>
      <c r="AE11" t="s">
        <v>496</v>
      </c>
      <c r="AF11">
        <v>0</v>
      </c>
      <c r="AG11">
        <v>0</v>
      </c>
      <c r="AH11" t="s">
        <v>498</v>
      </c>
      <c r="AI11" t="s">
        <v>563</v>
      </c>
      <c r="AJ11" t="s">
        <v>3</v>
      </c>
      <c r="AK11">
        <v>9371345120</v>
      </c>
      <c r="AL11" t="s">
        <v>3</v>
      </c>
      <c r="AM11" t="s">
        <v>3</v>
      </c>
      <c r="AN11" t="s">
        <v>3</v>
      </c>
      <c r="AO11" t="s">
        <v>498</v>
      </c>
      <c r="AP11">
        <v>0</v>
      </c>
      <c r="AQ11" t="s">
        <v>611</v>
      </c>
      <c r="AR11">
        <v>0</v>
      </c>
      <c r="AS11">
        <v>0</v>
      </c>
      <c r="AT11">
        <v>0</v>
      </c>
      <c r="AU11">
        <v>0</v>
      </c>
      <c r="AV11">
        <v>0</v>
      </c>
      <c r="AW11" t="s">
        <v>11</v>
      </c>
      <c r="AX11">
        <f>Tabla1[[#This Row],[precio del paquete]]-Tabla1[[#This Row],[Saldo_Deudor]]</f>
        <v>4400</v>
      </c>
      <c r="AY11">
        <v>8500</v>
      </c>
      <c r="AZ11" t="s">
        <v>1</v>
      </c>
      <c r="BA11" t="s">
        <v>1</v>
      </c>
      <c r="BB11" t="s">
        <v>1</v>
      </c>
      <c r="BC11" t="s">
        <v>612</v>
      </c>
      <c r="BD11" t="s">
        <v>616</v>
      </c>
      <c r="BE11">
        <v>0</v>
      </c>
      <c r="BF11">
        <v>0</v>
      </c>
      <c r="BG11">
        <v>0</v>
      </c>
      <c r="BH11">
        <v>0</v>
      </c>
      <c r="BI11">
        <v>0</v>
      </c>
      <c r="BJ11" t="s">
        <v>677</v>
      </c>
      <c r="BK11">
        <v>0</v>
      </c>
      <c r="BL11" t="s">
        <v>132</v>
      </c>
      <c r="BM11">
        <v>0</v>
      </c>
      <c r="BN11">
        <v>12900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 t="s">
        <v>0</v>
      </c>
      <c r="BX11">
        <v>0</v>
      </c>
      <c r="BY11">
        <v>0</v>
      </c>
      <c r="BZ11">
        <v>0</v>
      </c>
      <c r="CA11">
        <v>0</v>
      </c>
      <c r="CB11" t="s">
        <v>686</v>
      </c>
      <c r="CD11" t="str" cm="1">
        <f t="array" aca="1" ref="CD11" ca="1">eConcatenar(A11:CB11,"|")</f>
        <v>VC3sAyEhMG0n2JZK|CAR2020-2477|3|IMPERIAL DEL LUJO|TABASCO|CARDENAS|CARDENAS|2020-08-17|12900|0|0|50|2|0|0|0|0|0|0|0|0|0|0|0|0|0|0|JIMENEZ|DOMINGUEZ|ROBERTO|soltero|0|0|CALLE FRANCISCO I MADERO|COLONIA CENTRO|x|9371345120|x|x|x|CALLE FRANCISCO I MADERO|0|lunes|0|0|0|0|0|DOMICILIO |4400|8500|X|X|X|2022-02-16|2022-02-23|0|0|0|0|0|XJ7NCYLLDZFLMWF|0|HOMBRE|0|12900|0|0|0|0|0|0|0|0|CARDENAS|0|0|0|0|FINAL</v>
      </c>
    </row>
    <row r="12" spans="1:82" x14ac:dyDescent="0.25">
      <c r="A12" t="s">
        <v>146</v>
      </c>
      <c r="B12" t="s">
        <v>218</v>
      </c>
      <c r="C12">
        <v>3</v>
      </c>
      <c r="D12" t="s">
        <v>289</v>
      </c>
      <c r="E12" t="s">
        <v>294</v>
      </c>
      <c r="F12" t="s">
        <v>0</v>
      </c>
      <c r="G12" t="s">
        <v>0</v>
      </c>
      <c r="H12" t="s">
        <v>300</v>
      </c>
      <c r="I12">
        <v>14800</v>
      </c>
      <c r="J12">
        <v>0</v>
      </c>
      <c r="K12">
        <v>0</v>
      </c>
      <c r="L12">
        <v>50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 t="s">
        <v>367</v>
      </c>
      <c r="AC12" t="s">
        <v>368</v>
      </c>
      <c r="AD12" s="18" t="s">
        <v>369</v>
      </c>
      <c r="AE12" t="s">
        <v>496</v>
      </c>
      <c r="AF12">
        <v>0</v>
      </c>
      <c r="AG12">
        <v>0</v>
      </c>
      <c r="AH12" t="s">
        <v>499</v>
      </c>
      <c r="AI12" t="s">
        <v>564</v>
      </c>
      <c r="AJ12" t="s">
        <v>3</v>
      </c>
      <c r="AK12">
        <v>9373728282</v>
      </c>
      <c r="AL12" t="s">
        <v>3</v>
      </c>
      <c r="AM12" t="s">
        <v>3</v>
      </c>
      <c r="AN12" t="s">
        <v>3</v>
      </c>
      <c r="AO12" t="s">
        <v>499</v>
      </c>
      <c r="AP12">
        <v>0</v>
      </c>
      <c r="AQ12" t="s">
        <v>611</v>
      </c>
      <c r="AR12">
        <v>0</v>
      </c>
      <c r="AS12">
        <v>0</v>
      </c>
      <c r="AT12">
        <v>0</v>
      </c>
      <c r="AU12">
        <v>0</v>
      </c>
      <c r="AV12">
        <v>0</v>
      </c>
      <c r="AW12" t="s">
        <v>11</v>
      </c>
      <c r="AX12">
        <f>Tabla1[[#This Row],[precio del paquete]]-Tabla1[[#This Row],[Saldo_Deudor]]</f>
        <v>5000</v>
      </c>
      <c r="AY12">
        <v>9800</v>
      </c>
      <c r="AZ12" t="s">
        <v>1</v>
      </c>
      <c r="BA12" t="s">
        <v>1</v>
      </c>
      <c r="BB12" t="s">
        <v>1</v>
      </c>
      <c r="BC12" t="s">
        <v>613</v>
      </c>
      <c r="BD12" t="s">
        <v>645</v>
      </c>
      <c r="BE12">
        <v>0</v>
      </c>
      <c r="BF12">
        <v>0</v>
      </c>
      <c r="BG12">
        <v>0</v>
      </c>
      <c r="BH12">
        <v>0</v>
      </c>
      <c r="BI12">
        <v>0</v>
      </c>
      <c r="BJ12" t="s">
        <v>678</v>
      </c>
      <c r="BK12">
        <v>0</v>
      </c>
      <c r="BL12" t="s">
        <v>132</v>
      </c>
      <c r="BM12">
        <v>0</v>
      </c>
      <c r="BN12">
        <v>14800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 t="s">
        <v>0</v>
      </c>
      <c r="BX12">
        <v>0</v>
      </c>
      <c r="BY12">
        <v>0</v>
      </c>
      <c r="BZ12">
        <v>0</v>
      </c>
      <c r="CA12">
        <v>0</v>
      </c>
      <c r="CB12" t="s">
        <v>686</v>
      </c>
      <c r="CD12" t="str" cm="1">
        <f t="array" aca="1" ref="CD12" ca="1">eConcatenar(A12:CB12,"|")</f>
        <v>G1VnGDJEARBuSjoq|CAR2021-6668|3|MEMORIAL|TABASCO|CARDENAS|CARDENAS|2021-05-11|14800|0|0|50|0|0|0|0|0|0|0|0|0|0|0|0|0|0|0|CORDOVA|GARCIA|BENITO|soltero|0|0|CALLE 9 SIN NUMERO|FRACCIONAMIENTO CAÃ‘ALES SEGUNDA ETAPA|x|9373728282|x|x|x|CALLE 9 SIN NUMERO|0|lunes|0|0|0|0|0|DOMICILIO |5000|9800|X|X|X|2022-10-03|2022-10-10|0|0|0|0|0|QX002L6W9KVTQO|0|HOMBRE|0|14800|0|0|0|0|0|0|0|0|CARDENAS|0|0|0|0|FINAL</v>
      </c>
    </row>
    <row r="13" spans="1:82" x14ac:dyDescent="0.25">
      <c r="A13" t="s">
        <v>147</v>
      </c>
      <c r="B13" t="s">
        <v>219</v>
      </c>
      <c r="C13">
        <v>3</v>
      </c>
      <c r="D13" t="s">
        <v>290</v>
      </c>
      <c r="E13" t="s">
        <v>294</v>
      </c>
      <c r="F13" t="s">
        <v>0</v>
      </c>
      <c r="G13" t="s">
        <v>0</v>
      </c>
      <c r="H13" t="s">
        <v>301</v>
      </c>
      <c r="I13">
        <v>12900</v>
      </c>
      <c r="J13">
        <v>0</v>
      </c>
      <c r="K13">
        <v>0</v>
      </c>
      <c r="L13">
        <v>50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 t="s">
        <v>370</v>
      </c>
      <c r="AC13" t="s">
        <v>371</v>
      </c>
      <c r="AD13" s="18" t="s">
        <v>372</v>
      </c>
      <c r="AE13" t="s">
        <v>496</v>
      </c>
      <c r="AF13">
        <v>0</v>
      </c>
      <c r="AG13">
        <v>0</v>
      </c>
      <c r="AH13" t="s">
        <v>500</v>
      </c>
      <c r="AI13" t="s">
        <v>565</v>
      </c>
      <c r="AJ13" t="s">
        <v>3</v>
      </c>
      <c r="AK13">
        <v>9371440170</v>
      </c>
      <c r="AL13" t="s">
        <v>3</v>
      </c>
      <c r="AM13" t="s">
        <v>3</v>
      </c>
      <c r="AN13" t="s">
        <v>3</v>
      </c>
      <c r="AO13" t="s">
        <v>500</v>
      </c>
      <c r="AP13">
        <v>0</v>
      </c>
      <c r="AQ13" t="s">
        <v>611</v>
      </c>
      <c r="AR13">
        <v>0</v>
      </c>
      <c r="AS13">
        <v>0</v>
      </c>
      <c r="AT13">
        <v>0</v>
      </c>
      <c r="AU13">
        <v>0</v>
      </c>
      <c r="AV13">
        <v>0</v>
      </c>
      <c r="AW13" t="s">
        <v>11</v>
      </c>
      <c r="AX13">
        <f>Tabla1[[#This Row],[precio del paquete]]-Tabla1[[#This Row],[Saldo_Deudor]]</f>
        <v>7900</v>
      </c>
      <c r="AY13">
        <v>5000</v>
      </c>
      <c r="AZ13" t="s">
        <v>1</v>
      </c>
      <c r="BA13" t="s">
        <v>1</v>
      </c>
      <c r="BB13" t="s">
        <v>1</v>
      </c>
      <c r="BC13" t="s">
        <v>613</v>
      </c>
      <c r="BD13" t="s">
        <v>645</v>
      </c>
      <c r="BE13">
        <v>0</v>
      </c>
      <c r="BF13">
        <v>0</v>
      </c>
      <c r="BG13">
        <v>0</v>
      </c>
      <c r="BH13">
        <v>0</v>
      </c>
      <c r="BI13">
        <v>0</v>
      </c>
      <c r="BJ13" t="s">
        <v>678</v>
      </c>
      <c r="BK13">
        <v>0</v>
      </c>
      <c r="BL13" t="s">
        <v>132</v>
      </c>
      <c r="BM13">
        <v>0</v>
      </c>
      <c r="BN13">
        <v>12900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 t="s">
        <v>0</v>
      </c>
      <c r="BX13">
        <v>0</v>
      </c>
      <c r="BY13">
        <v>0</v>
      </c>
      <c r="BZ13">
        <v>0</v>
      </c>
      <c r="CA13">
        <v>0</v>
      </c>
      <c r="CB13" t="s">
        <v>686</v>
      </c>
      <c r="CD13" t="str" cm="1">
        <f t="array" aca="1" ref="CD13" ca="1">eConcatenar(A13:CB13,"|")</f>
        <v>PM9ZsfciZLGr1ZJW|CAR2018-1490|3|ECONOLINE|TABASCO|CARDENAS|CARDENAS|2018-09-28|12900|0|0|50|0|0|0|0|0|0|0|0|0|0|0|0|0|0|0|MARTINEZ|DIAZ|ENRIQUETA|soltero|0|0|COLONIA INDEPENDENCIA|RANCHERIA MIGUEL HIDALGO|x|9371440170|x|x|x|COLONIA INDEPENDENCIA|0|lunes|0|0|0|0|0|DOMICILIO |7900|5000|X|X|X|2022-10-03|2022-10-10|0|0|0|0|0|QX002L6W9KVTQO|0|HOMBRE|0|12900|0|0|0|0|0|0|0|0|CARDENAS|0|0|0|0|FINAL</v>
      </c>
    </row>
    <row r="14" spans="1:82" x14ac:dyDescent="0.25">
      <c r="A14" t="s">
        <v>148</v>
      </c>
      <c r="B14" t="s">
        <v>220</v>
      </c>
      <c r="C14">
        <v>3</v>
      </c>
      <c r="D14" t="s">
        <v>290</v>
      </c>
      <c r="E14" t="s">
        <v>294</v>
      </c>
      <c r="F14" t="s">
        <v>0</v>
      </c>
      <c r="G14" t="s">
        <v>0</v>
      </c>
      <c r="H14" t="s">
        <v>302</v>
      </c>
      <c r="I14">
        <v>12900</v>
      </c>
      <c r="J14">
        <v>0</v>
      </c>
      <c r="K14">
        <v>0</v>
      </c>
      <c r="L14">
        <v>50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 t="s">
        <v>373</v>
      </c>
      <c r="AC14" t="s">
        <v>374</v>
      </c>
      <c r="AD14" s="18" t="s">
        <v>375</v>
      </c>
      <c r="AE14" t="s">
        <v>496</v>
      </c>
      <c r="AF14">
        <v>0</v>
      </c>
      <c r="AG14">
        <v>0</v>
      </c>
      <c r="AH14" t="s">
        <v>501</v>
      </c>
      <c r="AI14" t="s">
        <v>566</v>
      </c>
      <c r="AJ14" t="s">
        <v>3</v>
      </c>
      <c r="AK14">
        <v>9371156670</v>
      </c>
      <c r="AL14" t="s">
        <v>3</v>
      </c>
      <c r="AM14" t="s">
        <v>3</v>
      </c>
      <c r="AN14" t="s">
        <v>3</v>
      </c>
      <c r="AO14" t="s">
        <v>501</v>
      </c>
      <c r="AP14">
        <v>0</v>
      </c>
      <c r="AQ14" t="s">
        <v>611</v>
      </c>
      <c r="AR14">
        <v>0</v>
      </c>
      <c r="AS14">
        <v>0</v>
      </c>
      <c r="AT14">
        <v>0</v>
      </c>
      <c r="AU14">
        <v>0</v>
      </c>
      <c r="AV14">
        <v>0</v>
      </c>
      <c r="AW14" t="s">
        <v>11</v>
      </c>
      <c r="AX14">
        <f>Tabla1[[#This Row],[precio del paquete]]-Tabla1[[#This Row],[Saldo_Deudor]]</f>
        <v>9900</v>
      </c>
      <c r="AY14">
        <v>3000</v>
      </c>
      <c r="AZ14" t="s">
        <v>1</v>
      </c>
      <c r="BA14" t="s">
        <v>1</v>
      </c>
      <c r="BB14" t="s">
        <v>1</v>
      </c>
      <c r="BC14" t="s">
        <v>613</v>
      </c>
      <c r="BD14" t="s">
        <v>645</v>
      </c>
      <c r="BE14">
        <v>0</v>
      </c>
      <c r="BF14">
        <v>0</v>
      </c>
      <c r="BG14">
        <v>0</v>
      </c>
      <c r="BH14">
        <v>0</v>
      </c>
      <c r="BI14">
        <v>0</v>
      </c>
      <c r="BJ14" t="s">
        <v>678</v>
      </c>
      <c r="BK14">
        <v>0</v>
      </c>
      <c r="BL14" t="s">
        <v>132</v>
      </c>
      <c r="BM14">
        <v>0</v>
      </c>
      <c r="BN14">
        <v>12900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 t="s">
        <v>0</v>
      </c>
      <c r="BX14">
        <v>0</v>
      </c>
      <c r="BY14">
        <v>0</v>
      </c>
      <c r="BZ14">
        <v>0</v>
      </c>
      <c r="CA14">
        <v>0</v>
      </c>
      <c r="CB14" t="s">
        <v>686</v>
      </c>
      <c r="CD14" t="str" cm="1">
        <f t="array" aca="1" ref="CD14" ca="1">eConcatenar(A14:CB14,"|")</f>
        <v>G29HyzlACOAYy7QH|CAR2018-1463|3|ECONOLINE|TABASCO|CARDENAS|CARDENAS|2018-08-21|12900|0|0|50|0|0|0|0|0|0|0|0|0|0|0|0|0|0|0|ARELLANO||JORGE|soltero|0|0|CAMINO VECINAL CARDENAS|COLONIA LOS SANTOS|x|9371156670|x|x|x|CAMINO VECINAL CARDENAS|0|lunes|0|0|0|0|0|DOMICILIO |9900|3000|X|X|X|2022-10-03|2022-10-10|0|0|0|0|0|QX002L6W9KVTQO|0|HOMBRE|0|12900|0|0|0|0|0|0|0|0|CARDENAS|0|0|0|0|FINAL</v>
      </c>
    </row>
    <row r="15" spans="1:82" x14ac:dyDescent="0.25">
      <c r="A15" t="s">
        <v>149</v>
      </c>
      <c r="B15" t="s">
        <v>221</v>
      </c>
      <c r="C15">
        <v>3</v>
      </c>
      <c r="D15" t="s">
        <v>291</v>
      </c>
      <c r="E15" t="s">
        <v>294</v>
      </c>
      <c r="F15" t="s">
        <v>0</v>
      </c>
      <c r="G15" t="s">
        <v>0</v>
      </c>
      <c r="H15" t="s">
        <v>303</v>
      </c>
      <c r="I15">
        <v>19800</v>
      </c>
      <c r="J15">
        <v>0</v>
      </c>
      <c r="K15">
        <v>0</v>
      </c>
      <c r="L15">
        <v>50</v>
      </c>
      <c r="M15">
        <v>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 t="s">
        <v>365</v>
      </c>
      <c r="AC15" t="s">
        <v>376</v>
      </c>
      <c r="AD15" s="18" t="s">
        <v>377</v>
      </c>
      <c r="AE15" t="s">
        <v>496</v>
      </c>
      <c r="AF15">
        <v>0</v>
      </c>
      <c r="AG15">
        <v>0</v>
      </c>
      <c r="AH15" t="s">
        <v>502</v>
      </c>
      <c r="AI15" t="s">
        <v>566</v>
      </c>
      <c r="AJ15" t="s">
        <v>3</v>
      </c>
      <c r="AK15">
        <v>9371041041</v>
      </c>
      <c r="AL15" t="s">
        <v>3</v>
      </c>
      <c r="AM15" t="s">
        <v>3</v>
      </c>
      <c r="AN15" t="s">
        <v>3</v>
      </c>
      <c r="AO15" t="s">
        <v>502</v>
      </c>
      <c r="AP15">
        <v>0</v>
      </c>
      <c r="AQ15" t="s">
        <v>611</v>
      </c>
      <c r="AR15">
        <v>0</v>
      </c>
      <c r="AS15">
        <v>0</v>
      </c>
      <c r="AT15">
        <v>0</v>
      </c>
      <c r="AU15">
        <v>0</v>
      </c>
      <c r="AV15">
        <v>0</v>
      </c>
      <c r="AW15" t="s">
        <v>11</v>
      </c>
      <c r="AX15">
        <f>Tabla1[[#This Row],[precio del paquete]]-Tabla1[[#This Row],[Saldo_Deudor]]</f>
        <v>13000</v>
      </c>
      <c r="AY15">
        <v>6800</v>
      </c>
      <c r="AZ15" t="s">
        <v>1</v>
      </c>
      <c r="BA15" t="s">
        <v>1</v>
      </c>
      <c r="BB15" t="s">
        <v>1</v>
      </c>
      <c r="BC15" t="s">
        <v>613</v>
      </c>
      <c r="BD15" t="s">
        <v>645</v>
      </c>
      <c r="BE15">
        <v>0</v>
      </c>
      <c r="BF15">
        <v>0</v>
      </c>
      <c r="BG15">
        <v>0</v>
      </c>
      <c r="BH15">
        <v>0</v>
      </c>
      <c r="BI15">
        <v>0</v>
      </c>
      <c r="BJ15" t="s">
        <v>678</v>
      </c>
      <c r="BK15">
        <v>0</v>
      </c>
      <c r="BL15" t="s">
        <v>132</v>
      </c>
      <c r="BM15">
        <v>0</v>
      </c>
      <c r="BN15">
        <v>19800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 t="s">
        <v>0</v>
      </c>
      <c r="BX15">
        <v>0</v>
      </c>
      <c r="BY15">
        <v>0</v>
      </c>
      <c r="BZ15">
        <v>0</v>
      </c>
      <c r="CA15">
        <v>0</v>
      </c>
      <c r="CB15" t="s">
        <v>686</v>
      </c>
      <c r="CD15" t="str" cm="1">
        <f t="array" aca="1" ref="CD15" ca="1">eConcatenar(A15:CB15,"|")</f>
        <v>ODxUpyF4cGhxivOk|CAR2019-0290|3|ZAFIRO|TABASCO|CARDENAS|CARDENAS|2019-08-02|19800|0|0|50|2|0|0|0|0|0|0|0|0|0|0|0|0|0|0|JIMENEZ|GERONIMO|NELLY|soltero|0|0|CALLE PRINCIPAL|COLONIA LOS SANTOS|x|9371041041|x|x|x|CALLE PRINCIPAL|0|lunes|0|0|0|0|0|DOMICILIO |13000|6800|X|X|X|2022-10-03|2022-10-10|0|0|0|0|0|QX002L6W9KVTQO|0|HOMBRE|0|19800|0|0|0|0|0|0|0|0|CARDENAS|0|0|0|0|FINAL</v>
      </c>
    </row>
    <row r="16" spans="1:82" x14ac:dyDescent="0.25">
      <c r="A16" t="s">
        <v>150</v>
      </c>
      <c r="B16" t="s">
        <v>222</v>
      </c>
      <c r="C16">
        <v>3</v>
      </c>
      <c r="D16" t="s">
        <v>288</v>
      </c>
      <c r="E16" t="s">
        <v>294</v>
      </c>
      <c r="F16" t="s">
        <v>0</v>
      </c>
      <c r="G16" t="s">
        <v>0</v>
      </c>
      <c r="H16" t="s">
        <v>304</v>
      </c>
      <c r="I16">
        <v>12900</v>
      </c>
      <c r="J16">
        <v>0</v>
      </c>
      <c r="K16">
        <v>0</v>
      </c>
      <c r="L16">
        <v>50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 t="s">
        <v>378</v>
      </c>
      <c r="AC16" t="s">
        <v>368</v>
      </c>
      <c r="AD16" s="18" t="s">
        <v>379</v>
      </c>
      <c r="AE16" t="s">
        <v>496</v>
      </c>
      <c r="AF16">
        <v>0</v>
      </c>
      <c r="AG16">
        <v>0</v>
      </c>
      <c r="AH16" t="s">
        <v>503</v>
      </c>
      <c r="AI16" t="s">
        <v>567</v>
      </c>
      <c r="AJ16" t="s">
        <v>3</v>
      </c>
      <c r="AK16">
        <v>9371151348</v>
      </c>
      <c r="AL16" t="s">
        <v>3</v>
      </c>
      <c r="AM16" t="s">
        <v>3</v>
      </c>
      <c r="AN16" t="s">
        <v>3</v>
      </c>
      <c r="AO16" t="s">
        <v>503</v>
      </c>
      <c r="AP16">
        <v>0</v>
      </c>
      <c r="AQ16" t="s">
        <v>611</v>
      </c>
      <c r="AR16">
        <v>0</v>
      </c>
      <c r="AS16">
        <v>0</v>
      </c>
      <c r="AT16">
        <v>0</v>
      </c>
      <c r="AU16">
        <v>0</v>
      </c>
      <c r="AV16">
        <v>0</v>
      </c>
      <c r="AW16" t="s">
        <v>11</v>
      </c>
      <c r="AX16">
        <f>Tabla1[[#This Row],[precio del paquete]]-Tabla1[[#This Row],[Saldo_Deudor]]</f>
        <v>3600</v>
      </c>
      <c r="AY16">
        <v>9300</v>
      </c>
      <c r="AZ16" t="s">
        <v>1</v>
      </c>
      <c r="BA16" t="s">
        <v>1</v>
      </c>
      <c r="BB16" t="s">
        <v>1</v>
      </c>
      <c r="BC16" t="s">
        <v>613</v>
      </c>
      <c r="BD16" t="s">
        <v>645</v>
      </c>
      <c r="BE16">
        <v>0</v>
      </c>
      <c r="BF16">
        <v>0</v>
      </c>
      <c r="BG16">
        <v>0</v>
      </c>
      <c r="BH16">
        <v>0</v>
      </c>
      <c r="BI16">
        <v>0</v>
      </c>
      <c r="BJ16" t="s">
        <v>678</v>
      </c>
      <c r="BK16">
        <v>0</v>
      </c>
      <c r="BL16" t="s">
        <v>132</v>
      </c>
      <c r="BM16">
        <v>0</v>
      </c>
      <c r="BN16">
        <v>12900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 t="s">
        <v>0</v>
      </c>
      <c r="BX16">
        <v>0</v>
      </c>
      <c r="BY16">
        <v>0</v>
      </c>
      <c r="BZ16">
        <v>0</v>
      </c>
      <c r="CA16">
        <v>0</v>
      </c>
      <c r="CB16" t="s">
        <v>686</v>
      </c>
      <c r="CD16" t="str" cm="1">
        <f t="array" aca="1" ref="CD16" ca="1">eConcatenar(A16:CB16,"|")</f>
        <v>wMLXjkhE72Lfmdst|CAR2021-1022|3|IMPERIAL DEL LUJO|TABASCO|CARDENAS|CARDENAS|2021-03-17|12900|0|0|50|0|0|0|0|0|0|0|0|0|0|0|0|0|0|0|URIBE|GARCIA|GLADYS|soltero|0|0|CARRETERA PRINCIPAL A CARDENAS|RANCHERIA MELCHOR OCAMPO|x|9371151348|x|x|x|CARRETERA PRINCIPAL A CARDENAS|0|lunes|0|0|0|0|0|DOMICILIO |3600|9300|X|X|X|2022-10-03|2022-10-10|0|0|0|0|0|QX002L6W9KVTQO|0|HOMBRE|0|12900|0|0|0|0|0|0|0|0|CARDENAS|0|0|0|0|FINAL</v>
      </c>
    </row>
    <row r="17" spans="1:82" x14ac:dyDescent="0.25">
      <c r="A17" t="s">
        <v>151</v>
      </c>
      <c r="B17" t="s">
        <v>223</v>
      </c>
      <c r="C17">
        <v>3</v>
      </c>
      <c r="D17" t="s">
        <v>289</v>
      </c>
      <c r="E17" t="s">
        <v>294</v>
      </c>
      <c r="F17" t="s">
        <v>0</v>
      </c>
      <c r="G17" t="s">
        <v>0</v>
      </c>
      <c r="H17" t="s">
        <v>305</v>
      </c>
      <c r="I17">
        <v>14800</v>
      </c>
      <c r="J17">
        <v>0</v>
      </c>
      <c r="K17">
        <v>0</v>
      </c>
      <c r="L17">
        <v>50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 t="s">
        <v>370</v>
      </c>
      <c r="AC17" t="s">
        <v>380</v>
      </c>
      <c r="AD17" s="18" t="s">
        <v>381</v>
      </c>
      <c r="AE17" t="s">
        <v>496</v>
      </c>
      <c r="AF17">
        <v>0</v>
      </c>
      <c r="AG17">
        <v>0</v>
      </c>
      <c r="AH17" t="s">
        <v>504</v>
      </c>
      <c r="AI17" t="s">
        <v>567</v>
      </c>
      <c r="AJ17" t="s">
        <v>3</v>
      </c>
      <c r="AK17">
        <v>9372710025</v>
      </c>
      <c r="AL17" t="s">
        <v>3</v>
      </c>
      <c r="AM17" t="s">
        <v>3</v>
      </c>
      <c r="AN17" t="s">
        <v>3</v>
      </c>
      <c r="AO17" t="s">
        <v>504</v>
      </c>
      <c r="AP17">
        <v>0</v>
      </c>
      <c r="AQ17" t="s">
        <v>611</v>
      </c>
      <c r="AR17">
        <v>0</v>
      </c>
      <c r="AS17">
        <v>0</v>
      </c>
      <c r="AT17">
        <v>0</v>
      </c>
      <c r="AU17">
        <v>0</v>
      </c>
      <c r="AV17">
        <v>0</v>
      </c>
      <c r="AW17" t="s">
        <v>11</v>
      </c>
      <c r="AX17">
        <f>Tabla1[[#This Row],[precio del paquete]]-Tabla1[[#This Row],[Saldo_Deudor]]</f>
        <v>2100</v>
      </c>
      <c r="AY17">
        <v>12700</v>
      </c>
      <c r="AZ17" t="s">
        <v>1</v>
      </c>
      <c r="BA17" t="s">
        <v>1</v>
      </c>
      <c r="BB17" t="s">
        <v>1</v>
      </c>
      <c r="BC17" t="s">
        <v>613</v>
      </c>
      <c r="BD17" t="s">
        <v>645</v>
      </c>
      <c r="BE17">
        <v>0</v>
      </c>
      <c r="BF17">
        <v>0</v>
      </c>
      <c r="BG17">
        <v>0</v>
      </c>
      <c r="BH17">
        <v>0</v>
      </c>
      <c r="BI17">
        <v>0</v>
      </c>
      <c r="BJ17" t="s">
        <v>678</v>
      </c>
      <c r="BK17">
        <v>0</v>
      </c>
      <c r="BL17" t="s">
        <v>132</v>
      </c>
      <c r="BM17">
        <v>0</v>
      </c>
      <c r="BN17">
        <v>14800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 t="s">
        <v>0</v>
      </c>
      <c r="BX17">
        <v>0</v>
      </c>
      <c r="BY17">
        <v>0</v>
      </c>
      <c r="BZ17">
        <v>0</v>
      </c>
      <c r="CA17">
        <v>0</v>
      </c>
      <c r="CB17" t="s">
        <v>686</v>
      </c>
      <c r="CD17" t="str" cm="1">
        <f t="array" aca="1" ref="CD17" ca="1">eConcatenar(A17:CB17,"|")</f>
        <v>ZDvjSe4kCW1c3ghW|CAR2021-6428|3|MEMORIAL|TABASCO|CARDENAS|CARDENAS|2021-10-25|14800|0|0|50|0|0|0|0|0|0|0|0|0|0|0|0|0|0|0|MARTINEZ|SANCHEZ|MOISES EDUARDO|soltero|0|0|CERRADA SIN NOMBRE NUMERO 245|RANCHERIA MELCHOR OCAMPO|x|9372710025|x|x|x|CERRADA SIN NOMBRE NUMERO 245|0|lunes|0|0|0|0|0|DOMICILIO |2100|12700|X|X|X|2022-10-03|2022-10-10|0|0|0|0|0|QX002L6W9KVTQO|0|HOMBRE|0|14800|0|0|0|0|0|0|0|0|CARDENAS|0|0|0|0|FINAL</v>
      </c>
    </row>
    <row r="18" spans="1:82" x14ac:dyDescent="0.25">
      <c r="A18" t="s">
        <v>152</v>
      </c>
      <c r="B18" t="s">
        <v>224</v>
      </c>
      <c r="C18">
        <v>3</v>
      </c>
      <c r="D18" t="s">
        <v>288</v>
      </c>
      <c r="E18" t="s">
        <v>294</v>
      </c>
      <c r="F18" t="s">
        <v>0</v>
      </c>
      <c r="G18" t="s">
        <v>0</v>
      </c>
      <c r="H18" t="s">
        <v>306</v>
      </c>
      <c r="I18">
        <v>12900</v>
      </c>
      <c r="J18">
        <v>0</v>
      </c>
      <c r="K18">
        <v>0</v>
      </c>
      <c r="L18">
        <v>50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 t="s">
        <v>382</v>
      </c>
      <c r="AC18" t="s">
        <v>383</v>
      </c>
      <c r="AD18" s="18" t="s">
        <v>384</v>
      </c>
      <c r="AE18" t="s">
        <v>496</v>
      </c>
      <c r="AF18">
        <v>0</v>
      </c>
      <c r="AG18">
        <v>0</v>
      </c>
      <c r="AH18" t="s">
        <v>505</v>
      </c>
      <c r="AI18" t="s">
        <v>568</v>
      </c>
      <c r="AJ18" t="s">
        <v>3</v>
      </c>
      <c r="AK18">
        <v>9371639528</v>
      </c>
      <c r="AL18" t="s">
        <v>3</v>
      </c>
      <c r="AM18" t="s">
        <v>3</v>
      </c>
      <c r="AN18" t="s">
        <v>3</v>
      </c>
      <c r="AO18" t="s">
        <v>505</v>
      </c>
      <c r="AP18">
        <v>0</v>
      </c>
      <c r="AQ18" t="s">
        <v>611</v>
      </c>
      <c r="AR18">
        <v>0</v>
      </c>
      <c r="AS18">
        <v>0</v>
      </c>
      <c r="AT18">
        <v>0</v>
      </c>
      <c r="AU18">
        <v>0</v>
      </c>
      <c r="AV18">
        <v>0</v>
      </c>
      <c r="AW18" t="s">
        <v>11</v>
      </c>
      <c r="AX18">
        <f>Tabla1[[#This Row],[precio del paquete]]-Tabla1[[#This Row],[Saldo_Deudor]]</f>
        <v>4400</v>
      </c>
      <c r="AY18">
        <v>8500</v>
      </c>
      <c r="AZ18" t="s">
        <v>1</v>
      </c>
      <c r="BA18" t="s">
        <v>1</v>
      </c>
      <c r="BB18" t="s">
        <v>1</v>
      </c>
      <c r="BC18" t="s">
        <v>614</v>
      </c>
      <c r="BD18" t="s">
        <v>646</v>
      </c>
      <c r="BE18">
        <v>0</v>
      </c>
      <c r="BF18">
        <v>0</v>
      </c>
      <c r="BG18">
        <v>0</v>
      </c>
      <c r="BH18">
        <v>0</v>
      </c>
      <c r="BI18">
        <v>0</v>
      </c>
      <c r="BJ18" t="s">
        <v>678</v>
      </c>
      <c r="BK18">
        <v>0</v>
      </c>
      <c r="BL18" t="s">
        <v>132</v>
      </c>
      <c r="BM18">
        <v>0</v>
      </c>
      <c r="BN18">
        <v>12900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 t="s">
        <v>0</v>
      </c>
      <c r="BX18">
        <v>0</v>
      </c>
      <c r="BY18">
        <v>0</v>
      </c>
      <c r="BZ18">
        <v>0</v>
      </c>
      <c r="CA18">
        <v>0</v>
      </c>
      <c r="CB18" t="s">
        <v>686</v>
      </c>
      <c r="CD18" t="str" cm="1">
        <f t="array" aca="1" ref="CD18" ca="1">eConcatenar(A18:CB18,"|")</f>
        <v>0oGL2ktgNlBdQ0oz|CAR2020-3638|3|IMPERIAL DEL LUJO|TABASCO|CARDENAS|CARDENAS|2020-03-10|12900|0|0|50|0|0|0|0|0|0|0|0|0|0|0|0|0|0|0|CRUZ|LUNA|CARINA|soltero|0|0|ENTRADA DEL ALMENDRO|COLONIA AGUA SOL|x|9371639528|x|x|x|ENTRADA DEL ALMENDRO|0|lunes|0|0|0|0|0|DOMICILIO |4400|8500|X|X|X|2022-02-17|2022-02-24|0|0|0|0|0|QX002L6W9KVTQO|0|HOMBRE|0|12900|0|0|0|0|0|0|0|0|CARDENAS|0|0|0|0|FINAL</v>
      </c>
    </row>
    <row r="19" spans="1:82" x14ac:dyDescent="0.25">
      <c r="A19" t="s">
        <v>153</v>
      </c>
      <c r="B19" t="s">
        <v>225</v>
      </c>
      <c r="C19">
        <v>3</v>
      </c>
      <c r="D19" t="s">
        <v>289</v>
      </c>
      <c r="E19" t="s">
        <v>294</v>
      </c>
      <c r="F19" t="s">
        <v>0</v>
      </c>
      <c r="G19" t="s">
        <v>0</v>
      </c>
      <c r="H19" t="s">
        <v>307</v>
      </c>
      <c r="I19">
        <v>14800</v>
      </c>
      <c r="J19">
        <v>0</v>
      </c>
      <c r="K19">
        <v>0</v>
      </c>
      <c r="L19">
        <v>50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 t="s">
        <v>385</v>
      </c>
      <c r="AC19" t="s">
        <v>386</v>
      </c>
      <c r="AD19" s="18" t="s">
        <v>387</v>
      </c>
      <c r="AE19" t="s">
        <v>496</v>
      </c>
      <c r="AF19">
        <v>0</v>
      </c>
      <c r="AG19">
        <v>0</v>
      </c>
      <c r="AH19" t="s">
        <v>506</v>
      </c>
      <c r="AI19" t="s">
        <v>569</v>
      </c>
      <c r="AJ19" t="s">
        <v>3</v>
      </c>
      <c r="AK19">
        <v>9371701703</v>
      </c>
      <c r="AL19" t="s">
        <v>3</v>
      </c>
      <c r="AM19" t="s">
        <v>3</v>
      </c>
      <c r="AN19" t="s">
        <v>3</v>
      </c>
      <c r="AO19" t="s">
        <v>506</v>
      </c>
      <c r="AP19">
        <v>0</v>
      </c>
      <c r="AQ19" t="s">
        <v>611</v>
      </c>
      <c r="AR19">
        <v>0</v>
      </c>
      <c r="AS19">
        <v>0</v>
      </c>
      <c r="AT19">
        <v>0</v>
      </c>
      <c r="AU19">
        <v>0</v>
      </c>
      <c r="AV19">
        <v>0</v>
      </c>
      <c r="AW19" t="s">
        <v>11</v>
      </c>
      <c r="AX19">
        <f>Tabla1[[#This Row],[precio del paquete]]-Tabla1[[#This Row],[Saldo_Deudor]]</f>
        <v>1700</v>
      </c>
      <c r="AY19">
        <v>13100</v>
      </c>
      <c r="AZ19" t="s">
        <v>1</v>
      </c>
      <c r="BA19" t="s">
        <v>1</v>
      </c>
      <c r="BB19" t="s">
        <v>1</v>
      </c>
      <c r="BC19" t="s">
        <v>615</v>
      </c>
      <c r="BD19" t="s">
        <v>647</v>
      </c>
      <c r="BE19">
        <v>0</v>
      </c>
      <c r="BF19">
        <v>0</v>
      </c>
      <c r="BG19">
        <v>0</v>
      </c>
      <c r="BH19">
        <v>0</v>
      </c>
      <c r="BI19">
        <v>0</v>
      </c>
      <c r="BJ19" t="s">
        <v>679</v>
      </c>
      <c r="BK19">
        <v>0</v>
      </c>
      <c r="BL19" t="s">
        <v>132</v>
      </c>
      <c r="BM19">
        <v>0</v>
      </c>
      <c r="BN19">
        <v>14800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 t="s">
        <v>0</v>
      </c>
      <c r="BX19">
        <v>0</v>
      </c>
      <c r="BY19">
        <v>0</v>
      </c>
      <c r="BZ19">
        <v>0</v>
      </c>
      <c r="CA19">
        <v>0</v>
      </c>
      <c r="CB19" t="s">
        <v>686</v>
      </c>
      <c r="CD19" t="str" cm="1">
        <f t="array" aca="1" ref="CD19" ca="1">eConcatenar(A19:CB19,"|")</f>
        <v>2gtBv38vmQMeU6VC|CAR2021-6888|3|MEMORIAL|TABASCO|CARDENAS|CARDENAS|2021-11-13|14800|0|0|50|0|0|0|0|0|0|0|0|0|0|0|0|0|0|0|MONTIEL|PEREZ|JESUS FABIAN|soltero|0|0|CARRETERA 2 70 SIN NUMERO|COLONIA INGENIO BENITO JUAREZ|x|9371701703|x|x|x|CARRETERA 2 70 SIN NUMERO|0|lunes|0|0|0|0|0|DOMICILIO |1700|13100|X|X|X|2022-09-03|2022-09-10|0|0|0|0|0|XUMGJ9LE8RXKR9U|0|HOMBRE|0|14800|0|0|0|0|0|0|0|0|CARDENAS|0|0|0|0|FINAL</v>
      </c>
    </row>
    <row r="20" spans="1:82" x14ac:dyDescent="0.25">
      <c r="A20" t="s">
        <v>154</v>
      </c>
      <c r="B20" t="s">
        <v>226</v>
      </c>
      <c r="C20">
        <v>3</v>
      </c>
      <c r="D20" t="s">
        <v>289</v>
      </c>
      <c r="E20" t="s">
        <v>294</v>
      </c>
      <c r="F20" t="s">
        <v>0</v>
      </c>
      <c r="G20" t="s">
        <v>0</v>
      </c>
      <c r="H20" t="s">
        <v>308</v>
      </c>
      <c r="I20">
        <v>14800</v>
      </c>
      <c r="J20">
        <v>0</v>
      </c>
      <c r="K20">
        <v>0</v>
      </c>
      <c r="L20">
        <v>50</v>
      </c>
      <c r="M20">
        <v>2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 t="s">
        <v>388</v>
      </c>
      <c r="AC20" t="s">
        <v>389</v>
      </c>
      <c r="AD20" s="18" t="s">
        <v>390</v>
      </c>
      <c r="AE20" t="s">
        <v>496</v>
      </c>
      <c r="AF20">
        <v>0</v>
      </c>
      <c r="AG20">
        <v>0</v>
      </c>
      <c r="AH20" t="s">
        <v>507</v>
      </c>
      <c r="AI20" t="s">
        <v>570</v>
      </c>
      <c r="AJ20" t="s">
        <v>3</v>
      </c>
      <c r="AK20">
        <v>9371182837</v>
      </c>
      <c r="AL20" t="s">
        <v>3</v>
      </c>
      <c r="AM20" t="s">
        <v>3</v>
      </c>
      <c r="AN20" t="s">
        <v>3</v>
      </c>
      <c r="AO20" t="s">
        <v>507</v>
      </c>
      <c r="AP20">
        <v>0</v>
      </c>
      <c r="AQ20" t="s">
        <v>611</v>
      </c>
      <c r="AR20">
        <v>0</v>
      </c>
      <c r="AS20">
        <v>0</v>
      </c>
      <c r="AT20">
        <v>0</v>
      </c>
      <c r="AU20">
        <v>0</v>
      </c>
      <c r="AV20">
        <v>0</v>
      </c>
      <c r="AW20" t="s">
        <v>11</v>
      </c>
      <c r="AX20">
        <f>Tabla1[[#This Row],[precio del paquete]]-Tabla1[[#This Row],[Saldo_Deudor]]</f>
        <v>13080</v>
      </c>
      <c r="AY20">
        <v>1720</v>
      </c>
      <c r="AZ20" t="s">
        <v>1</v>
      </c>
      <c r="BA20" t="s">
        <v>1</v>
      </c>
      <c r="BB20" t="s">
        <v>1</v>
      </c>
      <c r="BC20" t="s">
        <v>615</v>
      </c>
      <c r="BD20" t="s">
        <v>647</v>
      </c>
      <c r="BE20">
        <v>0</v>
      </c>
      <c r="BF20">
        <v>0</v>
      </c>
      <c r="BG20">
        <v>0</v>
      </c>
      <c r="BH20">
        <v>0</v>
      </c>
      <c r="BI20">
        <v>0</v>
      </c>
      <c r="BJ20" t="s">
        <v>679</v>
      </c>
      <c r="BK20">
        <v>0</v>
      </c>
      <c r="BL20" t="s">
        <v>132</v>
      </c>
      <c r="BM20">
        <v>0</v>
      </c>
      <c r="BN20">
        <v>14800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 t="s">
        <v>0</v>
      </c>
      <c r="BX20">
        <v>0</v>
      </c>
      <c r="BY20">
        <v>0</v>
      </c>
      <c r="BZ20">
        <v>0</v>
      </c>
      <c r="CA20">
        <v>0</v>
      </c>
      <c r="CB20" t="s">
        <v>686</v>
      </c>
      <c r="CD20" t="str" cm="1">
        <f t="array" aca="1" ref="CD20" ca="1">eConcatenar(A20:CB20,"|")</f>
        <v>TljI6GixdM8jB5HS|CAR2021-6216|3|MEMORIAL|TABASCO|CARDENAS|CARDENAS|2021-10-16|14800|0|0|50|2|0|0|0|0|0|0|0|0|0|0|0|0|0|0|SALVADOR|RODRIGUEZ|SALUSTRIANO|soltero|0|0|CALLE NUMERO 3 FRENTE A TIENDA|POBLADO C-14 PLUTARCO ELIAS CALLES|x|9371182837|x|x|x|CALLE NUMERO 3 FRENTE A TIENDA|0|lunes|0|0|0|0|0|DOMICILIO |13080|1720|X|X|X|2022-09-03|2022-09-10|0|0|0|0|0|XUMGJ9LE8RXKR9U|0|HOMBRE|0|14800|0|0|0|0|0|0|0|0|CARDENAS|0|0|0|0|FINAL</v>
      </c>
    </row>
    <row r="21" spans="1:82" x14ac:dyDescent="0.25">
      <c r="A21" t="s">
        <v>155</v>
      </c>
      <c r="B21" t="s">
        <v>227</v>
      </c>
      <c r="C21">
        <v>3</v>
      </c>
      <c r="D21" t="s">
        <v>289</v>
      </c>
      <c r="E21" t="s">
        <v>294</v>
      </c>
      <c r="F21" t="s">
        <v>0</v>
      </c>
      <c r="G21" t="s">
        <v>0</v>
      </c>
      <c r="H21" t="s">
        <v>309</v>
      </c>
      <c r="I21">
        <v>14800</v>
      </c>
      <c r="J21">
        <v>0</v>
      </c>
      <c r="K21">
        <v>0</v>
      </c>
      <c r="L21">
        <v>50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 t="s">
        <v>391</v>
      </c>
      <c r="AC21" t="s">
        <v>365</v>
      </c>
      <c r="AD21" s="18" t="s">
        <v>392</v>
      </c>
      <c r="AE21" t="s">
        <v>496</v>
      </c>
      <c r="AF21">
        <v>0</v>
      </c>
      <c r="AG21">
        <v>0</v>
      </c>
      <c r="AH21" t="s">
        <v>508</v>
      </c>
      <c r="AI21" t="s">
        <v>571</v>
      </c>
      <c r="AJ21" t="s">
        <v>3</v>
      </c>
      <c r="AK21">
        <v>9371237042</v>
      </c>
      <c r="AL21" t="s">
        <v>3</v>
      </c>
      <c r="AM21" t="s">
        <v>3</v>
      </c>
      <c r="AN21" t="s">
        <v>3</v>
      </c>
      <c r="AO21" t="s">
        <v>508</v>
      </c>
      <c r="AP21">
        <v>0</v>
      </c>
      <c r="AQ21" t="s">
        <v>611</v>
      </c>
      <c r="AR21">
        <v>0</v>
      </c>
      <c r="AS21">
        <v>0</v>
      </c>
      <c r="AT21">
        <v>0</v>
      </c>
      <c r="AU21">
        <v>0</v>
      </c>
      <c r="AV21">
        <v>0</v>
      </c>
      <c r="AW21" t="s">
        <v>11</v>
      </c>
      <c r="AX21">
        <f>Tabla1[[#This Row],[precio del paquete]]-Tabla1[[#This Row],[Saldo_Deudor]]</f>
        <v>1300</v>
      </c>
      <c r="AY21">
        <v>13500</v>
      </c>
      <c r="AZ21" t="s">
        <v>1</v>
      </c>
      <c r="BA21" t="s">
        <v>1</v>
      </c>
      <c r="BB21" t="s">
        <v>1</v>
      </c>
      <c r="BC21" t="s">
        <v>616</v>
      </c>
      <c r="BD21" t="s">
        <v>648</v>
      </c>
      <c r="BE21">
        <v>0</v>
      </c>
      <c r="BF21">
        <v>0</v>
      </c>
      <c r="BG21">
        <v>0</v>
      </c>
      <c r="BH21">
        <v>0</v>
      </c>
      <c r="BI21">
        <v>0</v>
      </c>
      <c r="BJ21" t="s">
        <v>679</v>
      </c>
      <c r="BK21">
        <v>0</v>
      </c>
      <c r="BL21" t="s">
        <v>132</v>
      </c>
      <c r="BM21">
        <v>0</v>
      </c>
      <c r="BN21">
        <v>14800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 t="s">
        <v>0</v>
      </c>
      <c r="BX21">
        <v>0</v>
      </c>
      <c r="BY21">
        <v>0</v>
      </c>
      <c r="BZ21">
        <v>0</v>
      </c>
      <c r="CA21">
        <v>0</v>
      </c>
      <c r="CB21" t="s">
        <v>686</v>
      </c>
      <c r="CD21" t="str" cm="1">
        <f t="array" aca="1" ref="CD21" ca="1">eConcatenar(A21:CB21,"|")</f>
        <v>UjdwmDG5UuZwzkKT|CAR2021-5832|3|MEMORIAL|TABASCO|CARDENAS|CARDENAS|2021-04-10|14800|0|0|50|0|0|0|0|0|0|0|0|0|0|0|0|0|0|0|TORRES|JIMENEZ|ERNAN|soltero|0|0|CALLE 8 ZONA VERDE SIN NUMERO|POBLADO C-15 ADOLFO LOPEZ MATEOS|x|9371237042|x|x|x|CALLE 8 ZONA VERDE SIN NUMERO|0|lunes|0|0|0|0|0|DOMICILIO |1300|13500|X|X|X|2022-02-23|2022-03-02|0|0|0|0|0|XUMGJ9LE8RXKR9U|0|HOMBRE|0|14800|0|0|0|0|0|0|0|0|CARDENAS|0|0|0|0|FINAL</v>
      </c>
    </row>
    <row r="22" spans="1:82" x14ac:dyDescent="0.25">
      <c r="A22" t="s">
        <v>156</v>
      </c>
      <c r="B22" t="s">
        <v>228</v>
      </c>
      <c r="C22">
        <v>3</v>
      </c>
      <c r="D22" t="s">
        <v>289</v>
      </c>
      <c r="E22" t="s">
        <v>294</v>
      </c>
      <c r="F22" t="s">
        <v>0</v>
      </c>
      <c r="G22" t="s">
        <v>0</v>
      </c>
      <c r="H22" t="s">
        <v>308</v>
      </c>
      <c r="I22">
        <v>14800</v>
      </c>
      <c r="J22">
        <v>0</v>
      </c>
      <c r="K22">
        <v>0</v>
      </c>
      <c r="L22">
        <v>50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 t="s">
        <v>367</v>
      </c>
      <c r="AC22" t="s">
        <v>393</v>
      </c>
      <c r="AD22" s="18" t="s">
        <v>394</v>
      </c>
      <c r="AE22" t="s">
        <v>496</v>
      </c>
      <c r="AF22">
        <v>0</v>
      </c>
      <c r="AG22">
        <v>0</v>
      </c>
      <c r="AH22" t="s">
        <v>509</v>
      </c>
      <c r="AI22" t="s">
        <v>570</v>
      </c>
      <c r="AJ22" t="s">
        <v>3</v>
      </c>
      <c r="AK22">
        <v>9371637211</v>
      </c>
      <c r="AL22" t="s">
        <v>3</v>
      </c>
      <c r="AM22" t="s">
        <v>3</v>
      </c>
      <c r="AN22" t="s">
        <v>3</v>
      </c>
      <c r="AO22" t="s">
        <v>509</v>
      </c>
      <c r="AP22">
        <v>0</v>
      </c>
      <c r="AQ22" t="s">
        <v>611</v>
      </c>
      <c r="AR22">
        <v>0</v>
      </c>
      <c r="AS22">
        <v>0</v>
      </c>
      <c r="AT22">
        <v>0</v>
      </c>
      <c r="AU22">
        <v>0</v>
      </c>
      <c r="AV22">
        <v>0</v>
      </c>
      <c r="AW22" t="s">
        <v>11</v>
      </c>
      <c r="AX22">
        <f>Tabla1[[#This Row],[precio del paquete]]-Tabla1[[#This Row],[Saldo_Deudor]]</f>
        <v>1800</v>
      </c>
      <c r="AY22">
        <v>13000</v>
      </c>
      <c r="AZ22" t="s">
        <v>1</v>
      </c>
      <c r="BA22" t="s">
        <v>1</v>
      </c>
      <c r="BB22" t="s">
        <v>1</v>
      </c>
      <c r="BC22" t="s">
        <v>617</v>
      </c>
      <c r="BD22" t="s">
        <v>649</v>
      </c>
      <c r="BE22">
        <v>0</v>
      </c>
      <c r="BF22">
        <v>0</v>
      </c>
      <c r="BG22">
        <v>0</v>
      </c>
      <c r="BH22">
        <v>0</v>
      </c>
      <c r="BI22">
        <v>0</v>
      </c>
      <c r="BJ22" t="s">
        <v>679</v>
      </c>
      <c r="BK22">
        <v>0</v>
      </c>
      <c r="BL22" t="s">
        <v>132</v>
      </c>
      <c r="BM22">
        <v>0</v>
      </c>
      <c r="BN22">
        <v>14800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 t="s">
        <v>0</v>
      </c>
      <c r="BX22">
        <v>0</v>
      </c>
      <c r="BY22">
        <v>0</v>
      </c>
      <c r="BZ22">
        <v>0</v>
      </c>
      <c r="CA22">
        <v>0</v>
      </c>
      <c r="CB22" t="s">
        <v>686</v>
      </c>
      <c r="CD22" t="str" cm="1">
        <f t="array" aca="1" ref="CD22" ca="1">eConcatenar(A22:CB22,"|")</f>
        <v>fVAvmeRDX4lmrB6r|CAR2021-6217|3|MEMORIAL|TABASCO|CARDENAS|CARDENAS|2021-10-16|14800|0|0|50|0|0|0|0|0|0|0|0|0|0|0|0|0|0|0|CORDOVA|LEYVA|ETELVINA|soltero|0|0|CALLE SEIS SIN NUMERO |POBLADO C-14 PLUTARCO ELIAS CALLES|x|9371637211|x|x|x|CALLE SEIS SIN NUMERO |0|lunes|0|0|0|0|0|DOMICILIO |1800|13000|X|X|X|2022-02-03|2022-02-10|0|0|0|0|0|XUMGJ9LE8RXKR9U|0|HOMBRE|0|14800|0|0|0|0|0|0|0|0|CARDENAS|0|0|0|0|FINAL</v>
      </c>
    </row>
    <row r="23" spans="1:82" x14ac:dyDescent="0.25">
      <c r="A23" t="s">
        <v>157</v>
      </c>
      <c r="B23" t="s">
        <v>229</v>
      </c>
      <c r="C23">
        <v>3</v>
      </c>
      <c r="D23" t="s">
        <v>289</v>
      </c>
      <c r="E23" t="s">
        <v>294</v>
      </c>
      <c r="F23" t="s">
        <v>0</v>
      </c>
      <c r="G23" t="s">
        <v>0</v>
      </c>
      <c r="H23" t="s">
        <v>310</v>
      </c>
      <c r="I23">
        <v>14800</v>
      </c>
      <c r="J23">
        <v>0</v>
      </c>
      <c r="K23">
        <v>0</v>
      </c>
      <c r="L23">
        <v>50</v>
      </c>
      <c r="M23">
        <v>2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 t="s">
        <v>395</v>
      </c>
      <c r="AC23" t="s">
        <v>374</v>
      </c>
      <c r="AD23" s="18" t="s">
        <v>396</v>
      </c>
      <c r="AE23" t="s">
        <v>496</v>
      </c>
      <c r="AF23">
        <v>0</v>
      </c>
      <c r="AG23">
        <v>0</v>
      </c>
      <c r="AH23" t="s">
        <v>510</v>
      </c>
      <c r="AI23" t="s">
        <v>572</v>
      </c>
      <c r="AJ23" t="s">
        <v>3</v>
      </c>
      <c r="AK23">
        <v>9371024815</v>
      </c>
      <c r="AL23" t="s">
        <v>3</v>
      </c>
      <c r="AM23" t="s">
        <v>3</v>
      </c>
      <c r="AN23" t="s">
        <v>3</v>
      </c>
      <c r="AO23" t="s">
        <v>510</v>
      </c>
      <c r="AP23">
        <v>0</v>
      </c>
      <c r="AQ23" t="s">
        <v>611</v>
      </c>
      <c r="AR23">
        <v>0</v>
      </c>
      <c r="AS23">
        <v>0</v>
      </c>
      <c r="AT23">
        <v>0</v>
      </c>
      <c r="AU23">
        <v>0</v>
      </c>
      <c r="AV23">
        <v>0</v>
      </c>
      <c r="AW23" t="s">
        <v>11</v>
      </c>
      <c r="AX23">
        <f>Tabla1[[#This Row],[precio del paquete]]-Tabla1[[#This Row],[Saldo_Deudor]]</f>
        <v>4200</v>
      </c>
      <c r="AY23">
        <v>10600</v>
      </c>
      <c r="AZ23" t="s">
        <v>1</v>
      </c>
      <c r="BA23" t="s">
        <v>1</v>
      </c>
      <c r="BB23" t="s">
        <v>1</v>
      </c>
      <c r="BC23" t="s">
        <v>618</v>
      </c>
      <c r="BD23" t="s">
        <v>650</v>
      </c>
      <c r="BE23">
        <v>0</v>
      </c>
      <c r="BF23">
        <v>0</v>
      </c>
      <c r="BG23">
        <v>0</v>
      </c>
      <c r="BH23">
        <v>0</v>
      </c>
      <c r="BI23">
        <v>0</v>
      </c>
      <c r="BJ23" t="s">
        <v>679</v>
      </c>
      <c r="BK23">
        <v>0</v>
      </c>
      <c r="BL23" t="s">
        <v>132</v>
      </c>
      <c r="BM23">
        <v>0</v>
      </c>
      <c r="BN23">
        <v>14800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 t="s">
        <v>0</v>
      </c>
      <c r="BX23">
        <v>0</v>
      </c>
      <c r="BY23">
        <v>0</v>
      </c>
      <c r="BZ23">
        <v>0</v>
      </c>
      <c r="CA23">
        <v>0</v>
      </c>
      <c r="CB23" t="s">
        <v>686</v>
      </c>
      <c r="CD23" t="str" cm="1">
        <f t="array" aca="1" ref="CD23" ca="1">eConcatenar(A23:CB23,"|")</f>
        <v>uR500BjuRRbbBS2g|CAR2021-6475|3|MEMORIAL|TABASCO|CARDENAS|CARDENAS|2021-10-28|14800|0|0|50|2|0|0|0|0|0|0|0|0|0|0|0|0|0|0|DE DIOS||ANDRES|soltero|0|0|CALLE ENTRADA EL MARIACH SIN NUMERO|RANCHERIA ARROYO HONDO PRIMERA SECCION|x|9371024815|x|x|x|CALLE ENTRADA EL MARIACH SIN NUMERO|0|lunes|0|0|0|0|0|DOMICILIO |4200|10600|X|X|X|2022-04-03|2022-04-10|0|0|0|0|0|XUMGJ9LE8RXKR9U|0|HOMBRE|0|14800|0|0|0|0|0|0|0|0|CARDENAS|0|0|0|0|FINAL</v>
      </c>
    </row>
    <row r="24" spans="1:82" x14ac:dyDescent="0.25">
      <c r="A24" t="s">
        <v>158</v>
      </c>
      <c r="B24" t="s">
        <v>230</v>
      </c>
      <c r="C24">
        <v>3</v>
      </c>
      <c r="D24" t="s">
        <v>289</v>
      </c>
      <c r="E24" t="s">
        <v>294</v>
      </c>
      <c r="F24" t="s">
        <v>0</v>
      </c>
      <c r="G24" t="s">
        <v>0</v>
      </c>
      <c r="H24" t="s">
        <v>311</v>
      </c>
      <c r="I24">
        <v>14800</v>
      </c>
      <c r="J24">
        <v>0</v>
      </c>
      <c r="K24">
        <v>0</v>
      </c>
      <c r="L24">
        <v>50</v>
      </c>
      <c r="M24">
        <v>2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 t="s">
        <v>397</v>
      </c>
      <c r="AC24" t="s">
        <v>398</v>
      </c>
      <c r="AD24" s="18" t="s">
        <v>399</v>
      </c>
      <c r="AE24" t="s">
        <v>496</v>
      </c>
      <c r="AF24">
        <v>0</v>
      </c>
      <c r="AG24">
        <v>0</v>
      </c>
      <c r="AH24" t="s">
        <v>511</v>
      </c>
      <c r="AI24" t="s">
        <v>573</v>
      </c>
      <c r="AJ24" t="s">
        <v>3</v>
      </c>
      <c r="AK24">
        <v>9371634194</v>
      </c>
      <c r="AL24" t="s">
        <v>3</v>
      </c>
      <c r="AM24" t="s">
        <v>3</v>
      </c>
      <c r="AN24" t="s">
        <v>3</v>
      </c>
      <c r="AO24" t="s">
        <v>511</v>
      </c>
      <c r="AP24">
        <v>0</v>
      </c>
      <c r="AQ24" t="s">
        <v>611</v>
      </c>
      <c r="AR24">
        <v>0</v>
      </c>
      <c r="AS24">
        <v>0</v>
      </c>
      <c r="AT24">
        <v>0</v>
      </c>
      <c r="AU24">
        <v>0</v>
      </c>
      <c r="AV24">
        <v>0</v>
      </c>
      <c r="AW24" t="s">
        <v>11</v>
      </c>
      <c r="AX24">
        <f>Tabla1[[#This Row],[precio del paquete]]-Tabla1[[#This Row],[Saldo_Deudor]]</f>
        <v>900</v>
      </c>
      <c r="AY24">
        <v>13900</v>
      </c>
      <c r="AZ24" t="s">
        <v>1</v>
      </c>
      <c r="BA24" t="s">
        <v>1</v>
      </c>
      <c r="BB24" t="s">
        <v>1</v>
      </c>
      <c r="BC24" t="s">
        <v>612</v>
      </c>
      <c r="BD24" t="s">
        <v>616</v>
      </c>
      <c r="BE24">
        <v>0</v>
      </c>
      <c r="BF24">
        <v>0</v>
      </c>
      <c r="BG24">
        <v>0</v>
      </c>
      <c r="BH24">
        <v>0</v>
      </c>
      <c r="BI24">
        <v>0</v>
      </c>
      <c r="BJ24" t="s">
        <v>679</v>
      </c>
      <c r="BK24">
        <v>0</v>
      </c>
      <c r="BL24" t="s">
        <v>132</v>
      </c>
      <c r="BM24">
        <v>0</v>
      </c>
      <c r="BN24">
        <v>14800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 t="s">
        <v>0</v>
      </c>
      <c r="BX24">
        <v>0</v>
      </c>
      <c r="BY24">
        <v>0</v>
      </c>
      <c r="BZ24">
        <v>0</v>
      </c>
      <c r="CA24">
        <v>0</v>
      </c>
      <c r="CB24" t="s">
        <v>686</v>
      </c>
      <c r="CD24" t="str" cm="1">
        <f t="array" aca="1" ref="CD24" ca="1">eConcatenar(A24:CB24,"|")</f>
        <v>iwMPsYKyN8oxyy6G|CAR2021-6406|3|MEMORIAL|TABASCO|CARDENAS|CARDENAS|2021-10-22|14800|0|0|50|2|0|0|0|0|0|0|0|0|0|0|0|0|0|0|REYES|BAUTISTA|NOE|soltero|0|0|CALLE SIN NOMBRE|POBLADO IGNACIO GUTIERREZ GOMEZ|x|9371634194|x|x|x|CALLE SIN NOMBRE|0|lunes|0|0|0|0|0|DOMICILIO |900|13900|X|X|X|2022-02-16|2022-02-23|0|0|0|0|0|XUMGJ9LE8RXKR9U|0|HOMBRE|0|14800|0|0|0|0|0|0|0|0|CARDENAS|0|0|0|0|FINAL</v>
      </c>
    </row>
    <row r="25" spans="1:82" x14ac:dyDescent="0.25">
      <c r="A25" t="s">
        <v>159</v>
      </c>
      <c r="B25" t="s">
        <v>231</v>
      </c>
      <c r="C25">
        <v>3</v>
      </c>
      <c r="D25" t="s">
        <v>289</v>
      </c>
      <c r="E25" t="s">
        <v>294</v>
      </c>
      <c r="F25" t="s">
        <v>295</v>
      </c>
      <c r="G25" t="s">
        <v>295</v>
      </c>
      <c r="H25" t="s">
        <v>312</v>
      </c>
      <c r="I25">
        <v>14800</v>
      </c>
      <c r="J25">
        <v>0</v>
      </c>
      <c r="K25">
        <v>0</v>
      </c>
      <c r="L25">
        <v>50</v>
      </c>
      <c r="M25">
        <v>1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 t="s">
        <v>380</v>
      </c>
      <c r="AC25" t="s">
        <v>374</v>
      </c>
      <c r="AD25" s="18" t="s">
        <v>400</v>
      </c>
      <c r="AE25" t="s">
        <v>496</v>
      </c>
      <c r="AF25">
        <v>0</v>
      </c>
      <c r="AG25">
        <v>0</v>
      </c>
      <c r="AH25" t="s">
        <v>512</v>
      </c>
      <c r="AI25" t="s">
        <v>574</v>
      </c>
      <c r="AJ25" t="s">
        <v>3</v>
      </c>
      <c r="AK25">
        <v>9371588836</v>
      </c>
      <c r="AL25" t="s">
        <v>3</v>
      </c>
      <c r="AM25" t="s">
        <v>3</v>
      </c>
      <c r="AN25" t="s">
        <v>3</v>
      </c>
      <c r="AO25" t="s">
        <v>512</v>
      </c>
      <c r="AP25">
        <v>0</v>
      </c>
      <c r="AQ25" t="s">
        <v>611</v>
      </c>
      <c r="AR25">
        <v>0</v>
      </c>
      <c r="AS25">
        <v>0</v>
      </c>
      <c r="AT25">
        <v>0</v>
      </c>
      <c r="AU25">
        <v>0</v>
      </c>
      <c r="AV25">
        <v>0</v>
      </c>
      <c r="AW25" t="s">
        <v>11</v>
      </c>
      <c r="AX25">
        <f>Tabla1[[#This Row],[precio del paquete]]-Tabla1[[#This Row],[Saldo_Deudor]]</f>
        <v>1500</v>
      </c>
      <c r="AY25">
        <v>13300</v>
      </c>
      <c r="AZ25" t="s">
        <v>1</v>
      </c>
      <c r="BA25" t="s">
        <v>1</v>
      </c>
      <c r="BB25" t="s">
        <v>1</v>
      </c>
      <c r="BC25" t="s">
        <v>619</v>
      </c>
      <c r="BD25" t="s">
        <v>651</v>
      </c>
      <c r="BE25">
        <v>0</v>
      </c>
      <c r="BF25">
        <v>0</v>
      </c>
      <c r="BG25">
        <v>0</v>
      </c>
      <c r="BH25">
        <v>0</v>
      </c>
      <c r="BI25">
        <v>0</v>
      </c>
      <c r="BJ25" t="s">
        <v>680</v>
      </c>
      <c r="BK25">
        <v>0</v>
      </c>
      <c r="BL25" t="s">
        <v>132</v>
      </c>
      <c r="BM25">
        <v>0</v>
      </c>
      <c r="BN25">
        <v>14800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 t="s">
        <v>0</v>
      </c>
      <c r="BX25">
        <v>0</v>
      </c>
      <c r="BY25">
        <v>0</v>
      </c>
      <c r="BZ25">
        <v>0</v>
      </c>
      <c r="CA25">
        <v>0</v>
      </c>
      <c r="CB25" t="s">
        <v>686</v>
      </c>
      <c r="CD25" t="str" cm="1">
        <f t="array" aca="1" ref="CD25" ca="1">eConcatenar(A25:CB25,"|")</f>
        <v>hByDuG1IHE0WHbss|CAR2021-4486|3|MEMORIAL|TABASCO|CUNDUACAN|CUNDUACAN|2021-12-08|14800|0|0|50|1|0|0|0|0|0|0|0|0|0|0|0|0|0|0|SANCHEZ||MAGDIEL JIMENEZ|soltero|0|0|CARRETERA A INTERCAMBIO|EJIDO SANTA LUCIA |x|9371588836|x|x|x|CARRETERA A INTERCAMBIO|0|lunes|0|0|0|0|0|DOMICILIO |1500|13300|X|X|X|2022-07-03|2022-07-10|0|0|0|0|0|3O8PTA2AZPGA3HB|0|HOMBRE|0|14800|0|0|0|0|0|0|0|0|CARDENAS|0|0|0|0|FINAL</v>
      </c>
    </row>
    <row r="26" spans="1:82" x14ac:dyDescent="0.25">
      <c r="A26" t="s">
        <v>160</v>
      </c>
      <c r="B26" t="s">
        <v>232</v>
      </c>
      <c r="C26">
        <v>3</v>
      </c>
      <c r="D26" t="s">
        <v>288</v>
      </c>
      <c r="E26" t="s">
        <v>294</v>
      </c>
      <c r="F26" t="s">
        <v>0</v>
      </c>
      <c r="G26" t="s">
        <v>0</v>
      </c>
      <c r="H26" t="s">
        <v>313</v>
      </c>
      <c r="I26">
        <v>12900</v>
      </c>
      <c r="J26">
        <v>0</v>
      </c>
      <c r="K26">
        <v>0</v>
      </c>
      <c r="L26">
        <v>50</v>
      </c>
      <c r="M26">
        <v>1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 t="s">
        <v>401</v>
      </c>
      <c r="AC26" t="s">
        <v>402</v>
      </c>
      <c r="AD26" s="18" t="s">
        <v>403</v>
      </c>
      <c r="AE26" t="s">
        <v>496</v>
      </c>
      <c r="AF26">
        <v>0</v>
      </c>
      <c r="AG26">
        <v>0</v>
      </c>
      <c r="AH26" t="s">
        <v>513</v>
      </c>
      <c r="AI26" t="s">
        <v>575</v>
      </c>
      <c r="AJ26" t="s">
        <v>3</v>
      </c>
      <c r="AK26">
        <v>9371442041</v>
      </c>
      <c r="AL26" t="s">
        <v>3</v>
      </c>
      <c r="AM26" t="s">
        <v>3</v>
      </c>
      <c r="AN26" t="s">
        <v>3</v>
      </c>
      <c r="AO26" t="s">
        <v>513</v>
      </c>
      <c r="AP26">
        <v>0</v>
      </c>
      <c r="AQ26" t="s">
        <v>611</v>
      </c>
      <c r="AR26">
        <v>0</v>
      </c>
      <c r="AS26">
        <v>0</v>
      </c>
      <c r="AT26">
        <v>0</v>
      </c>
      <c r="AU26">
        <v>0</v>
      </c>
      <c r="AV26">
        <v>0</v>
      </c>
      <c r="AW26" t="s">
        <v>11</v>
      </c>
      <c r="AX26">
        <f>Tabla1[[#This Row],[precio del paquete]]-Tabla1[[#This Row],[Saldo_Deudor]]</f>
        <v>3450</v>
      </c>
      <c r="AY26">
        <v>9450</v>
      </c>
      <c r="AZ26" t="s">
        <v>1</v>
      </c>
      <c r="BA26" t="s">
        <v>1</v>
      </c>
      <c r="BB26" t="s">
        <v>1</v>
      </c>
      <c r="BC26" t="s">
        <v>620</v>
      </c>
      <c r="BD26" t="s">
        <v>652</v>
      </c>
      <c r="BE26">
        <v>0</v>
      </c>
      <c r="BF26">
        <v>0</v>
      </c>
      <c r="BG26">
        <v>0</v>
      </c>
      <c r="BH26">
        <v>0</v>
      </c>
      <c r="BI26">
        <v>0</v>
      </c>
      <c r="BJ26" t="s">
        <v>680</v>
      </c>
      <c r="BK26">
        <v>0</v>
      </c>
      <c r="BL26" t="s">
        <v>132</v>
      </c>
      <c r="BM26">
        <v>0</v>
      </c>
      <c r="BN26">
        <v>12900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 t="s">
        <v>0</v>
      </c>
      <c r="BX26">
        <v>0</v>
      </c>
      <c r="BY26">
        <v>0</v>
      </c>
      <c r="BZ26">
        <v>0</v>
      </c>
      <c r="CA26">
        <v>0</v>
      </c>
      <c r="CB26" t="s">
        <v>686</v>
      </c>
      <c r="CD26" t="str" cm="1">
        <f t="array" aca="1" ref="CD26" ca="1">eConcatenar(A26:CB26,"|")</f>
        <v>JBMB0OY3YakvM5WP|CAR2020-5221|3|IMPERIAL DEL LUJO|TABASCO|CARDENAS|CARDENAS|2020-09-12|12900|0|0|50|1|0|0|0|0|0|0|0|0|0|0|0|0|0|0|CHABLE|HERNANDEZ|LUCIA|soltero|0|0|CALLE CESAR A BRITO NUMERO 307|COLONIA SANTA RITA INFONAVIT|x|9371442041|x|x|x|CALLE CESAR A BRITO NUMERO 307|0|lunes|0|0|0|0|0|DOMICILIO |3450|9450|X|X|X|2022-08-03|2022-08-10|0|0|0|0|0|3O8PTA2AZPGA3HB|0|HOMBRE|0|12900|0|0|0|0|0|0|0|0|CARDENAS|0|0|0|0|FINAL</v>
      </c>
    </row>
    <row r="27" spans="1:82" x14ac:dyDescent="0.25">
      <c r="A27" t="s">
        <v>161</v>
      </c>
      <c r="B27" t="s">
        <v>233</v>
      </c>
      <c r="C27">
        <v>3</v>
      </c>
      <c r="D27" t="s">
        <v>292</v>
      </c>
      <c r="E27" t="s">
        <v>294</v>
      </c>
      <c r="F27" t="s">
        <v>0</v>
      </c>
      <c r="G27" t="s">
        <v>0</v>
      </c>
      <c r="H27" t="s">
        <v>314</v>
      </c>
      <c r="I27">
        <v>24500</v>
      </c>
      <c r="J27">
        <v>0</v>
      </c>
      <c r="K27">
        <v>0</v>
      </c>
      <c r="L27">
        <v>50</v>
      </c>
      <c r="M27">
        <v>2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 t="s">
        <v>404</v>
      </c>
      <c r="AC27" t="s">
        <v>405</v>
      </c>
      <c r="AD27" s="18" t="s">
        <v>406</v>
      </c>
      <c r="AE27" t="s">
        <v>496</v>
      </c>
      <c r="AF27">
        <v>0</v>
      </c>
      <c r="AG27">
        <v>0</v>
      </c>
      <c r="AH27" t="s">
        <v>514</v>
      </c>
      <c r="AI27" t="s">
        <v>576</v>
      </c>
      <c r="AJ27" t="s">
        <v>3</v>
      </c>
      <c r="AK27">
        <v>9371019328</v>
      </c>
      <c r="AL27" t="s">
        <v>3</v>
      </c>
      <c r="AM27" t="s">
        <v>3</v>
      </c>
      <c r="AN27" t="s">
        <v>3</v>
      </c>
      <c r="AO27" t="s">
        <v>514</v>
      </c>
      <c r="AP27">
        <v>0</v>
      </c>
      <c r="AQ27" t="s">
        <v>611</v>
      </c>
      <c r="AR27">
        <v>0</v>
      </c>
      <c r="AS27">
        <v>0</v>
      </c>
      <c r="AT27">
        <v>0</v>
      </c>
      <c r="AU27">
        <v>0</v>
      </c>
      <c r="AV27">
        <v>0</v>
      </c>
      <c r="AW27" t="s">
        <v>11</v>
      </c>
      <c r="AX27">
        <f>Tabla1[[#This Row],[precio del paquete]]-Tabla1[[#This Row],[Saldo_Deudor]]</f>
        <v>4600</v>
      </c>
      <c r="AY27">
        <v>19900</v>
      </c>
      <c r="AZ27" t="s">
        <v>1</v>
      </c>
      <c r="BA27" t="s">
        <v>1</v>
      </c>
      <c r="BB27" t="s">
        <v>1</v>
      </c>
      <c r="BC27" t="s">
        <v>621</v>
      </c>
      <c r="BD27" t="s">
        <v>653</v>
      </c>
      <c r="BE27">
        <v>0</v>
      </c>
      <c r="BF27">
        <v>0</v>
      </c>
      <c r="BG27">
        <v>0</v>
      </c>
      <c r="BH27">
        <v>0</v>
      </c>
      <c r="BI27">
        <v>0</v>
      </c>
      <c r="BJ27" t="s">
        <v>680</v>
      </c>
      <c r="BK27">
        <v>0</v>
      </c>
      <c r="BL27" t="s">
        <v>132</v>
      </c>
      <c r="BM27">
        <v>0</v>
      </c>
      <c r="BN27">
        <v>24500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 t="s">
        <v>0</v>
      </c>
      <c r="BX27">
        <v>0</v>
      </c>
      <c r="BY27">
        <v>0</v>
      </c>
      <c r="BZ27">
        <v>0</v>
      </c>
      <c r="CA27">
        <v>0</v>
      </c>
      <c r="CB27" t="s">
        <v>686</v>
      </c>
      <c r="CD27" t="str" cm="1">
        <f t="array" aca="1" ref="CD27" ca="1">eConcatenar(A27:CB27,"|")</f>
        <v>eQYSgnxZ2ghzrWeS|CAR2021-1202|3|DIGNITY|TABASCO|CARDENAS|CARDENAS|2021-01-04|24500|0|0|50|2|0|0|0|0|0|0|0|0|0|0|0|0|0|0|DE LA FUENTE|DE LOS SANTOS|FRANCO|soltero|0|0|PROLONGACION DE XICOTENCAZTL NUMERO 125 B|COLONIA CARLOS PELLICER CAMARA|x|9371019328|x|x|x|PROLONGACION DE XICOTENCAZTL NUMERO 125 B|0|lunes|0|0|0|0|0|DOMICILIO |4600|19900|X|X|X|2022-07-02|2022-07-09|0|0|0|0|0|3O8PTA2AZPGA3HB|0|HOMBRE|0|24500|0|0|0|0|0|0|0|0|CARDENAS|0|0|0|0|FINAL</v>
      </c>
    </row>
    <row r="28" spans="1:82" x14ac:dyDescent="0.25">
      <c r="A28" t="s">
        <v>162</v>
      </c>
      <c r="B28" t="s">
        <v>234</v>
      </c>
      <c r="C28">
        <v>3</v>
      </c>
      <c r="D28" t="s">
        <v>288</v>
      </c>
      <c r="E28" t="s">
        <v>294</v>
      </c>
      <c r="F28" t="s">
        <v>0</v>
      </c>
      <c r="G28" t="s">
        <v>0</v>
      </c>
      <c r="H28" t="s">
        <v>315</v>
      </c>
      <c r="I28">
        <v>12900</v>
      </c>
      <c r="J28">
        <v>0</v>
      </c>
      <c r="K28">
        <v>0</v>
      </c>
      <c r="L28">
        <v>50</v>
      </c>
      <c r="M28">
        <v>1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 t="s">
        <v>7</v>
      </c>
      <c r="AC28" t="s">
        <v>402</v>
      </c>
      <c r="AD28" s="18" t="s">
        <v>407</v>
      </c>
      <c r="AE28" t="s">
        <v>496</v>
      </c>
      <c r="AF28">
        <v>0</v>
      </c>
      <c r="AG28">
        <v>0</v>
      </c>
      <c r="AH28" t="s">
        <v>515</v>
      </c>
      <c r="AI28" t="s">
        <v>564</v>
      </c>
      <c r="AJ28" t="s">
        <v>3</v>
      </c>
      <c r="AK28">
        <v>9371645731</v>
      </c>
      <c r="AL28" t="s">
        <v>3</v>
      </c>
      <c r="AM28" t="s">
        <v>3</v>
      </c>
      <c r="AN28" t="s">
        <v>3</v>
      </c>
      <c r="AO28" t="s">
        <v>515</v>
      </c>
      <c r="AP28">
        <v>0</v>
      </c>
      <c r="AQ28" t="s">
        <v>611</v>
      </c>
      <c r="AR28">
        <v>0</v>
      </c>
      <c r="AS28">
        <v>0</v>
      </c>
      <c r="AT28">
        <v>0</v>
      </c>
      <c r="AU28">
        <v>0</v>
      </c>
      <c r="AV28">
        <v>0</v>
      </c>
      <c r="AW28" t="s">
        <v>11</v>
      </c>
      <c r="AX28">
        <f>Tabla1[[#This Row],[precio del paquete]]-Tabla1[[#This Row],[Saldo_Deudor]]</f>
        <v>5400</v>
      </c>
      <c r="AY28">
        <v>7500</v>
      </c>
      <c r="AZ28" t="s">
        <v>1</v>
      </c>
      <c r="BA28" t="s">
        <v>1</v>
      </c>
      <c r="BB28" t="s">
        <v>1</v>
      </c>
      <c r="BC28" t="s">
        <v>622</v>
      </c>
      <c r="BD28" t="s">
        <v>654</v>
      </c>
      <c r="BE28">
        <v>0</v>
      </c>
      <c r="BF28">
        <v>0</v>
      </c>
      <c r="BG28">
        <v>0</v>
      </c>
      <c r="BH28">
        <v>0</v>
      </c>
      <c r="BI28">
        <v>0</v>
      </c>
      <c r="BJ28" t="s">
        <v>680</v>
      </c>
      <c r="BK28">
        <v>0</v>
      </c>
      <c r="BL28" t="s">
        <v>132</v>
      </c>
      <c r="BM28">
        <v>0</v>
      </c>
      <c r="BN28">
        <v>12900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 t="s">
        <v>0</v>
      </c>
      <c r="BX28">
        <v>0</v>
      </c>
      <c r="BY28">
        <v>0</v>
      </c>
      <c r="BZ28">
        <v>0</v>
      </c>
      <c r="CA28">
        <v>0</v>
      </c>
      <c r="CB28" t="s">
        <v>686</v>
      </c>
      <c r="CD28" t="str" cm="1">
        <f t="array" aca="1" ref="CD28" ca="1">eConcatenar(A28:CB28,"|")</f>
        <v>CNRxx2gNndJOjUrP|CAR2020-4626|3|IMPERIAL DEL LUJO|TABASCO|CARDENAS|CARDENAS|2020-11-11|12900|0|0|50|1|0|0|0|0|0|0|0|0|0|0|0|0|0|0|LOPEZ|HERNANDEZ|ELIZABETH|soltero|0|0|CALLE DIVISION DEL SUR CALLE 1 MANZANA 12|FRACCIONAMIENTO CAÃ‘ALES SEGUNDA ETAPA|x|9371645731|x|x|x|CALLE DIVISION DEL SUR CALLE 1 MANZANA 12|0|lunes|0|0|0|0|0|DOMICILIO |5400|7500|X|X|X|2022-01-03|2022-01-10|0|0|0|0|0|3O8PTA2AZPGA3HB|0|HOMBRE|0|12900|0|0|0|0|0|0|0|0|CARDENAS|0|0|0|0|FINAL</v>
      </c>
    </row>
    <row r="29" spans="1:82" x14ac:dyDescent="0.25">
      <c r="A29" t="s">
        <v>163</v>
      </c>
      <c r="B29" t="s">
        <v>235</v>
      </c>
      <c r="C29">
        <v>3</v>
      </c>
      <c r="D29" t="s">
        <v>290</v>
      </c>
      <c r="E29" t="s">
        <v>294</v>
      </c>
      <c r="F29" t="s">
        <v>0</v>
      </c>
      <c r="G29" t="s">
        <v>0</v>
      </c>
      <c r="H29" t="s">
        <v>316</v>
      </c>
      <c r="I29">
        <v>12900</v>
      </c>
      <c r="J29">
        <v>0</v>
      </c>
      <c r="K29">
        <v>0</v>
      </c>
      <c r="L29">
        <v>50</v>
      </c>
      <c r="M29">
        <v>1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 t="s">
        <v>408</v>
      </c>
      <c r="AC29" t="s">
        <v>386</v>
      </c>
      <c r="AD29" s="18" t="s">
        <v>409</v>
      </c>
      <c r="AE29" t="s">
        <v>496</v>
      </c>
      <c r="AF29">
        <v>0</v>
      </c>
      <c r="AG29">
        <v>0</v>
      </c>
      <c r="AH29" t="s">
        <v>516</v>
      </c>
      <c r="AI29" t="s">
        <v>577</v>
      </c>
      <c r="AJ29" t="s">
        <v>3</v>
      </c>
      <c r="AK29" t="s">
        <v>1</v>
      </c>
      <c r="AL29" t="s">
        <v>3</v>
      </c>
      <c r="AM29" t="s">
        <v>3</v>
      </c>
      <c r="AN29" t="s">
        <v>3</v>
      </c>
      <c r="AO29" t="s">
        <v>516</v>
      </c>
      <c r="AP29">
        <v>0</v>
      </c>
      <c r="AQ29" t="s">
        <v>611</v>
      </c>
      <c r="AR29">
        <v>0</v>
      </c>
      <c r="AS29">
        <v>0</v>
      </c>
      <c r="AT29">
        <v>0</v>
      </c>
      <c r="AU29">
        <v>0</v>
      </c>
      <c r="AV29">
        <v>0</v>
      </c>
      <c r="AW29" t="s">
        <v>11</v>
      </c>
      <c r="AX29">
        <f>Tabla1[[#This Row],[precio del paquete]]-Tabla1[[#This Row],[Saldo_Deudor]]</f>
        <v>5100</v>
      </c>
      <c r="AY29">
        <v>7800</v>
      </c>
      <c r="AZ29" t="s">
        <v>1</v>
      </c>
      <c r="BA29" t="s">
        <v>1</v>
      </c>
      <c r="BB29" t="s">
        <v>1</v>
      </c>
      <c r="BC29" t="s">
        <v>326</v>
      </c>
      <c r="BD29" t="s">
        <v>655</v>
      </c>
      <c r="BE29">
        <v>0</v>
      </c>
      <c r="BF29">
        <v>0</v>
      </c>
      <c r="BG29">
        <v>0</v>
      </c>
      <c r="BH29">
        <v>0</v>
      </c>
      <c r="BI29">
        <v>0</v>
      </c>
      <c r="BJ29" t="s">
        <v>680</v>
      </c>
      <c r="BK29">
        <v>0</v>
      </c>
      <c r="BL29" t="s">
        <v>132</v>
      </c>
      <c r="BM29">
        <v>0</v>
      </c>
      <c r="BN29">
        <v>12900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 t="s">
        <v>0</v>
      </c>
      <c r="BX29">
        <v>0</v>
      </c>
      <c r="BY29">
        <v>0</v>
      </c>
      <c r="BZ29">
        <v>0</v>
      </c>
      <c r="CA29">
        <v>0</v>
      </c>
      <c r="CB29" t="s">
        <v>686</v>
      </c>
      <c r="CD29" t="str" cm="1">
        <f t="array" aca="1" ref="CD29" ca="1">eConcatenar(A29:CB29,"|")</f>
        <v>Pkndt5T1LN9u1fqH|CAR2020-0093|3|ECONOLINE|TABASCO|CARDENAS|CARDENAS|2020-01-17|12900|0|0|50|1|0|0|0|0|0|0|0|0|0|0|0|0|0|0|MONTEJO|PEREZ|GLORIA|soltero|0|0|CALLE MANGO NUMERO 14|COLONIA ARBOLEDA|x|X|x|x|x|CALLE MANGO NUMERO 14|0|lunes|0|0|0|0|0|DOMICILIO |5100|7800|X|X|X|2021-08-16|2021-08-23|0|0|0|0|0|3O8PTA2AZPGA3HB|0|HOMBRE|0|12900|0|0|0|0|0|0|0|0|CARDENAS|0|0|0|0|FINAL</v>
      </c>
    </row>
    <row r="30" spans="1:82" x14ac:dyDescent="0.25">
      <c r="A30" t="s">
        <v>164</v>
      </c>
      <c r="B30" t="s">
        <v>236</v>
      </c>
      <c r="C30">
        <v>3</v>
      </c>
      <c r="D30" t="s">
        <v>290</v>
      </c>
      <c r="E30" t="s">
        <v>294</v>
      </c>
      <c r="F30" t="s">
        <v>0</v>
      </c>
      <c r="G30" t="s">
        <v>0</v>
      </c>
      <c r="H30" t="s">
        <v>317</v>
      </c>
      <c r="I30">
        <v>12900</v>
      </c>
      <c r="J30">
        <v>0</v>
      </c>
      <c r="K30">
        <v>0</v>
      </c>
      <c r="L30">
        <v>50</v>
      </c>
      <c r="M30">
        <v>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 t="s">
        <v>371</v>
      </c>
      <c r="AC30" t="s">
        <v>410</v>
      </c>
      <c r="AD30" s="18" t="s">
        <v>411</v>
      </c>
      <c r="AE30" t="s">
        <v>496</v>
      </c>
      <c r="AF30">
        <v>0</v>
      </c>
      <c r="AG30">
        <v>0</v>
      </c>
      <c r="AH30" t="s">
        <v>517</v>
      </c>
      <c r="AI30" t="s">
        <v>578</v>
      </c>
      <c r="AJ30" t="s">
        <v>3</v>
      </c>
      <c r="AK30">
        <v>9371649839</v>
      </c>
      <c r="AL30" t="s">
        <v>3</v>
      </c>
      <c r="AM30" t="s">
        <v>3</v>
      </c>
      <c r="AN30" t="s">
        <v>3</v>
      </c>
      <c r="AO30" t="s">
        <v>517</v>
      </c>
      <c r="AP30">
        <v>0</v>
      </c>
      <c r="AQ30" t="s">
        <v>611</v>
      </c>
      <c r="AR30">
        <v>0</v>
      </c>
      <c r="AS30">
        <v>0</v>
      </c>
      <c r="AT30">
        <v>0</v>
      </c>
      <c r="AU30">
        <v>0</v>
      </c>
      <c r="AV30">
        <v>0</v>
      </c>
      <c r="AW30" t="s">
        <v>11</v>
      </c>
      <c r="AX30">
        <f>Tabla1[[#This Row],[precio del paquete]]-Tabla1[[#This Row],[Saldo_Deudor]]</f>
        <v>7200</v>
      </c>
      <c r="AY30">
        <v>5700</v>
      </c>
      <c r="AZ30" t="s">
        <v>1</v>
      </c>
      <c r="BA30" t="s">
        <v>1</v>
      </c>
      <c r="BB30" t="s">
        <v>1</v>
      </c>
      <c r="BC30" t="s">
        <v>623</v>
      </c>
      <c r="BD30" t="s">
        <v>640</v>
      </c>
      <c r="BE30">
        <v>0</v>
      </c>
      <c r="BF30">
        <v>0</v>
      </c>
      <c r="BG30">
        <v>0</v>
      </c>
      <c r="BH30">
        <v>0</v>
      </c>
      <c r="BI30">
        <v>0</v>
      </c>
      <c r="BJ30" t="s">
        <v>680</v>
      </c>
      <c r="BK30">
        <v>0</v>
      </c>
      <c r="BL30" t="s">
        <v>132</v>
      </c>
      <c r="BM30">
        <v>0</v>
      </c>
      <c r="BN30">
        <v>12900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 t="s">
        <v>0</v>
      </c>
      <c r="BX30">
        <v>0</v>
      </c>
      <c r="BY30">
        <v>0</v>
      </c>
      <c r="BZ30">
        <v>0</v>
      </c>
      <c r="CA30">
        <v>0</v>
      </c>
      <c r="CB30" t="s">
        <v>686</v>
      </c>
      <c r="CD30" t="str" cm="1">
        <f t="array" aca="1" ref="CD30" ca="1">eConcatenar(A30:CB30,"|")</f>
        <v>2chHVTJ5QBkz4yzq|CAR2020-0434|3|ECONOLINE|TABASCO|CARDENAS|CARDENAS|2020-10-02|12900|0|0|50|2|0|0|0|0|0|0|0|0|0|0|0|0|0|0|DIAZ|V|PORFIRIO|soltero|0|0|ANDADOR ORQUIDEA NUMERO 2|COLONIA INGENIO SANTA ROSALIA|x|9371649839|x|x|x|ANDADOR ORQUIDEA NUMERO 2|0|lunes|0|0|0|0|0|DOMICILIO |7200|5700|X|X|X|2022-02-15|2022-02-22|0|0|0|0|0|3O8PTA2AZPGA3HB|0|HOMBRE|0|12900|0|0|0|0|0|0|0|0|CARDENAS|0|0|0|0|FINAL</v>
      </c>
    </row>
    <row r="31" spans="1:82" x14ac:dyDescent="0.25">
      <c r="A31" t="s">
        <v>165</v>
      </c>
      <c r="B31" t="s">
        <v>237</v>
      </c>
      <c r="C31">
        <v>3</v>
      </c>
      <c r="D31" t="s">
        <v>290</v>
      </c>
      <c r="E31" t="s">
        <v>294</v>
      </c>
      <c r="F31" t="s">
        <v>0</v>
      </c>
      <c r="G31" t="s">
        <v>0</v>
      </c>
      <c r="H31" t="s">
        <v>318</v>
      </c>
      <c r="I31">
        <v>12900</v>
      </c>
      <c r="J31">
        <v>0</v>
      </c>
      <c r="K31">
        <v>0</v>
      </c>
      <c r="L31">
        <v>50</v>
      </c>
      <c r="M31">
        <v>1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 t="s">
        <v>412</v>
      </c>
      <c r="AC31" t="s">
        <v>7</v>
      </c>
      <c r="AD31" s="18" t="s">
        <v>413</v>
      </c>
      <c r="AE31" t="s">
        <v>496</v>
      </c>
      <c r="AF31">
        <v>0</v>
      </c>
      <c r="AG31">
        <v>0</v>
      </c>
      <c r="AH31" t="s">
        <v>518</v>
      </c>
      <c r="AI31" t="s">
        <v>579</v>
      </c>
      <c r="AJ31" t="s">
        <v>3</v>
      </c>
      <c r="AK31">
        <v>9341686279</v>
      </c>
      <c r="AL31" t="s">
        <v>3</v>
      </c>
      <c r="AM31" t="s">
        <v>3</v>
      </c>
      <c r="AN31" t="s">
        <v>3</v>
      </c>
      <c r="AO31" t="s">
        <v>518</v>
      </c>
      <c r="AP31">
        <v>0</v>
      </c>
      <c r="AQ31" t="s">
        <v>611</v>
      </c>
      <c r="AR31">
        <v>0</v>
      </c>
      <c r="AS31">
        <v>0</v>
      </c>
      <c r="AT31">
        <v>0</v>
      </c>
      <c r="AU31">
        <v>0</v>
      </c>
      <c r="AV31">
        <v>0</v>
      </c>
      <c r="AW31" t="s">
        <v>11</v>
      </c>
      <c r="AX31">
        <f>Tabla1[[#This Row],[precio del paquete]]-Tabla1[[#This Row],[Saldo_Deudor]]</f>
        <v>8800</v>
      </c>
      <c r="AY31">
        <v>4100</v>
      </c>
      <c r="AZ31" t="s">
        <v>1</v>
      </c>
      <c r="BA31" t="s">
        <v>1</v>
      </c>
      <c r="BB31" t="s">
        <v>1</v>
      </c>
      <c r="BC31" t="s">
        <v>624</v>
      </c>
      <c r="BD31" t="s">
        <v>656</v>
      </c>
      <c r="BE31">
        <v>0</v>
      </c>
      <c r="BF31">
        <v>0</v>
      </c>
      <c r="BG31">
        <v>0</v>
      </c>
      <c r="BH31">
        <v>0</v>
      </c>
      <c r="BI31">
        <v>0</v>
      </c>
      <c r="BJ31" t="s">
        <v>680</v>
      </c>
      <c r="BK31">
        <v>0</v>
      </c>
      <c r="BL31" t="s">
        <v>132</v>
      </c>
      <c r="BM31">
        <v>0</v>
      </c>
      <c r="BN31">
        <v>12900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 t="s">
        <v>0</v>
      </c>
      <c r="BX31">
        <v>0</v>
      </c>
      <c r="BY31">
        <v>0</v>
      </c>
      <c r="BZ31">
        <v>0</v>
      </c>
      <c r="CA31">
        <v>0</v>
      </c>
      <c r="CB31" t="s">
        <v>686</v>
      </c>
      <c r="CD31" t="str" cm="1">
        <f t="array" aca="1" ref="CD31" ca="1">eConcatenar(A31:CB31,"|")</f>
        <v>SuQ2pHOFFrzxKzw9|CAR2018-2075|3|ECONOLINE|TABASCO|CARDENAS|CARDENAS|2018-09-10|12900|0|0|50|1|0|0|0|0|0|0|0|0|0|0|0|0|0|0|MORALES|LOPEZ|ALMA ROSA|soltero|0|0|ENTRADA LA NATIVIDAD|EJIDO HIDALGO SEGUNDA SECCION|x|9341686279|x|x|x|ENTRADA LA NATIVIDAD|0|lunes|0|0|0|0|0|DOMICILIO |8800|4100|X|X|X|2021-04-19|2021-04-26|0|0|0|0|0|3O8PTA2AZPGA3HB|0|HOMBRE|0|12900|0|0|0|0|0|0|0|0|CARDENAS|0|0|0|0|FINAL</v>
      </c>
    </row>
    <row r="32" spans="1:82" x14ac:dyDescent="0.25">
      <c r="A32" t="s">
        <v>166</v>
      </c>
      <c r="B32" t="s">
        <v>238</v>
      </c>
      <c r="C32">
        <v>3</v>
      </c>
      <c r="D32" t="s">
        <v>290</v>
      </c>
      <c r="E32" t="s">
        <v>294</v>
      </c>
      <c r="F32" t="s">
        <v>0</v>
      </c>
      <c r="G32" t="s">
        <v>0</v>
      </c>
      <c r="H32" t="s">
        <v>318</v>
      </c>
      <c r="I32">
        <v>12900</v>
      </c>
      <c r="J32">
        <v>0</v>
      </c>
      <c r="K32">
        <v>0</v>
      </c>
      <c r="L32">
        <v>50</v>
      </c>
      <c r="M32">
        <v>1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 t="s">
        <v>412</v>
      </c>
      <c r="AC32" t="s">
        <v>7</v>
      </c>
      <c r="AD32" s="18" t="s">
        <v>413</v>
      </c>
      <c r="AE32" t="s">
        <v>496</v>
      </c>
      <c r="AF32">
        <v>0</v>
      </c>
      <c r="AG32">
        <v>0</v>
      </c>
      <c r="AH32" t="s">
        <v>518</v>
      </c>
      <c r="AI32" t="s">
        <v>579</v>
      </c>
      <c r="AJ32" t="s">
        <v>3</v>
      </c>
      <c r="AK32">
        <v>9371003850</v>
      </c>
      <c r="AL32" t="s">
        <v>3</v>
      </c>
      <c r="AM32" t="s">
        <v>3</v>
      </c>
      <c r="AN32" t="s">
        <v>3</v>
      </c>
      <c r="AO32" t="s">
        <v>518</v>
      </c>
      <c r="AP32">
        <v>0</v>
      </c>
      <c r="AQ32" t="s">
        <v>611</v>
      </c>
      <c r="AR32">
        <v>0</v>
      </c>
      <c r="AS32">
        <v>0</v>
      </c>
      <c r="AT32">
        <v>0</v>
      </c>
      <c r="AU32">
        <v>0</v>
      </c>
      <c r="AV32">
        <v>0</v>
      </c>
      <c r="AW32" t="s">
        <v>11</v>
      </c>
      <c r="AX32">
        <f>Tabla1[[#This Row],[precio del paquete]]-Tabla1[[#This Row],[Saldo_Deudor]]</f>
        <v>8900</v>
      </c>
      <c r="AY32">
        <v>4000</v>
      </c>
      <c r="AZ32" t="s">
        <v>1</v>
      </c>
      <c r="BA32" t="s">
        <v>1</v>
      </c>
      <c r="BB32" t="s">
        <v>1</v>
      </c>
      <c r="BC32" t="s">
        <v>625</v>
      </c>
      <c r="BD32" t="s">
        <v>657</v>
      </c>
      <c r="BE32">
        <v>0</v>
      </c>
      <c r="BF32">
        <v>0</v>
      </c>
      <c r="BG32">
        <v>0</v>
      </c>
      <c r="BH32">
        <v>0</v>
      </c>
      <c r="BI32">
        <v>0</v>
      </c>
      <c r="BJ32" t="s">
        <v>680</v>
      </c>
      <c r="BK32">
        <v>0</v>
      </c>
      <c r="BL32" t="s">
        <v>132</v>
      </c>
      <c r="BM32">
        <v>0</v>
      </c>
      <c r="BN32">
        <v>12900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 t="s">
        <v>0</v>
      </c>
      <c r="BX32">
        <v>0</v>
      </c>
      <c r="BY32">
        <v>0</v>
      </c>
      <c r="BZ32">
        <v>0</v>
      </c>
      <c r="CA32">
        <v>0</v>
      </c>
      <c r="CB32" t="s">
        <v>686</v>
      </c>
      <c r="CD32" t="str" cm="1">
        <f t="array" aca="1" ref="CD32" ca="1">eConcatenar(A32:CB32,"|")</f>
        <v>Xw1qbAsl65qUURit|CAR2018-2076|3|ECONOLINE|TABASCO|CARDENAS|CARDENAS|2018-09-10|12900|0|0|50|1|0|0|0|0|0|0|0|0|0|0|0|0|0|0|MORALES|LOPEZ|ALMA ROSA|soltero|0|0|ENTRADA LA NATIVIDAD|EJIDO HIDALGO SEGUNDA SECCION|x|9371003850|x|x|x|ENTRADA LA NATIVIDAD|0|lunes|0|0|0|0|0|DOMICILIO |8900|4000|X|X|X|2021-04-01|2021-04-08|0|0|0|0|0|3O8PTA2AZPGA3HB|0|HOMBRE|0|12900|0|0|0|0|0|0|0|0|CARDENAS|0|0|0|0|FINAL</v>
      </c>
    </row>
    <row r="33" spans="1:82" x14ac:dyDescent="0.25">
      <c r="A33" t="s">
        <v>167</v>
      </c>
      <c r="B33" t="s">
        <v>239</v>
      </c>
      <c r="C33">
        <v>3</v>
      </c>
      <c r="D33" t="s">
        <v>289</v>
      </c>
      <c r="E33" t="s">
        <v>294</v>
      </c>
      <c r="F33" t="s">
        <v>295</v>
      </c>
      <c r="G33" t="s">
        <v>295</v>
      </c>
      <c r="H33" t="s">
        <v>319</v>
      </c>
      <c r="I33">
        <v>14800</v>
      </c>
      <c r="J33">
        <v>0</v>
      </c>
      <c r="K33">
        <v>0</v>
      </c>
      <c r="L33">
        <v>50</v>
      </c>
      <c r="M33">
        <v>1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 t="s">
        <v>414</v>
      </c>
      <c r="AC33" t="s">
        <v>366</v>
      </c>
      <c r="AD33" s="18" t="s">
        <v>415</v>
      </c>
      <c r="AE33" t="s">
        <v>496</v>
      </c>
      <c r="AF33">
        <v>0</v>
      </c>
      <c r="AG33">
        <v>0</v>
      </c>
      <c r="AH33" t="s">
        <v>519</v>
      </c>
      <c r="AI33" t="s">
        <v>580</v>
      </c>
      <c r="AJ33" t="s">
        <v>3</v>
      </c>
      <c r="AK33">
        <v>9372837704</v>
      </c>
      <c r="AL33" t="s">
        <v>3</v>
      </c>
      <c r="AM33" t="s">
        <v>3</v>
      </c>
      <c r="AN33" t="s">
        <v>3</v>
      </c>
      <c r="AO33" t="s">
        <v>519</v>
      </c>
      <c r="AP33">
        <v>0</v>
      </c>
      <c r="AQ33" t="s">
        <v>611</v>
      </c>
      <c r="AR33">
        <v>0</v>
      </c>
      <c r="AS33">
        <v>0</v>
      </c>
      <c r="AT33">
        <v>0</v>
      </c>
      <c r="AU33">
        <v>0</v>
      </c>
      <c r="AV33">
        <v>0</v>
      </c>
      <c r="AW33" t="s">
        <v>11</v>
      </c>
      <c r="AX33">
        <f>Tabla1[[#This Row],[precio del paquete]]-Tabla1[[#This Row],[Saldo_Deudor]]</f>
        <v>1050</v>
      </c>
      <c r="AY33">
        <v>13750</v>
      </c>
      <c r="AZ33" t="s">
        <v>1</v>
      </c>
      <c r="BA33" t="s">
        <v>1</v>
      </c>
      <c r="BB33" t="s">
        <v>1</v>
      </c>
      <c r="BC33" t="s">
        <v>626</v>
      </c>
      <c r="BD33" t="s">
        <v>658</v>
      </c>
      <c r="BE33">
        <v>0</v>
      </c>
      <c r="BF33">
        <v>0</v>
      </c>
      <c r="BG33">
        <v>0</v>
      </c>
      <c r="BH33">
        <v>0</v>
      </c>
      <c r="BI33">
        <v>0</v>
      </c>
      <c r="BJ33" t="s">
        <v>680</v>
      </c>
      <c r="BK33">
        <v>0</v>
      </c>
      <c r="BL33" t="s">
        <v>132</v>
      </c>
      <c r="BM33">
        <v>0</v>
      </c>
      <c r="BN33">
        <v>14800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 t="s">
        <v>0</v>
      </c>
      <c r="BX33">
        <v>0</v>
      </c>
      <c r="BY33">
        <v>0</v>
      </c>
      <c r="BZ33">
        <v>0</v>
      </c>
      <c r="CA33">
        <v>0</v>
      </c>
      <c r="CB33" t="s">
        <v>686</v>
      </c>
      <c r="CD33" t="str" cm="1">
        <f t="array" aca="1" ref="CD33" ca="1">eConcatenar(A33:CB33,"|")</f>
        <v>DnOp0yE74DTxlbUK|CAR2021-1267|3|MEMORIAL|TABASCO|CUNDUACAN|CUNDUACAN|2021-12-04|14800|0|0|50|1|0|0|0|0|0|0|0|0|0|0|0|0|0|0|RAMIREZ|DOMINGUEZ|YULIANA|soltero|0|0|CALLEJON NUMERO 70|POBLADO ONCE DE FEBRERO|x|9372837704|x|x|x|CALLEJON NUMERO 70|0|lunes|0|0|0|0|0|DOMICILIO |1050|13750|X|X|X|2021-12-07|2021-12-14|0|0|0|0|0|3O8PTA2AZPGA3HB|0|HOMBRE|0|14800|0|0|0|0|0|0|0|0|CARDENAS|0|0|0|0|FINAL</v>
      </c>
    </row>
    <row r="34" spans="1:82" x14ac:dyDescent="0.25">
      <c r="A34" t="s">
        <v>168</v>
      </c>
      <c r="B34" t="s">
        <v>240</v>
      </c>
      <c r="C34">
        <v>3</v>
      </c>
      <c r="D34" t="s">
        <v>290</v>
      </c>
      <c r="E34" t="s">
        <v>294</v>
      </c>
      <c r="F34" t="s">
        <v>295</v>
      </c>
      <c r="G34" t="s">
        <v>295</v>
      </c>
      <c r="H34" t="s">
        <v>320</v>
      </c>
      <c r="I34">
        <v>11500</v>
      </c>
      <c r="J34">
        <v>0</v>
      </c>
      <c r="K34">
        <v>0</v>
      </c>
      <c r="L34">
        <v>50</v>
      </c>
      <c r="M34">
        <v>1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 t="s">
        <v>414</v>
      </c>
      <c r="AC34" t="s">
        <v>365</v>
      </c>
      <c r="AD34" s="18" t="s">
        <v>416</v>
      </c>
      <c r="AE34" t="s">
        <v>496</v>
      </c>
      <c r="AF34">
        <v>0</v>
      </c>
      <c r="AG34">
        <v>0</v>
      </c>
      <c r="AH34" t="s">
        <v>520</v>
      </c>
      <c r="AI34" t="s">
        <v>580</v>
      </c>
      <c r="AJ34" t="s">
        <v>3</v>
      </c>
      <c r="AK34">
        <v>9331026471</v>
      </c>
      <c r="AL34" t="s">
        <v>3</v>
      </c>
      <c r="AM34" t="s">
        <v>3</v>
      </c>
      <c r="AN34" t="s">
        <v>3</v>
      </c>
      <c r="AO34" t="s">
        <v>520</v>
      </c>
      <c r="AP34">
        <v>0</v>
      </c>
      <c r="AQ34" t="s">
        <v>611</v>
      </c>
      <c r="AR34">
        <v>0</v>
      </c>
      <c r="AS34">
        <v>0</v>
      </c>
      <c r="AT34">
        <v>0</v>
      </c>
      <c r="AU34">
        <v>0</v>
      </c>
      <c r="AV34">
        <v>0</v>
      </c>
      <c r="AW34" t="s">
        <v>11</v>
      </c>
      <c r="AX34">
        <f>Tabla1[[#This Row],[precio del paquete]]-Tabla1[[#This Row],[Saldo_Deudor]]</f>
        <v>10800</v>
      </c>
      <c r="AY34">
        <v>700</v>
      </c>
      <c r="AZ34" t="s">
        <v>1</v>
      </c>
      <c r="BA34" t="s">
        <v>1</v>
      </c>
      <c r="BB34" t="s">
        <v>1</v>
      </c>
      <c r="BC34" t="s">
        <v>627</v>
      </c>
      <c r="BD34" t="s">
        <v>659</v>
      </c>
      <c r="BE34">
        <v>0</v>
      </c>
      <c r="BF34">
        <v>0</v>
      </c>
      <c r="BG34">
        <v>0</v>
      </c>
      <c r="BH34">
        <v>0</v>
      </c>
      <c r="BI34">
        <v>0</v>
      </c>
      <c r="BJ34" t="s">
        <v>680</v>
      </c>
      <c r="BK34">
        <v>0</v>
      </c>
      <c r="BL34" t="s">
        <v>132</v>
      </c>
      <c r="BM34">
        <v>0</v>
      </c>
      <c r="BN34">
        <v>11500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 t="s">
        <v>0</v>
      </c>
      <c r="BX34">
        <v>0</v>
      </c>
      <c r="BY34">
        <v>0</v>
      </c>
      <c r="BZ34">
        <v>0</v>
      </c>
      <c r="CA34">
        <v>0</v>
      </c>
      <c r="CB34" t="s">
        <v>686</v>
      </c>
      <c r="CD34" t="str" cm="1">
        <f t="array" aca="1" ref="CD34" ca="1">eConcatenar(A34:CB34,"|")</f>
        <v>k4OcQbicQNuMA8km|CAR2017-2548|3|ECONOLINE|TABASCO|CUNDUACAN|CUNDUACAN|2017-12-22|11500|0|0|50|1|0|0|0|0|0|0|0|0|0|0|0|0|0|0|RAMIREZ|JIMENEZ|MANUELA|soltero|0|0|CALLE MIGUEL HIDALGO SIN NUMERO|POBLADO ONCE DE FEBRERO|x|9331026471|x|x|x|CALLE MIGUEL HIDALGO SIN NUMERO|0|lunes|0|0|0|0|0|DOMICILIO |10800|700|X|X|X|2021-10-26|2021-11-02|0|0|0|0|0|3O8PTA2AZPGA3HB|0|HOMBRE|0|11500|0|0|0|0|0|0|0|0|CARDENAS|0|0|0|0|FINAL</v>
      </c>
    </row>
    <row r="35" spans="1:82" x14ac:dyDescent="0.25">
      <c r="A35" t="s">
        <v>169</v>
      </c>
      <c r="B35" t="s">
        <v>241</v>
      </c>
      <c r="C35">
        <v>3</v>
      </c>
      <c r="D35" t="s">
        <v>292</v>
      </c>
      <c r="E35" t="s">
        <v>294</v>
      </c>
      <c r="F35" t="s">
        <v>295</v>
      </c>
      <c r="G35" t="s">
        <v>295</v>
      </c>
      <c r="H35" t="s">
        <v>321</v>
      </c>
      <c r="I35">
        <v>24500</v>
      </c>
      <c r="J35">
        <v>0</v>
      </c>
      <c r="K35">
        <v>0</v>
      </c>
      <c r="L35">
        <v>50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 t="s">
        <v>417</v>
      </c>
      <c r="AC35" t="s">
        <v>374</v>
      </c>
      <c r="AD35" s="18" t="s">
        <v>418</v>
      </c>
      <c r="AE35" t="s">
        <v>496</v>
      </c>
      <c r="AF35">
        <v>0</v>
      </c>
      <c r="AG35">
        <v>0</v>
      </c>
      <c r="AH35" t="s">
        <v>520</v>
      </c>
      <c r="AI35" t="s">
        <v>580</v>
      </c>
      <c r="AJ35" t="s">
        <v>3</v>
      </c>
      <c r="AK35">
        <v>9371407797</v>
      </c>
      <c r="AL35" t="s">
        <v>3</v>
      </c>
      <c r="AM35" t="s">
        <v>3</v>
      </c>
      <c r="AN35" t="s">
        <v>3</v>
      </c>
      <c r="AO35" t="s">
        <v>520</v>
      </c>
      <c r="AP35">
        <v>0</v>
      </c>
      <c r="AQ35" t="s">
        <v>611</v>
      </c>
      <c r="AR35">
        <v>0</v>
      </c>
      <c r="AS35">
        <v>0</v>
      </c>
      <c r="AT35">
        <v>0</v>
      </c>
      <c r="AU35">
        <v>0</v>
      </c>
      <c r="AV35">
        <v>0</v>
      </c>
      <c r="AW35" t="s">
        <v>11</v>
      </c>
      <c r="AX35">
        <f>Tabla1[[#This Row],[precio del paquete]]-Tabla1[[#This Row],[Saldo_Deudor]]</f>
        <v>900</v>
      </c>
      <c r="AY35">
        <v>23600</v>
      </c>
      <c r="AZ35" t="s">
        <v>1</v>
      </c>
      <c r="BA35" t="s">
        <v>1</v>
      </c>
      <c r="BB35" t="s">
        <v>1</v>
      </c>
      <c r="BC35" t="s">
        <v>628</v>
      </c>
      <c r="BD35" t="s">
        <v>660</v>
      </c>
      <c r="BE35">
        <v>0</v>
      </c>
      <c r="BF35">
        <v>0</v>
      </c>
      <c r="BG35">
        <v>0</v>
      </c>
      <c r="BH35">
        <v>0</v>
      </c>
      <c r="BI35">
        <v>0</v>
      </c>
      <c r="BJ35" t="s">
        <v>680</v>
      </c>
      <c r="BK35">
        <v>0</v>
      </c>
      <c r="BL35" t="s">
        <v>132</v>
      </c>
      <c r="BM35">
        <v>0</v>
      </c>
      <c r="BN35">
        <v>24500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 t="s">
        <v>0</v>
      </c>
      <c r="BX35">
        <v>0</v>
      </c>
      <c r="BY35">
        <v>0</v>
      </c>
      <c r="BZ35">
        <v>0</v>
      </c>
      <c r="CA35">
        <v>0</v>
      </c>
      <c r="CB35" t="s">
        <v>686</v>
      </c>
      <c r="CD35" t="str" cm="1">
        <f t="array" aca="1" ref="CD35" ca="1">eConcatenar(A35:CB35,"|")</f>
        <v>uDrOCGtjeUL4jMji|CAR2021-1815|3|DIGNITY|TABASCO|CUNDUACAN|CUNDUACAN|2021-01-05|24500|0|0|50|1|0|0|0|0|0|0|0|0|0|0|0|0|0|0|VAZCONCELOS||FERNANDO|soltero|0|0|CALLE MIGUEL HIDALGO SIN NUMERO|POBLADO ONCE DE FEBRERO|x|9371407797|x|x|x|CALLE MIGUEL HIDALGO SIN NUMERO|0|lunes|0|0|0|0|0|DOMICILIO |900|23600|X|X|X|2021-07-19|2021-07-26|0|0|0|0|0|3O8PTA2AZPGA3HB|0|HOMBRE|0|24500|0|0|0|0|0|0|0|0|CARDENAS|0|0|0|0|FINAL</v>
      </c>
    </row>
    <row r="36" spans="1:82" x14ac:dyDescent="0.25">
      <c r="A36" t="s">
        <v>170</v>
      </c>
      <c r="B36" t="s">
        <v>242</v>
      </c>
      <c r="C36">
        <v>3</v>
      </c>
      <c r="D36" t="s">
        <v>290</v>
      </c>
      <c r="E36" t="s">
        <v>294</v>
      </c>
      <c r="F36" t="s">
        <v>295</v>
      </c>
      <c r="G36" t="s">
        <v>295</v>
      </c>
      <c r="H36" t="s">
        <v>322</v>
      </c>
      <c r="I36">
        <v>11500</v>
      </c>
      <c r="J36">
        <v>0</v>
      </c>
      <c r="K36">
        <v>0</v>
      </c>
      <c r="L36">
        <v>50</v>
      </c>
      <c r="M36">
        <v>2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 t="s">
        <v>419</v>
      </c>
      <c r="AC36" t="s">
        <v>420</v>
      </c>
      <c r="AD36" s="18" t="s">
        <v>421</v>
      </c>
      <c r="AE36" t="s">
        <v>496</v>
      </c>
      <c r="AF36">
        <v>0</v>
      </c>
      <c r="AG36">
        <v>0</v>
      </c>
      <c r="AH36" t="s">
        <v>521</v>
      </c>
      <c r="AI36" t="s">
        <v>580</v>
      </c>
      <c r="AJ36" t="s">
        <v>3</v>
      </c>
      <c r="AK36">
        <v>9141060422</v>
      </c>
      <c r="AL36" t="s">
        <v>3</v>
      </c>
      <c r="AM36" t="s">
        <v>3</v>
      </c>
      <c r="AN36" t="s">
        <v>3</v>
      </c>
      <c r="AO36" t="s">
        <v>521</v>
      </c>
      <c r="AP36">
        <v>0</v>
      </c>
      <c r="AQ36" t="s">
        <v>611</v>
      </c>
      <c r="AR36">
        <v>0</v>
      </c>
      <c r="AS36">
        <v>0</v>
      </c>
      <c r="AT36">
        <v>0</v>
      </c>
      <c r="AU36">
        <v>0</v>
      </c>
      <c r="AV36">
        <v>0</v>
      </c>
      <c r="AW36" t="s">
        <v>11</v>
      </c>
      <c r="AX36">
        <f>Tabla1[[#This Row],[precio del paquete]]-Tabla1[[#This Row],[Saldo_Deudor]]</f>
        <v>9800</v>
      </c>
      <c r="AY36">
        <v>1700</v>
      </c>
      <c r="AZ36" t="s">
        <v>1</v>
      </c>
      <c r="BA36" t="s">
        <v>1</v>
      </c>
      <c r="BB36" t="s">
        <v>1</v>
      </c>
      <c r="BC36" t="s">
        <v>629</v>
      </c>
      <c r="BD36" t="s">
        <v>661</v>
      </c>
      <c r="BE36">
        <v>0</v>
      </c>
      <c r="BF36">
        <v>0</v>
      </c>
      <c r="BG36">
        <v>0</v>
      </c>
      <c r="BH36">
        <v>0</v>
      </c>
      <c r="BI36">
        <v>0</v>
      </c>
      <c r="BJ36" t="s">
        <v>680</v>
      </c>
      <c r="BK36">
        <v>0</v>
      </c>
      <c r="BL36" t="s">
        <v>132</v>
      </c>
      <c r="BM36">
        <v>0</v>
      </c>
      <c r="BN36">
        <v>11500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 t="s">
        <v>0</v>
      </c>
      <c r="BX36">
        <v>0</v>
      </c>
      <c r="BY36">
        <v>0</v>
      </c>
      <c r="BZ36">
        <v>0</v>
      </c>
      <c r="CA36">
        <v>0</v>
      </c>
      <c r="CB36" t="s">
        <v>686</v>
      </c>
      <c r="CD36" t="str" cm="1">
        <f t="array" aca="1" ref="CD36" ca="1">eConcatenar(A36:CB36,"|")</f>
        <v>FsMxrTZhL9ftykbw|CAR2017-2432|3|ECONOLINE|TABASCO|CUNDUACAN|CUNDUACAN|2017-11-13|11500|0|0|50|2|0|0|0|0|0|0|0|0|0|0|0|0|0|0|RUIZ|OCHOA|LILIA|soltero|0|0|CALLE EMILIANO ZAPATA SIN NUMERO|POBLADO ONCE DE FEBRERO|x|9141060422|x|x|x|CALLE EMILIANO ZAPATA SIN NUMERO|0|lunes|0|0|0|0|0|DOMICILIO |9800|1700|X|X|X|2021-09-29|2021-10-06|0|0|0|0|0|3O8PTA2AZPGA3HB|0|HOMBRE|0|11500|0|0|0|0|0|0|0|0|CARDENAS|0|0|0|0|FINAL</v>
      </c>
    </row>
    <row r="37" spans="1:82" x14ac:dyDescent="0.25">
      <c r="A37" t="s">
        <v>171</v>
      </c>
      <c r="B37" t="s">
        <v>243</v>
      </c>
      <c r="C37">
        <v>3</v>
      </c>
      <c r="D37" t="s">
        <v>291</v>
      </c>
      <c r="E37" t="s">
        <v>294</v>
      </c>
      <c r="F37" t="s">
        <v>295</v>
      </c>
      <c r="G37" t="s">
        <v>295</v>
      </c>
      <c r="H37" t="s">
        <v>323</v>
      </c>
      <c r="I37">
        <v>19800</v>
      </c>
      <c r="J37">
        <v>0</v>
      </c>
      <c r="K37">
        <v>0</v>
      </c>
      <c r="L37">
        <v>50</v>
      </c>
      <c r="M37">
        <v>1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 t="s">
        <v>422</v>
      </c>
      <c r="AC37" t="s">
        <v>380</v>
      </c>
      <c r="AD37" s="18" t="s">
        <v>423</v>
      </c>
      <c r="AE37" t="s">
        <v>496</v>
      </c>
      <c r="AF37">
        <v>0</v>
      </c>
      <c r="AG37">
        <v>0</v>
      </c>
      <c r="AH37" t="s">
        <v>522</v>
      </c>
      <c r="AI37" t="s">
        <v>581</v>
      </c>
      <c r="AJ37" t="s">
        <v>3</v>
      </c>
      <c r="AK37">
        <v>9371403365</v>
      </c>
      <c r="AL37" t="s">
        <v>3</v>
      </c>
      <c r="AM37" t="s">
        <v>3</v>
      </c>
      <c r="AN37" t="s">
        <v>3</v>
      </c>
      <c r="AO37" t="s">
        <v>522</v>
      </c>
      <c r="AP37">
        <v>0</v>
      </c>
      <c r="AQ37" t="s">
        <v>611</v>
      </c>
      <c r="AR37">
        <v>0</v>
      </c>
      <c r="AS37">
        <v>0</v>
      </c>
      <c r="AT37">
        <v>0</v>
      </c>
      <c r="AU37">
        <v>0</v>
      </c>
      <c r="AV37">
        <v>0</v>
      </c>
      <c r="AW37" t="s">
        <v>11</v>
      </c>
      <c r="AX37">
        <f>Tabla1[[#This Row],[precio del paquete]]-Tabla1[[#This Row],[Saldo_Deudor]]</f>
        <v>4400</v>
      </c>
      <c r="AY37">
        <v>15400</v>
      </c>
      <c r="AZ37" t="s">
        <v>1</v>
      </c>
      <c r="BA37" t="s">
        <v>1</v>
      </c>
      <c r="BB37" t="s">
        <v>1</v>
      </c>
      <c r="BC37" t="s">
        <v>630</v>
      </c>
      <c r="BD37" t="s">
        <v>662</v>
      </c>
      <c r="BE37">
        <v>0</v>
      </c>
      <c r="BF37">
        <v>0</v>
      </c>
      <c r="BG37">
        <v>0</v>
      </c>
      <c r="BH37">
        <v>0</v>
      </c>
      <c r="BI37">
        <v>0</v>
      </c>
      <c r="BJ37" t="s">
        <v>680</v>
      </c>
      <c r="BK37">
        <v>0</v>
      </c>
      <c r="BL37" t="s">
        <v>132</v>
      </c>
      <c r="BM37">
        <v>0</v>
      </c>
      <c r="BN37">
        <v>19800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 t="s">
        <v>0</v>
      </c>
      <c r="BX37">
        <v>0</v>
      </c>
      <c r="BY37">
        <v>0</v>
      </c>
      <c r="BZ37">
        <v>0</v>
      </c>
      <c r="CA37">
        <v>0</v>
      </c>
      <c r="CB37" t="s">
        <v>686</v>
      </c>
      <c r="CD37" t="str" cm="1">
        <f t="array" aca="1" ref="CD37" ca="1">eConcatenar(A37:CB37,"|")</f>
        <v>OYyxgmsCDpjHc0D0|CAR2019-1902|3|ZAFIRO|TABASCO|CUNDUACAN|CUNDUACAN|2019-07-16|19800|0|0|50|1|0|0|0|0|0|0|0|0|0|0|0|0|0|0|ORTIZ|SANCHEZ|CARLOS MARIO|soltero|0|0|CARRETERA PRINCIPAL|RANCHERIA YOLOXOCHIL|x|9371403365|x|x|x|CARRETERA PRINCIPAL|0|lunes|0|0|0|0|0|DOMICILIO |4400|15400|X|X|X|2021-05-03|2021-05-10|0|0|0|0|0|3O8PTA2AZPGA3HB|0|HOMBRE|0|19800|0|0|0|0|0|0|0|0|CARDENAS|0|0|0|0|FINAL</v>
      </c>
    </row>
    <row r="38" spans="1:82" x14ac:dyDescent="0.25">
      <c r="A38" t="s">
        <v>172</v>
      </c>
      <c r="B38" t="s">
        <v>244</v>
      </c>
      <c r="C38">
        <v>3</v>
      </c>
      <c r="D38" t="s">
        <v>290</v>
      </c>
      <c r="E38" t="s">
        <v>294</v>
      </c>
      <c r="F38" t="s">
        <v>0</v>
      </c>
      <c r="G38" t="s">
        <v>0</v>
      </c>
      <c r="H38" t="s">
        <v>324</v>
      </c>
      <c r="I38">
        <v>11500</v>
      </c>
      <c r="J38">
        <v>0</v>
      </c>
      <c r="K38">
        <v>0</v>
      </c>
      <c r="L38">
        <v>50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 t="s">
        <v>370</v>
      </c>
      <c r="AC38" t="s">
        <v>424</v>
      </c>
      <c r="AD38" s="18" t="s">
        <v>425</v>
      </c>
      <c r="AE38" t="s">
        <v>496</v>
      </c>
      <c r="AF38">
        <v>0</v>
      </c>
      <c r="AG38">
        <v>0</v>
      </c>
      <c r="AH38" t="s">
        <v>523</v>
      </c>
      <c r="AI38" t="s">
        <v>582</v>
      </c>
      <c r="AJ38" t="s">
        <v>3</v>
      </c>
      <c r="AK38">
        <v>9371023556</v>
      </c>
      <c r="AL38" t="s">
        <v>3</v>
      </c>
      <c r="AM38" t="s">
        <v>3</v>
      </c>
      <c r="AN38" t="s">
        <v>3</v>
      </c>
      <c r="AO38" t="s">
        <v>523</v>
      </c>
      <c r="AP38">
        <v>0</v>
      </c>
      <c r="AQ38" t="s">
        <v>611</v>
      </c>
      <c r="AR38">
        <v>0</v>
      </c>
      <c r="AS38">
        <v>0</v>
      </c>
      <c r="AT38">
        <v>0</v>
      </c>
      <c r="AU38">
        <v>0</v>
      </c>
      <c r="AV38">
        <v>0</v>
      </c>
      <c r="AW38" t="s">
        <v>11</v>
      </c>
      <c r="AX38">
        <f>Tabla1[[#This Row],[precio del paquete]]-Tabla1[[#This Row],[Saldo_Deudor]]</f>
        <v>2200</v>
      </c>
      <c r="AY38">
        <v>9300</v>
      </c>
      <c r="AZ38" t="s">
        <v>1</v>
      </c>
      <c r="BA38" t="s">
        <v>1</v>
      </c>
      <c r="BB38" t="s">
        <v>1</v>
      </c>
      <c r="BC38" t="s">
        <v>631</v>
      </c>
      <c r="BD38" t="s">
        <v>663</v>
      </c>
      <c r="BE38">
        <v>0</v>
      </c>
      <c r="BF38">
        <v>0</v>
      </c>
      <c r="BG38">
        <v>0</v>
      </c>
      <c r="BH38">
        <v>0</v>
      </c>
      <c r="BI38">
        <v>0</v>
      </c>
      <c r="BJ38" t="s">
        <v>680</v>
      </c>
      <c r="BK38">
        <v>0</v>
      </c>
      <c r="BL38" t="s">
        <v>132</v>
      </c>
      <c r="BM38">
        <v>0</v>
      </c>
      <c r="BN38">
        <v>11500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 t="s">
        <v>0</v>
      </c>
      <c r="BX38">
        <v>0</v>
      </c>
      <c r="BY38">
        <v>0</v>
      </c>
      <c r="BZ38">
        <v>0</v>
      </c>
      <c r="CA38">
        <v>0</v>
      </c>
      <c r="CB38" t="s">
        <v>686</v>
      </c>
      <c r="CD38" t="str" cm="1">
        <f t="array" aca="1" ref="CD38" ca="1">eConcatenar(A38:CB38,"|")</f>
        <v>PGFuqz04lhzDERH4|CAR2016-2207|3|ECONOLINE|TABASCO|CARDENAS|CARDENAS|2016-11-18|11500|0|0|50|1|0|0|0|0|0|0|0|0|0|0|0|0|0|0|MARTINEZ|ESTRADA|FLOR ALHELI|soltero|0|0|CARRETERA CARDENAS COMALCALCO|COLONIA MELCHOR OCAMPO|x|9371023556|x|x|x|CARRETERA CARDENAS COMALCALCO|0|lunes|0|0|0|0|0|DOMICILIO |2200|9300|X|X|X|2019-05-20|2019-05-27|0|0|0|0|0|3O8PTA2AZPGA3HB|0|HOMBRE|0|11500|0|0|0|0|0|0|0|0|CARDENAS|0|0|0|0|FINAL</v>
      </c>
    </row>
    <row r="39" spans="1:82" x14ac:dyDescent="0.25">
      <c r="A39" t="s">
        <v>173</v>
      </c>
      <c r="B39" t="s">
        <v>245</v>
      </c>
      <c r="C39">
        <v>3</v>
      </c>
      <c r="D39" t="s">
        <v>290</v>
      </c>
      <c r="E39" t="s">
        <v>294</v>
      </c>
      <c r="F39" t="s">
        <v>0</v>
      </c>
      <c r="G39" t="s">
        <v>0</v>
      </c>
      <c r="H39" t="s">
        <v>325</v>
      </c>
      <c r="I39">
        <v>11500</v>
      </c>
      <c r="J39">
        <v>0</v>
      </c>
      <c r="K39">
        <v>0</v>
      </c>
      <c r="L39">
        <v>50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 t="s">
        <v>8</v>
      </c>
      <c r="AC39" t="s">
        <v>422</v>
      </c>
      <c r="AD39" s="18" t="s">
        <v>426</v>
      </c>
      <c r="AE39" t="s">
        <v>496</v>
      </c>
      <c r="AF39">
        <v>0</v>
      </c>
      <c r="AG39">
        <v>0</v>
      </c>
      <c r="AH39" t="s">
        <v>523</v>
      </c>
      <c r="AI39" t="s">
        <v>582</v>
      </c>
      <c r="AJ39" t="s">
        <v>3</v>
      </c>
      <c r="AK39" t="s">
        <v>1</v>
      </c>
      <c r="AL39" t="s">
        <v>3</v>
      </c>
      <c r="AM39" t="s">
        <v>3</v>
      </c>
      <c r="AN39" t="s">
        <v>3</v>
      </c>
      <c r="AO39" t="s">
        <v>523</v>
      </c>
      <c r="AP39">
        <v>0</v>
      </c>
      <c r="AQ39" t="s">
        <v>611</v>
      </c>
      <c r="AR39">
        <v>0</v>
      </c>
      <c r="AS39">
        <v>0</v>
      </c>
      <c r="AT39">
        <v>0</v>
      </c>
      <c r="AU39">
        <v>0</v>
      </c>
      <c r="AV39">
        <v>0</v>
      </c>
      <c r="AW39" t="s">
        <v>11</v>
      </c>
      <c r="AX39">
        <f>Tabla1[[#This Row],[precio del paquete]]-Tabla1[[#This Row],[Saldo_Deudor]]</f>
        <v>7900</v>
      </c>
      <c r="AY39">
        <v>3600</v>
      </c>
      <c r="AZ39" t="s">
        <v>1</v>
      </c>
      <c r="BA39" t="s">
        <v>1</v>
      </c>
      <c r="BB39" t="s">
        <v>1</v>
      </c>
      <c r="BC39" t="s">
        <v>632</v>
      </c>
      <c r="BD39" t="s">
        <v>664</v>
      </c>
      <c r="BE39">
        <v>0</v>
      </c>
      <c r="BF39">
        <v>0</v>
      </c>
      <c r="BG39">
        <v>0</v>
      </c>
      <c r="BH39">
        <v>0</v>
      </c>
      <c r="BI39">
        <v>0</v>
      </c>
      <c r="BJ39" t="s">
        <v>680</v>
      </c>
      <c r="BK39">
        <v>0</v>
      </c>
      <c r="BL39" t="s">
        <v>132</v>
      </c>
      <c r="BM39">
        <v>0</v>
      </c>
      <c r="BN39">
        <v>11500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 t="s">
        <v>0</v>
      </c>
      <c r="BX39">
        <v>0</v>
      </c>
      <c r="BY39">
        <v>0</v>
      </c>
      <c r="BZ39">
        <v>0</v>
      </c>
      <c r="CA39">
        <v>0</v>
      </c>
      <c r="CB39" t="s">
        <v>686</v>
      </c>
      <c r="CD39" t="str" cm="1">
        <f t="array" aca="1" ref="CD39" ca="1">eConcatenar(A39:CB39,"|")</f>
        <v>MPuFcR3jbIwuDWqT|CAR2017-2727|3|ECONOLINE|TABASCO|CARDENAS|CARDENAS|2017-02-28|11500|0|0|50|0|0|0|0|0|0|0|0|0|0|0|0|0|0|0|GOMEZ|ORTIZ|YOLANDA|soltero|0|0|CARRETERA CARDENAS COMALCALCO|COLONIA MELCHOR OCAMPO|x|X|x|x|x|CARRETERA CARDENAS COMALCALCO|0|lunes|0|0|0|0|0|DOMICILIO |7900|3600|X|X|X|2021-12-10|2021-12-17|0|0|0|0|0|3O8PTA2AZPGA3HB|0|HOMBRE|0|11500|0|0|0|0|0|0|0|0|CARDENAS|0|0|0|0|FINAL</v>
      </c>
    </row>
    <row r="40" spans="1:82" x14ac:dyDescent="0.25">
      <c r="A40" t="s">
        <v>174</v>
      </c>
      <c r="B40" t="s">
        <v>246</v>
      </c>
      <c r="C40">
        <v>3</v>
      </c>
      <c r="D40" t="s">
        <v>289</v>
      </c>
      <c r="E40" t="s">
        <v>294</v>
      </c>
      <c r="F40" t="s">
        <v>296</v>
      </c>
      <c r="G40" t="s">
        <v>296</v>
      </c>
      <c r="H40" t="s">
        <v>326</v>
      </c>
      <c r="I40">
        <v>14800</v>
      </c>
      <c r="J40">
        <v>0</v>
      </c>
      <c r="K40">
        <v>0</v>
      </c>
      <c r="L40">
        <v>50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 t="s">
        <v>7</v>
      </c>
      <c r="AC40" t="s">
        <v>365</v>
      </c>
      <c r="AD40" s="18" t="s">
        <v>427</v>
      </c>
      <c r="AE40" t="s">
        <v>496</v>
      </c>
      <c r="AF40">
        <v>0</v>
      </c>
      <c r="AG40">
        <v>0</v>
      </c>
      <c r="AH40" t="s">
        <v>524</v>
      </c>
      <c r="AI40" t="s">
        <v>583</v>
      </c>
      <c r="AJ40" t="s">
        <v>3</v>
      </c>
      <c r="AK40">
        <v>9331267804</v>
      </c>
      <c r="AL40" t="s">
        <v>3</v>
      </c>
      <c r="AM40" t="s">
        <v>3</v>
      </c>
      <c r="AN40" t="s">
        <v>3</v>
      </c>
      <c r="AO40" t="s">
        <v>524</v>
      </c>
      <c r="AP40">
        <v>0</v>
      </c>
      <c r="AQ40" t="s">
        <v>611</v>
      </c>
      <c r="AR40">
        <v>0</v>
      </c>
      <c r="AS40">
        <v>0</v>
      </c>
      <c r="AT40">
        <v>0</v>
      </c>
      <c r="AU40">
        <v>0</v>
      </c>
      <c r="AV40">
        <v>0</v>
      </c>
      <c r="AW40" t="s">
        <v>11</v>
      </c>
      <c r="AX40">
        <f>Tabla1[[#This Row],[precio del paquete]]-Tabla1[[#This Row],[Saldo_Deudor]]</f>
        <v>350</v>
      </c>
      <c r="AY40">
        <v>14450</v>
      </c>
      <c r="AZ40" t="s">
        <v>1</v>
      </c>
      <c r="BA40" t="s">
        <v>1</v>
      </c>
      <c r="BB40" t="s">
        <v>1</v>
      </c>
      <c r="BC40" t="s">
        <v>633</v>
      </c>
      <c r="BD40" t="s">
        <v>665</v>
      </c>
      <c r="BE40">
        <v>0</v>
      </c>
      <c r="BF40">
        <v>0</v>
      </c>
      <c r="BG40">
        <v>0</v>
      </c>
      <c r="BH40">
        <v>0</v>
      </c>
      <c r="BI40">
        <v>0</v>
      </c>
      <c r="BJ40" t="s">
        <v>681</v>
      </c>
      <c r="BK40">
        <v>0</v>
      </c>
      <c r="BL40" t="s">
        <v>132</v>
      </c>
      <c r="BM40">
        <v>0</v>
      </c>
      <c r="BN40">
        <v>14800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 t="s">
        <v>0</v>
      </c>
      <c r="BX40">
        <v>0</v>
      </c>
      <c r="BY40">
        <v>0</v>
      </c>
      <c r="BZ40">
        <v>0</v>
      </c>
      <c r="CA40">
        <v>0</v>
      </c>
      <c r="CB40" t="s">
        <v>686</v>
      </c>
      <c r="CD40" t="str" cm="1">
        <f t="array" aca="1" ref="CD40" ca="1">eConcatenar(A40:CB40,"|")</f>
        <v>a6KoKUvia5XRw1mD|COM2021-2593|3|MEMORIAL|TABASCO|COMALCALCO|COMALCALCO|2021-08-16|14800|0|0|50|0|0|0|0|0|0|0|0|0|0|0|0|0|0|0|LOPEZ|JIMENEZ|EDELMIRA|soltero|0|0|ALADO DE LA ERMITA PRECIOSA SANGRTE Y FRENTE AL TEMPLO|VILLA ALDAMA|x|9331267804|x|x|x|ALADO DE LA ERMITA PRECIOSA SANGRTE Y FRENTE AL TEMPLO|0|lunes|0|0|0|0|0|DOMICILIO |350|14450|X|X|X|2022-12-03|2022-12-10|0|0|0|0|0|DSYPMZPXEANHGLM|0|HOMBRE|0|14800|0|0|0|0|0|0|0|0|CARDENAS|0|0|0|0|FINAL</v>
      </c>
    </row>
    <row r="41" spans="1:82" x14ac:dyDescent="0.25">
      <c r="A41" t="s">
        <v>175</v>
      </c>
      <c r="B41" t="s">
        <v>247</v>
      </c>
      <c r="C41">
        <v>3</v>
      </c>
      <c r="D41" t="s">
        <v>290</v>
      </c>
      <c r="E41" t="s">
        <v>294</v>
      </c>
      <c r="F41" t="s">
        <v>297</v>
      </c>
      <c r="G41" t="s">
        <v>297</v>
      </c>
      <c r="H41" t="s">
        <v>327</v>
      </c>
      <c r="I41">
        <v>12900</v>
      </c>
      <c r="J41">
        <v>0</v>
      </c>
      <c r="K41">
        <v>0</v>
      </c>
      <c r="L41">
        <v>50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 t="s">
        <v>376</v>
      </c>
      <c r="AC41" t="s">
        <v>371</v>
      </c>
      <c r="AD41" s="18" t="s">
        <v>428</v>
      </c>
      <c r="AE41" t="s">
        <v>496</v>
      </c>
      <c r="AF41">
        <v>0</v>
      </c>
      <c r="AG41">
        <v>0</v>
      </c>
      <c r="AH41" t="s">
        <v>525</v>
      </c>
      <c r="AI41" t="s">
        <v>584</v>
      </c>
      <c r="AJ41" t="s">
        <v>3</v>
      </c>
      <c r="AK41">
        <v>9837333655</v>
      </c>
      <c r="AL41" t="s">
        <v>3</v>
      </c>
      <c r="AM41" t="s">
        <v>3</v>
      </c>
      <c r="AN41" t="s">
        <v>3</v>
      </c>
      <c r="AO41" t="s">
        <v>525</v>
      </c>
      <c r="AP41">
        <v>0</v>
      </c>
      <c r="AQ41" t="s">
        <v>611</v>
      </c>
      <c r="AR41">
        <v>0</v>
      </c>
      <c r="AS41">
        <v>0</v>
      </c>
      <c r="AT41">
        <v>0</v>
      </c>
      <c r="AU41">
        <v>0</v>
      </c>
      <c r="AV41">
        <v>0</v>
      </c>
      <c r="AW41" t="s">
        <v>11</v>
      </c>
      <c r="AX41">
        <f>Tabla1[[#This Row],[precio del paquete]]-Tabla1[[#This Row],[Saldo_Deudor]]</f>
        <v>6500</v>
      </c>
      <c r="AY41">
        <v>6400</v>
      </c>
      <c r="AZ41" t="s">
        <v>1</v>
      </c>
      <c r="BA41" t="s">
        <v>1</v>
      </c>
      <c r="BB41" t="s">
        <v>1</v>
      </c>
      <c r="BC41" t="s">
        <v>634</v>
      </c>
      <c r="BD41" t="s">
        <v>666</v>
      </c>
      <c r="BE41">
        <v>0</v>
      </c>
      <c r="BF41">
        <v>0</v>
      </c>
      <c r="BG41">
        <v>0</v>
      </c>
      <c r="BH41">
        <v>0</v>
      </c>
      <c r="BI41">
        <v>0</v>
      </c>
      <c r="BJ41" t="s">
        <v>682</v>
      </c>
      <c r="BK41">
        <v>0</v>
      </c>
      <c r="BL41" t="s">
        <v>132</v>
      </c>
      <c r="BM41">
        <v>0</v>
      </c>
      <c r="BN41">
        <v>12900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 t="s">
        <v>0</v>
      </c>
      <c r="BX41">
        <v>0</v>
      </c>
      <c r="BY41">
        <v>0</v>
      </c>
      <c r="BZ41">
        <v>0</v>
      </c>
      <c r="CA41">
        <v>0</v>
      </c>
      <c r="CB41" t="s">
        <v>686</v>
      </c>
      <c r="CD41" t="str" cm="1">
        <f t="array" aca="1" ref="CD41" ca="1">eConcatenar(A41:CB41,"|")</f>
        <v>IoSDDf1scxMFd2tv|PAR2020-1562|3|ECONOLINE|TABASCO|PARAISO|PARAISO|2021-03-20|12900|0|0|50|0|0|0|0|0|0|0|0|0|0|0|0|0|0|0|GERONIMO|DIAZ|PEDRO|soltero|0|0|ENFRENTE DEL CARCAMOS EN EL TALLE CASA ROJA|8 DE OCTUBRE|x|9837333655|x|x|x|ENFRENTE DEL CARCAMOS EN EL TALLE CASA ROJA|0|lunes|0|0|0|0|0|DOMICILIO |6500|6400|X|X|X|2022-03-13|2022-03-20|0|0|0|0|0|QWZGYT4O9KVTQO|0|HOMBRE|0|12900|0|0|0|0|0|0|0|0|CARDENAS|0|0|0|0|FINAL</v>
      </c>
    </row>
    <row r="42" spans="1:82" x14ac:dyDescent="0.25">
      <c r="A42" t="s">
        <v>176</v>
      </c>
      <c r="B42" t="s">
        <v>248</v>
      </c>
      <c r="C42">
        <v>3</v>
      </c>
      <c r="D42" t="s">
        <v>290</v>
      </c>
      <c r="E42" t="s">
        <v>294</v>
      </c>
      <c r="F42" t="s">
        <v>297</v>
      </c>
      <c r="G42" t="s">
        <v>297</v>
      </c>
      <c r="H42" t="s">
        <v>327</v>
      </c>
      <c r="I42">
        <v>12900</v>
      </c>
      <c r="J42">
        <v>0</v>
      </c>
      <c r="K42">
        <v>0</v>
      </c>
      <c r="L42">
        <v>50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 t="s">
        <v>429</v>
      </c>
      <c r="AC42" t="s">
        <v>430</v>
      </c>
      <c r="AD42" s="18" t="s">
        <v>431</v>
      </c>
      <c r="AE42" t="s">
        <v>496</v>
      </c>
      <c r="AF42">
        <v>0</v>
      </c>
      <c r="AG42">
        <v>0</v>
      </c>
      <c r="AH42" t="s">
        <v>526</v>
      </c>
      <c r="AI42" t="s">
        <v>585</v>
      </c>
      <c r="AJ42" t="s">
        <v>3</v>
      </c>
      <c r="AK42" t="s">
        <v>1</v>
      </c>
      <c r="AL42" t="s">
        <v>3</v>
      </c>
      <c r="AM42" t="s">
        <v>3</v>
      </c>
      <c r="AN42" t="s">
        <v>3</v>
      </c>
      <c r="AO42" t="s">
        <v>526</v>
      </c>
      <c r="AP42">
        <v>0</v>
      </c>
      <c r="AQ42" t="s">
        <v>611</v>
      </c>
      <c r="AR42">
        <v>0</v>
      </c>
      <c r="AS42">
        <v>0</v>
      </c>
      <c r="AT42">
        <v>0</v>
      </c>
      <c r="AU42">
        <v>0</v>
      </c>
      <c r="AV42">
        <v>0</v>
      </c>
      <c r="AW42" t="s">
        <v>11</v>
      </c>
      <c r="AX42">
        <f>Tabla1[[#This Row],[precio del paquete]]-Tabla1[[#This Row],[Saldo_Deudor]]</f>
        <v>8500</v>
      </c>
      <c r="AY42">
        <v>4400</v>
      </c>
      <c r="AZ42" t="s">
        <v>1</v>
      </c>
      <c r="BA42" t="s">
        <v>1</v>
      </c>
      <c r="BB42" t="s">
        <v>1</v>
      </c>
      <c r="BC42" t="s">
        <v>615</v>
      </c>
      <c r="BD42" t="s">
        <v>647</v>
      </c>
      <c r="BE42">
        <v>0</v>
      </c>
      <c r="BF42">
        <v>0</v>
      </c>
      <c r="BG42">
        <v>0</v>
      </c>
      <c r="BH42">
        <v>0</v>
      </c>
      <c r="BI42">
        <v>0</v>
      </c>
      <c r="BJ42" t="s">
        <v>682</v>
      </c>
      <c r="BK42">
        <v>0</v>
      </c>
      <c r="BL42" t="s">
        <v>132</v>
      </c>
      <c r="BM42">
        <v>0</v>
      </c>
      <c r="BN42">
        <v>12900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 t="s">
        <v>0</v>
      </c>
      <c r="BX42">
        <v>0</v>
      </c>
      <c r="BY42">
        <v>0</v>
      </c>
      <c r="BZ42">
        <v>0</v>
      </c>
      <c r="CA42">
        <v>0</v>
      </c>
      <c r="CB42" t="s">
        <v>686</v>
      </c>
      <c r="CD42" t="str" cm="1">
        <f t="array" aca="1" ref="CD42" ca="1">eConcatenar(A42:CB42,"|")</f>
        <v>40JHlPrRU0phC7T9|PAR2019-2572|3|ECONOLINE|TABASCO|PARAISO|PARAISO|2021-03-20|12900|0|0|50|0|0|0|0|0|0|0|0|0|0|0|0|0|0|0|MENDOZA|VICENTE|MARIA DOLORES|soltero|0|0|FRENTE DEL HERRERO CASI FRENTE AL PANTEON LOCAL AZUL|EL BELLOTE|x|X|x|x|x|FRENTE DEL HERRERO CASI FRENTE AL PANTEON LOCAL AZUL|0|lunes|0|0|0|0|0|DOMICILIO |8500|4400|X|X|X|2022-09-03|2022-09-10|0|0|0|0|0|QWZGYT4O9KVTQO|0|HOMBRE|0|12900|0|0|0|0|0|0|0|0|CARDENAS|0|0|0|0|FINAL</v>
      </c>
    </row>
    <row r="43" spans="1:82" x14ac:dyDescent="0.25">
      <c r="A43" t="s">
        <v>177</v>
      </c>
      <c r="B43" t="s">
        <v>249</v>
      </c>
      <c r="C43">
        <v>3</v>
      </c>
      <c r="D43" t="s">
        <v>290</v>
      </c>
      <c r="E43" t="s">
        <v>294</v>
      </c>
      <c r="F43" t="s">
        <v>297</v>
      </c>
      <c r="G43" t="s">
        <v>297</v>
      </c>
      <c r="H43" t="s">
        <v>328</v>
      </c>
      <c r="I43">
        <v>12900</v>
      </c>
      <c r="J43">
        <v>0</v>
      </c>
      <c r="K43">
        <v>0</v>
      </c>
      <c r="L43">
        <v>50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 t="s">
        <v>367</v>
      </c>
      <c r="AC43" t="s">
        <v>367</v>
      </c>
      <c r="AD43" s="18" t="s">
        <v>432</v>
      </c>
      <c r="AE43" t="s">
        <v>496</v>
      </c>
      <c r="AF43">
        <v>0</v>
      </c>
      <c r="AG43">
        <v>0</v>
      </c>
      <c r="AH43" t="s">
        <v>527</v>
      </c>
      <c r="AI43" t="s">
        <v>586</v>
      </c>
      <c r="AJ43" t="s">
        <v>3</v>
      </c>
      <c r="AK43">
        <v>9331249877</v>
      </c>
      <c r="AL43" t="s">
        <v>3</v>
      </c>
      <c r="AM43" t="s">
        <v>3</v>
      </c>
      <c r="AN43" t="s">
        <v>3</v>
      </c>
      <c r="AO43" t="s">
        <v>527</v>
      </c>
      <c r="AP43">
        <v>0</v>
      </c>
      <c r="AQ43" t="s">
        <v>611</v>
      </c>
      <c r="AR43">
        <v>0</v>
      </c>
      <c r="AS43">
        <v>0</v>
      </c>
      <c r="AT43">
        <v>0</v>
      </c>
      <c r="AU43">
        <v>0</v>
      </c>
      <c r="AV43">
        <v>0</v>
      </c>
      <c r="AW43" t="s">
        <v>11</v>
      </c>
      <c r="AX43">
        <f>Tabla1[[#This Row],[precio del paquete]]-Tabla1[[#This Row],[Saldo_Deudor]]</f>
        <v>11150</v>
      </c>
      <c r="AY43">
        <v>1750</v>
      </c>
      <c r="AZ43" t="s">
        <v>1</v>
      </c>
      <c r="BA43" t="s">
        <v>1</v>
      </c>
      <c r="BB43" t="s">
        <v>1</v>
      </c>
      <c r="BC43" t="s">
        <v>618</v>
      </c>
      <c r="BD43" t="s">
        <v>650</v>
      </c>
      <c r="BE43">
        <v>0</v>
      </c>
      <c r="BF43">
        <v>0</v>
      </c>
      <c r="BG43">
        <v>0</v>
      </c>
      <c r="BH43">
        <v>0</v>
      </c>
      <c r="BI43">
        <v>0</v>
      </c>
      <c r="BJ43" t="s">
        <v>682</v>
      </c>
      <c r="BK43">
        <v>0</v>
      </c>
      <c r="BL43" t="s">
        <v>132</v>
      </c>
      <c r="BM43">
        <v>0</v>
      </c>
      <c r="BN43">
        <v>12900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 t="s">
        <v>0</v>
      </c>
      <c r="BX43">
        <v>0</v>
      </c>
      <c r="BY43">
        <v>0</v>
      </c>
      <c r="BZ43">
        <v>0</v>
      </c>
      <c r="CA43">
        <v>0</v>
      </c>
      <c r="CB43" t="s">
        <v>686</v>
      </c>
      <c r="CD43" t="str" cm="1">
        <f t="array" aca="1" ref="CD43" ca="1">eConcatenar(A43:CB43,"|")</f>
        <v>oxw1S7v96bDAQqNB|PAR2018-0310|3|ECONOLINE|TABASCO|PARAISO|PARAISO|2018-03-16|12900|0|0|50|0|0|0|0|0|0|0|0|0|0|0|0|0|0|0|CORDOVA|CORDOVA|TRINIDAD|soltero|0|0|POR LA IGLESIA ESTETICA RAFA|CHILTEPEC|x|9331249877|x|x|x|POR LA IGLESIA ESTETICA RAFA|0|lunes|0|0|0|0|0|DOMICILIO |11150|1750|X|X|X|2022-04-03|2022-04-10|0|0|0|0|0|QWZGYT4O9KVTQO|0|HOMBRE|0|12900|0|0|0|0|0|0|0|0|CARDENAS|0|0|0|0|FINAL</v>
      </c>
    </row>
    <row r="44" spans="1:82" x14ac:dyDescent="0.25">
      <c r="A44" t="s">
        <v>178</v>
      </c>
      <c r="B44" t="s">
        <v>250</v>
      </c>
      <c r="C44">
        <v>3</v>
      </c>
      <c r="D44" t="s">
        <v>290</v>
      </c>
      <c r="E44" t="s">
        <v>294</v>
      </c>
      <c r="F44" t="s">
        <v>297</v>
      </c>
      <c r="G44" t="s">
        <v>297</v>
      </c>
      <c r="H44" t="s">
        <v>328</v>
      </c>
      <c r="I44">
        <v>12900</v>
      </c>
      <c r="J44">
        <v>0</v>
      </c>
      <c r="K44">
        <v>0</v>
      </c>
      <c r="L44">
        <v>50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 t="s">
        <v>433</v>
      </c>
      <c r="AC44" t="s">
        <v>363</v>
      </c>
      <c r="AD44" s="18" t="s">
        <v>434</v>
      </c>
      <c r="AE44" t="s">
        <v>496</v>
      </c>
      <c r="AF44">
        <v>0</v>
      </c>
      <c r="AG44">
        <v>0</v>
      </c>
      <c r="AH44" t="s">
        <v>528</v>
      </c>
      <c r="AI44" t="s">
        <v>586</v>
      </c>
      <c r="AJ44" t="s">
        <v>3</v>
      </c>
      <c r="AK44">
        <v>9331478172</v>
      </c>
      <c r="AL44" t="s">
        <v>3</v>
      </c>
      <c r="AM44" t="s">
        <v>3</v>
      </c>
      <c r="AN44" t="s">
        <v>3</v>
      </c>
      <c r="AO44" t="s">
        <v>528</v>
      </c>
      <c r="AP44">
        <v>0</v>
      </c>
      <c r="AQ44" t="s">
        <v>611</v>
      </c>
      <c r="AR44">
        <v>0</v>
      </c>
      <c r="AS44">
        <v>0</v>
      </c>
      <c r="AT44">
        <v>0</v>
      </c>
      <c r="AU44">
        <v>0</v>
      </c>
      <c r="AV44">
        <v>0</v>
      </c>
      <c r="AW44" t="s">
        <v>11</v>
      </c>
      <c r="AX44">
        <f>Tabla1[[#This Row],[precio del paquete]]-Tabla1[[#This Row],[Saldo_Deudor]]</f>
        <v>11000</v>
      </c>
      <c r="AY44">
        <v>1900</v>
      </c>
      <c r="AZ44" t="s">
        <v>1</v>
      </c>
      <c r="BA44" t="s">
        <v>1</v>
      </c>
      <c r="BB44" t="s">
        <v>1</v>
      </c>
      <c r="BC44" t="s">
        <v>618</v>
      </c>
      <c r="BD44" t="s">
        <v>650</v>
      </c>
      <c r="BE44">
        <v>0</v>
      </c>
      <c r="BF44">
        <v>0</v>
      </c>
      <c r="BG44">
        <v>0</v>
      </c>
      <c r="BH44">
        <v>0</v>
      </c>
      <c r="BI44">
        <v>0</v>
      </c>
      <c r="BJ44" t="s">
        <v>682</v>
      </c>
      <c r="BK44">
        <v>0</v>
      </c>
      <c r="BL44" t="s">
        <v>132</v>
      </c>
      <c r="BM44">
        <v>0</v>
      </c>
      <c r="BN44">
        <v>12900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 t="s">
        <v>0</v>
      </c>
      <c r="BX44">
        <v>0</v>
      </c>
      <c r="BY44">
        <v>0</v>
      </c>
      <c r="BZ44">
        <v>0</v>
      </c>
      <c r="CA44">
        <v>0</v>
      </c>
      <c r="CB44" t="s">
        <v>686</v>
      </c>
      <c r="CD44" t="str" cm="1">
        <f t="array" aca="1" ref="CD44" ca="1">eConcatenar(A44:CB44,"|")</f>
        <v>hRaCTqDOl2yC52Ci|PAR2018-0311|3|ECONOLINE|TABASCO|PARAISO|PARAISO|2018-03-16|12900|0|0|50|0|0|0|0|0|0|0|0|0|0|0|0|0|0|0|OVANDO|DE LA CRUZ|MARIO HUMBERTO|soltero|0|0|ENTRADA POR LA IGLESIA CASA NARANJA|CHILTEPEC|x|9331478172|x|x|x|ENTRADA POR LA IGLESIA CASA NARANJA|0|lunes|0|0|0|0|0|DOMICILIO |11000|1900|X|X|X|2022-04-03|2022-04-10|0|0|0|0|0|QWZGYT4O9KVTQO|0|HOMBRE|0|12900|0|0|0|0|0|0|0|0|CARDENAS|0|0|0|0|FINAL</v>
      </c>
    </row>
    <row r="45" spans="1:82" x14ac:dyDescent="0.25">
      <c r="A45" t="s">
        <v>179</v>
      </c>
      <c r="B45" t="s">
        <v>251</v>
      </c>
      <c r="C45">
        <v>3</v>
      </c>
      <c r="D45" t="s">
        <v>289</v>
      </c>
      <c r="E45" t="s">
        <v>294</v>
      </c>
      <c r="F45" t="s">
        <v>297</v>
      </c>
      <c r="G45" t="s">
        <v>297</v>
      </c>
      <c r="H45" t="s">
        <v>329</v>
      </c>
      <c r="I45">
        <v>14800</v>
      </c>
      <c r="J45">
        <v>0</v>
      </c>
      <c r="K45">
        <v>0</v>
      </c>
      <c r="L45">
        <v>50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 t="s">
        <v>435</v>
      </c>
      <c r="AC45" t="s">
        <v>405</v>
      </c>
      <c r="AD45" s="18" t="s">
        <v>436</v>
      </c>
      <c r="AE45" t="s">
        <v>496</v>
      </c>
      <c r="AF45">
        <v>0</v>
      </c>
      <c r="AG45">
        <v>0</v>
      </c>
      <c r="AH45" t="s">
        <v>529</v>
      </c>
      <c r="AI45" t="s">
        <v>587</v>
      </c>
      <c r="AJ45" t="s">
        <v>3</v>
      </c>
      <c r="AK45">
        <v>9331184348</v>
      </c>
      <c r="AL45" t="s">
        <v>3</v>
      </c>
      <c r="AM45" t="s">
        <v>3</v>
      </c>
      <c r="AN45" t="s">
        <v>3</v>
      </c>
      <c r="AO45" t="s">
        <v>529</v>
      </c>
      <c r="AP45">
        <v>0</v>
      </c>
      <c r="AQ45" t="s">
        <v>611</v>
      </c>
      <c r="AR45">
        <v>0</v>
      </c>
      <c r="AS45">
        <v>0</v>
      </c>
      <c r="AT45">
        <v>0</v>
      </c>
      <c r="AU45">
        <v>0</v>
      </c>
      <c r="AV45">
        <v>0</v>
      </c>
      <c r="AW45" t="s">
        <v>11</v>
      </c>
      <c r="AX45">
        <f>Tabla1[[#This Row],[precio del paquete]]-Tabla1[[#This Row],[Saldo_Deudor]]</f>
        <v>600</v>
      </c>
      <c r="AY45">
        <v>14200</v>
      </c>
      <c r="AZ45" t="s">
        <v>1</v>
      </c>
      <c r="BA45" t="s">
        <v>1</v>
      </c>
      <c r="BB45" t="s">
        <v>1</v>
      </c>
      <c r="BC45" t="s">
        <v>635</v>
      </c>
      <c r="BD45" t="s">
        <v>667</v>
      </c>
      <c r="BE45">
        <v>0</v>
      </c>
      <c r="BF45">
        <v>0</v>
      </c>
      <c r="BG45">
        <v>0</v>
      </c>
      <c r="BH45">
        <v>0</v>
      </c>
      <c r="BI45">
        <v>0</v>
      </c>
      <c r="BJ45" t="s">
        <v>682</v>
      </c>
      <c r="BK45">
        <v>0</v>
      </c>
      <c r="BL45" t="s">
        <v>132</v>
      </c>
      <c r="BM45">
        <v>0</v>
      </c>
      <c r="BN45">
        <v>14800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 t="s">
        <v>0</v>
      </c>
      <c r="BX45">
        <v>0</v>
      </c>
      <c r="BY45">
        <v>0</v>
      </c>
      <c r="BZ45">
        <v>0</v>
      </c>
      <c r="CA45">
        <v>0</v>
      </c>
      <c r="CB45" t="s">
        <v>686</v>
      </c>
      <c r="CD45" t="str" cm="1">
        <f t="array" aca="1" ref="CD45" ca="1">eConcatenar(A45:CB45,"|")</f>
        <v>GyyYOZyB73pfKEKi|PAR2022-0316|3|MEMORIAL|TABASCO|PARAISO|PARAISO|2022-01-25|14800|0|0|50|0|0|0|0|0|0|0|0|0|0|0|0|0|0|0|ARAUJO|DE LOS SANTOS|RONULTO|soltero|0|0|ENTRADA AL EJIDO BANCO FRENTE A MATERIALES DE CONSTRUCCION|SECCION BANCO|x|9331184348|x|x|x|ENTRADA AL EJIDO BANCO FRENTE A MATERIALES DE CONSTRUCCION|0|lunes|0|0|0|0|0|DOMICILIO |600|14200|X|X|X|2022-11-03|2022-11-10|0|0|0|0|0|QWZGYT4O9KVTQO|0|HOMBRE|0|14800|0|0|0|0|0|0|0|0|CARDENAS|0|0|0|0|FINAL</v>
      </c>
    </row>
    <row r="46" spans="1:82" x14ac:dyDescent="0.25">
      <c r="A46" t="s">
        <v>180</v>
      </c>
      <c r="B46" t="s">
        <v>252</v>
      </c>
      <c r="C46">
        <v>3</v>
      </c>
      <c r="D46" t="s">
        <v>289</v>
      </c>
      <c r="E46" t="s">
        <v>294</v>
      </c>
      <c r="F46" t="s">
        <v>297</v>
      </c>
      <c r="G46" t="s">
        <v>297</v>
      </c>
      <c r="H46" t="s">
        <v>329</v>
      </c>
      <c r="I46">
        <v>14800</v>
      </c>
      <c r="J46">
        <v>0</v>
      </c>
      <c r="K46">
        <v>0</v>
      </c>
      <c r="L46">
        <v>50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 t="s">
        <v>437</v>
      </c>
      <c r="AC46" t="s">
        <v>365</v>
      </c>
      <c r="AD46" s="18" t="s">
        <v>403</v>
      </c>
      <c r="AE46" t="s">
        <v>496</v>
      </c>
      <c r="AF46">
        <v>0</v>
      </c>
      <c r="AG46">
        <v>0</v>
      </c>
      <c r="AH46" t="s">
        <v>522</v>
      </c>
      <c r="AI46" t="s">
        <v>588</v>
      </c>
      <c r="AJ46" t="s">
        <v>3</v>
      </c>
      <c r="AK46">
        <v>9331393924</v>
      </c>
      <c r="AL46" t="s">
        <v>3</v>
      </c>
      <c r="AM46" t="s">
        <v>3</v>
      </c>
      <c r="AN46" t="s">
        <v>3</v>
      </c>
      <c r="AO46" t="s">
        <v>522</v>
      </c>
      <c r="AP46">
        <v>0</v>
      </c>
      <c r="AQ46" t="s">
        <v>611</v>
      </c>
      <c r="AR46">
        <v>0</v>
      </c>
      <c r="AS46">
        <v>0</v>
      </c>
      <c r="AT46">
        <v>0</v>
      </c>
      <c r="AU46">
        <v>0</v>
      </c>
      <c r="AV46">
        <v>0</v>
      </c>
      <c r="AW46" t="s">
        <v>11</v>
      </c>
      <c r="AX46">
        <f>Tabla1[[#This Row],[precio del paquete]]-Tabla1[[#This Row],[Saldo_Deudor]]</f>
        <v>400</v>
      </c>
      <c r="AY46">
        <v>14400</v>
      </c>
      <c r="AZ46" t="s">
        <v>1</v>
      </c>
      <c r="BA46" t="s">
        <v>1</v>
      </c>
      <c r="BB46" t="s">
        <v>1</v>
      </c>
      <c r="BC46" t="s">
        <v>635</v>
      </c>
      <c r="BD46" t="s">
        <v>667</v>
      </c>
      <c r="BE46">
        <v>0</v>
      </c>
      <c r="BF46">
        <v>0</v>
      </c>
      <c r="BG46">
        <v>0</v>
      </c>
      <c r="BH46">
        <v>0</v>
      </c>
      <c r="BI46">
        <v>0</v>
      </c>
      <c r="BJ46" t="s">
        <v>682</v>
      </c>
      <c r="BK46">
        <v>0</v>
      </c>
      <c r="BL46" t="s">
        <v>132</v>
      </c>
      <c r="BM46">
        <v>0</v>
      </c>
      <c r="BN46">
        <v>14800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 t="s">
        <v>0</v>
      </c>
      <c r="BX46">
        <v>0</v>
      </c>
      <c r="BY46">
        <v>0</v>
      </c>
      <c r="BZ46">
        <v>0</v>
      </c>
      <c r="CA46">
        <v>0</v>
      </c>
      <c r="CB46" t="s">
        <v>686</v>
      </c>
      <c r="CD46" t="str" cm="1">
        <f t="array" aca="1" ref="CD46" ca="1">eConcatenar(A46:CB46,"|")</f>
        <v>gcHyt9PLtJ7WFuRA|PAR2022-0313|3|MEMORIAL|TABASCO|PARAISO|PARAISO|2022-01-25|14800|0|0|50|0|0|0|0|0|0|0|0|0|0|0|0|0|0|0|CLEMENTE|JIMENEZ|LUCIA|soltero|0|0|CARRETERA PRINCIPAL|RANCHERIA JALAPITA|x|9331393924|x|x|x|CARRETERA PRINCIPAL|0|lunes|0|0|0|0|0|DOMICILIO |400|14400|X|X|X|2022-11-03|2022-11-10|0|0|0|0|0|QWZGYT4O9KVTQO|0|HOMBRE|0|14800|0|0|0|0|0|0|0|0|CARDENAS|0|0|0|0|FINAL</v>
      </c>
    </row>
    <row r="47" spans="1:82" x14ac:dyDescent="0.25">
      <c r="A47" t="s">
        <v>181</v>
      </c>
      <c r="B47" t="s">
        <v>253</v>
      </c>
      <c r="C47">
        <v>3</v>
      </c>
      <c r="D47" t="s">
        <v>289</v>
      </c>
      <c r="E47" t="s">
        <v>294</v>
      </c>
      <c r="F47" t="s">
        <v>297</v>
      </c>
      <c r="G47" t="s">
        <v>297</v>
      </c>
      <c r="H47" t="s">
        <v>330</v>
      </c>
      <c r="I47">
        <v>14800</v>
      </c>
      <c r="J47">
        <v>0</v>
      </c>
      <c r="K47">
        <v>0</v>
      </c>
      <c r="L47">
        <v>50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 t="s">
        <v>7</v>
      </c>
      <c r="AC47" t="s">
        <v>402</v>
      </c>
      <c r="AD47" s="18" t="s">
        <v>438</v>
      </c>
      <c r="AE47" t="s">
        <v>496</v>
      </c>
      <c r="AF47">
        <v>0</v>
      </c>
      <c r="AG47">
        <v>0</v>
      </c>
      <c r="AH47" t="s">
        <v>530</v>
      </c>
      <c r="AI47" t="s">
        <v>589</v>
      </c>
      <c r="AJ47" t="s">
        <v>3</v>
      </c>
      <c r="AK47">
        <v>9331343661</v>
      </c>
      <c r="AL47" t="s">
        <v>3</v>
      </c>
      <c r="AM47" t="s">
        <v>3</v>
      </c>
      <c r="AN47" t="s">
        <v>3</v>
      </c>
      <c r="AO47" t="s">
        <v>530</v>
      </c>
      <c r="AP47">
        <v>0</v>
      </c>
      <c r="AQ47" t="s">
        <v>611</v>
      </c>
      <c r="AR47">
        <v>0</v>
      </c>
      <c r="AS47">
        <v>0</v>
      </c>
      <c r="AT47">
        <v>0</v>
      </c>
      <c r="AU47">
        <v>0</v>
      </c>
      <c r="AV47">
        <v>0</v>
      </c>
      <c r="AW47" t="s">
        <v>11</v>
      </c>
      <c r="AX47">
        <f>Tabla1[[#This Row],[precio del paquete]]-Tabla1[[#This Row],[Saldo_Deudor]]</f>
        <v>500</v>
      </c>
      <c r="AY47">
        <v>14300</v>
      </c>
      <c r="AZ47" t="s">
        <v>1</v>
      </c>
      <c r="BA47" t="s">
        <v>1</v>
      </c>
      <c r="BB47" t="s">
        <v>1</v>
      </c>
      <c r="BC47" t="s">
        <v>635</v>
      </c>
      <c r="BD47" t="s">
        <v>667</v>
      </c>
      <c r="BE47">
        <v>0</v>
      </c>
      <c r="BF47">
        <v>0</v>
      </c>
      <c r="BG47">
        <v>0</v>
      </c>
      <c r="BH47">
        <v>0</v>
      </c>
      <c r="BI47">
        <v>0</v>
      </c>
      <c r="BJ47" t="s">
        <v>682</v>
      </c>
      <c r="BK47">
        <v>0</v>
      </c>
      <c r="BL47" t="s">
        <v>132</v>
      </c>
      <c r="BM47">
        <v>0</v>
      </c>
      <c r="BN47">
        <v>14800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 t="s">
        <v>0</v>
      </c>
      <c r="BX47">
        <v>0</v>
      </c>
      <c r="BY47">
        <v>0</v>
      </c>
      <c r="BZ47">
        <v>0</v>
      </c>
      <c r="CA47">
        <v>0</v>
      </c>
      <c r="CB47" t="s">
        <v>686</v>
      </c>
      <c r="CD47" t="str" cm="1">
        <f t="array" aca="1" ref="CD47" ca="1">eConcatenar(A47:CB47,"|")</f>
        <v>eXLn2RO9arxcdfLA|PAR2022-0134|3|MEMORIAL|TABASCO|PARAISO|PARAISO|2022-10-01|14800|0|0|50|0|0|0|0|0|0|0|0|0|0|0|0|0|0|0|LOPEZ|HERNANDEZ|ARMANDO|soltero|0|0|CARRETERA A JAPALITA SIN NUMERO|RANCHERIA QUILES SERDAN|x|9331343661|x|x|x|CARRETERA A JAPALITA SIN NUMERO|0|lunes|0|0|0|0|0|DOMICILIO |500|14300|X|X|X|2022-11-03|2022-11-10|0|0|0|0|0|QWZGYT4O9KVTQO|0|HOMBRE|0|14800|0|0|0|0|0|0|0|0|CARDENAS|0|0|0|0|FINAL</v>
      </c>
    </row>
    <row r="48" spans="1:82" x14ac:dyDescent="0.25">
      <c r="A48" t="s">
        <v>182</v>
      </c>
      <c r="B48" t="s">
        <v>254</v>
      </c>
      <c r="C48">
        <v>3</v>
      </c>
      <c r="D48" t="s">
        <v>289</v>
      </c>
      <c r="E48" t="s">
        <v>294</v>
      </c>
      <c r="F48" t="s">
        <v>0</v>
      </c>
      <c r="G48" t="s">
        <v>0</v>
      </c>
      <c r="H48" t="s">
        <v>331</v>
      </c>
      <c r="I48">
        <v>14800</v>
      </c>
      <c r="J48">
        <v>0</v>
      </c>
      <c r="K48">
        <v>0</v>
      </c>
      <c r="L48">
        <v>50</v>
      </c>
      <c r="M48">
        <v>1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 t="s">
        <v>439</v>
      </c>
      <c r="AC48" t="s">
        <v>368</v>
      </c>
      <c r="AD48" s="18" t="s">
        <v>440</v>
      </c>
      <c r="AE48" t="s">
        <v>496</v>
      </c>
      <c r="AF48">
        <v>0</v>
      </c>
      <c r="AG48">
        <v>0</v>
      </c>
      <c r="AH48" t="s">
        <v>531</v>
      </c>
      <c r="AI48" t="s">
        <v>590</v>
      </c>
      <c r="AJ48" t="s">
        <v>3</v>
      </c>
      <c r="AK48">
        <v>9371532876</v>
      </c>
      <c r="AL48" t="s">
        <v>3</v>
      </c>
      <c r="AM48" t="s">
        <v>3</v>
      </c>
      <c r="AN48" t="s">
        <v>3</v>
      </c>
      <c r="AO48" t="s">
        <v>531</v>
      </c>
      <c r="AP48">
        <v>0</v>
      </c>
      <c r="AQ48" t="s">
        <v>611</v>
      </c>
      <c r="AR48">
        <v>0</v>
      </c>
      <c r="AS48">
        <v>0</v>
      </c>
      <c r="AT48">
        <v>0</v>
      </c>
      <c r="AU48">
        <v>0</v>
      </c>
      <c r="AV48">
        <v>0</v>
      </c>
      <c r="AW48" t="s">
        <v>11</v>
      </c>
      <c r="AX48">
        <f>Tabla1[[#This Row],[precio del paquete]]-Tabla1[[#This Row],[Saldo_Deudor]]</f>
        <v>850</v>
      </c>
      <c r="AY48">
        <v>13950</v>
      </c>
      <c r="AZ48" t="s">
        <v>1</v>
      </c>
      <c r="BA48" t="s">
        <v>1</v>
      </c>
      <c r="BB48" t="s">
        <v>1</v>
      </c>
      <c r="BC48" t="s">
        <v>635</v>
      </c>
      <c r="BD48" t="s">
        <v>667</v>
      </c>
      <c r="BE48">
        <v>0</v>
      </c>
      <c r="BF48">
        <v>0</v>
      </c>
      <c r="BG48">
        <v>0</v>
      </c>
      <c r="BH48">
        <v>0</v>
      </c>
      <c r="BI48">
        <v>0</v>
      </c>
      <c r="BJ48" t="s">
        <v>678</v>
      </c>
      <c r="BK48">
        <v>0</v>
      </c>
      <c r="BL48" t="s">
        <v>132</v>
      </c>
      <c r="BM48">
        <v>0</v>
      </c>
      <c r="BN48">
        <v>14800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 t="s">
        <v>0</v>
      </c>
      <c r="BX48">
        <v>0</v>
      </c>
      <c r="BY48">
        <v>0</v>
      </c>
      <c r="BZ48">
        <v>0</v>
      </c>
      <c r="CA48">
        <v>0</v>
      </c>
      <c r="CB48" t="s">
        <v>686</v>
      </c>
      <c r="CD48" t="str" cm="1">
        <f t="array" aca="1" ref="CD48" ca="1">eConcatenar(A48:CB48,"|")</f>
        <v>IU1ROUE4LetaGxdN|CAR2021-7655|3|MEMORIAL|TABASCO|CARDENAS|CARDENAS|2021-12-23|14800|0|0|50|1|0|0|0|0|0|0|0|0|0|0|0|0|0|0|LANDERO|GARCIA|SEBASTIAN|soltero|0|0|CARRETERA FEDERAL CARDENAS COMALCALCO |FRACCIONAMIENTO CAÃ‘ALES LADO SUR|x|9371532876|x|x|x|CARRETERA FEDERAL CARDENAS COMALCALCO |0|lunes|0|0|0|0|0|DOMICILIO |850|13950|X|X|X|2022-11-03|2022-11-10|0|0|0|0|0|QX002L6W9KVTQO|0|HOMBRE|0|14800|0|0|0|0|0|0|0|0|CARDENAS|0|0|0|0|FINAL</v>
      </c>
    </row>
    <row r="49" spans="1:82" x14ac:dyDescent="0.25">
      <c r="A49" t="s">
        <v>183</v>
      </c>
      <c r="B49" t="s">
        <v>255</v>
      </c>
      <c r="C49">
        <v>3</v>
      </c>
      <c r="D49" t="s">
        <v>289</v>
      </c>
      <c r="E49" t="s">
        <v>294</v>
      </c>
      <c r="F49" t="s">
        <v>10</v>
      </c>
      <c r="G49" t="s">
        <v>10</v>
      </c>
      <c r="H49" t="s">
        <v>332</v>
      </c>
      <c r="I49">
        <v>14800</v>
      </c>
      <c r="J49">
        <v>0</v>
      </c>
      <c r="K49">
        <v>0</v>
      </c>
      <c r="L49">
        <v>50</v>
      </c>
      <c r="M49">
        <v>1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 t="s">
        <v>402</v>
      </c>
      <c r="AC49" t="s">
        <v>441</v>
      </c>
      <c r="AD49" s="18" t="s">
        <v>442</v>
      </c>
      <c r="AE49" t="s">
        <v>496</v>
      </c>
      <c r="AF49">
        <v>0</v>
      </c>
      <c r="AG49">
        <v>0</v>
      </c>
      <c r="AH49" t="s">
        <v>532</v>
      </c>
      <c r="AI49" t="s">
        <v>591</v>
      </c>
      <c r="AJ49" t="s">
        <v>3</v>
      </c>
      <c r="AK49">
        <v>9141131156</v>
      </c>
      <c r="AL49" t="s">
        <v>3</v>
      </c>
      <c r="AM49" t="s">
        <v>3</v>
      </c>
      <c r="AN49" t="s">
        <v>3</v>
      </c>
      <c r="AO49" t="s">
        <v>532</v>
      </c>
      <c r="AP49">
        <v>0</v>
      </c>
      <c r="AQ49" t="s">
        <v>611</v>
      </c>
      <c r="AR49">
        <v>0</v>
      </c>
      <c r="AS49">
        <v>0</v>
      </c>
      <c r="AT49">
        <v>0</v>
      </c>
      <c r="AU49">
        <v>0</v>
      </c>
      <c r="AV49">
        <v>0</v>
      </c>
      <c r="AW49" t="s">
        <v>11</v>
      </c>
      <c r="AX49">
        <f>Tabla1[[#This Row],[precio del paquete]]-Tabla1[[#This Row],[Saldo_Deudor]]</f>
        <v>1000</v>
      </c>
      <c r="AY49">
        <v>13800</v>
      </c>
      <c r="AZ49" t="s">
        <v>1</v>
      </c>
      <c r="BA49" t="s">
        <v>1</v>
      </c>
      <c r="BB49" t="s">
        <v>1</v>
      </c>
      <c r="BC49" t="s">
        <v>615</v>
      </c>
      <c r="BD49" t="s">
        <v>647</v>
      </c>
      <c r="BE49">
        <v>0</v>
      </c>
      <c r="BF49">
        <v>0</v>
      </c>
      <c r="BG49">
        <v>0</v>
      </c>
      <c r="BH49">
        <v>0</v>
      </c>
      <c r="BI49">
        <v>0</v>
      </c>
      <c r="BJ49" t="s">
        <v>680</v>
      </c>
      <c r="BK49">
        <v>0</v>
      </c>
      <c r="BL49" t="s">
        <v>132</v>
      </c>
      <c r="BM49">
        <v>0</v>
      </c>
      <c r="BN49">
        <v>14800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 t="s">
        <v>0</v>
      </c>
      <c r="BX49">
        <v>0</v>
      </c>
      <c r="BY49">
        <v>0</v>
      </c>
      <c r="BZ49">
        <v>0</v>
      </c>
      <c r="CA49">
        <v>0</v>
      </c>
      <c r="CB49" t="s">
        <v>686</v>
      </c>
      <c r="CD49" t="str" cm="1">
        <f t="array" aca="1" ref="CD49" ca="1">eConcatenar(A49:CB49,"|")</f>
        <v>Efo1M7JI5Tm0Tzvt|CAR2021-7036|3|MEMORIAL|TABASCO|CARDENAS |CARDENAS |2021-11-18|14800|0|0|50|1|0|0|0|0|0|0|0|0|0|0|0|0|0|0|HERNANDEZ|CABALLERO|EDILBERTO|soltero|0|0|ENTRADA DE LOS PRIEGOS CAMINO VECINAL|EJIDO HIDALGO SEGUNDA SECCION |x|9141131156|x|x|x|ENTRADA DE LOS PRIEGOS CAMINO VECINAL|0|lunes|0|0|0|0|0|DOMICILIO |1000|13800|X|X|X|2022-09-03|2022-09-10|0|0|0|0|0|3O8PTA2AZPGA3HB|0|HOMBRE|0|14800|0|0|0|0|0|0|0|0|CARDENAS|0|0|0|0|FINAL</v>
      </c>
    </row>
    <row r="50" spans="1:82" x14ac:dyDescent="0.25">
      <c r="A50" t="s">
        <v>184</v>
      </c>
      <c r="B50" t="s">
        <v>256</v>
      </c>
      <c r="C50">
        <v>3</v>
      </c>
      <c r="D50" t="s">
        <v>292</v>
      </c>
      <c r="E50" t="s">
        <v>294</v>
      </c>
      <c r="F50" t="s">
        <v>0</v>
      </c>
      <c r="G50" t="s">
        <v>0</v>
      </c>
      <c r="H50" t="s">
        <v>333</v>
      </c>
      <c r="I50">
        <v>24500</v>
      </c>
      <c r="J50">
        <v>0</v>
      </c>
      <c r="K50">
        <v>0</v>
      </c>
      <c r="L50">
        <v>50</v>
      </c>
      <c r="M50">
        <v>2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 t="s">
        <v>363</v>
      </c>
      <c r="AC50" t="s">
        <v>432</v>
      </c>
      <c r="AD50" s="18" t="s">
        <v>443</v>
      </c>
      <c r="AE50" t="s">
        <v>496</v>
      </c>
      <c r="AF50">
        <v>0</v>
      </c>
      <c r="AG50">
        <v>0</v>
      </c>
      <c r="AH50" t="s">
        <v>533</v>
      </c>
      <c r="AI50" t="s">
        <v>582</v>
      </c>
      <c r="AJ50" t="s">
        <v>3</v>
      </c>
      <c r="AK50">
        <v>9371258927</v>
      </c>
      <c r="AL50" t="s">
        <v>3</v>
      </c>
      <c r="AM50" t="s">
        <v>3</v>
      </c>
      <c r="AN50" t="s">
        <v>3</v>
      </c>
      <c r="AO50" t="s">
        <v>533</v>
      </c>
      <c r="AP50">
        <v>0</v>
      </c>
      <c r="AQ50" t="s">
        <v>611</v>
      </c>
      <c r="AR50">
        <v>0</v>
      </c>
      <c r="AS50">
        <v>0</v>
      </c>
      <c r="AT50">
        <v>0</v>
      </c>
      <c r="AU50">
        <v>0</v>
      </c>
      <c r="AV50">
        <v>0</v>
      </c>
      <c r="AW50" t="s">
        <v>11</v>
      </c>
      <c r="AX50">
        <f>Tabla1[[#This Row],[precio del paquete]]-Tabla1[[#This Row],[Saldo_Deudor]]</f>
        <v>12100</v>
      </c>
      <c r="AY50">
        <v>12400</v>
      </c>
      <c r="AZ50" t="s">
        <v>1</v>
      </c>
      <c r="BA50" t="s">
        <v>1</v>
      </c>
      <c r="BB50" t="s">
        <v>1</v>
      </c>
      <c r="BC50" t="s">
        <v>615</v>
      </c>
      <c r="BD50" t="s">
        <v>647</v>
      </c>
      <c r="BE50">
        <v>0</v>
      </c>
      <c r="BF50">
        <v>0</v>
      </c>
      <c r="BG50">
        <v>0</v>
      </c>
      <c r="BH50">
        <v>0</v>
      </c>
      <c r="BI50">
        <v>0</v>
      </c>
      <c r="BJ50" t="s">
        <v>680</v>
      </c>
      <c r="BK50">
        <v>0</v>
      </c>
      <c r="BL50" t="s">
        <v>132</v>
      </c>
      <c r="BM50">
        <v>0</v>
      </c>
      <c r="BN50">
        <v>24500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 t="s">
        <v>0</v>
      </c>
      <c r="BX50">
        <v>0</v>
      </c>
      <c r="BY50">
        <v>0</v>
      </c>
      <c r="BZ50">
        <v>0</v>
      </c>
      <c r="CA50">
        <v>0</v>
      </c>
      <c r="CB50" t="s">
        <v>686</v>
      </c>
      <c r="CD50" t="str" cm="1">
        <f t="array" aca="1" ref="CD50" ca="1">eConcatenar(A50:CB50,"|")</f>
        <v>ym03gr1oWd4Y2jcQ|CAR2021-5662|3|DIGNITY|TABASCO|CARDENAS|CARDENAS|2021-09-28|24500|0|0|50|2|0|0|0|0|0|0|0|0|0|0|0|0|0|0|DE LA CRUZ|TRINIDAD|GRISELDA|soltero|0|0|CARRETERA A INTERCAMBIO |COLONIA MELCHOR OCAMPO|x|9371258927|x|x|x|CARRETERA A INTERCAMBIO |0|lunes|0|0|0|0|0|DOMICILIO |12100|12400|X|X|X|2022-09-03|2022-09-10|0|0|0|0|0|3O8PTA2AZPGA3HB|0|HOMBRE|0|24500|0|0|0|0|0|0|0|0|CARDENAS|0|0|0|0|FINAL</v>
      </c>
    </row>
    <row r="51" spans="1:82" x14ac:dyDescent="0.25">
      <c r="A51" t="s">
        <v>185</v>
      </c>
      <c r="B51" t="s">
        <v>257</v>
      </c>
      <c r="C51">
        <v>3</v>
      </c>
      <c r="D51" t="s">
        <v>290</v>
      </c>
      <c r="E51" t="s">
        <v>294</v>
      </c>
      <c r="F51" t="s">
        <v>295</v>
      </c>
      <c r="G51" t="s">
        <v>295</v>
      </c>
      <c r="H51" t="s">
        <v>334</v>
      </c>
      <c r="I51">
        <v>12900</v>
      </c>
      <c r="J51">
        <v>0</v>
      </c>
      <c r="K51">
        <v>0</v>
      </c>
      <c r="L51">
        <v>50</v>
      </c>
      <c r="M51">
        <v>2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 t="s">
        <v>444</v>
      </c>
      <c r="AC51" t="s">
        <v>445</v>
      </c>
      <c r="AD51" s="18" t="s">
        <v>446</v>
      </c>
      <c r="AE51" t="s">
        <v>496</v>
      </c>
      <c r="AF51">
        <v>0</v>
      </c>
      <c r="AG51">
        <v>0</v>
      </c>
      <c r="AH51" t="s">
        <v>534</v>
      </c>
      <c r="AI51" t="s">
        <v>592</v>
      </c>
      <c r="AJ51" t="s">
        <v>3</v>
      </c>
      <c r="AK51">
        <v>9371199828</v>
      </c>
      <c r="AL51" t="s">
        <v>3</v>
      </c>
      <c r="AM51" t="s">
        <v>3</v>
      </c>
      <c r="AN51" t="s">
        <v>3</v>
      </c>
      <c r="AO51" t="s">
        <v>534</v>
      </c>
      <c r="AP51">
        <v>0</v>
      </c>
      <c r="AQ51" t="s">
        <v>611</v>
      </c>
      <c r="AR51">
        <v>0</v>
      </c>
      <c r="AS51">
        <v>0</v>
      </c>
      <c r="AT51">
        <v>0</v>
      </c>
      <c r="AU51">
        <v>0</v>
      </c>
      <c r="AV51">
        <v>0</v>
      </c>
      <c r="AW51" t="s">
        <v>11</v>
      </c>
      <c r="AX51">
        <f>Tabla1[[#This Row],[precio del paquete]]-Tabla1[[#This Row],[Saldo_Deudor]]</f>
        <v>-6600</v>
      </c>
      <c r="AY51">
        <v>19500</v>
      </c>
      <c r="AZ51" t="s">
        <v>1</v>
      </c>
      <c r="BA51" t="s">
        <v>1</v>
      </c>
      <c r="BB51" t="s">
        <v>1</v>
      </c>
      <c r="BC51" t="s">
        <v>619</v>
      </c>
      <c r="BD51" t="s">
        <v>651</v>
      </c>
      <c r="BE51">
        <v>0</v>
      </c>
      <c r="BF51">
        <v>0</v>
      </c>
      <c r="BG51">
        <v>0</v>
      </c>
      <c r="BH51">
        <v>0</v>
      </c>
      <c r="BI51">
        <v>0</v>
      </c>
      <c r="BJ51" t="s">
        <v>680</v>
      </c>
      <c r="BK51">
        <v>0</v>
      </c>
      <c r="BL51" t="s">
        <v>132</v>
      </c>
      <c r="BM51">
        <v>0</v>
      </c>
      <c r="BN51">
        <v>12900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 t="s">
        <v>0</v>
      </c>
      <c r="BX51">
        <v>0</v>
      </c>
      <c r="BY51">
        <v>0</v>
      </c>
      <c r="BZ51">
        <v>0</v>
      </c>
      <c r="CA51">
        <v>0</v>
      </c>
      <c r="CB51" t="s">
        <v>686</v>
      </c>
      <c r="CD51" t="str" cm="1">
        <f t="array" aca="1" ref="CD51" ca="1">eConcatenar(A51:CB51,"|")</f>
        <v>cwG86DQs8orKsz1T|CAR2020-5059|3|ECONOLINE|TABASCO|CUNDUACAN|CUNDUACAN|2020-03-12|12900|0|0|50|2|0|0|0|0|0|0|0|0|0|0|0|0|0|0|LEZAMA|DE LA TORRE|LUZ MARIA|soltero|0|0|CERRADA SAN JUAN 24 |RANCHERIA MANTILLA|x|9371199828|x|x|x|CERRADA SAN JUAN 24 |0|lunes|0|0|0|0|0|DOMICILIO |-6600|19500|X|X|X|2022-07-03|2022-07-10|0|0|0|0|0|3O8PTA2AZPGA3HB|0|HOMBRE|0|12900|0|0|0|0|0|0|0|0|CARDENAS|0|0|0|0|FINAL</v>
      </c>
    </row>
    <row r="52" spans="1:82" x14ac:dyDescent="0.25">
      <c r="A52" t="s">
        <v>186</v>
      </c>
      <c r="B52" t="s">
        <v>258</v>
      </c>
      <c r="C52">
        <v>3</v>
      </c>
      <c r="D52" t="s">
        <v>290</v>
      </c>
      <c r="E52" t="s">
        <v>294</v>
      </c>
      <c r="F52" t="s">
        <v>0</v>
      </c>
      <c r="G52" t="s">
        <v>0</v>
      </c>
      <c r="H52" t="s">
        <v>335</v>
      </c>
      <c r="I52">
        <v>11500</v>
      </c>
      <c r="J52">
        <v>0</v>
      </c>
      <c r="K52">
        <v>0</v>
      </c>
      <c r="L52">
        <v>50</v>
      </c>
      <c r="M52">
        <v>2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 t="s">
        <v>447</v>
      </c>
      <c r="AC52" t="s">
        <v>402</v>
      </c>
      <c r="AD52" s="18" t="s">
        <v>448</v>
      </c>
      <c r="AE52" t="s">
        <v>496</v>
      </c>
      <c r="AF52">
        <v>0</v>
      </c>
      <c r="AG52">
        <v>0</v>
      </c>
      <c r="AH52" t="s">
        <v>535</v>
      </c>
      <c r="AI52" t="s">
        <v>582</v>
      </c>
      <c r="AJ52" t="s">
        <v>3</v>
      </c>
      <c r="AK52">
        <v>9371017527</v>
      </c>
      <c r="AL52" t="s">
        <v>3</v>
      </c>
      <c r="AM52" t="s">
        <v>3</v>
      </c>
      <c r="AN52" t="s">
        <v>3</v>
      </c>
      <c r="AO52" t="s">
        <v>535</v>
      </c>
      <c r="AP52">
        <v>0</v>
      </c>
      <c r="AQ52" t="s">
        <v>611</v>
      </c>
      <c r="AR52">
        <v>0</v>
      </c>
      <c r="AS52">
        <v>0</v>
      </c>
      <c r="AT52">
        <v>0</v>
      </c>
      <c r="AU52">
        <v>0</v>
      </c>
      <c r="AV52">
        <v>0</v>
      </c>
      <c r="AW52" t="s">
        <v>11</v>
      </c>
      <c r="AX52">
        <f>Tabla1[[#This Row],[precio del paquete]]-Tabla1[[#This Row],[Saldo_Deudor]]</f>
        <v>5000</v>
      </c>
      <c r="AY52">
        <v>6500</v>
      </c>
      <c r="AZ52" t="s">
        <v>1</v>
      </c>
      <c r="BA52" t="s">
        <v>1</v>
      </c>
      <c r="BB52" t="s">
        <v>1</v>
      </c>
      <c r="BC52" t="s">
        <v>619</v>
      </c>
      <c r="BD52" t="s">
        <v>651</v>
      </c>
      <c r="BE52">
        <v>0</v>
      </c>
      <c r="BF52">
        <v>0</v>
      </c>
      <c r="BG52">
        <v>0</v>
      </c>
      <c r="BH52">
        <v>0</v>
      </c>
      <c r="BI52">
        <v>0</v>
      </c>
      <c r="BJ52" t="s">
        <v>680</v>
      </c>
      <c r="BK52">
        <v>0</v>
      </c>
      <c r="BL52" t="s">
        <v>132</v>
      </c>
      <c r="BM52">
        <v>0</v>
      </c>
      <c r="BN52">
        <v>11500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 t="s">
        <v>0</v>
      </c>
      <c r="BX52">
        <v>0</v>
      </c>
      <c r="BY52">
        <v>0</v>
      </c>
      <c r="BZ52">
        <v>0</v>
      </c>
      <c r="CA52">
        <v>0</v>
      </c>
      <c r="CB52" t="s">
        <v>686</v>
      </c>
      <c r="CD52" t="str" cm="1">
        <f t="array" aca="1" ref="CD52" ca="1">eConcatenar(A52:CB52,"|")</f>
        <v>Q0816qKqdGGPt1UQ|CAR2016-1702|3|ECONOLINE|TABASCO|CARDENAS|CARDENAS|2016-02-25|11500|0|0|50|2|0|0|0|0|0|0|0|0|0|0|0|0|0|0|PANTASY|HERNANDEZ|GERALDINE|soltero|0|0|CARRETERA AL CASTAÃ‘O|COLONIA MELCHOR OCAMPO|x|9371017527|x|x|x|CARRETERA AL CASTAÃ‘O|0|lunes|0|0|0|0|0|DOMICILIO |5000|6500|X|X|X|2022-07-03|2022-07-10|0|0|0|0|0|3O8PTA2AZPGA3HB|0|HOMBRE|0|11500|0|0|0|0|0|0|0|0|CARDENAS|0|0|0|0|FINAL</v>
      </c>
    </row>
    <row r="53" spans="1:82" x14ac:dyDescent="0.25">
      <c r="A53" t="s">
        <v>187</v>
      </c>
      <c r="B53" t="s">
        <v>259</v>
      </c>
      <c r="C53">
        <v>3</v>
      </c>
      <c r="D53" t="s">
        <v>291</v>
      </c>
      <c r="E53" t="s">
        <v>294</v>
      </c>
      <c r="F53" t="s">
        <v>0</v>
      </c>
      <c r="G53" t="s">
        <v>0</v>
      </c>
      <c r="H53" t="s">
        <v>336</v>
      </c>
      <c r="I53">
        <v>19800</v>
      </c>
      <c r="J53">
        <v>0</v>
      </c>
      <c r="K53">
        <v>0</v>
      </c>
      <c r="L53">
        <v>50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 t="s">
        <v>365</v>
      </c>
      <c r="AC53" t="s">
        <v>7</v>
      </c>
      <c r="AD53" s="18" t="s">
        <v>449</v>
      </c>
      <c r="AE53" t="s">
        <v>496</v>
      </c>
      <c r="AF53">
        <v>0</v>
      </c>
      <c r="AG53">
        <v>0</v>
      </c>
      <c r="AH53" t="s">
        <v>522</v>
      </c>
      <c r="AI53" t="s">
        <v>593</v>
      </c>
      <c r="AJ53" t="s">
        <v>3</v>
      </c>
      <c r="AK53">
        <v>914130234</v>
      </c>
      <c r="AL53" t="s">
        <v>3</v>
      </c>
      <c r="AM53" t="s">
        <v>3</v>
      </c>
      <c r="AN53" t="s">
        <v>3</v>
      </c>
      <c r="AO53" t="s">
        <v>522</v>
      </c>
      <c r="AP53">
        <v>0</v>
      </c>
      <c r="AQ53" t="s">
        <v>611</v>
      </c>
      <c r="AR53">
        <v>0</v>
      </c>
      <c r="AS53">
        <v>0</v>
      </c>
      <c r="AT53">
        <v>0</v>
      </c>
      <c r="AU53">
        <v>0</v>
      </c>
      <c r="AV53">
        <v>0</v>
      </c>
      <c r="AW53" t="s">
        <v>11</v>
      </c>
      <c r="AX53">
        <f>Tabla1[[#This Row],[precio del paquete]]-Tabla1[[#This Row],[Saldo_Deudor]]</f>
        <v>19250</v>
      </c>
      <c r="AY53">
        <v>550</v>
      </c>
      <c r="AZ53" t="s">
        <v>1</v>
      </c>
      <c r="BA53" t="s">
        <v>1</v>
      </c>
      <c r="BB53" t="s">
        <v>1</v>
      </c>
      <c r="BC53" t="s">
        <v>620</v>
      </c>
      <c r="BD53" t="s">
        <v>652</v>
      </c>
      <c r="BE53">
        <v>0</v>
      </c>
      <c r="BF53">
        <v>0</v>
      </c>
      <c r="BG53">
        <v>0</v>
      </c>
      <c r="BH53">
        <v>0</v>
      </c>
      <c r="BI53">
        <v>0</v>
      </c>
      <c r="BJ53" t="s">
        <v>680</v>
      </c>
      <c r="BK53">
        <v>0</v>
      </c>
      <c r="BL53" t="s">
        <v>132</v>
      </c>
      <c r="BM53">
        <v>0</v>
      </c>
      <c r="BN53">
        <v>19800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 t="s">
        <v>0</v>
      </c>
      <c r="BX53">
        <v>0</v>
      </c>
      <c r="BY53">
        <v>0</v>
      </c>
      <c r="BZ53">
        <v>0</v>
      </c>
      <c r="CA53">
        <v>0</v>
      </c>
      <c r="CB53" t="s">
        <v>686</v>
      </c>
      <c r="CD53" t="str" cm="1">
        <f t="array" aca="1" ref="CD53" ca="1">eConcatenar(A53:CB53,"|")</f>
        <v>DA01BJMIKTg8dy9i|CAR2019-0022|3|ZAFIRO|TABASCO|CARDENAS|CARDENAS|2019-07-01|19800|0|0|50|0|0|0|0|0|0|0|0|0|0|0|0|0|0|0|JIMENEZ|LOPEZ|JUAN JOSE|soltero|0|0|CARRETERA PRINCIPAL|RANCHERIA MIAHUATLAN PRIMERA SECCION |x|914130234|x|x|x|CARRETERA PRINCIPAL|0|lunes|0|0|0|0|0|DOMICILIO |19250|550|X|X|X|2022-08-03|2022-08-10|0|0|0|0|0|3O8PTA2AZPGA3HB|0|HOMBRE|0|19800|0|0|0|0|0|0|0|0|CARDENAS|0|0|0|0|FINAL</v>
      </c>
    </row>
    <row r="54" spans="1:82" x14ac:dyDescent="0.25">
      <c r="A54" t="s">
        <v>188</v>
      </c>
      <c r="B54" t="s">
        <v>260</v>
      </c>
      <c r="C54">
        <v>3</v>
      </c>
      <c r="D54" t="s">
        <v>293</v>
      </c>
      <c r="E54" t="s">
        <v>294</v>
      </c>
      <c r="F54" t="s">
        <v>0</v>
      </c>
      <c r="G54" t="s">
        <v>0</v>
      </c>
      <c r="H54" t="s">
        <v>337</v>
      </c>
      <c r="I54">
        <v>12900</v>
      </c>
      <c r="J54">
        <v>0</v>
      </c>
      <c r="K54">
        <v>0</v>
      </c>
      <c r="L54">
        <v>50</v>
      </c>
      <c r="M54">
        <v>2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 t="s">
        <v>7</v>
      </c>
      <c r="AC54" t="s">
        <v>450</v>
      </c>
      <c r="AD54" s="18" t="s">
        <v>451</v>
      </c>
      <c r="AE54" t="s">
        <v>496</v>
      </c>
      <c r="AF54">
        <v>0</v>
      </c>
      <c r="AG54">
        <v>0</v>
      </c>
      <c r="AH54" t="s">
        <v>536</v>
      </c>
      <c r="AI54" t="s">
        <v>594</v>
      </c>
      <c r="AJ54" t="s">
        <v>3</v>
      </c>
      <c r="AK54">
        <v>9141112802</v>
      </c>
      <c r="AL54" t="s">
        <v>3</v>
      </c>
      <c r="AM54" t="s">
        <v>3</v>
      </c>
      <c r="AN54" t="s">
        <v>3</v>
      </c>
      <c r="AO54" t="s">
        <v>536</v>
      </c>
      <c r="AP54">
        <v>0</v>
      </c>
      <c r="AQ54" t="s">
        <v>611</v>
      </c>
      <c r="AR54">
        <v>0</v>
      </c>
      <c r="AS54">
        <v>0</v>
      </c>
      <c r="AT54">
        <v>0</v>
      </c>
      <c r="AU54">
        <v>0</v>
      </c>
      <c r="AV54">
        <v>0</v>
      </c>
      <c r="AW54" t="s">
        <v>11</v>
      </c>
      <c r="AX54">
        <f>Tabla1[[#This Row],[precio del paquete]]-Tabla1[[#This Row],[Saldo_Deudor]]</f>
        <v>3700</v>
      </c>
      <c r="AY54">
        <v>9200</v>
      </c>
      <c r="AZ54" t="s">
        <v>1</v>
      </c>
      <c r="BA54" t="s">
        <v>1</v>
      </c>
      <c r="BB54" t="s">
        <v>1</v>
      </c>
      <c r="BC54" t="s">
        <v>619</v>
      </c>
      <c r="BD54" t="s">
        <v>651</v>
      </c>
      <c r="BE54">
        <v>0</v>
      </c>
      <c r="BF54">
        <v>0</v>
      </c>
      <c r="BG54">
        <v>0</v>
      </c>
      <c r="BH54">
        <v>0</v>
      </c>
      <c r="BI54">
        <v>0</v>
      </c>
      <c r="BJ54" t="s">
        <v>680</v>
      </c>
      <c r="BK54">
        <v>0</v>
      </c>
      <c r="BL54" t="s">
        <v>132</v>
      </c>
      <c r="BM54">
        <v>0</v>
      </c>
      <c r="BN54">
        <v>12900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 t="s">
        <v>0</v>
      </c>
      <c r="BX54">
        <v>0</v>
      </c>
      <c r="BY54">
        <v>0</v>
      </c>
      <c r="BZ54">
        <v>0</v>
      </c>
      <c r="CA54">
        <v>0</v>
      </c>
      <c r="CB54" t="s">
        <v>686</v>
      </c>
      <c r="CD54" t="str" cm="1">
        <f t="array" aca="1" ref="CD54" ca="1">eConcatenar(A54:CB54,"|")</f>
        <v>dH8BhqEBbmOhedb0|CAR2020-5423|3|IMPEIAL DE LUJO|TABASCO|CARDENAS|CARDENAS|2020-12-15|12900|0|0|50|2|0|0|0|0|0|0|0|0|0|0|0|0|0|0|LOPEZ|OLAN|CLEMENCIA|soltero|0|0|INGENIO SANTA ROSALIA |EJIDO BUENA VENTURA|x|9141112802|x|x|x|INGENIO SANTA ROSALIA |0|lunes|0|0|0|0|0|DOMICILIO |3700|9200|X|X|X|2022-07-03|2022-07-10|0|0|0|0|0|3O8PTA2AZPGA3HB|0|HOMBRE|0|12900|0|0|0|0|0|0|0|0|CARDENAS|0|0|0|0|FINAL</v>
      </c>
    </row>
    <row r="55" spans="1:82" x14ac:dyDescent="0.25">
      <c r="A55" t="s">
        <v>189</v>
      </c>
      <c r="B55" t="s">
        <v>261</v>
      </c>
      <c r="C55">
        <v>3</v>
      </c>
      <c r="D55" t="s">
        <v>290</v>
      </c>
      <c r="E55" t="s">
        <v>294</v>
      </c>
      <c r="F55" t="s">
        <v>0</v>
      </c>
      <c r="G55" t="s">
        <v>0</v>
      </c>
      <c r="H55" t="s">
        <v>338</v>
      </c>
      <c r="I55">
        <v>12900</v>
      </c>
      <c r="J55">
        <v>0</v>
      </c>
      <c r="K55">
        <v>0</v>
      </c>
      <c r="L55">
        <v>50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 t="s">
        <v>452</v>
      </c>
      <c r="AC55" t="s">
        <v>397</v>
      </c>
      <c r="AD55" s="18" t="s">
        <v>453</v>
      </c>
      <c r="AE55" t="s">
        <v>496</v>
      </c>
      <c r="AF55">
        <v>0</v>
      </c>
      <c r="AG55">
        <v>0</v>
      </c>
      <c r="AH55" t="s">
        <v>537</v>
      </c>
      <c r="AI55" t="s">
        <v>595</v>
      </c>
      <c r="AJ55" t="s">
        <v>3</v>
      </c>
      <c r="AK55">
        <v>9141331322</v>
      </c>
      <c r="AL55" t="s">
        <v>3</v>
      </c>
      <c r="AM55" t="s">
        <v>3</v>
      </c>
      <c r="AN55" t="s">
        <v>3</v>
      </c>
      <c r="AO55" t="s">
        <v>537</v>
      </c>
      <c r="AP55">
        <v>0</v>
      </c>
      <c r="AQ55" t="s">
        <v>611</v>
      </c>
      <c r="AR55">
        <v>0</v>
      </c>
      <c r="AS55">
        <v>0</v>
      </c>
      <c r="AT55">
        <v>0</v>
      </c>
      <c r="AU55">
        <v>0</v>
      </c>
      <c r="AV55">
        <v>0</v>
      </c>
      <c r="AW55" t="s">
        <v>11</v>
      </c>
      <c r="AX55">
        <f>Tabla1[[#This Row],[precio del paquete]]-Tabla1[[#This Row],[Saldo_Deudor]]</f>
        <v>900</v>
      </c>
      <c r="AY55">
        <v>12000</v>
      </c>
      <c r="AZ55" t="s">
        <v>1</v>
      </c>
      <c r="BA55" t="s">
        <v>1</v>
      </c>
      <c r="BB55" t="s">
        <v>1</v>
      </c>
      <c r="BC55" t="s">
        <v>621</v>
      </c>
      <c r="BD55" t="s">
        <v>653</v>
      </c>
      <c r="BE55">
        <v>0</v>
      </c>
      <c r="BF55">
        <v>0</v>
      </c>
      <c r="BG55">
        <v>0</v>
      </c>
      <c r="BH55">
        <v>0</v>
      </c>
      <c r="BI55">
        <v>0</v>
      </c>
      <c r="BJ55" t="s">
        <v>680</v>
      </c>
      <c r="BK55">
        <v>0</v>
      </c>
      <c r="BL55" t="s">
        <v>132</v>
      </c>
      <c r="BM55">
        <v>0</v>
      </c>
      <c r="BN55">
        <v>12900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 t="s">
        <v>0</v>
      </c>
      <c r="BX55">
        <v>0</v>
      </c>
      <c r="BY55">
        <v>0</v>
      </c>
      <c r="BZ55">
        <v>0</v>
      </c>
      <c r="CA55">
        <v>0</v>
      </c>
      <c r="CB55" t="s">
        <v>686</v>
      </c>
      <c r="CD55" t="str" cm="1">
        <f t="array" aca="1" ref="CD55" ca="1">eConcatenar(A55:CB55,"|")</f>
        <v>7LrjmSJdmAWupjZI|CAR2021-0069|3|ECONOLINE|TABASCO|CARDENAS|CARDENAS|2021-01-15|12900|0|0|50|0|0|0|0|0|0|0|0|0|0|0|0|0|0|0|RIOS|REYES|VALERIA|soltero|0|0|CALLE NUEVA SIN NUMERO|COLONIA EL PORVENIR |x|9141331322|x|x|x|CALLE NUEVA SIN NUMERO|0|lunes|0|0|0|0|0|DOMICILIO |900|12000|X|X|X|2022-07-02|2022-07-09|0|0|0|0|0|3O8PTA2AZPGA3HB|0|HOMBRE|0|12900|0|0|0|0|0|0|0|0|CARDENAS|0|0|0|0|FINAL</v>
      </c>
    </row>
    <row r="56" spans="1:82" x14ac:dyDescent="0.25">
      <c r="A56" t="s">
        <v>190</v>
      </c>
      <c r="B56" t="s">
        <v>262</v>
      </c>
      <c r="C56">
        <v>3</v>
      </c>
      <c r="D56" t="s">
        <v>293</v>
      </c>
      <c r="E56" t="s">
        <v>294</v>
      </c>
      <c r="F56" t="s">
        <v>295</v>
      </c>
      <c r="G56" t="s">
        <v>295</v>
      </c>
      <c r="H56" t="s">
        <v>339</v>
      </c>
      <c r="I56">
        <v>12900</v>
      </c>
      <c r="J56">
        <v>0</v>
      </c>
      <c r="K56">
        <v>0</v>
      </c>
      <c r="L56">
        <v>50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 t="s">
        <v>454</v>
      </c>
      <c r="AC56" t="s">
        <v>433</v>
      </c>
      <c r="AD56" s="18" t="s">
        <v>455</v>
      </c>
      <c r="AE56" t="s">
        <v>496</v>
      </c>
      <c r="AF56">
        <v>0</v>
      </c>
      <c r="AG56">
        <v>0</v>
      </c>
      <c r="AH56" t="s">
        <v>538</v>
      </c>
      <c r="AI56" t="s">
        <v>596</v>
      </c>
      <c r="AJ56" t="s">
        <v>3</v>
      </c>
      <c r="AK56">
        <v>9331156092</v>
      </c>
      <c r="AL56" t="s">
        <v>3</v>
      </c>
      <c r="AM56" t="s">
        <v>3</v>
      </c>
      <c r="AN56" t="s">
        <v>3</v>
      </c>
      <c r="AO56" t="s">
        <v>538</v>
      </c>
      <c r="AP56">
        <v>0</v>
      </c>
      <c r="AQ56" t="s">
        <v>611</v>
      </c>
      <c r="AR56">
        <v>0</v>
      </c>
      <c r="AS56">
        <v>0</v>
      </c>
      <c r="AT56">
        <v>0</v>
      </c>
      <c r="AU56">
        <v>0</v>
      </c>
      <c r="AV56">
        <v>0</v>
      </c>
      <c r="AW56" t="s">
        <v>11</v>
      </c>
      <c r="AX56">
        <f>Tabla1[[#This Row],[precio del paquete]]-Tabla1[[#This Row],[Saldo_Deudor]]</f>
        <v>1000</v>
      </c>
      <c r="AY56">
        <v>11900</v>
      </c>
      <c r="AZ56" t="s">
        <v>1</v>
      </c>
      <c r="BA56" t="s">
        <v>1</v>
      </c>
      <c r="BB56" t="s">
        <v>1</v>
      </c>
      <c r="BC56" t="s">
        <v>636</v>
      </c>
      <c r="BD56" t="s">
        <v>668</v>
      </c>
      <c r="BE56">
        <v>0</v>
      </c>
      <c r="BF56">
        <v>0</v>
      </c>
      <c r="BG56">
        <v>0</v>
      </c>
      <c r="BH56">
        <v>0</v>
      </c>
      <c r="BI56">
        <v>0</v>
      </c>
      <c r="BJ56" t="s">
        <v>680</v>
      </c>
      <c r="BK56">
        <v>0</v>
      </c>
      <c r="BL56" t="s">
        <v>132</v>
      </c>
      <c r="BM56">
        <v>0</v>
      </c>
      <c r="BN56">
        <v>12900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 t="s">
        <v>0</v>
      </c>
      <c r="BX56">
        <v>0</v>
      </c>
      <c r="BY56">
        <v>0</v>
      </c>
      <c r="BZ56">
        <v>0</v>
      </c>
      <c r="CA56">
        <v>0</v>
      </c>
      <c r="CB56" t="s">
        <v>686</v>
      </c>
      <c r="CD56" t="str" cm="1">
        <f t="array" aca="1" ref="CD56" ca="1">eConcatenar(A56:CB56,"|")</f>
        <v>yx5lQvpGI7MNwU32|CAR2020-5069|3|IMPEIAL DE LUJO|TABASCO|CUNDUACAN|CUNDUACAN|2020-04-12|12900|0|0|50|0|0|0|0|0|0|0|0|0|0|0|0|0|0|0|CASANOVA|OVANDO|MARIA DEL CARMEN|soltero|0|0|CALLE CANAGUA MANZANA 35 LOTE 15|EJIDO TULIPAN|x|9331156092|x|x|x|CALLE CANAGUA MANZANA 35 LOTE 15|0|lunes|0|0|0|0|0|DOMICILIO |1000|11900|X|X|X|2021-04-13|2021-04-20|0|0|0|0|0|3O8PTA2AZPGA3HB|0|HOMBRE|0|12900|0|0|0|0|0|0|0|0|CARDENAS|0|0|0|0|FINAL</v>
      </c>
    </row>
    <row r="57" spans="1:82" x14ac:dyDescent="0.25">
      <c r="A57" t="s">
        <v>191</v>
      </c>
      <c r="B57" t="s">
        <v>263</v>
      </c>
      <c r="C57">
        <v>3</v>
      </c>
      <c r="D57" t="s">
        <v>293</v>
      </c>
      <c r="E57" t="s">
        <v>294</v>
      </c>
      <c r="F57" t="s">
        <v>0</v>
      </c>
      <c r="G57" t="s">
        <v>0</v>
      </c>
      <c r="H57" t="s">
        <v>340</v>
      </c>
      <c r="I57">
        <v>12900</v>
      </c>
      <c r="J57">
        <v>0</v>
      </c>
      <c r="K57">
        <v>0</v>
      </c>
      <c r="L57">
        <v>50</v>
      </c>
      <c r="M57">
        <v>1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 t="s">
        <v>7</v>
      </c>
      <c r="AC57" t="s">
        <v>456</v>
      </c>
      <c r="AD57" s="18" t="s">
        <v>457</v>
      </c>
      <c r="AE57" t="s">
        <v>496</v>
      </c>
      <c r="AF57">
        <v>0</v>
      </c>
      <c r="AG57">
        <v>0</v>
      </c>
      <c r="AH57" t="s">
        <v>539</v>
      </c>
      <c r="AI57" t="s">
        <v>597</v>
      </c>
      <c r="AJ57" t="s">
        <v>3</v>
      </c>
      <c r="AK57">
        <v>9371538988</v>
      </c>
      <c r="AL57" t="s">
        <v>3</v>
      </c>
      <c r="AM57" t="s">
        <v>3</v>
      </c>
      <c r="AN57" t="s">
        <v>3</v>
      </c>
      <c r="AO57" t="s">
        <v>539</v>
      </c>
      <c r="AP57">
        <v>0</v>
      </c>
      <c r="AQ57" t="s">
        <v>611</v>
      </c>
      <c r="AR57">
        <v>0</v>
      </c>
      <c r="AS57">
        <v>0</v>
      </c>
      <c r="AT57">
        <v>0</v>
      </c>
      <c r="AU57">
        <v>0</v>
      </c>
      <c r="AV57">
        <v>0</v>
      </c>
      <c r="AW57" t="s">
        <v>11</v>
      </c>
      <c r="AX57">
        <f>Tabla1[[#This Row],[precio del paquete]]-Tabla1[[#This Row],[Saldo_Deudor]]</f>
        <v>1400</v>
      </c>
      <c r="AY57">
        <v>11500</v>
      </c>
      <c r="AZ57" t="s">
        <v>1</v>
      </c>
      <c r="BA57" t="s">
        <v>1</v>
      </c>
      <c r="BB57" t="s">
        <v>1</v>
      </c>
      <c r="BC57" t="s">
        <v>637</v>
      </c>
      <c r="BD57" t="s">
        <v>669</v>
      </c>
      <c r="BE57">
        <v>0</v>
      </c>
      <c r="BF57">
        <v>0</v>
      </c>
      <c r="BG57">
        <v>0</v>
      </c>
      <c r="BH57">
        <v>0</v>
      </c>
      <c r="BI57">
        <v>0</v>
      </c>
      <c r="BJ57" t="s">
        <v>680</v>
      </c>
      <c r="BK57">
        <v>0</v>
      </c>
      <c r="BL57" t="s">
        <v>132</v>
      </c>
      <c r="BM57">
        <v>0</v>
      </c>
      <c r="BN57">
        <v>12900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 t="s">
        <v>0</v>
      </c>
      <c r="BX57">
        <v>0</v>
      </c>
      <c r="BY57">
        <v>0</v>
      </c>
      <c r="BZ57">
        <v>0</v>
      </c>
      <c r="CA57">
        <v>0</v>
      </c>
      <c r="CB57" t="s">
        <v>686</v>
      </c>
      <c r="CD57" t="str" cm="1">
        <f t="array" aca="1" ref="CD57" ca="1">eConcatenar(A57:CB57,"|")</f>
        <v>FlO6DLDSExO6c3I0|CAR2020-5297|3|IMPEIAL DE LUJO|TABASCO|CARDENAS|CARDENAS|2020-12-12|12900|0|0|50|1|0|0|0|0|0|0|0|0|0|0|0|0|0|0|LOPEZ|ROMAN|IRLANDA JANET|soltero|0|0|CALLE ANTONIO ORTIZ|FRACCIONAMIENTO CAÃ‘ALES II|x|9371538988|x|x|x|CALLE ANTONIO ORTIZ|0|lunes|0|0|0|0|0|DOMICILIO |1400|11500|X|X|X|2021-06-22|2021-06-29|0|0|0|0|0|3O8PTA2AZPGA3HB|0|HOMBRE|0|12900|0|0|0|0|0|0|0|0|CARDENAS|0|0|0|0|FINAL</v>
      </c>
    </row>
    <row r="58" spans="1:82" x14ac:dyDescent="0.25">
      <c r="A58" t="s">
        <v>192</v>
      </c>
      <c r="B58" t="s">
        <v>264</v>
      </c>
      <c r="C58">
        <v>3</v>
      </c>
      <c r="D58" t="s">
        <v>293</v>
      </c>
      <c r="E58" t="s">
        <v>294</v>
      </c>
      <c r="F58" t="s">
        <v>0</v>
      </c>
      <c r="G58" t="s">
        <v>0</v>
      </c>
      <c r="H58" t="s">
        <v>334</v>
      </c>
      <c r="I58">
        <v>12900</v>
      </c>
      <c r="J58">
        <v>0</v>
      </c>
      <c r="K58">
        <v>0</v>
      </c>
      <c r="L58">
        <v>50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 t="s">
        <v>7</v>
      </c>
      <c r="AC58" t="s">
        <v>7</v>
      </c>
      <c r="AD58" s="18" t="s">
        <v>458</v>
      </c>
      <c r="AE58" t="s">
        <v>496</v>
      </c>
      <c r="AF58">
        <v>0</v>
      </c>
      <c r="AG58">
        <v>0</v>
      </c>
      <c r="AH58" t="s">
        <v>540</v>
      </c>
      <c r="AI58" t="s">
        <v>598</v>
      </c>
      <c r="AJ58" t="s">
        <v>3</v>
      </c>
      <c r="AK58">
        <v>9371029779</v>
      </c>
      <c r="AL58" t="s">
        <v>3</v>
      </c>
      <c r="AM58" t="s">
        <v>3</v>
      </c>
      <c r="AN58" t="s">
        <v>3</v>
      </c>
      <c r="AO58" t="s">
        <v>540</v>
      </c>
      <c r="AP58">
        <v>0</v>
      </c>
      <c r="AQ58" t="s">
        <v>611</v>
      </c>
      <c r="AR58">
        <v>0</v>
      </c>
      <c r="AS58">
        <v>0</v>
      </c>
      <c r="AT58">
        <v>0</v>
      </c>
      <c r="AU58">
        <v>0</v>
      </c>
      <c r="AV58">
        <v>0</v>
      </c>
      <c r="AW58" t="s">
        <v>11</v>
      </c>
      <c r="AX58">
        <f>Tabla1[[#This Row],[precio del paquete]]-Tabla1[[#This Row],[Saldo_Deudor]]</f>
        <v>200</v>
      </c>
      <c r="AY58">
        <v>12700</v>
      </c>
      <c r="AZ58" t="s">
        <v>1</v>
      </c>
      <c r="BA58" t="s">
        <v>1</v>
      </c>
      <c r="BB58" t="s">
        <v>1</v>
      </c>
      <c r="BC58" t="s">
        <v>638</v>
      </c>
      <c r="BD58" t="s">
        <v>670</v>
      </c>
      <c r="BE58">
        <v>0</v>
      </c>
      <c r="BF58">
        <v>0</v>
      </c>
      <c r="BG58">
        <v>0</v>
      </c>
      <c r="BH58">
        <v>0</v>
      </c>
      <c r="BI58">
        <v>0</v>
      </c>
      <c r="BJ58" t="s">
        <v>680</v>
      </c>
      <c r="BK58">
        <v>0</v>
      </c>
      <c r="BL58" t="s">
        <v>132</v>
      </c>
      <c r="BM58">
        <v>0</v>
      </c>
      <c r="BN58">
        <v>12900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 t="s">
        <v>0</v>
      </c>
      <c r="BX58">
        <v>0</v>
      </c>
      <c r="BY58">
        <v>0</v>
      </c>
      <c r="BZ58">
        <v>0</v>
      </c>
      <c r="CA58">
        <v>0</v>
      </c>
      <c r="CB58" t="s">
        <v>686</v>
      </c>
      <c r="CD58" t="str" cm="1">
        <f t="array" aca="1" ref="CD58" ca="1">eConcatenar(A58:CB58,"|")</f>
        <v>74aQD2aNRxS81DzO|CAR2020-5060|3|IMPEIAL DE LUJO|TABASCO|CARDENAS|CARDENAS|2020-03-12|12900|0|0|50|1|0|0|0|0|0|0|0|0|0|0|0|0|0|0|LOPEZ|LOPEZ|BEATRIZ ADRIANA|soltero|0|0|AVENIDA MIGUEL HIDALGO SIN NUMERO|COLONIA NUEVO PROGRESO|x|9371029779|x|x|x|AVENIDA MIGUEL HIDALGO SIN NUMERO|0|lunes|0|0|0|0|0|DOMICILIO |200|12700|X|X|X|2021-06-07|2021-06-14|0|0|0|0|0|3O8PTA2AZPGA3HB|0|HOMBRE|0|12900|0|0|0|0|0|0|0|0|CARDENAS|0|0|0|0|FINAL</v>
      </c>
    </row>
    <row r="59" spans="1:82" x14ac:dyDescent="0.25">
      <c r="A59" t="s">
        <v>193</v>
      </c>
      <c r="B59" t="s">
        <v>265</v>
      </c>
      <c r="C59">
        <v>3</v>
      </c>
      <c r="D59" t="s">
        <v>289</v>
      </c>
      <c r="E59" t="s">
        <v>294</v>
      </c>
      <c r="F59" t="s">
        <v>0</v>
      </c>
      <c r="G59" t="s">
        <v>0</v>
      </c>
      <c r="H59" t="s">
        <v>341</v>
      </c>
      <c r="I59">
        <v>14800</v>
      </c>
      <c r="J59">
        <v>0</v>
      </c>
      <c r="K59">
        <v>0</v>
      </c>
      <c r="L59">
        <v>50</v>
      </c>
      <c r="M59">
        <v>1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 t="s">
        <v>459</v>
      </c>
      <c r="AC59" t="s">
        <v>460</v>
      </c>
      <c r="AD59" s="18" t="s">
        <v>461</v>
      </c>
      <c r="AE59" t="s">
        <v>496</v>
      </c>
      <c r="AF59">
        <v>0</v>
      </c>
      <c r="AG59">
        <v>0</v>
      </c>
      <c r="AH59" t="s">
        <v>541</v>
      </c>
      <c r="AI59" t="s">
        <v>598</v>
      </c>
      <c r="AJ59" t="s">
        <v>3</v>
      </c>
      <c r="AK59">
        <v>9371653338</v>
      </c>
      <c r="AL59" t="s">
        <v>3</v>
      </c>
      <c r="AM59" t="s">
        <v>3</v>
      </c>
      <c r="AN59" t="s">
        <v>3</v>
      </c>
      <c r="AO59" t="s">
        <v>541</v>
      </c>
      <c r="AP59">
        <v>0</v>
      </c>
      <c r="AQ59" t="s">
        <v>611</v>
      </c>
      <c r="AR59">
        <v>0</v>
      </c>
      <c r="AS59">
        <v>0</v>
      </c>
      <c r="AT59">
        <v>0</v>
      </c>
      <c r="AU59">
        <v>0</v>
      </c>
      <c r="AV59">
        <v>0</v>
      </c>
      <c r="AW59" t="s">
        <v>11</v>
      </c>
      <c r="AX59">
        <f>Tabla1[[#This Row],[precio del paquete]]-Tabla1[[#This Row],[Saldo_Deudor]]</f>
        <v>2900</v>
      </c>
      <c r="AY59">
        <v>11900</v>
      </c>
      <c r="AZ59" t="s">
        <v>1</v>
      </c>
      <c r="BA59" t="s">
        <v>1</v>
      </c>
      <c r="BB59" t="s">
        <v>1</v>
      </c>
      <c r="BC59" t="s">
        <v>639</v>
      </c>
      <c r="BD59" t="s">
        <v>671</v>
      </c>
      <c r="BE59">
        <v>0</v>
      </c>
      <c r="BF59">
        <v>0</v>
      </c>
      <c r="BG59">
        <v>0</v>
      </c>
      <c r="BH59">
        <v>0</v>
      </c>
      <c r="BI59">
        <v>0</v>
      </c>
      <c r="BJ59" t="s">
        <v>680</v>
      </c>
      <c r="BK59">
        <v>0</v>
      </c>
      <c r="BL59" t="s">
        <v>132</v>
      </c>
      <c r="BM59">
        <v>0</v>
      </c>
      <c r="BN59">
        <v>14800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 t="s">
        <v>0</v>
      </c>
      <c r="BX59">
        <v>0</v>
      </c>
      <c r="BY59">
        <v>0</v>
      </c>
      <c r="BZ59">
        <v>0</v>
      </c>
      <c r="CA59">
        <v>0</v>
      </c>
      <c r="CB59" t="s">
        <v>686</v>
      </c>
      <c r="CD59" t="str" cm="1">
        <f t="array" aca="1" ref="CD59" ca="1">eConcatenar(A59:CB59,"|")</f>
        <v>jBrjbgWUweJQG1BD|CAR2021-6012|3|MEMORIAL|TABASCO|CARDENAS|CARDENAS|2021-08-10|14800|0|0|50|1|0|0|0|0|0|0|0|0|0|0|0|0|0|0|CASTAÃ‘EDA|OLIVA|ARACELY|soltero|0|0|ANDADOR CASAS DUPLES NUMERO 14 |COLONIA NUEVO PROGRESO|x|9371653338|x|x|x|ANDADOR CASAS DUPLES NUMERO 14 |0|lunes|0|0|0|0|0|DOMICILIO |2900|11900|X|X|X|2022-02-01|2022-02-08|0|0|0|0|0|3O8PTA2AZPGA3HB|0|HOMBRE|0|14800|0|0|0|0|0|0|0|0|CARDENAS|0|0|0|0|FINAL</v>
      </c>
    </row>
    <row r="60" spans="1:82" x14ac:dyDescent="0.25">
      <c r="A60" t="s">
        <v>194</v>
      </c>
      <c r="B60" t="s">
        <v>266</v>
      </c>
      <c r="C60">
        <v>3</v>
      </c>
      <c r="D60" t="s">
        <v>289</v>
      </c>
      <c r="E60" t="s">
        <v>294</v>
      </c>
      <c r="F60" t="s">
        <v>0</v>
      </c>
      <c r="G60" t="s">
        <v>0</v>
      </c>
      <c r="H60" t="s">
        <v>300</v>
      </c>
      <c r="I60">
        <v>14800</v>
      </c>
      <c r="J60">
        <v>0</v>
      </c>
      <c r="K60">
        <v>0</v>
      </c>
      <c r="L60">
        <v>50</v>
      </c>
      <c r="M60">
        <v>2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 t="s">
        <v>462</v>
      </c>
      <c r="AC60" t="s">
        <v>463</v>
      </c>
      <c r="AD60" s="18" t="s">
        <v>464</v>
      </c>
      <c r="AE60" t="s">
        <v>496</v>
      </c>
      <c r="AF60">
        <v>0</v>
      </c>
      <c r="AG60">
        <v>0</v>
      </c>
      <c r="AH60" t="s">
        <v>521</v>
      </c>
      <c r="AI60" t="s">
        <v>536</v>
      </c>
      <c r="AJ60" t="s">
        <v>3</v>
      </c>
      <c r="AK60">
        <v>9371283239</v>
      </c>
      <c r="AL60" t="s">
        <v>3</v>
      </c>
      <c r="AM60" t="s">
        <v>3</v>
      </c>
      <c r="AN60" t="s">
        <v>3</v>
      </c>
      <c r="AO60" t="s">
        <v>521</v>
      </c>
      <c r="AP60">
        <v>0</v>
      </c>
      <c r="AQ60" t="s">
        <v>611</v>
      </c>
      <c r="AR60">
        <v>0</v>
      </c>
      <c r="AS60">
        <v>0</v>
      </c>
      <c r="AT60">
        <v>0</v>
      </c>
      <c r="AU60">
        <v>0</v>
      </c>
      <c r="AV60">
        <v>0</v>
      </c>
      <c r="AW60" t="s">
        <v>11</v>
      </c>
      <c r="AX60">
        <f>Tabla1[[#This Row],[precio del paquete]]-Tabla1[[#This Row],[Saldo_Deudor]]</f>
        <v>200</v>
      </c>
      <c r="AY60">
        <v>14600</v>
      </c>
      <c r="AZ60" t="s">
        <v>1</v>
      </c>
      <c r="BA60" t="s">
        <v>1</v>
      </c>
      <c r="BB60" t="s">
        <v>1</v>
      </c>
      <c r="BC60" t="s">
        <v>319</v>
      </c>
      <c r="BD60" t="s">
        <v>672</v>
      </c>
      <c r="BE60">
        <v>0</v>
      </c>
      <c r="BF60">
        <v>0</v>
      </c>
      <c r="BG60">
        <v>0</v>
      </c>
      <c r="BH60">
        <v>0</v>
      </c>
      <c r="BI60">
        <v>0</v>
      </c>
      <c r="BJ60" t="s">
        <v>680</v>
      </c>
      <c r="BK60">
        <v>0</v>
      </c>
      <c r="BL60" t="s">
        <v>132</v>
      </c>
      <c r="BM60">
        <v>0</v>
      </c>
      <c r="BN60">
        <v>14800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 t="s">
        <v>0</v>
      </c>
      <c r="BX60">
        <v>0</v>
      </c>
      <c r="BY60">
        <v>0</v>
      </c>
      <c r="BZ60">
        <v>0</v>
      </c>
      <c r="CA60">
        <v>0</v>
      </c>
      <c r="CB60" t="s">
        <v>686</v>
      </c>
      <c r="CD60" t="str" cm="1">
        <f t="array" aca="1" ref="CD60" ca="1">eConcatenar(A60:CB60,"|")</f>
        <v>BgozABw6t1Ws3OhU|CAR2021-6669|3|MEMORIAL|TABASCO|CARDENAS|CARDENAS|2021-05-11|14800|0|0|50|2|0|0|0|0|0|0|0|0|0|0|0|0|0|0|NARANJO|IZQUIERDO|OMAR|soltero|0|0|CALLE EMILIANO ZAPATA SIN NUMERO|INGENIO SANTA ROSALIA |x|9371283239|x|x|x|CALLE EMILIANO ZAPATA SIN NUMERO|0|lunes|0|0|0|0|0|DOMICILIO |200|14600|X|X|X|2021-12-04|2021-12-11|0|0|0|0|0|3O8PTA2AZPGA3HB|0|HOMBRE|0|14800|0|0|0|0|0|0|0|0|CARDENAS|0|0|0|0|FINAL</v>
      </c>
    </row>
    <row r="61" spans="1:82" x14ac:dyDescent="0.25">
      <c r="A61" t="s">
        <v>195</v>
      </c>
      <c r="B61" t="s">
        <v>267</v>
      </c>
      <c r="C61">
        <v>3</v>
      </c>
      <c r="D61" t="s">
        <v>290</v>
      </c>
      <c r="E61" t="s">
        <v>294</v>
      </c>
      <c r="F61" t="s">
        <v>0</v>
      </c>
      <c r="G61" t="s">
        <v>0</v>
      </c>
      <c r="H61" t="s">
        <v>342</v>
      </c>
      <c r="I61">
        <v>12900</v>
      </c>
      <c r="J61">
        <v>0</v>
      </c>
      <c r="K61">
        <v>0</v>
      </c>
      <c r="L61">
        <v>50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 t="s">
        <v>7</v>
      </c>
      <c r="AC61" t="s">
        <v>402</v>
      </c>
      <c r="AD61" s="18" t="s">
        <v>465</v>
      </c>
      <c r="AE61" t="s">
        <v>496</v>
      </c>
      <c r="AF61">
        <v>0</v>
      </c>
      <c r="AG61">
        <v>0</v>
      </c>
      <c r="AH61" t="s">
        <v>542</v>
      </c>
      <c r="AI61" t="s">
        <v>599</v>
      </c>
      <c r="AJ61" t="s">
        <v>3</v>
      </c>
      <c r="AK61">
        <v>9141359931</v>
      </c>
      <c r="AL61" t="s">
        <v>3</v>
      </c>
      <c r="AM61" t="s">
        <v>3</v>
      </c>
      <c r="AN61" t="s">
        <v>3</v>
      </c>
      <c r="AO61" t="s">
        <v>542</v>
      </c>
      <c r="AP61">
        <v>0</v>
      </c>
      <c r="AQ61" t="s">
        <v>611</v>
      </c>
      <c r="AR61">
        <v>0</v>
      </c>
      <c r="AS61">
        <v>0</v>
      </c>
      <c r="AT61">
        <v>0</v>
      </c>
      <c r="AU61">
        <v>0</v>
      </c>
      <c r="AV61">
        <v>0</v>
      </c>
      <c r="AW61" t="s">
        <v>11</v>
      </c>
      <c r="AX61">
        <f>Tabla1[[#This Row],[precio del paquete]]-Tabla1[[#This Row],[Saldo_Deudor]]</f>
        <v>-900</v>
      </c>
      <c r="AY61">
        <v>13800</v>
      </c>
      <c r="AZ61" t="s">
        <v>1</v>
      </c>
      <c r="BA61" t="s">
        <v>1</v>
      </c>
      <c r="BB61" t="s">
        <v>1</v>
      </c>
      <c r="BC61" t="s">
        <v>639</v>
      </c>
      <c r="BD61" t="s">
        <v>671</v>
      </c>
      <c r="BE61">
        <v>0</v>
      </c>
      <c r="BF61">
        <v>0</v>
      </c>
      <c r="BG61">
        <v>0</v>
      </c>
      <c r="BH61">
        <v>0</v>
      </c>
      <c r="BI61">
        <v>0</v>
      </c>
      <c r="BJ61" t="s">
        <v>680</v>
      </c>
      <c r="BK61">
        <v>0</v>
      </c>
      <c r="BL61" t="s">
        <v>132</v>
      </c>
      <c r="BM61">
        <v>0</v>
      </c>
      <c r="BN61">
        <v>12900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 t="s">
        <v>0</v>
      </c>
      <c r="BX61">
        <v>0</v>
      </c>
      <c r="BY61">
        <v>0</v>
      </c>
      <c r="BZ61">
        <v>0</v>
      </c>
      <c r="CA61">
        <v>0</v>
      </c>
      <c r="CB61" t="s">
        <v>686</v>
      </c>
      <c r="CD61" t="str" cm="1">
        <f t="array" aca="1" ref="CD61" ca="1">eConcatenar(A61:CB61,"|")</f>
        <v>FFUy27cPc9PgkL3k|CAR2020-0411|3|ECONOLINE|TABASCO|CARDENAS|CARDENAS|2020-05-02|12900|0|0|50|0|0|0|0|0|0|0|0|0|0|0|0|0|0|0|LOPEZ|HERNANDEZ|LUCIO REY|soltero|0|0|CALLE PRINCIPAL SIN NUMERO|POBLADO 11 DE FEBRERO|x|9141359931|x|x|x|CALLE PRINCIPAL SIN NUMERO|0|lunes|0|0|0|0|0|DOMICILIO |-900|13800|X|X|X|2022-02-01|2022-02-08|0|0|0|0|0|3O8PTA2AZPGA3HB|0|HOMBRE|0|12900|0|0|0|0|0|0|0|0|CARDENAS|0|0|0|0|FINAL</v>
      </c>
    </row>
    <row r="62" spans="1:82" x14ac:dyDescent="0.25">
      <c r="A62" t="s">
        <v>196</v>
      </c>
      <c r="B62" t="s">
        <v>268</v>
      </c>
      <c r="C62">
        <v>3</v>
      </c>
      <c r="D62" t="s">
        <v>290</v>
      </c>
      <c r="E62" t="s">
        <v>294</v>
      </c>
      <c r="F62" t="s">
        <v>0</v>
      </c>
      <c r="G62" t="s">
        <v>0</v>
      </c>
      <c r="H62" t="s">
        <v>343</v>
      </c>
      <c r="I62">
        <v>12900</v>
      </c>
      <c r="J62">
        <v>0</v>
      </c>
      <c r="K62">
        <v>0</v>
      </c>
      <c r="L62">
        <v>50</v>
      </c>
      <c r="M62">
        <v>1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 t="s">
        <v>466</v>
      </c>
      <c r="AC62" t="s">
        <v>467</v>
      </c>
      <c r="AD62" s="18" t="s">
        <v>468</v>
      </c>
      <c r="AE62" t="s">
        <v>496</v>
      </c>
      <c r="AF62">
        <v>0</v>
      </c>
      <c r="AG62">
        <v>0</v>
      </c>
      <c r="AH62" t="s">
        <v>531</v>
      </c>
      <c r="AI62" t="s">
        <v>600</v>
      </c>
      <c r="AJ62" t="s">
        <v>3</v>
      </c>
      <c r="AK62">
        <v>9371030871</v>
      </c>
      <c r="AL62" t="s">
        <v>3</v>
      </c>
      <c r="AM62" t="s">
        <v>3</v>
      </c>
      <c r="AN62" t="s">
        <v>3</v>
      </c>
      <c r="AO62" t="s">
        <v>531</v>
      </c>
      <c r="AP62">
        <v>0</v>
      </c>
      <c r="AQ62" t="s">
        <v>611</v>
      </c>
      <c r="AR62">
        <v>0</v>
      </c>
      <c r="AS62">
        <v>0</v>
      </c>
      <c r="AT62">
        <v>0</v>
      </c>
      <c r="AU62">
        <v>0</v>
      </c>
      <c r="AV62">
        <v>0</v>
      </c>
      <c r="AW62" t="s">
        <v>11</v>
      </c>
      <c r="AX62">
        <f>Tabla1[[#This Row],[precio del paquete]]-Tabla1[[#This Row],[Saldo_Deudor]]</f>
        <v>9550</v>
      </c>
      <c r="AY62">
        <v>3350</v>
      </c>
      <c r="AZ62" t="s">
        <v>1</v>
      </c>
      <c r="BA62" t="s">
        <v>1</v>
      </c>
      <c r="BB62" t="s">
        <v>1</v>
      </c>
      <c r="BC62" t="s">
        <v>639</v>
      </c>
      <c r="BD62" t="s">
        <v>671</v>
      </c>
      <c r="BE62">
        <v>0</v>
      </c>
      <c r="BF62">
        <v>0</v>
      </c>
      <c r="BG62">
        <v>0</v>
      </c>
      <c r="BH62">
        <v>0</v>
      </c>
      <c r="BI62">
        <v>0</v>
      </c>
      <c r="BJ62" t="s">
        <v>680</v>
      </c>
      <c r="BK62">
        <v>0</v>
      </c>
      <c r="BL62" t="s">
        <v>132</v>
      </c>
      <c r="BM62">
        <v>0</v>
      </c>
      <c r="BN62">
        <v>12900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 t="s">
        <v>0</v>
      </c>
      <c r="BX62">
        <v>0</v>
      </c>
      <c r="BY62">
        <v>0</v>
      </c>
      <c r="BZ62">
        <v>0</v>
      </c>
      <c r="CA62">
        <v>0</v>
      </c>
      <c r="CB62" t="s">
        <v>686</v>
      </c>
      <c r="CD62" t="str" cm="1">
        <f t="array" aca="1" ref="CD62" ca="1">eConcatenar(A62:CB62,"|")</f>
        <v>QLIbCWIxMmwWpXvV|CAR2020-5099|3|ECONOLINE|TABASCO|CARDENAS|CARDENAS|2020-06-12|12900|0|0|50|1|0|0|0|0|0|0|0|0|0|0|0|0|0|0|ARIAS|GONZALEZ|VICTOR ALEJANDRO|soltero|0|0|CARRETERA FEDERAL CARDENAS COMALCALCO |COLONIA COLOSIO|x|9371030871|x|x|x|CARRETERA FEDERAL CARDENAS COMALCALCO |0|lunes|0|0|0|0|0|DOMICILIO |9550|3350|X|X|X|2022-02-01|2022-02-08|0|0|0|0|0|3O8PTA2AZPGA3HB|0|HOMBRE|0|12900|0|0|0|0|0|0|0|0|CARDENAS|0|0|0|0|FINAL</v>
      </c>
    </row>
    <row r="63" spans="1:82" x14ac:dyDescent="0.25">
      <c r="A63" t="s">
        <v>197</v>
      </c>
      <c r="B63" t="s">
        <v>269</v>
      </c>
      <c r="C63">
        <v>3</v>
      </c>
      <c r="D63" t="s">
        <v>290</v>
      </c>
      <c r="E63" t="s">
        <v>294</v>
      </c>
      <c r="F63" t="s">
        <v>0</v>
      </c>
      <c r="G63" t="s">
        <v>0</v>
      </c>
      <c r="H63" t="s">
        <v>344</v>
      </c>
      <c r="I63">
        <v>11500</v>
      </c>
      <c r="J63">
        <v>0</v>
      </c>
      <c r="K63">
        <v>0</v>
      </c>
      <c r="L63">
        <v>50</v>
      </c>
      <c r="M63">
        <v>2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 t="s">
        <v>469</v>
      </c>
      <c r="AC63" t="s">
        <v>467</v>
      </c>
      <c r="AD63" s="18" t="s">
        <v>470</v>
      </c>
      <c r="AE63" t="s">
        <v>496</v>
      </c>
      <c r="AF63">
        <v>0</v>
      </c>
      <c r="AG63">
        <v>0</v>
      </c>
      <c r="AH63" t="s">
        <v>543</v>
      </c>
      <c r="AI63" t="s">
        <v>599</v>
      </c>
      <c r="AJ63" t="s">
        <v>3</v>
      </c>
      <c r="AK63">
        <v>9371047706</v>
      </c>
      <c r="AL63" t="s">
        <v>3</v>
      </c>
      <c r="AM63" t="s">
        <v>3</v>
      </c>
      <c r="AN63" t="s">
        <v>3</v>
      </c>
      <c r="AO63" t="s">
        <v>543</v>
      </c>
      <c r="AP63">
        <v>0</v>
      </c>
      <c r="AQ63" t="s">
        <v>611</v>
      </c>
      <c r="AR63">
        <v>0</v>
      </c>
      <c r="AS63">
        <v>0</v>
      </c>
      <c r="AT63">
        <v>0</v>
      </c>
      <c r="AU63">
        <v>0</v>
      </c>
      <c r="AV63">
        <v>0</v>
      </c>
      <c r="AW63" t="s">
        <v>11</v>
      </c>
      <c r="AX63">
        <f>Tabla1[[#This Row],[precio del paquete]]-Tabla1[[#This Row],[Saldo_Deudor]]</f>
        <v>1850</v>
      </c>
      <c r="AY63">
        <v>9650</v>
      </c>
      <c r="AZ63" t="s">
        <v>1</v>
      </c>
      <c r="BA63" t="s">
        <v>1</v>
      </c>
      <c r="BB63" t="s">
        <v>1</v>
      </c>
      <c r="BC63" t="s">
        <v>640</v>
      </c>
      <c r="BD63" t="s">
        <v>673</v>
      </c>
      <c r="BE63">
        <v>0</v>
      </c>
      <c r="BF63">
        <v>0</v>
      </c>
      <c r="BG63">
        <v>0</v>
      </c>
      <c r="BH63">
        <v>0</v>
      </c>
      <c r="BI63">
        <v>0</v>
      </c>
      <c r="BJ63" t="s">
        <v>680</v>
      </c>
      <c r="BK63">
        <v>0</v>
      </c>
      <c r="BL63" t="s">
        <v>132</v>
      </c>
      <c r="BM63">
        <v>0</v>
      </c>
      <c r="BN63">
        <v>11500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 t="s">
        <v>0</v>
      </c>
      <c r="BX63">
        <v>0</v>
      </c>
      <c r="BY63">
        <v>0</v>
      </c>
      <c r="BZ63">
        <v>0</v>
      </c>
      <c r="CA63">
        <v>0</v>
      </c>
      <c r="CB63" t="s">
        <v>686</v>
      </c>
      <c r="CD63" t="str" cm="1">
        <f t="array" aca="1" ref="CD63" ca="1">eConcatenar(A63:CB63,"|")</f>
        <v>jdTYcjcQLxRJMbUg|CAR2018-2729|3|ECONOLINE|TABASCO|CARDENAS|CARDENAS|2018-03-26|11500|0|0|50|2|0|0|0|0|0|0|0|0|0|0|0|0|0|0|C|GONZALEZ|FLOR DE LIZ|soltero|0|0|CARRETERA FEDERAL   |POBLADO 11 DE FEBRERO|x|9371047706|x|x|x|CARRETERA FEDERAL   |0|lunes|0|0|0|0|0|DOMICILIO |1850|9650|X|X|X|2022-02-22|2022-03-01|0|0|0|0|0|3O8PTA2AZPGA3HB|0|HOMBRE|0|11500|0|0|0|0|0|0|0|0|CARDENAS|0|0|0|0|FINAL</v>
      </c>
    </row>
    <row r="64" spans="1:82" x14ac:dyDescent="0.25">
      <c r="A64" t="s">
        <v>198</v>
      </c>
      <c r="B64" t="s">
        <v>270</v>
      </c>
      <c r="C64">
        <v>3</v>
      </c>
      <c r="D64" t="s">
        <v>290</v>
      </c>
      <c r="E64" t="s">
        <v>294</v>
      </c>
      <c r="F64" t="s">
        <v>0</v>
      </c>
      <c r="G64" t="s">
        <v>0</v>
      </c>
      <c r="H64" t="s">
        <v>345</v>
      </c>
      <c r="I64">
        <v>12900</v>
      </c>
      <c r="J64">
        <v>0</v>
      </c>
      <c r="K64">
        <v>0</v>
      </c>
      <c r="L64">
        <v>50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 t="s">
        <v>368</v>
      </c>
      <c r="AC64" t="s">
        <v>471</v>
      </c>
      <c r="AD64" s="18" t="s">
        <v>472</v>
      </c>
      <c r="AE64" t="s">
        <v>496</v>
      </c>
      <c r="AF64">
        <v>0</v>
      </c>
      <c r="AG64">
        <v>0</v>
      </c>
      <c r="AH64" t="s">
        <v>544</v>
      </c>
      <c r="AI64" t="s">
        <v>599</v>
      </c>
      <c r="AJ64" t="s">
        <v>3</v>
      </c>
      <c r="AK64">
        <v>9141391047</v>
      </c>
      <c r="AL64" t="s">
        <v>3</v>
      </c>
      <c r="AM64" t="s">
        <v>3</v>
      </c>
      <c r="AN64" t="s">
        <v>3</v>
      </c>
      <c r="AO64" t="s">
        <v>544</v>
      </c>
      <c r="AP64">
        <v>0</v>
      </c>
      <c r="AQ64" t="s">
        <v>611</v>
      </c>
      <c r="AR64">
        <v>0</v>
      </c>
      <c r="AS64">
        <v>0</v>
      </c>
      <c r="AT64">
        <v>0</v>
      </c>
      <c r="AU64">
        <v>0</v>
      </c>
      <c r="AV64">
        <v>0</v>
      </c>
      <c r="AW64" t="s">
        <v>11</v>
      </c>
      <c r="AX64">
        <f>Tabla1[[#This Row],[precio del paquete]]-Tabla1[[#This Row],[Saldo_Deudor]]</f>
        <v>6600</v>
      </c>
      <c r="AY64">
        <v>6300</v>
      </c>
      <c r="AZ64" t="s">
        <v>1</v>
      </c>
      <c r="BA64" t="s">
        <v>1</v>
      </c>
      <c r="BB64" t="s">
        <v>1</v>
      </c>
      <c r="BC64" t="s">
        <v>621</v>
      </c>
      <c r="BD64" t="s">
        <v>653</v>
      </c>
      <c r="BE64">
        <v>0</v>
      </c>
      <c r="BF64">
        <v>0</v>
      </c>
      <c r="BG64">
        <v>0</v>
      </c>
      <c r="BH64">
        <v>0</v>
      </c>
      <c r="BI64">
        <v>0</v>
      </c>
      <c r="BJ64" t="s">
        <v>683</v>
      </c>
      <c r="BK64">
        <v>0</v>
      </c>
      <c r="BL64" t="s">
        <v>132</v>
      </c>
      <c r="BM64">
        <v>0</v>
      </c>
      <c r="BN64">
        <v>12900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 t="s">
        <v>0</v>
      </c>
      <c r="BX64">
        <v>0</v>
      </c>
      <c r="BY64">
        <v>0</v>
      </c>
      <c r="BZ64">
        <v>0</v>
      </c>
      <c r="CA64">
        <v>0</v>
      </c>
      <c r="CB64" t="s">
        <v>686</v>
      </c>
      <c r="CD64" t="str" cm="1">
        <f t="array" aca="1" ref="CD64" ca="1">eConcatenar(A64:CB64,"|")</f>
        <v>niTkIxBVRWICaO42|CAR2017-3188|3|ECONOLINE|TABASCO|CARDENAS|CARDENAS|2017-11-05|12900|0|0|50|0|0|0|0|0|0|0|0|0|0|0|0|0|0|0|GARCIA|OCAÃ‘A|ANGEL|soltero|0|0|CALLE LOS CEDROS|POBLADO 11 DE FEBRERO|x|9141391047|x|x|x|CALLE LOS CEDROS|0|lunes|0|0|0|0|0|DOMICILIO |6600|6300|X|X|X|2022-07-02|2022-07-09|0|0|0|0|0|QX002LYO9KVTQO|0|HOMBRE|0|12900|0|0|0|0|0|0|0|0|CARDENAS|0|0|0|0|FINAL</v>
      </c>
    </row>
    <row r="65" spans="1:82" x14ac:dyDescent="0.25">
      <c r="A65" t="s">
        <v>199</v>
      </c>
      <c r="B65" t="s">
        <v>271</v>
      </c>
      <c r="C65">
        <v>3</v>
      </c>
      <c r="D65" t="s">
        <v>290</v>
      </c>
      <c r="E65" t="s">
        <v>12</v>
      </c>
      <c r="F65" t="s">
        <v>0</v>
      </c>
      <c r="G65" t="s">
        <v>0</v>
      </c>
      <c r="H65" t="s">
        <v>346</v>
      </c>
      <c r="I65">
        <v>12900</v>
      </c>
      <c r="J65">
        <v>0</v>
      </c>
      <c r="K65">
        <v>0</v>
      </c>
      <c r="L65">
        <v>50</v>
      </c>
      <c r="M65">
        <v>1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 t="s">
        <v>386</v>
      </c>
      <c r="AC65" t="s">
        <v>473</v>
      </c>
      <c r="AD65" s="18" t="s">
        <v>474</v>
      </c>
      <c r="AE65" t="s">
        <v>496</v>
      </c>
      <c r="AF65">
        <v>0</v>
      </c>
      <c r="AG65">
        <v>0</v>
      </c>
      <c r="AH65" t="s">
        <v>545</v>
      </c>
      <c r="AI65" t="s">
        <v>601</v>
      </c>
      <c r="AJ65" t="s">
        <v>3</v>
      </c>
      <c r="AK65">
        <v>9372724621</v>
      </c>
      <c r="AL65" t="s">
        <v>3</v>
      </c>
      <c r="AM65" t="s">
        <v>3</v>
      </c>
      <c r="AN65" t="s">
        <v>3</v>
      </c>
      <c r="AO65" t="s">
        <v>545</v>
      </c>
      <c r="AP65">
        <v>0</v>
      </c>
      <c r="AQ65" t="s">
        <v>611</v>
      </c>
      <c r="AR65">
        <v>0</v>
      </c>
      <c r="AS65">
        <v>0</v>
      </c>
      <c r="AT65">
        <v>0</v>
      </c>
      <c r="AU65">
        <v>0</v>
      </c>
      <c r="AV65">
        <v>0</v>
      </c>
      <c r="AW65" t="s">
        <v>11</v>
      </c>
      <c r="AX65">
        <f>Tabla1[[#This Row],[precio del paquete]]-Tabla1[[#This Row],[Saldo_Deudor]]</f>
        <v>10900</v>
      </c>
      <c r="AY65">
        <v>2000</v>
      </c>
      <c r="AZ65" t="s">
        <v>1</v>
      </c>
      <c r="BA65" t="s">
        <v>1</v>
      </c>
      <c r="BB65" t="s">
        <v>1</v>
      </c>
      <c r="BC65" t="s">
        <v>620</v>
      </c>
      <c r="BD65" t="s">
        <v>652</v>
      </c>
      <c r="BE65">
        <v>0</v>
      </c>
      <c r="BF65">
        <v>0</v>
      </c>
      <c r="BG65">
        <v>0</v>
      </c>
      <c r="BH65">
        <v>0</v>
      </c>
      <c r="BI65">
        <v>0</v>
      </c>
      <c r="BJ65" t="s">
        <v>683</v>
      </c>
      <c r="BK65">
        <v>0</v>
      </c>
      <c r="BL65" t="s">
        <v>132</v>
      </c>
      <c r="BM65">
        <v>0</v>
      </c>
      <c r="BN65">
        <v>12900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 t="s">
        <v>0</v>
      </c>
      <c r="BX65">
        <v>0</v>
      </c>
      <c r="BY65">
        <v>0</v>
      </c>
      <c r="BZ65">
        <v>0</v>
      </c>
      <c r="CA65">
        <v>0</v>
      </c>
      <c r="CB65" t="s">
        <v>686</v>
      </c>
      <c r="CD65" t="str" cm="1">
        <f t="array" aca="1" ref="CD65" ca="1">eConcatenar(A65:CB65,"|")</f>
        <v>PkmxlxFk1MPkCU3m|CAR2017-3603|3|ECONOLINE|TABASCO |CARDENAS|CARDENAS|2017-04-07|12900|0|0|50|1|0|0|0|0|0|0|0|0|0|0|0|0|0|0|PEREZ|MARIN|MARIA DE LOS ANGELES|soltero|0|0|AVENIDA JOSE MARIA|COLONIA SAN LAZARO|x|9372724621|x|x|x|AVENIDA JOSE MARIA|0|lunes|0|0|0|0|0|DOMICILIO |10900|2000|X|X|X|2022-08-03|2022-08-10|0|0|0|0|0|QX002LYO9KVTQO|0|HOMBRE|0|12900|0|0|0|0|0|0|0|0|CARDENAS|0|0|0|0|FINAL</v>
      </c>
    </row>
    <row r="66" spans="1:82" x14ac:dyDescent="0.25">
      <c r="A66" t="s">
        <v>200</v>
      </c>
      <c r="B66" t="s">
        <v>272</v>
      </c>
      <c r="C66">
        <v>3</v>
      </c>
      <c r="D66" t="s">
        <v>290</v>
      </c>
      <c r="E66" t="s">
        <v>12</v>
      </c>
      <c r="F66" t="s">
        <v>0</v>
      </c>
      <c r="G66" t="s">
        <v>0</v>
      </c>
      <c r="H66" t="s">
        <v>347</v>
      </c>
      <c r="I66">
        <v>12900</v>
      </c>
      <c r="J66">
        <v>0</v>
      </c>
      <c r="K66">
        <v>0</v>
      </c>
      <c r="L66">
        <v>50</v>
      </c>
      <c r="M66">
        <v>1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 t="s">
        <v>450</v>
      </c>
      <c r="AC66" t="s">
        <v>391</v>
      </c>
      <c r="AD66" s="18" t="s">
        <v>475</v>
      </c>
      <c r="AE66" t="s">
        <v>496</v>
      </c>
      <c r="AF66">
        <v>0</v>
      </c>
      <c r="AG66">
        <v>0</v>
      </c>
      <c r="AH66" t="s">
        <v>546</v>
      </c>
      <c r="AI66" t="s">
        <v>598</v>
      </c>
      <c r="AJ66" t="s">
        <v>3</v>
      </c>
      <c r="AK66">
        <v>9373698026</v>
      </c>
      <c r="AL66" t="s">
        <v>3</v>
      </c>
      <c r="AM66" t="s">
        <v>3</v>
      </c>
      <c r="AN66" t="s">
        <v>3</v>
      </c>
      <c r="AO66" t="s">
        <v>546</v>
      </c>
      <c r="AP66">
        <v>0</v>
      </c>
      <c r="AQ66" t="s">
        <v>611</v>
      </c>
      <c r="AR66">
        <v>0</v>
      </c>
      <c r="AS66">
        <v>0</v>
      </c>
      <c r="AT66">
        <v>0</v>
      </c>
      <c r="AU66">
        <v>0</v>
      </c>
      <c r="AV66">
        <v>0</v>
      </c>
      <c r="AW66" t="s">
        <v>11</v>
      </c>
      <c r="AX66">
        <f>Tabla1[[#This Row],[precio del paquete]]-Tabla1[[#This Row],[Saldo_Deudor]]</f>
        <v>11600</v>
      </c>
      <c r="AY66">
        <v>1300</v>
      </c>
      <c r="AZ66" t="s">
        <v>1</v>
      </c>
      <c r="BA66" t="s">
        <v>1</v>
      </c>
      <c r="BB66" t="s">
        <v>1</v>
      </c>
      <c r="BC66" t="s">
        <v>613</v>
      </c>
      <c r="BD66" t="s">
        <v>645</v>
      </c>
      <c r="BE66">
        <v>0</v>
      </c>
      <c r="BF66">
        <v>0</v>
      </c>
      <c r="BG66">
        <v>0</v>
      </c>
      <c r="BH66">
        <v>0</v>
      </c>
      <c r="BI66">
        <v>0</v>
      </c>
      <c r="BJ66" t="s">
        <v>683</v>
      </c>
      <c r="BK66">
        <v>0</v>
      </c>
      <c r="BL66" t="s">
        <v>132</v>
      </c>
      <c r="BM66">
        <v>0</v>
      </c>
      <c r="BN66">
        <v>12900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 t="s">
        <v>0</v>
      </c>
      <c r="BX66">
        <v>0</v>
      </c>
      <c r="BY66">
        <v>0</v>
      </c>
      <c r="BZ66">
        <v>0</v>
      </c>
      <c r="CA66">
        <v>0</v>
      </c>
      <c r="CB66" t="s">
        <v>686</v>
      </c>
      <c r="CD66" t="str" cm="1">
        <f t="array" aca="1" ref="CD66" ca="1">eConcatenar(A66:CB66,"|")</f>
        <v>ezYLBnGlmuKnUGla|CAR2019-3777|3|ECONOLINE|TABASCO |CARDENAS|CARDENAS|2019-12-28|12900|0|0|50|1|0|0|0|0|0|0|0|0|0|0|0|0|0|0|OLAN|TORRES|CANDELARIA|soltero|0|0|FRENTE A LA UPCH|COLONIA NUEVO PROGRESO|x|9373698026|x|x|x|FRENTE A LA UPCH|0|lunes|0|0|0|0|0|DOMICILIO |11600|1300|X|X|X|2022-10-03|2022-10-10|0|0|0|0|0|QX002LYO9KVTQO|0|HOMBRE|0|12900|0|0|0|0|0|0|0|0|CARDENAS|0|0|0|0|FINAL</v>
      </c>
    </row>
    <row r="67" spans="1:82" x14ac:dyDescent="0.25">
      <c r="A67" t="s">
        <v>201</v>
      </c>
      <c r="B67" t="s">
        <v>273</v>
      </c>
      <c r="C67">
        <v>3</v>
      </c>
      <c r="D67" t="s">
        <v>290</v>
      </c>
      <c r="E67" t="s">
        <v>12</v>
      </c>
      <c r="F67" t="s">
        <v>0</v>
      </c>
      <c r="G67" t="s">
        <v>0</v>
      </c>
      <c r="H67" t="s">
        <v>348</v>
      </c>
      <c r="I67">
        <v>12900</v>
      </c>
      <c r="J67">
        <v>0</v>
      </c>
      <c r="K67">
        <v>0</v>
      </c>
      <c r="L67">
        <v>50</v>
      </c>
      <c r="M67">
        <v>1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 t="s">
        <v>450</v>
      </c>
      <c r="AC67" t="s">
        <v>7</v>
      </c>
      <c r="AD67" s="18" t="s">
        <v>476</v>
      </c>
      <c r="AE67" t="s">
        <v>496</v>
      </c>
      <c r="AF67">
        <v>0</v>
      </c>
      <c r="AG67">
        <v>0</v>
      </c>
      <c r="AH67" t="s">
        <v>547</v>
      </c>
      <c r="AI67" t="s">
        <v>602</v>
      </c>
      <c r="AJ67" t="s">
        <v>3</v>
      </c>
      <c r="AK67">
        <v>9371033015</v>
      </c>
      <c r="AL67" t="s">
        <v>3</v>
      </c>
      <c r="AM67" t="s">
        <v>3</v>
      </c>
      <c r="AN67" t="s">
        <v>3</v>
      </c>
      <c r="AO67" t="s">
        <v>547</v>
      </c>
      <c r="AP67">
        <v>0</v>
      </c>
      <c r="AQ67" t="s">
        <v>611</v>
      </c>
      <c r="AR67">
        <v>0</v>
      </c>
      <c r="AS67">
        <v>0</v>
      </c>
      <c r="AT67">
        <v>0</v>
      </c>
      <c r="AU67">
        <v>0</v>
      </c>
      <c r="AV67">
        <v>0</v>
      </c>
      <c r="AW67" t="s">
        <v>11</v>
      </c>
      <c r="AX67">
        <f>Tabla1[[#This Row],[precio del paquete]]-Tabla1[[#This Row],[Saldo_Deudor]]</f>
        <v>10775</v>
      </c>
      <c r="AY67">
        <v>2125</v>
      </c>
      <c r="AZ67" t="s">
        <v>1</v>
      </c>
      <c r="BA67" t="s">
        <v>1</v>
      </c>
      <c r="BB67" t="s">
        <v>1</v>
      </c>
      <c r="BC67" t="s">
        <v>612</v>
      </c>
      <c r="BD67" t="s">
        <v>616</v>
      </c>
      <c r="BE67">
        <v>0</v>
      </c>
      <c r="BF67">
        <v>0</v>
      </c>
      <c r="BG67">
        <v>0</v>
      </c>
      <c r="BH67">
        <v>0</v>
      </c>
      <c r="BI67">
        <v>0</v>
      </c>
      <c r="BJ67" t="s">
        <v>683</v>
      </c>
      <c r="BK67">
        <v>0</v>
      </c>
      <c r="BL67" t="s">
        <v>132</v>
      </c>
      <c r="BM67">
        <v>0</v>
      </c>
      <c r="BN67">
        <v>12900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 t="s">
        <v>0</v>
      </c>
      <c r="BX67">
        <v>0</v>
      </c>
      <c r="BY67">
        <v>0</v>
      </c>
      <c r="BZ67">
        <v>0</v>
      </c>
      <c r="CA67">
        <v>0</v>
      </c>
      <c r="CB67" t="s">
        <v>686</v>
      </c>
      <c r="CD67" t="str" cm="1">
        <f t="array" aca="1" ref="CD67" ca="1">eConcatenar(A67:CB67,"|")</f>
        <v>j2heG2gfCEaDoZqu|CAR2019-3562|3|ECONOLINE|TABASCO |CARDENAS|CARDENAS|2021-02-09|12900|0|0|50|1|0|0|0|0|0|0|0|0|0|0|0|0|0|0|OLAN|LOPEZ|IRMA|soltero|0|0|FRENTE A L AENTRADA UVERO|COLONIA PASO Y PLAYA|x|9371033015|x|x|x|FRENTE A L AENTRADA UVERO|0|lunes|0|0|0|0|0|DOMICILIO |10775|2125|X|X|X|2022-02-16|2022-02-23|0|0|0|0|0|QX002LYO9KVTQO|0|HOMBRE|0|12900|0|0|0|0|0|0|0|0|CARDENAS|0|0|0|0|FINAL</v>
      </c>
    </row>
    <row r="68" spans="1:82" x14ac:dyDescent="0.25">
      <c r="A68" t="s">
        <v>202</v>
      </c>
      <c r="B68" t="s">
        <v>274</v>
      </c>
      <c r="C68">
        <v>3</v>
      </c>
      <c r="D68" t="s">
        <v>289</v>
      </c>
      <c r="E68" t="s">
        <v>12</v>
      </c>
      <c r="F68" t="s">
        <v>0</v>
      </c>
      <c r="G68" t="s">
        <v>0</v>
      </c>
      <c r="H68" t="s">
        <v>349</v>
      </c>
      <c r="I68">
        <v>14800</v>
      </c>
      <c r="J68">
        <v>0</v>
      </c>
      <c r="K68">
        <v>0</v>
      </c>
      <c r="L68">
        <v>50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 t="s">
        <v>386</v>
      </c>
      <c r="AC68" t="s">
        <v>477</v>
      </c>
      <c r="AD68" s="18" t="s">
        <v>478</v>
      </c>
      <c r="AE68" t="s">
        <v>496</v>
      </c>
      <c r="AF68">
        <v>0</v>
      </c>
      <c r="AG68">
        <v>0</v>
      </c>
      <c r="AH68" t="s">
        <v>548</v>
      </c>
      <c r="AI68" t="s">
        <v>603</v>
      </c>
      <c r="AJ68" t="s">
        <v>3</v>
      </c>
      <c r="AK68">
        <v>9371620925</v>
      </c>
      <c r="AL68" t="s">
        <v>3</v>
      </c>
      <c r="AM68" t="s">
        <v>3</v>
      </c>
      <c r="AN68" t="s">
        <v>3</v>
      </c>
      <c r="AO68" t="s">
        <v>548</v>
      </c>
      <c r="AP68">
        <v>0</v>
      </c>
      <c r="AQ68" t="s">
        <v>611</v>
      </c>
      <c r="AR68">
        <v>0</v>
      </c>
      <c r="AS68">
        <v>0</v>
      </c>
      <c r="AT68">
        <v>0</v>
      </c>
      <c r="AU68">
        <v>0</v>
      </c>
      <c r="AV68">
        <v>0</v>
      </c>
      <c r="AW68" t="s">
        <v>11</v>
      </c>
      <c r="AX68">
        <f>Tabla1[[#This Row],[precio del paquete]]-Tabla1[[#This Row],[Saldo_Deudor]]</f>
        <v>8000</v>
      </c>
      <c r="AY68">
        <v>6800</v>
      </c>
      <c r="AZ68" t="s">
        <v>1</v>
      </c>
      <c r="BA68" t="s">
        <v>1</v>
      </c>
      <c r="BB68" t="s">
        <v>1</v>
      </c>
      <c r="BC68" t="s">
        <v>641</v>
      </c>
      <c r="BD68" t="s">
        <v>674</v>
      </c>
      <c r="BE68">
        <v>0</v>
      </c>
      <c r="BF68">
        <v>0</v>
      </c>
      <c r="BG68">
        <v>0</v>
      </c>
      <c r="BH68">
        <v>0</v>
      </c>
      <c r="BI68">
        <v>0</v>
      </c>
      <c r="BJ68" t="s">
        <v>684</v>
      </c>
      <c r="BK68">
        <v>0</v>
      </c>
      <c r="BL68" t="s">
        <v>132</v>
      </c>
      <c r="BM68">
        <v>0</v>
      </c>
      <c r="BN68">
        <v>14800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 t="s">
        <v>0</v>
      </c>
      <c r="BX68">
        <v>0</v>
      </c>
      <c r="BY68">
        <v>0</v>
      </c>
      <c r="BZ68">
        <v>0</v>
      </c>
      <c r="CA68">
        <v>0</v>
      </c>
      <c r="CB68" t="s">
        <v>686</v>
      </c>
      <c r="CD68" t="str" cm="1">
        <f t="array" aca="1" ref="CD68" ca="1">eConcatenar(A68:CB68,"|")</f>
        <v>RZIR1yNHdUfMJp7f|COM2021-3326|3|MEMORIAL|TABASCO |CARDENAS|CARDENAS|2021-10-20|14800|0|0|50|0|0|0|0|0|0|0|0|0|0|0|0|0|0|0|PEREZ|AREVALOS|AMADILDA|soltero|0|0|ENTRADA EL PUENTE FLAVIANO|EJIDO CARDENAS SEGUNDA SECCION|x|9371620925|x|x|x|ENTRADA EL PUENTE FLAVIANO|0|lunes|0|0|0|0|0|DOMICILIO |8000|6800|X|X|X|2022-01-21|2022-01-28|0|0|0|0|0|QWZGYSX69KVTQO|0|HOMBRE|0|14800|0|0|0|0|0|0|0|0|CARDENAS|0|0|0|0|FINAL</v>
      </c>
    </row>
    <row r="69" spans="1:82" x14ac:dyDescent="0.25">
      <c r="A69" t="s">
        <v>203</v>
      </c>
      <c r="B69" t="s">
        <v>275</v>
      </c>
      <c r="C69">
        <v>3</v>
      </c>
      <c r="D69" t="s">
        <v>289</v>
      </c>
      <c r="E69" t="s">
        <v>12</v>
      </c>
      <c r="F69" t="s">
        <v>296</v>
      </c>
      <c r="G69" t="s">
        <v>296</v>
      </c>
      <c r="H69" t="s">
        <v>350</v>
      </c>
      <c r="I69">
        <v>14800</v>
      </c>
      <c r="J69">
        <v>0</v>
      </c>
      <c r="K69">
        <v>0</v>
      </c>
      <c r="L69">
        <v>50</v>
      </c>
      <c r="M69">
        <v>2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 t="s">
        <v>363</v>
      </c>
      <c r="AC69" t="s">
        <v>367</v>
      </c>
      <c r="AD69" s="18" t="s">
        <v>479</v>
      </c>
      <c r="AE69" t="s">
        <v>496</v>
      </c>
      <c r="AF69">
        <v>0</v>
      </c>
      <c r="AG69">
        <v>0</v>
      </c>
      <c r="AH69" t="s">
        <v>549</v>
      </c>
      <c r="AI69" t="s">
        <v>604</v>
      </c>
      <c r="AJ69" t="s">
        <v>3</v>
      </c>
      <c r="AK69">
        <v>9331256085</v>
      </c>
      <c r="AL69" t="s">
        <v>3</v>
      </c>
      <c r="AM69" t="s">
        <v>3</v>
      </c>
      <c r="AN69" t="s">
        <v>3</v>
      </c>
      <c r="AO69" t="s">
        <v>549</v>
      </c>
      <c r="AP69">
        <v>0</v>
      </c>
      <c r="AQ69" t="s">
        <v>611</v>
      </c>
      <c r="AR69">
        <v>0</v>
      </c>
      <c r="AS69">
        <v>0</v>
      </c>
      <c r="AT69">
        <v>0</v>
      </c>
      <c r="AU69">
        <v>0</v>
      </c>
      <c r="AV69">
        <v>0</v>
      </c>
      <c r="AW69" t="s">
        <v>11</v>
      </c>
      <c r="AX69">
        <f>Tabla1[[#This Row],[precio del paquete]]-Tabla1[[#This Row],[Saldo_Deudor]]</f>
        <v>2900</v>
      </c>
      <c r="AY69">
        <v>11900</v>
      </c>
      <c r="AZ69" t="s">
        <v>1</v>
      </c>
      <c r="BA69" t="s">
        <v>1</v>
      </c>
      <c r="BB69" t="s">
        <v>1</v>
      </c>
      <c r="BC69" t="s">
        <v>617</v>
      </c>
      <c r="BD69" t="s">
        <v>649</v>
      </c>
      <c r="BE69">
        <v>0</v>
      </c>
      <c r="BF69">
        <v>0</v>
      </c>
      <c r="BG69">
        <v>0</v>
      </c>
      <c r="BH69">
        <v>0</v>
      </c>
      <c r="BI69">
        <v>0</v>
      </c>
      <c r="BJ69" t="s">
        <v>684</v>
      </c>
      <c r="BK69">
        <v>0</v>
      </c>
      <c r="BL69" t="s">
        <v>132</v>
      </c>
      <c r="BM69">
        <v>0</v>
      </c>
      <c r="BN69">
        <v>14800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 t="s">
        <v>0</v>
      </c>
      <c r="BX69">
        <v>0</v>
      </c>
      <c r="BY69">
        <v>0</v>
      </c>
      <c r="BZ69">
        <v>0</v>
      </c>
      <c r="CA69">
        <v>0</v>
      </c>
      <c r="CB69" t="s">
        <v>686</v>
      </c>
      <c r="CD69" t="str" cm="1">
        <f t="array" aca="1" ref="CD69" ca="1">eConcatenar(A69:CB69,"|")</f>
        <v>4BK4JWmySPEdyqEe|COM2021-3161|3|MEMORIAL|TABASCO |COMALCALCO|COMALCALCO|2021-07-10|14800|0|0|50|2|0|0|0|0|0|0|0|0|0|0|0|0|0|0|DE LA CRUZ|CORDOVA|JUAN CARLOS|soltero|0|0|CASA COLOR MORADA ANTES DE LLEGAR A LA PRIMARIA|RANCHERIA ARROYO HONFO SEGUNDA SECCION|x|9331256085|x|x|x|CASA COLOR MORADA ANTES DE LLEGAR A LA PRIMARIA|0|lunes|0|0|0|0|0|DOMICILIO |2900|11900|X|X|X|2022-02-03|2022-02-10|0|0|0|0|0|QWZGYSX69KVTQO|0|HOMBRE|0|14800|0|0|0|0|0|0|0|0|CARDENAS|0|0|0|0|FINAL</v>
      </c>
    </row>
    <row r="70" spans="1:82" x14ac:dyDescent="0.25">
      <c r="A70" t="s">
        <v>204</v>
      </c>
      <c r="B70" t="s">
        <v>276</v>
      </c>
      <c r="C70">
        <v>3</v>
      </c>
      <c r="D70" t="s">
        <v>290</v>
      </c>
      <c r="E70" t="s">
        <v>12</v>
      </c>
      <c r="F70" t="s">
        <v>296</v>
      </c>
      <c r="G70" t="s">
        <v>296</v>
      </c>
      <c r="H70" t="s">
        <v>351</v>
      </c>
      <c r="I70">
        <v>12900</v>
      </c>
      <c r="J70">
        <v>0</v>
      </c>
      <c r="K70">
        <v>0</v>
      </c>
      <c r="L70">
        <v>50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 t="s">
        <v>480</v>
      </c>
      <c r="AC70" t="s">
        <v>463</v>
      </c>
      <c r="AD70" s="18" t="s">
        <v>481</v>
      </c>
      <c r="AE70" t="s">
        <v>496</v>
      </c>
      <c r="AF70">
        <v>0</v>
      </c>
      <c r="AG70">
        <v>0</v>
      </c>
      <c r="AH70" t="s">
        <v>550</v>
      </c>
      <c r="AI70" t="s">
        <v>605</v>
      </c>
      <c r="AJ70" t="s">
        <v>3</v>
      </c>
      <c r="AK70">
        <v>9333278846</v>
      </c>
      <c r="AL70" t="s">
        <v>3</v>
      </c>
      <c r="AM70" t="s">
        <v>3</v>
      </c>
      <c r="AN70" t="s">
        <v>3</v>
      </c>
      <c r="AO70" t="s">
        <v>550</v>
      </c>
      <c r="AP70">
        <v>0</v>
      </c>
      <c r="AQ70" t="s">
        <v>611</v>
      </c>
      <c r="AR70">
        <v>0</v>
      </c>
      <c r="AS70">
        <v>0</v>
      </c>
      <c r="AT70">
        <v>0</v>
      </c>
      <c r="AU70">
        <v>0</v>
      </c>
      <c r="AV70">
        <v>0</v>
      </c>
      <c r="AW70" t="s">
        <v>11</v>
      </c>
      <c r="AX70">
        <f>Tabla1[[#This Row],[precio del paquete]]-Tabla1[[#This Row],[Saldo_Deudor]]</f>
        <v>300</v>
      </c>
      <c r="AY70">
        <v>12600</v>
      </c>
      <c r="AZ70" t="s">
        <v>1</v>
      </c>
      <c r="BA70" t="s">
        <v>1</v>
      </c>
      <c r="BB70" t="s">
        <v>1</v>
      </c>
      <c r="BC70" t="s">
        <v>613</v>
      </c>
      <c r="BD70" t="s">
        <v>645</v>
      </c>
      <c r="BE70">
        <v>0</v>
      </c>
      <c r="BF70">
        <v>0</v>
      </c>
      <c r="BG70">
        <v>0</v>
      </c>
      <c r="BH70">
        <v>0</v>
      </c>
      <c r="BI70">
        <v>0</v>
      </c>
      <c r="BJ70" t="s">
        <v>685</v>
      </c>
      <c r="BK70">
        <v>0</v>
      </c>
      <c r="BL70" t="s">
        <v>132</v>
      </c>
      <c r="BM70">
        <v>0</v>
      </c>
      <c r="BN70">
        <v>12900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 t="s">
        <v>0</v>
      </c>
      <c r="BX70">
        <v>0</v>
      </c>
      <c r="BY70">
        <v>0</v>
      </c>
      <c r="BZ70">
        <v>0</v>
      </c>
      <c r="CA70">
        <v>0</v>
      </c>
      <c r="CB70" t="s">
        <v>686</v>
      </c>
      <c r="CD70" t="str" cm="1">
        <f t="array" aca="1" ref="CD70" ca="1">eConcatenar(A70:CB70,"|")</f>
        <v>Kvp7ZN1OObiXlltV|CAR2019-1113|3|ECONOLINE|TABASCO |COMALCALCO|COMALCALCO|2019-01-11|12900|0|0|50|0|0|0|0|0|0|0|0|0|0|0|0|0|0|0|MAGAÃ‘A|IZQUIERDO|MIGUEL ANGEL|soltero|0|0|FERNANDO MONTES DE OCAÃ‘A|RANCHERIA LAZARO CARDENAS SEGUNDA SECCION|x|9333278846|x|x|x|FERNANDO MONTES DE OCAÃ‘A|0|lunes|0|0|0|0|0|DOMICILIO |300|12600|X|X|X|2022-10-03|2022-10-10|0|0|0|0|0|RJC990KJLQSW15E|0|HOMBRE|0|12900|0|0|0|0|0|0|0|0|CARDENAS|0|0|0|0|FINAL</v>
      </c>
    </row>
    <row r="71" spans="1:82" x14ac:dyDescent="0.25">
      <c r="A71" t="s">
        <v>205</v>
      </c>
      <c r="B71" t="s">
        <v>277</v>
      </c>
      <c r="C71">
        <v>3</v>
      </c>
      <c r="D71" t="s">
        <v>290</v>
      </c>
      <c r="E71" t="s">
        <v>12</v>
      </c>
      <c r="F71" t="s">
        <v>0</v>
      </c>
      <c r="G71" t="s">
        <v>0</v>
      </c>
      <c r="H71" t="s">
        <v>352</v>
      </c>
      <c r="I71">
        <v>12900</v>
      </c>
      <c r="J71">
        <v>0</v>
      </c>
      <c r="K71">
        <v>0</v>
      </c>
      <c r="L71">
        <v>50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 t="s">
        <v>401</v>
      </c>
      <c r="AC71" t="s">
        <v>365</v>
      </c>
      <c r="AD71" s="18" t="s">
        <v>446</v>
      </c>
      <c r="AE71" t="s">
        <v>496</v>
      </c>
      <c r="AF71">
        <v>0</v>
      </c>
      <c r="AG71">
        <v>0</v>
      </c>
      <c r="AH71" t="s">
        <v>551</v>
      </c>
      <c r="AI71" t="s">
        <v>598</v>
      </c>
      <c r="AJ71" t="s">
        <v>3</v>
      </c>
      <c r="AK71">
        <v>9373740931</v>
      </c>
      <c r="AL71" t="s">
        <v>3</v>
      </c>
      <c r="AM71" t="s">
        <v>3</v>
      </c>
      <c r="AN71" t="s">
        <v>3</v>
      </c>
      <c r="AO71" t="s">
        <v>551</v>
      </c>
      <c r="AP71">
        <v>0</v>
      </c>
      <c r="AQ71" t="s">
        <v>611</v>
      </c>
      <c r="AR71">
        <v>0</v>
      </c>
      <c r="AS71">
        <v>0</v>
      </c>
      <c r="AT71">
        <v>0</v>
      </c>
      <c r="AU71">
        <v>0</v>
      </c>
      <c r="AV71">
        <v>0</v>
      </c>
      <c r="AW71" t="s">
        <v>11</v>
      </c>
      <c r="AX71">
        <f>Tabla1[[#This Row],[precio del paquete]]-Tabla1[[#This Row],[Saldo_Deudor]]</f>
        <v>12100</v>
      </c>
      <c r="AY71">
        <v>800</v>
      </c>
      <c r="AZ71" t="s">
        <v>1</v>
      </c>
      <c r="BA71" t="s">
        <v>1</v>
      </c>
      <c r="BB71" t="s">
        <v>1</v>
      </c>
      <c r="BC71" t="s">
        <v>613</v>
      </c>
      <c r="BD71" t="s">
        <v>645</v>
      </c>
      <c r="BE71">
        <v>0</v>
      </c>
      <c r="BF71">
        <v>0</v>
      </c>
      <c r="BG71">
        <v>0</v>
      </c>
      <c r="BH71">
        <v>0</v>
      </c>
      <c r="BI71">
        <v>0</v>
      </c>
      <c r="BJ71" t="s">
        <v>685</v>
      </c>
      <c r="BK71">
        <v>0</v>
      </c>
      <c r="BL71" t="s">
        <v>132</v>
      </c>
      <c r="BM71">
        <v>0</v>
      </c>
      <c r="BN71">
        <v>12900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 t="s">
        <v>0</v>
      </c>
      <c r="BX71">
        <v>0</v>
      </c>
      <c r="BY71">
        <v>0</v>
      </c>
      <c r="BZ71">
        <v>0</v>
      </c>
      <c r="CA71">
        <v>0</v>
      </c>
      <c r="CB71" t="s">
        <v>686</v>
      </c>
      <c r="CD71" t="str" cm="1">
        <f t="array" aca="1" ref="CD71" ca="1">eConcatenar(A71:CB71,"|")</f>
        <v>qlvANvvleDSpeP74|CAR2019-1013|3|ECONOLINE|TABASCO |CARDENAS|CARDENAS|2019-11-09|12900|0|0|50|0|0|0|0|0|0|0|0|0|0|0|0|0|0|0|CHABLE|JIMENEZ|LUZ MARIA|soltero|0|0|ALADO DE PURIFICADORA|COLONIA NUEVO PROGRESO|x|9373740931|x|x|x|ALADO DE PURIFICADORA|0|lunes|0|0|0|0|0|DOMICILIO |12100|800|X|X|X|2022-10-03|2022-10-10|0|0|0|0|0|RJC990KJLQSW15E|0|HOMBRE|0|12900|0|0|0|0|0|0|0|0|CARDENAS|0|0|0|0|FINAL</v>
      </c>
    </row>
    <row r="72" spans="1:82" x14ac:dyDescent="0.25">
      <c r="A72" t="s">
        <v>206</v>
      </c>
      <c r="B72" t="s">
        <v>278</v>
      </c>
      <c r="C72">
        <v>3</v>
      </c>
      <c r="D72" t="s">
        <v>289</v>
      </c>
      <c r="E72" t="s">
        <v>12</v>
      </c>
      <c r="F72" t="s">
        <v>0</v>
      </c>
      <c r="G72" t="s">
        <v>0</v>
      </c>
      <c r="H72" t="s">
        <v>353</v>
      </c>
      <c r="I72">
        <v>14800</v>
      </c>
      <c r="J72">
        <v>0</v>
      </c>
      <c r="K72">
        <v>0</v>
      </c>
      <c r="L72">
        <v>50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 t="s">
        <v>363</v>
      </c>
      <c r="AC72" t="s">
        <v>7</v>
      </c>
      <c r="AD72" s="18" t="s">
        <v>421</v>
      </c>
      <c r="AE72" t="s">
        <v>496</v>
      </c>
      <c r="AF72">
        <v>0</v>
      </c>
      <c r="AG72">
        <v>0</v>
      </c>
      <c r="AH72" t="s">
        <v>552</v>
      </c>
      <c r="AI72" t="s">
        <v>598</v>
      </c>
      <c r="AJ72" t="s">
        <v>3</v>
      </c>
      <c r="AK72">
        <v>937228443</v>
      </c>
      <c r="AL72" t="s">
        <v>3</v>
      </c>
      <c r="AM72" t="s">
        <v>3</v>
      </c>
      <c r="AN72" t="s">
        <v>3</v>
      </c>
      <c r="AO72" t="s">
        <v>552</v>
      </c>
      <c r="AP72">
        <v>0</v>
      </c>
      <c r="AQ72" t="s">
        <v>611</v>
      </c>
      <c r="AR72">
        <v>0</v>
      </c>
      <c r="AS72">
        <v>0</v>
      </c>
      <c r="AT72">
        <v>0</v>
      </c>
      <c r="AU72">
        <v>0</v>
      </c>
      <c r="AV72">
        <v>0</v>
      </c>
      <c r="AW72" t="s">
        <v>11</v>
      </c>
      <c r="AX72">
        <f>Tabla1[[#This Row],[precio del paquete]]-Tabla1[[#This Row],[Saldo_Deudor]]</f>
        <v>11000</v>
      </c>
      <c r="AY72">
        <v>3800</v>
      </c>
      <c r="AZ72" t="s">
        <v>1</v>
      </c>
      <c r="BA72" t="s">
        <v>1</v>
      </c>
      <c r="BB72" t="s">
        <v>1</v>
      </c>
      <c r="BC72" t="s">
        <v>642</v>
      </c>
      <c r="BD72" t="s">
        <v>675</v>
      </c>
      <c r="BE72">
        <v>0</v>
      </c>
      <c r="BF72">
        <v>0</v>
      </c>
      <c r="BG72">
        <v>0</v>
      </c>
      <c r="BH72">
        <v>0</v>
      </c>
      <c r="BI72">
        <v>0</v>
      </c>
      <c r="BJ72" t="s">
        <v>685</v>
      </c>
      <c r="BK72">
        <v>0</v>
      </c>
      <c r="BL72" t="s">
        <v>132</v>
      </c>
      <c r="BM72">
        <v>0</v>
      </c>
      <c r="BN72">
        <v>14800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 t="s">
        <v>0</v>
      </c>
      <c r="BX72">
        <v>0</v>
      </c>
      <c r="BY72">
        <v>0</v>
      </c>
      <c r="BZ72">
        <v>0</v>
      </c>
      <c r="CA72">
        <v>0</v>
      </c>
      <c r="CB72" t="s">
        <v>686</v>
      </c>
      <c r="CD72" t="str" cm="1">
        <f t="array" aca="1" ref="CD72" ca="1">eConcatenar(A72:CB72,"|")</f>
        <v>Vi2MlaaNfkT7btRb|CAR2021-7597|3|MEMORIAL|TABASCO |CARDENAS|CARDENAS|2021-12-16|14800|0|0|50|0|0|0|0|0|0|0|0|0|0|0|0|0|0|0|DE LA CRUZ|LOPEZ|LILIA|soltero|0|0|ESQUINA 27 DE FEBRERO 212|COLONIA NUEVO PROGRESO|x|937228443|x|x|x|ESQUINA 27 DE FEBRERO 212|0|lunes|0|0|0|0|0|DOMICILIO |11000|3800|X|X|X|2022-03-21|2022-03-28|0|0|0|0|0|RJC990KJLQSW15E|0|HOMBRE|0|14800|0|0|0|0|0|0|0|0|CARDENAS|0|0|0|0|FINAL</v>
      </c>
    </row>
    <row r="73" spans="1:82" x14ac:dyDescent="0.25">
      <c r="A73" t="s">
        <v>207</v>
      </c>
      <c r="B73" t="s">
        <v>279</v>
      </c>
      <c r="C73">
        <v>3</v>
      </c>
      <c r="D73" t="s">
        <v>290</v>
      </c>
      <c r="E73" t="s">
        <v>12</v>
      </c>
      <c r="F73" t="s">
        <v>0</v>
      </c>
      <c r="G73" t="s">
        <v>0</v>
      </c>
      <c r="H73" t="s">
        <v>354</v>
      </c>
      <c r="I73">
        <v>12900</v>
      </c>
      <c r="J73">
        <v>0</v>
      </c>
      <c r="K73">
        <v>0</v>
      </c>
      <c r="L73">
        <v>50</v>
      </c>
      <c r="M73">
        <v>2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 t="s">
        <v>363</v>
      </c>
      <c r="AC73" t="s">
        <v>482</v>
      </c>
      <c r="AD73" s="18" t="s">
        <v>483</v>
      </c>
      <c r="AE73" t="s">
        <v>496</v>
      </c>
      <c r="AF73">
        <v>0</v>
      </c>
      <c r="AG73">
        <v>0</v>
      </c>
      <c r="AH73" t="s">
        <v>553</v>
      </c>
      <c r="AI73" t="s">
        <v>606</v>
      </c>
      <c r="AJ73" t="s">
        <v>3</v>
      </c>
      <c r="AK73">
        <v>9371031211</v>
      </c>
      <c r="AL73" t="s">
        <v>3</v>
      </c>
      <c r="AM73" t="s">
        <v>3</v>
      </c>
      <c r="AN73" t="s">
        <v>3</v>
      </c>
      <c r="AO73" t="s">
        <v>553</v>
      </c>
      <c r="AP73">
        <v>0</v>
      </c>
      <c r="AQ73" t="s">
        <v>611</v>
      </c>
      <c r="AR73">
        <v>0</v>
      </c>
      <c r="AS73">
        <v>0</v>
      </c>
      <c r="AT73">
        <v>0</v>
      </c>
      <c r="AU73">
        <v>0</v>
      </c>
      <c r="AV73">
        <v>0</v>
      </c>
      <c r="AW73" t="s">
        <v>11</v>
      </c>
      <c r="AX73">
        <f>Tabla1[[#This Row],[precio del paquete]]-Tabla1[[#This Row],[Saldo_Deudor]]</f>
        <v>11100</v>
      </c>
      <c r="AY73">
        <v>1800</v>
      </c>
      <c r="AZ73" t="s">
        <v>1</v>
      </c>
      <c r="BA73" t="s">
        <v>1</v>
      </c>
      <c r="BB73" t="s">
        <v>1</v>
      </c>
      <c r="BC73" t="s">
        <v>612</v>
      </c>
      <c r="BD73" t="s">
        <v>616</v>
      </c>
      <c r="BE73">
        <v>0</v>
      </c>
      <c r="BF73">
        <v>0</v>
      </c>
      <c r="BG73">
        <v>0</v>
      </c>
      <c r="BH73">
        <v>0</v>
      </c>
      <c r="BI73">
        <v>0</v>
      </c>
      <c r="BJ73" t="s">
        <v>685</v>
      </c>
      <c r="BK73">
        <v>0</v>
      </c>
      <c r="BL73" t="s">
        <v>132</v>
      </c>
      <c r="BM73">
        <v>0</v>
      </c>
      <c r="BN73">
        <v>12900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 t="s">
        <v>0</v>
      </c>
      <c r="BX73">
        <v>0</v>
      </c>
      <c r="BY73">
        <v>0</v>
      </c>
      <c r="BZ73">
        <v>0</v>
      </c>
      <c r="CA73">
        <v>0</v>
      </c>
      <c r="CB73" t="s">
        <v>686</v>
      </c>
      <c r="CD73" t="str" cm="1">
        <f t="array" aca="1" ref="CD73" ca="1">eConcatenar(A73:CB73,"|")</f>
        <v>GY3sgbHezJqDqDXY|CAR2019-1189|3|ECONOLINE|TABASCO |CARDENAS|CARDENAS|2019-05-13|12900|0|0|50|2|0|0|0|0|0|0|0|0|0|0|0|0|0|0|DE LA CRUZ|ZAPATA|BERTHA LILA|soltero|0|0|PROLONGACION GUADALUPE VICTORIA|CARDENAS CENTRO|x|9371031211|x|x|x|PROLONGACION GUADALUPE VICTORIA|0|lunes|0|0|0|0|0|DOMICILIO |11100|1800|X|X|X|2022-02-16|2022-02-23|0|0|0|0|0|RJC990KJLQSW15E|0|HOMBRE|0|12900|0|0|0|0|0|0|0|0|CARDENAS|0|0|0|0|FINAL</v>
      </c>
    </row>
    <row r="74" spans="1:82" x14ac:dyDescent="0.25">
      <c r="A74" t="s">
        <v>208</v>
      </c>
      <c r="B74" t="s">
        <v>280</v>
      </c>
      <c r="C74">
        <v>3</v>
      </c>
      <c r="D74" t="s">
        <v>290</v>
      </c>
      <c r="E74" t="s">
        <v>12</v>
      </c>
      <c r="F74" t="s">
        <v>0</v>
      </c>
      <c r="G74" t="s">
        <v>0</v>
      </c>
      <c r="H74" t="s">
        <v>355</v>
      </c>
      <c r="I74">
        <v>12900</v>
      </c>
      <c r="J74">
        <v>0</v>
      </c>
      <c r="K74">
        <v>0</v>
      </c>
      <c r="L74">
        <v>50</v>
      </c>
      <c r="M74">
        <v>2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 t="s">
        <v>484</v>
      </c>
      <c r="AC74" t="s">
        <v>485</v>
      </c>
      <c r="AD74" s="18" t="s">
        <v>415</v>
      </c>
      <c r="AE74" t="s">
        <v>496</v>
      </c>
      <c r="AF74">
        <v>0</v>
      </c>
      <c r="AG74">
        <v>0</v>
      </c>
      <c r="AH74" t="s">
        <v>554</v>
      </c>
      <c r="AI74" t="s">
        <v>607</v>
      </c>
      <c r="AJ74" t="s">
        <v>3</v>
      </c>
      <c r="AK74">
        <v>9371087034</v>
      </c>
      <c r="AL74" t="s">
        <v>3</v>
      </c>
      <c r="AM74" t="s">
        <v>3</v>
      </c>
      <c r="AN74" t="s">
        <v>3</v>
      </c>
      <c r="AO74" t="s">
        <v>554</v>
      </c>
      <c r="AP74">
        <v>0</v>
      </c>
      <c r="AQ74" t="s">
        <v>611</v>
      </c>
      <c r="AR74">
        <v>0</v>
      </c>
      <c r="AS74">
        <v>0</v>
      </c>
      <c r="AT74">
        <v>0</v>
      </c>
      <c r="AU74">
        <v>0</v>
      </c>
      <c r="AV74">
        <v>0</v>
      </c>
      <c r="AW74" t="s">
        <v>11</v>
      </c>
      <c r="AX74">
        <f>Tabla1[[#This Row],[precio del paquete]]-Tabla1[[#This Row],[Saldo_Deudor]]</f>
        <v>9900</v>
      </c>
      <c r="AY74">
        <v>3000</v>
      </c>
      <c r="AZ74" t="s">
        <v>1</v>
      </c>
      <c r="BA74" t="s">
        <v>1</v>
      </c>
      <c r="BB74" t="s">
        <v>1</v>
      </c>
      <c r="BC74" t="s">
        <v>353</v>
      </c>
      <c r="BD74" t="s">
        <v>331</v>
      </c>
      <c r="BE74">
        <v>0</v>
      </c>
      <c r="BF74">
        <v>0</v>
      </c>
      <c r="BG74">
        <v>0</v>
      </c>
      <c r="BH74">
        <v>0</v>
      </c>
      <c r="BI74">
        <v>0</v>
      </c>
      <c r="BJ74" t="s">
        <v>685</v>
      </c>
      <c r="BK74">
        <v>0</v>
      </c>
      <c r="BL74" t="s">
        <v>132</v>
      </c>
      <c r="BM74">
        <v>0</v>
      </c>
      <c r="BN74">
        <v>12900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 t="s">
        <v>0</v>
      </c>
      <c r="BX74">
        <v>0</v>
      </c>
      <c r="BY74">
        <v>0</v>
      </c>
      <c r="BZ74">
        <v>0</v>
      </c>
      <c r="CA74">
        <v>0</v>
      </c>
      <c r="CB74" t="s">
        <v>686</v>
      </c>
      <c r="CD74" t="str" cm="1">
        <f t="array" aca="1" ref="CD74" ca="1">eConcatenar(A74:CB74,"|")</f>
        <v>JPt4XJs6JjLrv4PG|CAR2019-3177|3|ECONOLINE|TABASCO |CARDENAS|CARDENAS|2019-10-24|12900|0|0|50|2|0|0|0|0|0|0|0|0|0|0|0|0|0|0|LEON|ALDAMA|YULIANA|soltero|0|0|CALLE EL TAMARINDO ENTRADA EL DESPACHADOR|COLONIA SANTA MARIA GUADALUPE|x|9371087034|x|x|x|CALLE EL TAMARINDO ENTRADA EL DESPACHADOR|0|lunes|0|0|0|0|0|DOMICILIO |9900|3000|X|X|X|2021-12-16|2021-12-23|0|0|0|0|0|RJC990KJLQSW15E|0|HOMBRE|0|12900|0|0|0|0|0|0|0|0|CARDENAS|0|0|0|0|FINAL</v>
      </c>
    </row>
    <row r="75" spans="1:82" x14ac:dyDescent="0.25">
      <c r="A75" t="s">
        <v>209</v>
      </c>
      <c r="B75" t="s">
        <v>281</v>
      </c>
      <c r="C75">
        <v>3</v>
      </c>
      <c r="D75" t="s">
        <v>291</v>
      </c>
      <c r="E75" t="s">
        <v>12</v>
      </c>
      <c r="F75" t="s">
        <v>0</v>
      </c>
      <c r="G75" t="s">
        <v>0</v>
      </c>
      <c r="H75" t="s">
        <v>356</v>
      </c>
      <c r="I75">
        <v>19800</v>
      </c>
      <c r="J75">
        <v>0</v>
      </c>
      <c r="K75">
        <v>0</v>
      </c>
      <c r="L75">
        <v>50</v>
      </c>
      <c r="M75">
        <v>2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 t="s">
        <v>486</v>
      </c>
      <c r="AC75" t="s">
        <v>487</v>
      </c>
      <c r="AD75" s="18" t="s">
        <v>488</v>
      </c>
      <c r="AE75" t="s">
        <v>496</v>
      </c>
      <c r="AF75">
        <v>0</v>
      </c>
      <c r="AG75">
        <v>0</v>
      </c>
      <c r="AH75" t="s">
        <v>555</v>
      </c>
      <c r="AI75" t="s">
        <v>607</v>
      </c>
      <c r="AJ75" t="s">
        <v>3</v>
      </c>
      <c r="AK75">
        <v>9371203531</v>
      </c>
      <c r="AL75" t="s">
        <v>3</v>
      </c>
      <c r="AM75" t="s">
        <v>3</v>
      </c>
      <c r="AN75" t="s">
        <v>3</v>
      </c>
      <c r="AO75" t="s">
        <v>555</v>
      </c>
      <c r="AP75">
        <v>0</v>
      </c>
      <c r="AQ75" t="s">
        <v>611</v>
      </c>
      <c r="AR75">
        <v>0</v>
      </c>
      <c r="AS75">
        <v>0</v>
      </c>
      <c r="AT75">
        <v>0</v>
      </c>
      <c r="AU75">
        <v>0</v>
      </c>
      <c r="AV75">
        <v>0</v>
      </c>
      <c r="AW75" t="s">
        <v>11</v>
      </c>
      <c r="AX75">
        <f>Tabla1[[#This Row],[precio del paquete]]-Tabla1[[#This Row],[Saldo_Deudor]]</f>
        <v>14900</v>
      </c>
      <c r="AY75">
        <v>4900</v>
      </c>
      <c r="AZ75" t="s">
        <v>1</v>
      </c>
      <c r="BA75" t="s">
        <v>1</v>
      </c>
      <c r="BB75" t="s">
        <v>1</v>
      </c>
      <c r="BC75" t="s">
        <v>643</v>
      </c>
      <c r="BD75" t="s">
        <v>676</v>
      </c>
      <c r="BE75">
        <v>0</v>
      </c>
      <c r="BF75">
        <v>0</v>
      </c>
      <c r="BG75">
        <v>0</v>
      </c>
      <c r="BH75">
        <v>0</v>
      </c>
      <c r="BI75">
        <v>0</v>
      </c>
      <c r="BJ75" t="s">
        <v>685</v>
      </c>
      <c r="BK75">
        <v>0</v>
      </c>
      <c r="BL75" t="s">
        <v>132</v>
      </c>
      <c r="BM75">
        <v>0</v>
      </c>
      <c r="BN75">
        <v>19800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 t="s">
        <v>0</v>
      </c>
      <c r="BX75">
        <v>0</v>
      </c>
      <c r="BY75">
        <v>0</v>
      </c>
      <c r="BZ75">
        <v>0</v>
      </c>
      <c r="CA75">
        <v>0</v>
      </c>
      <c r="CB75" t="s">
        <v>686</v>
      </c>
      <c r="CD75" t="str" cm="1">
        <f t="array" aca="1" ref="CD75" ca="1">eConcatenar(A75:CB75,"|")</f>
        <v>1I1PvzmyHcY5p2Lv|CAR2019-1104|3|ZAFIRO|TABASCO |CARDENAS|CARDENAS|2019-09-30|19800|0|0|50|2|0|0|0|0|0|0|0|0|0|0|0|0|0|0|DIEGO|FLORES|ROSA ISELA|soltero|0|0|CALLE PINO SUAREZ|COLONIA SANTA MARIA GUADALUPE|x|9371203531|x|x|x|CALLE PINO SUAREZ|0|lunes|0|0|0|0|0|DOMICILIO |14900|4900|X|X|X|2022-10-02|2022-10-09|0|0|0|0|0|RJC990KJLQSW15E|0|HOMBRE|0|19800|0|0|0|0|0|0|0|0|CARDENAS|0|0|0|0|FINAL</v>
      </c>
    </row>
    <row r="76" spans="1:82" x14ac:dyDescent="0.25">
      <c r="A76" t="s">
        <v>210</v>
      </c>
      <c r="B76" t="s">
        <v>282</v>
      </c>
      <c r="C76">
        <v>3</v>
      </c>
      <c r="D76" t="s">
        <v>290</v>
      </c>
      <c r="E76" t="s">
        <v>12</v>
      </c>
      <c r="F76" t="s">
        <v>0</v>
      </c>
      <c r="G76" t="s">
        <v>0</v>
      </c>
      <c r="H76" t="s">
        <v>357</v>
      </c>
      <c r="I76">
        <v>12900</v>
      </c>
      <c r="J76">
        <v>0</v>
      </c>
      <c r="K76">
        <v>0</v>
      </c>
      <c r="L76">
        <v>50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 t="s">
        <v>402</v>
      </c>
      <c r="AC76" t="s">
        <v>402</v>
      </c>
      <c r="AD76" s="18" t="s">
        <v>489</v>
      </c>
      <c r="AE76" t="s">
        <v>496</v>
      </c>
      <c r="AF76">
        <v>0</v>
      </c>
      <c r="AG76">
        <v>0</v>
      </c>
      <c r="AH76" t="s">
        <v>556</v>
      </c>
      <c r="AI76" t="s">
        <v>568</v>
      </c>
      <c r="AJ76" t="s">
        <v>3</v>
      </c>
      <c r="AK76" t="s">
        <v>1</v>
      </c>
      <c r="AL76" t="s">
        <v>3</v>
      </c>
      <c r="AM76" t="s">
        <v>3</v>
      </c>
      <c r="AN76" t="s">
        <v>3</v>
      </c>
      <c r="AO76" t="s">
        <v>556</v>
      </c>
      <c r="AP76">
        <v>0</v>
      </c>
      <c r="AQ76" t="s">
        <v>611</v>
      </c>
      <c r="AR76">
        <v>0</v>
      </c>
      <c r="AS76">
        <v>0</v>
      </c>
      <c r="AT76">
        <v>0</v>
      </c>
      <c r="AU76">
        <v>0</v>
      </c>
      <c r="AV76">
        <v>0</v>
      </c>
      <c r="AW76" t="s">
        <v>11</v>
      </c>
      <c r="AX76">
        <f>Tabla1[[#This Row],[precio del paquete]]-Tabla1[[#This Row],[Saldo_Deudor]]</f>
        <v>12650</v>
      </c>
      <c r="AY76">
        <v>250</v>
      </c>
      <c r="AZ76" t="s">
        <v>1</v>
      </c>
      <c r="BA76" t="s">
        <v>1</v>
      </c>
      <c r="BB76" t="s">
        <v>1</v>
      </c>
      <c r="BC76" t="s">
        <v>613</v>
      </c>
      <c r="BD76" t="s">
        <v>645</v>
      </c>
      <c r="BE76">
        <v>0</v>
      </c>
      <c r="BF76">
        <v>0</v>
      </c>
      <c r="BG76">
        <v>0</v>
      </c>
      <c r="BH76">
        <v>0</v>
      </c>
      <c r="BI76">
        <v>0</v>
      </c>
      <c r="BJ76" t="s">
        <v>685</v>
      </c>
      <c r="BK76">
        <v>0</v>
      </c>
      <c r="BL76" t="s">
        <v>132</v>
      </c>
      <c r="BM76">
        <v>0</v>
      </c>
      <c r="BN76">
        <v>12900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 t="s">
        <v>0</v>
      </c>
      <c r="BX76">
        <v>0</v>
      </c>
      <c r="BY76">
        <v>0</v>
      </c>
      <c r="BZ76">
        <v>0</v>
      </c>
      <c r="CA76">
        <v>0</v>
      </c>
      <c r="CB76" t="s">
        <v>686</v>
      </c>
      <c r="CD76" t="str" cm="1">
        <f t="array" aca="1" ref="CD76" ca="1">eConcatenar(A76:CB76,"|")</f>
        <v>y8UtkHzbYhjvbrzn|CAR2019-0629-1|3|ECONOLINE|TABASCO |CARDENAS|CARDENAS|2019-02-28|12900|0|0|50|0|0|0|0|0|0|0|0|0|0|0|0|0|0|0|HERNANDEZ|HERNANDEZ|HILDA|soltero|0|0|ENTRADA AL POSTE BLANCO|COLONIA AGUA SOL|x|X|x|x|x|ENTRADA AL POSTE BLANCO|0|lunes|0|0|0|0|0|DOMICILIO |12650|250|X|X|X|2022-10-03|2022-10-10|0|0|0|0|0|RJC990KJLQSW15E|0|HOMBRE|0|12900|0|0|0|0|0|0|0|0|CARDENAS|0|0|0|0|FINAL</v>
      </c>
    </row>
    <row r="77" spans="1:82" x14ac:dyDescent="0.25">
      <c r="A77" t="s">
        <v>211</v>
      </c>
      <c r="B77" t="s">
        <v>283</v>
      </c>
      <c r="C77">
        <v>3</v>
      </c>
      <c r="D77" t="s">
        <v>290</v>
      </c>
      <c r="E77" t="s">
        <v>12</v>
      </c>
      <c r="F77" t="s">
        <v>0</v>
      </c>
      <c r="G77" t="s">
        <v>0</v>
      </c>
      <c r="H77" t="s">
        <v>358</v>
      </c>
      <c r="I77">
        <v>12900</v>
      </c>
      <c r="J77">
        <v>0</v>
      </c>
      <c r="K77">
        <v>0</v>
      </c>
      <c r="L77">
        <v>50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 t="s">
        <v>376</v>
      </c>
      <c r="AC77" t="s">
        <v>419</v>
      </c>
      <c r="AD77" s="18" t="s">
        <v>490</v>
      </c>
      <c r="AE77" t="s">
        <v>496</v>
      </c>
      <c r="AF77">
        <v>0</v>
      </c>
      <c r="AG77">
        <v>0</v>
      </c>
      <c r="AH77" t="s">
        <v>557</v>
      </c>
      <c r="AI77" t="s">
        <v>608</v>
      </c>
      <c r="AJ77" t="s">
        <v>3</v>
      </c>
      <c r="AK77">
        <v>9371186086</v>
      </c>
      <c r="AL77" t="s">
        <v>3</v>
      </c>
      <c r="AM77" t="s">
        <v>3</v>
      </c>
      <c r="AN77" t="s">
        <v>3</v>
      </c>
      <c r="AO77" t="s">
        <v>557</v>
      </c>
      <c r="AP77">
        <v>0</v>
      </c>
      <c r="AQ77" t="s">
        <v>611</v>
      </c>
      <c r="AR77">
        <v>0</v>
      </c>
      <c r="AS77">
        <v>0</v>
      </c>
      <c r="AT77">
        <v>0</v>
      </c>
      <c r="AU77">
        <v>0</v>
      </c>
      <c r="AV77">
        <v>0</v>
      </c>
      <c r="AW77" t="s">
        <v>11</v>
      </c>
      <c r="AX77">
        <f>Tabla1[[#This Row],[precio del paquete]]-Tabla1[[#This Row],[Saldo_Deudor]]</f>
        <v>8600</v>
      </c>
      <c r="AY77">
        <v>4300</v>
      </c>
      <c r="AZ77" t="s">
        <v>1</v>
      </c>
      <c r="BA77" t="s">
        <v>1</v>
      </c>
      <c r="BB77" t="s">
        <v>1</v>
      </c>
      <c r="BC77" t="s">
        <v>613</v>
      </c>
      <c r="BD77" t="s">
        <v>645</v>
      </c>
      <c r="BE77">
        <v>0</v>
      </c>
      <c r="BF77">
        <v>0</v>
      </c>
      <c r="BG77">
        <v>0</v>
      </c>
      <c r="BH77">
        <v>0</v>
      </c>
      <c r="BI77">
        <v>0</v>
      </c>
      <c r="BJ77" t="s">
        <v>685</v>
      </c>
      <c r="BK77">
        <v>0</v>
      </c>
      <c r="BL77" t="s">
        <v>132</v>
      </c>
      <c r="BM77">
        <v>0</v>
      </c>
      <c r="BN77">
        <v>12900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 t="s">
        <v>0</v>
      </c>
      <c r="BX77">
        <v>0</v>
      </c>
      <c r="BY77">
        <v>0</v>
      </c>
      <c r="BZ77">
        <v>0</v>
      </c>
      <c r="CA77">
        <v>0</v>
      </c>
      <c r="CB77" t="s">
        <v>686</v>
      </c>
      <c r="CD77" t="str" cm="1">
        <f t="array" aca="1" ref="CD77" ca="1">eConcatenar(A77:CB77,"|")</f>
        <v>vTmwn4DO9MiUDrSs|CAR2019-0877|3|ECONOLINE|TABASCO |CARDENAS|CARDENAS|2021-03-04|12900|0|0|50|0|0|0|0|0|0|0|0|0|0|0|0|0|0|0|GERONIMO|RUIZ|MIRNA DEL CARMEN|soltero|0|0|CALLE SAN PEDRO|RANCHERIA EL BAJIO|x|9371186086|x|x|x|CALLE SAN PEDRO|0|lunes|0|0|0|0|0|DOMICILIO |8600|4300|X|X|X|2022-10-03|2022-10-10|0|0|0|0|0|RJC990KJLQSW15E|0|HOMBRE|0|12900|0|0|0|0|0|0|0|0|CARDENAS|0|0|0|0|FINAL</v>
      </c>
    </row>
    <row r="78" spans="1:82" x14ac:dyDescent="0.25">
      <c r="A78" t="s">
        <v>212</v>
      </c>
      <c r="B78" t="s">
        <v>284</v>
      </c>
      <c r="C78">
        <v>3</v>
      </c>
      <c r="D78" t="s">
        <v>290</v>
      </c>
      <c r="E78" t="s">
        <v>12</v>
      </c>
      <c r="F78" t="s">
        <v>0</v>
      </c>
      <c r="G78" t="s">
        <v>0</v>
      </c>
      <c r="H78" t="s">
        <v>359</v>
      </c>
      <c r="I78">
        <v>12900</v>
      </c>
      <c r="J78">
        <v>0</v>
      </c>
      <c r="K78">
        <v>0</v>
      </c>
      <c r="L78">
        <v>50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 t="s">
        <v>365</v>
      </c>
      <c r="AC78" t="s">
        <v>491</v>
      </c>
      <c r="AD78" s="18" t="s">
        <v>492</v>
      </c>
      <c r="AE78" t="s">
        <v>496</v>
      </c>
      <c r="AF78">
        <v>0</v>
      </c>
      <c r="AG78">
        <v>0</v>
      </c>
      <c r="AH78" t="s">
        <v>558</v>
      </c>
      <c r="AI78" t="s">
        <v>582</v>
      </c>
      <c r="AJ78" t="s">
        <v>3</v>
      </c>
      <c r="AK78">
        <v>9371254092</v>
      </c>
      <c r="AL78" t="s">
        <v>3</v>
      </c>
      <c r="AM78" t="s">
        <v>3</v>
      </c>
      <c r="AN78" t="s">
        <v>3</v>
      </c>
      <c r="AO78" t="s">
        <v>558</v>
      </c>
      <c r="AP78">
        <v>0</v>
      </c>
      <c r="AQ78" t="s">
        <v>611</v>
      </c>
      <c r="AR78">
        <v>0</v>
      </c>
      <c r="AS78">
        <v>0</v>
      </c>
      <c r="AT78">
        <v>0</v>
      </c>
      <c r="AU78">
        <v>0</v>
      </c>
      <c r="AV78">
        <v>0</v>
      </c>
      <c r="AW78" t="s">
        <v>11</v>
      </c>
      <c r="AX78">
        <f>Tabla1[[#This Row],[precio del paquete]]-Tabla1[[#This Row],[Saldo_Deudor]]</f>
        <v>12800</v>
      </c>
      <c r="AY78">
        <v>100</v>
      </c>
      <c r="AZ78" t="s">
        <v>1</v>
      </c>
      <c r="BA78" t="s">
        <v>1</v>
      </c>
      <c r="BB78" t="s">
        <v>1</v>
      </c>
      <c r="BC78" t="s">
        <v>613</v>
      </c>
      <c r="BD78" t="s">
        <v>645</v>
      </c>
      <c r="BE78">
        <v>0</v>
      </c>
      <c r="BF78">
        <v>0</v>
      </c>
      <c r="BG78">
        <v>0</v>
      </c>
      <c r="BH78">
        <v>0</v>
      </c>
      <c r="BI78">
        <v>0</v>
      </c>
      <c r="BJ78" t="s">
        <v>685</v>
      </c>
      <c r="BK78">
        <v>0</v>
      </c>
      <c r="BL78" t="s">
        <v>132</v>
      </c>
      <c r="BM78">
        <v>0</v>
      </c>
      <c r="BN78">
        <v>12900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 t="s">
        <v>0</v>
      </c>
      <c r="BX78">
        <v>0</v>
      </c>
      <c r="BY78">
        <v>0</v>
      </c>
      <c r="BZ78">
        <v>0</v>
      </c>
      <c r="CA78">
        <v>0</v>
      </c>
      <c r="CB78" t="s">
        <v>686</v>
      </c>
      <c r="CD78" t="str" cm="1">
        <f t="array" aca="1" ref="CD78" ca="1">eConcatenar(A78:CB78,"|")</f>
        <v>SbneiycoiKNOoHSc|CAR2019-1559|3|ECONOLINE|TABASCO |CARDENAS|CARDENAS|2019-06-14|12900|0|0|50|0|0|0|0|0|0|0|0|0|0|0|0|0|0|0|JIMENEZ|CANUL|PATRICIA|soltero|0|0|ATTRAS DE LA MADERIA|COLONIA MELCHOR OCAMPO|x|9371254092|x|x|x|ATTRAS DE LA MADERIA|0|lunes|0|0|0|0|0|DOMICILIO |12800|100|X|X|X|2022-10-03|2022-10-10|0|0|0|0|0|RJC990KJLQSW15E|0|HOMBRE|0|12900|0|0|0|0|0|0|0|0|CARDENAS|0|0|0|0|FINAL</v>
      </c>
    </row>
    <row r="79" spans="1:82" x14ac:dyDescent="0.25">
      <c r="A79" t="s">
        <v>213</v>
      </c>
      <c r="B79" t="s">
        <v>285</v>
      </c>
      <c r="C79">
        <v>3</v>
      </c>
      <c r="D79" t="s">
        <v>291</v>
      </c>
      <c r="E79" t="s">
        <v>12</v>
      </c>
      <c r="F79" t="s">
        <v>0</v>
      </c>
      <c r="G79" t="s">
        <v>0</v>
      </c>
      <c r="H79" t="s">
        <v>360</v>
      </c>
      <c r="I79">
        <v>19800</v>
      </c>
      <c r="J79">
        <v>0</v>
      </c>
      <c r="K79">
        <v>0</v>
      </c>
      <c r="L79">
        <v>50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 t="s">
        <v>405</v>
      </c>
      <c r="AC79" t="s">
        <v>484</v>
      </c>
      <c r="AD79" s="18" t="s">
        <v>493</v>
      </c>
      <c r="AE79" t="s">
        <v>496</v>
      </c>
      <c r="AF79">
        <v>0</v>
      </c>
      <c r="AG79">
        <v>0</v>
      </c>
      <c r="AH79" t="s">
        <v>559</v>
      </c>
      <c r="AI79" t="s">
        <v>582</v>
      </c>
      <c r="AJ79" t="s">
        <v>3</v>
      </c>
      <c r="AK79">
        <v>9371265574</v>
      </c>
      <c r="AL79" t="s">
        <v>3</v>
      </c>
      <c r="AM79" t="s">
        <v>3</v>
      </c>
      <c r="AN79" t="s">
        <v>3</v>
      </c>
      <c r="AO79" t="s">
        <v>559</v>
      </c>
      <c r="AP79">
        <v>0</v>
      </c>
      <c r="AQ79" t="s">
        <v>611</v>
      </c>
      <c r="AR79">
        <v>0</v>
      </c>
      <c r="AS79">
        <v>0</v>
      </c>
      <c r="AT79">
        <v>0</v>
      </c>
      <c r="AU79">
        <v>0</v>
      </c>
      <c r="AV79">
        <v>0</v>
      </c>
      <c r="AW79" t="s">
        <v>11</v>
      </c>
      <c r="AX79">
        <f>Tabla1[[#This Row],[precio del paquete]]-Tabla1[[#This Row],[Saldo_Deudor]]</f>
        <v>18250</v>
      </c>
      <c r="AY79">
        <v>1550</v>
      </c>
      <c r="AZ79" t="s">
        <v>1</v>
      </c>
      <c r="BA79" t="s">
        <v>1</v>
      </c>
      <c r="BB79" t="s">
        <v>1</v>
      </c>
      <c r="BC79" t="s">
        <v>615</v>
      </c>
      <c r="BD79" t="s">
        <v>647</v>
      </c>
      <c r="BE79">
        <v>0</v>
      </c>
      <c r="BF79">
        <v>0</v>
      </c>
      <c r="BG79">
        <v>0</v>
      </c>
      <c r="BH79">
        <v>0</v>
      </c>
      <c r="BI79">
        <v>0</v>
      </c>
      <c r="BJ79" t="s">
        <v>685</v>
      </c>
      <c r="BK79">
        <v>0</v>
      </c>
      <c r="BL79" t="s">
        <v>132</v>
      </c>
      <c r="BM79">
        <v>0</v>
      </c>
      <c r="BN79">
        <v>19800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 t="s">
        <v>0</v>
      </c>
      <c r="BX79">
        <v>0</v>
      </c>
      <c r="BY79">
        <v>0</v>
      </c>
      <c r="BZ79">
        <v>0</v>
      </c>
      <c r="CA79">
        <v>0</v>
      </c>
      <c r="CB79" t="s">
        <v>686</v>
      </c>
      <c r="CD79" t="str" cm="1">
        <f t="array" aca="1" ref="CD79" ca="1">eConcatenar(A79:CB79,"|")</f>
        <v>6tif1M2U6Z7NysvW|CAR2019-0006|3|ZAFIRO|TABASCO |CARDENAS|CARDENAS|2019-03-01|19800|0|0|50|0|0|0|0|0|0|0|0|0|0|0|0|0|0|0|DE LOS SANTOS|LEON|GUADALUPE|soltero|0|0|CASA COLOR NARANJA ENTRADA LA BIMBO|COLONIA MELCHOR OCAMPO|x|9371265574|x|x|x|CASA COLOR NARANJA ENTRADA LA BIMBO|0|lunes|0|0|0|0|0|DOMICILIO |18250|1550|X|X|X|2022-09-03|2022-09-10|0|0|0|0|0|RJC990KJLQSW15E|0|HOMBRE|0|19800|0|0|0|0|0|0|0|0|CARDENAS|0|0|0|0|FINAL</v>
      </c>
    </row>
    <row r="80" spans="1:82" x14ac:dyDescent="0.25">
      <c r="A80" t="s">
        <v>214</v>
      </c>
      <c r="B80" t="s">
        <v>286</v>
      </c>
      <c r="C80">
        <v>3</v>
      </c>
      <c r="D80" t="s">
        <v>290</v>
      </c>
      <c r="E80" t="s">
        <v>12</v>
      </c>
      <c r="F80" t="s">
        <v>0</v>
      </c>
      <c r="G80" t="s">
        <v>0</v>
      </c>
      <c r="H80" t="s">
        <v>354</v>
      </c>
      <c r="I80">
        <v>12900</v>
      </c>
      <c r="J80">
        <v>0</v>
      </c>
      <c r="K80">
        <v>0</v>
      </c>
      <c r="L80">
        <v>50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 t="s">
        <v>452</v>
      </c>
      <c r="AC80" t="s">
        <v>494</v>
      </c>
      <c r="AD80" s="18" t="s">
        <v>494</v>
      </c>
      <c r="AE80" t="s">
        <v>496</v>
      </c>
      <c r="AF80">
        <v>0</v>
      </c>
      <c r="AG80">
        <v>0</v>
      </c>
      <c r="AH80" t="s">
        <v>560</v>
      </c>
      <c r="AI80" t="s">
        <v>609</v>
      </c>
      <c r="AJ80" t="s">
        <v>3</v>
      </c>
      <c r="AK80">
        <v>9931777402</v>
      </c>
      <c r="AL80" t="s">
        <v>3</v>
      </c>
      <c r="AM80" t="s">
        <v>3</v>
      </c>
      <c r="AN80" t="s">
        <v>3</v>
      </c>
      <c r="AO80" t="s">
        <v>560</v>
      </c>
      <c r="AP80">
        <v>0</v>
      </c>
      <c r="AQ80" t="s">
        <v>611</v>
      </c>
      <c r="AR80">
        <v>0</v>
      </c>
      <c r="AS80">
        <v>0</v>
      </c>
      <c r="AT80">
        <v>0</v>
      </c>
      <c r="AU80">
        <v>0</v>
      </c>
      <c r="AV80">
        <v>0</v>
      </c>
      <c r="AW80" t="s">
        <v>11</v>
      </c>
      <c r="AX80">
        <f>Tabla1[[#This Row],[precio del paquete]]-Tabla1[[#This Row],[Saldo_Deudor]]</f>
        <v>11900</v>
      </c>
      <c r="AY80">
        <v>1000</v>
      </c>
      <c r="AZ80" t="s">
        <v>1</v>
      </c>
      <c r="BA80" t="s">
        <v>1</v>
      </c>
      <c r="BB80" t="s">
        <v>1</v>
      </c>
      <c r="BC80" t="s">
        <v>615</v>
      </c>
      <c r="BD80" t="s">
        <v>647</v>
      </c>
      <c r="BE80">
        <v>0</v>
      </c>
      <c r="BF80">
        <v>0</v>
      </c>
      <c r="BG80">
        <v>0</v>
      </c>
      <c r="BH80">
        <v>0</v>
      </c>
      <c r="BI80">
        <v>0</v>
      </c>
      <c r="BJ80" t="s">
        <v>685</v>
      </c>
      <c r="BK80">
        <v>0</v>
      </c>
      <c r="BL80" t="s">
        <v>132</v>
      </c>
      <c r="BM80">
        <v>0</v>
      </c>
      <c r="BN80">
        <v>12900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 t="s">
        <v>0</v>
      </c>
      <c r="BX80">
        <v>0</v>
      </c>
      <c r="BY80">
        <v>0</v>
      </c>
      <c r="BZ80">
        <v>0</v>
      </c>
      <c r="CA80">
        <v>0</v>
      </c>
      <c r="CB80" t="s">
        <v>686</v>
      </c>
      <c r="CD80" t="str" cm="1">
        <f t="array" aca="1" ref="CD80" ca="1">eConcatenar(A80:CB80,"|")</f>
        <v>lcHCMfWOqmcqIfY7|CAR2019-1182|3|ECONOLINE|TABASCO |CARDENAS|CARDENAS|2019-05-13|12900|0|0|50|0|0|0|0|0|0|0|0|0|0|0|0|0|0|0|RIOS|RAMON|RAMON|soltero|0|0|CASA VERDE ENTRASA LA VAZCULA|COLONIA NUEVA ESPERANZA|x|9931777402|x|x|x|CASA VERDE ENTRASA LA VAZCULA|0|lunes|0|0|0|0|0|DOMICILIO |11900|1000|X|X|X|2022-09-03|2022-09-10|0|0|0|0|0|RJC990KJLQSW15E|0|HOMBRE|0|12900|0|0|0|0|0|0|0|0|CARDENAS|0|0|0|0|FINAL</v>
      </c>
    </row>
    <row r="81" spans="1:82" x14ac:dyDescent="0.25">
      <c r="A81" t="s">
        <v>215</v>
      </c>
      <c r="B81" t="s">
        <v>287</v>
      </c>
      <c r="C81">
        <v>3</v>
      </c>
      <c r="D81" t="s">
        <v>290</v>
      </c>
      <c r="E81" t="s">
        <v>12</v>
      </c>
      <c r="F81" t="s">
        <v>0</v>
      </c>
      <c r="G81" t="s">
        <v>0</v>
      </c>
      <c r="H81" t="s">
        <v>361</v>
      </c>
      <c r="I81">
        <v>12900</v>
      </c>
      <c r="J81">
        <v>0</v>
      </c>
      <c r="K81">
        <v>0</v>
      </c>
      <c r="L81">
        <v>50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 t="s">
        <v>367</v>
      </c>
      <c r="AC81" t="s">
        <v>495</v>
      </c>
      <c r="AD81" s="18" t="s">
        <v>493</v>
      </c>
      <c r="AE81" t="s">
        <v>496</v>
      </c>
      <c r="AF81">
        <v>0</v>
      </c>
      <c r="AG81">
        <v>0</v>
      </c>
      <c r="AH81" t="s">
        <v>561</v>
      </c>
      <c r="AI81" t="s">
        <v>610</v>
      </c>
      <c r="AJ81" t="s">
        <v>3</v>
      </c>
      <c r="AK81">
        <v>9371534534</v>
      </c>
      <c r="AL81" t="s">
        <v>3</v>
      </c>
      <c r="AM81" t="s">
        <v>3</v>
      </c>
      <c r="AN81" t="s">
        <v>3</v>
      </c>
      <c r="AO81" t="s">
        <v>561</v>
      </c>
      <c r="AP81">
        <v>0</v>
      </c>
      <c r="AQ81" t="s">
        <v>611</v>
      </c>
      <c r="AR81">
        <v>0</v>
      </c>
      <c r="AS81">
        <v>0</v>
      </c>
      <c r="AT81">
        <v>0</v>
      </c>
      <c r="AU81">
        <v>0</v>
      </c>
      <c r="AV81">
        <v>0</v>
      </c>
      <c r="AW81" t="s">
        <v>11</v>
      </c>
      <c r="AX81">
        <f>Tabla1[[#This Row],[precio del paquete]]-Tabla1[[#This Row],[Saldo_Deudor]]</f>
        <v>4700</v>
      </c>
      <c r="AY81">
        <v>8200</v>
      </c>
      <c r="AZ81" t="s">
        <v>1</v>
      </c>
      <c r="BA81" t="s">
        <v>1</v>
      </c>
      <c r="BB81" t="s">
        <v>1</v>
      </c>
      <c r="BC81" t="s">
        <v>615</v>
      </c>
      <c r="BD81" t="s">
        <v>647</v>
      </c>
      <c r="BE81">
        <v>0</v>
      </c>
      <c r="BF81">
        <v>0</v>
      </c>
      <c r="BG81">
        <v>0</v>
      </c>
      <c r="BH81">
        <v>0</v>
      </c>
      <c r="BI81">
        <v>0</v>
      </c>
      <c r="BJ81" t="s">
        <v>685</v>
      </c>
      <c r="BK81">
        <v>0</v>
      </c>
      <c r="BL81" t="s">
        <v>132</v>
      </c>
      <c r="BM81">
        <v>0</v>
      </c>
      <c r="BN81">
        <v>12900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 t="s">
        <v>0</v>
      </c>
      <c r="BX81">
        <v>0</v>
      </c>
      <c r="BY81">
        <v>0</v>
      </c>
      <c r="BZ81">
        <v>0</v>
      </c>
      <c r="CA81">
        <v>0</v>
      </c>
      <c r="CB81" t="s">
        <v>686</v>
      </c>
      <c r="CC81" t="s">
        <v>644</v>
      </c>
      <c r="CD81" t="str" cm="1">
        <f t="array" aca="1" ref="CD81" ca="1">eConcatenar(A81:CB81,"|")</f>
        <v>mAeGwWlzuaWneSzF|CAR2019-0469|3|ECONOLINE|TABASCO |CARDENAS|CARDENAS|2019-02-19|12900|0|0|50|0|0|0|0|0|0|0|0|0|0|0|0|0|0|0|CORDOVA|JUAREZ|GUADALUPE|soltero|0|0|COBRAR EN POLIPLAS|CALZADA SEGUNDA SECCION|x|9371534534|x|x|x|COBRAR EN POLIPLAS|0|lunes|0|0|0|0|0|DOMICILIO |4700|8200|X|X|X|2022-09-03|2022-09-10|0|0|0|0|0|RJC990KJLQSW15E|0|HOMBRE|0|12900|0|0|0|0|0|0|0|0|CARDENAS|0|0|0|0|FINAL</v>
      </c>
    </row>
    <row r="82" spans="1:82" x14ac:dyDescent="0.25"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</row>
    <row r="83" spans="1:82" x14ac:dyDescent="0.25"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</row>
    <row r="84" spans="1:82" x14ac:dyDescent="0.25"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</row>
    <row r="85" spans="1:82" x14ac:dyDescent="0.25"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</row>
    <row r="86" spans="1:82" x14ac:dyDescent="0.25"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</row>
    <row r="87" spans="1:82" x14ac:dyDescent="0.25"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</row>
    <row r="88" spans="1:82" x14ac:dyDescent="0.25"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</row>
    <row r="89" spans="1:82" x14ac:dyDescent="0.25"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</row>
    <row r="90" spans="1:82" x14ac:dyDescent="0.25"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</row>
    <row r="91" spans="1:82" x14ac:dyDescent="0.25"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</row>
    <row r="92" spans="1:82" x14ac:dyDescent="0.25"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</row>
    <row r="93" spans="1:82" x14ac:dyDescent="0.25"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</row>
    <row r="94" spans="1:82" x14ac:dyDescent="0.25"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</row>
    <row r="95" spans="1:82" x14ac:dyDescent="0.25"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</row>
    <row r="96" spans="1:82" x14ac:dyDescent="0.25"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</row>
    <row r="97" spans="67:74" x14ac:dyDescent="0.25"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</row>
    <row r="98" spans="67:74" x14ac:dyDescent="0.25"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</row>
    <row r="99" spans="67:74" x14ac:dyDescent="0.25"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</row>
    <row r="100" spans="67:74" x14ac:dyDescent="0.25"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</row>
    <row r="101" spans="67:74" x14ac:dyDescent="0.25"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</row>
    <row r="102" spans="67:74" x14ac:dyDescent="0.25"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</row>
    <row r="103" spans="67:74" x14ac:dyDescent="0.25"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</row>
    <row r="104" spans="67:74" x14ac:dyDescent="0.25"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</row>
    <row r="105" spans="67:74" x14ac:dyDescent="0.25"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</row>
    <row r="106" spans="67:74" x14ac:dyDescent="0.25"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</row>
    <row r="107" spans="67:74" x14ac:dyDescent="0.25"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</row>
    <row r="108" spans="67:74" x14ac:dyDescent="0.25"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</row>
    <row r="109" spans="67:74" x14ac:dyDescent="0.25"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</row>
    <row r="110" spans="67:74" x14ac:dyDescent="0.25"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</row>
    <row r="111" spans="67:74" x14ac:dyDescent="0.25"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</row>
    <row r="112" spans="67:74" x14ac:dyDescent="0.25"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</row>
    <row r="113" spans="67:74" x14ac:dyDescent="0.25"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</row>
    <row r="114" spans="67:74" x14ac:dyDescent="0.25"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</row>
    <row r="115" spans="67:74" x14ac:dyDescent="0.25"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</row>
    <row r="116" spans="67:74" x14ac:dyDescent="0.25"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</row>
    <row r="117" spans="67:74" x14ac:dyDescent="0.25"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</row>
    <row r="118" spans="67:74" x14ac:dyDescent="0.25"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</row>
    <row r="119" spans="67:74" x14ac:dyDescent="0.25"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</row>
    <row r="120" spans="67:74" x14ac:dyDescent="0.25"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</row>
    <row r="121" spans="67:74" x14ac:dyDescent="0.25"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</row>
    <row r="122" spans="67:74" x14ac:dyDescent="0.25"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</row>
    <row r="123" spans="67:74" x14ac:dyDescent="0.25"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</row>
    <row r="124" spans="67:74" x14ac:dyDescent="0.25"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</row>
    <row r="125" spans="67:74" x14ac:dyDescent="0.25"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</row>
    <row r="126" spans="67:74" x14ac:dyDescent="0.25"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</row>
    <row r="127" spans="67:74" x14ac:dyDescent="0.25"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</row>
    <row r="128" spans="67:74" x14ac:dyDescent="0.25"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</row>
    <row r="129" spans="67:74" x14ac:dyDescent="0.25"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</row>
    <row r="130" spans="67:74" x14ac:dyDescent="0.25"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</row>
    <row r="131" spans="67:74" x14ac:dyDescent="0.25"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</row>
    <row r="132" spans="67:74" x14ac:dyDescent="0.25"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</row>
    <row r="133" spans="67:74" x14ac:dyDescent="0.25"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</row>
    <row r="134" spans="67:74" x14ac:dyDescent="0.25"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</row>
    <row r="135" spans="67:74" x14ac:dyDescent="0.25"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</row>
    <row r="136" spans="67:74" x14ac:dyDescent="0.25"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</row>
    <row r="137" spans="67:74" x14ac:dyDescent="0.25"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</row>
    <row r="138" spans="67:74" x14ac:dyDescent="0.25"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</row>
    <row r="139" spans="67:74" x14ac:dyDescent="0.25"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</row>
    <row r="140" spans="67:74" x14ac:dyDescent="0.25"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</row>
    <row r="141" spans="67:74" x14ac:dyDescent="0.25"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</row>
    <row r="142" spans="67:74" x14ac:dyDescent="0.25"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</row>
    <row r="143" spans="67:74" x14ac:dyDescent="0.25"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</row>
    <row r="144" spans="67:74" x14ac:dyDescent="0.25"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</row>
    <row r="145" spans="67:74" x14ac:dyDescent="0.25"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</row>
    <row r="146" spans="67:74" x14ac:dyDescent="0.25"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</row>
    <row r="147" spans="67:74" x14ac:dyDescent="0.25"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</row>
    <row r="148" spans="67:74" x14ac:dyDescent="0.25"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</row>
    <row r="149" spans="67:74" x14ac:dyDescent="0.25"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</row>
    <row r="150" spans="67:74" x14ac:dyDescent="0.25"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</row>
    <row r="151" spans="67:74" x14ac:dyDescent="0.25"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</row>
    <row r="152" spans="67:74" x14ac:dyDescent="0.25"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</row>
    <row r="153" spans="67:74" x14ac:dyDescent="0.25"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</row>
    <row r="154" spans="67:74" x14ac:dyDescent="0.25"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</row>
    <row r="155" spans="67:74" x14ac:dyDescent="0.25"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</row>
    <row r="156" spans="67:74" x14ac:dyDescent="0.25"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</row>
    <row r="157" spans="67:74" x14ac:dyDescent="0.25"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</row>
    <row r="158" spans="67:74" x14ac:dyDescent="0.25"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</row>
    <row r="159" spans="67:74" x14ac:dyDescent="0.25"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</row>
    <row r="160" spans="67:74" x14ac:dyDescent="0.25"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</row>
    <row r="161" spans="67:74" x14ac:dyDescent="0.25"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</row>
    <row r="162" spans="67:74" x14ac:dyDescent="0.25"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</row>
    <row r="163" spans="67:74" x14ac:dyDescent="0.25"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</row>
    <row r="164" spans="67:74" x14ac:dyDescent="0.25"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</row>
    <row r="165" spans="67:74" x14ac:dyDescent="0.25"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</row>
    <row r="166" spans="67:74" x14ac:dyDescent="0.25"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</row>
    <row r="167" spans="67:74" x14ac:dyDescent="0.25"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</row>
    <row r="168" spans="67:74" x14ac:dyDescent="0.25"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</row>
    <row r="169" spans="67:74" x14ac:dyDescent="0.25"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</row>
    <row r="170" spans="67:74" x14ac:dyDescent="0.25"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</row>
    <row r="171" spans="67:74" x14ac:dyDescent="0.25"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</row>
    <row r="172" spans="67:74" x14ac:dyDescent="0.25"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</row>
    <row r="173" spans="67:74" x14ac:dyDescent="0.25"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</row>
    <row r="174" spans="67:74" x14ac:dyDescent="0.25"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</row>
    <row r="175" spans="67:74" x14ac:dyDescent="0.25"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</row>
    <row r="176" spans="67:74" x14ac:dyDescent="0.25"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</row>
    <row r="177" spans="67:74" x14ac:dyDescent="0.25"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</row>
    <row r="178" spans="67:74" x14ac:dyDescent="0.25"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</row>
    <row r="179" spans="67:74" x14ac:dyDescent="0.25"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</row>
    <row r="180" spans="67:74" x14ac:dyDescent="0.25"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</row>
    <row r="181" spans="67:74" x14ac:dyDescent="0.25"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</row>
    <row r="182" spans="67:74" x14ac:dyDescent="0.25"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</row>
    <row r="183" spans="67:74" x14ac:dyDescent="0.25"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</row>
    <row r="184" spans="67:74" x14ac:dyDescent="0.25"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</row>
    <row r="185" spans="67:74" x14ac:dyDescent="0.25"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</row>
    <row r="186" spans="67:74" x14ac:dyDescent="0.25"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</row>
    <row r="187" spans="67:74" x14ac:dyDescent="0.25"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</row>
    <row r="188" spans="67:74" x14ac:dyDescent="0.25"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</row>
    <row r="189" spans="67:74" x14ac:dyDescent="0.25"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</row>
    <row r="190" spans="67:74" x14ac:dyDescent="0.25"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</row>
    <row r="191" spans="67:74" x14ac:dyDescent="0.25"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</row>
    <row r="192" spans="67:74" x14ac:dyDescent="0.25"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</row>
    <row r="193" spans="67:74" x14ac:dyDescent="0.25"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</row>
    <row r="194" spans="67:74" x14ac:dyDescent="0.25"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</row>
    <row r="195" spans="67:74" x14ac:dyDescent="0.25"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</row>
    <row r="196" spans="67:74" x14ac:dyDescent="0.25"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</row>
    <row r="197" spans="67:74" x14ac:dyDescent="0.25"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</row>
    <row r="198" spans="67:74" x14ac:dyDescent="0.25"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</row>
    <row r="199" spans="67:74" x14ac:dyDescent="0.25"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</row>
    <row r="200" spans="67:74" x14ac:dyDescent="0.25"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</row>
    <row r="201" spans="67:74" x14ac:dyDescent="0.25"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</row>
    <row r="202" spans="67:74" x14ac:dyDescent="0.25"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</row>
    <row r="203" spans="67:74" x14ac:dyDescent="0.25"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</row>
    <row r="204" spans="67:74" x14ac:dyDescent="0.25"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</row>
    <row r="205" spans="67:74" x14ac:dyDescent="0.25"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</row>
    <row r="206" spans="67:74" x14ac:dyDescent="0.25"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</row>
    <row r="207" spans="67:74" x14ac:dyDescent="0.25"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</row>
    <row r="208" spans="67:74" x14ac:dyDescent="0.25"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</row>
    <row r="209" spans="67:74" x14ac:dyDescent="0.25"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</row>
    <row r="210" spans="67:74" x14ac:dyDescent="0.25"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</row>
    <row r="211" spans="67:74" x14ac:dyDescent="0.25"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</row>
    <row r="212" spans="67:74" x14ac:dyDescent="0.25"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</row>
    <row r="213" spans="67:74" x14ac:dyDescent="0.25"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</row>
    <row r="214" spans="67:74" x14ac:dyDescent="0.25"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</row>
    <row r="215" spans="67:74" x14ac:dyDescent="0.25"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</row>
    <row r="216" spans="67:74" x14ac:dyDescent="0.25"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</row>
    <row r="217" spans="67:74" x14ac:dyDescent="0.25"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</row>
    <row r="218" spans="67:74" x14ac:dyDescent="0.25"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</row>
    <row r="219" spans="67:74" x14ac:dyDescent="0.25"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</row>
    <row r="220" spans="67:74" x14ac:dyDescent="0.25"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</row>
    <row r="221" spans="67:74" x14ac:dyDescent="0.25"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</row>
    <row r="222" spans="67:74" x14ac:dyDescent="0.25"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</row>
    <row r="223" spans="67:74" x14ac:dyDescent="0.25"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</row>
    <row r="224" spans="67:74" x14ac:dyDescent="0.25"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</row>
    <row r="225" spans="67:74" x14ac:dyDescent="0.25"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</row>
    <row r="226" spans="67:74" x14ac:dyDescent="0.25"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</row>
    <row r="227" spans="67:74" x14ac:dyDescent="0.25"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</row>
    <row r="228" spans="67:74" x14ac:dyDescent="0.25"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</row>
    <row r="229" spans="67:74" x14ac:dyDescent="0.25"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</row>
    <row r="230" spans="67:74" x14ac:dyDescent="0.25"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</row>
    <row r="231" spans="67:74" x14ac:dyDescent="0.25"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</row>
    <row r="232" spans="67:74" x14ac:dyDescent="0.25"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</row>
    <row r="233" spans="67:74" x14ac:dyDescent="0.25"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</row>
    <row r="234" spans="67:74" x14ac:dyDescent="0.25"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</row>
    <row r="235" spans="67:74" x14ac:dyDescent="0.25"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</row>
    <row r="236" spans="67:74" x14ac:dyDescent="0.25"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</row>
    <row r="237" spans="67:74" x14ac:dyDescent="0.25"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</row>
    <row r="238" spans="67:74" x14ac:dyDescent="0.25"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</row>
    <row r="239" spans="67:74" x14ac:dyDescent="0.25"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</row>
    <row r="240" spans="67:74" x14ac:dyDescent="0.25"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</row>
    <row r="241" spans="67:74" x14ac:dyDescent="0.25"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</row>
    <row r="242" spans="67:74" x14ac:dyDescent="0.25"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</row>
    <row r="243" spans="67:74" x14ac:dyDescent="0.25"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</row>
    <row r="244" spans="67:74" x14ac:dyDescent="0.25"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</row>
    <row r="245" spans="67:74" x14ac:dyDescent="0.25"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</row>
    <row r="246" spans="67:74" x14ac:dyDescent="0.25"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</row>
    <row r="247" spans="67:74" x14ac:dyDescent="0.25"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</row>
    <row r="248" spans="67:74" x14ac:dyDescent="0.25"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</row>
    <row r="249" spans="67:74" x14ac:dyDescent="0.25"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</row>
    <row r="250" spans="67:74" x14ac:dyDescent="0.25"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</row>
    <row r="251" spans="67:74" x14ac:dyDescent="0.25"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</row>
    <row r="252" spans="67:74" x14ac:dyDescent="0.25"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</row>
    <row r="253" spans="67:74" x14ac:dyDescent="0.25"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</row>
    <row r="254" spans="67:74" x14ac:dyDescent="0.25"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</row>
    <row r="255" spans="67:74" x14ac:dyDescent="0.25"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</row>
    <row r="256" spans="67:74" x14ac:dyDescent="0.25"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</row>
    <row r="257" spans="67:74" x14ac:dyDescent="0.25"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</row>
    <row r="258" spans="67:74" x14ac:dyDescent="0.25"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</row>
    <row r="259" spans="67:74" x14ac:dyDescent="0.25"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</row>
    <row r="260" spans="67:74" x14ac:dyDescent="0.25"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</row>
    <row r="261" spans="67:74" x14ac:dyDescent="0.25"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</row>
    <row r="262" spans="67:74" x14ac:dyDescent="0.25"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</row>
    <row r="263" spans="67:74" x14ac:dyDescent="0.25"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</row>
    <row r="264" spans="67:74" x14ac:dyDescent="0.25"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</row>
    <row r="265" spans="67:74" x14ac:dyDescent="0.25"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</row>
    <row r="266" spans="67:74" x14ac:dyDescent="0.25"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</row>
    <row r="267" spans="67:74" x14ac:dyDescent="0.25"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</row>
    <row r="268" spans="67:74" x14ac:dyDescent="0.25"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</row>
    <row r="269" spans="67:74" x14ac:dyDescent="0.25"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</row>
    <row r="270" spans="67:74" x14ac:dyDescent="0.25"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</row>
    <row r="271" spans="67:74" x14ac:dyDescent="0.25"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</row>
    <row r="272" spans="67:74" x14ac:dyDescent="0.25"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</row>
    <row r="273" spans="67:74" x14ac:dyDescent="0.25"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</row>
    <row r="274" spans="67:74" x14ac:dyDescent="0.25"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</row>
    <row r="275" spans="67:74" x14ac:dyDescent="0.25"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</row>
    <row r="276" spans="67:74" x14ac:dyDescent="0.25"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</row>
    <row r="277" spans="67:74" x14ac:dyDescent="0.25"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</row>
    <row r="278" spans="67:74" x14ac:dyDescent="0.25"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</row>
    <row r="279" spans="67:74" x14ac:dyDescent="0.25"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</row>
    <row r="280" spans="67:74" x14ac:dyDescent="0.25"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</row>
    <row r="281" spans="67:74" x14ac:dyDescent="0.25"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</row>
    <row r="282" spans="67:74" x14ac:dyDescent="0.25"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</row>
    <row r="283" spans="67:74" x14ac:dyDescent="0.25"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</row>
    <row r="284" spans="67:74" x14ac:dyDescent="0.25"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</row>
    <row r="285" spans="67:74" x14ac:dyDescent="0.25"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</row>
    <row r="286" spans="67:74" x14ac:dyDescent="0.25"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</row>
    <row r="287" spans="67:74" x14ac:dyDescent="0.25"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</row>
    <row r="288" spans="67:74" x14ac:dyDescent="0.25"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</row>
    <row r="289" spans="67:74" x14ac:dyDescent="0.25"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</row>
    <row r="290" spans="67:74" x14ac:dyDescent="0.25"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</row>
    <row r="291" spans="67:74" x14ac:dyDescent="0.25"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</row>
    <row r="292" spans="67:74" x14ac:dyDescent="0.25"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</row>
    <row r="293" spans="67:74" x14ac:dyDescent="0.25"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</row>
    <row r="294" spans="67:74" x14ac:dyDescent="0.25"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</row>
    <row r="295" spans="67:74" x14ac:dyDescent="0.25"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</row>
    <row r="296" spans="67:74" x14ac:dyDescent="0.25"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</row>
    <row r="297" spans="67:74" x14ac:dyDescent="0.25"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</row>
    <row r="298" spans="67:74" x14ac:dyDescent="0.25"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</row>
    <row r="299" spans="67:74" x14ac:dyDescent="0.25"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</row>
    <row r="300" spans="67:74" x14ac:dyDescent="0.25"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</row>
    <row r="301" spans="67:74" x14ac:dyDescent="0.25"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</row>
    <row r="302" spans="67:74" x14ac:dyDescent="0.25"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</row>
    <row r="303" spans="67:74" x14ac:dyDescent="0.25"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</row>
    <row r="304" spans="67:74" x14ac:dyDescent="0.25"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</row>
    <row r="305" spans="1:80" x14ac:dyDescent="0.25"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</row>
    <row r="306" spans="1:80" x14ac:dyDescent="0.25"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</row>
    <row r="307" spans="1:80" x14ac:dyDescent="0.25"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</row>
    <row r="308" spans="1:80" x14ac:dyDescent="0.25"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</row>
    <row r="309" spans="1:80" s="5" customFormat="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/>
      <c r="BX309"/>
      <c r="BY309"/>
      <c r="BZ309"/>
      <c r="CA309"/>
      <c r="CB309"/>
    </row>
    <row r="310" spans="1:80" x14ac:dyDescent="0.25"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</row>
    <row r="311" spans="1:80" x14ac:dyDescent="0.25"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</row>
    <row r="312" spans="1:80" x14ac:dyDescent="0.25"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</row>
    <row r="313" spans="1:80" x14ac:dyDescent="0.25"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</row>
    <row r="314" spans="1:80" x14ac:dyDescent="0.25"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</row>
    <row r="315" spans="1:80" x14ac:dyDescent="0.25"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</row>
    <row r="316" spans="1:80" x14ac:dyDescent="0.25"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</row>
    <row r="317" spans="1:80" x14ac:dyDescent="0.25"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</row>
    <row r="318" spans="1:80" x14ac:dyDescent="0.25"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</row>
    <row r="319" spans="1:80" x14ac:dyDescent="0.25"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</row>
    <row r="320" spans="1:80" x14ac:dyDescent="0.25"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</row>
    <row r="321" spans="67:74" x14ac:dyDescent="0.25"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</row>
    <row r="322" spans="67:74" x14ac:dyDescent="0.25"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</row>
    <row r="323" spans="67:74" x14ac:dyDescent="0.25"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</row>
    <row r="324" spans="67:74" x14ac:dyDescent="0.25"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</row>
    <row r="325" spans="67:74" x14ac:dyDescent="0.25"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</row>
    <row r="326" spans="67:74" x14ac:dyDescent="0.25"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</row>
    <row r="327" spans="67:74" x14ac:dyDescent="0.25"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</row>
    <row r="328" spans="67:74" x14ac:dyDescent="0.25">
      <c r="BO328">
        <v>0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</row>
    <row r="329" spans="67:74" x14ac:dyDescent="0.25"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</row>
    <row r="330" spans="67:74" x14ac:dyDescent="0.25"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</row>
    <row r="331" spans="67:74" x14ac:dyDescent="0.25"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</row>
    <row r="332" spans="67:74" x14ac:dyDescent="0.25"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</row>
    <row r="333" spans="67:74" x14ac:dyDescent="0.25"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</row>
    <row r="334" spans="67:74" x14ac:dyDescent="0.25"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</row>
    <row r="335" spans="67:74" x14ac:dyDescent="0.25"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</row>
    <row r="336" spans="67:74" x14ac:dyDescent="0.25"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</row>
    <row r="337" spans="67:74" x14ac:dyDescent="0.25"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</row>
    <row r="338" spans="67:74" x14ac:dyDescent="0.25"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</row>
    <row r="339" spans="67:74" x14ac:dyDescent="0.25">
      <c r="BO339">
        <v>0</v>
      </c>
      <c r="BP339">
        <v>0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</row>
    <row r="340" spans="67:74" x14ac:dyDescent="0.25"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</row>
    <row r="341" spans="67:74" x14ac:dyDescent="0.25"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</row>
    <row r="342" spans="67:74" x14ac:dyDescent="0.25"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</row>
    <row r="343" spans="67:74" x14ac:dyDescent="0.25"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</row>
    <row r="344" spans="67:74" x14ac:dyDescent="0.25"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</row>
    <row r="345" spans="67:74" x14ac:dyDescent="0.25"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</row>
    <row r="346" spans="67:74" x14ac:dyDescent="0.25">
      <c r="BO346">
        <v>0</v>
      </c>
      <c r="BP346">
        <v>0</v>
      </c>
      <c r="BQ346">
        <v>0</v>
      </c>
      <c r="BR346">
        <v>0</v>
      </c>
      <c r="BS346">
        <v>0</v>
      </c>
      <c r="BT346">
        <v>0</v>
      </c>
      <c r="BU346">
        <v>0</v>
      </c>
      <c r="BV346">
        <v>0</v>
      </c>
    </row>
    <row r="347" spans="67:74" x14ac:dyDescent="0.25"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</row>
    <row r="348" spans="67:74" x14ac:dyDescent="0.25"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</row>
    <row r="349" spans="67:74" x14ac:dyDescent="0.25">
      <c r="BO349">
        <v>0</v>
      </c>
      <c r="BP349">
        <v>0</v>
      </c>
      <c r="BQ349">
        <v>0</v>
      </c>
      <c r="BR349">
        <v>0</v>
      </c>
      <c r="BS349">
        <v>0</v>
      </c>
      <c r="BT349">
        <v>0</v>
      </c>
      <c r="BU349">
        <v>0</v>
      </c>
      <c r="BV349">
        <v>0</v>
      </c>
    </row>
    <row r="350" spans="67:74" x14ac:dyDescent="0.25">
      <c r="BO350">
        <v>0</v>
      </c>
      <c r="BP350">
        <v>0</v>
      </c>
      <c r="BQ350">
        <v>0</v>
      </c>
      <c r="BR350">
        <v>0</v>
      </c>
      <c r="BS350">
        <v>0</v>
      </c>
      <c r="BT350">
        <v>0</v>
      </c>
      <c r="BU350">
        <v>0</v>
      </c>
      <c r="BV350">
        <v>0</v>
      </c>
    </row>
    <row r="351" spans="67:74" x14ac:dyDescent="0.25">
      <c r="BO351">
        <v>0</v>
      </c>
      <c r="BP351">
        <v>0</v>
      </c>
      <c r="BQ351">
        <v>0</v>
      </c>
      <c r="BR351">
        <v>0</v>
      </c>
      <c r="BS351">
        <v>0</v>
      </c>
      <c r="BT351">
        <v>0</v>
      </c>
      <c r="BU351">
        <v>0</v>
      </c>
      <c r="BV351">
        <v>0</v>
      </c>
    </row>
    <row r="352" spans="67:74" x14ac:dyDescent="0.25">
      <c r="BO352">
        <v>0</v>
      </c>
      <c r="BP352">
        <v>0</v>
      </c>
      <c r="BQ352">
        <v>0</v>
      </c>
      <c r="BR352">
        <v>0</v>
      </c>
      <c r="BS352">
        <v>0</v>
      </c>
      <c r="BT352">
        <v>0</v>
      </c>
      <c r="BU352">
        <v>0</v>
      </c>
      <c r="BV352">
        <v>0</v>
      </c>
    </row>
    <row r="353" spans="67:74" x14ac:dyDescent="0.25">
      <c r="BO353">
        <v>0</v>
      </c>
      <c r="BP353">
        <v>0</v>
      </c>
      <c r="BQ353">
        <v>0</v>
      </c>
      <c r="BR353">
        <v>0</v>
      </c>
      <c r="BS353">
        <v>0</v>
      </c>
      <c r="BT353">
        <v>0</v>
      </c>
      <c r="BU353">
        <v>0</v>
      </c>
      <c r="BV353">
        <v>0</v>
      </c>
    </row>
    <row r="354" spans="67:74" x14ac:dyDescent="0.25"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</row>
    <row r="355" spans="67:74" x14ac:dyDescent="0.25">
      <c r="BO355">
        <v>0</v>
      </c>
      <c r="BP355">
        <v>0</v>
      </c>
      <c r="BQ355">
        <v>0</v>
      </c>
      <c r="BR355">
        <v>0</v>
      </c>
      <c r="BS355">
        <v>0</v>
      </c>
      <c r="BT355">
        <v>0</v>
      </c>
      <c r="BU355">
        <v>0</v>
      </c>
      <c r="BV355">
        <v>0</v>
      </c>
    </row>
    <row r="356" spans="67:74" x14ac:dyDescent="0.25">
      <c r="BO356">
        <v>0</v>
      </c>
      <c r="BP356">
        <v>0</v>
      </c>
      <c r="BQ356">
        <v>0</v>
      </c>
      <c r="BR356">
        <v>0</v>
      </c>
      <c r="BS356">
        <v>0</v>
      </c>
      <c r="BT356">
        <v>0</v>
      </c>
      <c r="BU356">
        <v>0</v>
      </c>
      <c r="BV356">
        <v>0</v>
      </c>
    </row>
    <row r="357" spans="67:74" x14ac:dyDescent="0.25"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</row>
    <row r="358" spans="67:74" x14ac:dyDescent="0.25"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</row>
    <row r="359" spans="67:74" x14ac:dyDescent="0.25"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</row>
    <row r="360" spans="67:74" x14ac:dyDescent="0.25"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</row>
    <row r="361" spans="67:74" x14ac:dyDescent="0.25"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</row>
    <row r="362" spans="67:74" x14ac:dyDescent="0.25"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</row>
    <row r="363" spans="67:74" x14ac:dyDescent="0.25"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</row>
    <row r="364" spans="67:74" x14ac:dyDescent="0.25"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</row>
    <row r="365" spans="67:74" x14ac:dyDescent="0.25"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</row>
    <row r="366" spans="67:74" x14ac:dyDescent="0.25"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</row>
    <row r="367" spans="67:74" x14ac:dyDescent="0.25"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</row>
    <row r="368" spans="67:74" x14ac:dyDescent="0.25"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</row>
    <row r="369" spans="1:80" x14ac:dyDescent="0.25"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</row>
    <row r="370" spans="1:80" x14ac:dyDescent="0.25"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</row>
    <row r="371" spans="1:80" x14ac:dyDescent="0.25"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</row>
    <row r="372" spans="1:80" x14ac:dyDescent="0.25"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</row>
    <row r="373" spans="1:80" x14ac:dyDescent="0.25"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</row>
    <row r="374" spans="1:80" x14ac:dyDescent="0.25"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</row>
    <row r="375" spans="1:80" x14ac:dyDescent="0.25"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</row>
    <row r="376" spans="1:80" x14ac:dyDescent="0.25"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</row>
    <row r="377" spans="1:80" x14ac:dyDescent="0.25"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</row>
    <row r="378" spans="1:80" x14ac:dyDescent="0.25"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</row>
    <row r="379" spans="1:80" x14ac:dyDescent="0.25"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</row>
    <row r="380" spans="1:80" x14ac:dyDescent="0.25"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</row>
    <row r="381" spans="1:80" x14ac:dyDescent="0.25"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</row>
    <row r="382" spans="1:80" x14ac:dyDescent="0.25"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</row>
    <row r="383" spans="1:80" x14ac:dyDescent="0.25"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</row>
    <row r="384" spans="1:80" s="5" customFormat="1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/>
      <c r="BX384"/>
      <c r="BY384"/>
      <c r="BZ384"/>
      <c r="CA384"/>
      <c r="CB384"/>
    </row>
    <row r="385" spans="67:74" x14ac:dyDescent="0.25"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</row>
    <row r="386" spans="67:74" x14ac:dyDescent="0.25"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</row>
    <row r="387" spans="67:74" x14ac:dyDescent="0.25"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</row>
    <row r="388" spans="67:74" x14ac:dyDescent="0.25"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</row>
    <row r="389" spans="67:74" x14ac:dyDescent="0.25"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</row>
    <row r="390" spans="67:74" x14ac:dyDescent="0.25"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</row>
    <row r="391" spans="67:74" x14ac:dyDescent="0.25"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</row>
    <row r="392" spans="67:74" x14ac:dyDescent="0.25"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</row>
    <row r="393" spans="67:74" x14ac:dyDescent="0.25"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</row>
    <row r="394" spans="67:74" x14ac:dyDescent="0.25"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</row>
    <row r="395" spans="67:74" x14ac:dyDescent="0.25"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</row>
    <row r="396" spans="67:74" x14ac:dyDescent="0.25"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</row>
    <row r="397" spans="67:74" x14ac:dyDescent="0.25"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</row>
    <row r="398" spans="67:74" x14ac:dyDescent="0.25"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</row>
    <row r="399" spans="67:74" x14ac:dyDescent="0.25"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</row>
    <row r="400" spans="67:74" x14ac:dyDescent="0.25"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</row>
    <row r="401" spans="67:74" x14ac:dyDescent="0.25"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</row>
    <row r="402" spans="67:74" x14ac:dyDescent="0.25"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</row>
    <row r="403" spans="67:74" x14ac:dyDescent="0.25"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</row>
    <row r="404" spans="67:74" x14ac:dyDescent="0.25"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</row>
    <row r="405" spans="67:74" x14ac:dyDescent="0.25"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</row>
    <row r="406" spans="67:74" x14ac:dyDescent="0.25"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</row>
    <row r="407" spans="67:74" x14ac:dyDescent="0.25"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</row>
    <row r="408" spans="67:74" x14ac:dyDescent="0.25"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</row>
    <row r="409" spans="67:74" x14ac:dyDescent="0.25"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</row>
    <row r="410" spans="67:74" x14ac:dyDescent="0.25"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</row>
    <row r="411" spans="67:74" x14ac:dyDescent="0.25"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</row>
    <row r="412" spans="67:74" x14ac:dyDescent="0.25"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</row>
    <row r="413" spans="67:74" x14ac:dyDescent="0.25"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</row>
    <row r="414" spans="67:74" x14ac:dyDescent="0.25"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</row>
    <row r="415" spans="67:74" x14ac:dyDescent="0.25"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</row>
    <row r="416" spans="67:74" x14ac:dyDescent="0.25"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</row>
    <row r="417" spans="67:74" x14ac:dyDescent="0.25"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</row>
    <row r="418" spans="67:74" x14ac:dyDescent="0.25"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</row>
    <row r="419" spans="67:74" x14ac:dyDescent="0.25"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</row>
    <row r="420" spans="67:74" x14ac:dyDescent="0.25"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</row>
    <row r="421" spans="67:74" x14ac:dyDescent="0.25"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</row>
    <row r="422" spans="67:74" x14ac:dyDescent="0.25"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</row>
    <row r="423" spans="67:74" x14ac:dyDescent="0.25"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</row>
    <row r="424" spans="67:74" x14ac:dyDescent="0.25"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</row>
    <row r="425" spans="67:74" x14ac:dyDescent="0.25"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</row>
    <row r="426" spans="67:74" x14ac:dyDescent="0.25"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</row>
    <row r="427" spans="67:74" x14ac:dyDescent="0.25"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</row>
    <row r="428" spans="67:74" x14ac:dyDescent="0.25"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</row>
    <row r="429" spans="67:74" x14ac:dyDescent="0.25"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</row>
    <row r="430" spans="67:74" x14ac:dyDescent="0.25"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</row>
    <row r="431" spans="67:74" x14ac:dyDescent="0.25"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</row>
    <row r="432" spans="67:74" x14ac:dyDescent="0.25"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</row>
    <row r="433" spans="67:74" x14ac:dyDescent="0.25"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</row>
    <row r="434" spans="67:74" x14ac:dyDescent="0.25"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</row>
    <row r="435" spans="67:74" x14ac:dyDescent="0.25"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</row>
    <row r="436" spans="67:74" x14ac:dyDescent="0.25"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</row>
    <row r="437" spans="67:74" x14ac:dyDescent="0.25"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</row>
    <row r="438" spans="67:74" x14ac:dyDescent="0.25"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</row>
    <row r="439" spans="67:74" x14ac:dyDescent="0.25"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</row>
    <row r="440" spans="67:74" x14ac:dyDescent="0.25"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</row>
    <row r="441" spans="67:74" x14ac:dyDescent="0.25"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</row>
    <row r="442" spans="67:74" x14ac:dyDescent="0.25"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</row>
    <row r="443" spans="67:74" x14ac:dyDescent="0.25"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</row>
    <row r="444" spans="67:74" x14ac:dyDescent="0.25"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</row>
    <row r="445" spans="67:74" x14ac:dyDescent="0.25"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</row>
    <row r="446" spans="67:74" x14ac:dyDescent="0.25"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</row>
    <row r="447" spans="67:74" x14ac:dyDescent="0.25"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</row>
    <row r="448" spans="67:74" x14ac:dyDescent="0.25"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</row>
    <row r="449" spans="67:74" x14ac:dyDescent="0.25"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</row>
    <row r="450" spans="67:74" x14ac:dyDescent="0.25"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</row>
    <row r="451" spans="67:74" x14ac:dyDescent="0.25"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</row>
    <row r="452" spans="67:74" x14ac:dyDescent="0.25"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</row>
    <row r="453" spans="67:74" x14ac:dyDescent="0.25"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</row>
    <row r="454" spans="67:74" x14ac:dyDescent="0.25"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</row>
    <row r="455" spans="67:74" x14ac:dyDescent="0.25"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</row>
    <row r="456" spans="67:74" x14ac:dyDescent="0.25"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</row>
    <row r="457" spans="67:74" x14ac:dyDescent="0.25"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</row>
    <row r="458" spans="67:74" x14ac:dyDescent="0.25"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</row>
    <row r="459" spans="67:74" x14ac:dyDescent="0.25"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</row>
    <row r="460" spans="67:74" x14ac:dyDescent="0.25"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</row>
    <row r="461" spans="67:74" x14ac:dyDescent="0.25"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</row>
    <row r="462" spans="67:74" x14ac:dyDescent="0.25"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</row>
    <row r="463" spans="67:74" x14ac:dyDescent="0.25"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</row>
    <row r="464" spans="67:74" x14ac:dyDescent="0.25"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</row>
    <row r="465" spans="67:74" x14ac:dyDescent="0.25"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</row>
    <row r="466" spans="67:74" x14ac:dyDescent="0.25"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</row>
    <row r="467" spans="67:74" x14ac:dyDescent="0.25"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</row>
    <row r="468" spans="67:74" x14ac:dyDescent="0.25"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</row>
    <row r="469" spans="67:74" x14ac:dyDescent="0.25"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</row>
    <row r="470" spans="67:74" x14ac:dyDescent="0.25"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</row>
    <row r="471" spans="67:74" x14ac:dyDescent="0.25"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</row>
    <row r="472" spans="67:74" x14ac:dyDescent="0.25"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</row>
    <row r="473" spans="67:74" x14ac:dyDescent="0.25"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</row>
    <row r="474" spans="67:74" x14ac:dyDescent="0.25"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</row>
    <row r="475" spans="67:74" x14ac:dyDescent="0.25"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</row>
    <row r="476" spans="67:74" x14ac:dyDescent="0.25"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</row>
    <row r="477" spans="67:74" x14ac:dyDescent="0.25"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</row>
    <row r="478" spans="67:74" x14ac:dyDescent="0.25"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</row>
    <row r="479" spans="67:74" x14ac:dyDescent="0.25"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</row>
    <row r="480" spans="67:74" x14ac:dyDescent="0.25"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</row>
    <row r="481" spans="67:74" x14ac:dyDescent="0.25"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</row>
    <row r="482" spans="67:74" x14ac:dyDescent="0.25"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</row>
    <row r="483" spans="67:74" x14ac:dyDescent="0.25"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</row>
    <row r="484" spans="67:74" x14ac:dyDescent="0.25"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</row>
    <row r="485" spans="67:74" x14ac:dyDescent="0.25"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</row>
    <row r="486" spans="67:74" x14ac:dyDescent="0.25"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</row>
    <row r="487" spans="67:74" x14ac:dyDescent="0.25"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</row>
    <row r="488" spans="67:74" x14ac:dyDescent="0.25"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</row>
    <row r="489" spans="67:74" x14ac:dyDescent="0.25"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</row>
    <row r="490" spans="67:74" x14ac:dyDescent="0.25"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</row>
    <row r="491" spans="67:74" x14ac:dyDescent="0.25"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</row>
    <row r="492" spans="67:74" x14ac:dyDescent="0.25"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</row>
    <row r="493" spans="67:74" x14ac:dyDescent="0.25"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</row>
    <row r="494" spans="67:74" x14ac:dyDescent="0.25"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</row>
    <row r="495" spans="67:74" x14ac:dyDescent="0.25"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</row>
    <row r="496" spans="67:74" x14ac:dyDescent="0.25"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</row>
    <row r="497" spans="67:74" x14ac:dyDescent="0.25"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</row>
    <row r="498" spans="67:74" x14ac:dyDescent="0.25"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</row>
    <row r="499" spans="67:74" x14ac:dyDescent="0.25"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</row>
    <row r="500" spans="67:74" x14ac:dyDescent="0.25"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</row>
    <row r="501" spans="67:74" x14ac:dyDescent="0.25"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</row>
    <row r="502" spans="67:74" x14ac:dyDescent="0.25"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</row>
    <row r="503" spans="67:74" x14ac:dyDescent="0.25"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</row>
    <row r="504" spans="67:74" x14ac:dyDescent="0.25"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</row>
    <row r="505" spans="67:74" x14ac:dyDescent="0.25"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</row>
    <row r="506" spans="67:74" x14ac:dyDescent="0.25"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</row>
    <row r="507" spans="67:74" x14ac:dyDescent="0.25"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</row>
    <row r="508" spans="67:74" x14ac:dyDescent="0.25"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</row>
    <row r="509" spans="67:74" x14ac:dyDescent="0.25"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</row>
    <row r="510" spans="67:74" x14ac:dyDescent="0.25"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</row>
    <row r="511" spans="67:74" x14ac:dyDescent="0.25"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</row>
    <row r="512" spans="67:74" x14ac:dyDescent="0.25"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</row>
    <row r="513" spans="67:74" x14ac:dyDescent="0.25"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</row>
    <row r="514" spans="67:74" x14ac:dyDescent="0.25"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</row>
    <row r="515" spans="67:74" x14ac:dyDescent="0.25"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</row>
    <row r="516" spans="67:74" x14ac:dyDescent="0.25"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</row>
    <row r="517" spans="67:74" x14ac:dyDescent="0.25"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</row>
    <row r="518" spans="67:74" x14ac:dyDescent="0.25"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</row>
    <row r="519" spans="67:74" x14ac:dyDescent="0.25"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</row>
    <row r="520" spans="67:74" x14ac:dyDescent="0.25"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</row>
    <row r="521" spans="67:74" x14ac:dyDescent="0.25"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</row>
    <row r="522" spans="67:74" x14ac:dyDescent="0.25"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</row>
    <row r="523" spans="67:74" x14ac:dyDescent="0.25"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</row>
    <row r="524" spans="67:74" x14ac:dyDescent="0.25"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</row>
    <row r="525" spans="67:74" x14ac:dyDescent="0.25"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</row>
    <row r="526" spans="67:74" x14ac:dyDescent="0.25"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</row>
    <row r="527" spans="67:74" x14ac:dyDescent="0.25"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</row>
    <row r="528" spans="67:74" x14ac:dyDescent="0.25"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</row>
    <row r="529" spans="67:74" x14ac:dyDescent="0.25"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</row>
    <row r="530" spans="67:74" x14ac:dyDescent="0.25"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</row>
    <row r="531" spans="67:74" x14ac:dyDescent="0.25"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</row>
    <row r="532" spans="67:74" x14ac:dyDescent="0.25"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</row>
    <row r="533" spans="67:74" x14ac:dyDescent="0.25"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</row>
    <row r="534" spans="67:74" x14ac:dyDescent="0.25"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</row>
    <row r="535" spans="67:74" x14ac:dyDescent="0.25"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</row>
    <row r="536" spans="67:74" x14ac:dyDescent="0.25"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</row>
    <row r="537" spans="67:74" x14ac:dyDescent="0.25"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</row>
    <row r="538" spans="67:74" x14ac:dyDescent="0.25"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</row>
    <row r="539" spans="67:74" x14ac:dyDescent="0.25"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</row>
    <row r="540" spans="67:74" x14ac:dyDescent="0.25"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</row>
    <row r="541" spans="67:74" x14ac:dyDescent="0.25"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</row>
    <row r="542" spans="67:74" x14ac:dyDescent="0.25"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</row>
    <row r="543" spans="67:74" x14ac:dyDescent="0.25"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</row>
    <row r="544" spans="67:74" x14ac:dyDescent="0.25"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</row>
    <row r="545" spans="67:74" x14ac:dyDescent="0.25"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</row>
    <row r="546" spans="67:74" x14ac:dyDescent="0.25"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</row>
    <row r="547" spans="67:74" x14ac:dyDescent="0.25"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</row>
    <row r="548" spans="67:74" x14ac:dyDescent="0.25"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</row>
    <row r="549" spans="67:74" x14ac:dyDescent="0.25"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</row>
    <row r="550" spans="67:74" x14ac:dyDescent="0.25"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</row>
    <row r="551" spans="67:74" x14ac:dyDescent="0.25"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</row>
    <row r="552" spans="67:74" x14ac:dyDescent="0.25"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</row>
    <row r="553" spans="67:74" x14ac:dyDescent="0.25"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</row>
    <row r="554" spans="67:74" x14ac:dyDescent="0.25"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</row>
    <row r="555" spans="67:74" x14ac:dyDescent="0.25"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</row>
    <row r="556" spans="67:74" x14ac:dyDescent="0.25"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</row>
    <row r="557" spans="67:74" x14ac:dyDescent="0.25"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</row>
    <row r="558" spans="67:74" x14ac:dyDescent="0.25"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</row>
    <row r="559" spans="67:74" x14ac:dyDescent="0.25"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</row>
    <row r="560" spans="67:74" x14ac:dyDescent="0.25"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</row>
    <row r="561" spans="67:74" x14ac:dyDescent="0.25"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</row>
    <row r="562" spans="67:74" x14ac:dyDescent="0.25"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</row>
    <row r="563" spans="67:74" x14ac:dyDescent="0.25"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</row>
    <row r="564" spans="67:74" x14ac:dyDescent="0.25"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</row>
    <row r="565" spans="67:74" x14ac:dyDescent="0.25"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</row>
    <row r="566" spans="67:74" x14ac:dyDescent="0.25"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</row>
    <row r="567" spans="67:74" x14ac:dyDescent="0.25"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</row>
    <row r="568" spans="67:74" x14ac:dyDescent="0.25"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</row>
    <row r="569" spans="67:74" x14ac:dyDescent="0.25"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</row>
    <row r="570" spans="67:74" x14ac:dyDescent="0.25"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</row>
    <row r="571" spans="67:74" x14ac:dyDescent="0.25"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</row>
    <row r="572" spans="67:74" x14ac:dyDescent="0.25"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</row>
    <row r="573" spans="67:74" x14ac:dyDescent="0.25"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</row>
    <row r="574" spans="67:74" x14ac:dyDescent="0.25"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</row>
    <row r="575" spans="67:74" x14ac:dyDescent="0.25"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</row>
    <row r="576" spans="67:74" x14ac:dyDescent="0.25"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</row>
    <row r="577" spans="67:74" x14ac:dyDescent="0.25"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</row>
    <row r="578" spans="67:74" x14ac:dyDescent="0.25"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</row>
    <row r="579" spans="67:74" x14ac:dyDescent="0.25"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</row>
    <row r="580" spans="67:74" x14ac:dyDescent="0.25"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</row>
    <row r="581" spans="67:74" x14ac:dyDescent="0.25"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</row>
    <row r="582" spans="67:74" x14ac:dyDescent="0.25"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</row>
    <row r="583" spans="67:74" x14ac:dyDescent="0.25"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</row>
    <row r="584" spans="67:74" x14ac:dyDescent="0.25"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</row>
    <row r="585" spans="67:74" x14ac:dyDescent="0.25"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</row>
    <row r="586" spans="67:74" x14ac:dyDescent="0.25"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</row>
    <row r="587" spans="67:74" x14ac:dyDescent="0.25"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</row>
    <row r="588" spans="67:74" x14ac:dyDescent="0.25"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</row>
    <row r="589" spans="67:74" x14ac:dyDescent="0.25"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</row>
    <row r="590" spans="67:74" x14ac:dyDescent="0.25"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</row>
    <row r="591" spans="67:74" x14ac:dyDescent="0.25"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</row>
    <row r="592" spans="67:74" x14ac:dyDescent="0.25"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</row>
    <row r="593" spans="67:74" x14ac:dyDescent="0.25"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</row>
    <row r="594" spans="67:74" x14ac:dyDescent="0.25"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</row>
    <row r="595" spans="67:74" x14ac:dyDescent="0.25"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</row>
    <row r="596" spans="67:74" x14ac:dyDescent="0.25"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</row>
    <row r="597" spans="67:74" x14ac:dyDescent="0.25"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</row>
    <row r="598" spans="67:74" x14ac:dyDescent="0.25"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</row>
    <row r="599" spans="67:74" x14ac:dyDescent="0.25"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</row>
    <row r="600" spans="67:74" x14ac:dyDescent="0.25"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</row>
    <row r="601" spans="67:74" x14ac:dyDescent="0.25"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</row>
    <row r="602" spans="67:74" x14ac:dyDescent="0.25"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</row>
    <row r="603" spans="67:74" x14ac:dyDescent="0.25"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</row>
    <row r="604" spans="67:74" x14ac:dyDescent="0.25"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</row>
    <row r="605" spans="67:74" x14ac:dyDescent="0.25"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</row>
    <row r="606" spans="67:74" x14ac:dyDescent="0.25"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</row>
    <row r="607" spans="67:74" x14ac:dyDescent="0.25"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</row>
    <row r="608" spans="67:74" x14ac:dyDescent="0.25"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</row>
    <row r="609" spans="67:74" x14ac:dyDescent="0.25"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</row>
    <row r="610" spans="67:74" x14ac:dyDescent="0.25"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</row>
    <row r="611" spans="67:74" x14ac:dyDescent="0.25"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</row>
    <row r="612" spans="67:74" x14ac:dyDescent="0.25"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</row>
    <row r="613" spans="67:74" x14ac:dyDescent="0.25"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</row>
    <row r="614" spans="67:74" x14ac:dyDescent="0.25"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</row>
    <row r="615" spans="67:74" x14ac:dyDescent="0.25"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</row>
    <row r="616" spans="67:74" x14ac:dyDescent="0.25"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</row>
    <row r="617" spans="67:74" x14ac:dyDescent="0.25"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</row>
    <row r="618" spans="67:74" x14ac:dyDescent="0.25"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</row>
    <row r="619" spans="67:74" x14ac:dyDescent="0.25"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</row>
    <row r="620" spans="67:74" x14ac:dyDescent="0.25"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</row>
    <row r="621" spans="67:74" x14ac:dyDescent="0.25"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</row>
    <row r="622" spans="67:74" x14ac:dyDescent="0.25"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</row>
    <row r="623" spans="67:74" x14ac:dyDescent="0.25"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</row>
    <row r="624" spans="67:74" x14ac:dyDescent="0.25"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</row>
    <row r="625" spans="67:74" x14ac:dyDescent="0.25"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</row>
    <row r="626" spans="67:74" x14ac:dyDescent="0.25"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</row>
    <row r="627" spans="67:74" x14ac:dyDescent="0.25"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</row>
    <row r="628" spans="67:74" x14ac:dyDescent="0.25"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</row>
    <row r="629" spans="67:74" x14ac:dyDescent="0.25"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</row>
    <row r="630" spans="67:74" x14ac:dyDescent="0.25"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</row>
    <row r="631" spans="67:74" x14ac:dyDescent="0.25"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</row>
    <row r="632" spans="67:74" x14ac:dyDescent="0.25"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</row>
    <row r="633" spans="67:74" x14ac:dyDescent="0.25"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</row>
    <row r="634" spans="67:74" x14ac:dyDescent="0.25"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</row>
    <row r="635" spans="67:74" x14ac:dyDescent="0.25"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</row>
    <row r="636" spans="67:74" x14ac:dyDescent="0.25"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</row>
    <row r="637" spans="67:74" x14ac:dyDescent="0.25"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</row>
    <row r="638" spans="67:74" x14ac:dyDescent="0.25"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</row>
    <row r="639" spans="67:74" x14ac:dyDescent="0.25"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</row>
    <row r="640" spans="67:74" x14ac:dyDescent="0.25"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</row>
    <row r="641" spans="67:74" x14ac:dyDescent="0.25"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</row>
    <row r="642" spans="67:74" x14ac:dyDescent="0.25"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</row>
    <row r="643" spans="67:74" x14ac:dyDescent="0.25"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</row>
    <row r="644" spans="67:74" x14ac:dyDescent="0.25"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</row>
    <row r="645" spans="67:74" x14ac:dyDescent="0.25"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</row>
    <row r="646" spans="67:74" x14ac:dyDescent="0.25"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</row>
    <row r="647" spans="67:74" x14ac:dyDescent="0.25"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</row>
    <row r="648" spans="67:74" x14ac:dyDescent="0.25"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</row>
    <row r="649" spans="67:74" x14ac:dyDescent="0.25"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</row>
    <row r="650" spans="67:74" x14ac:dyDescent="0.25"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</row>
    <row r="651" spans="67:74" x14ac:dyDescent="0.25"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</row>
    <row r="652" spans="67:74" x14ac:dyDescent="0.25"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</row>
    <row r="653" spans="67:74" x14ac:dyDescent="0.25"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</row>
    <row r="654" spans="67:74" x14ac:dyDescent="0.25"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</row>
    <row r="655" spans="67:74" x14ac:dyDescent="0.25"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</row>
    <row r="656" spans="67:74" x14ac:dyDescent="0.25"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</row>
    <row r="657" spans="67:74" x14ac:dyDescent="0.25"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</row>
    <row r="658" spans="67:74" x14ac:dyDescent="0.25"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</row>
    <row r="659" spans="67:74" x14ac:dyDescent="0.25"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</row>
    <row r="660" spans="67:74" x14ac:dyDescent="0.25"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</row>
    <row r="661" spans="67:74" x14ac:dyDescent="0.25"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</row>
    <row r="662" spans="67:74" x14ac:dyDescent="0.25"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</row>
    <row r="663" spans="67:74" x14ac:dyDescent="0.25"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</row>
    <row r="664" spans="67:74" x14ac:dyDescent="0.25"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</row>
    <row r="665" spans="67:74" x14ac:dyDescent="0.25"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</row>
    <row r="666" spans="67:74" x14ac:dyDescent="0.25"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</row>
    <row r="667" spans="67:74" x14ac:dyDescent="0.25"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</row>
    <row r="668" spans="67:74" x14ac:dyDescent="0.25"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</row>
    <row r="669" spans="67:74" x14ac:dyDescent="0.25"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</row>
    <row r="670" spans="67:74" x14ac:dyDescent="0.25"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</row>
    <row r="671" spans="67:74" x14ac:dyDescent="0.25"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</row>
    <row r="672" spans="67:74" x14ac:dyDescent="0.25"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</row>
    <row r="673" spans="67:74" x14ac:dyDescent="0.25"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</row>
    <row r="674" spans="67:74" x14ac:dyDescent="0.25"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</row>
    <row r="675" spans="67:74" x14ac:dyDescent="0.25"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</row>
    <row r="676" spans="67:74" x14ac:dyDescent="0.25"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</row>
    <row r="677" spans="67:74" x14ac:dyDescent="0.25"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</row>
    <row r="678" spans="67:74" x14ac:dyDescent="0.25"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</row>
    <row r="679" spans="67:74" x14ac:dyDescent="0.25"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</row>
    <row r="680" spans="67:74" x14ac:dyDescent="0.25"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</row>
    <row r="681" spans="67:74" x14ac:dyDescent="0.25"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</row>
    <row r="682" spans="67:74" x14ac:dyDescent="0.25"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</row>
    <row r="683" spans="67:74" x14ac:dyDescent="0.25"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</row>
    <row r="684" spans="67:74" x14ac:dyDescent="0.25"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</row>
    <row r="685" spans="67:74" x14ac:dyDescent="0.25"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</row>
    <row r="686" spans="67:74" x14ac:dyDescent="0.25"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</row>
    <row r="687" spans="67:74" x14ac:dyDescent="0.25"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</row>
    <row r="688" spans="67:74" x14ac:dyDescent="0.25"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</row>
    <row r="689" spans="67:74" x14ac:dyDescent="0.25"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</row>
    <row r="690" spans="67:74" x14ac:dyDescent="0.25"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</row>
    <row r="691" spans="67:74" x14ac:dyDescent="0.25"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</row>
    <row r="692" spans="67:74" x14ac:dyDescent="0.25"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</row>
    <row r="693" spans="67:74" x14ac:dyDescent="0.25"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</row>
    <row r="694" spans="67:74" x14ac:dyDescent="0.25"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</row>
    <row r="695" spans="67:74" x14ac:dyDescent="0.25"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</row>
    <row r="696" spans="67:74" x14ac:dyDescent="0.25"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</row>
    <row r="697" spans="67:74" x14ac:dyDescent="0.25"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</row>
    <row r="698" spans="67:74" x14ac:dyDescent="0.25"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</row>
    <row r="699" spans="67:74" x14ac:dyDescent="0.25"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</row>
    <row r="700" spans="67:74" x14ac:dyDescent="0.25"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</row>
    <row r="701" spans="67:74" x14ac:dyDescent="0.25"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</row>
    <row r="702" spans="67:74" x14ac:dyDescent="0.25"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</row>
    <row r="703" spans="67:74" x14ac:dyDescent="0.25"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</row>
    <row r="704" spans="67:74" x14ac:dyDescent="0.25"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</row>
    <row r="705" spans="67:74" x14ac:dyDescent="0.25"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</row>
    <row r="706" spans="67:74" x14ac:dyDescent="0.25"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</row>
    <row r="707" spans="67:74" x14ac:dyDescent="0.25"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</row>
    <row r="708" spans="67:74" x14ac:dyDescent="0.25"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</row>
    <row r="709" spans="67:74" x14ac:dyDescent="0.25"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</row>
    <row r="710" spans="67:74" x14ac:dyDescent="0.25"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</row>
    <row r="711" spans="67:74" x14ac:dyDescent="0.25"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</row>
    <row r="712" spans="67:74" x14ac:dyDescent="0.25"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</row>
    <row r="713" spans="67:74" x14ac:dyDescent="0.25"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</row>
    <row r="714" spans="67:74" x14ac:dyDescent="0.25"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</row>
    <row r="715" spans="67:74" x14ac:dyDescent="0.25"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</row>
    <row r="716" spans="67:74" x14ac:dyDescent="0.25"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</row>
    <row r="717" spans="67:74" x14ac:dyDescent="0.25"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</row>
    <row r="718" spans="67:74" x14ac:dyDescent="0.25"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</row>
    <row r="719" spans="67:74" x14ac:dyDescent="0.25"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</row>
    <row r="720" spans="67:74" x14ac:dyDescent="0.25"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</row>
    <row r="721" spans="67:74" x14ac:dyDescent="0.25"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</row>
    <row r="722" spans="67:74" x14ac:dyDescent="0.25"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</row>
    <row r="723" spans="67:74" x14ac:dyDescent="0.25"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</row>
    <row r="724" spans="67:74" x14ac:dyDescent="0.25"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</row>
    <row r="725" spans="67:74" x14ac:dyDescent="0.25"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</row>
    <row r="726" spans="67:74" x14ac:dyDescent="0.25">
      <c r="BO726">
        <v>0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</row>
    <row r="727" spans="67:74" x14ac:dyDescent="0.25"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</row>
    <row r="728" spans="67:74" x14ac:dyDescent="0.25"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</row>
    <row r="729" spans="67:74" x14ac:dyDescent="0.25"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</row>
    <row r="730" spans="67:74" x14ac:dyDescent="0.25">
      <c r="BO730">
        <v>0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</row>
    <row r="731" spans="67:74" x14ac:dyDescent="0.25"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</row>
    <row r="732" spans="67:74" x14ac:dyDescent="0.25"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</row>
    <row r="733" spans="67:74" x14ac:dyDescent="0.25"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</row>
    <row r="734" spans="67:74" x14ac:dyDescent="0.25"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</row>
    <row r="735" spans="67:74" x14ac:dyDescent="0.25"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</row>
    <row r="736" spans="67:74" x14ac:dyDescent="0.25"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</row>
    <row r="737" spans="67:74" x14ac:dyDescent="0.25"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</row>
    <row r="738" spans="67:74" x14ac:dyDescent="0.25"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</row>
    <row r="739" spans="67:74" x14ac:dyDescent="0.25"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</row>
    <row r="740" spans="67:74" x14ac:dyDescent="0.25"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</row>
    <row r="741" spans="67:74" x14ac:dyDescent="0.25"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</row>
    <row r="742" spans="67:74" x14ac:dyDescent="0.25"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</row>
    <row r="743" spans="67:74" x14ac:dyDescent="0.25"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</row>
    <row r="744" spans="67:74" x14ac:dyDescent="0.25"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</row>
    <row r="745" spans="67:74" x14ac:dyDescent="0.25"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</row>
    <row r="746" spans="67:74" x14ac:dyDescent="0.25"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</row>
    <row r="747" spans="67:74" x14ac:dyDescent="0.25"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</row>
    <row r="748" spans="67:74" x14ac:dyDescent="0.25"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</row>
    <row r="749" spans="67:74" x14ac:dyDescent="0.25"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</row>
    <row r="750" spans="67:74" x14ac:dyDescent="0.25"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</row>
    <row r="751" spans="67:74" x14ac:dyDescent="0.25"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</row>
    <row r="752" spans="67:74" x14ac:dyDescent="0.25"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</row>
    <row r="753" spans="67:74" x14ac:dyDescent="0.25"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</row>
    <row r="754" spans="67:74" x14ac:dyDescent="0.25"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</row>
    <row r="755" spans="67:74" x14ac:dyDescent="0.25"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</row>
    <row r="756" spans="67:74" x14ac:dyDescent="0.25"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</row>
    <row r="757" spans="67:74" x14ac:dyDescent="0.25"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</row>
    <row r="758" spans="67:74" x14ac:dyDescent="0.25"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</row>
    <row r="759" spans="67:74" x14ac:dyDescent="0.25"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</row>
    <row r="760" spans="67:74" x14ac:dyDescent="0.25"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</row>
    <row r="761" spans="67:74" x14ac:dyDescent="0.25"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</row>
    <row r="762" spans="67:74" x14ac:dyDescent="0.25"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</row>
    <row r="763" spans="67:74" x14ac:dyDescent="0.25"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</row>
    <row r="764" spans="67:74" x14ac:dyDescent="0.25"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</row>
    <row r="765" spans="67:74" x14ac:dyDescent="0.25"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</row>
    <row r="766" spans="67:74" x14ac:dyDescent="0.25"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</row>
    <row r="767" spans="67:74" x14ac:dyDescent="0.25"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</row>
    <row r="768" spans="67:74" x14ac:dyDescent="0.25"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</row>
    <row r="769" spans="67:74" x14ac:dyDescent="0.25"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</row>
    <row r="770" spans="67:74" x14ac:dyDescent="0.25"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</row>
    <row r="771" spans="67:74" x14ac:dyDescent="0.25"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</row>
    <row r="772" spans="67:74" x14ac:dyDescent="0.25"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</row>
    <row r="773" spans="67:74" x14ac:dyDescent="0.25"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</row>
    <row r="774" spans="67:74" x14ac:dyDescent="0.25"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</row>
    <row r="775" spans="67:74" x14ac:dyDescent="0.25"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</row>
    <row r="776" spans="67:74" x14ac:dyDescent="0.25"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</row>
    <row r="777" spans="67:74" x14ac:dyDescent="0.25"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</row>
    <row r="778" spans="67:74" x14ac:dyDescent="0.25"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</row>
    <row r="779" spans="67:74" x14ac:dyDescent="0.25"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</row>
    <row r="780" spans="67:74" x14ac:dyDescent="0.25"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</row>
    <row r="781" spans="67:74" x14ac:dyDescent="0.25"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</row>
    <row r="782" spans="67:74" x14ac:dyDescent="0.25"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</row>
    <row r="783" spans="67:74" x14ac:dyDescent="0.25"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</row>
    <row r="784" spans="67:74" x14ac:dyDescent="0.25"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</row>
    <row r="785" spans="67:74" x14ac:dyDescent="0.25">
      <c r="BO785">
        <v>0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</row>
    <row r="786" spans="67:74" x14ac:dyDescent="0.25"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</row>
    <row r="787" spans="67:74" x14ac:dyDescent="0.25"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</row>
    <row r="788" spans="67:74" x14ac:dyDescent="0.25"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</row>
    <row r="789" spans="67:74" x14ac:dyDescent="0.25"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</row>
    <row r="790" spans="67:74" x14ac:dyDescent="0.25"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</row>
    <row r="791" spans="67:74" x14ac:dyDescent="0.25"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</row>
    <row r="792" spans="67:74" x14ac:dyDescent="0.25"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</row>
    <row r="793" spans="67:74" x14ac:dyDescent="0.25"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</row>
    <row r="794" spans="67:74" x14ac:dyDescent="0.25"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</row>
    <row r="795" spans="67:74" x14ac:dyDescent="0.25"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</row>
    <row r="796" spans="67:74" x14ac:dyDescent="0.25"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</row>
    <row r="797" spans="67:74" x14ac:dyDescent="0.25"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</row>
    <row r="798" spans="67:74" x14ac:dyDescent="0.25"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</row>
    <row r="799" spans="67:74" x14ac:dyDescent="0.25"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</row>
    <row r="800" spans="67:74" x14ac:dyDescent="0.25"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</row>
    <row r="801" spans="67:74" x14ac:dyDescent="0.25"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</row>
    <row r="802" spans="67:74" x14ac:dyDescent="0.25"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</row>
    <row r="803" spans="67:74" x14ac:dyDescent="0.25"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</row>
    <row r="804" spans="67:74" x14ac:dyDescent="0.25"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</row>
    <row r="805" spans="67:74" x14ac:dyDescent="0.25"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</row>
    <row r="806" spans="67:74" x14ac:dyDescent="0.25"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</row>
    <row r="807" spans="67:74" x14ac:dyDescent="0.25"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</row>
    <row r="808" spans="67:74" x14ac:dyDescent="0.25"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</row>
    <row r="809" spans="67:74" x14ac:dyDescent="0.25"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</row>
    <row r="810" spans="67:74" x14ac:dyDescent="0.25"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</row>
    <row r="811" spans="67:74" x14ac:dyDescent="0.25"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</row>
    <row r="812" spans="67:74" x14ac:dyDescent="0.25"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</row>
    <row r="813" spans="67:74" x14ac:dyDescent="0.25"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</row>
    <row r="814" spans="67:74" x14ac:dyDescent="0.25"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</row>
    <row r="815" spans="67:74" x14ac:dyDescent="0.25"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</row>
    <row r="816" spans="67:74" x14ac:dyDescent="0.25"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</row>
    <row r="817" spans="67:74" x14ac:dyDescent="0.25"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</row>
    <row r="818" spans="67:74" x14ac:dyDescent="0.25"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</row>
    <row r="819" spans="67:74" x14ac:dyDescent="0.25"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</row>
    <row r="820" spans="67:74" x14ac:dyDescent="0.25"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</row>
    <row r="821" spans="67:74" x14ac:dyDescent="0.25"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</row>
    <row r="822" spans="67:74" x14ac:dyDescent="0.25"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</row>
    <row r="823" spans="67:74" x14ac:dyDescent="0.25"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</row>
    <row r="824" spans="67:74" x14ac:dyDescent="0.25"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</row>
    <row r="825" spans="67:74" x14ac:dyDescent="0.25"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</row>
    <row r="826" spans="67:74" x14ac:dyDescent="0.25"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</row>
    <row r="827" spans="67:74" x14ac:dyDescent="0.25"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</row>
    <row r="828" spans="67:74" x14ac:dyDescent="0.25"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</row>
    <row r="829" spans="67:74" x14ac:dyDescent="0.25"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</row>
    <row r="830" spans="67:74" x14ac:dyDescent="0.25"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</row>
    <row r="831" spans="67:74" x14ac:dyDescent="0.25"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</row>
    <row r="832" spans="67:74" x14ac:dyDescent="0.25"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</row>
    <row r="833" spans="67:74" x14ac:dyDescent="0.25"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</row>
    <row r="834" spans="67:74" x14ac:dyDescent="0.25"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</row>
    <row r="835" spans="67:74" x14ac:dyDescent="0.25"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</row>
    <row r="836" spans="67:74" x14ac:dyDescent="0.25"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</row>
    <row r="837" spans="67:74" x14ac:dyDescent="0.25"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</row>
    <row r="838" spans="67:74" x14ac:dyDescent="0.25"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</row>
    <row r="839" spans="67:74" x14ac:dyDescent="0.25"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</row>
    <row r="840" spans="67:74" x14ac:dyDescent="0.25"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</row>
    <row r="841" spans="67:74" x14ac:dyDescent="0.25"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</row>
    <row r="842" spans="67:74" x14ac:dyDescent="0.25"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</row>
    <row r="843" spans="67:74" x14ac:dyDescent="0.25"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</row>
    <row r="844" spans="67:74" x14ac:dyDescent="0.25"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</row>
    <row r="845" spans="67:74" x14ac:dyDescent="0.25"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</row>
    <row r="846" spans="67:74" x14ac:dyDescent="0.25"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</row>
    <row r="847" spans="67:74" x14ac:dyDescent="0.25"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</row>
    <row r="848" spans="67:74" x14ac:dyDescent="0.25"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</row>
    <row r="849" spans="67:74" x14ac:dyDescent="0.25"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</row>
    <row r="850" spans="67:74" x14ac:dyDescent="0.25"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</row>
    <row r="851" spans="67:74" x14ac:dyDescent="0.25"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</row>
    <row r="852" spans="67:74" x14ac:dyDescent="0.25"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</row>
    <row r="853" spans="67:74" x14ac:dyDescent="0.25"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</row>
    <row r="854" spans="67:74" x14ac:dyDescent="0.25"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</row>
    <row r="855" spans="67:74" x14ac:dyDescent="0.25"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</row>
    <row r="856" spans="67:74" x14ac:dyDescent="0.25"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</row>
    <row r="857" spans="67:74" x14ac:dyDescent="0.25"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</row>
    <row r="858" spans="67:74" x14ac:dyDescent="0.25"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</row>
    <row r="859" spans="67:74" x14ac:dyDescent="0.25"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</row>
    <row r="860" spans="67:74" x14ac:dyDescent="0.25"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</row>
    <row r="861" spans="67:74" x14ac:dyDescent="0.25"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</row>
    <row r="862" spans="67:74" x14ac:dyDescent="0.25"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</row>
    <row r="863" spans="67:74" x14ac:dyDescent="0.25"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</row>
    <row r="864" spans="67:74" x14ac:dyDescent="0.25"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</row>
    <row r="865" spans="67:74" x14ac:dyDescent="0.25"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</row>
    <row r="866" spans="67:74" x14ac:dyDescent="0.25"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</row>
    <row r="867" spans="67:74" x14ac:dyDescent="0.25"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</row>
    <row r="868" spans="67:74" x14ac:dyDescent="0.25"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</row>
    <row r="869" spans="67:74" x14ac:dyDescent="0.25"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</row>
    <row r="870" spans="67:74" x14ac:dyDescent="0.25"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</row>
    <row r="871" spans="67:74" x14ac:dyDescent="0.25"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</row>
    <row r="872" spans="67:74" x14ac:dyDescent="0.25"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</row>
    <row r="873" spans="67:74" x14ac:dyDescent="0.25"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</row>
    <row r="874" spans="67:74" x14ac:dyDescent="0.25"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</row>
    <row r="875" spans="67:74" x14ac:dyDescent="0.25"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</row>
    <row r="876" spans="67:74" x14ac:dyDescent="0.25"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</row>
    <row r="877" spans="67:74" x14ac:dyDescent="0.25"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</row>
    <row r="878" spans="67:74" x14ac:dyDescent="0.25"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</row>
    <row r="879" spans="67:74" x14ac:dyDescent="0.25"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</row>
    <row r="880" spans="67:74" x14ac:dyDescent="0.25"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</row>
    <row r="881" spans="1:80" x14ac:dyDescent="0.25"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</row>
    <row r="882" spans="1:80" x14ac:dyDescent="0.25"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</row>
    <row r="883" spans="1:80" x14ac:dyDescent="0.25"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</row>
    <row r="884" spans="1:80" x14ac:dyDescent="0.25"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</row>
    <row r="885" spans="1:80" x14ac:dyDescent="0.25"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</row>
    <row r="886" spans="1:80" x14ac:dyDescent="0.25"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</row>
    <row r="887" spans="1:80" s="5" customFormat="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/>
      <c r="BX887"/>
      <c r="BY887"/>
      <c r="BZ887"/>
      <c r="CA887"/>
      <c r="CB887"/>
    </row>
    <row r="888" spans="1:80" x14ac:dyDescent="0.25"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</row>
    <row r="889" spans="1:80" x14ac:dyDescent="0.25"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</row>
    <row r="890" spans="1:80" x14ac:dyDescent="0.25"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</row>
    <row r="891" spans="1:80" x14ac:dyDescent="0.25"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</row>
    <row r="892" spans="1:80" x14ac:dyDescent="0.25"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</row>
    <row r="893" spans="1:80" x14ac:dyDescent="0.25"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</row>
    <row r="894" spans="1:80" x14ac:dyDescent="0.25"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</row>
    <row r="895" spans="1:80" x14ac:dyDescent="0.25"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</row>
    <row r="896" spans="1:80" x14ac:dyDescent="0.25"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</row>
    <row r="897" spans="67:74" x14ac:dyDescent="0.25"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</row>
    <row r="898" spans="67:74" x14ac:dyDescent="0.25"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</row>
    <row r="899" spans="67:74" x14ac:dyDescent="0.25"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</row>
    <row r="900" spans="67:74" x14ac:dyDescent="0.25"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</row>
    <row r="901" spans="67:74" x14ac:dyDescent="0.25"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</row>
    <row r="902" spans="67:74" x14ac:dyDescent="0.25"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</row>
    <row r="903" spans="67:74" x14ac:dyDescent="0.25"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</row>
    <row r="904" spans="67:74" x14ac:dyDescent="0.25"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</row>
    <row r="905" spans="67:74" x14ac:dyDescent="0.25"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</row>
    <row r="906" spans="67:74" x14ac:dyDescent="0.25"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</row>
    <row r="907" spans="67:74" x14ac:dyDescent="0.25"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</row>
    <row r="908" spans="67:74" x14ac:dyDescent="0.25"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</row>
    <row r="909" spans="67:74" x14ac:dyDescent="0.25"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</row>
    <row r="910" spans="67:74" x14ac:dyDescent="0.25"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</row>
    <row r="911" spans="67:74" x14ac:dyDescent="0.25"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</row>
    <row r="912" spans="67:74" x14ac:dyDescent="0.25"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</row>
    <row r="913" spans="67:74" x14ac:dyDescent="0.25"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</row>
    <row r="914" spans="67:74" x14ac:dyDescent="0.25"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</row>
    <row r="915" spans="67:74" x14ac:dyDescent="0.25"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</row>
    <row r="916" spans="67:74" x14ac:dyDescent="0.25"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</row>
    <row r="917" spans="67:74" x14ac:dyDescent="0.25"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</row>
    <row r="918" spans="67:74" x14ac:dyDescent="0.25"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</row>
    <row r="919" spans="67:74" x14ac:dyDescent="0.25"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</row>
    <row r="920" spans="67:74" x14ac:dyDescent="0.25"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</row>
    <row r="921" spans="67:74" x14ac:dyDescent="0.25"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</row>
    <row r="922" spans="67:74" x14ac:dyDescent="0.25"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</row>
    <row r="923" spans="67:74" x14ac:dyDescent="0.25"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</row>
    <row r="924" spans="67:74" x14ac:dyDescent="0.25"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</row>
    <row r="925" spans="67:74" x14ac:dyDescent="0.25"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</row>
    <row r="926" spans="67:74" x14ac:dyDescent="0.25"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</row>
    <row r="927" spans="67:74" x14ac:dyDescent="0.25"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</row>
    <row r="928" spans="67:74" x14ac:dyDescent="0.25"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</row>
    <row r="929" spans="67:74" x14ac:dyDescent="0.25"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</row>
    <row r="930" spans="67:74" x14ac:dyDescent="0.25"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</row>
    <row r="931" spans="67:74" x14ac:dyDescent="0.25"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</row>
    <row r="932" spans="67:74" x14ac:dyDescent="0.25"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</row>
    <row r="933" spans="67:74" x14ac:dyDescent="0.25"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</row>
    <row r="934" spans="67:74" x14ac:dyDescent="0.25"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</row>
    <row r="935" spans="67:74" x14ac:dyDescent="0.25"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</row>
    <row r="936" spans="67:74" x14ac:dyDescent="0.25"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</row>
    <row r="937" spans="67:74" x14ac:dyDescent="0.25"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</row>
    <row r="938" spans="67:74" x14ac:dyDescent="0.25"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</row>
    <row r="939" spans="67:74" x14ac:dyDescent="0.25"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</row>
    <row r="940" spans="67:74" x14ac:dyDescent="0.25"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</row>
    <row r="941" spans="67:74" x14ac:dyDescent="0.25"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</row>
    <row r="942" spans="67:74" x14ac:dyDescent="0.25"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</row>
    <row r="943" spans="67:74" x14ac:dyDescent="0.25"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</row>
    <row r="944" spans="67:74" x14ac:dyDescent="0.25">
      <c r="BO944">
        <v>0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</row>
    <row r="945" spans="67:74" x14ac:dyDescent="0.25">
      <c r="BO945">
        <v>0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</row>
    <row r="946" spans="67:74" x14ac:dyDescent="0.25">
      <c r="BO946">
        <v>0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</row>
    <row r="947" spans="67:74" x14ac:dyDescent="0.25">
      <c r="BO947">
        <v>0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</row>
    <row r="948" spans="67:74" x14ac:dyDescent="0.25">
      <c r="BO948">
        <v>0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</row>
    <row r="949" spans="67:74" x14ac:dyDescent="0.25">
      <c r="BO949">
        <v>0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</row>
    <row r="950" spans="67:74" x14ac:dyDescent="0.25">
      <c r="BO950">
        <v>0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</row>
    <row r="951" spans="67:74" x14ac:dyDescent="0.25">
      <c r="BO951">
        <v>0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</row>
    <row r="952" spans="67:74" x14ac:dyDescent="0.25">
      <c r="BO952">
        <v>0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</row>
    <row r="953" spans="67:74" x14ac:dyDescent="0.25">
      <c r="BO953">
        <v>0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</row>
    <row r="954" spans="67:74" x14ac:dyDescent="0.25">
      <c r="BO954">
        <v>0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</row>
    <row r="955" spans="67:74" x14ac:dyDescent="0.25">
      <c r="BO955">
        <v>0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</row>
    <row r="956" spans="67:74" x14ac:dyDescent="0.25">
      <c r="BO956">
        <v>0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</row>
    <row r="957" spans="67:74" x14ac:dyDescent="0.25">
      <c r="BO957">
        <v>0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</row>
    <row r="958" spans="67:74" x14ac:dyDescent="0.25">
      <c r="BO958">
        <v>0</v>
      </c>
      <c r="BP958">
        <v>0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</row>
    <row r="959" spans="67:74" x14ac:dyDescent="0.25">
      <c r="BO959">
        <v>0</v>
      </c>
      <c r="BP959">
        <v>0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</row>
    <row r="960" spans="67:74" x14ac:dyDescent="0.25">
      <c r="BO960">
        <v>0</v>
      </c>
      <c r="BP960">
        <v>0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</row>
    <row r="961" spans="67:74" x14ac:dyDescent="0.25">
      <c r="BO961">
        <v>0</v>
      </c>
      <c r="BP961">
        <v>0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</row>
    <row r="962" spans="67:74" x14ac:dyDescent="0.25">
      <c r="BO962">
        <v>0</v>
      </c>
      <c r="BP962">
        <v>0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</row>
    <row r="963" spans="67:74" x14ac:dyDescent="0.25">
      <c r="BO963">
        <v>0</v>
      </c>
      <c r="BP963">
        <v>0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</row>
    <row r="964" spans="67:74" x14ac:dyDescent="0.25">
      <c r="BO964">
        <v>0</v>
      </c>
      <c r="BP964">
        <v>0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</row>
    <row r="965" spans="67:74" x14ac:dyDescent="0.25">
      <c r="BO965">
        <v>0</v>
      </c>
      <c r="BP965">
        <v>0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</row>
    <row r="966" spans="67:74" x14ac:dyDescent="0.25">
      <c r="BO966">
        <v>0</v>
      </c>
      <c r="BP966">
        <v>0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</row>
    <row r="967" spans="67:74" x14ac:dyDescent="0.25">
      <c r="BO967">
        <v>0</v>
      </c>
      <c r="BP967">
        <v>0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</row>
    <row r="968" spans="67:74" x14ac:dyDescent="0.25">
      <c r="BO968">
        <v>0</v>
      </c>
      <c r="BP968">
        <v>0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</row>
    <row r="969" spans="67:74" x14ac:dyDescent="0.25">
      <c r="BO969">
        <v>0</v>
      </c>
      <c r="BP969">
        <v>0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</row>
    <row r="970" spans="67:74" x14ac:dyDescent="0.25">
      <c r="BO970">
        <v>0</v>
      </c>
      <c r="BP970">
        <v>0</v>
      </c>
      <c r="BQ970">
        <v>0</v>
      </c>
      <c r="BR970">
        <v>0</v>
      </c>
      <c r="BS970">
        <v>0</v>
      </c>
      <c r="BT970">
        <v>0</v>
      </c>
      <c r="BU970">
        <v>0</v>
      </c>
      <c r="BV970">
        <v>0</v>
      </c>
    </row>
    <row r="971" spans="67:74" x14ac:dyDescent="0.25">
      <c r="BO971">
        <v>0</v>
      </c>
      <c r="BP971">
        <v>0</v>
      </c>
      <c r="BQ971">
        <v>0</v>
      </c>
      <c r="BR971">
        <v>0</v>
      </c>
      <c r="BS971">
        <v>0</v>
      </c>
      <c r="BT971">
        <v>0</v>
      </c>
      <c r="BU971">
        <v>0</v>
      </c>
      <c r="BV971">
        <v>0</v>
      </c>
    </row>
    <row r="972" spans="67:74" x14ac:dyDescent="0.25">
      <c r="BO972">
        <v>0</v>
      </c>
      <c r="BP972">
        <v>0</v>
      </c>
      <c r="BQ972">
        <v>0</v>
      </c>
      <c r="BR972">
        <v>0</v>
      </c>
      <c r="BS972">
        <v>0</v>
      </c>
      <c r="BT972">
        <v>0</v>
      </c>
      <c r="BU972">
        <v>0</v>
      </c>
      <c r="BV972">
        <v>0</v>
      </c>
    </row>
    <row r="973" spans="67:74" x14ac:dyDescent="0.25">
      <c r="BO973">
        <v>0</v>
      </c>
      <c r="BP973">
        <v>0</v>
      </c>
      <c r="BQ973">
        <v>0</v>
      </c>
      <c r="BR973">
        <v>0</v>
      </c>
      <c r="BS973">
        <v>0</v>
      </c>
      <c r="BT973">
        <v>0</v>
      </c>
      <c r="BU973">
        <v>0</v>
      </c>
      <c r="BV973">
        <v>0</v>
      </c>
    </row>
    <row r="974" spans="67:74" x14ac:dyDescent="0.25">
      <c r="BO974">
        <v>0</v>
      </c>
      <c r="BP974">
        <v>0</v>
      </c>
      <c r="BQ974">
        <v>0</v>
      </c>
      <c r="BR974">
        <v>0</v>
      </c>
      <c r="BS974">
        <v>0</v>
      </c>
      <c r="BT974">
        <v>0</v>
      </c>
      <c r="BU974">
        <v>0</v>
      </c>
      <c r="BV974">
        <v>0</v>
      </c>
    </row>
    <row r="975" spans="67:74" x14ac:dyDescent="0.25">
      <c r="BO975">
        <v>0</v>
      </c>
      <c r="BP975">
        <v>0</v>
      </c>
      <c r="BQ975">
        <v>0</v>
      </c>
      <c r="BR975">
        <v>0</v>
      </c>
      <c r="BS975">
        <v>0</v>
      </c>
      <c r="BT975">
        <v>0</v>
      </c>
      <c r="BU975">
        <v>0</v>
      </c>
      <c r="BV975">
        <v>0</v>
      </c>
    </row>
    <row r="976" spans="67:74" x14ac:dyDescent="0.25">
      <c r="BO976">
        <v>0</v>
      </c>
      <c r="BP976">
        <v>0</v>
      </c>
      <c r="BQ976">
        <v>0</v>
      </c>
      <c r="BR976">
        <v>0</v>
      </c>
      <c r="BS976">
        <v>0</v>
      </c>
      <c r="BT976">
        <v>0</v>
      </c>
      <c r="BU976">
        <v>0</v>
      </c>
      <c r="BV976">
        <v>0</v>
      </c>
    </row>
    <row r="977" spans="67:74" x14ac:dyDescent="0.25">
      <c r="BO977">
        <v>0</v>
      </c>
      <c r="BP977">
        <v>0</v>
      </c>
      <c r="BQ977">
        <v>0</v>
      </c>
      <c r="BR977">
        <v>0</v>
      </c>
      <c r="BS977">
        <v>0</v>
      </c>
      <c r="BT977">
        <v>0</v>
      </c>
      <c r="BU977">
        <v>0</v>
      </c>
      <c r="BV977">
        <v>0</v>
      </c>
    </row>
    <row r="978" spans="67:74" x14ac:dyDescent="0.25">
      <c r="BO978">
        <v>0</v>
      </c>
      <c r="BP978">
        <v>0</v>
      </c>
      <c r="BQ978">
        <v>0</v>
      </c>
      <c r="BR978">
        <v>0</v>
      </c>
      <c r="BS978">
        <v>0</v>
      </c>
      <c r="BT978">
        <v>0</v>
      </c>
      <c r="BU978">
        <v>0</v>
      </c>
      <c r="BV978">
        <v>0</v>
      </c>
    </row>
    <row r="979" spans="67:74" x14ac:dyDescent="0.25">
      <c r="BO979">
        <v>0</v>
      </c>
      <c r="BP979">
        <v>0</v>
      </c>
      <c r="BQ979">
        <v>0</v>
      </c>
      <c r="BR979">
        <v>0</v>
      </c>
      <c r="BS979">
        <v>0</v>
      </c>
      <c r="BT979">
        <v>0</v>
      </c>
      <c r="BU979">
        <v>0</v>
      </c>
      <c r="BV979">
        <v>0</v>
      </c>
    </row>
    <row r="980" spans="67:74" x14ac:dyDescent="0.25"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</row>
    <row r="981" spans="67:74" x14ac:dyDescent="0.25"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</row>
    <row r="982" spans="67:74" x14ac:dyDescent="0.25"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</row>
    <row r="983" spans="67:74" x14ac:dyDescent="0.25"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</row>
    <row r="984" spans="67:74" x14ac:dyDescent="0.25"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</row>
    <row r="985" spans="67:74" x14ac:dyDescent="0.25"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</row>
    <row r="986" spans="67:74" x14ac:dyDescent="0.25"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</row>
    <row r="987" spans="67:74" x14ac:dyDescent="0.25"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</row>
    <row r="988" spans="67:74" x14ac:dyDescent="0.25"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</row>
    <row r="989" spans="67:74" x14ac:dyDescent="0.25"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</row>
    <row r="990" spans="67:74" x14ac:dyDescent="0.25"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</row>
    <row r="991" spans="67:74" x14ac:dyDescent="0.25"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</row>
    <row r="992" spans="67:74" x14ac:dyDescent="0.25"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</row>
    <row r="993" spans="67:74" x14ac:dyDescent="0.25"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</row>
    <row r="994" spans="67:74" x14ac:dyDescent="0.25"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</row>
    <row r="995" spans="67:74" x14ac:dyDescent="0.25"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</row>
    <row r="996" spans="67:74" x14ac:dyDescent="0.25"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</row>
    <row r="997" spans="67:74" x14ac:dyDescent="0.25"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</row>
    <row r="998" spans="67:74" x14ac:dyDescent="0.25"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</row>
    <row r="999" spans="67:74" x14ac:dyDescent="0.25"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</row>
    <row r="1000" spans="67:74" x14ac:dyDescent="0.25"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</row>
    <row r="1001" spans="67:74" x14ac:dyDescent="0.25"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</row>
    <row r="1002" spans="67:74" x14ac:dyDescent="0.25"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</row>
    <row r="1003" spans="67:74" x14ac:dyDescent="0.25"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</row>
    <row r="1004" spans="67:74" x14ac:dyDescent="0.25"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</row>
    <row r="1005" spans="67:74" x14ac:dyDescent="0.25"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</row>
    <row r="1006" spans="67:74" x14ac:dyDescent="0.25"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</row>
    <row r="1007" spans="67:74" x14ac:dyDescent="0.25"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</row>
    <row r="1008" spans="67:74" x14ac:dyDescent="0.25"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</row>
    <row r="1009" spans="67:74" x14ac:dyDescent="0.25"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</row>
    <row r="1010" spans="67:74" x14ac:dyDescent="0.25"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</row>
    <row r="1011" spans="67:74" x14ac:dyDescent="0.25"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</row>
    <row r="1012" spans="67:74" x14ac:dyDescent="0.25"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</row>
    <row r="1013" spans="67:74" x14ac:dyDescent="0.25"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</row>
    <row r="1014" spans="67:74" x14ac:dyDescent="0.25"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</row>
    <row r="1015" spans="67:74" x14ac:dyDescent="0.25"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</row>
    <row r="1016" spans="67:74" x14ac:dyDescent="0.25"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</row>
    <row r="1017" spans="67:74" x14ac:dyDescent="0.25"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</row>
    <row r="1018" spans="67:74" x14ac:dyDescent="0.25"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</row>
    <row r="1019" spans="67:74" x14ac:dyDescent="0.25"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</row>
    <row r="1020" spans="67:74" x14ac:dyDescent="0.25"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</row>
    <row r="1021" spans="67:74" x14ac:dyDescent="0.25"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</row>
    <row r="1022" spans="67:74" x14ac:dyDescent="0.25"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</row>
    <row r="1023" spans="67:74" x14ac:dyDescent="0.25"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</row>
    <row r="1024" spans="67:74" x14ac:dyDescent="0.25"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</row>
    <row r="1025" spans="67:74" x14ac:dyDescent="0.25"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</row>
    <row r="1026" spans="67:74" x14ac:dyDescent="0.25"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</row>
    <row r="1027" spans="67:74" x14ac:dyDescent="0.25"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</row>
    <row r="1028" spans="67:74" x14ac:dyDescent="0.25"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</row>
    <row r="1029" spans="67:74" x14ac:dyDescent="0.25"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</row>
    <row r="1030" spans="67:74" x14ac:dyDescent="0.25"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</row>
    <row r="1031" spans="67:74" x14ac:dyDescent="0.25"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</row>
    <row r="1032" spans="67:74" x14ac:dyDescent="0.25"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</row>
    <row r="1033" spans="67:74" x14ac:dyDescent="0.25"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</row>
    <row r="1034" spans="67:74" x14ac:dyDescent="0.25"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</row>
    <row r="1035" spans="67:74" x14ac:dyDescent="0.25"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</row>
    <row r="1036" spans="67:74" x14ac:dyDescent="0.25"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</row>
    <row r="1037" spans="67:74" x14ac:dyDescent="0.25"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</row>
    <row r="1038" spans="67:74" x14ac:dyDescent="0.25"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</row>
    <row r="1039" spans="67:74" x14ac:dyDescent="0.25"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</row>
    <row r="1040" spans="67:74" x14ac:dyDescent="0.25"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</row>
    <row r="1041" spans="67:74" x14ac:dyDescent="0.25"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</row>
    <row r="1042" spans="67:74" x14ac:dyDescent="0.25"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</row>
    <row r="1043" spans="67:74" x14ac:dyDescent="0.25"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</row>
    <row r="1044" spans="67:74" x14ac:dyDescent="0.25"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</row>
    <row r="1045" spans="67:74" x14ac:dyDescent="0.25"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</row>
    <row r="1046" spans="67:74" x14ac:dyDescent="0.25"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</row>
    <row r="1047" spans="67:74" x14ac:dyDescent="0.25"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</row>
    <row r="1048" spans="67:74" x14ac:dyDescent="0.25"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</row>
    <row r="1049" spans="67:74" x14ac:dyDescent="0.25"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0</v>
      </c>
      <c r="BV1049">
        <v>0</v>
      </c>
    </row>
    <row r="1050" spans="67:74" x14ac:dyDescent="0.25"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</row>
    <row r="1051" spans="67:74" x14ac:dyDescent="0.25"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>
        <v>0</v>
      </c>
      <c r="BV1051">
        <v>0</v>
      </c>
    </row>
    <row r="1052" spans="67:74" x14ac:dyDescent="0.25"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</row>
    <row r="1053" spans="67:74" x14ac:dyDescent="0.25"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</row>
    <row r="1054" spans="67:74" x14ac:dyDescent="0.25"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</row>
    <row r="1055" spans="67:74" x14ac:dyDescent="0.25"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</row>
    <row r="1056" spans="67:74" x14ac:dyDescent="0.25"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</row>
    <row r="1057" spans="67:74" x14ac:dyDescent="0.25"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>
        <v>0</v>
      </c>
      <c r="BV1057">
        <v>0</v>
      </c>
    </row>
    <row r="1058" spans="67:74" x14ac:dyDescent="0.25"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</row>
    <row r="1059" spans="67:74" x14ac:dyDescent="0.25"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</row>
    <row r="1060" spans="67:74" x14ac:dyDescent="0.25"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</row>
    <row r="1061" spans="67:74" x14ac:dyDescent="0.25"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</row>
    <row r="1062" spans="67:74" x14ac:dyDescent="0.25"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</row>
    <row r="1063" spans="67:74" x14ac:dyDescent="0.25"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</row>
    <row r="1064" spans="67:74" x14ac:dyDescent="0.25"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</row>
    <row r="1065" spans="67:74" x14ac:dyDescent="0.25"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</row>
    <row r="1066" spans="67:74" x14ac:dyDescent="0.25"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</row>
    <row r="1067" spans="67:74" x14ac:dyDescent="0.25"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</row>
    <row r="1068" spans="67:74" x14ac:dyDescent="0.25"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</row>
    <row r="1069" spans="67:74" x14ac:dyDescent="0.25"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</row>
    <row r="1070" spans="67:74" x14ac:dyDescent="0.25"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</row>
    <row r="1071" spans="67:74" x14ac:dyDescent="0.25"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</row>
    <row r="1072" spans="67:74" x14ac:dyDescent="0.25"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</row>
    <row r="1073" spans="67:74" x14ac:dyDescent="0.25"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</row>
    <row r="1074" spans="67:74" x14ac:dyDescent="0.25"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</row>
    <row r="1075" spans="67:74" x14ac:dyDescent="0.25"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</row>
    <row r="1076" spans="67:74" x14ac:dyDescent="0.25"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</row>
    <row r="1077" spans="67:74" x14ac:dyDescent="0.25"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</row>
    <row r="1078" spans="67:74" x14ac:dyDescent="0.25"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</row>
    <row r="1079" spans="67:74" x14ac:dyDescent="0.25"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</row>
    <row r="1080" spans="67:74" x14ac:dyDescent="0.25"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</row>
    <row r="1081" spans="67:74" x14ac:dyDescent="0.25"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</row>
    <row r="1082" spans="67:74" x14ac:dyDescent="0.25"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</row>
    <row r="1083" spans="67:74" x14ac:dyDescent="0.25"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</row>
    <row r="1084" spans="67:74" x14ac:dyDescent="0.25"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</row>
    <row r="1085" spans="67:74" x14ac:dyDescent="0.25"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</row>
    <row r="1086" spans="67:74" x14ac:dyDescent="0.25"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</row>
    <row r="1087" spans="67:74" x14ac:dyDescent="0.25"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</row>
    <row r="1088" spans="67:74" x14ac:dyDescent="0.25"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</row>
    <row r="1089" spans="67:74" x14ac:dyDescent="0.25"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</row>
    <row r="1090" spans="67:74" x14ac:dyDescent="0.25"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</row>
    <row r="1091" spans="67:74" x14ac:dyDescent="0.25"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</row>
    <row r="1092" spans="67:74" x14ac:dyDescent="0.25"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</row>
    <row r="1093" spans="67:74" x14ac:dyDescent="0.25"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</row>
    <row r="1094" spans="67:74" x14ac:dyDescent="0.25"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</row>
    <row r="1095" spans="67:74" x14ac:dyDescent="0.25"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</row>
    <row r="1096" spans="67:74" x14ac:dyDescent="0.25"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</row>
    <row r="1097" spans="67:74" x14ac:dyDescent="0.25"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</row>
    <row r="1098" spans="67:74" x14ac:dyDescent="0.25"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</row>
    <row r="1099" spans="67:74" x14ac:dyDescent="0.25"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</row>
    <row r="1100" spans="67:74" x14ac:dyDescent="0.25"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</row>
    <row r="1101" spans="67:74" x14ac:dyDescent="0.25"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</row>
    <row r="1102" spans="67:74" x14ac:dyDescent="0.25"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</row>
    <row r="1103" spans="67:74" x14ac:dyDescent="0.25"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</row>
    <row r="1104" spans="67:74" x14ac:dyDescent="0.25"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</row>
    <row r="1105" spans="11:74" x14ac:dyDescent="0.25"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</row>
    <row r="1106" spans="11:74" x14ac:dyDescent="0.25"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</row>
    <row r="1107" spans="11:74" x14ac:dyDescent="0.25"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</row>
    <row r="1108" spans="11:74" x14ac:dyDescent="0.25"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</row>
    <row r="1109" spans="11:74" x14ac:dyDescent="0.25"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</row>
    <row r="1110" spans="11:74" x14ac:dyDescent="0.25">
      <c r="AF1110" s="1"/>
      <c r="BE1110" s="1"/>
      <c r="BG1110" s="1"/>
      <c r="BM1110" s="2"/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</row>
    <row r="1111" spans="11:74" x14ac:dyDescent="0.25">
      <c r="BE1111" s="1"/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</row>
    <row r="1112" spans="11:74" x14ac:dyDescent="0.25">
      <c r="K1112" s="3"/>
      <c r="BE1112" s="1"/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</row>
    <row r="1113" spans="11:74" x14ac:dyDescent="0.25">
      <c r="K1113" s="3"/>
      <c r="BE1113" s="1"/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</row>
    <row r="1114" spans="11:74" x14ac:dyDescent="0.25">
      <c r="K1114" s="3"/>
      <c r="BE1114" s="1"/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</row>
    <row r="1115" spans="11:74" x14ac:dyDescent="0.25">
      <c r="K1115" s="3"/>
      <c r="BE1115" s="1"/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</row>
    <row r="1116" spans="11:74" x14ac:dyDescent="0.25">
      <c r="K1116" s="3"/>
      <c r="BE1116" s="1"/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</row>
    <row r="1117" spans="11:74" x14ac:dyDescent="0.25">
      <c r="K1117" s="3"/>
      <c r="BE1117" s="1"/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</row>
    <row r="1118" spans="11:74" x14ac:dyDescent="0.25">
      <c r="K1118" s="3"/>
      <c r="BE1118" s="1"/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</row>
    <row r="1119" spans="11:74" x14ac:dyDescent="0.25">
      <c r="K1119" s="3"/>
      <c r="BE1119" s="1"/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</row>
    <row r="1120" spans="11:74" x14ac:dyDescent="0.25">
      <c r="K1120" s="3"/>
      <c r="BE1120" s="1"/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</row>
    <row r="1121" spans="11:74" x14ac:dyDescent="0.25">
      <c r="K1121" s="3"/>
      <c r="BE1121" s="1"/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</row>
    <row r="1122" spans="11:74" x14ac:dyDescent="0.25">
      <c r="K1122" s="3"/>
      <c r="BE1122" s="1"/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</row>
    <row r="1123" spans="11:74" x14ac:dyDescent="0.25">
      <c r="K1123" s="3"/>
      <c r="AF1123" s="1"/>
      <c r="BE1123" s="1"/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</row>
    <row r="1124" spans="11:74" x14ac:dyDescent="0.25">
      <c r="K1124" s="3"/>
      <c r="BB1124" s="1"/>
      <c r="BE1124" s="1"/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</row>
    <row r="1125" spans="11:74" x14ac:dyDescent="0.25">
      <c r="K1125" s="3"/>
      <c r="BE1125" s="1"/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</row>
    <row r="1126" spans="11:74" x14ac:dyDescent="0.25">
      <c r="K1126" s="3"/>
      <c r="BE1126" s="1"/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</row>
    <row r="1127" spans="11:74" x14ac:dyDescent="0.25">
      <c r="K1127" s="3"/>
      <c r="BE1127" s="1"/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</row>
    <row r="1128" spans="11:74" x14ac:dyDescent="0.25">
      <c r="K1128" s="3"/>
      <c r="BE1128" s="1"/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</row>
    <row r="1129" spans="11:74" x14ac:dyDescent="0.25">
      <c r="K1129" s="3"/>
      <c r="BE1129" s="1"/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</row>
    <row r="1130" spans="11:74" x14ac:dyDescent="0.25">
      <c r="K1130" s="3"/>
      <c r="BE1130" s="1"/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</row>
    <row r="1131" spans="11:74" x14ac:dyDescent="0.25">
      <c r="K1131" s="3"/>
      <c r="BE1131" s="1"/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</row>
    <row r="1132" spans="11:74" x14ac:dyDescent="0.25">
      <c r="K1132" s="3"/>
      <c r="BE1132" s="1"/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</row>
    <row r="1133" spans="11:74" x14ac:dyDescent="0.25">
      <c r="K1133" s="3"/>
      <c r="BE1133" s="1"/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</row>
    <row r="1134" spans="11:74" x14ac:dyDescent="0.25">
      <c r="K1134" s="3"/>
      <c r="BE1134" s="1"/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</row>
    <row r="1135" spans="11:74" x14ac:dyDescent="0.25">
      <c r="K1135" s="3"/>
      <c r="BE1135" s="1"/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</row>
    <row r="1136" spans="11:74" x14ac:dyDescent="0.25">
      <c r="K1136" s="3"/>
      <c r="BE1136" s="1"/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</row>
    <row r="1137" spans="11:74" x14ac:dyDescent="0.25">
      <c r="K1137" s="3"/>
      <c r="BE1137" s="1"/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</row>
    <row r="1138" spans="11:74" x14ac:dyDescent="0.25">
      <c r="K1138" s="3"/>
      <c r="BE1138" s="1"/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</row>
    <row r="1139" spans="11:74" x14ac:dyDescent="0.25">
      <c r="K1139" s="3"/>
      <c r="BE1139" s="1"/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</row>
    <row r="1140" spans="11:74" x14ac:dyDescent="0.25">
      <c r="K1140" s="3"/>
      <c r="BE1140" s="1"/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</row>
    <row r="1141" spans="11:74" x14ac:dyDescent="0.25">
      <c r="K1141" s="3"/>
      <c r="BE1141" s="1"/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</row>
    <row r="1142" spans="11:74" x14ac:dyDescent="0.25">
      <c r="K1142" s="3"/>
      <c r="BE1142" s="1"/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</row>
    <row r="1143" spans="11:74" x14ac:dyDescent="0.25">
      <c r="K1143" s="3"/>
      <c r="BE1143" s="1"/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</row>
    <row r="1144" spans="11:74" x14ac:dyDescent="0.25">
      <c r="K1144" s="3"/>
      <c r="BE1144" s="1"/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</row>
    <row r="1145" spans="11:74" x14ac:dyDescent="0.25">
      <c r="K1145" s="3"/>
      <c r="BE1145" s="1"/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</row>
    <row r="1146" spans="11:74" x14ac:dyDescent="0.25">
      <c r="K1146" s="3"/>
      <c r="BE1146" s="1"/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</row>
    <row r="1147" spans="11:74" x14ac:dyDescent="0.25">
      <c r="K1147" s="3"/>
      <c r="BE1147" s="1"/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</row>
    <row r="1148" spans="11:74" x14ac:dyDescent="0.25">
      <c r="K1148" s="3"/>
      <c r="BE1148" s="1"/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</row>
    <row r="1149" spans="11:74" x14ac:dyDescent="0.25">
      <c r="K1149" s="3"/>
      <c r="BE1149" s="1"/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</row>
    <row r="1150" spans="11:74" x14ac:dyDescent="0.25">
      <c r="K1150" s="3"/>
      <c r="BE1150" s="1"/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</row>
    <row r="1151" spans="11:74" x14ac:dyDescent="0.25">
      <c r="K1151" s="3"/>
      <c r="BB1151" s="1"/>
      <c r="BE1151" s="1"/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</row>
    <row r="1152" spans="11:74" x14ac:dyDescent="0.25">
      <c r="K1152" s="3"/>
      <c r="BE1152" s="1"/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</row>
    <row r="1153" spans="11:74" x14ac:dyDescent="0.25">
      <c r="K1153" s="3"/>
      <c r="BE1153" s="1"/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</row>
    <row r="1154" spans="11:74" x14ac:dyDescent="0.25">
      <c r="K1154" s="3"/>
      <c r="BE1154" s="1"/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</row>
    <row r="1155" spans="11:74" x14ac:dyDescent="0.25">
      <c r="K1155" s="3"/>
      <c r="BE1155" s="1"/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</row>
    <row r="1156" spans="11:74" x14ac:dyDescent="0.25">
      <c r="K1156" s="3"/>
      <c r="BE1156" s="1"/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</row>
    <row r="1157" spans="11:74" x14ac:dyDescent="0.25">
      <c r="K1157" s="3"/>
      <c r="BE1157" s="1"/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</row>
    <row r="1158" spans="11:74" x14ac:dyDescent="0.25">
      <c r="K1158" s="3"/>
      <c r="BE1158" s="1"/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</row>
    <row r="1159" spans="11:74" x14ac:dyDescent="0.25">
      <c r="K1159" s="3"/>
      <c r="BE1159" s="1"/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</row>
    <row r="1160" spans="11:74" x14ac:dyDescent="0.25">
      <c r="K1160" s="3"/>
      <c r="BE1160" s="1"/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</row>
    <row r="1161" spans="11:74" x14ac:dyDescent="0.25">
      <c r="K1161" s="3"/>
      <c r="BE1161" s="1"/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0</v>
      </c>
      <c r="BV1161">
        <v>0</v>
      </c>
    </row>
    <row r="1162" spans="11:74" x14ac:dyDescent="0.25">
      <c r="K1162" s="3"/>
      <c r="BE1162" s="1"/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</row>
    <row r="1163" spans="11:74" x14ac:dyDescent="0.25">
      <c r="K1163" s="3"/>
      <c r="BE1163" s="1"/>
      <c r="BO1163">
        <v>0</v>
      </c>
      <c r="BP1163">
        <v>0</v>
      </c>
      <c r="BQ1163">
        <v>0</v>
      </c>
      <c r="BR1163">
        <v>0</v>
      </c>
      <c r="BS1163">
        <v>0</v>
      </c>
      <c r="BT1163">
        <v>0</v>
      </c>
      <c r="BU1163">
        <v>0</v>
      </c>
      <c r="BV1163">
        <v>0</v>
      </c>
    </row>
    <row r="1164" spans="11:74" x14ac:dyDescent="0.25">
      <c r="K1164" s="3"/>
      <c r="BE1164" s="1"/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</row>
    <row r="1165" spans="11:74" x14ac:dyDescent="0.25">
      <c r="K1165" s="3"/>
      <c r="BE1165" s="1"/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</row>
    <row r="1166" spans="11:74" x14ac:dyDescent="0.25">
      <c r="K1166" s="3"/>
      <c r="BE1166" s="1"/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</row>
    <row r="1167" spans="11:74" x14ac:dyDescent="0.25">
      <c r="K1167" s="3"/>
      <c r="BE1167" s="1"/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</row>
    <row r="1168" spans="11:74" x14ac:dyDescent="0.25">
      <c r="K1168" s="3"/>
      <c r="BE1168" s="1"/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</row>
    <row r="1169" spans="11:74" x14ac:dyDescent="0.25">
      <c r="K1169" s="3"/>
      <c r="BE1169" s="1"/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</row>
    <row r="1170" spans="11:74" x14ac:dyDescent="0.25">
      <c r="K1170" s="3"/>
      <c r="BE1170" s="1"/>
      <c r="BO1170">
        <v>0</v>
      </c>
      <c r="BP1170">
        <v>0</v>
      </c>
      <c r="BQ1170">
        <v>0</v>
      </c>
      <c r="BR1170">
        <v>0</v>
      </c>
      <c r="BS1170">
        <v>0</v>
      </c>
      <c r="BT1170">
        <v>0</v>
      </c>
      <c r="BU1170">
        <v>0</v>
      </c>
      <c r="BV1170">
        <v>0</v>
      </c>
    </row>
    <row r="1171" spans="11:74" x14ac:dyDescent="0.25">
      <c r="K1171" s="3"/>
      <c r="BE1171" s="1"/>
      <c r="BO1171">
        <v>0</v>
      </c>
      <c r="BP1171">
        <v>0</v>
      </c>
      <c r="BQ1171">
        <v>0</v>
      </c>
      <c r="BR1171">
        <v>0</v>
      </c>
      <c r="BS1171">
        <v>0</v>
      </c>
      <c r="BT1171">
        <v>0</v>
      </c>
      <c r="BU1171">
        <v>0</v>
      </c>
      <c r="BV1171">
        <v>0</v>
      </c>
    </row>
    <row r="1172" spans="11:74" x14ac:dyDescent="0.25">
      <c r="K1172" s="3"/>
      <c r="BE1172" s="1"/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</row>
    <row r="1173" spans="11:74" x14ac:dyDescent="0.25">
      <c r="K1173" s="3"/>
      <c r="BE1173" s="1"/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</row>
    <row r="1174" spans="11:74" x14ac:dyDescent="0.25">
      <c r="K1174" s="3"/>
      <c r="BE1174" s="1"/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0</v>
      </c>
    </row>
    <row r="1175" spans="11:74" x14ac:dyDescent="0.25">
      <c r="K1175" s="3"/>
      <c r="BE1175" s="1"/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</row>
    <row r="1176" spans="11:74" x14ac:dyDescent="0.25">
      <c r="K1176" s="3"/>
      <c r="BE1176" s="1"/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>
        <v>0</v>
      </c>
      <c r="BV1176">
        <v>0</v>
      </c>
    </row>
    <row r="1177" spans="11:74" x14ac:dyDescent="0.25">
      <c r="K1177" s="3"/>
      <c r="BE1177" s="1"/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</row>
    <row r="1178" spans="11:74" x14ac:dyDescent="0.25">
      <c r="K1178" s="3"/>
      <c r="BE1178" s="1"/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</row>
    <row r="1179" spans="11:74" x14ac:dyDescent="0.25">
      <c r="K1179" s="3"/>
      <c r="BB1179" s="1"/>
      <c r="BE1179" s="1"/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</row>
    <row r="1180" spans="11:74" x14ac:dyDescent="0.25">
      <c r="K1180" s="3"/>
      <c r="BE1180" s="1"/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</row>
    <row r="1181" spans="11:74" x14ac:dyDescent="0.25">
      <c r="K1181" s="3"/>
      <c r="BE1181" s="1"/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</row>
    <row r="1182" spans="11:74" x14ac:dyDescent="0.25">
      <c r="K1182" s="3"/>
      <c r="BE1182" s="1"/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</row>
    <row r="1183" spans="11:74" x14ac:dyDescent="0.25">
      <c r="K1183" s="3"/>
      <c r="BE1183" s="1"/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</row>
    <row r="1184" spans="11:74" x14ac:dyDescent="0.25">
      <c r="K1184" s="3"/>
      <c r="BE1184" s="1"/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</row>
    <row r="1185" spans="11:74" x14ac:dyDescent="0.25">
      <c r="K1185" s="3"/>
      <c r="BE1185" s="1"/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</row>
    <row r="1186" spans="11:74" x14ac:dyDescent="0.25">
      <c r="K1186" s="3"/>
      <c r="BE1186" s="1"/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</row>
    <row r="1187" spans="11:74" x14ac:dyDescent="0.25">
      <c r="K1187" s="3"/>
      <c r="BE1187" s="1"/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</row>
    <row r="1188" spans="11:74" x14ac:dyDescent="0.25">
      <c r="K1188" s="3"/>
      <c r="BE1188" s="1"/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</row>
    <row r="1189" spans="11:74" x14ac:dyDescent="0.25">
      <c r="K1189" s="3"/>
      <c r="BE1189" s="1"/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</row>
    <row r="1190" spans="11:74" x14ac:dyDescent="0.25">
      <c r="K1190" s="3"/>
      <c r="BE1190" s="1"/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</row>
    <row r="1191" spans="11:74" x14ac:dyDescent="0.25">
      <c r="K1191" s="3"/>
      <c r="BE1191" s="1"/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</row>
    <row r="1192" spans="11:74" x14ac:dyDescent="0.25">
      <c r="K1192" s="3"/>
      <c r="BE1192" s="1"/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</row>
    <row r="1193" spans="11:74" x14ac:dyDescent="0.25">
      <c r="K1193" s="3"/>
      <c r="BE1193" s="1"/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</row>
    <row r="1194" spans="11:74" x14ac:dyDescent="0.25">
      <c r="K1194" s="3"/>
      <c r="BE1194" s="1"/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</row>
    <row r="1195" spans="11:74" x14ac:dyDescent="0.25">
      <c r="K1195" s="3"/>
      <c r="BE1195" s="1"/>
      <c r="BO1195">
        <v>0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</row>
    <row r="1196" spans="11:74" x14ac:dyDescent="0.25">
      <c r="K1196" s="3"/>
      <c r="BE1196" s="1"/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0</v>
      </c>
      <c r="BV1196">
        <v>0</v>
      </c>
    </row>
    <row r="1197" spans="11:74" x14ac:dyDescent="0.25">
      <c r="K1197" s="3"/>
      <c r="BE1197" s="1"/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</row>
    <row r="1198" spans="11:74" x14ac:dyDescent="0.25">
      <c r="K1198" s="3"/>
      <c r="BE1198" s="1"/>
      <c r="BO1198">
        <v>0</v>
      </c>
      <c r="BP1198">
        <v>0</v>
      </c>
      <c r="BQ1198">
        <v>0</v>
      </c>
      <c r="BR1198">
        <v>0</v>
      </c>
      <c r="BS1198">
        <v>0</v>
      </c>
      <c r="BT1198">
        <v>0</v>
      </c>
      <c r="BU1198">
        <v>0</v>
      </c>
      <c r="BV1198">
        <v>0</v>
      </c>
    </row>
    <row r="1199" spans="11:74" x14ac:dyDescent="0.25">
      <c r="K1199" s="3"/>
      <c r="BE1199" s="1"/>
      <c r="BO1199">
        <v>0</v>
      </c>
      <c r="BP1199">
        <v>0</v>
      </c>
      <c r="BQ1199">
        <v>0</v>
      </c>
      <c r="BR1199">
        <v>0</v>
      </c>
      <c r="BS1199">
        <v>0</v>
      </c>
      <c r="BT1199">
        <v>0</v>
      </c>
      <c r="BU1199">
        <v>0</v>
      </c>
      <c r="BV1199">
        <v>0</v>
      </c>
    </row>
    <row r="1200" spans="11:74" x14ac:dyDescent="0.25">
      <c r="BO1200">
        <v>0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>
        <v>0</v>
      </c>
      <c r="BV1200">
        <v>0</v>
      </c>
    </row>
    <row r="1201" spans="67:74" x14ac:dyDescent="0.25">
      <c r="BO1201">
        <v>0</v>
      </c>
      <c r="BP1201">
        <v>0</v>
      </c>
      <c r="BQ1201">
        <v>0</v>
      </c>
      <c r="BR1201">
        <v>0</v>
      </c>
      <c r="BS1201">
        <v>0</v>
      </c>
      <c r="BT1201">
        <v>0</v>
      </c>
      <c r="BU1201">
        <v>0</v>
      </c>
      <c r="BV1201">
        <v>0</v>
      </c>
    </row>
    <row r="1202" spans="67:74" x14ac:dyDescent="0.25"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</row>
    <row r="1203" spans="67:74" x14ac:dyDescent="0.25"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</row>
    <row r="1204" spans="67:74" x14ac:dyDescent="0.25">
      <c r="BO1204">
        <v>0</v>
      </c>
      <c r="BP1204">
        <v>0</v>
      </c>
      <c r="BQ1204">
        <v>0</v>
      </c>
      <c r="BR1204">
        <v>0</v>
      </c>
      <c r="BS1204">
        <v>0</v>
      </c>
      <c r="BT1204">
        <v>0</v>
      </c>
      <c r="BU1204">
        <v>0</v>
      </c>
      <c r="BV1204">
        <v>0</v>
      </c>
    </row>
    <row r="1205" spans="67:74" x14ac:dyDescent="0.25">
      <c r="BO1205">
        <v>0</v>
      </c>
      <c r="BP1205">
        <v>0</v>
      </c>
      <c r="BQ1205">
        <v>0</v>
      </c>
      <c r="BR1205">
        <v>0</v>
      </c>
      <c r="BS1205">
        <v>0</v>
      </c>
      <c r="BT1205">
        <v>0</v>
      </c>
      <c r="BU1205">
        <v>0</v>
      </c>
      <c r="BV1205">
        <v>0</v>
      </c>
    </row>
    <row r="1206" spans="67:74" x14ac:dyDescent="0.25"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</row>
    <row r="1207" spans="67:74" x14ac:dyDescent="0.25"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</row>
    <row r="1208" spans="67:74" x14ac:dyDescent="0.25"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</row>
    <row r="1209" spans="67:74" x14ac:dyDescent="0.25">
      <c r="BO1209">
        <v>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>
        <v>0</v>
      </c>
      <c r="BV1209">
        <v>0</v>
      </c>
    </row>
    <row r="1210" spans="67:74" x14ac:dyDescent="0.25"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</row>
    <row r="1211" spans="67:74" x14ac:dyDescent="0.25">
      <c r="BO1211">
        <v>0</v>
      </c>
      <c r="BP1211">
        <v>0</v>
      </c>
      <c r="BQ1211">
        <v>0</v>
      </c>
      <c r="BR1211">
        <v>0</v>
      </c>
      <c r="BS1211">
        <v>0</v>
      </c>
      <c r="BT1211">
        <v>0</v>
      </c>
      <c r="BU1211">
        <v>0</v>
      </c>
      <c r="BV1211">
        <v>0</v>
      </c>
    </row>
    <row r="1212" spans="67:74" x14ac:dyDescent="0.25"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</row>
    <row r="1213" spans="67:74" x14ac:dyDescent="0.25"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</row>
    <row r="1214" spans="67:74" x14ac:dyDescent="0.25"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</row>
    <row r="1215" spans="67:74" x14ac:dyDescent="0.25"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</row>
    <row r="1216" spans="67:74" x14ac:dyDescent="0.25"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</row>
    <row r="1217" spans="67:74" x14ac:dyDescent="0.25"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</row>
    <row r="1218" spans="67:74" x14ac:dyDescent="0.25"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</row>
    <row r="1219" spans="67:74" x14ac:dyDescent="0.25"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</row>
    <row r="1220" spans="67:74" x14ac:dyDescent="0.25"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</row>
    <row r="1221" spans="67:74" x14ac:dyDescent="0.25"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</row>
    <row r="1222" spans="67:74" x14ac:dyDescent="0.25"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</row>
    <row r="1223" spans="67:74" x14ac:dyDescent="0.25"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</row>
    <row r="1224" spans="67:74" x14ac:dyDescent="0.25"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</row>
    <row r="1225" spans="67:74" x14ac:dyDescent="0.25"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</row>
    <row r="1226" spans="67:74" x14ac:dyDescent="0.25"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</row>
    <row r="1227" spans="67:74" x14ac:dyDescent="0.25"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</row>
    <row r="1228" spans="67:74" x14ac:dyDescent="0.25"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</row>
    <row r="1229" spans="67:74" x14ac:dyDescent="0.25"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</row>
    <row r="1230" spans="67:74" x14ac:dyDescent="0.25">
      <c r="BO1230">
        <v>0</v>
      </c>
      <c r="BP1230">
        <v>0</v>
      </c>
      <c r="BQ1230">
        <v>0</v>
      </c>
      <c r="BR1230">
        <v>0</v>
      </c>
      <c r="BS1230">
        <v>0</v>
      </c>
      <c r="BT1230">
        <v>0</v>
      </c>
      <c r="BU1230">
        <v>0</v>
      </c>
      <c r="BV1230">
        <v>0</v>
      </c>
    </row>
    <row r="1231" spans="67:74" x14ac:dyDescent="0.25"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</row>
    <row r="1232" spans="67:74" x14ac:dyDescent="0.25"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</row>
    <row r="1233" spans="67:74" x14ac:dyDescent="0.25"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</row>
    <row r="1234" spans="67:74" x14ac:dyDescent="0.25"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>
        <v>0</v>
      </c>
      <c r="BV1234">
        <v>0</v>
      </c>
    </row>
    <row r="1235" spans="67:74" x14ac:dyDescent="0.25"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</row>
    <row r="1236" spans="67:74" x14ac:dyDescent="0.25">
      <c r="BO1236">
        <v>0</v>
      </c>
      <c r="BP1236">
        <v>0</v>
      </c>
      <c r="BQ1236">
        <v>0</v>
      </c>
      <c r="BR1236">
        <v>0</v>
      </c>
      <c r="BS1236">
        <v>0</v>
      </c>
      <c r="BT1236">
        <v>0</v>
      </c>
      <c r="BU1236">
        <v>0</v>
      </c>
      <c r="BV1236">
        <v>0</v>
      </c>
    </row>
    <row r="1237" spans="67:74" x14ac:dyDescent="0.25"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</row>
    <row r="1238" spans="67:74" x14ac:dyDescent="0.25"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</row>
    <row r="1239" spans="67:74" x14ac:dyDescent="0.25"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</row>
    <row r="1240" spans="67:74" x14ac:dyDescent="0.25"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</row>
    <row r="1241" spans="67:74" x14ac:dyDescent="0.25"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</row>
    <row r="1242" spans="67:74" x14ac:dyDescent="0.25"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>
        <v>0</v>
      </c>
      <c r="BV1242">
        <v>0</v>
      </c>
    </row>
    <row r="1243" spans="67:74" x14ac:dyDescent="0.25"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>
        <v>0</v>
      </c>
      <c r="BV1243">
        <v>0</v>
      </c>
    </row>
    <row r="1244" spans="67:74" x14ac:dyDescent="0.25"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</row>
    <row r="1245" spans="67:74" x14ac:dyDescent="0.25"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</row>
    <row r="1246" spans="67:74" x14ac:dyDescent="0.25"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>
        <v>0</v>
      </c>
      <c r="BV1246">
        <v>0</v>
      </c>
    </row>
    <row r="1247" spans="67:74" x14ac:dyDescent="0.25"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</row>
    <row r="1248" spans="67:74" x14ac:dyDescent="0.25">
      <c r="BO1248">
        <v>0</v>
      </c>
      <c r="BP1248">
        <v>0</v>
      </c>
      <c r="BQ1248">
        <v>0</v>
      </c>
      <c r="BR1248">
        <v>0</v>
      </c>
      <c r="BS1248">
        <v>0</v>
      </c>
      <c r="BT1248">
        <v>0</v>
      </c>
      <c r="BU1248">
        <v>0</v>
      </c>
      <c r="BV1248">
        <v>0</v>
      </c>
    </row>
    <row r="1249" spans="67:74" x14ac:dyDescent="0.25"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</row>
    <row r="1250" spans="67:74" x14ac:dyDescent="0.25"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</row>
    <row r="1251" spans="67:74" x14ac:dyDescent="0.25"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</row>
    <row r="1252" spans="67:74" x14ac:dyDescent="0.25"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</row>
    <row r="1253" spans="67:74" x14ac:dyDescent="0.25"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</row>
    <row r="1254" spans="67:74" x14ac:dyDescent="0.25"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</row>
    <row r="1255" spans="67:74" x14ac:dyDescent="0.25"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</row>
    <row r="1256" spans="67:74" x14ac:dyDescent="0.25"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</row>
    <row r="1257" spans="67:74" x14ac:dyDescent="0.25"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</row>
    <row r="1258" spans="67:74" x14ac:dyDescent="0.25"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</row>
    <row r="1259" spans="67:74" x14ac:dyDescent="0.25"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</row>
    <row r="1260" spans="67:74" x14ac:dyDescent="0.25"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</row>
    <row r="1261" spans="67:74" x14ac:dyDescent="0.25"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</row>
    <row r="1262" spans="67:74" x14ac:dyDescent="0.25"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</row>
    <row r="1263" spans="67:74" x14ac:dyDescent="0.25"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</row>
    <row r="1264" spans="67:74" x14ac:dyDescent="0.25"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</row>
    <row r="1265" spans="32:74" x14ac:dyDescent="0.25"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</row>
    <row r="1266" spans="32:74" x14ac:dyDescent="0.25">
      <c r="AF1266" s="1"/>
      <c r="BE1266" s="1"/>
      <c r="BM1266" s="2"/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</row>
    <row r="1267" spans="32:74" x14ac:dyDescent="0.25">
      <c r="BO1267">
        <v>0</v>
      </c>
      <c r="BP1267">
        <v>0</v>
      </c>
      <c r="BQ1267">
        <v>0</v>
      </c>
      <c r="BR1267">
        <v>0</v>
      </c>
      <c r="BS1267">
        <v>0</v>
      </c>
      <c r="BT1267">
        <v>0</v>
      </c>
      <c r="BU1267">
        <v>0</v>
      </c>
      <c r="BV1267">
        <v>0</v>
      </c>
    </row>
    <row r="1268" spans="32:74" x14ac:dyDescent="0.25"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</row>
    <row r="1269" spans="32:74" x14ac:dyDescent="0.25"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</row>
    <row r="1270" spans="32:74" x14ac:dyDescent="0.25"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</row>
    <row r="1271" spans="32:74" x14ac:dyDescent="0.25"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</row>
    <row r="1272" spans="32:74" x14ac:dyDescent="0.25"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</row>
    <row r="1273" spans="32:74" x14ac:dyDescent="0.25">
      <c r="BO1273">
        <v>0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</row>
    <row r="1274" spans="32:74" x14ac:dyDescent="0.25">
      <c r="BO1274">
        <v>0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0</v>
      </c>
      <c r="BV1274">
        <v>0</v>
      </c>
    </row>
    <row r="1275" spans="32:74" x14ac:dyDescent="0.25">
      <c r="BO1275">
        <v>0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</row>
    <row r="1276" spans="32:74" x14ac:dyDescent="0.25">
      <c r="BO1276">
        <v>0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>
        <v>0</v>
      </c>
      <c r="BV1276">
        <v>0</v>
      </c>
    </row>
    <row r="1277" spans="32:74" x14ac:dyDescent="0.25">
      <c r="BO1277">
        <v>0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>
        <v>0</v>
      </c>
      <c r="BV1277">
        <v>0</v>
      </c>
    </row>
    <row r="1278" spans="32:74" x14ac:dyDescent="0.25">
      <c r="BO1278">
        <v>0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</row>
    <row r="1279" spans="32:74" x14ac:dyDescent="0.25">
      <c r="BO1279">
        <v>0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>
        <v>0</v>
      </c>
      <c r="BV1279">
        <v>0</v>
      </c>
    </row>
    <row r="1280" spans="32:74" x14ac:dyDescent="0.25">
      <c r="BO1280">
        <v>0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</row>
    <row r="1281" spans="67:74" x14ac:dyDescent="0.25">
      <c r="BO1281">
        <v>0</v>
      </c>
      <c r="BP1281">
        <v>0</v>
      </c>
      <c r="BQ1281">
        <v>0</v>
      </c>
      <c r="BR1281">
        <v>0</v>
      </c>
      <c r="BS1281">
        <v>0</v>
      </c>
      <c r="BT1281">
        <v>0</v>
      </c>
      <c r="BU1281">
        <v>0</v>
      </c>
      <c r="BV1281">
        <v>0</v>
      </c>
    </row>
    <row r="1282" spans="67:74" x14ac:dyDescent="0.25">
      <c r="BO1282">
        <v>0</v>
      </c>
      <c r="BP1282">
        <v>0</v>
      </c>
      <c r="BQ1282">
        <v>0</v>
      </c>
      <c r="BR1282">
        <v>0</v>
      </c>
      <c r="BS1282">
        <v>0</v>
      </c>
      <c r="BT1282">
        <v>0</v>
      </c>
      <c r="BU1282">
        <v>0</v>
      </c>
      <c r="BV1282">
        <v>0</v>
      </c>
    </row>
    <row r="1283" spans="67:74" x14ac:dyDescent="0.25">
      <c r="BO1283">
        <v>0</v>
      </c>
      <c r="BP1283">
        <v>0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</row>
    <row r="1284" spans="67:74" x14ac:dyDescent="0.25">
      <c r="BO1284">
        <v>0</v>
      </c>
      <c r="BP1284">
        <v>0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</row>
    <row r="1285" spans="67:74" x14ac:dyDescent="0.25">
      <c r="BO1285">
        <v>0</v>
      </c>
      <c r="BP1285">
        <v>0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</row>
    <row r="1286" spans="67:74" x14ac:dyDescent="0.25">
      <c r="BO1286">
        <v>0</v>
      </c>
      <c r="BP1286">
        <v>0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</row>
    <row r="1287" spans="67:74" x14ac:dyDescent="0.25">
      <c r="BO1287">
        <v>0</v>
      </c>
      <c r="BP1287">
        <v>0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</row>
    <row r="1288" spans="67:74" x14ac:dyDescent="0.25">
      <c r="BO1288">
        <v>0</v>
      </c>
      <c r="BP1288">
        <v>0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</row>
    <row r="1289" spans="67:74" x14ac:dyDescent="0.25">
      <c r="BO1289">
        <v>0</v>
      </c>
      <c r="BP1289">
        <v>0</v>
      </c>
      <c r="BQ1289">
        <v>0</v>
      </c>
      <c r="BR1289">
        <v>0</v>
      </c>
      <c r="BS1289">
        <v>0</v>
      </c>
      <c r="BT1289">
        <v>0</v>
      </c>
      <c r="BU1289">
        <v>0</v>
      </c>
      <c r="BV1289">
        <v>0</v>
      </c>
    </row>
    <row r="1290" spans="67:74" x14ac:dyDescent="0.25">
      <c r="BO1290">
        <v>0</v>
      </c>
      <c r="BP1290">
        <v>0</v>
      </c>
      <c r="BQ1290">
        <v>0</v>
      </c>
      <c r="BR1290">
        <v>0</v>
      </c>
      <c r="BS1290">
        <v>0</v>
      </c>
      <c r="BT1290">
        <v>0</v>
      </c>
      <c r="BU1290">
        <v>0</v>
      </c>
      <c r="BV1290">
        <v>0</v>
      </c>
    </row>
    <row r="1291" spans="67:74" x14ac:dyDescent="0.25">
      <c r="BO1291">
        <v>0</v>
      </c>
      <c r="BP1291">
        <v>0</v>
      </c>
      <c r="BQ1291">
        <v>0</v>
      </c>
      <c r="BR1291">
        <v>0</v>
      </c>
      <c r="BS1291">
        <v>0</v>
      </c>
      <c r="BT1291">
        <v>0</v>
      </c>
      <c r="BU1291">
        <v>0</v>
      </c>
      <c r="BV1291">
        <v>0</v>
      </c>
    </row>
    <row r="1292" spans="67:74" x14ac:dyDescent="0.25">
      <c r="BO1292">
        <v>0</v>
      </c>
      <c r="BP1292">
        <v>0</v>
      </c>
      <c r="BQ1292">
        <v>0</v>
      </c>
      <c r="BR1292">
        <v>0</v>
      </c>
      <c r="BS1292">
        <v>0</v>
      </c>
      <c r="BT1292">
        <v>0</v>
      </c>
      <c r="BU1292">
        <v>0</v>
      </c>
      <c r="BV1292">
        <v>0</v>
      </c>
    </row>
    <row r="1293" spans="67:74" x14ac:dyDescent="0.25">
      <c r="BO1293">
        <v>0</v>
      </c>
      <c r="BP1293">
        <v>0</v>
      </c>
      <c r="BQ1293">
        <v>0</v>
      </c>
      <c r="BR1293">
        <v>0</v>
      </c>
      <c r="BS1293">
        <v>0</v>
      </c>
      <c r="BT1293">
        <v>0</v>
      </c>
      <c r="BU1293">
        <v>0</v>
      </c>
      <c r="BV1293">
        <v>0</v>
      </c>
    </row>
    <row r="1294" spans="67:74" x14ac:dyDescent="0.25">
      <c r="BO1294">
        <v>0</v>
      </c>
      <c r="BP1294">
        <v>0</v>
      </c>
      <c r="BQ1294">
        <v>0</v>
      </c>
      <c r="BR1294">
        <v>0</v>
      </c>
      <c r="BS1294">
        <v>0</v>
      </c>
      <c r="BT1294">
        <v>0</v>
      </c>
      <c r="BU1294">
        <v>0</v>
      </c>
      <c r="BV1294">
        <v>0</v>
      </c>
    </row>
    <row r="1295" spans="67:74" x14ac:dyDescent="0.25">
      <c r="BO1295">
        <v>0</v>
      </c>
      <c r="BP1295">
        <v>0</v>
      </c>
      <c r="BQ1295">
        <v>0</v>
      </c>
      <c r="BR1295">
        <v>0</v>
      </c>
      <c r="BS1295">
        <v>0</v>
      </c>
      <c r="BT1295">
        <v>0</v>
      </c>
      <c r="BU1295">
        <v>0</v>
      </c>
      <c r="BV1295">
        <v>0</v>
      </c>
    </row>
    <row r="1296" spans="67:74" x14ac:dyDescent="0.25">
      <c r="BO1296">
        <v>0</v>
      </c>
      <c r="BP1296">
        <v>0</v>
      </c>
      <c r="BQ1296">
        <v>0</v>
      </c>
      <c r="BR1296">
        <v>0</v>
      </c>
      <c r="BS1296">
        <v>0</v>
      </c>
      <c r="BT1296">
        <v>0</v>
      </c>
      <c r="BU1296">
        <v>0</v>
      </c>
      <c r="BV1296">
        <v>0</v>
      </c>
    </row>
    <row r="1297" spans="67:74" x14ac:dyDescent="0.25">
      <c r="BO1297">
        <v>0</v>
      </c>
      <c r="BP1297">
        <v>0</v>
      </c>
      <c r="BQ1297">
        <v>0</v>
      </c>
      <c r="BR1297">
        <v>0</v>
      </c>
      <c r="BS1297">
        <v>0</v>
      </c>
      <c r="BT1297">
        <v>0</v>
      </c>
      <c r="BU1297">
        <v>0</v>
      </c>
      <c r="BV1297">
        <v>0</v>
      </c>
    </row>
    <row r="1298" spans="67:74" x14ac:dyDescent="0.25">
      <c r="BO1298">
        <v>0</v>
      </c>
      <c r="BP1298">
        <v>0</v>
      </c>
      <c r="BQ1298">
        <v>0</v>
      </c>
      <c r="BR1298">
        <v>0</v>
      </c>
      <c r="BS1298">
        <v>0</v>
      </c>
      <c r="BT1298">
        <v>0</v>
      </c>
      <c r="BU1298">
        <v>0</v>
      </c>
      <c r="BV1298">
        <v>0</v>
      </c>
    </row>
    <row r="1299" spans="67:74" x14ac:dyDescent="0.25">
      <c r="BO1299">
        <v>0</v>
      </c>
      <c r="BP1299">
        <v>0</v>
      </c>
      <c r="BQ1299">
        <v>0</v>
      </c>
      <c r="BR1299">
        <v>0</v>
      </c>
      <c r="BS1299">
        <v>0</v>
      </c>
      <c r="BT1299">
        <v>0</v>
      </c>
      <c r="BU1299">
        <v>0</v>
      </c>
      <c r="BV1299">
        <v>0</v>
      </c>
    </row>
    <row r="1300" spans="67:74" x14ac:dyDescent="0.25">
      <c r="BO1300">
        <v>0</v>
      </c>
      <c r="BP1300">
        <v>0</v>
      </c>
      <c r="BQ1300">
        <v>0</v>
      </c>
      <c r="BR1300">
        <v>0</v>
      </c>
      <c r="BS1300">
        <v>0</v>
      </c>
      <c r="BT1300">
        <v>0</v>
      </c>
      <c r="BU1300">
        <v>0</v>
      </c>
      <c r="BV1300">
        <v>0</v>
      </c>
    </row>
    <row r="1301" spans="67:74" x14ac:dyDescent="0.25">
      <c r="BO1301">
        <v>0</v>
      </c>
      <c r="BP1301">
        <v>0</v>
      </c>
      <c r="BQ1301">
        <v>0</v>
      </c>
      <c r="BR1301">
        <v>0</v>
      </c>
      <c r="BS1301">
        <v>0</v>
      </c>
      <c r="BT1301">
        <v>0</v>
      </c>
      <c r="BU1301">
        <v>0</v>
      </c>
      <c r="BV1301">
        <v>0</v>
      </c>
    </row>
    <row r="1302" spans="67:74" x14ac:dyDescent="0.25">
      <c r="BO1302">
        <v>0</v>
      </c>
      <c r="BP1302">
        <v>0</v>
      </c>
      <c r="BQ1302">
        <v>0</v>
      </c>
      <c r="BR1302">
        <v>0</v>
      </c>
      <c r="BS1302">
        <v>0</v>
      </c>
      <c r="BT1302">
        <v>0</v>
      </c>
      <c r="BU1302">
        <v>0</v>
      </c>
      <c r="BV1302">
        <v>0</v>
      </c>
    </row>
    <row r="1303" spans="67:74" x14ac:dyDescent="0.25">
      <c r="BO1303">
        <v>0</v>
      </c>
      <c r="BP1303">
        <v>0</v>
      </c>
      <c r="BQ1303">
        <v>0</v>
      </c>
      <c r="BR1303">
        <v>0</v>
      </c>
      <c r="BS1303">
        <v>0</v>
      </c>
      <c r="BT1303">
        <v>0</v>
      </c>
      <c r="BU1303">
        <v>0</v>
      </c>
      <c r="BV1303">
        <v>0</v>
      </c>
    </row>
    <row r="1304" spans="67:74" x14ac:dyDescent="0.25">
      <c r="BO1304">
        <v>0</v>
      </c>
      <c r="BP1304">
        <v>0</v>
      </c>
      <c r="BQ1304">
        <v>0</v>
      </c>
      <c r="BR1304">
        <v>0</v>
      </c>
      <c r="BS1304">
        <v>0</v>
      </c>
      <c r="BT1304">
        <v>0</v>
      </c>
      <c r="BU1304">
        <v>0</v>
      </c>
      <c r="BV1304">
        <v>0</v>
      </c>
    </row>
    <row r="1305" spans="67:74" x14ac:dyDescent="0.25">
      <c r="BO1305">
        <v>0</v>
      </c>
      <c r="BP1305">
        <v>0</v>
      </c>
      <c r="BQ1305">
        <v>0</v>
      </c>
      <c r="BR1305">
        <v>0</v>
      </c>
      <c r="BS1305">
        <v>0</v>
      </c>
      <c r="BT1305">
        <v>0</v>
      </c>
      <c r="BU1305">
        <v>0</v>
      </c>
      <c r="BV1305">
        <v>0</v>
      </c>
    </row>
    <row r="1306" spans="67:74" x14ac:dyDescent="0.25">
      <c r="BO1306">
        <v>0</v>
      </c>
      <c r="BP1306">
        <v>0</v>
      </c>
      <c r="BQ1306">
        <v>0</v>
      </c>
      <c r="BR1306">
        <v>0</v>
      </c>
      <c r="BS1306">
        <v>0</v>
      </c>
      <c r="BT1306">
        <v>0</v>
      </c>
      <c r="BU1306">
        <v>0</v>
      </c>
      <c r="BV1306">
        <v>0</v>
      </c>
    </row>
    <row r="1307" spans="67:74" x14ac:dyDescent="0.25">
      <c r="BO1307">
        <v>0</v>
      </c>
      <c r="BP1307">
        <v>0</v>
      </c>
      <c r="BQ1307">
        <v>0</v>
      </c>
      <c r="BR1307">
        <v>0</v>
      </c>
      <c r="BS1307">
        <v>0</v>
      </c>
      <c r="BT1307">
        <v>0</v>
      </c>
      <c r="BU1307">
        <v>0</v>
      </c>
      <c r="BV1307">
        <v>0</v>
      </c>
    </row>
    <row r="1308" spans="67:74" x14ac:dyDescent="0.25">
      <c r="BO1308">
        <v>0</v>
      </c>
      <c r="BP1308">
        <v>0</v>
      </c>
      <c r="BQ1308">
        <v>0</v>
      </c>
      <c r="BR1308">
        <v>0</v>
      </c>
      <c r="BS1308">
        <v>0</v>
      </c>
      <c r="BT1308">
        <v>0</v>
      </c>
      <c r="BU1308">
        <v>0</v>
      </c>
      <c r="BV1308">
        <v>0</v>
      </c>
    </row>
    <row r="1309" spans="67:74" x14ac:dyDescent="0.25">
      <c r="BO1309">
        <v>0</v>
      </c>
      <c r="BP1309">
        <v>0</v>
      </c>
      <c r="BQ1309">
        <v>0</v>
      </c>
      <c r="BR1309">
        <v>0</v>
      </c>
      <c r="BS1309">
        <v>0</v>
      </c>
      <c r="BT1309">
        <v>0</v>
      </c>
      <c r="BU1309">
        <v>0</v>
      </c>
      <c r="BV1309">
        <v>0</v>
      </c>
    </row>
    <row r="1310" spans="67:74" x14ac:dyDescent="0.25">
      <c r="BO1310">
        <v>0</v>
      </c>
      <c r="BP1310">
        <v>0</v>
      </c>
      <c r="BQ1310">
        <v>0</v>
      </c>
      <c r="BR1310">
        <v>0</v>
      </c>
      <c r="BS1310">
        <v>0</v>
      </c>
      <c r="BT1310">
        <v>0</v>
      </c>
      <c r="BU1310">
        <v>0</v>
      </c>
      <c r="BV1310">
        <v>0</v>
      </c>
    </row>
    <row r="1311" spans="67:74" x14ac:dyDescent="0.25">
      <c r="BO1311">
        <v>0</v>
      </c>
      <c r="BP1311">
        <v>0</v>
      </c>
      <c r="BQ1311">
        <v>0</v>
      </c>
      <c r="BR1311">
        <v>0</v>
      </c>
      <c r="BS1311">
        <v>0</v>
      </c>
      <c r="BT1311">
        <v>0</v>
      </c>
      <c r="BU1311">
        <v>0</v>
      </c>
      <c r="BV1311">
        <v>0</v>
      </c>
    </row>
    <row r="1312" spans="67:74" x14ac:dyDescent="0.25">
      <c r="BO1312">
        <v>0</v>
      </c>
      <c r="BP1312">
        <v>0</v>
      </c>
      <c r="BQ1312">
        <v>0</v>
      </c>
      <c r="BR1312">
        <v>0</v>
      </c>
      <c r="BS1312">
        <v>0</v>
      </c>
      <c r="BT1312">
        <v>0</v>
      </c>
      <c r="BU1312">
        <v>0</v>
      </c>
      <c r="BV1312">
        <v>0</v>
      </c>
    </row>
    <row r="1313" spans="67:74" x14ac:dyDescent="0.25">
      <c r="BO1313">
        <v>0</v>
      </c>
      <c r="BP1313">
        <v>0</v>
      </c>
      <c r="BQ1313">
        <v>0</v>
      </c>
      <c r="BR1313">
        <v>0</v>
      </c>
      <c r="BS1313">
        <v>0</v>
      </c>
      <c r="BT1313">
        <v>0</v>
      </c>
      <c r="BU1313">
        <v>0</v>
      </c>
      <c r="BV1313">
        <v>0</v>
      </c>
    </row>
    <row r="1314" spans="67:74" x14ac:dyDescent="0.25">
      <c r="BO1314">
        <v>0</v>
      </c>
      <c r="BP1314">
        <v>0</v>
      </c>
      <c r="BQ1314">
        <v>0</v>
      </c>
      <c r="BR1314">
        <v>0</v>
      </c>
      <c r="BS1314">
        <v>0</v>
      </c>
      <c r="BT1314">
        <v>0</v>
      </c>
      <c r="BU1314">
        <v>0</v>
      </c>
      <c r="BV1314">
        <v>0</v>
      </c>
    </row>
    <row r="1315" spans="67:74" x14ac:dyDescent="0.25">
      <c r="BO1315">
        <v>0</v>
      </c>
      <c r="BP1315">
        <v>0</v>
      </c>
      <c r="BQ1315">
        <v>0</v>
      </c>
      <c r="BR1315">
        <v>0</v>
      </c>
      <c r="BS1315">
        <v>0</v>
      </c>
      <c r="BT1315">
        <v>0</v>
      </c>
      <c r="BU1315">
        <v>0</v>
      </c>
      <c r="BV1315">
        <v>0</v>
      </c>
    </row>
    <row r="1316" spans="67:74" x14ac:dyDescent="0.25">
      <c r="BO1316">
        <v>0</v>
      </c>
      <c r="BP1316">
        <v>0</v>
      </c>
      <c r="BQ1316">
        <v>0</v>
      </c>
      <c r="BR1316">
        <v>0</v>
      </c>
      <c r="BS1316">
        <v>0</v>
      </c>
      <c r="BT1316">
        <v>0</v>
      </c>
      <c r="BU1316">
        <v>0</v>
      </c>
      <c r="BV1316">
        <v>0</v>
      </c>
    </row>
    <row r="1317" spans="67:74" x14ac:dyDescent="0.25">
      <c r="BO1317">
        <v>0</v>
      </c>
      <c r="BP1317">
        <v>0</v>
      </c>
      <c r="BQ1317">
        <v>0</v>
      </c>
      <c r="BR1317">
        <v>0</v>
      </c>
      <c r="BS1317">
        <v>0</v>
      </c>
      <c r="BT1317">
        <v>0</v>
      </c>
      <c r="BU1317">
        <v>0</v>
      </c>
      <c r="BV1317">
        <v>0</v>
      </c>
    </row>
    <row r="1318" spans="67:74" x14ac:dyDescent="0.25">
      <c r="BO1318">
        <v>0</v>
      </c>
      <c r="BP1318">
        <v>0</v>
      </c>
      <c r="BQ1318">
        <v>0</v>
      </c>
      <c r="BR1318">
        <v>0</v>
      </c>
      <c r="BS1318">
        <v>0</v>
      </c>
      <c r="BT1318">
        <v>0</v>
      </c>
      <c r="BU1318">
        <v>0</v>
      </c>
      <c r="BV1318">
        <v>0</v>
      </c>
    </row>
    <row r="1319" spans="67:74" x14ac:dyDescent="0.25">
      <c r="BO1319">
        <v>0</v>
      </c>
      <c r="BP1319">
        <v>0</v>
      </c>
      <c r="BQ1319">
        <v>0</v>
      </c>
      <c r="BR1319">
        <v>0</v>
      </c>
      <c r="BS1319">
        <v>0</v>
      </c>
      <c r="BT1319">
        <v>0</v>
      </c>
      <c r="BU1319">
        <v>0</v>
      </c>
      <c r="BV1319">
        <v>0</v>
      </c>
    </row>
    <row r="1320" spans="67:74" x14ac:dyDescent="0.25">
      <c r="BO1320">
        <v>0</v>
      </c>
      <c r="BP1320">
        <v>0</v>
      </c>
      <c r="BQ1320">
        <v>0</v>
      </c>
      <c r="BR1320">
        <v>0</v>
      </c>
      <c r="BS1320">
        <v>0</v>
      </c>
      <c r="BT1320">
        <v>0</v>
      </c>
      <c r="BU1320">
        <v>0</v>
      </c>
      <c r="BV1320">
        <v>0</v>
      </c>
    </row>
    <row r="1321" spans="67:74" x14ac:dyDescent="0.25">
      <c r="BO1321">
        <v>0</v>
      </c>
      <c r="BP1321">
        <v>0</v>
      </c>
      <c r="BQ1321">
        <v>0</v>
      </c>
      <c r="BR1321">
        <v>0</v>
      </c>
      <c r="BS1321">
        <v>0</v>
      </c>
      <c r="BT1321">
        <v>0</v>
      </c>
      <c r="BU1321">
        <v>0</v>
      </c>
      <c r="BV1321">
        <v>0</v>
      </c>
    </row>
    <row r="1322" spans="67:74" x14ac:dyDescent="0.25">
      <c r="BO1322">
        <v>0</v>
      </c>
      <c r="BP1322">
        <v>0</v>
      </c>
      <c r="BQ1322">
        <v>0</v>
      </c>
      <c r="BR1322">
        <v>0</v>
      </c>
      <c r="BS1322">
        <v>0</v>
      </c>
      <c r="BT1322">
        <v>0</v>
      </c>
      <c r="BU1322">
        <v>0</v>
      </c>
      <c r="BV1322">
        <v>0</v>
      </c>
    </row>
    <row r="1323" spans="67:74" x14ac:dyDescent="0.25">
      <c r="BO1323">
        <v>0</v>
      </c>
      <c r="BP1323">
        <v>0</v>
      </c>
      <c r="BQ1323">
        <v>0</v>
      </c>
      <c r="BR1323">
        <v>0</v>
      </c>
      <c r="BS1323">
        <v>0</v>
      </c>
      <c r="BT1323">
        <v>0</v>
      </c>
      <c r="BU1323">
        <v>0</v>
      </c>
      <c r="BV1323">
        <v>0</v>
      </c>
    </row>
    <row r="1324" spans="67:74" x14ac:dyDescent="0.25">
      <c r="BO1324">
        <v>0</v>
      </c>
      <c r="BP1324">
        <v>0</v>
      </c>
      <c r="BQ1324">
        <v>0</v>
      </c>
      <c r="BR1324">
        <v>0</v>
      </c>
      <c r="BS1324">
        <v>0</v>
      </c>
      <c r="BT1324">
        <v>0</v>
      </c>
      <c r="BU1324">
        <v>0</v>
      </c>
      <c r="BV1324">
        <v>0</v>
      </c>
    </row>
    <row r="1325" spans="67:74" x14ac:dyDescent="0.25">
      <c r="BO1325">
        <v>0</v>
      </c>
      <c r="BP1325">
        <v>0</v>
      </c>
      <c r="BQ1325">
        <v>0</v>
      </c>
      <c r="BR1325">
        <v>0</v>
      </c>
      <c r="BS1325">
        <v>0</v>
      </c>
      <c r="BT1325">
        <v>0</v>
      </c>
      <c r="BU1325">
        <v>0</v>
      </c>
      <c r="BV1325">
        <v>0</v>
      </c>
    </row>
    <row r="1326" spans="67:74" x14ac:dyDescent="0.25">
      <c r="BO1326">
        <v>0</v>
      </c>
      <c r="BP1326">
        <v>0</v>
      </c>
      <c r="BQ1326">
        <v>0</v>
      </c>
      <c r="BR1326">
        <v>0</v>
      </c>
      <c r="BS1326">
        <v>0</v>
      </c>
      <c r="BT1326">
        <v>0</v>
      </c>
      <c r="BU1326">
        <v>0</v>
      </c>
      <c r="BV1326">
        <v>0</v>
      </c>
    </row>
    <row r="1327" spans="67:74" x14ac:dyDescent="0.25">
      <c r="BO1327">
        <v>0</v>
      </c>
      <c r="BP1327">
        <v>0</v>
      </c>
      <c r="BQ1327">
        <v>0</v>
      </c>
      <c r="BR1327">
        <v>0</v>
      </c>
      <c r="BS1327">
        <v>0</v>
      </c>
      <c r="BT1327">
        <v>0</v>
      </c>
      <c r="BU1327">
        <v>0</v>
      </c>
      <c r="BV1327">
        <v>0</v>
      </c>
    </row>
    <row r="1328" spans="67:74" x14ac:dyDescent="0.25">
      <c r="BO1328">
        <v>0</v>
      </c>
      <c r="BP1328">
        <v>0</v>
      </c>
      <c r="BQ1328">
        <v>0</v>
      </c>
      <c r="BR1328">
        <v>0</v>
      </c>
      <c r="BS1328">
        <v>0</v>
      </c>
      <c r="BT1328">
        <v>0</v>
      </c>
      <c r="BU1328">
        <v>0</v>
      </c>
      <c r="BV1328">
        <v>0</v>
      </c>
    </row>
    <row r="1329" spans="67:74" x14ac:dyDescent="0.25">
      <c r="BO1329">
        <v>0</v>
      </c>
      <c r="BP1329">
        <v>0</v>
      </c>
      <c r="BQ1329">
        <v>0</v>
      </c>
      <c r="BR1329">
        <v>0</v>
      </c>
      <c r="BS1329">
        <v>0</v>
      </c>
      <c r="BT1329">
        <v>0</v>
      </c>
      <c r="BU1329">
        <v>0</v>
      </c>
      <c r="BV1329">
        <v>0</v>
      </c>
    </row>
    <row r="1330" spans="67:74" x14ac:dyDescent="0.25">
      <c r="BO1330">
        <v>0</v>
      </c>
      <c r="BP1330">
        <v>0</v>
      </c>
      <c r="BQ1330">
        <v>0</v>
      </c>
      <c r="BR1330">
        <v>0</v>
      </c>
      <c r="BS1330">
        <v>0</v>
      </c>
      <c r="BT1330">
        <v>0</v>
      </c>
      <c r="BU1330">
        <v>0</v>
      </c>
      <c r="BV1330">
        <v>0</v>
      </c>
    </row>
    <row r="1331" spans="67:74" x14ac:dyDescent="0.25">
      <c r="BO1331">
        <v>0</v>
      </c>
      <c r="BP1331">
        <v>0</v>
      </c>
      <c r="BQ1331">
        <v>0</v>
      </c>
      <c r="BR1331">
        <v>0</v>
      </c>
      <c r="BS1331">
        <v>0</v>
      </c>
      <c r="BT1331">
        <v>0</v>
      </c>
      <c r="BU1331">
        <v>0</v>
      </c>
      <c r="BV1331">
        <v>0</v>
      </c>
    </row>
    <row r="1332" spans="67:74" x14ac:dyDescent="0.25">
      <c r="BO1332">
        <v>0</v>
      </c>
      <c r="BP1332">
        <v>0</v>
      </c>
      <c r="BQ1332">
        <v>0</v>
      </c>
      <c r="BR1332">
        <v>0</v>
      </c>
      <c r="BS1332">
        <v>0</v>
      </c>
      <c r="BT1332">
        <v>0</v>
      </c>
      <c r="BU1332">
        <v>0</v>
      </c>
      <c r="BV1332">
        <v>0</v>
      </c>
    </row>
    <row r="1333" spans="67:74" x14ac:dyDescent="0.25">
      <c r="BO1333">
        <v>0</v>
      </c>
      <c r="BP1333">
        <v>0</v>
      </c>
      <c r="BQ1333">
        <v>0</v>
      </c>
      <c r="BR1333">
        <v>0</v>
      </c>
      <c r="BS1333">
        <v>0</v>
      </c>
      <c r="BT1333">
        <v>0</v>
      </c>
      <c r="BU1333">
        <v>0</v>
      </c>
      <c r="BV1333">
        <v>0</v>
      </c>
    </row>
    <row r="1334" spans="67:74" x14ac:dyDescent="0.25">
      <c r="BO1334">
        <v>0</v>
      </c>
      <c r="BP1334">
        <v>0</v>
      </c>
      <c r="BQ1334">
        <v>0</v>
      </c>
      <c r="BR1334">
        <v>0</v>
      </c>
      <c r="BS1334">
        <v>0</v>
      </c>
      <c r="BT1334">
        <v>0</v>
      </c>
      <c r="BU1334">
        <v>0</v>
      </c>
      <c r="BV1334">
        <v>0</v>
      </c>
    </row>
    <row r="1335" spans="67:74" x14ac:dyDescent="0.25">
      <c r="BO1335">
        <v>0</v>
      </c>
      <c r="BP1335">
        <v>0</v>
      </c>
      <c r="BQ1335">
        <v>0</v>
      </c>
      <c r="BR1335">
        <v>0</v>
      </c>
      <c r="BS1335">
        <v>0</v>
      </c>
      <c r="BT1335">
        <v>0</v>
      </c>
      <c r="BU1335">
        <v>0</v>
      </c>
      <c r="BV1335">
        <v>0</v>
      </c>
    </row>
    <row r="1336" spans="67:74" x14ac:dyDescent="0.25">
      <c r="BO1336">
        <v>0</v>
      </c>
      <c r="BP1336">
        <v>0</v>
      </c>
      <c r="BQ1336">
        <v>0</v>
      </c>
      <c r="BR1336">
        <v>0</v>
      </c>
      <c r="BS1336">
        <v>0</v>
      </c>
      <c r="BT1336">
        <v>0</v>
      </c>
      <c r="BU1336">
        <v>0</v>
      </c>
      <c r="BV1336">
        <v>0</v>
      </c>
    </row>
    <row r="1337" spans="67:74" x14ac:dyDescent="0.25">
      <c r="BO1337">
        <v>0</v>
      </c>
      <c r="BP1337">
        <v>0</v>
      </c>
      <c r="BQ1337">
        <v>0</v>
      </c>
      <c r="BR1337">
        <v>0</v>
      </c>
      <c r="BS1337">
        <v>0</v>
      </c>
      <c r="BT1337">
        <v>0</v>
      </c>
      <c r="BU1337">
        <v>0</v>
      </c>
      <c r="BV1337">
        <v>0</v>
      </c>
    </row>
    <row r="1338" spans="67:74" x14ac:dyDescent="0.25">
      <c r="BO1338">
        <v>0</v>
      </c>
      <c r="BP1338">
        <v>0</v>
      </c>
      <c r="BQ1338">
        <v>0</v>
      </c>
      <c r="BR1338">
        <v>0</v>
      </c>
      <c r="BS1338">
        <v>0</v>
      </c>
      <c r="BT1338">
        <v>0</v>
      </c>
      <c r="BU1338">
        <v>0</v>
      </c>
      <c r="BV1338">
        <v>0</v>
      </c>
    </row>
    <row r="1339" spans="67:74" x14ac:dyDescent="0.25">
      <c r="BO1339">
        <v>0</v>
      </c>
      <c r="BP1339">
        <v>0</v>
      </c>
      <c r="BQ1339">
        <v>0</v>
      </c>
      <c r="BR1339">
        <v>0</v>
      </c>
      <c r="BS1339">
        <v>0</v>
      </c>
      <c r="BT1339">
        <v>0</v>
      </c>
      <c r="BU1339">
        <v>0</v>
      </c>
      <c r="BV1339">
        <v>0</v>
      </c>
    </row>
    <row r="1340" spans="67:74" x14ac:dyDescent="0.25">
      <c r="BO1340">
        <v>0</v>
      </c>
      <c r="BP1340">
        <v>0</v>
      </c>
      <c r="BQ1340">
        <v>0</v>
      </c>
      <c r="BR1340">
        <v>0</v>
      </c>
      <c r="BS1340">
        <v>0</v>
      </c>
      <c r="BT1340">
        <v>0</v>
      </c>
      <c r="BU1340">
        <v>0</v>
      </c>
      <c r="BV1340">
        <v>0</v>
      </c>
    </row>
    <row r="1341" spans="67:74" x14ac:dyDescent="0.25">
      <c r="BO1341">
        <v>0</v>
      </c>
      <c r="BP1341">
        <v>0</v>
      </c>
      <c r="BQ1341">
        <v>0</v>
      </c>
      <c r="BR1341">
        <v>0</v>
      </c>
      <c r="BS1341">
        <v>0</v>
      </c>
      <c r="BT1341">
        <v>0</v>
      </c>
      <c r="BU1341">
        <v>0</v>
      </c>
      <c r="BV1341">
        <v>0</v>
      </c>
    </row>
    <row r="1342" spans="67:74" x14ac:dyDescent="0.25">
      <c r="BO1342">
        <v>0</v>
      </c>
      <c r="BP1342">
        <v>0</v>
      </c>
      <c r="BQ1342">
        <v>0</v>
      </c>
      <c r="BR1342">
        <v>0</v>
      </c>
      <c r="BS1342">
        <v>0</v>
      </c>
      <c r="BT1342">
        <v>0</v>
      </c>
      <c r="BU1342">
        <v>0</v>
      </c>
      <c r="BV1342">
        <v>0</v>
      </c>
    </row>
    <row r="1343" spans="67:74" x14ac:dyDescent="0.25">
      <c r="BO1343">
        <v>0</v>
      </c>
      <c r="BP1343">
        <v>0</v>
      </c>
      <c r="BQ1343">
        <v>0</v>
      </c>
      <c r="BR1343">
        <v>0</v>
      </c>
      <c r="BS1343">
        <v>0</v>
      </c>
      <c r="BT1343">
        <v>0</v>
      </c>
      <c r="BU1343">
        <v>0</v>
      </c>
      <c r="BV1343">
        <v>0</v>
      </c>
    </row>
    <row r="1344" spans="67:74" x14ac:dyDescent="0.25">
      <c r="BO1344">
        <v>0</v>
      </c>
      <c r="BP1344">
        <v>0</v>
      </c>
      <c r="BQ1344">
        <v>0</v>
      </c>
      <c r="BR1344">
        <v>0</v>
      </c>
      <c r="BS1344">
        <v>0</v>
      </c>
      <c r="BT1344">
        <v>0</v>
      </c>
      <c r="BU1344">
        <v>0</v>
      </c>
      <c r="BV1344">
        <v>0</v>
      </c>
    </row>
    <row r="1345" spans="51:74" x14ac:dyDescent="0.25">
      <c r="BO1345">
        <v>0</v>
      </c>
      <c r="BP1345">
        <v>0</v>
      </c>
      <c r="BQ1345">
        <v>0</v>
      </c>
      <c r="BR1345">
        <v>0</v>
      </c>
      <c r="BS1345">
        <v>0</v>
      </c>
      <c r="BT1345">
        <v>0</v>
      </c>
      <c r="BU1345">
        <v>0</v>
      </c>
      <c r="BV1345">
        <v>0</v>
      </c>
    </row>
    <row r="1346" spans="51:74" x14ac:dyDescent="0.25">
      <c r="BO1346">
        <v>0</v>
      </c>
      <c r="BP1346">
        <v>0</v>
      </c>
      <c r="BQ1346">
        <v>0</v>
      </c>
      <c r="BR1346">
        <v>0</v>
      </c>
      <c r="BS1346">
        <v>0</v>
      </c>
      <c r="BT1346">
        <v>0</v>
      </c>
      <c r="BU1346">
        <v>0</v>
      </c>
      <c r="BV1346">
        <v>0</v>
      </c>
    </row>
    <row r="1347" spans="51:74" x14ac:dyDescent="0.25">
      <c r="BO1347">
        <v>0</v>
      </c>
      <c r="BP1347">
        <v>0</v>
      </c>
      <c r="BQ1347">
        <v>0</v>
      </c>
      <c r="BR1347">
        <v>0</v>
      </c>
      <c r="BS1347">
        <v>0</v>
      </c>
      <c r="BT1347">
        <v>0</v>
      </c>
      <c r="BU1347">
        <v>0</v>
      </c>
      <c r="BV1347">
        <v>0</v>
      </c>
    </row>
    <row r="1348" spans="51:74" x14ac:dyDescent="0.25">
      <c r="BO1348">
        <v>0</v>
      </c>
      <c r="BP1348">
        <v>0</v>
      </c>
      <c r="BQ1348">
        <v>0</v>
      </c>
      <c r="BR1348">
        <v>0</v>
      </c>
      <c r="BS1348">
        <v>0</v>
      </c>
      <c r="BT1348">
        <v>0</v>
      </c>
      <c r="BU1348">
        <v>0</v>
      </c>
      <c r="BV1348">
        <v>0</v>
      </c>
    </row>
    <row r="1349" spans="51:74" x14ac:dyDescent="0.25">
      <c r="BO1349">
        <v>0</v>
      </c>
      <c r="BP1349">
        <v>0</v>
      </c>
      <c r="BQ1349">
        <v>0</v>
      </c>
      <c r="BR1349">
        <v>0</v>
      </c>
      <c r="BS1349">
        <v>0</v>
      </c>
      <c r="BT1349">
        <v>0</v>
      </c>
      <c r="BU1349">
        <v>0</v>
      </c>
      <c r="BV1349">
        <v>0</v>
      </c>
    </row>
    <row r="1350" spans="51:74" x14ac:dyDescent="0.25">
      <c r="BO1350">
        <v>0</v>
      </c>
      <c r="BP1350">
        <v>0</v>
      </c>
      <c r="BQ1350">
        <v>0</v>
      </c>
      <c r="BR1350">
        <v>0</v>
      </c>
      <c r="BS1350">
        <v>0</v>
      </c>
      <c r="BT1350">
        <v>0</v>
      </c>
      <c r="BU1350">
        <v>0</v>
      </c>
      <c r="BV1350">
        <v>0</v>
      </c>
    </row>
    <row r="1351" spans="51:74" x14ac:dyDescent="0.25">
      <c r="BO1351">
        <v>0</v>
      </c>
      <c r="BP1351">
        <v>0</v>
      </c>
      <c r="BQ1351">
        <v>0</v>
      </c>
      <c r="BR1351">
        <v>0</v>
      </c>
      <c r="BS1351">
        <v>0</v>
      </c>
      <c r="BT1351">
        <v>0</v>
      </c>
      <c r="BU1351">
        <v>0</v>
      </c>
      <c r="BV1351">
        <v>0</v>
      </c>
    </row>
    <row r="1352" spans="51:74" x14ac:dyDescent="0.25">
      <c r="BO1352">
        <v>0</v>
      </c>
      <c r="BP1352">
        <v>0</v>
      </c>
      <c r="BQ1352">
        <v>0</v>
      </c>
      <c r="BR1352">
        <v>0</v>
      </c>
      <c r="BS1352">
        <v>0</v>
      </c>
      <c r="BT1352">
        <v>0</v>
      </c>
      <c r="BU1352">
        <v>0</v>
      </c>
      <c r="BV1352">
        <v>0</v>
      </c>
    </row>
    <row r="1353" spans="51:74" x14ac:dyDescent="0.25">
      <c r="BO1353">
        <v>0</v>
      </c>
      <c r="BP1353">
        <v>0</v>
      </c>
      <c r="BQ1353">
        <v>0</v>
      </c>
      <c r="BR1353">
        <v>0</v>
      </c>
      <c r="BS1353">
        <v>0</v>
      </c>
      <c r="BT1353">
        <v>0</v>
      </c>
      <c r="BU1353">
        <v>0</v>
      </c>
      <c r="BV1353">
        <v>0</v>
      </c>
    </row>
    <row r="1354" spans="51:74" x14ac:dyDescent="0.25">
      <c r="BO1354">
        <v>0</v>
      </c>
      <c r="BP1354">
        <v>0</v>
      </c>
      <c r="BQ1354">
        <v>0</v>
      </c>
      <c r="BR1354">
        <v>0</v>
      </c>
      <c r="BS1354">
        <v>0</v>
      </c>
      <c r="BT1354">
        <v>0</v>
      </c>
      <c r="BU1354">
        <v>0</v>
      </c>
      <c r="BV1354">
        <v>0</v>
      </c>
    </row>
    <row r="1355" spans="51:74" x14ac:dyDescent="0.25">
      <c r="BO1355">
        <v>0</v>
      </c>
      <c r="BP1355">
        <v>0</v>
      </c>
      <c r="BQ1355">
        <v>0</v>
      </c>
      <c r="BR1355">
        <v>0</v>
      </c>
      <c r="BS1355">
        <v>0</v>
      </c>
      <c r="BT1355">
        <v>0</v>
      </c>
      <c r="BU1355">
        <v>0</v>
      </c>
      <c r="BV1355">
        <v>0</v>
      </c>
    </row>
    <row r="1356" spans="51:74" x14ac:dyDescent="0.25">
      <c r="BO1356">
        <v>0</v>
      </c>
      <c r="BP1356">
        <v>0</v>
      </c>
      <c r="BQ1356">
        <v>0</v>
      </c>
      <c r="BR1356">
        <v>0</v>
      </c>
      <c r="BS1356">
        <v>0</v>
      </c>
      <c r="BT1356">
        <v>0</v>
      </c>
      <c r="BU1356">
        <v>0</v>
      </c>
      <c r="BV1356">
        <v>0</v>
      </c>
    </row>
    <row r="1357" spans="51:74" x14ac:dyDescent="0.25">
      <c r="BO1357">
        <v>0</v>
      </c>
      <c r="BP1357">
        <v>0</v>
      </c>
      <c r="BQ1357">
        <v>0</v>
      </c>
      <c r="BR1357">
        <v>0</v>
      </c>
      <c r="BS1357">
        <v>0</v>
      </c>
      <c r="BT1357">
        <v>0</v>
      </c>
      <c r="BU1357">
        <v>0</v>
      </c>
      <c r="BV1357">
        <v>0</v>
      </c>
    </row>
    <row r="1358" spans="51:74" x14ac:dyDescent="0.25">
      <c r="BO1358">
        <v>0</v>
      </c>
      <c r="BP1358">
        <v>0</v>
      </c>
      <c r="BQ1358">
        <v>0</v>
      </c>
      <c r="BR1358">
        <v>0</v>
      </c>
      <c r="BS1358">
        <v>0</v>
      </c>
      <c r="BT1358">
        <v>0</v>
      </c>
      <c r="BU1358">
        <v>0</v>
      </c>
      <c r="BV1358">
        <v>0</v>
      </c>
    </row>
    <row r="1359" spans="51:74" x14ac:dyDescent="0.25">
      <c r="AY1359" s="8"/>
      <c r="BO1359">
        <v>0</v>
      </c>
      <c r="BP1359">
        <v>0</v>
      </c>
      <c r="BQ1359">
        <v>0</v>
      </c>
      <c r="BR1359">
        <v>0</v>
      </c>
      <c r="BS1359">
        <v>0</v>
      </c>
      <c r="BT1359">
        <v>0</v>
      </c>
      <c r="BU1359">
        <v>0</v>
      </c>
      <c r="BV1359">
        <v>0</v>
      </c>
    </row>
    <row r="1360" spans="51:74" x14ac:dyDescent="0.25">
      <c r="BO1360">
        <v>0</v>
      </c>
      <c r="BP1360">
        <v>0</v>
      </c>
      <c r="BQ1360">
        <v>0</v>
      </c>
      <c r="BR1360">
        <v>0</v>
      </c>
      <c r="BS1360">
        <v>0</v>
      </c>
      <c r="BT1360">
        <v>0</v>
      </c>
      <c r="BU1360">
        <v>0</v>
      </c>
      <c r="BV1360">
        <v>0</v>
      </c>
    </row>
    <row r="1361" spans="32:74" x14ac:dyDescent="0.25">
      <c r="BO1361">
        <v>0</v>
      </c>
      <c r="BP1361">
        <v>0</v>
      </c>
      <c r="BQ1361">
        <v>0</v>
      </c>
      <c r="BR1361">
        <v>0</v>
      </c>
      <c r="BS1361">
        <v>0</v>
      </c>
      <c r="BT1361">
        <v>0</v>
      </c>
      <c r="BU1361">
        <v>0</v>
      </c>
      <c r="BV1361">
        <v>0</v>
      </c>
    </row>
    <row r="1362" spans="32:74" x14ac:dyDescent="0.25">
      <c r="BO1362">
        <v>0</v>
      </c>
      <c r="BP1362">
        <v>0</v>
      </c>
      <c r="BQ1362">
        <v>0</v>
      </c>
      <c r="BR1362">
        <v>0</v>
      </c>
      <c r="BS1362">
        <v>0</v>
      </c>
      <c r="BT1362">
        <v>0</v>
      </c>
      <c r="BU1362">
        <v>0</v>
      </c>
      <c r="BV1362">
        <v>0</v>
      </c>
    </row>
    <row r="1363" spans="32:74" x14ac:dyDescent="0.25">
      <c r="BO1363">
        <v>0</v>
      </c>
      <c r="BP1363">
        <v>0</v>
      </c>
      <c r="BQ1363">
        <v>0</v>
      </c>
      <c r="BR1363">
        <v>0</v>
      </c>
      <c r="BS1363">
        <v>0</v>
      </c>
      <c r="BT1363">
        <v>0</v>
      </c>
      <c r="BU1363">
        <v>0</v>
      </c>
      <c r="BV1363">
        <v>0</v>
      </c>
    </row>
    <row r="1364" spans="32:74" x14ac:dyDescent="0.25">
      <c r="BO1364">
        <v>0</v>
      </c>
      <c r="BP1364">
        <v>0</v>
      </c>
      <c r="BQ1364">
        <v>0</v>
      </c>
      <c r="BR1364">
        <v>0</v>
      </c>
      <c r="BS1364">
        <v>0</v>
      </c>
      <c r="BT1364">
        <v>0</v>
      </c>
      <c r="BU1364">
        <v>0</v>
      </c>
      <c r="BV1364">
        <v>0</v>
      </c>
    </row>
    <row r="1365" spans="32:74" x14ac:dyDescent="0.25">
      <c r="BO1365">
        <v>0</v>
      </c>
      <c r="BP1365">
        <v>0</v>
      </c>
      <c r="BQ1365">
        <v>0</v>
      </c>
      <c r="BR1365">
        <v>0</v>
      </c>
      <c r="BS1365">
        <v>0</v>
      </c>
      <c r="BT1365">
        <v>0</v>
      </c>
      <c r="BU1365">
        <v>0</v>
      </c>
      <c r="BV1365">
        <v>0</v>
      </c>
    </row>
    <row r="1366" spans="32:74" x14ac:dyDescent="0.25">
      <c r="BO1366">
        <v>0</v>
      </c>
      <c r="BP1366">
        <v>0</v>
      </c>
      <c r="BQ1366">
        <v>0</v>
      </c>
      <c r="BR1366">
        <v>0</v>
      </c>
      <c r="BS1366">
        <v>0</v>
      </c>
      <c r="BT1366">
        <v>0</v>
      </c>
      <c r="BU1366">
        <v>0</v>
      </c>
      <c r="BV1366">
        <v>0</v>
      </c>
    </row>
    <row r="1367" spans="32:74" x14ac:dyDescent="0.25">
      <c r="AF1367" s="1"/>
      <c r="BE1367" s="1"/>
      <c r="BM1367" s="2"/>
      <c r="BO1367">
        <v>0</v>
      </c>
      <c r="BP1367">
        <v>0</v>
      </c>
      <c r="BQ1367">
        <v>0</v>
      </c>
      <c r="BR1367">
        <v>0</v>
      </c>
      <c r="BS1367">
        <v>0</v>
      </c>
      <c r="BT1367">
        <v>0</v>
      </c>
      <c r="BU1367">
        <v>0</v>
      </c>
      <c r="BV1367">
        <v>0</v>
      </c>
    </row>
    <row r="1368" spans="32:74" x14ac:dyDescent="0.25">
      <c r="BO1368">
        <v>0</v>
      </c>
      <c r="BP1368">
        <v>0</v>
      </c>
      <c r="BQ1368">
        <v>0</v>
      </c>
      <c r="BR1368">
        <v>0</v>
      </c>
      <c r="BS1368">
        <v>0</v>
      </c>
      <c r="BT1368">
        <v>0</v>
      </c>
      <c r="BU1368">
        <v>0</v>
      </c>
      <c r="BV1368">
        <v>0</v>
      </c>
    </row>
    <row r="1369" spans="32:74" x14ac:dyDescent="0.25">
      <c r="BO1369">
        <v>0</v>
      </c>
      <c r="BP1369">
        <v>0</v>
      </c>
      <c r="BQ1369">
        <v>0</v>
      </c>
      <c r="BR1369">
        <v>0</v>
      </c>
      <c r="BS1369">
        <v>0</v>
      </c>
      <c r="BT1369">
        <v>0</v>
      </c>
      <c r="BU1369">
        <v>0</v>
      </c>
      <c r="BV1369">
        <v>0</v>
      </c>
    </row>
    <row r="1370" spans="32:74" x14ac:dyDescent="0.25">
      <c r="BO1370">
        <v>0</v>
      </c>
      <c r="BP1370">
        <v>0</v>
      </c>
      <c r="BQ1370">
        <v>0</v>
      </c>
      <c r="BR1370">
        <v>0</v>
      </c>
      <c r="BS1370">
        <v>0</v>
      </c>
      <c r="BT1370">
        <v>0</v>
      </c>
      <c r="BU1370">
        <v>0</v>
      </c>
      <c r="BV1370">
        <v>0</v>
      </c>
    </row>
    <row r="1371" spans="32:74" x14ac:dyDescent="0.25">
      <c r="BO1371">
        <v>0</v>
      </c>
      <c r="BP1371">
        <v>0</v>
      </c>
      <c r="BQ1371">
        <v>0</v>
      </c>
      <c r="BR1371">
        <v>0</v>
      </c>
      <c r="BS1371">
        <v>0</v>
      </c>
      <c r="BT1371">
        <v>0</v>
      </c>
      <c r="BU1371">
        <v>0</v>
      </c>
      <c r="BV1371">
        <v>0</v>
      </c>
    </row>
    <row r="1372" spans="32:74" x14ac:dyDescent="0.25">
      <c r="BO1372">
        <v>0</v>
      </c>
      <c r="BP1372">
        <v>0</v>
      </c>
      <c r="BQ1372">
        <v>0</v>
      </c>
      <c r="BR1372">
        <v>0</v>
      </c>
      <c r="BS1372">
        <v>0</v>
      </c>
      <c r="BT1372">
        <v>0</v>
      </c>
      <c r="BU1372">
        <v>0</v>
      </c>
      <c r="BV1372">
        <v>0</v>
      </c>
    </row>
    <row r="1373" spans="32:74" x14ac:dyDescent="0.25">
      <c r="BO1373">
        <v>0</v>
      </c>
      <c r="BP1373">
        <v>0</v>
      </c>
      <c r="BQ1373">
        <v>0</v>
      </c>
      <c r="BR1373">
        <v>0</v>
      </c>
      <c r="BS1373">
        <v>0</v>
      </c>
      <c r="BT1373">
        <v>0</v>
      </c>
      <c r="BU1373">
        <v>0</v>
      </c>
      <c r="BV1373">
        <v>0</v>
      </c>
    </row>
    <row r="1374" spans="32:74" x14ac:dyDescent="0.25">
      <c r="BO1374">
        <v>0</v>
      </c>
      <c r="BP1374">
        <v>0</v>
      </c>
      <c r="BQ1374">
        <v>0</v>
      </c>
      <c r="BR1374">
        <v>0</v>
      </c>
      <c r="BS1374">
        <v>0</v>
      </c>
      <c r="BT1374">
        <v>0</v>
      </c>
      <c r="BU1374">
        <v>0</v>
      </c>
      <c r="BV1374">
        <v>0</v>
      </c>
    </row>
    <row r="1375" spans="32:74" x14ac:dyDescent="0.25">
      <c r="BO1375">
        <v>0</v>
      </c>
      <c r="BP1375">
        <v>0</v>
      </c>
      <c r="BQ1375">
        <v>0</v>
      </c>
      <c r="BR1375">
        <v>0</v>
      </c>
      <c r="BS1375">
        <v>0</v>
      </c>
      <c r="BT1375">
        <v>0</v>
      </c>
      <c r="BU1375">
        <v>0</v>
      </c>
      <c r="BV1375">
        <v>0</v>
      </c>
    </row>
    <row r="1376" spans="32:74" x14ac:dyDescent="0.25">
      <c r="BO1376">
        <v>0</v>
      </c>
      <c r="BP1376">
        <v>0</v>
      </c>
      <c r="BQ1376">
        <v>0</v>
      </c>
      <c r="BR1376">
        <v>0</v>
      </c>
      <c r="BS1376">
        <v>0</v>
      </c>
      <c r="BT1376">
        <v>0</v>
      </c>
      <c r="BU1376">
        <v>0</v>
      </c>
      <c r="BV1376">
        <v>0</v>
      </c>
    </row>
    <row r="1377" spans="67:74" x14ac:dyDescent="0.25">
      <c r="BO1377">
        <v>0</v>
      </c>
      <c r="BP1377">
        <v>0</v>
      </c>
      <c r="BQ1377">
        <v>0</v>
      </c>
      <c r="BR1377">
        <v>0</v>
      </c>
      <c r="BS1377">
        <v>0</v>
      </c>
      <c r="BT1377">
        <v>0</v>
      </c>
      <c r="BU1377">
        <v>0</v>
      </c>
      <c r="BV1377">
        <v>0</v>
      </c>
    </row>
    <row r="1378" spans="67:74" x14ac:dyDescent="0.25">
      <c r="BO1378">
        <v>0</v>
      </c>
      <c r="BP1378">
        <v>0</v>
      </c>
      <c r="BQ1378">
        <v>0</v>
      </c>
      <c r="BR1378">
        <v>0</v>
      </c>
      <c r="BS1378">
        <v>0</v>
      </c>
      <c r="BT1378">
        <v>0</v>
      </c>
      <c r="BU1378">
        <v>0</v>
      </c>
      <c r="BV1378">
        <v>0</v>
      </c>
    </row>
    <row r="1379" spans="67:74" x14ac:dyDescent="0.25">
      <c r="BO1379">
        <v>0</v>
      </c>
      <c r="BP1379">
        <v>0</v>
      </c>
      <c r="BQ1379">
        <v>0</v>
      </c>
      <c r="BR1379">
        <v>0</v>
      </c>
      <c r="BS1379">
        <v>0</v>
      </c>
      <c r="BT1379">
        <v>0</v>
      </c>
      <c r="BU1379">
        <v>0</v>
      </c>
      <c r="BV1379">
        <v>0</v>
      </c>
    </row>
    <row r="1380" spans="67:74" x14ac:dyDescent="0.25">
      <c r="BO1380">
        <v>0</v>
      </c>
      <c r="BP1380">
        <v>0</v>
      </c>
      <c r="BQ1380">
        <v>0</v>
      </c>
      <c r="BR1380">
        <v>0</v>
      </c>
      <c r="BS1380">
        <v>0</v>
      </c>
      <c r="BT1380">
        <v>0</v>
      </c>
      <c r="BU1380">
        <v>0</v>
      </c>
      <c r="BV1380">
        <v>0</v>
      </c>
    </row>
    <row r="1381" spans="67:74" x14ac:dyDescent="0.25">
      <c r="BO1381">
        <v>0</v>
      </c>
      <c r="BP1381">
        <v>0</v>
      </c>
      <c r="BQ1381">
        <v>0</v>
      </c>
      <c r="BR1381">
        <v>0</v>
      </c>
      <c r="BS1381">
        <v>0</v>
      </c>
      <c r="BT1381">
        <v>0</v>
      </c>
      <c r="BU1381">
        <v>0</v>
      </c>
      <c r="BV1381">
        <v>0</v>
      </c>
    </row>
    <row r="1382" spans="67:74" x14ac:dyDescent="0.25">
      <c r="BO1382">
        <v>0</v>
      </c>
      <c r="BP1382">
        <v>0</v>
      </c>
      <c r="BQ1382">
        <v>0</v>
      </c>
      <c r="BR1382">
        <v>0</v>
      </c>
      <c r="BS1382">
        <v>0</v>
      </c>
      <c r="BT1382">
        <v>0</v>
      </c>
      <c r="BU1382">
        <v>0</v>
      </c>
      <c r="BV1382">
        <v>0</v>
      </c>
    </row>
    <row r="1383" spans="67:74" x14ac:dyDescent="0.25">
      <c r="BO1383">
        <v>0</v>
      </c>
      <c r="BP1383">
        <v>0</v>
      </c>
      <c r="BQ1383">
        <v>0</v>
      </c>
      <c r="BR1383">
        <v>0</v>
      </c>
      <c r="BS1383">
        <v>0</v>
      </c>
      <c r="BT1383">
        <v>0</v>
      </c>
      <c r="BU1383">
        <v>0</v>
      </c>
      <c r="BV1383">
        <v>0</v>
      </c>
    </row>
    <row r="1384" spans="67:74" x14ac:dyDescent="0.25">
      <c r="BO1384">
        <v>0</v>
      </c>
      <c r="BP1384">
        <v>0</v>
      </c>
      <c r="BQ1384">
        <v>0</v>
      </c>
      <c r="BR1384">
        <v>0</v>
      </c>
      <c r="BS1384">
        <v>0</v>
      </c>
      <c r="BT1384">
        <v>0</v>
      </c>
      <c r="BU1384">
        <v>0</v>
      </c>
      <c r="BV1384">
        <v>0</v>
      </c>
    </row>
    <row r="1385" spans="67:74" x14ac:dyDescent="0.25">
      <c r="BO1385">
        <v>0</v>
      </c>
      <c r="BP1385">
        <v>0</v>
      </c>
      <c r="BQ1385">
        <v>0</v>
      </c>
      <c r="BR1385">
        <v>0</v>
      </c>
      <c r="BS1385">
        <v>0</v>
      </c>
      <c r="BT1385">
        <v>0</v>
      </c>
      <c r="BU1385">
        <v>0</v>
      </c>
      <c r="BV1385">
        <v>0</v>
      </c>
    </row>
    <row r="1386" spans="67:74" x14ac:dyDescent="0.25">
      <c r="BO1386">
        <v>0</v>
      </c>
      <c r="BP1386">
        <v>0</v>
      </c>
      <c r="BQ1386">
        <v>0</v>
      </c>
      <c r="BR1386">
        <v>0</v>
      </c>
      <c r="BS1386">
        <v>0</v>
      </c>
      <c r="BT1386">
        <v>0</v>
      </c>
      <c r="BU1386">
        <v>0</v>
      </c>
      <c r="BV1386">
        <v>0</v>
      </c>
    </row>
    <row r="1387" spans="67:74" x14ac:dyDescent="0.25">
      <c r="BO1387">
        <v>0</v>
      </c>
      <c r="BP1387">
        <v>0</v>
      </c>
      <c r="BQ1387">
        <v>0</v>
      </c>
      <c r="BR1387">
        <v>0</v>
      </c>
      <c r="BS1387">
        <v>0</v>
      </c>
      <c r="BT1387">
        <v>0</v>
      </c>
      <c r="BU1387">
        <v>0</v>
      </c>
      <c r="BV1387">
        <v>0</v>
      </c>
    </row>
    <row r="1388" spans="67:74" x14ac:dyDescent="0.25">
      <c r="BO1388">
        <v>0</v>
      </c>
      <c r="BP1388">
        <v>0</v>
      </c>
      <c r="BQ1388">
        <v>0</v>
      </c>
      <c r="BR1388">
        <v>0</v>
      </c>
      <c r="BS1388">
        <v>0</v>
      </c>
      <c r="BT1388">
        <v>0</v>
      </c>
      <c r="BU1388">
        <v>0</v>
      </c>
      <c r="BV1388">
        <v>0</v>
      </c>
    </row>
    <row r="1389" spans="67:74" x14ac:dyDescent="0.25">
      <c r="BO1389">
        <v>0</v>
      </c>
      <c r="BP1389">
        <v>0</v>
      </c>
      <c r="BQ1389">
        <v>0</v>
      </c>
      <c r="BR1389">
        <v>0</v>
      </c>
      <c r="BS1389">
        <v>0</v>
      </c>
      <c r="BT1389">
        <v>0</v>
      </c>
      <c r="BU1389">
        <v>0</v>
      </c>
      <c r="BV1389">
        <v>0</v>
      </c>
    </row>
    <row r="1390" spans="67:74" x14ac:dyDescent="0.25">
      <c r="BO1390">
        <v>0</v>
      </c>
      <c r="BP1390">
        <v>0</v>
      </c>
      <c r="BQ1390">
        <v>0</v>
      </c>
      <c r="BR1390">
        <v>0</v>
      </c>
      <c r="BS1390">
        <v>0</v>
      </c>
      <c r="BT1390">
        <v>0</v>
      </c>
      <c r="BU1390">
        <v>0</v>
      </c>
      <c r="BV1390">
        <v>0</v>
      </c>
    </row>
    <row r="1391" spans="67:74" x14ac:dyDescent="0.25">
      <c r="BO1391">
        <v>0</v>
      </c>
      <c r="BP1391">
        <v>0</v>
      </c>
      <c r="BQ1391">
        <v>0</v>
      </c>
      <c r="BR1391">
        <v>0</v>
      </c>
      <c r="BS1391">
        <v>0</v>
      </c>
      <c r="BT1391">
        <v>0</v>
      </c>
      <c r="BU1391">
        <v>0</v>
      </c>
      <c r="BV1391">
        <v>0</v>
      </c>
    </row>
    <row r="1392" spans="67:74" x14ac:dyDescent="0.25">
      <c r="BO1392">
        <v>0</v>
      </c>
      <c r="BP1392">
        <v>0</v>
      </c>
      <c r="BQ1392">
        <v>0</v>
      </c>
      <c r="BR1392">
        <v>0</v>
      </c>
      <c r="BS1392">
        <v>0</v>
      </c>
      <c r="BT1392">
        <v>0</v>
      </c>
      <c r="BU1392">
        <v>0</v>
      </c>
      <c r="BV1392">
        <v>0</v>
      </c>
    </row>
    <row r="1393" spans="67:74" x14ac:dyDescent="0.25">
      <c r="BO1393">
        <v>0</v>
      </c>
      <c r="BP1393">
        <v>0</v>
      </c>
      <c r="BQ1393">
        <v>0</v>
      </c>
      <c r="BR1393">
        <v>0</v>
      </c>
      <c r="BS1393">
        <v>0</v>
      </c>
      <c r="BT1393">
        <v>0</v>
      </c>
      <c r="BU1393">
        <v>0</v>
      </c>
      <c r="BV1393">
        <v>0</v>
      </c>
    </row>
    <row r="1394" spans="67:74" x14ac:dyDescent="0.25">
      <c r="BO1394">
        <v>0</v>
      </c>
      <c r="BP1394">
        <v>0</v>
      </c>
      <c r="BQ1394">
        <v>0</v>
      </c>
      <c r="BR1394">
        <v>0</v>
      </c>
      <c r="BS1394">
        <v>0</v>
      </c>
      <c r="BT1394">
        <v>0</v>
      </c>
      <c r="BU1394">
        <v>0</v>
      </c>
      <c r="BV1394">
        <v>0</v>
      </c>
    </row>
    <row r="1395" spans="67:74" x14ac:dyDescent="0.25">
      <c r="BO1395">
        <v>0</v>
      </c>
      <c r="BP1395">
        <v>0</v>
      </c>
      <c r="BQ1395">
        <v>0</v>
      </c>
      <c r="BR1395">
        <v>0</v>
      </c>
      <c r="BS1395">
        <v>0</v>
      </c>
      <c r="BT1395">
        <v>0</v>
      </c>
      <c r="BU1395">
        <v>0</v>
      </c>
      <c r="BV1395">
        <v>0</v>
      </c>
    </row>
    <row r="1396" spans="67:74" x14ac:dyDescent="0.25">
      <c r="BO1396">
        <v>0</v>
      </c>
      <c r="BP1396">
        <v>0</v>
      </c>
      <c r="BQ1396">
        <v>0</v>
      </c>
      <c r="BR1396">
        <v>0</v>
      </c>
      <c r="BS1396">
        <v>0</v>
      </c>
      <c r="BT1396">
        <v>0</v>
      </c>
      <c r="BU1396">
        <v>0</v>
      </c>
      <c r="BV1396">
        <v>0</v>
      </c>
    </row>
    <row r="1397" spans="67:74" x14ac:dyDescent="0.25">
      <c r="BO1397">
        <v>0</v>
      </c>
      <c r="BP1397">
        <v>0</v>
      </c>
      <c r="BQ1397">
        <v>0</v>
      </c>
      <c r="BR1397">
        <v>0</v>
      </c>
      <c r="BS1397">
        <v>0</v>
      </c>
      <c r="BT1397">
        <v>0</v>
      </c>
      <c r="BU1397">
        <v>0</v>
      </c>
      <c r="BV1397">
        <v>0</v>
      </c>
    </row>
    <row r="1398" spans="67:74" x14ac:dyDescent="0.25">
      <c r="BO1398">
        <v>0</v>
      </c>
      <c r="BP1398">
        <v>0</v>
      </c>
      <c r="BQ1398">
        <v>0</v>
      </c>
      <c r="BR1398">
        <v>0</v>
      </c>
      <c r="BS1398">
        <v>0</v>
      </c>
      <c r="BT1398">
        <v>0</v>
      </c>
      <c r="BU1398">
        <v>0</v>
      </c>
      <c r="BV1398">
        <v>0</v>
      </c>
    </row>
    <row r="1399" spans="67:74" x14ac:dyDescent="0.25">
      <c r="BO1399">
        <v>0</v>
      </c>
      <c r="BP1399">
        <v>0</v>
      </c>
      <c r="BQ1399">
        <v>0</v>
      </c>
      <c r="BR1399">
        <v>0</v>
      </c>
      <c r="BS1399">
        <v>0</v>
      </c>
      <c r="BT1399">
        <v>0</v>
      </c>
      <c r="BU1399">
        <v>0</v>
      </c>
      <c r="BV1399">
        <v>0</v>
      </c>
    </row>
    <row r="1400" spans="67:74" x14ac:dyDescent="0.25">
      <c r="BO1400">
        <v>0</v>
      </c>
      <c r="BP1400">
        <v>0</v>
      </c>
      <c r="BQ1400">
        <v>0</v>
      </c>
      <c r="BR1400">
        <v>0</v>
      </c>
      <c r="BS1400">
        <v>0</v>
      </c>
      <c r="BT1400">
        <v>0</v>
      </c>
      <c r="BU1400">
        <v>0</v>
      </c>
      <c r="BV1400">
        <v>0</v>
      </c>
    </row>
    <row r="1401" spans="67:74" x14ac:dyDescent="0.25">
      <c r="BO1401">
        <v>0</v>
      </c>
      <c r="BP1401">
        <v>0</v>
      </c>
      <c r="BQ1401">
        <v>0</v>
      </c>
      <c r="BR1401">
        <v>0</v>
      </c>
      <c r="BS1401">
        <v>0</v>
      </c>
      <c r="BT1401">
        <v>0</v>
      </c>
      <c r="BU1401">
        <v>0</v>
      </c>
      <c r="BV1401">
        <v>0</v>
      </c>
    </row>
    <row r="1402" spans="67:74" x14ac:dyDescent="0.25">
      <c r="BO1402">
        <v>0</v>
      </c>
      <c r="BP1402">
        <v>0</v>
      </c>
      <c r="BQ1402">
        <v>0</v>
      </c>
      <c r="BR1402">
        <v>0</v>
      </c>
      <c r="BS1402">
        <v>0</v>
      </c>
      <c r="BT1402">
        <v>0</v>
      </c>
      <c r="BU1402">
        <v>0</v>
      </c>
      <c r="BV1402">
        <v>0</v>
      </c>
    </row>
    <row r="1403" spans="67:74" x14ac:dyDescent="0.25">
      <c r="BO1403">
        <v>0</v>
      </c>
      <c r="BP1403">
        <v>0</v>
      </c>
      <c r="BQ1403">
        <v>0</v>
      </c>
      <c r="BR1403">
        <v>0</v>
      </c>
      <c r="BS1403">
        <v>0</v>
      </c>
      <c r="BT1403">
        <v>0</v>
      </c>
      <c r="BU1403">
        <v>0</v>
      </c>
      <c r="BV1403">
        <v>0</v>
      </c>
    </row>
    <row r="1404" spans="67:74" x14ac:dyDescent="0.25">
      <c r="BO1404">
        <v>0</v>
      </c>
      <c r="BP1404">
        <v>0</v>
      </c>
      <c r="BQ1404">
        <v>0</v>
      </c>
      <c r="BR1404">
        <v>0</v>
      </c>
      <c r="BS1404">
        <v>0</v>
      </c>
      <c r="BT1404">
        <v>0</v>
      </c>
      <c r="BU1404">
        <v>0</v>
      </c>
      <c r="BV1404">
        <v>0</v>
      </c>
    </row>
    <row r="1405" spans="67:74" x14ac:dyDescent="0.25">
      <c r="BO1405">
        <v>0</v>
      </c>
      <c r="BP1405">
        <v>0</v>
      </c>
      <c r="BQ1405">
        <v>0</v>
      </c>
      <c r="BR1405">
        <v>0</v>
      </c>
      <c r="BS1405">
        <v>0</v>
      </c>
      <c r="BT1405">
        <v>0</v>
      </c>
      <c r="BU1405">
        <v>0</v>
      </c>
      <c r="BV1405">
        <v>0</v>
      </c>
    </row>
    <row r="1406" spans="67:74" x14ac:dyDescent="0.25">
      <c r="BO1406">
        <v>0</v>
      </c>
      <c r="BP1406">
        <v>0</v>
      </c>
      <c r="BQ1406">
        <v>0</v>
      </c>
      <c r="BR1406">
        <v>0</v>
      </c>
      <c r="BS1406">
        <v>0</v>
      </c>
      <c r="BT1406">
        <v>0</v>
      </c>
      <c r="BU1406">
        <v>0</v>
      </c>
      <c r="BV1406">
        <v>0</v>
      </c>
    </row>
    <row r="1407" spans="67:74" x14ac:dyDescent="0.25">
      <c r="BO1407">
        <v>0</v>
      </c>
      <c r="BP1407">
        <v>0</v>
      </c>
      <c r="BQ1407">
        <v>0</v>
      </c>
      <c r="BR1407">
        <v>0</v>
      </c>
      <c r="BS1407">
        <v>0</v>
      </c>
      <c r="BT1407">
        <v>0</v>
      </c>
      <c r="BU1407">
        <v>0</v>
      </c>
      <c r="BV1407">
        <v>0</v>
      </c>
    </row>
    <row r="1408" spans="67:74" x14ac:dyDescent="0.25">
      <c r="BO1408">
        <v>0</v>
      </c>
      <c r="BP1408">
        <v>0</v>
      </c>
      <c r="BQ1408">
        <v>0</v>
      </c>
      <c r="BR1408">
        <v>0</v>
      </c>
      <c r="BS1408">
        <v>0</v>
      </c>
      <c r="BT1408">
        <v>0</v>
      </c>
      <c r="BU1408">
        <v>0</v>
      </c>
      <c r="BV1408">
        <v>0</v>
      </c>
    </row>
    <row r="1409" spans="67:74" x14ac:dyDescent="0.25">
      <c r="BO1409">
        <v>0</v>
      </c>
      <c r="BP1409">
        <v>0</v>
      </c>
      <c r="BQ1409">
        <v>0</v>
      </c>
      <c r="BR1409">
        <v>0</v>
      </c>
      <c r="BS1409">
        <v>0</v>
      </c>
      <c r="BT1409">
        <v>0</v>
      </c>
      <c r="BU1409">
        <v>0</v>
      </c>
      <c r="BV1409">
        <v>0</v>
      </c>
    </row>
    <row r="1410" spans="67:74" x14ac:dyDescent="0.25">
      <c r="BO1410">
        <v>0</v>
      </c>
      <c r="BP1410">
        <v>0</v>
      </c>
      <c r="BQ1410">
        <v>0</v>
      </c>
      <c r="BR1410">
        <v>0</v>
      </c>
      <c r="BS1410">
        <v>0</v>
      </c>
      <c r="BT1410">
        <v>0</v>
      </c>
      <c r="BU1410">
        <v>0</v>
      </c>
      <c r="BV1410">
        <v>0</v>
      </c>
    </row>
    <row r="1411" spans="67:74" x14ac:dyDescent="0.25">
      <c r="BO1411">
        <v>0</v>
      </c>
      <c r="BP1411">
        <v>0</v>
      </c>
      <c r="BQ1411">
        <v>0</v>
      </c>
      <c r="BR1411">
        <v>0</v>
      </c>
      <c r="BS1411">
        <v>0</v>
      </c>
      <c r="BT1411">
        <v>0</v>
      </c>
      <c r="BU1411">
        <v>0</v>
      </c>
      <c r="BV1411">
        <v>0</v>
      </c>
    </row>
    <row r="1412" spans="67:74" x14ac:dyDescent="0.25">
      <c r="BO1412">
        <v>0</v>
      </c>
      <c r="BP1412">
        <v>0</v>
      </c>
      <c r="BQ1412">
        <v>0</v>
      </c>
      <c r="BR1412">
        <v>0</v>
      </c>
      <c r="BS1412">
        <v>0</v>
      </c>
      <c r="BT1412">
        <v>0</v>
      </c>
      <c r="BU1412">
        <v>0</v>
      </c>
      <c r="BV1412">
        <v>0</v>
      </c>
    </row>
    <row r="1413" spans="67:74" x14ac:dyDescent="0.25">
      <c r="BO1413">
        <v>0</v>
      </c>
      <c r="BP1413">
        <v>0</v>
      </c>
      <c r="BQ1413">
        <v>0</v>
      </c>
      <c r="BR1413">
        <v>0</v>
      </c>
      <c r="BS1413">
        <v>0</v>
      </c>
      <c r="BT1413">
        <v>0</v>
      </c>
      <c r="BU1413">
        <v>0</v>
      </c>
      <c r="BV1413">
        <v>0</v>
      </c>
    </row>
    <row r="1414" spans="67:74" x14ac:dyDescent="0.25">
      <c r="BO1414">
        <v>0</v>
      </c>
      <c r="BP1414">
        <v>0</v>
      </c>
      <c r="BQ1414">
        <v>0</v>
      </c>
      <c r="BR1414">
        <v>0</v>
      </c>
      <c r="BS1414">
        <v>0</v>
      </c>
      <c r="BT1414">
        <v>0</v>
      </c>
      <c r="BU1414">
        <v>0</v>
      </c>
      <c r="BV1414">
        <v>0</v>
      </c>
    </row>
    <row r="1415" spans="67:74" x14ac:dyDescent="0.25">
      <c r="BO1415">
        <v>0</v>
      </c>
      <c r="BP1415">
        <v>0</v>
      </c>
      <c r="BQ1415">
        <v>0</v>
      </c>
      <c r="BR1415">
        <v>0</v>
      </c>
      <c r="BS1415">
        <v>0</v>
      </c>
      <c r="BT1415">
        <v>0</v>
      </c>
      <c r="BU1415">
        <v>0</v>
      </c>
      <c r="BV1415">
        <v>0</v>
      </c>
    </row>
    <row r="1416" spans="67:74" x14ac:dyDescent="0.25">
      <c r="BO1416">
        <v>0</v>
      </c>
      <c r="BP1416">
        <v>0</v>
      </c>
      <c r="BQ1416">
        <v>0</v>
      </c>
      <c r="BR1416">
        <v>0</v>
      </c>
      <c r="BS1416">
        <v>0</v>
      </c>
      <c r="BT1416">
        <v>0</v>
      </c>
      <c r="BU1416">
        <v>0</v>
      </c>
      <c r="BV1416">
        <v>0</v>
      </c>
    </row>
    <row r="1417" spans="67:74" x14ac:dyDescent="0.25">
      <c r="BO1417">
        <v>0</v>
      </c>
      <c r="BP1417">
        <v>0</v>
      </c>
      <c r="BQ1417">
        <v>0</v>
      </c>
      <c r="BR1417">
        <v>0</v>
      </c>
      <c r="BS1417">
        <v>0</v>
      </c>
      <c r="BT1417">
        <v>0</v>
      </c>
      <c r="BU1417">
        <v>0</v>
      </c>
      <c r="BV1417">
        <v>0</v>
      </c>
    </row>
    <row r="1418" spans="67:74" x14ac:dyDescent="0.25">
      <c r="BO1418">
        <v>0</v>
      </c>
      <c r="BP1418">
        <v>0</v>
      </c>
      <c r="BQ1418">
        <v>0</v>
      </c>
      <c r="BR1418">
        <v>0</v>
      </c>
      <c r="BS1418">
        <v>0</v>
      </c>
      <c r="BT1418">
        <v>0</v>
      </c>
      <c r="BU1418">
        <v>0</v>
      </c>
      <c r="BV1418">
        <v>0</v>
      </c>
    </row>
    <row r="1419" spans="67:74" x14ac:dyDescent="0.25">
      <c r="BO1419">
        <v>0</v>
      </c>
      <c r="BP1419">
        <v>0</v>
      </c>
      <c r="BQ1419">
        <v>0</v>
      </c>
      <c r="BR1419">
        <v>0</v>
      </c>
      <c r="BS1419">
        <v>0</v>
      </c>
      <c r="BT1419">
        <v>0</v>
      </c>
      <c r="BU1419">
        <v>0</v>
      </c>
      <c r="BV1419">
        <v>0</v>
      </c>
    </row>
    <row r="1420" spans="67:74" x14ac:dyDescent="0.25">
      <c r="BO1420">
        <v>0</v>
      </c>
      <c r="BP1420">
        <v>0</v>
      </c>
      <c r="BQ1420">
        <v>0</v>
      </c>
      <c r="BR1420">
        <v>0</v>
      </c>
      <c r="BS1420">
        <v>0</v>
      </c>
      <c r="BT1420">
        <v>0</v>
      </c>
      <c r="BU1420">
        <v>0</v>
      </c>
      <c r="BV1420">
        <v>0</v>
      </c>
    </row>
    <row r="1421" spans="67:74" x14ac:dyDescent="0.25">
      <c r="BO1421">
        <v>0</v>
      </c>
      <c r="BP1421">
        <v>0</v>
      </c>
      <c r="BQ1421">
        <v>0</v>
      </c>
      <c r="BR1421">
        <v>0</v>
      </c>
      <c r="BS1421">
        <v>0</v>
      </c>
      <c r="BT1421">
        <v>0</v>
      </c>
      <c r="BU1421">
        <v>0</v>
      </c>
      <c r="BV1421">
        <v>0</v>
      </c>
    </row>
    <row r="1422" spans="67:74" x14ac:dyDescent="0.25">
      <c r="BO1422">
        <v>0</v>
      </c>
      <c r="BP1422">
        <v>0</v>
      </c>
      <c r="BQ1422">
        <v>0</v>
      </c>
      <c r="BR1422">
        <v>0</v>
      </c>
      <c r="BS1422">
        <v>0</v>
      </c>
      <c r="BT1422">
        <v>0</v>
      </c>
      <c r="BU1422">
        <v>0</v>
      </c>
      <c r="BV1422">
        <v>0</v>
      </c>
    </row>
    <row r="1423" spans="67:74" x14ac:dyDescent="0.25">
      <c r="BO1423">
        <v>0</v>
      </c>
      <c r="BP1423">
        <v>0</v>
      </c>
      <c r="BQ1423">
        <v>0</v>
      </c>
      <c r="BR1423">
        <v>0</v>
      </c>
      <c r="BS1423">
        <v>0</v>
      </c>
      <c r="BT1423">
        <v>0</v>
      </c>
      <c r="BU1423">
        <v>0</v>
      </c>
      <c r="BV1423">
        <v>0</v>
      </c>
    </row>
    <row r="1424" spans="67:74" x14ac:dyDescent="0.25">
      <c r="BO1424">
        <v>0</v>
      </c>
      <c r="BP1424">
        <v>0</v>
      </c>
      <c r="BQ1424">
        <v>0</v>
      </c>
      <c r="BR1424">
        <v>0</v>
      </c>
      <c r="BS1424">
        <v>0</v>
      </c>
      <c r="BT1424">
        <v>0</v>
      </c>
      <c r="BU1424">
        <v>0</v>
      </c>
      <c r="BV1424">
        <v>0</v>
      </c>
    </row>
    <row r="1425" spans="54:74" x14ac:dyDescent="0.25">
      <c r="BO1425">
        <v>0</v>
      </c>
      <c r="BP1425">
        <v>0</v>
      </c>
      <c r="BQ1425">
        <v>0</v>
      </c>
      <c r="BR1425">
        <v>0</v>
      </c>
      <c r="BS1425">
        <v>0</v>
      </c>
      <c r="BT1425">
        <v>0</v>
      </c>
      <c r="BU1425">
        <v>0</v>
      </c>
      <c r="BV1425">
        <v>0</v>
      </c>
    </row>
    <row r="1426" spans="54:74" x14ac:dyDescent="0.25">
      <c r="BO1426">
        <v>0</v>
      </c>
      <c r="BP1426">
        <v>0</v>
      </c>
      <c r="BQ1426">
        <v>0</v>
      </c>
      <c r="BR1426">
        <v>0</v>
      </c>
      <c r="BS1426">
        <v>0</v>
      </c>
      <c r="BT1426">
        <v>0</v>
      </c>
      <c r="BU1426">
        <v>0</v>
      </c>
      <c r="BV1426">
        <v>0</v>
      </c>
    </row>
    <row r="1427" spans="54:74" x14ac:dyDescent="0.25">
      <c r="BO1427">
        <v>0</v>
      </c>
      <c r="BP1427">
        <v>0</v>
      </c>
      <c r="BQ1427">
        <v>0</v>
      </c>
      <c r="BR1427">
        <v>0</v>
      </c>
      <c r="BS1427">
        <v>0</v>
      </c>
      <c r="BT1427">
        <v>0</v>
      </c>
      <c r="BU1427">
        <v>0</v>
      </c>
      <c r="BV1427">
        <v>0</v>
      </c>
    </row>
    <row r="1428" spans="54:74" x14ac:dyDescent="0.25">
      <c r="BO1428">
        <v>0</v>
      </c>
      <c r="BP1428">
        <v>0</v>
      </c>
      <c r="BQ1428">
        <v>0</v>
      </c>
      <c r="BR1428">
        <v>0</v>
      </c>
      <c r="BS1428">
        <v>0</v>
      </c>
      <c r="BT1428">
        <v>0</v>
      </c>
      <c r="BU1428">
        <v>0</v>
      </c>
      <c r="BV1428">
        <v>0</v>
      </c>
    </row>
    <row r="1429" spans="54:74" x14ac:dyDescent="0.25">
      <c r="BO1429">
        <v>0</v>
      </c>
      <c r="BP1429">
        <v>0</v>
      </c>
      <c r="BQ1429">
        <v>0</v>
      </c>
      <c r="BR1429">
        <v>0</v>
      </c>
      <c r="BS1429">
        <v>0</v>
      </c>
      <c r="BT1429">
        <v>0</v>
      </c>
      <c r="BU1429">
        <v>0</v>
      </c>
      <c r="BV1429">
        <v>0</v>
      </c>
    </row>
    <row r="1430" spans="54:74" x14ac:dyDescent="0.25">
      <c r="BO1430">
        <v>0</v>
      </c>
      <c r="BP1430">
        <v>0</v>
      </c>
      <c r="BQ1430">
        <v>0</v>
      </c>
      <c r="BR1430">
        <v>0</v>
      </c>
      <c r="BS1430">
        <v>0</v>
      </c>
      <c r="BT1430">
        <v>0</v>
      </c>
      <c r="BU1430">
        <v>0</v>
      </c>
      <c r="BV1430">
        <v>0</v>
      </c>
    </row>
    <row r="1431" spans="54:74" x14ac:dyDescent="0.25">
      <c r="BO1431">
        <v>0</v>
      </c>
      <c r="BP1431">
        <v>0</v>
      </c>
      <c r="BQ1431">
        <v>0</v>
      </c>
      <c r="BR1431">
        <v>0</v>
      </c>
      <c r="BS1431">
        <v>0</v>
      </c>
      <c r="BT1431">
        <v>0</v>
      </c>
      <c r="BU1431">
        <v>0</v>
      </c>
      <c r="BV1431">
        <v>0</v>
      </c>
    </row>
    <row r="1432" spans="54:74" x14ac:dyDescent="0.25">
      <c r="BO1432">
        <v>0</v>
      </c>
      <c r="BP1432">
        <v>0</v>
      </c>
      <c r="BQ1432">
        <v>0</v>
      </c>
      <c r="BR1432">
        <v>0</v>
      </c>
      <c r="BS1432">
        <v>0</v>
      </c>
      <c r="BT1432">
        <v>0</v>
      </c>
      <c r="BU1432">
        <v>0</v>
      </c>
      <c r="BV1432">
        <v>0</v>
      </c>
    </row>
    <row r="1433" spans="54:74" x14ac:dyDescent="0.25">
      <c r="BO1433">
        <v>0</v>
      </c>
      <c r="BP1433">
        <v>0</v>
      </c>
      <c r="BQ1433">
        <v>0</v>
      </c>
      <c r="BR1433">
        <v>0</v>
      </c>
      <c r="BS1433">
        <v>0</v>
      </c>
      <c r="BT1433">
        <v>0</v>
      </c>
      <c r="BU1433">
        <v>0</v>
      </c>
      <c r="BV1433">
        <v>0</v>
      </c>
    </row>
    <row r="1434" spans="54:74" x14ac:dyDescent="0.25">
      <c r="BB1434" s="1"/>
      <c r="BO1434">
        <v>0</v>
      </c>
      <c r="BP1434">
        <v>0</v>
      </c>
      <c r="BQ1434">
        <v>0</v>
      </c>
      <c r="BR1434">
        <v>0</v>
      </c>
      <c r="BS1434">
        <v>0</v>
      </c>
      <c r="BT1434">
        <v>0</v>
      </c>
      <c r="BU1434">
        <v>0</v>
      </c>
      <c r="BV1434">
        <v>0</v>
      </c>
    </row>
    <row r="1435" spans="54:74" x14ac:dyDescent="0.25">
      <c r="BO1435">
        <v>0</v>
      </c>
      <c r="BP1435">
        <v>0</v>
      </c>
      <c r="BQ1435">
        <v>0</v>
      </c>
      <c r="BR1435">
        <v>0</v>
      </c>
      <c r="BS1435">
        <v>0</v>
      </c>
      <c r="BT1435">
        <v>0</v>
      </c>
      <c r="BU1435">
        <v>0</v>
      </c>
      <c r="BV1435">
        <v>0</v>
      </c>
    </row>
    <row r="1436" spans="54:74" x14ac:dyDescent="0.25">
      <c r="BO1436">
        <v>0</v>
      </c>
      <c r="BP1436">
        <v>0</v>
      </c>
      <c r="BQ1436">
        <v>0</v>
      </c>
      <c r="BR1436">
        <v>0</v>
      </c>
      <c r="BS1436">
        <v>0</v>
      </c>
      <c r="BT1436">
        <v>0</v>
      </c>
      <c r="BU1436">
        <v>0</v>
      </c>
      <c r="BV1436">
        <v>0</v>
      </c>
    </row>
    <row r="1437" spans="54:74" x14ac:dyDescent="0.25">
      <c r="BO1437">
        <v>0</v>
      </c>
      <c r="BP1437">
        <v>0</v>
      </c>
      <c r="BQ1437">
        <v>0</v>
      </c>
      <c r="BR1437">
        <v>0</v>
      </c>
      <c r="BS1437">
        <v>0</v>
      </c>
      <c r="BT1437">
        <v>0</v>
      </c>
      <c r="BU1437">
        <v>0</v>
      </c>
      <c r="BV1437">
        <v>0</v>
      </c>
    </row>
    <row r="1438" spans="54:74" x14ac:dyDescent="0.25">
      <c r="BO1438">
        <v>0</v>
      </c>
      <c r="BP1438">
        <v>0</v>
      </c>
      <c r="BQ1438">
        <v>0</v>
      </c>
      <c r="BR1438">
        <v>0</v>
      </c>
      <c r="BS1438">
        <v>0</v>
      </c>
      <c r="BT1438">
        <v>0</v>
      </c>
      <c r="BU1438">
        <v>0</v>
      </c>
      <c r="BV1438">
        <v>0</v>
      </c>
    </row>
    <row r="1439" spans="54:74" x14ac:dyDescent="0.25">
      <c r="BO1439">
        <v>0</v>
      </c>
      <c r="BP1439">
        <v>0</v>
      </c>
      <c r="BQ1439">
        <v>0</v>
      </c>
      <c r="BR1439">
        <v>0</v>
      </c>
      <c r="BS1439">
        <v>0</v>
      </c>
      <c r="BT1439">
        <v>0</v>
      </c>
      <c r="BU1439">
        <v>0</v>
      </c>
      <c r="BV1439">
        <v>0</v>
      </c>
    </row>
    <row r="1440" spans="54:74" x14ac:dyDescent="0.25">
      <c r="BO1440">
        <v>0</v>
      </c>
      <c r="BP1440">
        <v>0</v>
      </c>
      <c r="BQ1440">
        <v>0</v>
      </c>
      <c r="BR1440">
        <v>0</v>
      </c>
      <c r="BS1440">
        <v>0</v>
      </c>
      <c r="BT1440">
        <v>0</v>
      </c>
      <c r="BU1440">
        <v>0</v>
      </c>
      <c r="BV1440">
        <v>0</v>
      </c>
    </row>
    <row r="1441" spans="67:74" x14ac:dyDescent="0.25">
      <c r="BO1441">
        <v>0</v>
      </c>
      <c r="BP1441">
        <v>0</v>
      </c>
      <c r="BQ1441">
        <v>0</v>
      </c>
      <c r="BR1441">
        <v>0</v>
      </c>
      <c r="BS1441">
        <v>0</v>
      </c>
      <c r="BT1441">
        <v>0</v>
      </c>
      <c r="BU1441">
        <v>0</v>
      </c>
      <c r="BV1441">
        <v>0</v>
      </c>
    </row>
    <row r="1442" spans="67:74" x14ac:dyDescent="0.25">
      <c r="BO1442">
        <v>0</v>
      </c>
      <c r="BP1442">
        <v>0</v>
      </c>
      <c r="BQ1442">
        <v>0</v>
      </c>
      <c r="BR1442">
        <v>0</v>
      </c>
      <c r="BS1442">
        <v>0</v>
      </c>
      <c r="BT1442">
        <v>0</v>
      </c>
      <c r="BU1442">
        <v>0</v>
      </c>
      <c r="BV1442">
        <v>0</v>
      </c>
    </row>
    <row r="1443" spans="67:74" x14ac:dyDescent="0.25">
      <c r="BO1443">
        <v>0</v>
      </c>
      <c r="BP1443">
        <v>0</v>
      </c>
      <c r="BQ1443">
        <v>0</v>
      </c>
      <c r="BR1443">
        <v>0</v>
      </c>
      <c r="BS1443">
        <v>0</v>
      </c>
      <c r="BT1443">
        <v>0</v>
      </c>
      <c r="BU1443">
        <v>0</v>
      </c>
      <c r="BV1443">
        <v>0</v>
      </c>
    </row>
    <row r="1444" spans="67:74" x14ac:dyDescent="0.25">
      <c r="BO1444">
        <v>0</v>
      </c>
      <c r="BP1444">
        <v>0</v>
      </c>
      <c r="BQ1444">
        <v>0</v>
      </c>
      <c r="BR1444">
        <v>0</v>
      </c>
      <c r="BS1444">
        <v>0</v>
      </c>
      <c r="BT1444">
        <v>0</v>
      </c>
      <c r="BU1444">
        <v>0</v>
      </c>
      <c r="BV1444">
        <v>0</v>
      </c>
    </row>
    <row r="1445" spans="67:74" x14ac:dyDescent="0.25">
      <c r="BO1445">
        <v>0</v>
      </c>
      <c r="BP1445">
        <v>0</v>
      </c>
      <c r="BQ1445">
        <v>0</v>
      </c>
      <c r="BR1445">
        <v>0</v>
      </c>
      <c r="BS1445">
        <v>0</v>
      </c>
      <c r="BT1445">
        <v>0</v>
      </c>
      <c r="BU1445">
        <v>0</v>
      </c>
      <c r="BV1445">
        <v>0</v>
      </c>
    </row>
    <row r="1446" spans="67:74" x14ac:dyDescent="0.25">
      <c r="BO1446">
        <v>0</v>
      </c>
      <c r="BP1446">
        <v>0</v>
      </c>
      <c r="BQ1446">
        <v>0</v>
      </c>
      <c r="BR1446">
        <v>0</v>
      </c>
      <c r="BS1446">
        <v>0</v>
      </c>
      <c r="BT1446">
        <v>0</v>
      </c>
      <c r="BU1446">
        <v>0</v>
      </c>
      <c r="BV1446">
        <v>0</v>
      </c>
    </row>
    <row r="1447" spans="67:74" x14ac:dyDescent="0.25">
      <c r="BO1447">
        <v>0</v>
      </c>
      <c r="BP1447">
        <v>0</v>
      </c>
      <c r="BQ1447">
        <v>0</v>
      </c>
      <c r="BR1447">
        <v>0</v>
      </c>
      <c r="BS1447">
        <v>0</v>
      </c>
      <c r="BT1447">
        <v>0</v>
      </c>
      <c r="BU1447">
        <v>0</v>
      </c>
      <c r="BV1447">
        <v>0</v>
      </c>
    </row>
    <row r="1448" spans="67:74" x14ac:dyDescent="0.25">
      <c r="BO1448">
        <v>0</v>
      </c>
      <c r="BP1448">
        <v>0</v>
      </c>
      <c r="BQ1448">
        <v>0</v>
      </c>
      <c r="BR1448">
        <v>0</v>
      </c>
      <c r="BS1448">
        <v>0</v>
      </c>
      <c r="BT1448">
        <v>0</v>
      </c>
      <c r="BU1448">
        <v>0</v>
      </c>
      <c r="BV1448">
        <v>0</v>
      </c>
    </row>
    <row r="1449" spans="67:74" x14ac:dyDescent="0.25">
      <c r="BO1449">
        <v>0</v>
      </c>
      <c r="BP1449">
        <v>0</v>
      </c>
      <c r="BQ1449">
        <v>0</v>
      </c>
      <c r="BR1449">
        <v>0</v>
      </c>
      <c r="BS1449">
        <v>0</v>
      </c>
      <c r="BT1449">
        <v>0</v>
      </c>
      <c r="BU1449">
        <v>0</v>
      </c>
      <c r="BV1449">
        <v>0</v>
      </c>
    </row>
    <row r="1450" spans="67:74" x14ac:dyDescent="0.25">
      <c r="BO1450">
        <v>0</v>
      </c>
      <c r="BP1450">
        <v>0</v>
      </c>
      <c r="BQ1450">
        <v>0</v>
      </c>
      <c r="BR1450">
        <v>0</v>
      </c>
      <c r="BS1450">
        <v>0</v>
      </c>
      <c r="BT1450">
        <v>0</v>
      </c>
      <c r="BU1450">
        <v>0</v>
      </c>
      <c r="BV1450">
        <v>0</v>
      </c>
    </row>
    <row r="1451" spans="67:74" x14ac:dyDescent="0.25">
      <c r="BO1451">
        <v>0</v>
      </c>
      <c r="BP1451">
        <v>0</v>
      </c>
      <c r="BQ1451">
        <v>0</v>
      </c>
      <c r="BR1451">
        <v>0</v>
      </c>
      <c r="BS1451">
        <v>0</v>
      </c>
      <c r="BT1451">
        <v>0</v>
      </c>
      <c r="BU1451">
        <v>0</v>
      </c>
      <c r="BV1451">
        <v>0</v>
      </c>
    </row>
    <row r="1452" spans="67:74" x14ac:dyDescent="0.25">
      <c r="BO1452">
        <v>0</v>
      </c>
      <c r="BP1452">
        <v>0</v>
      </c>
      <c r="BQ1452">
        <v>0</v>
      </c>
      <c r="BR1452">
        <v>0</v>
      </c>
      <c r="BS1452">
        <v>0</v>
      </c>
      <c r="BT1452">
        <v>0</v>
      </c>
      <c r="BU1452">
        <v>0</v>
      </c>
      <c r="BV1452">
        <v>0</v>
      </c>
    </row>
    <row r="1453" spans="67:74" x14ac:dyDescent="0.25">
      <c r="BO1453">
        <v>0</v>
      </c>
      <c r="BP1453">
        <v>0</v>
      </c>
      <c r="BQ1453">
        <v>0</v>
      </c>
      <c r="BR1453">
        <v>0</v>
      </c>
      <c r="BS1453">
        <v>0</v>
      </c>
      <c r="BT1453">
        <v>0</v>
      </c>
      <c r="BU1453">
        <v>0</v>
      </c>
      <c r="BV1453">
        <v>0</v>
      </c>
    </row>
    <row r="1454" spans="67:74" x14ac:dyDescent="0.25">
      <c r="BO1454">
        <v>0</v>
      </c>
      <c r="BP1454">
        <v>0</v>
      </c>
      <c r="BQ1454">
        <v>0</v>
      </c>
      <c r="BR1454">
        <v>0</v>
      </c>
      <c r="BS1454">
        <v>0</v>
      </c>
      <c r="BT1454">
        <v>0</v>
      </c>
      <c r="BU1454">
        <v>0</v>
      </c>
      <c r="BV1454">
        <v>0</v>
      </c>
    </row>
    <row r="1455" spans="67:74" x14ac:dyDescent="0.25">
      <c r="BO1455">
        <v>0</v>
      </c>
      <c r="BP1455">
        <v>0</v>
      </c>
      <c r="BQ1455">
        <v>0</v>
      </c>
      <c r="BR1455">
        <v>0</v>
      </c>
      <c r="BS1455">
        <v>0</v>
      </c>
      <c r="BT1455">
        <v>0</v>
      </c>
      <c r="BU1455">
        <v>0</v>
      </c>
      <c r="BV1455">
        <v>0</v>
      </c>
    </row>
    <row r="1456" spans="67:74" x14ac:dyDescent="0.25">
      <c r="BO1456">
        <v>0</v>
      </c>
      <c r="BP1456">
        <v>0</v>
      </c>
      <c r="BQ1456">
        <v>0</v>
      </c>
      <c r="BR1456">
        <v>0</v>
      </c>
      <c r="BS1456">
        <v>0</v>
      </c>
      <c r="BT1456">
        <v>0</v>
      </c>
      <c r="BU1456">
        <v>0</v>
      </c>
      <c r="BV1456">
        <v>0</v>
      </c>
    </row>
    <row r="1457" spans="32:74" x14ac:dyDescent="0.25">
      <c r="BO1457">
        <v>0</v>
      </c>
      <c r="BP1457">
        <v>0</v>
      </c>
      <c r="BQ1457">
        <v>0</v>
      </c>
      <c r="BR1457">
        <v>0</v>
      </c>
      <c r="BS1457">
        <v>0</v>
      </c>
      <c r="BT1457">
        <v>0</v>
      </c>
      <c r="BU1457">
        <v>0</v>
      </c>
      <c r="BV1457">
        <v>0</v>
      </c>
    </row>
    <row r="1458" spans="32:74" x14ac:dyDescent="0.25">
      <c r="BO1458">
        <v>0</v>
      </c>
      <c r="BP1458">
        <v>0</v>
      </c>
      <c r="BQ1458">
        <v>0</v>
      </c>
      <c r="BR1458">
        <v>0</v>
      </c>
      <c r="BS1458">
        <v>0</v>
      </c>
      <c r="BT1458">
        <v>0</v>
      </c>
      <c r="BU1458">
        <v>0</v>
      </c>
      <c r="BV1458">
        <v>0</v>
      </c>
    </row>
    <row r="1459" spans="32:74" x14ac:dyDescent="0.25">
      <c r="BO1459">
        <v>0</v>
      </c>
      <c r="BP1459">
        <v>0</v>
      </c>
      <c r="BQ1459">
        <v>0</v>
      </c>
      <c r="BR1459">
        <v>0</v>
      </c>
      <c r="BS1459">
        <v>0</v>
      </c>
      <c r="BT1459">
        <v>0</v>
      </c>
      <c r="BU1459">
        <v>0</v>
      </c>
      <c r="BV1459">
        <v>0</v>
      </c>
    </row>
    <row r="1460" spans="32:74" x14ac:dyDescent="0.25">
      <c r="BO1460">
        <v>0</v>
      </c>
      <c r="BP1460">
        <v>0</v>
      </c>
      <c r="BQ1460">
        <v>0</v>
      </c>
      <c r="BR1460">
        <v>0</v>
      </c>
      <c r="BS1460">
        <v>0</v>
      </c>
      <c r="BT1460">
        <v>0</v>
      </c>
      <c r="BU1460">
        <v>0</v>
      </c>
      <c r="BV1460">
        <v>0</v>
      </c>
    </row>
    <row r="1461" spans="32:74" x14ac:dyDescent="0.25">
      <c r="BO1461">
        <v>0</v>
      </c>
      <c r="BP1461">
        <v>0</v>
      </c>
      <c r="BQ1461">
        <v>0</v>
      </c>
      <c r="BR1461">
        <v>0</v>
      </c>
      <c r="BS1461">
        <v>0</v>
      </c>
      <c r="BT1461">
        <v>0</v>
      </c>
      <c r="BU1461">
        <v>0</v>
      </c>
      <c r="BV1461">
        <v>0</v>
      </c>
    </row>
    <row r="1462" spans="32:74" x14ac:dyDescent="0.25">
      <c r="BO1462">
        <v>0</v>
      </c>
      <c r="BP1462">
        <v>0</v>
      </c>
      <c r="BQ1462">
        <v>0</v>
      </c>
      <c r="BR1462">
        <v>0</v>
      </c>
      <c r="BS1462">
        <v>0</v>
      </c>
      <c r="BT1462">
        <v>0</v>
      </c>
      <c r="BU1462">
        <v>0</v>
      </c>
      <c r="BV1462">
        <v>0</v>
      </c>
    </row>
    <row r="1463" spans="32:74" x14ac:dyDescent="0.25">
      <c r="BO1463">
        <v>0</v>
      </c>
      <c r="BP1463">
        <v>0</v>
      </c>
      <c r="BQ1463">
        <v>0</v>
      </c>
      <c r="BR1463">
        <v>0</v>
      </c>
      <c r="BS1463">
        <v>0</v>
      </c>
      <c r="BT1463">
        <v>0</v>
      </c>
      <c r="BU1463">
        <v>0</v>
      </c>
      <c r="BV1463">
        <v>0</v>
      </c>
    </row>
    <row r="1464" spans="32:74" x14ac:dyDescent="0.25">
      <c r="AF1464" s="1"/>
      <c r="BE1464" s="1"/>
      <c r="BM1464" s="2"/>
      <c r="BO1464">
        <v>0</v>
      </c>
      <c r="BP1464">
        <v>0</v>
      </c>
      <c r="BQ1464">
        <v>0</v>
      </c>
      <c r="BR1464">
        <v>0</v>
      </c>
      <c r="BS1464">
        <v>0</v>
      </c>
      <c r="BT1464">
        <v>0</v>
      </c>
      <c r="BU1464">
        <v>0</v>
      </c>
      <c r="BV1464">
        <v>0</v>
      </c>
    </row>
    <row r="1465" spans="32:74" x14ac:dyDescent="0.25">
      <c r="BO1465">
        <v>0</v>
      </c>
      <c r="BP1465">
        <v>0</v>
      </c>
      <c r="BQ1465">
        <v>0</v>
      </c>
      <c r="BR1465">
        <v>0</v>
      </c>
      <c r="BS1465">
        <v>0</v>
      </c>
      <c r="BT1465">
        <v>0</v>
      </c>
      <c r="BU1465">
        <v>0</v>
      </c>
      <c r="BV1465">
        <v>0</v>
      </c>
    </row>
    <row r="1466" spans="32:74" x14ac:dyDescent="0.25">
      <c r="BO1466">
        <v>0</v>
      </c>
      <c r="BP1466">
        <v>0</v>
      </c>
      <c r="BQ1466">
        <v>0</v>
      </c>
      <c r="BR1466">
        <v>0</v>
      </c>
      <c r="BS1466">
        <v>0</v>
      </c>
      <c r="BT1466">
        <v>0</v>
      </c>
      <c r="BU1466">
        <v>0</v>
      </c>
      <c r="BV1466">
        <v>0</v>
      </c>
    </row>
    <row r="1467" spans="32:74" x14ac:dyDescent="0.25">
      <c r="BO1467">
        <v>0</v>
      </c>
      <c r="BP1467">
        <v>0</v>
      </c>
      <c r="BQ1467">
        <v>0</v>
      </c>
      <c r="BR1467">
        <v>0</v>
      </c>
      <c r="BS1467">
        <v>0</v>
      </c>
      <c r="BT1467">
        <v>0</v>
      </c>
      <c r="BU1467">
        <v>0</v>
      </c>
      <c r="BV1467">
        <v>0</v>
      </c>
    </row>
    <row r="1468" spans="32:74" x14ac:dyDescent="0.25">
      <c r="BO1468">
        <v>0</v>
      </c>
      <c r="BP1468">
        <v>0</v>
      </c>
      <c r="BQ1468">
        <v>0</v>
      </c>
      <c r="BR1468">
        <v>0</v>
      </c>
      <c r="BS1468">
        <v>0</v>
      </c>
      <c r="BT1468">
        <v>0</v>
      </c>
      <c r="BU1468">
        <v>0</v>
      </c>
      <c r="BV1468">
        <v>0</v>
      </c>
    </row>
    <row r="1469" spans="32:74" x14ac:dyDescent="0.25">
      <c r="BO1469">
        <v>0</v>
      </c>
      <c r="BP1469">
        <v>0</v>
      </c>
      <c r="BQ1469">
        <v>0</v>
      </c>
      <c r="BR1469">
        <v>0</v>
      </c>
      <c r="BS1469">
        <v>0</v>
      </c>
      <c r="BT1469">
        <v>0</v>
      </c>
      <c r="BU1469">
        <v>0</v>
      </c>
      <c r="BV1469">
        <v>0</v>
      </c>
    </row>
    <row r="1470" spans="32:74" x14ac:dyDescent="0.25">
      <c r="BO1470">
        <v>0</v>
      </c>
      <c r="BP1470">
        <v>0</v>
      </c>
      <c r="BQ1470">
        <v>0</v>
      </c>
      <c r="BR1470">
        <v>0</v>
      </c>
      <c r="BS1470">
        <v>0</v>
      </c>
      <c r="BT1470">
        <v>0</v>
      </c>
      <c r="BU1470">
        <v>0</v>
      </c>
      <c r="BV1470">
        <v>0</v>
      </c>
    </row>
    <row r="1471" spans="32:74" x14ac:dyDescent="0.25">
      <c r="BO1471">
        <v>0</v>
      </c>
      <c r="BP1471">
        <v>0</v>
      </c>
      <c r="BQ1471">
        <v>0</v>
      </c>
      <c r="BR1471">
        <v>0</v>
      </c>
      <c r="BS1471">
        <v>0</v>
      </c>
      <c r="BT1471">
        <v>0</v>
      </c>
      <c r="BU1471">
        <v>0</v>
      </c>
      <c r="BV1471">
        <v>0</v>
      </c>
    </row>
    <row r="1472" spans="32:74" x14ac:dyDescent="0.25">
      <c r="BO1472">
        <v>0</v>
      </c>
      <c r="BP1472">
        <v>0</v>
      </c>
      <c r="BQ1472">
        <v>0</v>
      </c>
      <c r="BR1472">
        <v>0</v>
      </c>
      <c r="BS1472">
        <v>0</v>
      </c>
      <c r="BT1472">
        <v>0</v>
      </c>
      <c r="BU1472">
        <v>0</v>
      </c>
      <c r="BV1472">
        <v>0</v>
      </c>
    </row>
    <row r="1473" spans="67:74" x14ac:dyDescent="0.25">
      <c r="BO1473">
        <v>0</v>
      </c>
      <c r="BP1473">
        <v>0</v>
      </c>
      <c r="BQ1473">
        <v>0</v>
      </c>
      <c r="BR1473">
        <v>0</v>
      </c>
      <c r="BS1473">
        <v>0</v>
      </c>
      <c r="BT1473">
        <v>0</v>
      </c>
      <c r="BU1473">
        <v>0</v>
      </c>
      <c r="BV1473">
        <v>0</v>
      </c>
    </row>
    <row r="1474" spans="67:74" x14ac:dyDescent="0.25">
      <c r="BO1474">
        <v>0</v>
      </c>
      <c r="BP1474">
        <v>0</v>
      </c>
      <c r="BQ1474">
        <v>0</v>
      </c>
      <c r="BR1474">
        <v>0</v>
      </c>
      <c r="BS1474">
        <v>0</v>
      </c>
      <c r="BT1474">
        <v>0</v>
      </c>
      <c r="BU1474">
        <v>0</v>
      </c>
      <c r="BV1474">
        <v>0</v>
      </c>
    </row>
    <row r="1475" spans="67:74" x14ac:dyDescent="0.25">
      <c r="BO1475">
        <v>0</v>
      </c>
      <c r="BP1475">
        <v>0</v>
      </c>
      <c r="BQ1475">
        <v>0</v>
      </c>
      <c r="BR1475">
        <v>0</v>
      </c>
      <c r="BS1475">
        <v>0</v>
      </c>
      <c r="BT1475">
        <v>0</v>
      </c>
      <c r="BU1475">
        <v>0</v>
      </c>
      <c r="BV1475">
        <v>0</v>
      </c>
    </row>
    <row r="1476" spans="67:74" x14ac:dyDescent="0.25">
      <c r="BO1476">
        <v>0</v>
      </c>
      <c r="BP1476">
        <v>0</v>
      </c>
      <c r="BQ1476">
        <v>0</v>
      </c>
      <c r="BR1476">
        <v>0</v>
      </c>
      <c r="BS1476">
        <v>0</v>
      </c>
      <c r="BT1476">
        <v>0</v>
      </c>
      <c r="BU1476">
        <v>0</v>
      </c>
      <c r="BV1476">
        <v>0</v>
      </c>
    </row>
    <row r="1477" spans="67:74" x14ac:dyDescent="0.25">
      <c r="BO1477">
        <v>0</v>
      </c>
      <c r="BP1477">
        <v>0</v>
      </c>
      <c r="BQ1477">
        <v>0</v>
      </c>
      <c r="BR1477">
        <v>0</v>
      </c>
      <c r="BS1477">
        <v>0</v>
      </c>
      <c r="BT1477">
        <v>0</v>
      </c>
      <c r="BU1477">
        <v>0</v>
      </c>
      <c r="BV1477">
        <v>0</v>
      </c>
    </row>
    <row r="1478" spans="67:74" x14ac:dyDescent="0.25">
      <c r="BO1478">
        <v>0</v>
      </c>
      <c r="BP1478">
        <v>0</v>
      </c>
      <c r="BQ1478">
        <v>0</v>
      </c>
      <c r="BR1478">
        <v>0</v>
      </c>
      <c r="BS1478">
        <v>0</v>
      </c>
      <c r="BT1478">
        <v>0</v>
      </c>
      <c r="BU1478">
        <v>0</v>
      </c>
      <c r="BV1478">
        <v>0</v>
      </c>
    </row>
    <row r="1479" spans="67:74" x14ac:dyDescent="0.25">
      <c r="BO1479">
        <v>0</v>
      </c>
      <c r="BP1479">
        <v>0</v>
      </c>
      <c r="BQ1479">
        <v>0</v>
      </c>
      <c r="BR1479">
        <v>0</v>
      </c>
      <c r="BS1479">
        <v>0</v>
      </c>
      <c r="BT1479">
        <v>0</v>
      </c>
      <c r="BU1479">
        <v>0</v>
      </c>
      <c r="BV1479">
        <v>0</v>
      </c>
    </row>
    <row r="1480" spans="67:74" x14ac:dyDescent="0.25">
      <c r="BO1480">
        <v>0</v>
      </c>
      <c r="BP1480">
        <v>0</v>
      </c>
      <c r="BQ1480">
        <v>0</v>
      </c>
      <c r="BR1480">
        <v>0</v>
      </c>
      <c r="BS1480">
        <v>0</v>
      </c>
      <c r="BT1480">
        <v>0</v>
      </c>
      <c r="BU1480">
        <v>0</v>
      </c>
      <c r="BV1480">
        <v>0</v>
      </c>
    </row>
    <row r="1481" spans="67:74" x14ac:dyDescent="0.25">
      <c r="BO1481">
        <v>0</v>
      </c>
      <c r="BP1481">
        <v>0</v>
      </c>
      <c r="BQ1481">
        <v>0</v>
      </c>
      <c r="BR1481">
        <v>0</v>
      </c>
      <c r="BS1481">
        <v>0</v>
      </c>
      <c r="BT1481">
        <v>0</v>
      </c>
      <c r="BU1481">
        <v>0</v>
      </c>
      <c r="BV1481">
        <v>0</v>
      </c>
    </row>
    <row r="1482" spans="67:74" x14ac:dyDescent="0.25">
      <c r="BO1482">
        <v>0</v>
      </c>
      <c r="BP1482">
        <v>0</v>
      </c>
      <c r="BQ1482">
        <v>0</v>
      </c>
      <c r="BR1482">
        <v>0</v>
      </c>
      <c r="BS1482">
        <v>0</v>
      </c>
      <c r="BT1482">
        <v>0</v>
      </c>
      <c r="BU1482">
        <v>0</v>
      </c>
      <c r="BV1482">
        <v>0</v>
      </c>
    </row>
    <row r="1483" spans="67:74" x14ac:dyDescent="0.25">
      <c r="BO1483">
        <v>0</v>
      </c>
      <c r="BP1483">
        <v>0</v>
      </c>
      <c r="BQ1483">
        <v>0</v>
      </c>
      <c r="BR1483">
        <v>0</v>
      </c>
      <c r="BS1483">
        <v>0</v>
      </c>
      <c r="BT1483">
        <v>0</v>
      </c>
      <c r="BU1483">
        <v>0</v>
      </c>
      <c r="BV1483">
        <v>0</v>
      </c>
    </row>
    <row r="1484" spans="67:74" x14ac:dyDescent="0.25">
      <c r="BO1484">
        <v>0</v>
      </c>
      <c r="BP1484">
        <v>0</v>
      </c>
      <c r="BQ1484">
        <v>0</v>
      </c>
      <c r="BR1484">
        <v>0</v>
      </c>
      <c r="BS1484">
        <v>0</v>
      </c>
      <c r="BT1484">
        <v>0</v>
      </c>
      <c r="BU1484">
        <v>0</v>
      </c>
      <c r="BV1484">
        <v>0</v>
      </c>
    </row>
    <row r="1485" spans="67:74" x14ac:dyDescent="0.25">
      <c r="BO1485">
        <v>0</v>
      </c>
      <c r="BP1485">
        <v>0</v>
      </c>
      <c r="BQ1485">
        <v>0</v>
      </c>
      <c r="BR1485">
        <v>0</v>
      </c>
      <c r="BS1485">
        <v>0</v>
      </c>
      <c r="BT1485">
        <v>0</v>
      </c>
      <c r="BU1485">
        <v>0</v>
      </c>
      <c r="BV1485">
        <v>0</v>
      </c>
    </row>
    <row r="1486" spans="67:74" x14ac:dyDescent="0.25">
      <c r="BO1486">
        <v>0</v>
      </c>
      <c r="BP1486">
        <v>0</v>
      </c>
      <c r="BQ1486">
        <v>0</v>
      </c>
      <c r="BR1486">
        <v>0</v>
      </c>
      <c r="BS1486">
        <v>0</v>
      </c>
      <c r="BT1486">
        <v>0</v>
      </c>
      <c r="BU1486">
        <v>0</v>
      </c>
      <c r="BV1486">
        <v>0</v>
      </c>
    </row>
    <row r="1487" spans="67:74" x14ac:dyDescent="0.25">
      <c r="BO1487">
        <v>0</v>
      </c>
      <c r="BP1487">
        <v>0</v>
      </c>
      <c r="BQ1487">
        <v>0</v>
      </c>
      <c r="BR1487">
        <v>0</v>
      </c>
      <c r="BS1487">
        <v>0</v>
      </c>
      <c r="BT1487">
        <v>0</v>
      </c>
      <c r="BU1487">
        <v>0</v>
      </c>
      <c r="BV1487">
        <v>0</v>
      </c>
    </row>
    <row r="1488" spans="67:74" x14ac:dyDescent="0.25">
      <c r="BO1488">
        <v>0</v>
      </c>
      <c r="BP1488">
        <v>0</v>
      </c>
      <c r="BQ1488">
        <v>0</v>
      </c>
      <c r="BR1488">
        <v>0</v>
      </c>
      <c r="BS1488">
        <v>0</v>
      </c>
      <c r="BT1488">
        <v>0</v>
      </c>
      <c r="BU1488">
        <v>0</v>
      </c>
      <c r="BV1488">
        <v>0</v>
      </c>
    </row>
    <row r="1489" spans="67:74" x14ac:dyDescent="0.25">
      <c r="BO1489">
        <v>0</v>
      </c>
      <c r="BP1489">
        <v>0</v>
      </c>
      <c r="BQ1489">
        <v>0</v>
      </c>
      <c r="BR1489">
        <v>0</v>
      </c>
      <c r="BS1489">
        <v>0</v>
      </c>
      <c r="BT1489">
        <v>0</v>
      </c>
      <c r="BU1489">
        <v>0</v>
      </c>
      <c r="BV1489">
        <v>0</v>
      </c>
    </row>
    <row r="1490" spans="67:74" x14ac:dyDescent="0.25">
      <c r="BO1490">
        <v>0</v>
      </c>
      <c r="BP1490">
        <v>0</v>
      </c>
      <c r="BQ1490">
        <v>0</v>
      </c>
      <c r="BR1490">
        <v>0</v>
      </c>
      <c r="BS1490">
        <v>0</v>
      </c>
      <c r="BT1490">
        <v>0</v>
      </c>
      <c r="BU1490">
        <v>0</v>
      </c>
      <c r="BV1490">
        <v>0</v>
      </c>
    </row>
    <row r="1491" spans="67:74" x14ac:dyDescent="0.25">
      <c r="BO1491">
        <v>0</v>
      </c>
      <c r="BP1491">
        <v>0</v>
      </c>
      <c r="BQ1491">
        <v>0</v>
      </c>
      <c r="BR1491">
        <v>0</v>
      </c>
      <c r="BS1491">
        <v>0</v>
      </c>
      <c r="BT1491">
        <v>0</v>
      </c>
      <c r="BU1491">
        <v>0</v>
      </c>
      <c r="BV1491">
        <v>0</v>
      </c>
    </row>
    <row r="1492" spans="67:74" x14ac:dyDescent="0.25">
      <c r="BO1492">
        <v>0</v>
      </c>
      <c r="BP1492">
        <v>0</v>
      </c>
      <c r="BQ1492">
        <v>0</v>
      </c>
      <c r="BR1492">
        <v>0</v>
      </c>
      <c r="BS1492">
        <v>0</v>
      </c>
      <c r="BT1492">
        <v>0</v>
      </c>
      <c r="BU1492">
        <v>0</v>
      </c>
      <c r="BV1492">
        <v>0</v>
      </c>
    </row>
    <row r="1493" spans="67:74" x14ac:dyDescent="0.25">
      <c r="BO1493">
        <v>0</v>
      </c>
      <c r="BP1493">
        <v>0</v>
      </c>
      <c r="BQ1493">
        <v>0</v>
      </c>
      <c r="BR1493">
        <v>0</v>
      </c>
      <c r="BS1493">
        <v>0</v>
      </c>
      <c r="BT1493">
        <v>0</v>
      </c>
      <c r="BU1493">
        <v>0</v>
      </c>
      <c r="BV1493">
        <v>0</v>
      </c>
    </row>
    <row r="1494" spans="67:74" x14ac:dyDescent="0.25">
      <c r="BO1494">
        <v>0</v>
      </c>
      <c r="BP1494">
        <v>0</v>
      </c>
      <c r="BQ1494">
        <v>0</v>
      </c>
      <c r="BR1494">
        <v>0</v>
      </c>
      <c r="BS1494">
        <v>0</v>
      </c>
      <c r="BT1494">
        <v>0</v>
      </c>
      <c r="BU1494">
        <v>0</v>
      </c>
      <c r="BV1494">
        <v>0</v>
      </c>
    </row>
    <row r="1495" spans="67:74" x14ac:dyDescent="0.25">
      <c r="BO1495">
        <v>0</v>
      </c>
      <c r="BP1495">
        <v>0</v>
      </c>
      <c r="BQ1495">
        <v>0</v>
      </c>
      <c r="BR1495">
        <v>0</v>
      </c>
      <c r="BS1495">
        <v>0</v>
      </c>
      <c r="BT1495">
        <v>0</v>
      </c>
      <c r="BU1495">
        <v>0</v>
      </c>
      <c r="BV1495">
        <v>0</v>
      </c>
    </row>
    <row r="1496" spans="67:74" x14ac:dyDescent="0.25">
      <c r="BO1496">
        <v>0</v>
      </c>
      <c r="BP1496">
        <v>0</v>
      </c>
      <c r="BQ1496">
        <v>0</v>
      </c>
      <c r="BR1496">
        <v>0</v>
      </c>
      <c r="BS1496">
        <v>0</v>
      </c>
      <c r="BT1496">
        <v>0</v>
      </c>
      <c r="BU1496">
        <v>0</v>
      </c>
      <c r="BV1496">
        <v>0</v>
      </c>
    </row>
    <row r="1497" spans="67:74" x14ac:dyDescent="0.25">
      <c r="BO1497">
        <v>0</v>
      </c>
      <c r="BP1497">
        <v>0</v>
      </c>
      <c r="BQ1497">
        <v>0</v>
      </c>
      <c r="BR1497">
        <v>0</v>
      </c>
      <c r="BS1497">
        <v>0</v>
      </c>
      <c r="BT1497">
        <v>0</v>
      </c>
      <c r="BU1497">
        <v>0</v>
      </c>
      <c r="BV1497">
        <v>0</v>
      </c>
    </row>
    <row r="1498" spans="67:74" x14ac:dyDescent="0.25">
      <c r="BO1498">
        <v>0</v>
      </c>
      <c r="BP1498">
        <v>0</v>
      </c>
      <c r="BQ1498">
        <v>0</v>
      </c>
      <c r="BR1498">
        <v>0</v>
      </c>
      <c r="BS1498">
        <v>0</v>
      </c>
      <c r="BT1498">
        <v>0</v>
      </c>
      <c r="BU1498">
        <v>0</v>
      </c>
      <c r="BV1498">
        <v>0</v>
      </c>
    </row>
    <row r="1499" spans="67:74" x14ac:dyDescent="0.25">
      <c r="BO1499">
        <v>0</v>
      </c>
      <c r="BP1499">
        <v>0</v>
      </c>
      <c r="BQ1499">
        <v>0</v>
      </c>
      <c r="BR1499">
        <v>0</v>
      </c>
      <c r="BS1499">
        <v>0</v>
      </c>
      <c r="BT1499">
        <v>0</v>
      </c>
      <c r="BU1499">
        <v>0</v>
      </c>
      <c r="BV1499">
        <v>0</v>
      </c>
    </row>
    <row r="1500" spans="67:74" x14ac:dyDescent="0.25">
      <c r="BO1500">
        <v>0</v>
      </c>
      <c r="BP1500">
        <v>0</v>
      </c>
      <c r="BQ1500">
        <v>0</v>
      </c>
      <c r="BR1500">
        <v>0</v>
      </c>
      <c r="BS1500">
        <v>0</v>
      </c>
      <c r="BT1500">
        <v>0</v>
      </c>
      <c r="BU1500">
        <v>0</v>
      </c>
      <c r="BV1500">
        <v>0</v>
      </c>
    </row>
    <row r="1501" spans="67:74" x14ac:dyDescent="0.25">
      <c r="BO1501">
        <v>0</v>
      </c>
      <c r="BP1501">
        <v>0</v>
      </c>
      <c r="BQ1501">
        <v>0</v>
      </c>
      <c r="BR1501">
        <v>0</v>
      </c>
      <c r="BS1501">
        <v>0</v>
      </c>
      <c r="BT1501">
        <v>0</v>
      </c>
      <c r="BU1501">
        <v>0</v>
      </c>
      <c r="BV1501">
        <v>0</v>
      </c>
    </row>
    <row r="1502" spans="67:74" x14ac:dyDescent="0.25">
      <c r="BO1502">
        <v>0</v>
      </c>
      <c r="BP1502">
        <v>0</v>
      </c>
      <c r="BQ1502">
        <v>0</v>
      </c>
      <c r="BR1502">
        <v>0</v>
      </c>
      <c r="BS1502">
        <v>0</v>
      </c>
      <c r="BT1502">
        <v>0</v>
      </c>
      <c r="BU1502">
        <v>0</v>
      </c>
      <c r="BV1502">
        <v>0</v>
      </c>
    </row>
    <row r="1503" spans="67:74" x14ac:dyDescent="0.25">
      <c r="BO1503">
        <v>0</v>
      </c>
      <c r="BP1503">
        <v>0</v>
      </c>
      <c r="BQ1503">
        <v>0</v>
      </c>
      <c r="BR1503">
        <v>0</v>
      </c>
      <c r="BS1503">
        <v>0</v>
      </c>
      <c r="BT1503">
        <v>0</v>
      </c>
      <c r="BU1503">
        <v>0</v>
      </c>
      <c r="BV1503">
        <v>0</v>
      </c>
    </row>
    <row r="1504" spans="67:74" x14ac:dyDescent="0.25">
      <c r="BO1504">
        <v>0</v>
      </c>
      <c r="BP1504">
        <v>0</v>
      </c>
      <c r="BQ1504">
        <v>0</v>
      </c>
      <c r="BR1504">
        <v>0</v>
      </c>
      <c r="BS1504">
        <v>0</v>
      </c>
      <c r="BT1504">
        <v>0</v>
      </c>
      <c r="BU1504">
        <v>0</v>
      </c>
      <c r="BV1504">
        <v>0</v>
      </c>
    </row>
    <row r="1505" spans="67:74" x14ac:dyDescent="0.25">
      <c r="BO1505">
        <v>0</v>
      </c>
      <c r="BP1505">
        <v>0</v>
      </c>
      <c r="BQ1505">
        <v>0</v>
      </c>
      <c r="BR1505">
        <v>0</v>
      </c>
      <c r="BS1505">
        <v>0</v>
      </c>
      <c r="BT1505">
        <v>0</v>
      </c>
      <c r="BU1505">
        <v>0</v>
      </c>
      <c r="BV1505">
        <v>0</v>
      </c>
    </row>
    <row r="1506" spans="67:74" x14ac:dyDescent="0.25">
      <c r="BO1506">
        <v>0</v>
      </c>
      <c r="BP1506">
        <v>0</v>
      </c>
      <c r="BQ1506">
        <v>0</v>
      </c>
      <c r="BR1506">
        <v>0</v>
      </c>
      <c r="BS1506">
        <v>0</v>
      </c>
      <c r="BT1506">
        <v>0</v>
      </c>
      <c r="BU1506">
        <v>0</v>
      </c>
      <c r="BV1506">
        <v>0</v>
      </c>
    </row>
    <row r="1507" spans="67:74" x14ac:dyDescent="0.25">
      <c r="BO1507">
        <v>0</v>
      </c>
      <c r="BP1507">
        <v>0</v>
      </c>
      <c r="BQ1507">
        <v>0</v>
      </c>
      <c r="BR1507">
        <v>0</v>
      </c>
      <c r="BS1507">
        <v>0</v>
      </c>
      <c r="BT1507">
        <v>0</v>
      </c>
      <c r="BU1507">
        <v>0</v>
      </c>
      <c r="BV1507">
        <v>0</v>
      </c>
    </row>
    <row r="1508" spans="67:74" x14ac:dyDescent="0.25">
      <c r="BO1508">
        <v>0</v>
      </c>
      <c r="BP1508">
        <v>0</v>
      </c>
      <c r="BQ1508">
        <v>0</v>
      </c>
      <c r="BR1508">
        <v>0</v>
      </c>
      <c r="BS1508">
        <v>0</v>
      </c>
      <c r="BT1508">
        <v>0</v>
      </c>
      <c r="BU1508">
        <v>0</v>
      </c>
      <c r="BV1508">
        <v>0</v>
      </c>
    </row>
    <row r="1509" spans="67:74" x14ac:dyDescent="0.25">
      <c r="BO1509">
        <v>0</v>
      </c>
      <c r="BP1509">
        <v>0</v>
      </c>
      <c r="BQ1509">
        <v>0</v>
      </c>
      <c r="BR1509">
        <v>0</v>
      </c>
      <c r="BS1509">
        <v>0</v>
      </c>
      <c r="BT1509">
        <v>0</v>
      </c>
      <c r="BU1509">
        <v>0</v>
      </c>
      <c r="BV1509">
        <v>0</v>
      </c>
    </row>
    <row r="1510" spans="67:74" x14ac:dyDescent="0.25">
      <c r="BO1510">
        <v>0</v>
      </c>
      <c r="BP1510">
        <v>0</v>
      </c>
      <c r="BQ1510">
        <v>0</v>
      </c>
      <c r="BR1510">
        <v>0</v>
      </c>
      <c r="BS1510">
        <v>0</v>
      </c>
      <c r="BT1510">
        <v>0</v>
      </c>
      <c r="BU1510">
        <v>0</v>
      </c>
      <c r="BV1510">
        <v>0</v>
      </c>
    </row>
    <row r="1511" spans="67:74" x14ac:dyDescent="0.25">
      <c r="BO1511">
        <v>0</v>
      </c>
      <c r="BP1511">
        <v>0</v>
      </c>
      <c r="BQ1511">
        <v>0</v>
      </c>
      <c r="BR1511">
        <v>0</v>
      </c>
      <c r="BS1511">
        <v>0</v>
      </c>
      <c r="BT1511">
        <v>0</v>
      </c>
      <c r="BU1511">
        <v>0</v>
      </c>
      <c r="BV1511">
        <v>0</v>
      </c>
    </row>
    <row r="1512" spans="67:74" x14ac:dyDescent="0.25">
      <c r="BO1512">
        <v>0</v>
      </c>
      <c r="BP1512">
        <v>0</v>
      </c>
      <c r="BQ1512">
        <v>0</v>
      </c>
      <c r="BR1512">
        <v>0</v>
      </c>
      <c r="BS1512">
        <v>0</v>
      </c>
      <c r="BT1512">
        <v>0</v>
      </c>
      <c r="BU1512">
        <v>0</v>
      </c>
      <c r="BV1512">
        <v>0</v>
      </c>
    </row>
    <row r="1513" spans="67:74" x14ac:dyDescent="0.25">
      <c r="BO1513">
        <v>0</v>
      </c>
      <c r="BP1513">
        <v>0</v>
      </c>
      <c r="BQ1513">
        <v>0</v>
      </c>
      <c r="BR1513">
        <v>0</v>
      </c>
      <c r="BS1513">
        <v>0</v>
      </c>
      <c r="BT1513">
        <v>0</v>
      </c>
      <c r="BU1513">
        <v>0</v>
      </c>
      <c r="BV1513">
        <v>0</v>
      </c>
    </row>
    <row r="1514" spans="67:74" x14ac:dyDescent="0.25">
      <c r="BO1514">
        <v>0</v>
      </c>
      <c r="BP1514">
        <v>0</v>
      </c>
      <c r="BQ1514">
        <v>0</v>
      </c>
      <c r="BR1514">
        <v>0</v>
      </c>
      <c r="BS1514">
        <v>0</v>
      </c>
      <c r="BT1514">
        <v>0</v>
      </c>
      <c r="BU1514">
        <v>0</v>
      </c>
      <c r="BV1514">
        <v>0</v>
      </c>
    </row>
    <row r="1515" spans="67:74" x14ac:dyDescent="0.25">
      <c r="BO1515">
        <v>0</v>
      </c>
      <c r="BP1515">
        <v>0</v>
      </c>
      <c r="BQ1515">
        <v>0</v>
      </c>
      <c r="BR1515">
        <v>0</v>
      </c>
      <c r="BS1515">
        <v>0</v>
      </c>
      <c r="BT1515">
        <v>0</v>
      </c>
      <c r="BU1515">
        <v>0</v>
      </c>
      <c r="BV1515">
        <v>0</v>
      </c>
    </row>
    <row r="1516" spans="67:74" x14ac:dyDescent="0.25">
      <c r="BO1516">
        <v>0</v>
      </c>
      <c r="BP1516">
        <v>0</v>
      </c>
      <c r="BQ1516">
        <v>0</v>
      </c>
      <c r="BR1516">
        <v>0</v>
      </c>
      <c r="BS1516">
        <v>0</v>
      </c>
      <c r="BT1516">
        <v>0</v>
      </c>
      <c r="BU1516">
        <v>0</v>
      </c>
      <c r="BV1516">
        <v>0</v>
      </c>
    </row>
    <row r="1517" spans="67:74" x14ac:dyDescent="0.25">
      <c r="BO1517">
        <v>0</v>
      </c>
      <c r="BP1517">
        <v>0</v>
      </c>
      <c r="BQ1517">
        <v>0</v>
      </c>
      <c r="BR1517">
        <v>0</v>
      </c>
      <c r="BS1517">
        <v>0</v>
      </c>
      <c r="BT1517">
        <v>0</v>
      </c>
      <c r="BU1517">
        <v>0</v>
      </c>
      <c r="BV1517">
        <v>0</v>
      </c>
    </row>
    <row r="1518" spans="67:74" x14ac:dyDescent="0.25">
      <c r="BO1518">
        <v>0</v>
      </c>
      <c r="BP1518">
        <v>0</v>
      </c>
      <c r="BQ1518">
        <v>0</v>
      </c>
      <c r="BR1518">
        <v>0</v>
      </c>
      <c r="BS1518">
        <v>0</v>
      </c>
      <c r="BT1518">
        <v>0</v>
      </c>
      <c r="BU1518">
        <v>0</v>
      </c>
      <c r="BV1518">
        <v>0</v>
      </c>
    </row>
    <row r="1519" spans="67:74" x14ac:dyDescent="0.25">
      <c r="BO1519">
        <v>0</v>
      </c>
      <c r="BP1519">
        <v>0</v>
      </c>
      <c r="BQ1519">
        <v>0</v>
      </c>
      <c r="BR1519">
        <v>0</v>
      </c>
      <c r="BS1519">
        <v>0</v>
      </c>
      <c r="BT1519">
        <v>0</v>
      </c>
      <c r="BU1519">
        <v>0</v>
      </c>
      <c r="BV1519">
        <v>0</v>
      </c>
    </row>
    <row r="1520" spans="67:74" x14ac:dyDescent="0.25">
      <c r="BO1520">
        <v>0</v>
      </c>
      <c r="BP1520">
        <v>0</v>
      </c>
      <c r="BQ1520">
        <v>0</v>
      </c>
      <c r="BR1520">
        <v>0</v>
      </c>
      <c r="BS1520">
        <v>0</v>
      </c>
      <c r="BT1520">
        <v>0</v>
      </c>
      <c r="BU1520">
        <v>0</v>
      </c>
      <c r="BV1520">
        <v>0</v>
      </c>
    </row>
    <row r="1521" spans="32:74" x14ac:dyDescent="0.25">
      <c r="BO1521">
        <v>0</v>
      </c>
      <c r="BP1521">
        <v>0</v>
      </c>
      <c r="BQ1521">
        <v>0</v>
      </c>
      <c r="BR1521">
        <v>0</v>
      </c>
      <c r="BS1521">
        <v>0</v>
      </c>
      <c r="BT1521">
        <v>0</v>
      </c>
      <c r="BU1521">
        <v>0</v>
      </c>
      <c r="BV1521">
        <v>0</v>
      </c>
    </row>
    <row r="1522" spans="32:74" x14ac:dyDescent="0.25">
      <c r="BO1522">
        <v>0</v>
      </c>
      <c r="BP1522">
        <v>0</v>
      </c>
      <c r="BQ1522">
        <v>0</v>
      </c>
      <c r="BR1522">
        <v>0</v>
      </c>
      <c r="BS1522">
        <v>0</v>
      </c>
      <c r="BT1522">
        <v>0</v>
      </c>
      <c r="BU1522">
        <v>0</v>
      </c>
      <c r="BV1522">
        <v>0</v>
      </c>
    </row>
    <row r="1523" spans="32:74" x14ac:dyDescent="0.25">
      <c r="BO1523">
        <v>0</v>
      </c>
      <c r="BP1523">
        <v>0</v>
      </c>
      <c r="BQ1523">
        <v>0</v>
      </c>
      <c r="BR1523">
        <v>0</v>
      </c>
      <c r="BS1523">
        <v>0</v>
      </c>
      <c r="BT1523">
        <v>0</v>
      </c>
      <c r="BU1523">
        <v>0</v>
      </c>
      <c r="BV1523">
        <v>0</v>
      </c>
    </row>
    <row r="1524" spans="32:74" x14ac:dyDescent="0.25">
      <c r="BO1524">
        <v>0</v>
      </c>
      <c r="BP1524">
        <v>0</v>
      </c>
      <c r="BQ1524">
        <v>0</v>
      </c>
      <c r="BR1524">
        <v>0</v>
      </c>
      <c r="BS1524">
        <v>0</v>
      </c>
      <c r="BT1524">
        <v>0</v>
      </c>
      <c r="BU1524">
        <v>0</v>
      </c>
      <c r="BV1524">
        <v>0</v>
      </c>
    </row>
    <row r="1525" spans="32:74" x14ac:dyDescent="0.25">
      <c r="BO1525">
        <v>0</v>
      </c>
      <c r="BP1525">
        <v>0</v>
      </c>
      <c r="BQ1525">
        <v>0</v>
      </c>
      <c r="BR1525">
        <v>0</v>
      </c>
      <c r="BS1525">
        <v>0</v>
      </c>
      <c r="BT1525">
        <v>0</v>
      </c>
      <c r="BU1525">
        <v>0</v>
      </c>
      <c r="BV1525">
        <v>0</v>
      </c>
    </row>
    <row r="1526" spans="32:74" x14ac:dyDescent="0.25">
      <c r="BO1526">
        <v>0</v>
      </c>
      <c r="BP1526">
        <v>0</v>
      </c>
      <c r="BQ1526">
        <v>0</v>
      </c>
      <c r="BR1526">
        <v>0</v>
      </c>
      <c r="BS1526">
        <v>0</v>
      </c>
      <c r="BT1526">
        <v>0</v>
      </c>
      <c r="BU1526">
        <v>0</v>
      </c>
      <c r="BV1526">
        <v>0</v>
      </c>
    </row>
    <row r="1527" spans="32:74" x14ac:dyDescent="0.25">
      <c r="BO1527">
        <v>0</v>
      </c>
      <c r="BP1527">
        <v>0</v>
      </c>
      <c r="BQ1527">
        <v>0</v>
      </c>
      <c r="BR1527">
        <v>0</v>
      </c>
      <c r="BS1527">
        <v>0</v>
      </c>
      <c r="BT1527">
        <v>0</v>
      </c>
      <c r="BU1527">
        <v>0</v>
      </c>
      <c r="BV1527">
        <v>0</v>
      </c>
    </row>
    <row r="1528" spans="32:74" x14ac:dyDescent="0.25">
      <c r="BO1528">
        <v>0</v>
      </c>
      <c r="BP1528">
        <v>0</v>
      </c>
      <c r="BQ1528">
        <v>0</v>
      </c>
      <c r="BR1528">
        <v>0</v>
      </c>
      <c r="BS1528">
        <v>0</v>
      </c>
      <c r="BT1528">
        <v>0</v>
      </c>
      <c r="BU1528">
        <v>0</v>
      </c>
      <c r="BV1528">
        <v>0</v>
      </c>
    </row>
    <row r="1529" spans="32:74" x14ac:dyDescent="0.25">
      <c r="AF1529" s="1"/>
      <c r="BE1529" s="1"/>
      <c r="BM1529" s="2"/>
      <c r="BO1529">
        <v>0</v>
      </c>
      <c r="BP1529">
        <v>0</v>
      </c>
      <c r="BQ1529">
        <v>0</v>
      </c>
      <c r="BR1529">
        <v>0</v>
      </c>
      <c r="BS1529">
        <v>0</v>
      </c>
      <c r="BT1529">
        <v>0</v>
      </c>
      <c r="BU1529">
        <v>0</v>
      </c>
      <c r="BV1529">
        <v>0</v>
      </c>
    </row>
    <row r="1530" spans="32:74" x14ac:dyDescent="0.25">
      <c r="BO1530">
        <v>0</v>
      </c>
      <c r="BP1530">
        <v>0</v>
      </c>
      <c r="BQ1530">
        <v>0</v>
      </c>
      <c r="BR1530">
        <v>0</v>
      </c>
      <c r="BS1530">
        <v>0</v>
      </c>
      <c r="BT1530">
        <v>0</v>
      </c>
      <c r="BU1530">
        <v>0</v>
      </c>
      <c r="BV1530">
        <v>0</v>
      </c>
    </row>
    <row r="1531" spans="32:74" x14ac:dyDescent="0.25">
      <c r="BO1531">
        <v>0</v>
      </c>
      <c r="BP1531">
        <v>0</v>
      </c>
      <c r="BQ1531">
        <v>0</v>
      </c>
      <c r="BR1531">
        <v>0</v>
      </c>
      <c r="BS1531">
        <v>0</v>
      </c>
      <c r="BT1531">
        <v>0</v>
      </c>
      <c r="BU1531">
        <v>0</v>
      </c>
      <c r="BV1531">
        <v>0</v>
      </c>
    </row>
    <row r="1532" spans="32:74" x14ac:dyDescent="0.25">
      <c r="BO1532">
        <v>0</v>
      </c>
      <c r="BP1532">
        <v>0</v>
      </c>
      <c r="BQ1532">
        <v>0</v>
      </c>
      <c r="BR1532">
        <v>0</v>
      </c>
      <c r="BS1532">
        <v>0</v>
      </c>
      <c r="BT1532">
        <v>0</v>
      </c>
      <c r="BU1532">
        <v>0</v>
      </c>
      <c r="BV1532">
        <v>0</v>
      </c>
    </row>
    <row r="1533" spans="32:74" x14ac:dyDescent="0.25">
      <c r="BO1533">
        <v>0</v>
      </c>
      <c r="BP1533">
        <v>0</v>
      </c>
      <c r="BQ1533">
        <v>0</v>
      </c>
      <c r="BR1533">
        <v>0</v>
      </c>
      <c r="BS1533">
        <v>0</v>
      </c>
      <c r="BT1533">
        <v>0</v>
      </c>
      <c r="BU1533">
        <v>0</v>
      </c>
      <c r="BV1533">
        <v>0</v>
      </c>
    </row>
    <row r="1534" spans="32:74" x14ac:dyDescent="0.25">
      <c r="BO1534">
        <v>0</v>
      </c>
      <c r="BP1534">
        <v>0</v>
      </c>
      <c r="BQ1534">
        <v>0</v>
      </c>
      <c r="BR1534">
        <v>0</v>
      </c>
      <c r="BS1534">
        <v>0</v>
      </c>
      <c r="BT1534">
        <v>0</v>
      </c>
      <c r="BU1534">
        <v>0</v>
      </c>
      <c r="BV1534">
        <v>0</v>
      </c>
    </row>
    <row r="1535" spans="32:74" x14ac:dyDescent="0.25">
      <c r="BO1535">
        <v>0</v>
      </c>
      <c r="BP1535">
        <v>0</v>
      </c>
      <c r="BQ1535">
        <v>0</v>
      </c>
      <c r="BR1535">
        <v>0</v>
      </c>
      <c r="BS1535">
        <v>0</v>
      </c>
      <c r="BT1535">
        <v>0</v>
      </c>
      <c r="BU1535">
        <v>0</v>
      </c>
      <c r="BV1535">
        <v>0</v>
      </c>
    </row>
    <row r="1536" spans="32:74" x14ac:dyDescent="0.25">
      <c r="BO1536">
        <v>0</v>
      </c>
      <c r="BP1536">
        <v>0</v>
      </c>
      <c r="BQ1536">
        <v>0</v>
      </c>
      <c r="BR1536">
        <v>0</v>
      </c>
      <c r="BS1536">
        <v>0</v>
      </c>
      <c r="BT1536">
        <v>0</v>
      </c>
      <c r="BU1536">
        <v>0</v>
      </c>
      <c r="BV1536">
        <v>0</v>
      </c>
    </row>
    <row r="1537" spans="67:74" x14ac:dyDescent="0.25">
      <c r="BO1537">
        <v>0</v>
      </c>
      <c r="BP1537">
        <v>0</v>
      </c>
      <c r="BQ1537">
        <v>0</v>
      </c>
      <c r="BR1537">
        <v>0</v>
      </c>
      <c r="BS1537">
        <v>0</v>
      </c>
      <c r="BT1537">
        <v>0</v>
      </c>
      <c r="BU1537">
        <v>0</v>
      </c>
      <c r="BV1537">
        <v>0</v>
      </c>
    </row>
    <row r="1538" spans="67:74" x14ac:dyDescent="0.25">
      <c r="BO1538">
        <v>0</v>
      </c>
      <c r="BP1538">
        <v>0</v>
      </c>
      <c r="BQ1538">
        <v>0</v>
      </c>
      <c r="BR1538">
        <v>0</v>
      </c>
      <c r="BS1538">
        <v>0</v>
      </c>
      <c r="BT1538">
        <v>0</v>
      </c>
      <c r="BU1538">
        <v>0</v>
      </c>
      <c r="BV1538">
        <v>0</v>
      </c>
    </row>
    <row r="1539" spans="67:74" x14ac:dyDescent="0.25">
      <c r="BO1539">
        <v>0</v>
      </c>
      <c r="BP1539">
        <v>0</v>
      </c>
      <c r="BQ1539">
        <v>0</v>
      </c>
      <c r="BR1539">
        <v>0</v>
      </c>
      <c r="BS1539">
        <v>0</v>
      </c>
      <c r="BT1539">
        <v>0</v>
      </c>
      <c r="BU1539">
        <v>0</v>
      </c>
      <c r="BV1539">
        <v>0</v>
      </c>
    </row>
    <row r="1540" spans="67:74" x14ac:dyDescent="0.25">
      <c r="BO1540">
        <v>0</v>
      </c>
      <c r="BP1540">
        <v>0</v>
      </c>
      <c r="BQ1540">
        <v>0</v>
      </c>
      <c r="BR1540">
        <v>0</v>
      </c>
      <c r="BS1540">
        <v>0</v>
      </c>
      <c r="BT1540">
        <v>0</v>
      </c>
      <c r="BU1540">
        <v>0</v>
      </c>
      <c r="BV1540">
        <v>0</v>
      </c>
    </row>
    <row r="1541" spans="67:74" x14ac:dyDescent="0.25">
      <c r="BO1541">
        <v>0</v>
      </c>
      <c r="BP1541">
        <v>0</v>
      </c>
      <c r="BQ1541">
        <v>0</v>
      </c>
      <c r="BR1541">
        <v>0</v>
      </c>
      <c r="BS1541">
        <v>0</v>
      </c>
      <c r="BT1541">
        <v>0</v>
      </c>
      <c r="BU1541">
        <v>0</v>
      </c>
      <c r="BV1541">
        <v>0</v>
      </c>
    </row>
    <row r="1542" spans="67:74" x14ac:dyDescent="0.25">
      <c r="BO1542">
        <v>0</v>
      </c>
      <c r="BP1542">
        <v>0</v>
      </c>
      <c r="BQ1542">
        <v>0</v>
      </c>
      <c r="BR1542">
        <v>0</v>
      </c>
      <c r="BS1542">
        <v>0</v>
      </c>
      <c r="BT1542">
        <v>0</v>
      </c>
      <c r="BU1542">
        <v>0</v>
      </c>
      <c r="BV1542">
        <v>0</v>
      </c>
    </row>
    <row r="1543" spans="67:74" x14ac:dyDescent="0.25">
      <c r="BO1543">
        <v>0</v>
      </c>
      <c r="BP1543">
        <v>0</v>
      </c>
      <c r="BQ1543">
        <v>0</v>
      </c>
      <c r="BR1543">
        <v>0</v>
      </c>
      <c r="BS1543">
        <v>0</v>
      </c>
      <c r="BT1543">
        <v>0</v>
      </c>
      <c r="BU1543">
        <v>0</v>
      </c>
      <c r="BV1543">
        <v>0</v>
      </c>
    </row>
    <row r="1544" spans="67:74" x14ac:dyDescent="0.25">
      <c r="BO1544">
        <v>0</v>
      </c>
      <c r="BP1544">
        <v>0</v>
      </c>
      <c r="BQ1544">
        <v>0</v>
      </c>
      <c r="BR1544">
        <v>0</v>
      </c>
      <c r="BS1544">
        <v>0</v>
      </c>
      <c r="BT1544">
        <v>0</v>
      </c>
      <c r="BU1544">
        <v>0</v>
      </c>
      <c r="BV1544">
        <v>0</v>
      </c>
    </row>
    <row r="1545" spans="67:74" x14ac:dyDescent="0.25">
      <c r="BO1545">
        <v>0</v>
      </c>
      <c r="BP1545">
        <v>0</v>
      </c>
      <c r="BQ1545">
        <v>0</v>
      </c>
      <c r="BR1545">
        <v>0</v>
      </c>
      <c r="BS1545">
        <v>0</v>
      </c>
      <c r="BT1545">
        <v>0</v>
      </c>
      <c r="BU1545">
        <v>0</v>
      </c>
      <c r="BV1545">
        <v>0</v>
      </c>
    </row>
    <row r="1546" spans="67:74" x14ac:dyDescent="0.25">
      <c r="BO1546">
        <v>0</v>
      </c>
      <c r="BP1546">
        <v>0</v>
      </c>
      <c r="BQ1546">
        <v>0</v>
      </c>
      <c r="BR1546">
        <v>0</v>
      </c>
      <c r="BS1546">
        <v>0</v>
      </c>
      <c r="BT1546">
        <v>0</v>
      </c>
      <c r="BU1546">
        <v>0</v>
      </c>
      <c r="BV1546">
        <v>0</v>
      </c>
    </row>
    <row r="1547" spans="67:74" x14ac:dyDescent="0.25">
      <c r="BO1547">
        <v>0</v>
      </c>
      <c r="BP1547">
        <v>0</v>
      </c>
      <c r="BQ1547">
        <v>0</v>
      </c>
      <c r="BR1547">
        <v>0</v>
      </c>
      <c r="BS1547">
        <v>0</v>
      </c>
      <c r="BT1547">
        <v>0</v>
      </c>
      <c r="BU1547">
        <v>0</v>
      </c>
      <c r="BV1547">
        <v>0</v>
      </c>
    </row>
    <row r="1548" spans="67:74" x14ac:dyDescent="0.25">
      <c r="BO1548">
        <v>0</v>
      </c>
      <c r="BP1548">
        <v>0</v>
      </c>
      <c r="BQ1548">
        <v>0</v>
      </c>
      <c r="BR1548">
        <v>0</v>
      </c>
      <c r="BS1548">
        <v>0</v>
      </c>
      <c r="BT1548">
        <v>0</v>
      </c>
      <c r="BU1548">
        <v>0</v>
      </c>
      <c r="BV1548">
        <v>0</v>
      </c>
    </row>
    <row r="1549" spans="67:74" x14ac:dyDescent="0.25">
      <c r="BO1549">
        <v>0</v>
      </c>
      <c r="BP1549">
        <v>0</v>
      </c>
      <c r="BQ1549">
        <v>0</v>
      </c>
      <c r="BR1549">
        <v>0</v>
      </c>
      <c r="BS1549">
        <v>0</v>
      </c>
      <c r="BT1549">
        <v>0</v>
      </c>
      <c r="BU1549">
        <v>0</v>
      </c>
      <c r="BV1549">
        <v>0</v>
      </c>
    </row>
    <row r="1550" spans="67:74" x14ac:dyDescent="0.25">
      <c r="BO1550">
        <v>0</v>
      </c>
      <c r="BP1550">
        <v>0</v>
      </c>
      <c r="BQ1550">
        <v>0</v>
      </c>
      <c r="BR1550">
        <v>0</v>
      </c>
      <c r="BS1550">
        <v>0</v>
      </c>
      <c r="BT1550">
        <v>0</v>
      </c>
      <c r="BU1550">
        <v>0</v>
      </c>
      <c r="BV1550">
        <v>0</v>
      </c>
    </row>
    <row r="1551" spans="67:74" x14ac:dyDescent="0.25">
      <c r="BO1551">
        <v>0</v>
      </c>
      <c r="BP1551">
        <v>0</v>
      </c>
      <c r="BQ1551">
        <v>0</v>
      </c>
      <c r="BR1551">
        <v>0</v>
      </c>
      <c r="BS1551">
        <v>0</v>
      </c>
      <c r="BT1551">
        <v>0</v>
      </c>
      <c r="BU1551">
        <v>0</v>
      </c>
      <c r="BV1551">
        <v>0</v>
      </c>
    </row>
    <row r="1552" spans="67:74" x14ac:dyDescent="0.25">
      <c r="BO1552">
        <v>0</v>
      </c>
      <c r="BP1552">
        <v>0</v>
      </c>
      <c r="BQ1552">
        <v>0</v>
      </c>
      <c r="BR1552">
        <v>0</v>
      </c>
      <c r="BS1552">
        <v>0</v>
      </c>
      <c r="BT1552">
        <v>0</v>
      </c>
      <c r="BU1552">
        <v>0</v>
      </c>
      <c r="BV1552">
        <v>0</v>
      </c>
    </row>
    <row r="1553" spans="67:74" x14ac:dyDescent="0.25">
      <c r="BO1553">
        <v>0</v>
      </c>
      <c r="BP1553">
        <v>0</v>
      </c>
      <c r="BQ1553">
        <v>0</v>
      </c>
      <c r="BR1553">
        <v>0</v>
      </c>
      <c r="BS1553">
        <v>0</v>
      </c>
      <c r="BT1553">
        <v>0</v>
      </c>
      <c r="BU1553">
        <v>0</v>
      </c>
      <c r="BV1553">
        <v>0</v>
      </c>
    </row>
    <row r="1554" spans="67:74" x14ac:dyDescent="0.25">
      <c r="BO1554">
        <v>0</v>
      </c>
      <c r="BP1554">
        <v>0</v>
      </c>
      <c r="BQ1554">
        <v>0</v>
      </c>
      <c r="BR1554">
        <v>0</v>
      </c>
      <c r="BS1554">
        <v>0</v>
      </c>
      <c r="BT1554">
        <v>0</v>
      </c>
      <c r="BU1554">
        <v>0</v>
      </c>
      <c r="BV1554">
        <v>0</v>
      </c>
    </row>
    <row r="1555" spans="67:74" x14ac:dyDescent="0.25">
      <c r="BO1555">
        <v>0</v>
      </c>
      <c r="BP1555">
        <v>0</v>
      </c>
      <c r="BQ1555">
        <v>0</v>
      </c>
      <c r="BR1555">
        <v>0</v>
      </c>
      <c r="BS1555">
        <v>0</v>
      </c>
      <c r="BT1555">
        <v>0</v>
      </c>
      <c r="BU1555">
        <v>0</v>
      </c>
      <c r="BV1555">
        <v>0</v>
      </c>
    </row>
    <row r="1556" spans="67:74" x14ac:dyDescent="0.25">
      <c r="BO1556">
        <v>0</v>
      </c>
      <c r="BP1556">
        <v>0</v>
      </c>
      <c r="BQ1556">
        <v>0</v>
      </c>
      <c r="BR1556">
        <v>0</v>
      </c>
      <c r="BS1556">
        <v>0</v>
      </c>
      <c r="BT1556">
        <v>0</v>
      </c>
      <c r="BU1556">
        <v>0</v>
      </c>
      <c r="BV1556">
        <v>0</v>
      </c>
    </row>
    <row r="1557" spans="67:74" x14ac:dyDescent="0.25">
      <c r="BO1557">
        <v>0</v>
      </c>
      <c r="BP1557">
        <v>0</v>
      </c>
      <c r="BQ1557">
        <v>0</v>
      </c>
      <c r="BR1557">
        <v>0</v>
      </c>
      <c r="BS1557">
        <v>0</v>
      </c>
      <c r="BT1557">
        <v>0</v>
      </c>
      <c r="BU1557">
        <v>0</v>
      </c>
      <c r="BV1557">
        <v>0</v>
      </c>
    </row>
    <row r="1558" spans="67:74" x14ac:dyDescent="0.25">
      <c r="BO1558">
        <v>0</v>
      </c>
      <c r="BP1558">
        <v>0</v>
      </c>
      <c r="BQ1558">
        <v>0</v>
      </c>
      <c r="BR1558">
        <v>0</v>
      </c>
      <c r="BS1558">
        <v>0</v>
      </c>
      <c r="BT1558">
        <v>0</v>
      </c>
      <c r="BU1558">
        <v>0</v>
      </c>
      <c r="BV1558">
        <v>0</v>
      </c>
    </row>
    <row r="1559" spans="67:74" x14ac:dyDescent="0.25">
      <c r="BO1559">
        <v>0</v>
      </c>
      <c r="BP1559">
        <v>0</v>
      </c>
      <c r="BQ1559">
        <v>0</v>
      </c>
      <c r="BR1559">
        <v>0</v>
      </c>
      <c r="BS1559">
        <v>0</v>
      </c>
      <c r="BT1559">
        <v>0</v>
      </c>
      <c r="BU1559">
        <v>0</v>
      </c>
      <c r="BV1559">
        <v>0</v>
      </c>
    </row>
    <row r="1560" spans="67:74" x14ac:dyDescent="0.25">
      <c r="BO1560">
        <v>0</v>
      </c>
      <c r="BP1560">
        <v>0</v>
      </c>
      <c r="BQ1560">
        <v>0</v>
      </c>
      <c r="BR1560">
        <v>0</v>
      </c>
      <c r="BS1560">
        <v>0</v>
      </c>
      <c r="BT1560">
        <v>0</v>
      </c>
      <c r="BU1560">
        <v>0</v>
      </c>
      <c r="BV1560">
        <v>0</v>
      </c>
    </row>
    <row r="1561" spans="67:74" x14ac:dyDescent="0.25">
      <c r="BO1561">
        <v>0</v>
      </c>
      <c r="BP1561">
        <v>0</v>
      </c>
      <c r="BQ1561">
        <v>0</v>
      </c>
      <c r="BR1561">
        <v>0</v>
      </c>
      <c r="BS1561">
        <v>0</v>
      </c>
      <c r="BT1561">
        <v>0</v>
      </c>
      <c r="BU1561">
        <v>0</v>
      </c>
      <c r="BV1561">
        <v>0</v>
      </c>
    </row>
    <row r="1562" spans="67:74" x14ac:dyDescent="0.25">
      <c r="BO1562">
        <v>0</v>
      </c>
      <c r="BP1562">
        <v>0</v>
      </c>
      <c r="BQ1562">
        <v>0</v>
      </c>
      <c r="BR1562">
        <v>0</v>
      </c>
      <c r="BS1562">
        <v>0</v>
      </c>
      <c r="BT1562">
        <v>0</v>
      </c>
      <c r="BU1562">
        <v>0</v>
      </c>
      <c r="BV1562">
        <v>0</v>
      </c>
    </row>
    <row r="1563" spans="67:74" x14ac:dyDescent="0.25">
      <c r="BO1563">
        <v>0</v>
      </c>
      <c r="BP1563">
        <v>0</v>
      </c>
      <c r="BQ1563">
        <v>0</v>
      </c>
      <c r="BR1563">
        <v>0</v>
      </c>
      <c r="BS1563">
        <v>0</v>
      </c>
      <c r="BT1563">
        <v>0</v>
      </c>
      <c r="BU1563">
        <v>0</v>
      </c>
      <c r="BV1563">
        <v>0</v>
      </c>
    </row>
    <row r="1564" spans="67:74" x14ac:dyDescent="0.25">
      <c r="BO1564">
        <v>0</v>
      </c>
      <c r="BP1564">
        <v>0</v>
      </c>
      <c r="BQ1564">
        <v>0</v>
      </c>
      <c r="BR1564">
        <v>0</v>
      </c>
      <c r="BS1564">
        <v>0</v>
      </c>
      <c r="BT1564">
        <v>0</v>
      </c>
      <c r="BU1564">
        <v>0</v>
      </c>
      <c r="BV1564">
        <v>0</v>
      </c>
    </row>
    <row r="1565" spans="67:74" x14ac:dyDescent="0.25">
      <c r="BO1565">
        <v>0</v>
      </c>
      <c r="BP1565">
        <v>0</v>
      </c>
      <c r="BQ1565">
        <v>0</v>
      </c>
      <c r="BR1565">
        <v>0</v>
      </c>
      <c r="BS1565">
        <v>0</v>
      </c>
      <c r="BT1565">
        <v>0</v>
      </c>
      <c r="BU1565">
        <v>0</v>
      </c>
      <c r="BV1565">
        <v>0</v>
      </c>
    </row>
    <row r="1566" spans="67:74" x14ac:dyDescent="0.25">
      <c r="BO1566">
        <v>0</v>
      </c>
      <c r="BP1566">
        <v>0</v>
      </c>
      <c r="BQ1566">
        <v>0</v>
      </c>
      <c r="BR1566">
        <v>0</v>
      </c>
      <c r="BS1566">
        <v>0</v>
      </c>
      <c r="BT1566">
        <v>0</v>
      </c>
      <c r="BU1566">
        <v>0</v>
      </c>
      <c r="BV1566">
        <v>0</v>
      </c>
    </row>
    <row r="1567" spans="67:74" x14ac:dyDescent="0.25">
      <c r="BO1567">
        <v>0</v>
      </c>
      <c r="BP1567">
        <v>0</v>
      </c>
      <c r="BQ1567">
        <v>0</v>
      </c>
      <c r="BR1567">
        <v>0</v>
      </c>
      <c r="BS1567">
        <v>0</v>
      </c>
      <c r="BT1567">
        <v>0</v>
      </c>
      <c r="BU1567">
        <v>0</v>
      </c>
      <c r="BV1567">
        <v>0</v>
      </c>
    </row>
    <row r="1568" spans="67:74" x14ac:dyDescent="0.25">
      <c r="BO1568">
        <v>0</v>
      </c>
      <c r="BP1568">
        <v>0</v>
      </c>
      <c r="BQ1568">
        <v>0</v>
      </c>
      <c r="BR1568">
        <v>0</v>
      </c>
      <c r="BS1568">
        <v>0</v>
      </c>
      <c r="BT1568">
        <v>0</v>
      </c>
      <c r="BU1568">
        <v>0</v>
      </c>
      <c r="BV1568">
        <v>0</v>
      </c>
    </row>
    <row r="1569" spans="67:74" x14ac:dyDescent="0.25">
      <c r="BO1569">
        <v>0</v>
      </c>
      <c r="BP1569">
        <v>0</v>
      </c>
      <c r="BQ1569">
        <v>0</v>
      </c>
      <c r="BR1569">
        <v>0</v>
      </c>
      <c r="BS1569">
        <v>0</v>
      </c>
      <c r="BT1569">
        <v>0</v>
      </c>
      <c r="BU1569">
        <v>0</v>
      </c>
      <c r="BV1569">
        <v>0</v>
      </c>
    </row>
    <row r="1570" spans="67:74" x14ac:dyDescent="0.25">
      <c r="BO1570">
        <v>0</v>
      </c>
      <c r="BP1570">
        <v>0</v>
      </c>
      <c r="BQ1570">
        <v>0</v>
      </c>
      <c r="BR1570">
        <v>0</v>
      </c>
      <c r="BS1570">
        <v>0</v>
      </c>
      <c r="BT1570">
        <v>0</v>
      </c>
      <c r="BU1570">
        <v>0</v>
      </c>
      <c r="BV1570">
        <v>0</v>
      </c>
    </row>
    <row r="1571" spans="67:74" x14ac:dyDescent="0.25">
      <c r="BO1571">
        <v>0</v>
      </c>
      <c r="BP1571">
        <v>0</v>
      </c>
      <c r="BQ1571">
        <v>0</v>
      </c>
      <c r="BR1571">
        <v>0</v>
      </c>
      <c r="BS1571">
        <v>0</v>
      </c>
      <c r="BT1571">
        <v>0</v>
      </c>
      <c r="BU1571">
        <v>0</v>
      </c>
      <c r="BV1571">
        <v>0</v>
      </c>
    </row>
    <row r="1572" spans="67:74" x14ac:dyDescent="0.25">
      <c r="BO1572">
        <v>0</v>
      </c>
      <c r="BP1572">
        <v>0</v>
      </c>
      <c r="BQ1572">
        <v>0</v>
      </c>
      <c r="BR1572">
        <v>0</v>
      </c>
      <c r="BS1572">
        <v>0</v>
      </c>
      <c r="BT1572">
        <v>0</v>
      </c>
      <c r="BU1572">
        <v>0</v>
      </c>
      <c r="BV1572">
        <v>0</v>
      </c>
    </row>
    <row r="1573" spans="67:74" x14ac:dyDescent="0.25">
      <c r="BO1573">
        <v>0</v>
      </c>
      <c r="BP1573">
        <v>0</v>
      </c>
      <c r="BQ1573">
        <v>0</v>
      </c>
      <c r="BR1573">
        <v>0</v>
      </c>
      <c r="BS1573">
        <v>0</v>
      </c>
      <c r="BT1573">
        <v>0</v>
      </c>
      <c r="BU1573">
        <v>0</v>
      </c>
      <c r="BV1573">
        <v>0</v>
      </c>
    </row>
    <row r="1574" spans="67:74" x14ac:dyDescent="0.25">
      <c r="BO1574">
        <v>0</v>
      </c>
      <c r="BP1574">
        <v>0</v>
      </c>
      <c r="BQ1574">
        <v>0</v>
      </c>
      <c r="BR1574">
        <v>0</v>
      </c>
      <c r="BS1574">
        <v>0</v>
      </c>
      <c r="BT1574">
        <v>0</v>
      </c>
      <c r="BU1574">
        <v>0</v>
      </c>
      <c r="BV1574">
        <v>0</v>
      </c>
    </row>
    <row r="1575" spans="67:74" x14ac:dyDescent="0.25">
      <c r="BO1575">
        <v>0</v>
      </c>
      <c r="BP1575">
        <v>0</v>
      </c>
      <c r="BQ1575">
        <v>0</v>
      </c>
      <c r="BR1575">
        <v>0</v>
      </c>
      <c r="BS1575">
        <v>0</v>
      </c>
      <c r="BT1575">
        <v>0</v>
      </c>
      <c r="BU1575">
        <v>0</v>
      </c>
      <c r="BV1575">
        <v>0</v>
      </c>
    </row>
    <row r="1576" spans="67:74" x14ac:dyDescent="0.25">
      <c r="BO1576">
        <v>0</v>
      </c>
      <c r="BP1576">
        <v>0</v>
      </c>
      <c r="BQ1576">
        <v>0</v>
      </c>
      <c r="BR1576">
        <v>0</v>
      </c>
      <c r="BS1576">
        <v>0</v>
      </c>
      <c r="BT1576">
        <v>0</v>
      </c>
      <c r="BU1576">
        <v>0</v>
      </c>
      <c r="BV1576">
        <v>0</v>
      </c>
    </row>
    <row r="1577" spans="67:74" x14ac:dyDescent="0.25">
      <c r="BO1577">
        <v>0</v>
      </c>
      <c r="BP1577">
        <v>0</v>
      </c>
      <c r="BQ1577">
        <v>0</v>
      </c>
      <c r="BR1577">
        <v>0</v>
      </c>
      <c r="BS1577">
        <v>0</v>
      </c>
      <c r="BT1577">
        <v>0</v>
      </c>
      <c r="BU1577">
        <v>0</v>
      </c>
      <c r="BV1577">
        <v>0</v>
      </c>
    </row>
    <row r="1578" spans="67:74" x14ac:dyDescent="0.25">
      <c r="BO1578">
        <v>0</v>
      </c>
      <c r="BP1578">
        <v>0</v>
      </c>
      <c r="BQ1578">
        <v>0</v>
      </c>
      <c r="BR1578">
        <v>0</v>
      </c>
      <c r="BS1578">
        <v>0</v>
      </c>
      <c r="BT1578">
        <v>0</v>
      </c>
      <c r="BU1578">
        <v>0</v>
      </c>
      <c r="BV1578">
        <v>0</v>
      </c>
    </row>
    <row r="1579" spans="67:74" x14ac:dyDescent="0.25">
      <c r="BO1579">
        <v>0</v>
      </c>
      <c r="BP1579">
        <v>0</v>
      </c>
      <c r="BQ1579">
        <v>0</v>
      </c>
      <c r="BR1579">
        <v>0</v>
      </c>
      <c r="BS1579">
        <v>0</v>
      </c>
      <c r="BT1579">
        <v>0</v>
      </c>
      <c r="BU1579">
        <v>0</v>
      </c>
      <c r="BV1579">
        <v>0</v>
      </c>
    </row>
    <row r="1580" spans="67:74" x14ac:dyDescent="0.25">
      <c r="BO1580">
        <v>0</v>
      </c>
      <c r="BP1580">
        <v>0</v>
      </c>
      <c r="BQ1580">
        <v>0</v>
      </c>
      <c r="BR1580">
        <v>0</v>
      </c>
      <c r="BS1580">
        <v>0</v>
      </c>
      <c r="BT1580">
        <v>0</v>
      </c>
      <c r="BU1580">
        <v>0</v>
      </c>
      <c r="BV1580">
        <v>0</v>
      </c>
    </row>
    <row r="1581" spans="67:74" x14ac:dyDescent="0.25">
      <c r="BO1581">
        <v>0</v>
      </c>
      <c r="BP1581">
        <v>0</v>
      </c>
      <c r="BQ1581">
        <v>0</v>
      </c>
      <c r="BR1581">
        <v>0</v>
      </c>
      <c r="BS1581">
        <v>0</v>
      </c>
      <c r="BT1581">
        <v>0</v>
      </c>
      <c r="BU1581">
        <v>0</v>
      </c>
      <c r="BV1581">
        <v>0</v>
      </c>
    </row>
    <row r="1582" spans="67:74" x14ac:dyDescent="0.25">
      <c r="BO1582">
        <v>0</v>
      </c>
      <c r="BP1582">
        <v>0</v>
      </c>
      <c r="BQ1582">
        <v>0</v>
      </c>
      <c r="BR1582">
        <v>0</v>
      </c>
      <c r="BS1582">
        <v>0</v>
      </c>
      <c r="BT1582">
        <v>0</v>
      </c>
      <c r="BU1582">
        <v>0</v>
      </c>
      <c r="BV1582">
        <v>0</v>
      </c>
    </row>
    <row r="1583" spans="67:74" x14ac:dyDescent="0.25">
      <c r="BO1583">
        <v>0</v>
      </c>
      <c r="BP1583">
        <v>0</v>
      </c>
      <c r="BQ1583">
        <v>0</v>
      </c>
      <c r="BR1583">
        <v>0</v>
      </c>
      <c r="BS1583">
        <v>0</v>
      </c>
      <c r="BT1583">
        <v>0</v>
      </c>
      <c r="BU1583">
        <v>0</v>
      </c>
      <c r="BV1583">
        <v>0</v>
      </c>
    </row>
    <row r="1584" spans="67:74" x14ac:dyDescent="0.25">
      <c r="BO1584">
        <v>0</v>
      </c>
      <c r="BP1584">
        <v>0</v>
      </c>
      <c r="BQ1584">
        <v>0</v>
      </c>
      <c r="BR1584">
        <v>0</v>
      </c>
      <c r="BS1584">
        <v>0</v>
      </c>
      <c r="BT1584">
        <v>0</v>
      </c>
      <c r="BU1584">
        <v>0</v>
      </c>
      <c r="BV1584">
        <v>0</v>
      </c>
    </row>
    <row r="1585" spans="67:74" x14ac:dyDescent="0.25">
      <c r="BO1585">
        <v>0</v>
      </c>
      <c r="BP1585">
        <v>0</v>
      </c>
      <c r="BQ1585">
        <v>0</v>
      </c>
      <c r="BR1585">
        <v>0</v>
      </c>
      <c r="BS1585">
        <v>0</v>
      </c>
      <c r="BT1585">
        <v>0</v>
      </c>
      <c r="BU1585">
        <v>0</v>
      </c>
      <c r="BV1585">
        <v>0</v>
      </c>
    </row>
    <row r="1586" spans="67:74" x14ac:dyDescent="0.25">
      <c r="BO1586">
        <v>0</v>
      </c>
      <c r="BP1586">
        <v>0</v>
      </c>
      <c r="BQ1586">
        <v>0</v>
      </c>
      <c r="BR1586">
        <v>0</v>
      </c>
      <c r="BS1586">
        <v>0</v>
      </c>
      <c r="BT1586">
        <v>0</v>
      </c>
      <c r="BU1586">
        <v>0</v>
      </c>
      <c r="BV1586">
        <v>0</v>
      </c>
    </row>
    <row r="1587" spans="67:74" x14ac:dyDescent="0.25">
      <c r="BO1587">
        <v>0</v>
      </c>
      <c r="BP1587">
        <v>0</v>
      </c>
      <c r="BQ1587">
        <v>0</v>
      </c>
      <c r="BR1587">
        <v>0</v>
      </c>
      <c r="BS1587">
        <v>0</v>
      </c>
      <c r="BT1587">
        <v>0</v>
      </c>
      <c r="BU1587">
        <v>0</v>
      </c>
      <c r="BV1587">
        <v>0</v>
      </c>
    </row>
    <row r="1588" spans="67:74" x14ac:dyDescent="0.25">
      <c r="BO1588">
        <v>0</v>
      </c>
      <c r="BP1588">
        <v>0</v>
      </c>
      <c r="BQ1588">
        <v>0</v>
      </c>
      <c r="BR1588">
        <v>0</v>
      </c>
      <c r="BS1588">
        <v>0</v>
      </c>
      <c r="BT1588">
        <v>0</v>
      </c>
      <c r="BU1588">
        <v>0</v>
      </c>
      <c r="BV1588">
        <v>0</v>
      </c>
    </row>
    <row r="1589" spans="67:74" x14ac:dyDescent="0.25">
      <c r="BO1589">
        <v>0</v>
      </c>
      <c r="BP1589">
        <v>0</v>
      </c>
      <c r="BQ1589">
        <v>0</v>
      </c>
      <c r="BR1589">
        <v>0</v>
      </c>
      <c r="BS1589">
        <v>0</v>
      </c>
      <c r="BT1589">
        <v>0</v>
      </c>
      <c r="BU1589">
        <v>0</v>
      </c>
      <c r="BV1589">
        <v>0</v>
      </c>
    </row>
    <row r="1590" spans="67:74" x14ac:dyDescent="0.25">
      <c r="BO1590">
        <v>0</v>
      </c>
      <c r="BP1590">
        <v>0</v>
      </c>
      <c r="BQ1590">
        <v>0</v>
      </c>
      <c r="BR1590">
        <v>0</v>
      </c>
      <c r="BS1590">
        <v>0</v>
      </c>
      <c r="BT1590">
        <v>0</v>
      </c>
      <c r="BU1590">
        <v>0</v>
      </c>
      <c r="BV1590">
        <v>0</v>
      </c>
    </row>
    <row r="1591" spans="67:74" x14ac:dyDescent="0.25">
      <c r="BO1591">
        <v>0</v>
      </c>
      <c r="BP1591">
        <v>0</v>
      </c>
      <c r="BQ1591">
        <v>0</v>
      </c>
      <c r="BR1591">
        <v>0</v>
      </c>
      <c r="BS1591">
        <v>0</v>
      </c>
      <c r="BT1591">
        <v>0</v>
      </c>
      <c r="BU1591">
        <v>0</v>
      </c>
      <c r="BV1591">
        <v>0</v>
      </c>
    </row>
    <row r="1592" spans="67:74" x14ac:dyDescent="0.25">
      <c r="BO1592">
        <v>0</v>
      </c>
      <c r="BP1592">
        <v>0</v>
      </c>
      <c r="BQ1592">
        <v>0</v>
      </c>
      <c r="BR1592">
        <v>0</v>
      </c>
      <c r="BS1592">
        <v>0</v>
      </c>
      <c r="BT1592">
        <v>0</v>
      </c>
      <c r="BU1592">
        <v>0</v>
      </c>
      <c r="BV1592">
        <v>0</v>
      </c>
    </row>
    <row r="1593" spans="67:74" x14ac:dyDescent="0.25">
      <c r="BO1593">
        <v>0</v>
      </c>
      <c r="BP1593">
        <v>0</v>
      </c>
      <c r="BQ1593">
        <v>0</v>
      </c>
      <c r="BR1593">
        <v>0</v>
      </c>
      <c r="BS1593">
        <v>0</v>
      </c>
      <c r="BT1593">
        <v>0</v>
      </c>
      <c r="BU1593">
        <v>0</v>
      </c>
      <c r="BV1593">
        <v>0</v>
      </c>
    </row>
    <row r="1594" spans="67:74" x14ac:dyDescent="0.25">
      <c r="BO1594">
        <v>0</v>
      </c>
      <c r="BP1594">
        <v>0</v>
      </c>
      <c r="BQ1594">
        <v>0</v>
      </c>
      <c r="BR1594">
        <v>0</v>
      </c>
      <c r="BS1594">
        <v>0</v>
      </c>
      <c r="BT1594">
        <v>0</v>
      </c>
      <c r="BU1594">
        <v>0</v>
      </c>
      <c r="BV1594">
        <v>0</v>
      </c>
    </row>
    <row r="1595" spans="67:74" x14ac:dyDescent="0.25">
      <c r="BO1595">
        <v>0</v>
      </c>
      <c r="BP1595">
        <v>0</v>
      </c>
      <c r="BQ1595">
        <v>0</v>
      </c>
      <c r="BR1595">
        <v>0</v>
      </c>
      <c r="BS1595">
        <v>0</v>
      </c>
      <c r="BT1595">
        <v>0</v>
      </c>
      <c r="BU1595">
        <v>0</v>
      </c>
      <c r="BV1595">
        <v>0</v>
      </c>
    </row>
    <row r="1596" spans="67:74" x14ac:dyDescent="0.25">
      <c r="BO1596">
        <v>0</v>
      </c>
      <c r="BP1596">
        <v>0</v>
      </c>
      <c r="BQ1596">
        <v>0</v>
      </c>
      <c r="BR1596">
        <v>0</v>
      </c>
      <c r="BS1596">
        <v>0</v>
      </c>
      <c r="BT1596">
        <v>0</v>
      </c>
      <c r="BU1596">
        <v>0</v>
      </c>
      <c r="BV1596">
        <v>0</v>
      </c>
    </row>
    <row r="1597" spans="67:74" x14ac:dyDescent="0.25">
      <c r="BO1597">
        <v>0</v>
      </c>
      <c r="BP1597">
        <v>0</v>
      </c>
      <c r="BQ1597">
        <v>0</v>
      </c>
      <c r="BR1597">
        <v>0</v>
      </c>
      <c r="BS1597">
        <v>0</v>
      </c>
      <c r="BT1597">
        <v>0</v>
      </c>
      <c r="BU1597">
        <v>0</v>
      </c>
      <c r="BV1597">
        <v>0</v>
      </c>
    </row>
    <row r="1598" spans="67:74" x14ac:dyDescent="0.25">
      <c r="BO1598">
        <v>0</v>
      </c>
      <c r="BP1598">
        <v>0</v>
      </c>
      <c r="BQ1598">
        <v>0</v>
      </c>
      <c r="BR1598">
        <v>0</v>
      </c>
      <c r="BS1598">
        <v>0</v>
      </c>
      <c r="BT1598">
        <v>0</v>
      </c>
      <c r="BU1598">
        <v>0</v>
      </c>
      <c r="BV1598">
        <v>0</v>
      </c>
    </row>
    <row r="1599" spans="67:74" x14ac:dyDescent="0.25">
      <c r="BO1599">
        <v>0</v>
      </c>
      <c r="BP1599">
        <v>0</v>
      </c>
      <c r="BQ1599">
        <v>0</v>
      </c>
      <c r="BR1599">
        <v>0</v>
      </c>
      <c r="BS1599">
        <v>0</v>
      </c>
      <c r="BT1599">
        <v>0</v>
      </c>
      <c r="BU1599">
        <v>0</v>
      </c>
      <c r="BV1599">
        <v>0</v>
      </c>
    </row>
    <row r="1600" spans="67:74" x14ac:dyDescent="0.25">
      <c r="BO1600">
        <v>0</v>
      </c>
      <c r="BP1600">
        <v>0</v>
      </c>
      <c r="BQ1600">
        <v>0</v>
      </c>
      <c r="BR1600">
        <v>0</v>
      </c>
      <c r="BS1600">
        <v>0</v>
      </c>
      <c r="BT1600">
        <v>0</v>
      </c>
      <c r="BU1600">
        <v>0</v>
      </c>
      <c r="BV1600">
        <v>0</v>
      </c>
    </row>
    <row r="1601" spans="67:74" x14ac:dyDescent="0.25">
      <c r="BO1601">
        <v>0</v>
      </c>
      <c r="BP1601">
        <v>0</v>
      </c>
      <c r="BQ1601">
        <v>0</v>
      </c>
      <c r="BR1601">
        <v>0</v>
      </c>
      <c r="BS1601">
        <v>0</v>
      </c>
      <c r="BT1601">
        <v>0</v>
      </c>
      <c r="BU1601">
        <v>0</v>
      </c>
      <c r="BV1601">
        <v>0</v>
      </c>
    </row>
    <row r="1602" spans="67:74" x14ac:dyDescent="0.25">
      <c r="BO1602">
        <v>0</v>
      </c>
      <c r="BP1602">
        <v>0</v>
      </c>
      <c r="BQ1602">
        <v>0</v>
      </c>
      <c r="BR1602">
        <v>0</v>
      </c>
      <c r="BS1602">
        <v>0</v>
      </c>
      <c r="BT1602">
        <v>0</v>
      </c>
      <c r="BU1602">
        <v>0</v>
      </c>
      <c r="BV1602">
        <v>0</v>
      </c>
    </row>
    <row r="1603" spans="67:74" x14ac:dyDescent="0.25">
      <c r="BO1603">
        <v>0</v>
      </c>
      <c r="BP1603">
        <v>0</v>
      </c>
      <c r="BQ1603">
        <v>0</v>
      </c>
      <c r="BR1603">
        <v>0</v>
      </c>
      <c r="BS1603">
        <v>0</v>
      </c>
      <c r="BT1603">
        <v>0</v>
      </c>
      <c r="BU1603">
        <v>0</v>
      </c>
      <c r="BV1603">
        <v>0</v>
      </c>
    </row>
    <row r="1604" spans="67:74" x14ac:dyDescent="0.25">
      <c r="BO1604">
        <v>0</v>
      </c>
      <c r="BP1604">
        <v>0</v>
      </c>
      <c r="BQ1604">
        <v>0</v>
      </c>
      <c r="BR1604">
        <v>0</v>
      </c>
      <c r="BS1604">
        <v>0</v>
      </c>
      <c r="BT1604">
        <v>0</v>
      </c>
      <c r="BU1604">
        <v>0</v>
      </c>
      <c r="BV1604">
        <v>0</v>
      </c>
    </row>
    <row r="1605" spans="67:74" x14ac:dyDescent="0.25">
      <c r="BO1605">
        <v>0</v>
      </c>
      <c r="BP1605">
        <v>0</v>
      </c>
      <c r="BQ1605">
        <v>0</v>
      </c>
      <c r="BR1605">
        <v>0</v>
      </c>
      <c r="BS1605">
        <v>0</v>
      </c>
      <c r="BT1605">
        <v>0</v>
      </c>
      <c r="BU1605">
        <v>0</v>
      </c>
      <c r="BV1605">
        <v>0</v>
      </c>
    </row>
    <row r="1606" spans="67:74" x14ac:dyDescent="0.25">
      <c r="BO1606">
        <v>0</v>
      </c>
      <c r="BP1606">
        <v>0</v>
      </c>
      <c r="BQ1606">
        <v>0</v>
      </c>
      <c r="BR1606">
        <v>0</v>
      </c>
      <c r="BS1606">
        <v>0</v>
      </c>
      <c r="BT1606">
        <v>0</v>
      </c>
      <c r="BU1606">
        <v>0</v>
      </c>
      <c r="BV1606">
        <v>0</v>
      </c>
    </row>
    <row r="1607" spans="67:74" x14ac:dyDescent="0.25">
      <c r="BO1607">
        <v>0</v>
      </c>
      <c r="BP1607">
        <v>0</v>
      </c>
      <c r="BQ1607">
        <v>0</v>
      </c>
      <c r="BR1607">
        <v>0</v>
      </c>
      <c r="BS1607">
        <v>0</v>
      </c>
      <c r="BT1607">
        <v>0</v>
      </c>
      <c r="BU1607">
        <v>0</v>
      </c>
      <c r="BV1607">
        <v>0</v>
      </c>
    </row>
    <row r="1608" spans="67:74" x14ac:dyDescent="0.25">
      <c r="BO1608">
        <v>0</v>
      </c>
      <c r="BP1608">
        <v>0</v>
      </c>
      <c r="BQ1608">
        <v>0</v>
      </c>
      <c r="BR1608">
        <v>0</v>
      </c>
      <c r="BS1608">
        <v>0</v>
      </c>
      <c r="BT1608">
        <v>0</v>
      </c>
      <c r="BU1608">
        <v>0</v>
      </c>
      <c r="BV1608">
        <v>0</v>
      </c>
    </row>
    <row r="1609" spans="67:74" x14ac:dyDescent="0.25">
      <c r="BO1609">
        <v>0</v>
      </c>
      <c r="BP1609">
        <v>0</v>
      </c>
      <c r="BQ1609">
        <v>0</v>
      </c>
      <c r="BR1609">
        <v>0</v>
      </c>
      <c r="BS1609">
        <v>0</v>
      </c>
      <c r="BT1609">
        <v>0</v>
      </c>
      <c r="BU1609">
        <v>0</v>
      </c>
      <c r="BV1609">
        <v>0</v>
      </c>
    </row>
    <row r="1610" spans="67:74" x14ac:dyDescent="0.25">
      <c r="BO1610">
        <v>0</v>
      </c>
      <c r="BP1610">
        <v>0</v>
      </c>
      <c r="BQ1610">
        <v>0</v>
      </c>
      <c r="BR1610">
        <v>0</v>
      </c>
      <c r="BS1610">
        <v>0</v>
      </c>
      <c r="BT1610">
        <v>0</v>
      </c>
      <c r="BU1610">
        <v>0</v>
      </c>
      <c r="BV1610">
        <v>0</v>
      </c>
    </row>
    <row r="1611" spans="67:74" x14ac:dyDescent="0.25">
      <c r="BO1611">
        <v>0</v>
      </c>
      <c r="BP1611">
        <v>0</v>
      </c>
      <c r="BQ1611">
        <v>0</v>
      </c>
      <c r="BR1611">
        <v>0</v>
      </c>
      <c r="BS1611">
        <v>0</v>
      </c>
      <c r="BT1611">
        <v>0</v>
      </c>
      <c r="BU1611">
        <v>0</v>
      </c>
      <c r="BV1611">
        <v>0</v>
      </c>
    </row>
    <row r="1612" spans="67:74" x14ac:dyDescent="0.25">
      <c r="BO1612">
        <v>0</v>
      </c>
      <c r="BP1612">
        <v>0</v>
      </c>
      <c r="BQ1612">
        <v>0</v>
      </c>
      <c r="BR1612">
        <v>0</v>
      </c>
      <c r="BS1612">
        <v>0</v>
      </c>
      <c r="BT1612">
        <v>0</v>
      </c>
      <c r="BU1612">
        <v>0</v>
      </c>
      <c r="BV1612">
        <v>0</v>
      </c>
    </row>
    <row r="1613" spans="67:74" x14ac:dyDescent="0.25">
      <c r="BO1613">
        <v>0</v>
      </c>
      <c r="BP1613">
        <v>0</v>
      </c>
      <c r="BQ1613">
        <v>0</v>
      </c>
      <c r="BR1613">
        <v>0</v>
      </c>
      <c r="BS1613">
        <v>0</v>
      </c>
      <c r="BT1613">
        <v>0</v>
      </c>
      <c r="BU1613">
        <v>0</v>
      </c>
      <c r="BV1613">
        <v>0</v>
      </c>
    </row>
    <row r="1614" spans="67:74" x14ac:dyDescent="0.25">
      <c r="BO1614">
        <v>0</v>
      </c>
      <c r="BP1614">
        <v>0</v>
      </c>
      <c r="BQ1614">
        <v>0</v>
      </c>
      <c r="BR1614">
        <v>0</v>
      </c>
      <c r="BS1614">
        <v>0</v>
      </c>
      <c r="BT1614">
        <v>0</v>
      </c>
      <c r="BU1614">
        <v>0</v>
      </c>
      <c r="BV1614">
        <v>0</v>
      </c>
    </row>
    <row r="1615" spans="67:74" x14ac:dyDescent="0.25">
      <c r="BO1615">
        <v>0</v>
      </c>
      <c r="BP1615">
        <v>0</v>
      </c>
      <c r="BQ1615">
        <v>0</v>
      </c>
      <c r="BR1615">
        <v>0</v>
      </c>
      <c r="BS1615">
        <v>0</v>
      </c>
      <c r="BT1615">
        <v>0</v>
      </c>
      <c r="BU1615">
        <v>0</v>
      </c>
      <c r="BV1615">
        <v>0</v>
      </c>
    </row>
    <row r="1616" spans="67:74" x14ac:dyDescent="0.25">
      <c r="BO1616">
        <v>0</v>
      </c>
      <c r="BP1616">
        <v>0</v>
      </c>
      <c r="BQ1616">
        <v>0</v>
      </c>
      <c r="BR1616">
        <v>0</v>
      </c>
      <c r="BS1616">
        <v>0</v>
      </c>
      <c r="BT1616">
        <v>0</v>
      </c>
      <c r="BU1616">
        <v>0</v>
      </c>
      <c r="BV1616">
        <v>0</v>
      </c>
    </row>
    <row r="1617" spans="67:74" x14ac:dyDescent="0.25">
      <c r="BO1617">
        <v>0</v>
      </c>
      <c r="BP1617">
        <v>0</v>
      </c>
      <c r="BQ1617">
        <v>0</v>
      </c>
      <c r="BR1617">
        <v>0</v>
      </c>
      <c r="BS1617">
        <v>0</v>
      </c>
      <c r="BT1617">
        <v>0</v>
      </c>
      <c r="BU1617">
        <v>0</v>
      </c>
      <c r="BV1617">
        <v>0</v>
      </c>
    </row>
    <row r="1618" spans="67:74" x14ac:dyDescent="0.25">
      <c r="BO1618">
        <v>0</v>
      </c>
      <c r="BP1618">
        <v>0</v>
      </c>
      <c r="BQ1618">
        <v>0</v>
      </c>
      <c r="BR1618">
        <v>0</v>
      </c>
      <c r="BS1618">
        <v>0</v>
      </c>
      <c r="BT1618">
        <v>0</v>
      </c>
      <c r="BU1618">
        <v>0</v>
      </c>
      <c r="BV1618">
        <v>0</v>
      </c>
    </row>
    <row r="1619" spans="67:74" x14ac:dyDescent="0.25">
      <c r="BO1619">
        <v>0</v>
      </c>
      <c r="BP1619">
        <v>0</v>
      </c>
      <c r="BQ1619">
        <v>0</v>
      </c>
      <c r="BR1619">
        <v>0</v>
      </c>
      <c r="BS1619">
        <v>0</v>
      </c>
      <c r="BT1619">
        <v>0</v>
      </c>
      <c r="BU1619">
        <v>0</v>
      </c>
      <c r="BV1619">
        <v>0</v>
      </c>
    </row>
    <row r="1620" spans="67:74" x14ac:dyDescent="0.25">
      <c r="BO1620">
        <v>0</v>
      </c>
      <c r="BP1620">
        <v>0</v>
      </c>
      <c r="BQ1620">
        <v>0</v>
      </c>
      <c r="BR1620">
        <v>0</v>
      </c>
      <c r="BS1620">
        <v>0</v>
      </c>
      <c r="BT1620">
        <v>0</v>
      </c>
      <c r="BU1620">
        <v>0</v>
      </c>
      <c r="BV1620">
        <v>0</v>
      </c>
    </row>
    <row r="1621" spans="67:74" x14ac:dyDescent="0.25">
      <c r="BO1621">
        <v>0</v>
      </c>
      <c r="BP1621">
        <v>0</v>
      </c>
      <c r="BQ1621">
        <v>0</v>
      </c>
      <c r="BR1621">
        <v>0</v>
      </c>
      <c r="BS1621">
        <v>0</v>
      </c>
      <c r="BT1621">
        <v>0</v>
      </c>
      <c r="BU1621">
        <v>0</v>
      </c>
      <c r="BV1621">
        <v>0</v>
      </c>
    </row>
    <row r="1622" spans="67:74" x14ac:dyDescent="0.25">
      <c r="BO1622">
        <v>0</v>
      </c>
      <c r="BP1622">
        <v>0</v>
      </c>
      <c r="BQ1622">
        <v>0</v>
      </c>
      <c r="BR1622">
        <v>0</v>
      </c>
      <c r="BS1622">
        <v>0</v>
      </c>
      <c r="BT1622">
        <v>0</v>
      </c>
      <c r="BU1622">
        <v>0</v>
      </c>
      <c r="BV1622">
        <v>0</v>
      </c>
    </row>
    <row r="1623" spans="67:74" x14ac:dyDescent="0.25">
      <c r="BO1623">
        <v>0</v>
      </c>
      <c r="BP1623">
        <v>0</v>
      </c>
      <c r="BQ1623">
        <v>0</v>
      </c>
      <c r="BR1623">
        <v>0</v>
      </c>
      <c r="BS1623">
        <v>0</v>
      </c>
      <c r="BT1623">
        <v>0</v>
      </c>
      <c r="BU1623">
        <v>0</v>
      </c>
      <c r="BV1623">
        <v>0</v>
      </c>
    </row>
    <row r="1624" spans="67:74" x14ac:dyDescent="0.25">
      <c r="BO1624">
        <v>0</v>
      </c>
      <c r="BP1624">
        <v>0</v>
      </c>
      <c r="BQ1624">
        <v>0</v>
      </c>
      <c r="BR1624">
        <v>0</v>
      </c>
      <c r="BS1624">
        <v>0</v>
      </c>
      <c r="BT1624">
        <v>0</v>
      </c>
      <c r="BU1624">
        <v>0</v>
      </c>
      <c r="BV1624">
        <v>0</v>
      </c>
    </row>
    <row r="1625" spans="67:74" x14ac:dyDescent="0.25">
      <c r="BO1625">
        <v>0</v>
      </c>
      <c r="BP1625">
        <v>0</v>
      </c>
      <c r="BQ1625">
        <v>0</v>
      </c>
      <c r="BR1625">
        <v>0</v>
      </c>
      <c r="BS1625">
        <v>0</v>
      </c>
      <c r="BT1625">
        <v>0</v>
      </c>
      <c r="BU1625">
        <v>0</v>
      </c>
      <c r="BV1625">
        <v>0</v>
      </c>
    </row>
    <row r="1626" spans="67:74" x14ac:dyDescent="0.25">
      <c r="BO1626">
        <v>0</v>
      </c>
      <c r="BP1626">
        <v>0</v>
      </c>
      <c r="BQ1626">
        <v>0</v>
      </c>
      <c r="BR1626">
        <v>0</v>
      </c>
      <c r="BS1626">
        <v>0</v>
      </c>
      <c r="BT1626">
        <v>0</v>
      </c>
      <c r="BU1626">
        <v>0</v>
      </c>
      <c r="BV1626">
        <v>0</v>
      </c>
    </row>
    <row r="1627" spans="67:74" x14ac:dyDescent="0.25">
      <c r="BO1627">
        <v>0</v>
      </c>
      <c r="BP1627">
        <v>0</v>
      </c>
      <c r="BQ1627">
        <v>0</v>
      </c>
      <c r="BR1627">
        <v>0</v>
      </c>
      <c r="BS1627">
        <v>0</v>
      </c>
      <c r="BT1627">
        <v>0</v>
      </c>
      <c r="BU1627">
        <v>0</v>
      </c>
      <c r="BV1627">
        <v>0</v>
      </c>
    </row>
    <row r="1628" spans="67:74" x14ac:dyDescent="0.25">
      <c r="BO1628">
        <v>0</v>
      </c>
      <c r="BP1628">
        <v>0</v>
      </c>
      <c r="BQ1628">
        <v>0</v>
      </c>
      <c r="BR1628">
        <v>0</v>
      </c>
      <c r="BS1628">
        <v>0</v>
      </c>
      <c r="BT1628">
        <v>0</v>
      </c>
      <c r="BU1628">
        <v>0</v>
      </c>
      <c r="BV1628">
        <v>0</v>
      </c>
    </row>
    <row r="1629" spans="67:74" x14ac:dyDescent="0.25">
      <c r="BO1629">
        <v>0</v>
      </c>
      <c r="BP1629">
        <v>0</v>
      </c>
      <c r="BQ1629">
        <v>0</v>
      </c>
      <c r="BR1629">
        <v>0</v>
      </c>
      <c r="BS1629">
        <v>0</v>
      </c>
      <c r="BT1629">
        <v>0</v>
      </c>
      <c r="BU1629">
        <v>0</v>
      </c>
      <c r="BV1629">
        <v>0</v>
      </c>
    </row>
    <row r="1630" spans="67:74" x14ac:dyDescent="0.25">
      <c r="BO1630">
        <v>0</v>
      </c>
      <c r="BP1630">
        <v>0</v>
      </c>
      <c r="BQ1630">
        <v>0</v>
      </c>
      <c r="BR1630">
        <v>0</v>
      </c>
      <c r="BS1630">
        <v>0</v>
      </c>
      <c r="BT1630">
        <v>0</v>
      </c>
      <c r="BU1630">
        <v>0</v>
      </c>
      <c r="BV1630">
        <v>0</v>
      </c>
    </row>
    <row r="1631" spans="67:74" x14ac:dyDescent="0.25">
      <c r="BO1631">
        <v>0</v>
      </c>
      <c r="BP1631">
        <v>0</v>
      </c>
      <c r="BQ1631">
        <v>0</v>
      </c>
      <c r="BR1631">
        <v>0</v>
      </c>
      <c r="BS1631">
        <v>0</v>
      </c>
      <c r="BT1631">
        <v>0</v>
      </c>
      <c r="BU1631">
        <v>0</v>
      </c>
      <c r="BV1631">
        <v>0</v>
      </c>
    </row>
    <row r="1632" spans="67:74" x14ac:dyDescent="0.25">
      <c r="BO1632">
        <v>0</v>
      </c>
      <c r="BP1632">
        <v>0</v>
      </c>
      <c r="BQ1632">
        <v>0</v>
      </c>
      <c r="BR1632">
        <v>0</v>
      </c>
      <c r="BS1632">
        <v>0</v>
      </c>
      <c r="BT1632">
        <v>0</v>
      </c>
      <c r="BU1632">
        <v>0</v>
      </c>
      <c r="BV1632">
        <v>0</v>
      </c>
    </row>
    <row r="1633" spans="67:74" x14ac:dyDescent="0.25">
      <c r="BO1633">
        <v>0</v>
      </c>
      <c r="BP1633">
        <v>0</v>
      </c>
      <c r="BQ1633">
        <v>0</v>
      </c>
      <c r="BR1633">
        <v>0</v>
      </c>
      <c r="BS1633">
        <v>0</v>
      </c>
      <c r="BT1633">
        <v>0</v>
      </c>
      <c r="BU1633">
        <v>0</v>
      </c>
      <c r="BV1633">
        <v>0</v>
      </c>
    </row>
    <row r="1634" spans="67:74" x14ac:dyDescent="0.25">
      <c r="BO1634">
        <v>0</v>
      </c>
      <c r="BP1634">
        <v>0</v>
      </c>
      <c r="BQ1634">
        <v>0</v>
      </c>
      <c r="BR1634">
        <v>0</v>
      </c>
      <c r="BS1634">
        <v>0</v>
      </c>
      <c r="BT1634">
        <v>0</v>
      </c>
      <c r="BU1634">
        <v>0</v>
      </c>
      <c r="BV1634">
        <v>0</v>
      </c>
    </row>
    <row r="1635" spans="67:74" x14ac:dyDescent="0.25">
      <c r="BO1635">
        <v>0</v>
      </c>
      <c r="BP1635">
        <v>0</v>
      </c>
      <c r="BQ1635">
        <v>0</v>
      </c>
      <c r="BR1635">
        <v>0</v>
      </c>
      <c r="BS1635">
        <v>0</v>
      </c>
      <c r="BT1635">
        <v>0</v>
      </c>
      <c r="BU1635">
        <v>0</v>
      </c>
      <c r="BV1635">
        <v>0</v>
      </c>
    </row>
    <row r="1636" spans="67:74" x14ac:dyDescent="0.25">
      <c r="BO1636">
        <v>0</v>
      </c>
      <c r="BP1636">
        <v>0</v>
      </c>
      <c r="BQ1636">
        <v>0</v>
      </c>
      <c r="BR1636">
        <v>0</v>
      </c>
      <c r="BS1636">
        <v>0</v>
      </c>
      <c r="BT1636">
        <v>0</v>
      </c>
      <c r="BU1636">
        <v>0</v>
      </c>
      <c r="BV1636">
        <v>0</v>
      </c>
    </row>
    <row r="1637" spans="67:74" x14ac:dyDescent="0.25">
      <c r="BO1637">
        <v>0</v>
      </c>
      <c r="BP1637">
        <v>0</v>
      </c>
      <c r="BQ1637">
        <v>0</v>
      </c>
      <c r="BR1637">
        <v>0</v>
      </c>
      <c r="BS1637">
        <v>0</v>
      </c>
      <c r="BT1637">
        <v>0</v>
      </c>
      <c r="BU1637">
        <v>0</v>
      </c>
      <c r="BV1637">
        <v>0</v>
      </c>
    </row>
    <row r="1638" spans="67:74" x14ac:dyDescent="0.25">
      <c r="BO1638">
        <v>0</v>
      </c>
      <c r="BP1638">
        <v>0</v>
      </c>
      <c r="BQ1638">
        <v>0</v>
      </c>
      <c r="BR1638">
        <v>0</v>
      </c>
      <c r="BS1638">
        <v>0</v>
      </c>
      <c r="BT1638">
        <v>0</v>
      </c>
      <c r="BU1638">
        <v>0</v>
      </c>
      <c r="BV1638">
        <v>0</v>
      </c>
    </row>
    <row r="1639" spans="67:74" x14ac:dyDescent="0.25">
      <c r="BO1639">
        <v>0</v>
      </c>
      <c r="BP1639">
        <v>0</v>
      </c>
      <c r="BQ1639">
        <v>0</v>
      </c>
      <c r="BR1639">
        <v>0</v>
      </c>
      <c r="BS1639">
        <v>0</v>
      </c>
      <c r="BT1639">
        <v>0</v>
      </c>
      <c r="BU1639">
        <v>0</v>
      </c>
      <c r="BV1639">
        <v>0</v>
      </c>
    </row>
    <row r="1640" spans="67:74" x14ac:dyDescent="0.25">
      <c r="BO1640">
        <v>0</v>
      </c>
      <c r="BP1640">
        <v>0</v>
      </c>
      <c r="BQ1640">
        <v>0</v>
      </c>
      <c r="BR1640">
        <v>0</v>
      </c>
      <c r="BS1640">
        <v>0</v>
      </c>
      <c r="BT1640">
        <v>0</v>
      </c>
      <c r="BU1640">
        <v>0</v>
      </c>
      <c r="BV1640">
        <v>0</v>
      </c>
    </row>
    <row r="1641" spans="67:74" x14ac:dyDescent="0.25">
      <c r="BO1641">
        <v>0</v>
      </c>
      <c r="BP1641">
        <v>0</v>
      </c>
      <c r="BQ1641">
        <v>0</v>
      </c>
      <c r="BR1641">
        <v>0</v>
      </c>
      <c r="BS1641">
        <v>0</v>
      </c>
      <c r="BT1641">
        <v>0</v>
      </c>
      <c r="BU1641">
        <v>0</v>
      </c>
      <c r="BV1641">
        <v>0</v>
      </c>
    </row>
    <row r="1642" spans="67:74" x14ac:dyDescent="0.25">
      <c r="BO1642">
        <v>0</v>
      </c>
      <c r="BP1642">
        <v>0</v>
      </c>
      <c r="BQ1642">
        <v>0</v>
      </c>
      <c r="BR1642">
        <v>0</v>
      </c>
      <c r="BS1642">
        <v>0</v>
      </c>
      <c r="BT1642">
        <v>0</v>
      </c>
      <c r="BU1642">
        <v>0</v>
      </c>
      <c r="BV1642">
        <v>0</v>
      </c>
    </row>
    <row r="1643" spans="67:74" x14ac:dyDescent="0.25">
      <c r="BO1643">
        <v>0</v>
      </c>
      <c r="BP1643">
        <v>0</v>
      </c>
      <c r="BQ1643">
        <v>0</v>
      </c>
      <c r="BR1643">
        <v>0</v>
      </c>
      <c r="BS1643">
        <v>0</v>
      </c>
      <c r="BT1643">
        <v>0</v>
      </c>
      <c r="BU1643">
        <v>0</v>
      </c>
      <c r="BV1643">
        <v>0</v>
      </c>
    </row>
    <row r="1644" spans="67:74" x14ac:dyDescent="0.25">
      <c r="BO1644">
        <v>0</v>
      </c>
      <c r="BP1644">
        <v>0</v>
      </c>
      <c r="BQ1644">
        <v>0</v>
      </c>
      <c r="BR1644">
        <v>0</v>
      </c>
      <c r="BS1644">
        <v>0</v>
      </c>
      <c r="BT1644">
        <v>0</v>
      </c>
      <c r="BU1644">
        <v>0</v>
      </c>
      <c r="BV1644">
        <v>0</v>
      </c>
    </row>
    <row r="1645" spans="67:74" x14ac:dyDescent="0.25">
      <c r="BO1645">
        <v>0</v>
      </c>
      <c r="BP1645">
        <v>0</v>
      </c>
      <c r="BQ1645">
        <v>0</v>
      </c>
      <c r="BR1645">
        <v>0</v>
      </c>
      <c r="BS1645">
        <v>0</v>
      </c>
      <c r="BT1645">
        <v>0</v>
      </c>
      <c r="BU1645">
        <v>0</v>
      </c>
      <c r="BV1645">
        <v>0</v>
      </c>
    </row>
    <row r="1646" spans="67:74" x14ac:dyDescent="0.25">
      <c r="BO1646">
        <v>0</v>
      </c>
      <c r="BP1646">
        <v>0</v>
      </c>
      <c r="BQ1646">
        <v>0</v>
      </c>
      <c r="BR1646">
        <v>0</v>
      </c>
      <c r="BS1646">
        <v>0</v>
      </c>
      <c r="BT1646">
        <v>0</v>
      </c>
      <c r="BU1646">
        <v>0</v>
      </c>
      <c r="BV1646">
        <v>0</v>
      </c>
    </row>
    <row r="1647" spans="67:74" x14ac:dyDescent="0.25">
      <c r="BO1647">
        <v>0</v>
      </c>
      <c r="BP1647">
        <v>0</v>
      </c>
      <c r="BQ1647">
        <v>0</v>
      </c>
      <c r="BR1647">
        <v>0</v>
      </c>
      <c r="BS1647">
        <v>0</v>
      </c>
      <c r="BT1647">
        <v>0</v>
      </c>
      <c r="BU1647">
        <v>0</v>
      </c>
      <c r="BV1647">
        <v>0</v>
      </c>
    </row>
    <row r="1648" spans="67:74" x14ac:dyDescent="0.25">
      <c r="BO1648">
        <v>0</v>
      </c>
      <c r="BP1648">
        <v>0</v>
      </c>
      <c r="BQ1648">
        <v>0</v>
      </c>
      <c r="BR1648">
        <v>0</v>
      </c>
      <c r="BS1648">
        <v>0</v>
      </c>
      <c r="BT1648">
        <v>0</v>
      </c>
      <c r="BU1648">
        <v>0</v>
      </c>
      <c r="BV1648">
        <v>0</v>
      </c>
    </row>
    <row r="1649" spans="37:74" x14ac:dyDescent="0.25">
      <c r="BO1649">
        <v>0</v>
      </c>
      <c r="BP1649">
        <v>0</v>
      </c>
      <c r="BQ1649">
        <v>0</v>
      </c>
      <c r="BR1649">
        <v>0</v>
      </c>
      <c r="BS1649">
        <v>0</v>
      </c>
      <c r="BT1649">
        <v>0</v>
      </c>
      <c r="BU1649">
        <v>0</v>
      </c>
      <c r="BV1649">
        <v>0</v>
      </c>
    </row>
    <row r="1650" spans="37:74" x14ac:dyDescent="0.25">
      <c r="BO1650">
        <v>0</v>
      </c>
      <c r="BP1650">
        <v>0</v>
      </c>
      <c r="BQ1650">
        <v>0</v>
      </c>
      <c r="BR1650">
        <v>0</v>
      </c>
      <c r="BS1650">
        <v>0</v>
      </c>
      <c r="BT1650">
        <v>0</v>
      </c>
      <c r="BU1650">
        <v>0</v>
      </c>
      <c r="BV1650">
        <v>0</v>
      </c>
    </row>
    <row r="1651" spans="37:74" x14ac:dyDescent="0.25">
      <c r="AK1651" s="11"/>
      <c r="BO1651">
        <v>0</v>
      </c>
      <c r="BP1651">
        <v>0</v>
      </c>
      <c r="BQ1651">
        <v>0</v>
      </c>
      <c r="BR1651">
        <v>0</v>
      </c>
      <c r="BS1651">
        <v>0</v>
      </c>
      <c r="BT1651">
        <v>0</v>
      </c>
      <c r="BU1651">
        <v>0</v>
      </c>
      <c r="BV1651">
        <v>0</v>
      </c>
    </row>
    <row r="1652" spans="37:74" x14ac:dyDescent="0.25">
      <c r="AY1652" s="8"/>
      <c r="BO1652">
        <v>0</v>
      </c>
      <c r="BP1652">
        <v>0</v>
      </c>
      <c r="BQ1652">
        <v>0</v>
      </c>
      <c r="BR1652">
        <v>0</v>
      </c>
      <c r="BS1652">
        <v>0</v>
      </c>
      <c r="BT1652">
        <v>0</v>
      </c>
      <c r="BU1652">
        <v>0</v>
      </c>
      <c r="BV1652">
        <v>0</v>
      </c>
    </row>
    <row r="1653" spans="37:74" x14ac:dyDescent="0.25">
      <c r="BO1653">
        <v>0</v>
      </c>
      <c r="BP1653">
        <v>0</v>
      </c>
      <c r="BQ1653">
        <v>0</v>
      </c>
      <c r="BR1653">
        <v>0</v>
      </c>
      <c r="BS1653">
        <v>0</v>
      </c>
      <c r="BT1653">
        <v>0</v>
      </c>
      <c r="BU1653">
        <v>0</v>
      </c>
      <c r="BV1653">
        <v>0</v>
      </c>
    </row>
    <row r="1654" spans="37:74" x14ac:dyDescent="0.25">
      <c r="BO1654">
        <v>0</v>
      </c>
      <c r="BP1654">
        <v>0</v>
      </c>
      <c r="BQ1654">
        <v>0</v>
      </c>
      <c r="BR1654">
        <v>0</v>
      </c>
      <c r="BS1654">
        <v>0</v>
      </c>
      <c r="BT1654">
        <v>0</v>
      </c>
      <c r="BU1654">
        <v>0</v>
      </c>
      <c r="BV1654">
        <v>0</v>
      </c>
    </row>
    <row r="1655" spans="37:74" x14ac:dyDescent="0.25">
      <c r="BO1655">
        <v>0</v>
      </c>
      <c r="BP1655">
        <v>0</v>
      </c>
      <c r="BQ1655">
        <v>0</v>
      </c>
      <c r="BR1655">
        <v>0</v>
      </c>
      <c r="BS1655">
        <v>0</v>
      </c>
      <c r="BT1655">
        <v>0</v>
      </c>
      <c r="BU1655">
        <v>0</v>
      </c>
      <c r="BV1655">
        <v>0</v>
      </c>
    </row>
    <row r="1656" spans="37:74" x14ac:dyDescent="0.25">
      <c r="BO1656">
        <v>0</v>
      </c>
      <c r="BP1656">
        <v>0</v>
      </c>
      <c r="BQ1656">
        <v>0</v>
      </c>
      <c r="BR1656">
        <v>0</v>
      </c>
      <c r="BS1656">
        <v>0</v>
      </c>
      <c r="BT1656">
        <v>0</v>
      </c>
      <c r="BU1656">
        <v>0</v>
      </c>
      <c r="BV1656">
        <v>0</v>
      </c>
    </row>
    <row r="1657" spans="37:74" x14ac:dyDescent="0.25">
      <c r="BO1657">
        <v>0</v>
      </c>
      <c r="BP1657">
        <v>0</v>
      </c>
      <c r="BQ1657">
        <v>0</v>
      </c>
      <c r="BR1657">
        <v>0</v>
      </c>
      <c r="BS1657">
        <v>0</v>
      </c>
      <c r="BT1657">
        <v>0</v>
      </c>
      <c r="BU1657">
        <v>0</v>
      </c>
      <c r="BV1657">
        <v>0</v>
      </c>
    </row>
    <row r="1658" spans="37:74" x14ac:dyDescent="0.25">
      <c r="BO1658">
        <v>0</v>
      </c>
      <c r="BP1658">
        <v>0</v>
      </c>
      <c r="BQ1658">
        <v>0</v>
      </c>
      <c r="BR1658">
        <v>0</v>
      </c>
      <c r="BS1658">
        <v>0</v>
      </c>
      <c r="BT1658">
        <v>0</v>
      </c>
      <c r="BU1658">
        <v>0</v>
      </c>
      <c r="BV1658">
        <v>0</v>
      </c>
    </row>
    <row r="1659" spans="37:74" x14ac:dyDescent="0.25">
      <c r="BO1659">
        <v>0</v>
      </c>
      <c r="BP1659">
        <v>0</v>
      </c>
      <c r="BQ1659">
        <v>0</v>
      </c>
      <c r="BR1659">
        <v>0</v>
      </c>
      <c r="BS1659">
        <v>0</v>
      </c>
      <c r="BT1659">
        <v>0</v>
      </c>
      <c r="BU1659">
        <v>0</v>
      </c>
      <c r="BV1659">
        <v>0</v>
      </c>
    </row>
    <row r="1660" spans="37:74" x14ac:dyDescent="0.25">
      <c r="BO1660">
        <v>0</v>
      </c>
      <c r="BP1660">
        <v>0</v>
      </c>
      <c r="BQ1660">
        <v>0</v>
      </c>
      <c r="BR1660">
        <v>0</v>
      </c>
      <c r="BS1660">
        <v>0</v>
      </c>
      <c r="BT1660">
        <v>0</v>
      </c>
      <c r="BU1660">
        <v>0</v>
      </c>
      <c r="BV1660">
        <v>0</v>
      </c>
    </row>
    <row r="1661" spans="37:74" x14ac:dyDescent="0.25">
      <c r="BO1661">
        <v>0</v>
      </c>
      <c r="BP1661">
        <v>0</v>
      </c>
      <c r="BQ1661">
        <v>0</v>
      </c>
      <c r="BR1661">
        <v>0</v>
      </c>
      <c r="BS1661">
        <v>0</v>
      </c>
      <c r="BT1661">
        <v>0</v>
      </c>
      <c r="BU1661">
        <v>0</v>
      </c>
      <c r="BV1661">
        <v>0</v>
      </c>
    </row>
    <row r="1662" spans="37:74" x14ac:dyDescent="0.25">
      <c r="BO1662">
        <v>0</v>
      </c>
      <c r="BP1662">
        <v>0</v>
      </c>
      <c r="BQ1662">
        <v>0</v>
      </c>
      <c r="BR1662">
        <v>0</v>
      </c>
      <c r="BS1662">
        <v>0</v>
      </c>
      <c r="BT1662">
        <v>0</v>
      </c>
      <c r="BU1662">
        <v>0</v>
      </c>
      <c r="BV1662">
        <v>0</v>
      </c>
    </row>
    <row r="1663" spans="37:74" x14ac:dyDescent="0.25">
      <c r="BO1663">
        <v>0</v>
      </c>
      <c r="BP1663">
        <v>0</v>
      </c>
      <c r="BQ1663">
        <v>0</v>
      </c>
      <c r="BR1663">
        <v>0</v>
      </c>
      <c r="BS1663">
        <v>0</v>
      </c>
      <c r="BT1663">
        <v>0</v>
      </c>
      <c r="BU1663">
        <v>0</v>
      </c>
      <c r="BV1663">
        <v>0</v>
      </c>
    </row>
    <row r="1664" spans="37:74" x14ac:dyDescent="0.25">
      <c r="BO1664">
        <v>0</v>
      </c>
      <c r="BP1664">
        <v>0</v>
      </c>
      <c r="BQ1664">
        <v>0</v>
      </c>
      <c r="BR1664">
        <v>0</v>
      </c>
      <c r="BS1664">
        <v>0</v>
      </c>
      <c r="BT1664">
        <v>0</v>
      </c>
      <c r="BU1664">
        <v>0</v>
      </c>
      <c r="BV1664">
        <v>0</v>
      </c>
    </row>
    <row r="1665" spans="9:74" x14ac:dyDescent="0.25">
      <c r="I1665" s="8"/>
      <c r="BO1665">
        <v>0</v>
      </c>
      <c r="BP1665">
        <v>0</v>
      </c>
      <c r="BQ1665">
        <v>0</v>
      </c>
      <c r="BR1665">
        <v>0</v>
      </c>
      <c r="BS1665">
        <v>0</v>
      </c>
      <c r="BT1665">
        <v>0</v>
      </c>
      <c r="BU1665">
        <v>0</v>
      </c>
      <c r="BV1665">
        <v>0</v>
      </c>
    </row>
    <row r="1666" spans="9:74" x14ac:dyDescent="0.25">
      <c r="BO1666">
        <v>0</v>
      </c>
      <c r="BP1666">
        <v>0</v>
      </c>
      <c r="BQ1666">
        <v>0</v>
      </c>
      <c r="BR1666">
        <v>0</v>
      </c>
      <c r="BS1666">
        <v>0</v>
      </c>
      <c r="BT1666">
        <v>0</v>
      </c>
      <c r="BU1666">
        <v>0</v>
      </c>
      <c r="BV1666">
        <v>0</v>
      </c>
    </row>
    <row r="1667" spans="9:74" x14ac:dyDescent="0.25">
      <c r="BO1667">
        <v>0</v>
      </c>
      <c r="BP1667">
        <v>0</v>
      </c>
      <c r="BQ1667">
        <v>0</v>
      </c>
      <c r="BR1667">
        <v>0</v>
      </c>
      <c r="BS1667">
        <v>0</v>
      </c>
      <c r="BT1667">
        <v>0</v>
      </c>
      <c r="BU1667">
        <v>0</v>
      </c>
      <c r="BV1667">
        <v>0</v>
      </c>
    </row>
    <row r="1668" spans="9:74" x14ac:dyDescent="0.25">
      <c r="BO1668">
        <v>0</v>
      </c>
      <c r="BP1668">
        <v>0</v>
      </c>
      <c r="BQ1668">
        <v>0</v>
      </c>
      <c r="BR1668">
        <v>0</v>
      </c>
      <c r="BS1668">
        <v>0</v>
      </c>
      <c r="BT1668">
        <v>0</v>
      </c>
      <c r="BU1668">
        <v>0</v>
      </c>
      <c r="BV1668">
        <v>0</v>
      </c>
    </row>
    <row r="1669" spans="9:74" x14ac:dyDescent="0.25">
      <c r="BO1669">
        <v>0</v>
      </c>
      <c r="BP1669">
        <v>0</v>
      </c>
      <c r="BQ1669">
        <v>0</v>
      </c>
      <c r="BR1669">
        <v>0</v>
      </c>
      <c r="BS1669">
        <v>0</v>
      </c>
      <c r="BT1669">
        <v>0</v>
      </c>
      <c r="BU1669">
        <v>0</v>
      </c>
      <c r="BV1669">
        <v>0</v>
      </c>
    </row>
    <row r="1670" spans="9:74" x14ac:dyDescent="0.25">
      <c r="BO1670">
        <v>0</v>
      </c>
      <c r="BP1670">
        <v>0</v>
      </c>
      <c r="BQ1670">
        <v>0</v>
      </c>
      <c r="BR1670">
        <v>0</v>
      </c>
      <c r="BS1670">
        <v>0</v>
      </c>
      <c r="BT1670">
        <v>0</v>
      </c>
      <c r="BU1670">
        <v>0</v>
      </c>
      <c r="BV1670">
        <v>0</v>
      </c>
    </row>
    <row r="1671" spans="9:74" x14ac:dyDescent="0.25">
      <c r="BO1671">
        <v>0</v>
      </c>
      <c r="BP1671">
        <v>0</v>
      </c>
      <c r="BQ1671">
        <v>0</v>
      </c>
      <c r="BR1671">
        <v>0</v>
      </c>
      <c r="BS1671">
        <v>0</v>
      </c>
      <c r="BT1671">
        <v>0</v>
      </c>
      <c r="BU1671">
        <v>0</v>
      </c>
      <c r="BV1671">
        <v>0</v>
      </c>
    </row>
    <row r="1672" spans="9:74" x14ac:dyDescent="0.25">
      <c r="BO1672">
        <v>0</v>
      </c>
      <c r="BP1672">
        <v>0</v>
      </c>
      <c r="BQ1672">
        <v>0</v>
      </c>
      <c r="BR1672">
        <v>0</v>
      </c>
      <c r="BS1672">
        <v>0</v>
      </c>
      <c r="BT1672">
        <v>0</v>
      </c>
      <c r="BU1672">
        <v>0</v>
      </c>
      <c r="BV1672">
        <v>0</v>
      </c>
    </row>
    <row r="1673" spans="9:74" x14ac:dyDescent="0.25">
      <c r="BO1673">
        <v>0</v>
      </c>
      <c r="BP1673">
        <v>0</v>
      </c>
      <c r="BQ1673">
        <v>0</v>
      </c>
      <c r="BR1673">
        <v>0</v>
      </c>
      <c r="BS1673">
        <v>0</v>
      </c>
      <c r="BT1673">
        <v>0</v>
      </c>
      <c r="BU1673">
        <v>0</v>
      </c>
      <c r="BV1673">
        <v>0</v>
      </c>
    </row>
    <row r="1674" spans="9:74" x14ac:dyDescent="0.25">
      <c r="BO1674">
        <v>0</v>
      </c>
      <c r="BP1674">
        <v>0</v>
      </c>
      <c r="BQ1674">
        <v>0</v>
      </c>
      <c r="BR1674">
        <v>0</v>
      </c>
      <c r="BS1674">
        <v>0</v>
      </c>
      <c r="BT1674">
        <v>0</v>
      </c>
      <c r="BU1674">
        <v>0</v>
      </c>
      <c r="BV1674">
        <v>0</v>
      </c>
    </row>
    <row r="1675" spans="9:74" x14ac:dyDescent="0.25">
      <c r="BO1675">
        <v>0</v>
      </c>
      <c r="BP1675">
        <v>0</v>
      </c>
      <c r="BQ1675">
        <v>0</v>
      </c>
      <c r="BR1675">
        <v>0</v>
      </c>
      <c r="BS1675">
        <v>0</v>
      </c>
      <c r="BT1675">
        <v>0</v>
      </c>
      <c r="BU1675">
        <v>0</v>
      </c>
      <c r="BV1675">
        <v>0</v>
      </c>
    </row>
    <row r="1676" spans="9:74" x14ac:dyDescent="0.25">
      <c r="BO1676">
        <v>0</v>
      </c>
      <c r="BP1676">
        <v>0</v>
      </c>
      <c r="BQ1676">
        <v>0</v>
      </c>
      <c r="BR1676">
        <v>0</v>
      </c>
      <c r="BS1676">
        <v>0</v>
      </c>
      <c r="BT1676">
        <v>0</v>
      </c>
      <c r="BU1676">
        <v>0</v>
      </c>
      <c r="BV1676">
        <v>0</v>
      </c>
    </row>
    <row r="1677" spans="9:74" x14ac:dyDescent="0.25">
      <c r="BO1677">
        <v>0</v>
      </c>
      <c r="BP1677">
        <v>0</v>
      </c>
      <c r="BQ1677">
        <v>0</v>
      </c>
      <c r="BR1677">
        <v>0</v>
      </c>
      <c r="BS1677">
        <v>0</v>
      </c>
      <c r="BT1677">
        <v>0</v>
      </c>
      <c r="BU1677">
        <v>0</v>
      </c>
      <c r="BV1677">
        <v>0</v>
      </c>
    </row>
    <row r="1678" spans="9:74" x14ac:dyDescent="0.25">
      <c r="BO1678">
        <v>0</v>
      </c>
      <c r="BP1678">
        <v>0</v>
      </c>
      <c r="BQ1678">
        <v>0</v>
      </c>
      <c r="BR1678">
        <v>0</v>
      </c>
      <c r="BS1678">
        <v>0</v>
      </c>
      <c r="BT1678">
        <v>0</v>
      </c>
      <c r="BU1678">
        <v>0</v>
      </c>
      <c r="BV1678">
        <v>0</v>
      </c>
    </row>
    <row r="1679" spans="9:74" x14ac:dyDescent="0.25">
      <c r="BO1679">
        <v>0</v>
      </c>
      <c r="BP1679">
        <v>0</v>
      </c>
      <c r="BQ1679">
        <v>0</v>
      </c>
      <c r="BR1679">
        <v>0</v>
      </c>
      <c r="BS1679">
        <v>0</v>
      </c>
      <c r="BT1679">
        <v>0</v>
      </c>
      <c r="BU1679">
        <v>0</v>
      </c>
      <c r="BV1679">
        <v>0</v>
      </c>
    </row>
    <row r="1680" spans="9:74" x14ac:dyDescent="0.25">
      <c r="BO1680">
        <v>0</v>
      </c>
      <c r="BP1680">
        <v>0</v>
      </c>
      <c r="BQ1680">
        <v>0</v>
      </c>
      <c r="BR1680">
        <v>0</v>
      </c>
      <c r="BS1680">
        <v>0</v>
      </c>
      <c r="BT1680">
        <v>0</v>
      </c>
      <c r="BU1680">
        <v>0</v>
      </c>
      <c r="BV1680">
        <v>0</v>
      </c>
    </row>
    <row r="1681" spans="67:74" x14ac:dyDescent="0.25">
      <c r="BO1681">
        <v>0</v>
      </c>
      <c r="BP1681">
        <v>0</v>
      </c>
      <c r="BQ1681">
        <v>0</v>
      </c>
      <c r="BR1681">
        <v>0</v>
      </c>
      <c r="BS1681">
        <v>0</v>
      </c>
      <c r="BT1681">
        <v>0</v>
      </c>
      <c r="BU1681">
        <v>0</v>
      </c>
      <c r="BV1681">
        <v>0</v>
      </c>
    </row>
    <row r="1682" spans="67:74" x14ac:dyDescent="0.25">
      <c r="BO1682">
        <v>0</v>
      </c>
      <c r="BP1682">
        <v>0</v>
      </c>
      <c r="BQ1682">
        <v>0</v>
      </c>
      <c r="BR1682">
        <v>0</v>
      </c>
      <c r="BS1682">
        <v>0</v>
      </c>
      <c r="BT1682">
        <v>0</v>
      </c>
      <c r="BU1682">
        <v>0</v>
      </c>
      <c r="BV1682">
        <v>0</v>
      </c>
    </row>
    <row r="1683" spans="67:74" x14ac:dyDescent="0.25">
      <c r="BO1683">
        <v>0</v>
      </c>
      <c r="BP1683">
        <v>0</v>
      </c>
      <c r="BQ1683">
        <v>0</v>
      </c>
      <c r="BR1683">
        <v>0</v>
      </c>
      <c r="BS1683">
        <v>0</v>
      </c>
      <c r="BT1683">
        <v>0</v>
      </c>
      <c r="BU1683">
        <v>0</v>
      </c>
      <c r="BV1683">
        <v>0</v>
      </c>
    </row>
    <row r="1684" spans="67:74" x14ac:dyDescent="0.25">
      <c r="BO1684">
        <v>0</v>
      </c>
      <c r="BP1684">
        <v>0</v>
      </c>
      <c r="BQ1684">
        <v>0</v>
      </c>
      <c r="BR1684">
        <v>0</v>
      </c>
      <c r="BS1684">
        <v>0</v>
      </c>
      <c r="BT1684">
        <v>0</v>
      </c>
      <c r="BU1684">
        <v>0</v>
      </c>
      <c r="BV1684">
        <v>0</v>
      </c>
    </row>
    <row r="1685" spans="67:74" x14ac:dyDescent="0.25">
      <c r="BO1685">
        <v>0</v>
      </c>
      <c r="BP1685">
        <v>0</v>
      </c>
      <c r="BQ1685">
        <v>0</v>
      </c>
      <c r="BR1685">
        <v>0</v>
      </c>
      <c r="BS1685">
        <v>0</v>
      </c>
      <c r="BT1685">
        <v>0</v>
      </c>
      <c r="BU1685">
        <v>0</v>
      </c>
      <c r="BV1685">
        <v>0</v>
      </c>
    </row>
    <row r="1686" spans="67:74" x14ac:dyDescent="0.25">
      <c r="BO1686">
        <v>0</v>
      </c>
      <c r="BP1686">
        <v>0</v>
      </c>
      <c r="BQ1686">
        <v>0</v>
      </c>
      <c r="BR1686">
        <v>0</v>
      </c>
      <c r="BS1686">
        <v>0</v>
      </c>
      <c r="BT1686">
        <v>0</v>
      </c>
      <c r="BU1686">
        <v>0</v>
      </c>
      <c r="BV1686">
        <v>0</v>
      </c>
    </row>
    <row r="1687" spans="67:74" x14ac:dyDescent="0.25">
      <c r="BO1687">
        <v>0</v>
      </c>
      <c r="BP1687">
        <v>0</v>
      </c>
      <c r="BQ1687">
        <v>0</v>
      </c>
      <c r="BR1687">
        <v>0</v>
      </c>
      <c r="BS1687">
        <v>0</v>
      </c>
      <c r="BT1687">
        <v>0</v>
      </c>
      <c r="BU1687">
        <v>0</v>
      </c>
      <c r="BV1687">
        <v>0</v>
      </c>
    </row>
    <row r="1688" spans="67:74" x14ac:dyDescent="0.25">
      <c r="BO1688">
        <v>0</v>
      </c>
      <c r="BP1688">
        <v>0</v>
      </c>
      <c r="BQ1688">
        <v>0</v>
      </c>
      <c r="BR1688">
        <v>0</v>
      </c>
      <c r="BS1688">
        <v>0</v>
      </c>
      <c r="BT1688">
        <v>0</v>
      </c>
      <c r="BU1688">
        <v>0</v>
      </c>
      <c r="BV1688">
        <v>0</v>
      </c>
    </row>
    <row r="1689" spans="67:74" x14ac:dyDescent="0.25">
      <c r="BO1689">
        <v>0</v>
      </c>
      <c r="BP1689">
        <v>0</v>
      </c>
      <c r="BQ1689">
        <v>0</v>
      </c>
      <c r="BR1689">
        <v>0</v>
      </c>
      <c r="BS1689">
        <v>0</v>
      </c>
      <c r="BT1689">
        <v>0</v>
      </c>
      <c r="BU1689">
        <v>0</v>
      </c>
      <c r="BV1689">
        <v>0</v>
      </c>
    </row>
    <row r="1690" spans="67:74" x14ac:dyDescent="0.25">
      <c r="BO1690">
        <v>0</v>
      </c>
      <c r="BP1690">
        <v>0</v>
      </c>
      <c r="BQ1690">
        <v>0</v>
      </c>
      <c r="BR1690">
        <v>0</v>
      </c>
      <c r="BS1690">
        <v>0</v>
      </c>
      <c r="BT1690">
        <v>0</v>
      </c>
      <c r="BU1690">
        <v>0</v>
      </c>
      <c r="BV1690">
        <v>0</v>
      </c>
    </row>
    <row r="1691" spans="67:74" x14ac:dyDescent="0.25">
      <c r="BO1691">
        <v>0</v>
      </c>
      <c r="BP1691">
        <v>0</v>
      </c>
      <c r="BQ1691">
        <v>0</v>
      </c>
      <c r="BR1691">
        <v>0</v>
      </c>
      <c r="BS1691">
        <v>0</v>
      </c>
      <c r="BT1691">
        <v>0</v>
      </c>
      <c r="BU1691">
        <v>0</v>
      </c>
      <c r="BV1691">
        <v>0</v>
      </c>
    </row>
    <row r="1692" spans="67:74" x14ac:dyDescent="0.25">
      <c r="BO1692">
        <v>0</v>
      </c>
      <c r="BP1692">
        <v>0</v>
      </c>
      <c r="BQ1692">
        <v>0</v>
      </c>
      <c r="BR1692">
        <v>0</v>
      </c>
      <c r="BS1692">
        <v>0</v>
      </c>
      <c r="BT1692">
        <v>0</v>
      </c>
      <c r="BU1692">
        <v>0</v>
      </c>
      <c r="BV1692">
        <v>0</v>
      </c>
    </row>
    <row r="1693" spans="67:74" x14ac:dyDescent="0.25">
      <c r="BO1693">
        <v>0</v>
      </c>
      <c r="BP1693">
        <v>0</v>
      </c>
      <c r="BQ1693">
        <v>0</v>
      </c>
      <c r="BR1693">
        <v>0</v>
      </c>
      <c r="BS1693">
        <v>0</v>
      </c>
      <c r="BT1693">
        <v>0</v>
      </c>
      <c r="BU1693">
        <v>0</v>
      </c>
      <c r="BV1693">
        <v>0</v>
      </c>
    </row>
    <row r="1694" spans="67:74" x14ac:dyDescent="0.25">
      <c r="BO1694">
        <v>0</v>
      </c>
      <c r="BP1694">
        <v>0</v>
      </c>
      <c r="BQ1694">
        <v>0</v>
      </c>
      <c r="BR1694">
        <v>0</v>
      </c>
      <c r="BS1694">
        <v>0</v>
      </c>
      <c r="BT1694">
        <v>0</v>
      </c>
      <c r="BU1694">
        <v>0</v>
      </c>
      <c r="BV1694">
        <v>0</v>
      </c>
    </row>
    <row r="1695" spans="67:74" x14ac:dyDescent="0.25">
      <c r="BO1695">
        <v>0</v>
      </c>
      <c r="BP1695">
        <v>0</v>
      </c>
      <c r="BQ1695">
        <v>0</v>
      </c>
      <c r="BR1695">
        <v>0</v>
      </c>
      <c r="BS1695">
        <v>0</v>
      </c>
      <c r="BT1695">
        <v>0</v>
      </c>
      <c r="BU1695">
        <v>0</v>
      </c>
      <c r="BV1695">
        <v>0</v>
      </c>
    </row>
    <row r="1696" spans="67:74" x14ac:dyDescent="0.25">
      <c r="BO1696">
        <v>0</v>
      </c>
      <c r="BP1696">
        <v>0</v>
      </c>
      <c r="BQ1696">
        <v>0</v>
      </c>
      <c r="BR1696">
        <v>0</v>
      </c>
      <c r="BS1696">
        <v>0</v>
      </c>
      <c r="BT1696">
        <v>0</v>
      </c>
      <c r="BU1696">
        <v>0</v>
      </c>
      <c r="BV1696">
        <v>0</v>
      </c>
    </row>
    <row r="1697" spans="41:74" x14ac:dyDescent="0.25">
      <c r="BO1697">
        <v>0</v>
      </c>
      <c r="BP1697">
        <v>0</v>
      </c>
      <c r="BQ1697">
        <v>0</v>
      </c>
      <c r="BR1697">
        <v>0</v>
      </c>
      <c r="BS1697">
        <v>0</v>
      </c>
      <c r="BT1697">
        <v>0</v>
      </c>
      <c r="BU1697">
        <v>0</v>
      </c>
      <c r="BV1697">
        <v>0</v>
      </c>
    </row>
    <row r="1698" spans="41:74" x14ac:dyDescent="0.25">
      <c r="BO1698">
        <v>0</v>
      </c>
      <c r="BP1698">
        <v>0</v>
      </c>
      <c r="BQ1698">
        <v>0</v>
      </c>
      <c r="BR1698">
        <v>0</v>
      </c>
      <c r="BS1698">
        <v>0</v>
      </c>
      <c r="BT1698">
        <v>0</v>
      </c>
      <c r="BU1698">
        <v>0</v>
      </c>
      <c r="BV1698">
        <v>0</v>
      </c>
    </row>
    <row r="1699" spans="41:74" x14ac:dyDescent="0.25">
      <c r="BO1699">
        <v>0</v>
      </c>
      <c r="BP1699">
        <v>0</v>
      </c>
      <c r="BQ1699">
        <v>0</v>
      </c>
      <c r="BR1699">
        <v>0</v>
      </c>
      <c r="BS1699">
        <v>0</v>
      </c>
      <c r="BT1699">
        <v>0</v>
      </c>
      <c r="BU1699">
        <v>0</v>
      </c>
      <c r="BV1699">
        <v>0</v>
      </c>
    </row>
    <row r="1700" spans="41:74" x14ac:dyDescent="0.25">
      <c r="BO1700">
        <v>0</v>
      </c>
      <c r="BP1700">
        <v>0</v>
      </c>
      <c r="BQ1700">
        <v>0</v>
      </c>
      <c r="BR1700">
        <v>0</v>
      </c>
      <c r="BS1700">
        <v>0</v>
      </c>
      <c r="BT1700">
        <v>0</v>
      </c>
      <c r="BU1700">
        <v>0</v>
      </c>
      <c r="BV1700">
        <v>0</v>
      </c>
    </row>
    <row r="1701" spans="41:74" x14ac:dyDescent="0.25">
      <c r="BO1701">
        <v>0</v>
      </c>
      <c r="BP1701">
        <v>0</v>
      </c>
      <c r="BQ1701">
        <v>0</v>
      </c>
      <c r="BR1701">
        <v>0</v>
      </c>
      <c r="BS1701">
        <v>0</v>
      </c>
      <c r="BT1701">
        <v>0</v>
      </c>
      <c r="BU1701">
        <v>0</v>
      </c>
      <c r="BV1701">
        <v>0</v>
      </c>
    </row>
    <row r="1702" spans="41:74" x14ac:dyDescent="0.25">
      <c r="BO1702">
        <v>0</v>
      </c>
      <c r="BP1702">
        <v>0</v>
      </c>
      <c r="BQ1702">
        <v>0</v>
      </c>
      <c r="BR1702">
        <v>0</v>
      </c>
      <c r="BS1702">
        <v>0</v>
      </c>
      <c r="BT1702">
        <v>0</v>
      </c>
      <c r="BU1702">
        <v>0</v>
      </c>
      <c r="BV1702">
        <v>0</v>
      </c>
    </row>
    <row r="1703" spans="41:74" x14ac:dyDescent="0.25">
      <c r="BO1703">
        <v>0</v>
      </c>
      <c r="BP1703">
        <v>0</v>
      </c>
      <c r="BQ1703">
        <v>0</v>
      </c>
      <c r="BR1703">
        <v>0</v>
      </c>
      <c r="BS1703">
        <v>0</v>
      </c>
      <c r="BT1703">
        <v>0</v>
      </c>
      <c r="BU1703">
        <v>0</v>
      </c>
      <c r="BV1703">
        <v>0</v>
      </c>
    </row>
    <row r="1704" spans="41:74" x14ac:dyDescent="0.25">
      <c r="BO1704">
        <v>0</v>
      </c>
      <c r="BP1704">
        <v>0</v>
      </c>
      <c r="BQ1704">
        <v>0</v>
      </c>
      <c r="BR1704">
        <v>0</v>
      </c>
      <c r="BS1704">
        <v>0</v>
      </c>
      <c r="BT1704">
        <v>0</v>
      </c>
      <c r="BU1704">
        <v>0</v>
      </c>
      <c r="BV1704">
        <v>0</v>
      </c>
    </row>
    <row r="1705" spans="41:74" x14ac:dyDescent="0.25">
      <c r="BO1705">
        <v>0</v>
      </c>
      <c r="BP1705">
        <v>0</v>
      </c>
      <c r="BQ1705">
        <v>0</v>
      </c>
      <c r="BR1705">
        <v>0</v>
      </c>
      <c r="BS1705">
        <v>0</v>
      </c>
      <c r="BT1705">
        <v>0</v>
      </c>
      <c r="BU1705">
        <v>0</v>
      </c>
      <c r="BV1705">
        <v>0</v>
      </c>
    </row>
    <row r="1706" spans="41:74" x14ac:dyDescent="0.25">
      <c r="BO1706">
        <v>0</v>
      </c>
      <c r="BP1706">
        <v>0</v>
      </c>
      <c r="BQ1706">
        <v>0</v>
      </c>
      <c r="BR1706">
        <v>0</v>
      </c>
      <c r="BS1706">
        <v>0</v>
      </c>
      <c r="BT1706">
        <v>0</v>
      </c>
      <c r="BU1706">
        <v>0</v>
      </c>
      <c r="BV1706">
        <v>0</v>
      </c>
    </row>
    <row r="1707" spans="41:74" x14ac:dyDescent="0.25">
      <c r="BO1707">
        <v>0</v>
      </c>
      <c r="BP1707">
        <v>0</v>
      </c>
      <c r="BQ1707">
        <v>0</v>
      </c>
      <c r="BR1707">
        <v>0</v>
      </c>
      <c r="BS1707">
        <v>0</v>
      </c>
      <c r="BT1707">
        <v>0</v>
      </c>
      <c r="BU1707">
        <v>0</v>
      </c>
      <c r="BV1707">
        <v>0</v>
      </c>
    </row>
    <row r="1708" spans="41:74" x14ac:dyDescent="0.25">
      <c r="BO1708">
        <v>0</v>
      </c>
      <c r="BP1708">
        <v>0</v>
      </c>
      <c r="BQ1708">
        <v>0</v>
      </c>
      <c r="BR1708">
        <v>0</v>
      </c>
      <c r="BS1708">
        <v>0</v>
      </c>
      <c r="BT1708">
        <v>0</v>
      </c>
      <c r="BU1708">
        <v>0</v>
      </c>
      <c r="BV1708">
        <v>0</v>
      </c>
    </row>
    <row r="1709" spans="41:74" x14ac:dyDescent="0.25">
      <c r="BO1709">
        <v>0</v>
      </c>
      <c r="BP1709">
        <v>0</v>
      </c>
      <c r="BQ1709">
        <v>0</v>
      </c>
      <c r="BR1709">
        <v>0</v>
      </c>
      <c r="BS1709">
        <v>0</v>
      </c>
      <c r="BT1709">
        <v>0</v>
      </c>
      <c r="BU1709">
        <v>0</v>
      </c>
      <c r="BV1709">
        <v>0</v>
      </c>
    </row>
    <row r="1710" spans="41:74" x14ac:dyDescent="0.25">
      <c r="AO1710" s="12"/>
      <c r="AX1710" s="12"/>
      <c r="AY1710" s="12"/>
      <c r="AZ1710" s="12"/>
      <c r="BA1710" s="12"/>
      <c r="BB1710" s="12"/>
      <c r="BE1710" s="12"/>
      <c r="BF1710" s="12"/>
      <c r="BG1710" s="12"/>
      <c r="BH1710" s="12"/>
      <c r="BI1710" s="12"/>
      <c r="BK1710" s="12"/>
      <c r="BL1710" s="12"/>
      <c r="BM1710" s="12"/>
      <c r="BN1710" s="7"/>
      <c r="BO1710">
        <v>0</v>
      </c>
      <c r="BP1710">
        <v>0</v>
      </c>
      <c r="BQ1710">
        <v>0</v>
      </c>
      <c r="BR1710">
        <v>0</v>
      </c>
      <c r="BS1710">
        <v>0</v>
      </c>
      <c r="BT1710">
        <v>0</v>
      </c>
      <c r="BU1710">
        <v>0</v>
      </c>
      <c r="BV1710">
        <v>0</v>
      </c>
    </row>
    <row r="1711" spans="41:74" x14ac:dyDescent="0.25">
      <c r="AO1711" s="12"/>
      <c r="AX1711" s="12"/>
      <c r="AY1711" s="12"/>
      <c r="AZ1711" s="12"/>
      <c r="BA1711" s="12"/>
      <c r="BB1711" s="12"/>
      <c r="BE1711" s="12"/>
      <c r="BF1711" s="12"/>
      <c r="BG1711" s="12"/>
      <c r="BH1711" s="12"/>
      <c r="BI1711" s="12"/>
      <c r="BK1711" s="12"/>
      <c r="BL1711" s="12"/>
      <c r="BM1711" s="12"/>
      <c r="BN1711" s="7"/>
      <c r="BO1711">
        <v>0</v>
      </c>
      <c r="BP1711">
        <v>0</v>
      </c>
      <c r="BQ1711">
        <v>0</v>
      </c>
      <c r="BR1711">
        <v>0</v>
      </c>
      <c r="BS1711">
        <v>0</v>
      </c>
      <c r="BT1711">
        <v>0</v>
      </c>
      <c r="BU1711">
        <v>0</v>
      </c>
      <c r="BV1711">
        <v>0</v>
      </c>
    </row>
    <row r="1712" spans="41:74" x14ac:dyDescent="0.25">
      <c r="AO1712" s="12"/>
      <c r="AX1712" s="12"/>
      <c r="AY1712" s="12"/>
      <c r="AZ1712" s="12"/>
      <c r="BA1712" s="12"/>
      <c r="BB1712" s="12"/>
      <c r="BE1712" s="12"/>
      <c r="BF1712" s="12"/>
      <c r="BG1712" s="12"/>
      <c r="BH1712" s="12"/>
      <c r="BI1712" s="12"/>
      <c r="BK1712" s="12"/>
      <c r="BL1712" s="12"/>
      <c r="BM1712" s="12"/>
      <c r="BN1712" s="7"/>
      <c r="BO1712">
        <v>0</v>
      </c>
      <c r="BP1712">
        <v>0</v>
      </c>
      <c r="BQ1712">
        <v>0</v>
      </c>
      <c r="BR1712">
        <v>0</v>
      </c>
      <c r="BS1712">
        <v>0</v>
      </c>
      <c r="BT1712">
        <v>0</v>
      </c>
      <c r="BU1712">
        <v>0</v>
      </c>
      <c r="BV1712">
        <v>0</v>
      </c>
    </row>
    <row r="1713" spans="41:74" x14ac:dyDescent="0.25">
      <c r="AO1713" s="12"/>
      <c r="AX1713" s="12"/>
      <c r="AY1713" s="12"/>
      <c r="AZ1713" s="12"/>
      <c r="BA1713" s="12"/>
      <c r="BB1713" s="12"/>
      <c r="BE1713" s="12"/>
      <c r="BF1713" s="12"/>
      <c r="BG1713" s="12"/>
      <c r="BH1713" s="12"/>
      <c r="BI1713" s="12"/>
      <c r="BK1713" s="12"/>
      <c r="BL1713" s="12"/>
      <c r="BM1713" s="12"/>
      <c r="BN1713" s="7"/>
      <c r="BO1713">
        <v>0</v>
      </c>
      <c r="BP1713">
        <v>0</v>
      </c>
      <c r="BQ1713">
        <v>0</v>
      </c>
      <c r="BR1713">
        <v>0</v>
      </c>
      <c r="BS1713">
        <v>0</v>
      </c>
      <c r="BT1713">
        <v>0</v>
      </c>
      <c r="BU1713">
        <v>0</v>
      </c>
      <c r="BV1713">
        <v>0</v>
      </c>
    </row>
    <row r="1714" spans="41:74" x14ac:dyDescent="0.25">
      <c r="AO1714" s="12"/>
      <c r="AX1714" s="12"/>
      <c r="AY1714" s="12"/>
      <c r="AZ1714" s="12"/>
      <c r="BA1714" s="12"/>
      <c r="BB1714" s="12"/>
      <c r="BE1714" s="12"/>
      <c r="BF1714" s="12"/>
      <c r="BG1714" s="12"/>
      <c r="BH1714" s="12"/>
      <c r="BI1714" s="12"/>
      <c r="BK1714" s="12"/>
      <c r="BL1714" s="12"/>
      <c r="BM1714" s="12"/>
      <c r="BN1714" s="7"/>
      <c r="BO1714">
        <v>0</v>
      </c>
      <c r="BP1714">
        <v>0</v>
      </c>
      <c r="BQ1714">
        <v>0</v>
      </c>
      <c r="BR1714">
        <v>0</v>
      </c>
      <c r="BS1714">
        <v>0</v>
      </c>
      <c r="BT1714">
        <v>0</v>
      </c>
      <c r="BU1714">
        <v>0</v>
      </c>
      <c r="BV1714">
        <v>0</v>
      </c>
    </row>
    <row r="1715" spans="41:74" x14ac:dyDescent="0.25">
      <c r="AO1715" s="12"/>
      <c r="AX1715" s="12"/>
      <c r="AY1715" s="12"/>
      <c r="AZ1715" s="12"/>
      <c r="BA1715" s="12"/>
      <c r="BB1715" s="12"/>
      <c r="BE1715" s="12"/>
      <c r="BF1715" s="12"/>
      <c r="BG1715" s="12"/>
      <c r="BH1715" s="12"/>
      <c r="BI1715" s="12"/>
      <c r="BK1715" s="12"/>
      <c r="BL1715" s="12"/>
      <c r="BM1715" s="12"/>
      <c r="BN1715" s="7"/>
      <c r="BO1715">
        <v>0</v>
      </c>
      <c r="BP1715">
        <v>0</v>
      </c>
      <c r="BQ1715">
        <v>0</v>
      </c>
      <c r="BR1715">
        <v>0</v>
      </c>
      <c r="BS1715">
        <v>0</v>
      </c>
      <c r="BT1715">
        <v>0</v>
      </c>
      <c r="BU1715">
        <v>0</v>
      </c>
      <c r="BV1715">
        <v>0</v>
      </c>
    </row>
    <row r="1716" spans="41:74" x14ac:dyDescent="0.25">
      <c r="AO1716" s="12"/>
      <c r="AX1716" s="12"/>
      <c r="AY1716" s="12"/>
      <c r="AZ1716" s="12"/>
      <c r="BA1716" s="12"/>
      <c r="BB1716" s="12"/>
      <c r="BE1716" s="12"/>
      <c r="BF1716" s="12"/>
      <c r="BG1716" s="12"/>
      <c r="BH1716" s="12"/>
      <c r="BI1716" s="12"/>
      <c r="BK1716" s="12"/>
      <c r="BL1716" s="12"/>
      <c r="BM1716" s="12"/>
      <c r="BN1716" s="7"/>
      <c r="BO1716">
        <v>0</v>
      </c>
      <c r="BP1716">
        <v>0</v>
      </c>
      <c r="BQ1716">
        <v>0</v>
      </c>
      <c r="BR1716">
        <v>0</v>
      </c>
      <c r="BS1716">
        <v>0</v>
      </c>
      <c r="BT1716">
        <v>0</v>
      </c>
      <c r="BU1716">
        <v>0</v>
      </c>
      <c r="BV1716">
        <v>0</v>
      </c>
    </row>
    <row r="1717" spans="41:74" x14ac:dyDescent="0.25">
      <c r="AO1717" s="12"/>
      <c r="AX1717" s="12"/>
      <c r="AY1717" s="12"/>
      <c r="AZ1717" s="12"/>
      <c r="BA1717" s="12"/>
      <c r="BB1717" s="12"/>
      <c r="BE1717" s="12"/>
      <c r="BF1717" s="12"/>
      <c r="BG1717" s="12"/>
      <c r="BH1717" s="12"/>
      <c r="BI1717" s="12"/>
      <c r="BK1717" s="12"/>
      <c r="BL1717" s="12"/>
      <c r="BM1717" s="12"/>
      <c r="BN1717" s="7"/>
      <c r="BO1717">
        <v>0</v>
      </c>
      <c r="BP1717">
        <v>0</v>
      </c>
      <c r="BQ1717">
        <v>0</v>
      </c>
      <c r="BR1717">
        <v>0</v>
      </c>
      <c r="BS1717">
        <v>0</v>
      </c>
      <c r="BT1717">
        <v>0</v>
      </c>
      <c r="BU1717">
        <v>0</v>
      </c>
      <c r="BV1717">
        <v>0</v>
      </c>
    </row>
    <row r="1718" spans="41:74" x14ac:dyDescent="0.25">
      <c r="AO1718" s="12"/>
      <c r="AX1718" s="12"/>
      <c r="AY1718" s="12"/>
      <c r="AZ1718" s="12"/>
      <c r="BA1718" s="12"/>
      <c r="BB1718" s="12"/>
      <c r="BE1718" s="12"/>
      <c r="BF1718" s="12"/>
      <c r="BG1718" s="12"/>
      <c r="BH1718" s="12"/>
      <c r="BI1718" s="12"/>
      <c r="BK1718" s="12"/>
      <c r="BL1718" s="12"/>
      <c r="BM1718" s="12"/>
      <c r="BN1718" s="7"/>
      <c r="BO1718">
        <v>0</v>
      </c>
      <c r="BP1718">
        <v>0</v>
      </c>
      <c r="BQ1718">
        <v>0</v>
      </c>
      <c r="BR1718">
        <v>0</v>
      </c>
      <c r="BS1718">
        <v>0</v>
      </c>
      <c r="BT1718">
        <v>0</v>
      </c>
      <c r="BU1718">
        <v>0</v>
      </c>
      <c r="BV1718">
        <v>0</v>
      </c>
    </row>
    <row r="1719" spans="41:74" x14ac:dyDescent="0.25">
      <c r="AO1719" s="12"/>
      <c r="AX1719" s="12"/>
      <c r="AY1719" s="12"/>
      <c r="AZ1719" s="12"/>
      <c r="BA1719" s="12"/>
      <c r="BB1719" s="12"/>
      <c r="BE1719" s="12"/>
      <c r="BF1719" s="12"/>
      <c r="BG1719" s="12"/>
      <c r="BH1719" s="12"/>
      <c r="BI1719" s="12"/>
      <c r="BK1719" s="12"/>
      <c r="BL1719" s="12"/>
      <c r="BM1719" s="12"/>
      <c r="BN1719" s="7"/>
      <c r="BO1719">
        <v>0</v>
      </c>
      <c r="BP1719">
        <v>0</v>
      </c>
      <c r="BQ1719">
        <v>0</v>
      </c>
      <c r="BR1719">
        <v>0</v>
      </c>
      <c r="BS1719">
        <v>0</v>
      </c>
      <c r="BT1719">
        <v>0</v>
      </c>
      <c r="BU1719">
        <v>0</v>
      </c>
      <c r="BV1719">
        <v>0</v>
      </c>
    </row>
    <row r="1720" spans="41:74" x14ac:dyDescent="0.25">
      <c r="AO1720" s="12"/>
      <c r="AX1720" s="12"/>
      <c r="AY1720" s="12"/>
      <c r="AZ1720" s="12"/>
      <c r="BA1720" s="12"/>
      <c r="BB1720" s="12"/>
      <c r="BE1720" s="12"/>
      <c r="BF1720" s="12"/>
      <c r="BG1720" s="12"/>
      <c r="BH1720" s="12"/>
      <c r="BI1720" s="12"/>
      <c r="BK1720" s="12"/>
      <c r="BL1720" s="12"/>
      <c r="BM1720" s="12"/>
      <c r="BN1720" s="7"/>
      <c r="BO1720">
        <v>0</v>
      </c>
      <c r="BP1720">
        <v>0</v>
      </c>
      <c r="BQ1720">
        <v>0</v>
      </c>
      <c r="BR1720">
        <v>0</v>
      </c>
      <c r="BS1720">
        <v>0</v>
      </c>
      <c r="BT1720">
        <v>0</v>
      </c>
      <c r="BU1720">
        <v>0</v>
      </c>
      <c r="BV1720">
        <v>0</v>
      </c>
    </row>
    <row r="1721" spans="41:74" x14ac:dyDescent="0.25">
      <c r="AO1721" s="12"/>
      <c r="AX1721" s="12"/>
      <c r="AY1721" s="12"/>
      <c r="AZ1721" s="12"/>
      <c r="BA1721" s="12"/>
      <c r="BB1721" s="12"/>
      <c r="BE1721" s="12"/>
      <c r="BF1721" s="12"/>
      <c r="BG1721" s="12"/>
      <c r="BH1721" s="12"/>
      <c r="BI1721" s="12"/>
      <c r="BK1721" s="12"/>
      <c r="BL1721" s="12"/>
      <c r="BM1721" s="12"/>
      <c r="BN1721" s="7"/>
      <c r="BO1721">
        <v>0</v>
      </c>
      <c r="BP1721">
        <v>0</v>
      </c>
      <c r="BQ1721">
        <v>0</v>
      </c>
      <c r="BR1721">
        <v>0</v>
      </c>
      <c r="BS1721">
        <v>0</v>
      </c>
      <c r="BT1721">
        <v>0</v>
      </c>
      <c r="BU1721">
        <v>0</v>
      </c>
      <c r="BV1721">
        <v>0</v>
      </c>
    </row>
    <row r="1722" spans="41:74" x14ac:dyDescent="0.25">
      <c r="AO1722" s="12"/>
      <c r="AX1722" s="12"/>
      <c r="AY1722" s="12"/>
      <c r="AZ1722" s="12"/>
      <c r="BA1722" s="12"/>
      <c r="BB1722" s="12"/>
      <c r="BE1722" s="12"/>
      <c r="BF1722" s="12"/>
      <c r="BG1722" s="12"/>
      <c r="BH1722" s="12"/>
      <c r="BI1722" s="12"/>
      <c r="BK1722" s="12"/>
      <c r="BL1722" s="12"/>
      <c r="BM1722" s="12"/>
      <c r="BN1722" s="7"/>
      <c r="BO1722">
        <v>0</v>
      </c>
      <c r="BP1722">
        <v>0</v>
      </c>
      <c r="BQ1722">
        <v>0</v>
      </c>
      <c r="BR1722">
        <v>0</v>
      </c>
      <c r="BS1722">
        <v>0</v>
      </c>
      <c r="BT1722">
        <v>0</v>
      </c>
      <c r="BU1722">
        <v>0</v>
      </c>
      <c r="BV1722">
        <v>0</v>
      </c>
    </row>
    <row r="1723" spans="41:74" x14ac:dyDescent="0.25">
      <c r="AO1723" s="12"/>
      <c r="AX1723" s="12"/>
      <c r="AY1723" s="12"/>
      <c r="AZ1723" s="12"/>
      <c r="BA1723" s="12"/>
      <c r="BB1723" s="12"/>
      <c r="BE1723" s="12"/>
      <c r="BF1723" s="12"/>
      <c r="BG1723" s="12"/>
      <c r="BH1723" s="12"/>
      <c r="BI1723" s="12"/>
      <c r="BK1723" s="12"/>
      <c r="BL1723" s="12"/>
      <c r="BM1723" s="12"/>
      <c r="BN1723" s="7"/>
      <c r="BO1723">
        <v>0</v>
      </c>
      <c r="BP1723">
        <v>0</v>
      </c>
      <c r="BQ1723">
        <v>0</v>
      </c>
      <c r="BR1723">
        <v>0</v>
      </c>
      <c r="BS1723">
        <v>0</v>
      </c>
      <c r="BT1723">
        <v>0</v>
      </c>
      <c r="BU1723">
        <v>0</v>
      </c>
      <c r="BV1723">
        <v>0</v>
      </c>
    </row>
    <row r="1724" spans="41:74" x14ac:dyDescent="0.25">
      <c r="AO1724" s="12"/>
      <c r="AX1724" s="12"/>
      <c r="AY1724" s="12"/>
      <c r="AZ1724" s="12"/>
      <c r="BA1724" s="12"/>
      <c r="BB1724" s="12"/>
      <c r="BE1724" s="12"/>
      <c r="BF1724" s="12"/>
      <c r="BG1724" s="12"/>
      <c r="BH1724" s="12"/>
      <c r="BI1724" s="12"/>
      <c r="BK1724" s="12"/>
      <c r="BL1724" s="12"/>
      <c r="BM1724" s="12"/>
      <c r="BN1724" s="7"/>
      <c r="BO1724">
        <v>0</v>
      </c>
      <c r="BP1724">
        <v>0</v>
      </c>
      <c r="BQ1724">
        <v>0</v>
      </c>
      <c r="BR1724">
        <v>0</v>
      </c>
      <c r="BS1724">
        <v>0</v>
      </c>
      <c r="BT1724">
        <v>0</v>
      </c>
      <c r="BU1724">
        <v>0</v>
      </c>
      <c r="BV1724">
        <v>0</v>
      </c>
    </row>
    <row r="1725" spans="41:74" x14ac:dyDescent="0.25">
      <c r="AO1725" s="12"/>
      <c r="AX1725" s="12"/>
      <c r="AY1725" s="12"/>
      <c r="AZ1725" s="12"/>
      <c r="BA1725" s="12"/>
      <c r="BB1725" s="12"/>
      <c r="BE1725" s="12"/>
      <c r="BF1725" s="12"/>
      <c r="BG1725" s="12"/>
      <c r="BH1725" s="12"/>
      <c r="BI1725" s="12"/>
      <c r="BK1725" s="12"/>
      <c r="BL1725" s="12"/>
      <c r="BM1725" s="12"/>
      <c r="BN1725" s="7"/>
      <c r="BO1725">
        <v>0</v>
      </c>
      <c r="BP1725">
        <v>0</v>
      </c>
      <c r="BQ1725">
        <v>0</v>
      </c>
      <c r="BR1725">
        <v>0</v>
      </c>
      <c r="BS1725">
        <v>0</v>
      </c>
      <c r="BT1725">
        <v>0</v>
      </c>
      <c r="BU1725">
        <v>0</v>
      </c>
      <c r="BV1725">
        <v>0</v>
      </c>
    </row>
    <row r="1726" spans="41:74" x14ac:dyDescent="0.25">
      <c r="AO1726" s="12"/>
      <c r="AX1726" s="12"/>
      <c r="AY1726" s="12"/>
      <c r="AZ1726" s="12"/>
      <c r="BA1726" s="12"/>
      <c r="BB1726" s="12"/>
      <c r="BE1726" s="12"/>
      <c r="BF1726" s="12"/>
      <c r="BG1726" s="12"/>
      <c r="BH1726" s="12"/>
      <c r="BI1726" s="12"/>
      <c r="BK1726" s="12"/>
      <c r="BL1726" s="12"/>
      <c r="BM1726" s="12"/>
      <c r="BN1726" s="7"/>
      <c r="BO1726">
        <v>0</v>
      </c>
      <c r="BP1726">
        <v>0</v>
      </c>
      <c r="BQ1726">
        <v>0</v>
      </c>
      <c r="BR1726">
        <v>0</v>
      </c>
      <c r="BS1726">
        <v>0</v>
      </c>
      <c r="BT1726">
        <v>0</v>
      </c>
      <c r="BU1726">
        <v>0</v>
      </c>
      <c r="BV1726">
        <v>0</v>
      </c>
    </row>
    <row r="1727" spans="41:74" x14ac:dyDescent="0.25">
      <c r="AO1727" s="12"/>
      <c r="AX1727" s="12"/>
      <c r="AY1727" s="12"/>
      <c r="AZ1727" s="12"/>
      <c r="BA1727" s="12"/>
      <c r="BB1727" s="12"/>
      <c r="BE1727" s="12"/>
      <c r="BF1727" s="12"/>
      <c r="BG1727" s="12"/>
      <c r="BH1727" s="12"/>
      <c r="BI1727" s="12"/>
      <c r="BK1727" s="12"/>
      <c r="BL1727" s="12"/>
      <c r="BM1727" s="12"/>
      <c r="BN1727" s="7"/>
      <c r="BO1727">
        <v>0</v>
      </c>
      <c r="BP1727">
        <v>0</v>
      </c>
      <c r="BQ1727">
        <v>0</v>
      </c>
      <c r="BR1727">
        <v>0</v>
      </c>
      <c r="BS1727">
        <v>0</v>
      </c>
      <c r="BT1727">
        <v>0</v>
      </c>
      <c r="BU1727">
        <v>0</v>
      </c>
      <c r="BV1727">
        <v>0</v>
      </c>
    </row>
    <row r="1728" spans="41:74" x14ac:dyDescent="0.25">
      <c r="AO1728" s="12"/>
      <c r="AX1728" s="12"/>
      <c r="AY1728" s="12"/>
      <c r="AZ1728" s="12"/>
      <c r="BA1728" s="12"/>
      <c r="BB1728" s="12"/>
      <c r="BE1728" s="12"/>
      <c r="BF1728" s="12"/>
      <c r="BG1728" s="12"/>
      <c r="BH1728" s="12"/>
      <c r="BI1728" s="12"/>
      <c r="BK1728" s="12"/>
      <c r="BL1728" s="12"/>
      <c r="BM1728" s="12"/>
      <c r="BN1728" s="7"/>
      <c r="BO1728">
        <v>0</v>
      </c>
      <c r="BP1728">
        <v>0</v>
      </c>
      <c r="BQ1728">
        <v>0</v>
      </c>
      <c r="BR1728">
        <v>0</v>
      </c>
      <c r="BS1728">
        <v>0</v>
      </c>
      <c r="BT1728">
        <v>0</v>
      </c>
      <c r="BU1728">
        <v>0</v>
      </c>
      <c r="BV1728">
        <v>0</v>
      </c>
    </row>
    <row r="1729" spans="1:80" x14ac:dyDescent="0.25">
      <c r="AO1729" s="12"/>
      <c r="AX1729" s="12"/>
      <c r="AY1729" s="12"/>
      <c r="AZ1729" s="12"/>
      <c r="BA1729" s="12"/>
      <c r="BB1729" s="12"/>
      <c r="BE1729" s="12"/>
      <c r="BF1729" s="12"/>
      <c r="BG1729" s="12"/>
      <c r="BH1729" s="12"/>
      <c r="BI1729" s="12"/>
      <c r="BK1729" s="12"/>
      <c r="BL1729" s="12"/>
      <c r="BM1729" s="12"/>
      <c r="BN1729" s="7"/>
      <c r="BO1729">
        <v>0</v>
      </c>
      <c r="BP1729">
        <v>0</v>
      </c>
      <c r="BQ1729">
        <v>0</v>
      </c>
      <c r="BR1729">
        <v>0</v>
      </c>
      <c r="BS1729">
        <v>0</v>
      </c>
      <c r="BT1729">
        <v>0</v>
      </c>
      <c r="BU1729">
        <v>0</v>
      </c>
      <c r="BV1729">
        <v>0</v>
      </c>
    </row>
    <row r="1730" spans="1:80" x14ac:dyDescent="0.25">
      <c r="AO1730" s="12"/>
      <c r="AX1730" s="12"/>
      <c r="AY1730" s="12"/>
      <c r="AZ1730" s="12"/>
      <c r="BA1730" s="12"/>
      <c r="BB1730" s="12"/>
      <c r="BE1730" s="12"/>
      <c r="BF1730" s="12"/>
      <c r="BG1730" s="12"/>
      <c r="BH1730" s="12"/>
      <c r="BI1730" s="12"/>
      <c r="BK1730" s="12"/>
      <c r="BL1730" s="12"/>
      <c r="BM1730" s="12"/>
      <c r="BN1730" s="7"/>
      <c r="BO1730">
        <v>0</v>
      </c>
      <c r="BP1730">
        <v>0</v>
      </c>
      <c r="BQ1730">
        <v>0</v>
      </c>
      <c r="BR1730">
        <v>0</v>
      </c>
      <c r="BS1730">
        <v>0</v>
      </c>
      <c r="BT1730">
        <v>0</v>
      </c>
      <c r="BU1730">
        <v>0</v>
      </c>
      <c r="BV1730">
        <v>0</v>
      </c>
    </row>
    <row r="1731" spans="1:80" x14ac:dyDescent="0.25">
      <c r="AO1731" s="12"/>
      <c r="AX1731" s="12"/>
      <c r="AY1731" s="12"/>
      <c r="AZ1731" s="12"/>
      <c r="BA1731" s="12"/>
      <c r="BB1731" s="12"/>
      <c r="BE1731" s="12"/>
      <c r="BF1731" s="12"/>
      <c r="BG1731" s="12"/>
      <c r="BH1731" s="12"/>
      <c r="BI1731" s="12"/>
      <c r="BK1731" s="12"/>
      <c r="BL1731" s="12"/>
      <c r="BM1731" s="12"/>
      <c r="BN1731" s="7"/>
      <c r="BO1731">
        <v>0</v>
      </c>
      <c r="BP1731">
        <v>0</v>
      </c>
      <c r="BQ1731">
        <v>0</v>
      </c>
      <c r="BR1731">
        <v>0</v>
      </c>
      <c r="BS1731">
        <v>0</v>
      </c>
      <c r="BT1731">
        <v>0</v>
      </c>
      <c r="BU1731">
        <v>0</v>
      </c>
      <c r="BV1731">
        <v>0</v>
      </c>
    </row>
    <row r="1732" spans="1:80" x14ac:dyDescent="0.25">
      <c r="AO1732" s="12"/>
      <c r="AX1732" s="12"/>
      <c r="AY1732" s="12"/>
      <c r="AZ1732" s="12"/>
      <c r="BA1732" s="12"/>
      <c r="BB1732" s="12"/>
      <c r="BE1732" s="12"/>
      <c r="BF1732" s="12"/>
      <c r="BG1732" s="12"/>
      <c r="BH1732" s="12"/>
      <c r="BI1732" s="12"/>
      <c r="BK1732" s="12"/>
      <c r="BL1732" s="12"/>
      <c r="BM1732" s="12"/>
      <c r="BN1732" s="7"/>
      <c r="BO1732">
        <v>0</v>
      </c>
      <c r="BP1732">
        <v>0</v>
      </c>
      <c r="BQ1732">
        <v>0</v>
      </c>
      <c r="BR1732">
        <v>0</v>
      </c>
      <c r="BS1732">
        <v>0</v>
      </c>
      <c r="BT1732">
        <v>0</v>
      </c>
      <c r="BU1732">
        <v>0</v>
      </c>
      <c r="BV1732">
        <v>0</v>
      </c>
    </row>
    <row r="1733" spans="1:80" x14ac:dyDescent="0.25">
      <c r="AO1733" s="12"/>
      <c r="AX1733" s="12"/>
      <c r="AY1733" s="12"/>
      <c r="AZ1733" s="12"/>
      <c r="BA1733" s="12"/>
      <c r="BB1733" s="12"/>
      <c r="BE1733" s="12"/>
      <c r="BF1733" s="12"/>
      <c r="BG1733" s="12"/>
      <c r="BH1733" s="12"/>
      <c r="BI1733" s="12"/>
      <c r="BK1733" s="12"/>
      <c r="BL1733" s="12"/>
      <c r="BM1733" s="12"/>
      <c r="BN1733" s="7"/>
      <c r="BO1733">
        <v>0</v>
      </c>
      <c r="BP1733">
        <v>0</v>
      </c>
      <c r="BQ1733">
        <v>0</v>
      </c>
      <c r="BR1733">
        <v>0</v>
      </c>
      <c r="BS1733">
        <v>0</v>
      </c>
      <c r="BT1733">
        <v>0</v>
      </c>
      <c r="BU1733">
        <v>0</v>
      </c>
      <c r="BV1733">
        <v>0</v>
      </c>
    </row>
    <row r="1734" spans="1:80" x14ac:dyDescent="0.25">
      <c r="AO1734" s="12"/>
      <c r="AX1734" s="12"/>
      <c r="AY1734" s="12"/>
      <c r="AZ1734" s="12"/>
      <c r="BA1734" s="12"/>
      <c r="BB1734" s="12"/>
      <c r="BE1734" s="12"/>
      <c r="BF1734" s="12"/>
      <c r="BG1734" s="12"/>
      <c r="BH1734" s="12"/>
      <c r="BI1734" s="12"/>
      <c r="BK1734" s="12"/>
      <c r="BL1734" s="12"/>
      <c r="BM1734" s="12"/>
      <c r="BN1734" s="7"/>
      <c r="BO1734">
        <v>0</v>
      </c>
      <c r="BP1734">
        <v>0</v>
      </c>
      <c r="BQ1734">
        <v>0</v>
      </c>
      <c r="BR1734">
        <v>0</v>
      </c>
      <c r="BS1734">
        <v>0</v>
      </c>
      <c r="BT1734">
        <v>0</v>
      </c>
      <c r="BU1734">
        <v>0</v>
      </c>
      <c r="BV1734">
        <v>0</v>
      </c>
    </row>
    <row r="1735" spans="1:80" x14ac:dyDescent="0.25">
      <c r="AO1735" s="12"/>
      <c r="AX1735" s="12"/>
      <c r="AY1735" s="12"/>
      <c r="AZ1735" s="12"/>
      <c r="BA1735" s="12"/>
      <c r="BB1735" s="12"/>
      <c r="BE1735" s="12"/>
      <c r="BF1735" s="12"/>
      <c r="BG1735" s="12"/>
      <c r="BH1735" s="12"/>
      <c r="BI1735" s="12"/>
      <c r="BK1735" s="12"/>
      <c r="BL1735" s="12"/>
      <c r="BM1735" s="12"/>
      <c r="BN1735" s="7"/>
      <c r="BO1735">
        <v>0</v>
      </c>
      <c r="BP1735">
        <v>0</v>
      </c>
      <c r="BQ1735">
        <v>0</v>
      </c>
      <c r="BR1735">
        <v>0</v>
      </c>
      <c r="BS1735">
        <v>0</v>
      </c>
      <c r="BT1735">
        <v>0</v>
      </c>
      <c r="BU1735">
        <v>0</v>
      </c>
      <c r="BV1735">
        <v>0</v>
      </c>
    </row>
    <row r="1736" spans="1:80" x14ac:dyDescent="0.25">
      <c r="AO1736" s="12"/>
      <c r="AX1736" s="12"/>
      <c r="AY1736" s="12"/>
      <c r="AZ1736" s="12"/>
      <c r="BA1736" s="12"/>
      <c r="BB1736" s="12"/>
      <c r="BE1736" s="12"/>
      <c r="BF1736" s="12"/>
      <c r="BG1736" s="12"/>
      <c r="BH1736" s="12"/>
      <c r="BI1736" s="12"/>
      <c r="BK1736" s="12"/>
      <c r="BL1736" s="12"/>
      <c r="BM1736" s="12"/>
      <c r="BN1736" s="7"/>
      <c r="BO1736">
        <v>0</v>
      </c>
      <c r="BP1736">
        <v>0</v>
      </c>
      <c r="BQ1736">
        <v>0</v>
      </c>
      <c r="BR1736">
        <v>0</v>
      </c>
      <c r="BS1736">
        <v>0</v>
      </c>
      <c r="BT1736">
        <v>0</v>
      </c>
      <c r="BU1736">
        <v>0</v>
      </c>
      <c r="BV1736">
        <v>0</v>
      </c>
    </row>
    <row r="1737" spans="1:80" x14ac:dyDescent="0.25">
      <c r="AO1737" s="12"/>
      <c r="AX1737" s="12"/>
      <c r="AY1737" s="12"/>
      <c r="AZ1737" s="12"/>
      <c r="BA1737" s="12"/>
      <c r="BB1737" s="12"/>
      <c r="BE1737" s="12"/>
      <c r="BF1737" s="12"/>
      <c r="BG1737" s="12"/>
      <c r="BH1737" s="12"/>
      <c r="BI1737" s="12"/>
      <c r="BK1737" s="12"/>
      <c r="BL1737" s="12"/>
      <c r="BM1737" s="12"/>
      <c r="BN1737" s="7"/>
      <c r="BO1737">
        <v>0</v>
      </c>
      <c r="BP1737">
        <v>0</v>
      </c>
      <c r="BQ1737">
        <v>0</v>
      </c>
      <c r="BR1737">
        <v>0</v>
      </c>
      <c r="BS1737">
        <v>0</v>
      </c>
      <c r="BT1737">
        <v>0</v>
      </c>
      <c r="BU1737">
        <v>0</v>
      </c>
      <c r="BV1737">
        <v>0</v>
      </c>
    </row>
    <row r="1738" spans="1:80" x14ac:dyDescent="0.25">
      <c r="AO1738" s="12"/>
      <c r="AX1738" s="12"/>
      <c r="AY1738" s="12"/>
      <c r="AZ1738" s="12"/>
      <c r="BA1738" s="12"/>
      <c r="BB1738" s="12"/>
      <c r="BE1738" s="12"/>
      <c r="BF1738" s="12"/>
      <c r="BG1738" s="12"/>
      <c r="BH1738" s="12"/>
      <c r="BI1738" s="12"/>
      <c r="BK1738" s="12"/>
      <c r="BL1738" s="12"/>
      <c r="BM1738" s="12"/>
      <c r="BN1738" s="7"/>
      <c r="BO1738">
        <v>0</v>
      </c>
      <c r="BP1738">
        <v>0</v>
      </c>
      <c r="BQ1738">
        <v>0</v>
      </c>
      <c r="BR1738">
        <v>0</v>
      </c>
      <c r="BS1738">
        <v>0</v>
      </c>
      <c r="BT1738">
        <v>0</v>
      </c>
      <c r="BU1738">
        <v>0</v>
      </c>
      <c r="BV1738">
        <v>0</v>
      </c>
    </row>
    <row r="1739" spans="1:80" x14ac:dyDescent="0.25">
      <c r="AO1739" s="12"/>
      <c r="AX1739" s="12"/>
      <c r="AY1739" s="12"/>
      <c r="AZ1739" s="12"/>
      <c r="BA1739" s="12"/>
      <c r="BB1739" s="12"/>
      <c r="BE1739" s="12"/>
      <c r="BF1739" s="12"/>
      <c r="BG1739" s="12"/>
      <c r="BH1739" s="12"/>
      <c r="BI1739" s="12"/>
      <c r="BK1739" s="12"/>
      <c r="BL1739" s="12"/>
      <c r="BM1739" s="12"/>
      <c r="BN1739" s="7"/>
      <c r="BO1739">
        <v>0</v>
      </c>
      <c r="BP1739">
        <v>0</v>
      </c>
      <c r="BQ1739">
        <v>0</v>
      </c>
      <c r="BR1739">
        <v>0</v>
      </c>
      <c r="BS1739">
        <v>0</v>
      </c>
      <c r="BT1739">
        <v>0</v>
      </c>
      <c r="BU1739">
        <v>0</v>
      </c>
      <c r="BV1739">
        <v>0</v>
      </c>
    </row>
    <row r="1740" spans="1:80" x14ac:dyDescent="0.25">
      <c r="A1740" s="13"/>
      <c r="B1740" s="13"/>
      <c r="C1740" s="13"/>
      <c r="D1740" s="13"/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4"/>
      <c r="AG1740" s="13"/>
      <c r="AH1740" s="13"/>
      <c r="AI1740" s="13"/>
      <c r="AJ1740" s="13"/>
      <c r="AK1740" s="13"/>
      <c r="AL1740" s="13"/>
      <c r="AM1740" s="13"/>
      <c r="AN1740" s="13"/>
      <c r="AO1740" s="13"/>
      <c r="AP1740" s="13"/>
      <c r="AQ1740" s="13"/>
      <c r="AR1740" s="13"/>
      <c r="AS1740" s="13"/>
      <c r="AT1740" s="13"/>
      <c r="AU1740" s="13"/>
      <c r="AV1740" s="13"/>
      <c r="AW1740" s="13"/>
      <c r="AX1740" s="13"/>
      <c r="AY1740" s="13"/>
      <c r="AZ1740" s="13"/>
      <c r="BA1740" s="13"/>
      <c r="BB1740" s="13"/>
      <c r="BC1740" s="13"/>
      <c r="BD1740" s="13"/>
      <c r="BE1740" s="14"/>
      <c r="BF1740" s="13"/>
      <c r="BG1740" s="13"/>
      <c r="BH1740" s="13"/>
      <c r="BI1740" s="13"/>
      <c r="BK1740" s="13"/>
      <c r="BL1740" s="13"/>
      <c r="BM1740" s="15"/>
      <c r="BN1740" s="13"/>
      <c r="BO1740" s="13">
        <v>0</v>
      </c>
      <c r="BP1740" s="13">
        <v>0</v>
      </c>
      <c r="BQ1740" s="13">
        <v>0</v>
      </c>
      <c r="BR1740" s="13">
        <v>0</v>
      </c>
      <c r="BS1740" s="13">
        <v>0</v>
      </c>
      <c r="BT1740" s="13">
        <v>0</v>
      </c>
      <c r="BU1740" s="13">
        <v>0</v>
      </c>
      <c r="BV1740" s="13">
        <v>0</v>
      </c>
      <c r="BW1740" s="13"/>
      <c r="BX1740" s="13"/>
      <c r="BY1740" s="13"/>
      <c r="BZ1740" s="13"/>
      <c r="CA1740" s="13"/>
      <c r="CB1740" s="13"/>
    </row>
    <row r="1741" spans="1:80" x14ac:dyDescent="0.25">
      <c r="BO1741">
        <v>0</v>
      </c>
      <c r="BP1741">
        <v>0</v>
      </c>
      <c r="BQ1741">
        <v>0</v>
      </c>
      <c r="BR1741">
        <v>0</v>
      </c>
      <c r="BS1741">
        <v>0</v>
      </c>
      <c r="BT1741">
        <v>0</v>
      </c>
      <c r="BU1741">
        <v>0</v>
      </c>
      <c r="BV1741">
        <v>0</v>
      </c>
    </row>
    <row r="1742" spans="1:80" x14ac:dyDescent="0.25">
      <c r="BO1742">
        <v>0</v>
      </c>
      <c r="BP1742">
        <v>0</v>
      </c>
      <c r="BQ1742">
        <v>0</v>
      </c>
      <c r="BR1742">
        <v>0</v>
      </c>
      <c r="BS1742">
        <v>0</v>
      </c>
      <c r="BT1742">
        <v>0</v>
      </c>
      <c r="BU1742">
        <v>0</v>
      </c>
      <c r="BV1742">
        <v>0</v>
      </c>
    </row>
    <row r="1743" spans="1:80" x14ac:dyDescent="0.25">
      <c r="BO1743">
        <v>0</v>
      </c>
      <c r="BP1743">
        <v>0</v>
      </c>
      <c r="BQ1743">
        <v>0</v>
      </c>
      <c r="BR1743">
        <v>0</v>
      </c>
      <c r="BS1743">
        <v>0</v>
      </c>
      <c r="BT1743">
        <v>0</v>
      </c>
      <c r="BU1743">
        <v>0</v>
      </c>
      <c r="BV1743">
        <v>0</v>
      </c>
    </row>
    <row r="1744" spans="1:80" x14ac:dyDescent="0.25">
      <c r="BO1744">
        <v>0</v>
      </c>
      <c r="BP1744">
        <v>0</v>
      </c>
      <c r="BQ1744">
        <v>0</v>
      </c>
      <c r="BR1744">
        <v>0</v>
      </c>
      <c r="BS1744">
        <v>0</v>
      </c>
      <c r="BT1744">
        <v>0</v>
      </c>
      <c r="BU1744">
        <v>0</v>
      </c>
      <c r="BV1744">
        <v>0</v>
      </c>
    </row>
    <row r="1745" spans="67:74" x14ac:dyDescent="0.25">
      <c r="BO1745">
        <v>0</v>
      </c>
      <c r="BP1745">
        <v>0</v>
      </c>
      <c r="BQ1745">
        <v>0</v>
      </c>
      <c r="BR1745">
        <v>0</v>
      </c>
      <c r="BS1745">
        <v>0</v>
      </c>
      <c r="BT1745">
        <v>0</v>
      </c>
      <c r="BU1745">
        <v>0</v>
      </c>
      <c r="BV1745">
        <v>0</v>
      </c>
    </row>
    <row r="1746" spans="67:74" x14ac:dyDescent="0.25">
      <c r="BO1746">
        <v>0</v>
      </c>
      <c r="BP1746">
        <v>0</v>
      </c>
      <c r="BQ1746">
        <v>0</v>
      </c>
      <c r="BR1746">
        <v>0</v>
      </c>
      <c r="BS1746">
        <v>0</v>
      </c>
      <c r="BT1746">
        <v>0</v>
      </c>
      <c r="BU1746">
        <v>0</v>
      </c>
      <c r="BV1746">
        <v>0</v>
      </c>
    </row>
    <row r="1747" spans="67:74" x14ac:dyDescent="0.25">
      <c r="BO1747">
        <v>0</v>
      </c>
      <c r="BP1747">
        <v>0</v>
      </c>
      <c r="BQ1747">
        <v>0</v>
      </c>
      <c r="BR1747">
        <v>0</v>
      </c>
      <c r="BS1747">
        <v>0</v>
      </c>
      <c r="BT1747">
        <v>0</v>
      </c>
      <c r="BU1747">
        <v>0</v>
      </c>
      <c r="BV1747">
        <v>0</v>
      </c>
    </row>
    <row r="1748" spans="67:74" x14ac:dyDescent="0.25">
      <c r="BO1748">
        <v>0</v>
      </c>
      <c r="BP1748">
        <v>0</v>
      </c>
      <c r="BQ1748">
        <v>0</v>
      </c>
      <c r="BR1748">
        <v>0</v>
      </c>
      <c r="BS1748">
        <v>0</v>
      </c>
      <c r="BT1748">
        <v>0</v>
      </c>
      <c r="BU1748">
        <v>0</v>
      </c>
      <c r="BV1748">
        <v>0</v>
      </c>
    </row>
    <row r="1749" spans="67:74" x14ac:dyDescent="0.25">
      <c r="BO1749">
        <v>0</v>
      </c>
      <c r="BP1749">
        <v>0</v>
      </c>
      <c r="BQ1749">
        <v>0</v>
      </c>
      <c r="BR1749">
        <v>0</v>
      </c>
      <c r="BS1749">
        <v>0</v>
      </c>
      <c r="BT1749">
        <v>0</v>
      </c>
      <c r="BU1749">
        <v>0</v>
      </c>
      <c r="BV1749">
        <v>0</v>
      </c>
    </row>
    <row r="1750" spans="67:74" x14ac:dyDescent="0.25">
      <c r="BO1750">
        <v>0</v>
      </c>
      <c r="BP1750">
        <v>0</v>
      </c>
      <c r="BQ1750">
        <v>0</v>
      </c>
      <c r="BR1750">
        <v>0</v>
      </c>
      <c r="BS1750">
        <v>0</v>
      </c>
      <c r="BT1750">
        <v>0</v>
      </c>
      <c r="BU1750">
        <v>0</v>
      </c>
      <c r="BV1750">
        <v>0</v>
      </c>
    </row>
    <row r="1751" spans="67:74" x14ac:dyDescent="0.25">
      <c r="BO1751">
        <v>0</v>
      </c>
      <c r="BP1751">
        <v>0</v>
      </c>
      <c r="BQ1751">
        <v>0</v>
      </c>
      <c r="BR1751">
        <v>0</v>
      </c>
      <c r="BS1751">
        <v>0</v>
      </c>
      <c r="BT1751">
        <v>0</v>
      </c>
      <c r="BU1751">
        <v>0</v>
      </c>
      <c r="BV1751">
        <v>0</v>
      </c>
    </row>
    <row r="1752" spans="67:74" x14ac:dyDescent="0.25">
      <c r="BO1752">
        <v>0</v>
      </c>
      <c r="BP1752">
        <v>0</v>
      </c>
      <c r="BQ1752">
        <v>0</v>
      </c>
      <c r="BR1752">
        <v>0</v>
      </c>
      <c r="BS1752">
        <v>0</v>
      </c>
      <c r="BT1752">
        <v>0</v>
      </c>
      <c r="BU1752">
        <v>0</v>
      </c>
      <c r="BV1752">
        <v>0</v>
      </c>
    </row>
    <row r="1753" spans="67:74" x14ac:dyDescent="0.25">
      <c r="BO1753">
        <v>0</v>
      </c>
      <c r="BP1753">
        <v>0</v>
      </c>
      <c r="BQ1753">
        <v>0</v>
      </c>
      <c r="BR1753">
        <v>0</v>
      </c>
      <c r="BS1753">
        <v>0</v>
      </c>
      <c r="BT1753">
        <v>0</v>
      </c>
      <c r="BU1753">
        <v>0</v>
      </c>
      <c r="BV1753">
        <v>0</v>
      </c>
    </row>
    <row r="1754" spans="67:74" x14ac:dyDescent="0.25">
      <c r="BO1754">
        <v>0</v>
      </c>
      <c r="BP1754">
        <v>0</v>
      </c>
      <c r="BQ1754">
        <v>0</v>
      </c>
      <c r="BR1754">
        <v>0</v>
      </c>
      <c r="BS1754">
        <v>0</v>
      </c>
      <c r="BT1754">
        <v>0</v>
      </c>
      <c r="BU1754">
        <v>0</v>
      </c>
      <c r="BV1754">
        <v>0</v>
      </c>
    </row>
    <row r="1755" spans="67:74" x14ac:dyDescent="0.25">
      <c r="BO1755">
        <v>0</v>
      </c>
      <c r="BP1755">
        <v>0</v>
      </c>
      <c r="BQ1755">
        <v>0</v>
      </c>
      <c r="BR1755">
        <v>0</v>
      </c>
      <c r="BS1755">
        <v>0</v>
      </c>
      <c r="BT1755">
        <v>0</v>
      </c>
      <c r="BU1755">
        <v>0</v>
      </c>
      <c r="BV1755">
        <v>0</v>
      </c>
    </row>
    <row r="1756" spans="67:74" x14ac:dyDescent="0.25">
      <c r="BO1756">
        <v>0</v>
      </c>
      <c r="BP1756">
        <v>0</v>
      </c>
      <c r="BQ1756">
        <v>0</v>
      </c>
      <c r="BR1756">
        <v>0</v>
      </c>
      <c r="BS1756">
        <v>0</v>
      </c>
      <c r="BT1756">
        <v>0</v>
      </c>
      <c r="BU1756">
        <v>0</v>
      </c>
      <c r="BV1756">
        <v>0</v>
      </c>
    </row>
    <row r="1757" spans="67:74" x14ac:dyDescent="0.25">
      <c r="BO1757">
        <v>0</v>
      </c>
      <c r="BP1757">
        <v>0</v>
      </c>
      <c r="BQ1757">
        <v>0</v>
      </c>
      <c r="BR1757">
        <v>0</v>
      </c>
      <c r="BS1757">
        <v>0</v>
      </c>
      <c r="BT1757">
        <v>0</v>
      </c>
      <c r="BU1757">
        <v>0</v>
      </c>
      <c r="BV1757">
        <v>0</v>
      </c>
    </row>
    <row r="1758" spans="67:74" x14ac:dyDescent="0.25">
      <c r="BO1758">
        <v>0</v>
      </c>
      <c r="BP1758">
        <v>0</v>
      </c>
      <c r="BQ1758">
        <v>0</v>
      </c>
      <c r="BR1758">
        <v>0</v>
      </c>
      <c r="BS1758">
        <v>0</v>
      </c>
      <c r="BT1758">
        <v>0</v>
      </c>
      <c r="BU1758">
        <v>0</v>
      </c>
      <c r="BV1758">
        <v>0</v>
      </c>
    </row>
    <row r="1759" spans="67:74" x14ac:dyDescent="0.25">
      <c r="BO1759">
        <v>0</v>
      </c>
      <c r="BP1759">
        <v>0</v>
      </c>
      <c r="BQ1759">
        <v>0</v>
      </c>
      <c r="BR1759">
        <v>0</v>
      </c>
      <c r="BS1759">
        <v>0</v>
      </c>
      <c r="BT1759">
        <v>0</v>
      </c>
      <c r="BU1759">
        <v>0</v>
      </c>
      <c r="BV1759">
        <v>0</v>
      </c>
    </row>
    <row r="1760" spans="67:74" x14ac:dyDescent="0.25">
      <c r="BO1760">
        <v>0</v>
      </c>
      <c r="BP1760">
        <v>0</v>
      </c>
      <c r="BQ1760">
        <v>0</v>
      </c>
      <c r="BR1760">
        <v>0</v>
      </c>
      <c r="BS1760">
        <v>0</v>
      </c>
      <c r="BT1760">
        <v>0</v>
      </c>
      <c r="BU1760">
        <v>0</v>
      </c>
      <c r="BV1760">
        <v>0</v>
      </c>
    </row>
    <row r="1761" spans="67:74" x14ac:dyDescent="0.25">
      <c r="BO1761">
        <v>0</v>
      </c>
      <c r="BP1761">
        <v>0</v>
      </c>
      <c r="BQ1761">
        <v>0</v>
      </c>
      <c r="BR1761">
        <v>0</v>
      </c>
      <c r="BS1761">
        <v>0</v>
      </c>
      <c r="BT1761">
        <v>0</v>
      </c>
      <c r="BU1761">
        <v>0</v>
      </c>
      <c r="BV1761">
        <v>0</v>
      </c>
    </row>
    <row r="1762" spans="67:74" x14ac:dyDescent="0.25">
      <c r="BO1762">
        <v>0</v>
      </c>
      <c r="BP1762">
        <v>0</v>
      </c>
      <c r="BQ1762">
        <v>0</v>
      </c>
      <c r="BR1762">
        <v>0</v>
      </c>
      <c r="BS1762">
        <v>0</v>
      </c>
      <c r="BT1762">
        <v>0</v>
      </c>
      <c r="BU1762">
        <v>0</v>
      </c>
      <c r="BV1762">
        <v>0</v>
      </c>
    </row>
    <row r="1763" spans="67:74" x14ac:dyDescent="0.25">
      <c r="BO1763">
        <v>0</v>
      </c>
      <c r="BP1763">
        <v>0</v>
      </c>
      <c r="BQ1763">
        <v>0</v>
      </c>
      <c r="BR1763">
        <v>0</v>
      </c>
      <c r="BS1763">
        <v>0</v>
      </c>
      <c r="BT1763">
        <v>0</v>
      </c>
      <c r="BU1763">
        <v>0</v>
      </c>
      <c r="BV1763">
        <v>0</v>
      </c>
    </row>
    <row r="1764" spans="67:74" x14ac:dyDescent="0.25">
      <c r="BO1764">
        <v>0</v>
      </c>
      <c r="BP1764">
        <v>0</v>
      </c>
      <c r="BQ1764">
        <v>0</v>
      </c>
      <c r="BR1764">
        <v>0</v>
      </c>
      <c r="BS1764">
        <v>0</v>
      </c>
      <c r="BT1764">
        <v>0</v>
      </c>
      <c r="BU1764">
        <v>0</v>
      </c>
      <c r="BV1764">
        <v>0</v>
      </c>
    </row>
    <row r="1765" spans="67:74" x14ac:dyDescent="0.25">
      <c r="BO1765">
        <v>0</v>
      </c>
      <c r="BP1765">
        <v>0</v>
      </c>
      <c r="BQ1765">
        <v>0</v>
      </c>
      <c r="BR1765">
        <v>0</v>
      </c>
      <c r="BS1765">
        <v>0</v>
      </c>
      <c r="BT1765">
        <v>0</v>
      </c>
      <c r="BU1765">
        <v>0</v>
      </c>
      <c r="BV1765">
        <v>0</v>
      </c>
    </row>
    <row r="1766" spans="67:74" x14ac:dyDescent="0.25">
      <c r="BO1766">
        <v>0</v>
      </c>
      <c r="BP1766">
        <v>0</v>
      </c>
      <c r="BQ1766">
        <v>0</v>
      </c>
      <c r="BR1766">
        <v>0</v>
      </c>
      <c r="BS1766">
        <v>0</v>
      </c>
      <c r="BT1766">
        <v>0</v>
      </c>
      <c r="BU1766">
        <v>0</v>
      </c>
      <c r="BV1766">
        <v>0</v>
      </c>
    </row>
    <row r="1767" spans="67:74" x14ac:dyDescent="0.25">
      <c r="BO1767">
        <v>0</v>
      </c>
      <c r="BP1767">
        <v>0</v>
      </c>
      <c r="BQ1767">
        <v>0</v>
      </c>
      <c r="BR1767">
        <v>0</v>
      </c>
      <c r="BS1767">
        <v>0</v>
      </c>
      <c r="BT1767">
        <v>0</v>
      </c>
      <c r="BU1767">
        <v>0</v>
      </c>
      <c r="BV1767">
        <v>0</v>
      </c>
    </row>
    <row r="1768" spans="67:74" x14ac:dyDescent="0.25">
      <c r="BO1768">
        <v>0</v>
      </c>
      <c r="BP1768">
        <v>0</v>
      </c>
      <c r="BQ1768">
        <v>0</v>
      </c>
      <c r="BR1768">
        <v>0</v>
      </c>
      <c r="BS1768">
        <v>0</v>
      </c>
      <c r="BT1768">
        <v>0</v>
      </c>
      <c r="BU1768">
        <v>0</v>
      </c>
      <c r="BV1768">
        <v>0</v>
      </c>
    </row>
    <row r="1769" spans="67:74" x14ac:dyDescent="0.25">
      <c r="BO1769">
        <v>0</v>
      </c>
      <c r="BP1769">
        <v>0</v>
      </c>
      <c r="BQ1769">
        <v>0</v>
      </c>
      <c r="BR1769">
        <v>0</v>
      </c>
      <c r="BS1769">
        <v>0</v>
      </c>
      <c r="BT1769">
        <v>0</v>
      </c>
      <c r="BU1769">
        <v>0</v>
      </c>
      <c r="BV1769">
        <v>0</v>
      </c>
    </row>
    <row r="1770" spans="67:74" x14ac:dyDescent="0.25">
      <c r="BO1770">
        <v>0</v>
      </c>
      <c r="BP1770">
        <v>0</v>
      </c>
      <c r="BQ1770">
        <v>0</v>
      </c>
      <c r="BR1770">
        <v>0</v>
      </c>
      <c r="BS1770">
        <v>0</v>
      </c>
      <c r="BT1770">
        <v>0</v>
      </c>
      <c r="BU1770">
        <v>0</v>
      </c>
      <c r="BV1770">
        <v>0</v>
      </c>
    </row>
    <row r="1771" spans="67:74" x14ac:dyDescent="0.25">
      <c r="BO1771">
        <v>0</v>
      </c>
      <c r="BP1771">
        <v>0</v>
      </c>
      <c r="BQ1771">
        <v>0</v>
      </c>
      <c r="BR1771">
        <v>0</v>
      </c>
      <c r="BS1771">
        <v>0</v>
      </c>
      <c r="BT1771">
        <v>0</v>
      </c>
      <c r="BU1771">
        <v>0</v>
      </c>
      <c r="BV1771">
        <v>0</v>
      </c>
    </row>
    <row r="1772" spans="67:74" x14ac:dyDescent="0.25">
      <c r="BO1772">
        <v>0</v>
      </c>
      <c r="BP1772">
        <v>0</v>
      </c>
      <c r="BQ1772">
        <v>0</v>
      </c>
      <c r="BR1772">
        <v>0</v>
      </c>
      <c r="BS1772">
        <v>0</v>
      </c>
      <c r="BT1772">
        <v>0</v>
      </c>
      <c r="BU1772">
        <v>0</v>
      </c>
      <c r="BV1772">
        <v>0</v>
      </c>
    </row>
    <row r="1773" spans="67:74" x14ac:dyDescent="0.25">
      <c r="BO1773">
        <v>0</v>
      </c>
      <c r="BP1773">
        <v>0</v>
      </c>
      <c r="BQ1773">
        <v>0</v>
      </c>
      <c r="BR1773">
        <v>0</v>
      </c>
      <c r="BS1773">
        <v>0</v>
      </c>
      <c r="BT1773">
        <v>0</v>
      </c>
      <c r="BU1773">
        <v>0</v>
      </c>
      <c r="BV1773">
        <v>0</v>
      </c>
    </row>
    <row r="1774" spans="67:74" x14ac:dyDescent="0.25">
      <c r="BO1774">
        <v>0</v>
      </c>
      <c r="BP1774">
        <v>0</v>
      </c>
      <c r="BQ1774">
        <v>0</v>
      </c>
      <c r="BR1774">
        <v>0</v>
      </c>
      <c r="BS1774">
        <v>0</v>
      </c>
      <c r="BT1774">
        <v>0</v>
      </c>
      <c r="BU1774">
        <v>0</v>
      </c>
      <c r="BV1774">
        <v>0</v>
      </c>
    </row>
    <row r="1775" spans="67:74" x14ac:dyDescent="0.25">
      <c r="BO1775">
        <v>0</v>
      </c>
      <c r="BP1775">
        <v>0</v>
      </c>
      <c r="BQ1775">
        <v>0</v>
      </c>
      <c r="BR1775">
        <v>0</v>
      </c>
      <c r="BS1775">
        <v>0</v>
      </c>
      <c r="BT1775">
        <v>0</v>
      </c>
      <c r="BU1775">
        <v>0</v>
      </c>
      <c r="BV1775">
        <v>0</v>
      </c>
    </row>
    <row r="1776" spans="67:74" x14ac:dyDescent="0.25">
      <c r="BO1776">
        <v>0</v>
      </c>
      <c r="BP1776">
        <v>0</v>
      </c>
      <c r="BQ1776">
        <v>0</v>
      </c>
      <c r="BR1776">
        <v>0</v>
      </c>
      <c r="BS1776">
        <v>0</v>
      </c>
      <c r="BT1776">
        <v>0</v>
      </c>
      <c r="BU1776">
        <v>0</v>
      </c>
      <c r="BV1776">
        <v>0</v>
      </c>
    </row>
    <row r="1777" spans="67:74" x14ac:dyDescent="0.25">
      <c r="BO1777">
        <v>0</v>
      </c>
      <c r="BP1777">
        <v>0</v>
      </c>
      <c r="BQ1777">
        <v>0</v>
      </c>
      <c r="BR1777">
        <v>0</v>
      </c>
      <c r="BS1777">
        <v>0</v>
      </c>
      <c r="BT1777">
        <v>0</v>
      </c>
      <c r="BU1777">
        <v>0</v>
      </c>
      <c r="BV1777">
        <v>0</v>
      </c>
    </row>
    <row r="1778" spans="67:74" x14ac:dyDescent="0.25">
      <c r="BO1778">
        <v>0</v>
      </c>
      <c r="BP1778">
        <v>0</v>
      </c>
      <c r="BQ1778">
        <v>0</v>
      </c>
      <c r="BR1778">
        <v>0</v>
      </c>
      <c r="BS1778">
        <v>0</v>
      </c>
      <c r="BT1778">
        <v>0</v>
      </c>
      <c r="BU1778">
        <v>0</v>
      </c>
      <c r="BV1778">
        <v>0</v>
      </c>
    </row>
    <row r="1779" spans="67:74" x14ac:dyDescent="0.25">
      <c r="BO1779">
        <v>0</v>
      </c>
      <c r="BP1779">
        <v>0</v>
      </c>
      <c r="BQ1779">
        <v>0</v>
      </c>
      <c r="BR1779">
        <v>0</v>
      </c>
      <c r="BS1779">
        <v>0</v>
      </c>
      <c r="BT1779">
        <v>0</v>
      </c>
      <c r="BU1779">
        <v>0</v>
      </c>
      <c r="BV1779">
        <v>0</v>
      </c>
    </row>
    <row r="1780" spans="67:74" x14ac:dyDescent="0.25">
      <c r="BO1780">
        <v>0</v>
      </c>
      <c r="BP1780">
        <v>0</v>
      </c>
      <c r="BQ1780">
        <v>0</v>
      </c>
      <c r="BR1780">
        <v>0</v>
      </c>
      <c r="BS1780">
        <v>0</v>
      </c>
      <c r="BT1780">
        <v>0</v>
      </c>
      <c r="BU1780">
        <v>0</v>
      </c>
      <c r="BV1780">
        <v>0</v>
      </c>
    </row>
    <row r="1781" spans="67:74" x14ac:dyDescent="0.25">
      <c r="BO1781">
        <v>0</v>
      </c>
      <c r="BP1781">
        <v>0</v>
      </c>
      <c r="BQ1781">
        <v>0</v>
      </c>
      <c r="BR1781">
        <v>0</v>
      </c>
      <c r="BS1781">
        <v>0</v>
      </c>
      <c r="BT1781">
        <v>0</v>
      </c>
      <c r="BU1781">
        <v>0</v>
      </c>
      <c r="BV1781">
        <v>0</v>
      </c>
    </row>
    <row r="1782" spans="67:74" x14ac:dyDescent="0.25">
      <c r="BO1782">
        <v>0</v>
      </c>
      <c r="BP1782">
        <v>0</v>
      </c>
      <c r="BQ1782">
        <v>0</v>
      </c>
      <c r="BR1782">
        <v>0</v>
      </c>
      <c r="BS1782">
        <v>0</v>
      </c>
      <c r="BT1782">
        <v>0</v>
      </c>
      <c r="BU1782">
        <v>0</v>
      </c>
      <c r="BV1782">
        <v>0</v>
      </c>
    </row>
    <row r="1783" spans="67:74" x14ac:dyDescent="0.25">
      <c r="BO1783">
        <v>0</v>
      </c>
      <c r="BP1783">
        <v>0</v>
      </c>
      <c r="BQ1783">
        <v>0</v>
      </c>
      <c r="BR1783">
        <v>0</v>
      </c>
      <c r="BS1783">
        <v>0</v>
      </c>
      <c r="BT1783">
        <v>0</v>
      </c>
      <c r="BU1783">
        <v>0</v>
      </c>
      <c r="BV1783">
        <v>0</v>
      </c>
    </row>
    <row r="1784" spans="67:74" x14ac:dyDescent="0.25">
      <c r="BO1784">
        <v>0</v>
      </c>
      <c r="BP1784">
        <v>0</v>
      </c>
      <c r="BQ1784">
        <v>0</v>
      </c>
      <c r="BR1784">
        <v>0</v>
      </c>
      <c r="BS1784">
        <v>0</v>
      </c>
      <c r="BT1784">
        <v>0</v>
      </c>
      <c r="BU1784">
        <v>0</v>
      </c>
      <c r="BV1784">
        <v>0</v>
      </c>
    </row>
    <row r="1785" spans="67:74" x14ac:dyDescent="0.25">
      <c r="BO1785">
        <v>0</v>
      </c>
      <c r="BP1785">
        <v>0</v>
      </c>
      <c r="BQ1785">
        <v>0</v>
      </c>
      <c r="BR1785">
        <v>0</v>
      </c>
      <c r="BS1785">
        <v>0</v>
      </c>
      <c r="BT1785">
        <v>0</v>
      </c>
      <c r="BU1785">
        <v>0</v>
      </c>
      <c r="BV1785">
        <v>0</v>
      </c>
    </row>
    <row r="1786" spans="67:74" x14ac:dyDescent="0.25">
      <c r="BO1786">
        <v>0</v>
      </c>
      <c r="BP1786">
        <v>0</v>
      </c>
      <c r="BQ1786">
        <v>0</v>
      </c>
      <c r="BR1786">
        <v>0</v>
      </c>
      <c r="BS1786">
        <v>0</v>
      </c>
      <c r="BT1786">
        <v>0</v>
      </c>
      <c r="BU1786">
        <v>0</v>
      </c>
      <c r="BV1786">
        <v>0</v>
      </c>
    </row>
    <row r="1787" spans="67:74" x14ac:dyDescent="0.25">
      <c r="BO1787">
        <v>0</v>
      </c>
      <c r="BP1787">
        <v>0</v>
      </c>
      <c r="BQ1787">
        <v>0</v>
      </c>
      <c r="BR1787">
        <v>0</v>
      </c>
      <c r="BS1787">
        <v>0</v>
      </c>
      <c r="BT1787">
        <v>0</v>
      </c>
      <c r="BU1787">
        <v>0</v>
      </c>
      <c r="BV1787">
        <v>0</v>
      </c>
    </row>
    <row r="1788" spans="67:74" x14ac:dyDescent="0.25">
      <c r="BO1788">
        <v>0</v>
      </c>
      <c r="BP1788">
        <v>0</v>
      </c>
      <c r="BQ1788">
        <v>0</v>
      </c>
      <c r="BR1788">
        <v>0</v>
      </c>
      <c r="BS1788">
        <v>0</v>
      </c>
      <c r="BT1788">
        <v>0</v>
      </c>
      <c r="BU1788">
        <v>0</v>
      </c>
      <c r="BV1788">
        <v>0</v>
      </c>
    </row>
    <row r="1789" spans="67:74" x14ac:dyDescent="0.25">
      <c r="BO1789">
        <v>0</v>
      </c>
      <c r="BP1789">
        <v>0</v>
      </c>
      <c r="BQ1789">
        <v>0</v>
      </c>
      <c r="BR1789">
        <v>0</v>
      </c>
      <c r="BS1789">
        <v>0</v>
      </c>
      <c r="BT1789">
        <v>0</v>
      </c>
      <c r="BU1789">
        <v>0</v>
      </c>
      <c r="BV1789">
        <v>0</v>
      </c>
    </row>
    <row r="1790" spans="67:74" x14ac:dyDescent="0.25">
      <c r="BO1790">
        <v>0</v>
      </c>
      <c r="BP1790">
        <v>0</v>
      </c>
      <c r="BQ1790">
        <v>0</v>
      </c>
      <c r="BR1790">
        <v>0</v>
      </c>
      <c r="BS1790">
        <v>0</v>
      </c>
      <c r="BT1790">
        <v>0</v>
      </c>
      <c r="BU1790">
        <v>0</v>
      </c>
      <c r="BV1790">
        <v>0</v>
      </c>
    </row>
    <row r="1791" spans="67:74" x14ac:dyDescent="0.25">
      <c r="BO1791">
        <v>0</v>
      </c>
      <c r="BP1791">
        <v>0</v>
      </c>
      <c r="BQ1791">
        <v>0</v>
      </c>
      <c r="BR1791">
        <v>0</v>
      </c>
      <c r="BS1791">
        <v>0</v>
      </c>
      <c r="BT1791">
        <v>0</v>
      </c>
      <c r="BU1791">
        <v>0</v>
      </c>
      <c r="BV1791">
        <v>0</v>
      </c>
    </row>
    <row r="1792" spans="67:74" x14ac:dyDescent="0.25">
      <c r="BO1792">
        <v>0</v>
      </c>
      <c r="BP1792">
        <v>0</v>
      </c>
      <c r="BQ1792">
        <v>0</v>
      </c>
      <c r="BR1792">
        <v>0</v>
      </c>
      <c r="BS1792">
        <v>0</v>
      </c>
      <c r="BT1792">
        <v>0</v>
      </c>
      <c r="BU1792">
        <v>0</v>
      </c>
      <c r="BV1792">
        <v>0</v>
      </c>
    </row>
    <row r="1793" spans="67:74" x14ac:dyDescent="0.25">
      <c r="BO1793">
        <v>0</v>
      </c>
      <c r="BP1793">
        <v>0</v>
      </c>
      <c r="BQ1793">
        <v>0</v>
      </c>
      <c r="BR1793">
        <v>0</v>
      </c>
      <c r="BS1793">
        <v>0</v>
      </c>
      <c r="BT1793">
        <v>0</v>
      </c>
      <c r="BU1793">
        <v>0</v>
      </c>
      <c r="BV1793">
        <v>0</v>
      </c>
    </row>
    <row r="1794" spans="67:74" x14ac:dyDescent="0.25">
      <c r="BO1794">
        <v>0</v>
      </c>
      <c r="BP1794">
        <v>0</v>
      </c>
      <c r="BQ1794">
        <v>0</v>
      </c>
      <c r="BR1794">
        <v>0</v>
      </c>
      <c r="BS1794">
        <v>0</v>
      </c>
      <c r="BT1794">
        <v>0</v>
      </c>
      <c r="BU1794">
        <v>0</v>
      </c>
      <c r="BV1794">
        <v>0</v>
      </c>
    </row>
    <row r="1795" spans="67:74" x14ac:dyDescent="0.25">
      <c r="BO1795">
        <v>0</v>
      </c>
      <c r="BP1795">
        <v>0</v>
      </c>
      <c r="BQ1795">
        <v>0</v>
      </c>
      <c r="BR1795">
        <v>0</v>
      </c>
      <c r="BS1795">
        <v>0</v>
      </c>
      <c r="BT1795">
        <v>0</v>
      </c>
      <c r="BU1795">
        <v>0</v>
      </c>
      <c r="BV1795">
        <v>0</v>
      </c>
    </row>
    <row r="1796" spans="67:74" x14ac:dyDescent="0.25">
      <c r="BO1796">
        <v>0</v>
      </c>
      <c r="BP1796">
        <v>0</v>
      </c>
      <c r="BQ1796">
        <v>0</v>
      </c>
      <c r="BR1796">
        <v>0</v>
      </c>
      <c r="BS1796">
        <v>0</v>
      </c>
      <c r="BT1796">
        <v>0</v>
      </c>
      <c r="BU1796">
        <v>0</v>
      </c>
      <c r="BV1796">
        <v>0</v>
      </c>
    </row>
    <row r="1797" spans="67:74" x14ac:dyDescent="0.25">
      <c r="BO1797">
        <v>0</v>
      </c>
      <c r="BP1797">
        <v>0</v>
      </c>
      <c r="BQ1797">
        <v>0</v>
      </c>
      <c r="BR1797">
        <v>0</v>
      </c>
      <c r="BS1797">
        <v>0</v>
      </c>
      <c r="BT1797">
        <v>0</v>
      </c>
      <c r="BU1797">
        <v>0</v>
      </c>
      <c r="BV1797">
        <v>0</v>
      </c>
    </row>
    <row r="1798" spans="67:74" x14ac:dyDescent="0.25">
      <c r="BO1798">
        <v>0</v>
      </c>
      <c r="BP1798">
        <v>0</v>
      </c>
      <c r="BQ1798">
        <v>0</v>
      </c>
      <c r="BR1798">
        <v>0</v>
      </c>
      <c r="BS1798">
        <v>0</v>
      </c>
      <c r="BT1798">
        <v>0</v>
      </c>
      <c r="BU1798">
        <v>0</v>
      </c>
      <c r="BV1798">
        <v>0</v>
      </c>
    </row>
    <row r="1799" spans="67:74" x14ac:dyDescent="0.25">
      <c r="BO1799">
        <v>0</v>
      </c>
      <c r="BP1799">
        <v>0</v>
      </c>
      <c r="BQ1799">
        <v>0</v>
      </c>
      <c r="BR1799">
        <v>0</v>
      </c>
      <c r="BS1799">
        <v>0</v>
      </c>
      <c r="BT1799">
        <v>0</v>
      </c>
      <c r="BU1799">
        <v>0</v>
      </c>
      <c r="BV1799">
        <v>0</v>
      </c>
    </row>
    <row r="1800" spans="67:74" x14ac:dyDescent="0.25">
      <c r="BO1800">
        <v>0</v>
      </c>
      <c r="BP1800">
        <v>0</v>
      </c>
      <c r="BQ1800">
        <v>0</v>
      </c>
      <c r="BR1800">
        <v>0</v>
      </c>
      <c r="BS1800">
        <v>0</v>
      </c>
      <c r="BT1800">
        <v>0</v>
      </c>
      <c r="BU1800">
        <v>0</v>
      </c>
      <c r="BV1800">
        <v>0</v>
      </c>
    </row>
    <row r="1801" spans="67:74" x14ac:dyDescent="0.25">
      <c r="BO1801">
        <v>0</v>
      </c>
      <c r="BP1801">
        <v>0</v>
      </c>
      <c r="BQ1801">
        <v>0</v>
      </c>
      <c r="BR1801">
        <v>0</v>
      </c>
      <c r="BS1801">
        <v>0</v>
      </c>
      <c r="BT1801">
        <v>0</v>
      </c>
      <c r="BU1801">
        <v>0</v>
      </c>
      <c r="BV1801">
        <v>0</v>
      </c>
    </row>
    <row r="1802" spans="67:74" x14ac:dyDescent="0.25">
      <c r="BO1802">
        <v>0</v>
      </c>
      <c r="BP1802">
        <v>0</v>
      </c>
      <c r="BQ1802">
        <v>0</v>
      </c>
      <c r="BR1802">
        <v>0</v>
      </c>
      <c r="BS1802">
        <v>0</v>
      </c>
      <c r="BT1802">
        <v>0</v>
      </c>
      <c r="BU1802">
        <v>0</v>
      </c>
      <c r="BV1802">
        <v>0</v>
      </c>
    </row>
    <row r="1803" spans="67:74" x14ac:dyDescent="0.25">
      <c r="BO1803">
        <v>0</v>
      </c>
      <c r="BP1803">
        <v>0</v>
      </c>
      <c r="BQ1803">
        <v>0</v>
      </c>
      <c r="BR1803">
        <v>0</v>
      </c>
      <c r="BS1803">
        <v>0</v>
      </c>
      <c r="BT1803">
        <v>0</v>
      </c>
      <c r="BU1803">
        <v>0</v>
      </c>
      <c r="BV1803">
        <v>0</v>
      </c>
    </row>
    <row r="1804" spans="67:74" x14ac:dyDescent="0.25">
      <c r="BO1804">
        <v>0</v>
      </c>
      <c r="BP1804">
        <v>0</v>
      </c>
      <c r="BQ1804">
        <v>0</v>
      </c>
      <c r="BR1804">
        <v>0</v>
      </c>
      <c r="BS1804">
        <v>0</v>
      </c>
      <c r="BT1804">
        <v>0</v>
      </c>
      <c r="BU1804">
        <v>0</v>
      </c>
      <c r="BV1804">
        <v>0</v>
      </c>
    </row>
    <row r="1805" spans="67:74" x14ac:dyDescent="0.25">
      <c r="BO1805">
        <v>0</v>
      </c>
      <c r="BP1805">
        <v>0</v>
      </c>
      <c r="BQ1805">
        <v>0</v>
      </c>
      <c r="BR1805">
        <v>0</v>
      </c>
      <c r="BS1805">
        <v>0</v>
      </c>
      <c r="BT1805">
        <v>0</v>
      </c>
      <c r="BU1805">
        <v>0</v>
      </c>
      <c r="BV1805">
        <v>0</v>
      </c>
    </row>
    <row r="1806" spans="67:74" x14ac:dyDescent="0.25">
      <c r="BO1806">
        <v>0</v>
      </c>
      <c r="BP1806">
        <v>0</v>
      </c>
      <c r="BQ1806">
        <v>0</v>
      </c>
      <c r="BR1806">
        <v>0</v>
      </c>
      <c r="BS1806">
        <v>0</v>
      </c>
      <c r="BT1806">
        <v>0</v>
      </c>
      <c r="BU1806">
        <v>0</v>
      </c>
      <c r="BV1806">
        <v>0</v>
      </c>
    </row>
    <row r="1807" spans="67:74" x14ac:dyDescent="0.25">
      <c r="BO1807">
        <v>0</v>
      </c>
      <c r="BP1807">
        <v>0</v>
      </c>
      <c r="BQ1807">
        <v>0</v>
      </c>
      <c r="BR1807">
        <v>0</v>
      </c>
      <c r="BS1807">
        <v>0</v>
      </c>
      <c r="BT1807">
        <v>0</v>
      </c>
      <c r="BU1807">
        <v>0</v>
      </c>
      <c r="BV1807">
        <v>0</v>
      </c>
    </row>
    <row r="1808" spans="67:74" x14ac:dyDescent="0.25">
      <c r="BO1808">
        <v>0</v>
      </c>
      <c r="BP1808">
        <v>0</v>
      </c>
      <c r="BQ1808">
        <v>0</v>
      </c>
      <c r="BR1808">
        <v>0</v>
      </c>
      <c r="BS1808">
        <v>0</v>
      </c>
      <c r="BT1808">
        <v>0</v>
      </c>
      <c r="BU1808">
        <v>0</v>
      </c>
      <c r="BV1808">
        <v>0</v>
      </c>
    </row>
    <row r="1809" spans="67:74" x14ac:dyDescent="0.25">
      <c r="BO1809">
        <v>0</v>
      </c>
      <c r="BP1809">
        <v>0</v>
      </c>
      <c r="BQ1809">
        <v>0</v>
      </c>
      <c r="BR1809">
        <v>0</v>
      </c>
      <c r="BS1809">
        <v>0</v>
      </c>
      <c r="BT1809">
        <v>0</v>
      </c>
      <c r="BU1809">
        <v>0</v>
      </c>
      <c r="BV1809">
        <v>0</v>
      </c>
    </row>
    <row r="1810" spans="67:74" x14ac:dyDescent="0.25">
      <c r="BO1810">
        <v>0</v>
      </c>
      <c r="BP1810">
        <v>0</v>
      </c>
      <c r="BQ1810">
        <v>0</v>
      </c>
      <c r="BR1810">
        <v>0</v>
      </c>
      <c r="BS1810">
        <v>0</v>
      </c>
      <c r="BT1810">
        <v>0</v>
      </c>
      <c r="BU1810">
        <v>0</v>
      </c>
      <c r="BV1810">
        <v>0</v>
      </c>
    </row>
    <row r="1811" spans="67:74" x14ac:dyDescent="0.25">
      <c r="BO1811">
        <v>0</v>
      </c>
      <c r="BP1811">
        <v>0</v>
      </c>
      <c r="BQ1811">
        <v>0</v>
      </c>
      <c r="BR1811">
        <v>0</v>
      </c>
      <c r="BS1811">
        <v>0</v>
      </c>
      <c r="BT1811">
        <v>0</v>
      </c>
      <c r="BU1811">
        <v>0</v>
      </c>
      <c r="BV1811">
        <v>0</v>
      </c>
    </row>
    <row r="1812" spans="67:74" x14ac:dyDescent="0.25">
      <c r="BO1812">
        <v>0</v>
      </c>
      <c r="BP1812">
        <v>0</v>
      </c>
      <c r="BQ1812">
        <v>0</v>
      </c>
      <c r="BR1812">
        <v>0</v>
      </c>
      <c r="BS1812">
        <v>0</v>
      </c>
      <c r="BT1812">
        <v>0</v>
      </c>
      <c r="BU1812">
        <v>0</v>
      </c>
      <c r="BV1812">
        <v>0</v>
      </c>
    </row>
    <row r="1813" spans="67:74" x14ac:dyDescent="0.25">
      <c r="BO1813">
        <v>0</v>
      </c>
      <c r="BP1813">
        <v>0</v>
      </c>
      <c r="BQ1813">
        <v>0</v>
      </c>
      <c r="BR1813">
        <v>0</v>
      </c>
      <c r="BS1813">
        <v>0</v>
      </c>
      <c r="BT1813">
        <v>0</v>
      </c>
      <c r="BU1813">
        <v>0</v>
      </c>
      <c r="BV1813">
        <v>0</v>
      </c>
    </row>
    <row r="1814" spans="67:74" x14ac:dyDescent="0.25">
      <c r="BO1814">
        <v>0</v>
      </c>
      <c r="BP1814">
        <v>0</v>
      </c>
      <c r="BQ1814">
        <v>0</v>
      </c>
      <c r="BR1814">
        <v>0</v>
      </c>
      <c r="BS1814">
        <v>0</v>
      </c>
      <c r="BT1814">
        <v>0</v>
      </c>
      <c r="BU1814">
        <v>0</v>
      </c>
      <c r="BV1814">
        <v>0</v>
      </c>
    </row>
    <row r="1815" spans="67:74" x14ac:dyDescent="0.25">
      <c r="BO1815">
        <v>0</v>
      </c>
      <c r="BP1815">
        <v>0</v>
      </c>
      <c r="BQ1815">
        <v>0</v>
      </c>
      <c r="BR1815">
        <v>0</v>
      </c>
      <c r="BS1815">
        <v>0</v>
      </c>
      <c r="BT1815">
        <v>0</v>
      </c>
      <c r="BU1815">
        <v>0</v>
      </c>
      <c r="BV1815">
        <v>0</v>
      </c>
    </row>
    <row r="1816" spans="67:74" x14ac:dyDescent="0.25">
      <c r="BO1816">
        <v>0</v>
      </c>
      <c r="BP1816">
        <v>0</v>
      </c>
      <c r="BQ1816">
        <v>0</v>
      </c>
      <c r="BR1816">
        <v>0</v>
      </c>
      <c r="BS1816">
        <v>0</v>
      </c>
      <c r="BT1816">
        <v>0</v>
      </c>
      <c r="BU1816">
        <v>0</v>
      </c>
      <c r="BV1816">
        <v>0</v>
      </c>
    </row>
    <row r="1817" spans="67:74" x14ac:dyDescent="0.25">
      <c r="BO1817">
        <v>0</v>
      </c>
      <c r="BP1817">
        <v>0</v>
      </c>
      <c r="BQ1817">
        <v>0</v>
      </c>
      <c r="BR1817">
        <v>0</v>
      </c>
      <c r="BS1817">
        <v>0</v>
      </c>
      <c r="BT1817">
        <v>0</v>
      </c>
      <c r="BU1817">
        <v>0</v>
      </c>
      <c r="BV1817">
        <v>0</v>
      </c>
    </row>
    <row r="1818" spans="67:74" x14ac:dyDescent="0.25">
      <c r="BO1818">
        <v>0</v>
      </c>
      <c r="BP1818">
        <v>0</v>
      </c>
      <c r="BQ1818">
        <v>0</v>
      </c>
      <c r="BR1818">
        <v>0</v>
      </c>
      <c r="BS1818">
        <v>0</v>
      </c>
      <c r="BT1818">
        <v>0</v>
      </c>
      <c r="BU1818">
        <v>0</v>
      </c>
      <c r="BV1818">
        <v>0</v>
      </c>
    </row>
    <row r="1819" spans="67:74" x14ac:dyDescent="0.25">
      <c r="BO1819">
        <v>0</v>
      </c>
      <c r="BP1819">
        <v>0</v>
      </c>
      <c r="BQ1819">
        <v>0</v>
      </c>
      <c r="BR1819">
        <v>0</v>
      </c>
      <c r="BS1819">
        <v>0</v>
      </c>
      <c r="BT1819">
        <v>0</v>
      </c>
      <c r="BU1819">
        <v>0</v>
      </c>
      <c r="BV1819">
        <v>0</v>
      </c>
    </row>
    <row r="1820" spans="67:74" x14ac:dyDescent="0.25">
      <c r="BO1820">
        <v>0</v>
      </c>
      <c r="BP1820">
        <v>0</v>
      </c>
      <c r="BQ1820">
        <v>0</v>
      </c>
      <c r="BR1820">
        <v>0</v>
      </c>
      <c r="BS1820">
        <v>0</v>
      </c>
      <c r="BT1820">
        <v>0</v>
      </c>
      <c r="BU1820">
        <v>0</v>
      </c>
      <c r="BV1820">
        <v>0</v>
      </c>
    </row>
    <row r="1821" spans="67:74" x14ac:dyDescent="0.25">
      <c r="BO1821">
        <v>0</v>
      </c>
      <c r="BP1821">
        <v>0</v>
      </c>
      <c r="BQ1821">
        <v>0</v>
      </c>
      <c r="BR1821">
        <v>0</v>
      </c>
      <c r="BS1821">
        <v>0</v>
      </c>
      <c r="BT1821">
        <v>0</v>
      </c>
      <c r="BU1821">
        <v>0</v>
      </c>
      <c r="BV1821">
        <v>0</v>
      </c>
    </row>
    <row r="1822" spans="67:74" x14ac:dyDescent="0.25">
      <c r="BO1822">
        <v>0</v>
      </c>
      <c r="BP1822">
        <v>0</v>
      </c>
      <c r="BQ1822">
        <v>0</v>
      </c>
      <c r="BR1822">
        <v>0</v>
      </c>
      <c r="BS1822">
        <v>0</v>
      </c>
      <c r="BT1822">
        <v>0</v>
      </c>
      <c r="BU1822">
        <v>0</v>
      </c>
      <c r="BV1822">
        <v>0</v>
      </c>
    </row>
    <row r="1823" spans="67:74" x14ac:dyDescent="0.25">
      <c r="BO1823">
        <v>0</v>
      </c>
      <c r="BP1823">
        <v>0</v>
      </c>
      <c r="BQ1823">
        <v>0</v>
      </c>
      <c r="BR1823">
        <v>0</v>
      </c>
      <c r="BS1823">
        <v>0</v>
      </c>
      <c r="BT1823">
        <v>0</v>
      </c>
      <c r="BU1823">
        <v>0</v>
      </c>
      <c r="BV1823">
        <v>0</v>
      </c>
    </row>
    <row r="1824" spans="67:74" x14ac:dyDescent="0.25">
      <c r="BO1824">
        <v>0</v>
      </c>
      <c r="BP1824">
        <v>0</v>
      </c>
      <c r="BQ1824">
        <v>0</v>
      </c>
      <c r="BR1824">
        <v>0</v>
      </c>
      <c r="BS1824">
        <v>0</v>
      </c>
      <c r="BT1824">
        <v>0</v>
      </c>
      <c r="BU1824">
        <v>0</v>
      </c>
      <c r="BV1824">
        <v>0</v>
      </c>
    </row>
    <row r="1825" spans="54:74" x14ac:dyDescent="0.25">
      <c r="BO1825">
        <v>0</v>
      </c>
      <c r="BP1825">
        <v>0</v>
      </c>
      <c r="BQ1825">
        <v>0</v>
      </c>
      <c r="BR1825">
        <v>0</v>
      </c>
      <c r="BS1825">
        <v>0</v>
      </c>
      <c r="BT1825">
        <v>0</v>
      </c>
      <c r="BU1825">
        <v>0</v>
      </c>
      <c r="BV1825">
        <v>0</v>
      </c>
    </row>
    <row r="1826" spans="54:74" x14ac:dyDescent="0.25">
      <c r="BB1826" s="1"/>
      <c r="BO1826">
        <v>0</v>
      </c>
      <c r="BP1826">
        <v>0</v>
      </c>
      <c r="BQ1826">
        <v>0</v>
      </c>
      <c r="BR1826">
        <v>0</v>
      </c>
      <c r="BS1826">
        <v>0</v>
      </c>
      <c r="BT1826">
        <v>0</v>
      </c>
      <c r="BU1826">
        <v>0</v>
      </c>
      <c r="BV1826">
        <v>0</v>
      </c>
    </row>
    <row r="1827" spans="54:74" x14ac:dyDescent="0.25">
      <c r="BO1827">
        <v>0</v>
      </c>
      <c r="BP1827">
        <v>0</v>
      </c>
      <c r="BQ1827">
        <v>0</v>
      </c>
      <c r="BR1827">
        <v>0</v>
      </c>
      <c r="BS1827">
        <v>0</v>
      </c>
      <c r="BT1827">
        <v>0</v>
      </c>
      <c r="BU1827">
        <v>0</v>
      </c>
      <c r="BV1827">
        <v>0</v>
      </c>
    </row>
    <row r="1828" spans="54:74" x14ac:dyDescent="0.25">
      <c r="BO1828">
        <v>0</v>
      </c>
      <c r="BP1828">
        <v>0</v>
      </c>
      <c r="BQ1828">
        <v>0</v>
      </c>
      <c r="BR1828">
        <v>0</v>
      </c>
      <c r="BS1828">
        <v>0</v>
      </c>
      <c r="BT1828">
        <v>0</v>
      </c>
      <c r="BU1828">
        <v>0</v>
      </c>
      <c r="BV1828">
        <v>0</v>
      </c>
    </row>
    <row r="1829" spans="54:74" x14ac:dyDescent="0.25">
      <c r="BO1829">
        <v>0</v>
      </c>
      <c r="BP1829">
        <v>0</v>
      </c>
      <c r="BQ1829">
        <v>0</v>
      </c>
      <c r="BR1829">
        <v>0</v>
      </c>
      <c r="BS1829">
        <v>0</v>
      </c>
      <c r="BT1829">
        <v>0</v>
      </c>
      <c r="BU1829">
        <v>0</v>
      </c>
      <c r="BV1829">
        <v>0</v>
      </c>
    </row>
    <row r="1830" spans="54:74" x14ac:dyDescent="0.25">
      <c r="BO1830">
        <v>0</v>
      </c>
      <c r="BP1830">
        <v>0</v>
      </c>
      <c r="BQ1830">
        <v>0</v>
      </c>
      <c r="BR1830">
        <v>0</v>
      </c>
      <c r="BS1830">
        <v>0</v>
      </c>
      <c r="BT1830">
        <v>0</v>
      </c>
      <c r="BU1830">
        <v>0</v>
      </c>
      <c r="BV1830">
        <v>0</v>
      </c>
    </row>
    <row r="1831" spans="54:74" x14ac:dyDescent="0.25">
      <c r="BO1831">
        <v>0</v>
      </c>
      <c r="BP1831">
        <v>0</v>
      </c>
      <c r="BQ1831">
        <v>0</v>
      </c>
      <c r="BR1831">
        <v>0</v>
      </c>
      <c r="BS1831">
        <v>0</v>
      </c>
      <c r="BT1831">
        <v>0</v>
      </c>
      <c r="BU1831">
        <v>0</v>
      </c>
      <c r="BV1831">
        <v>0</v>
      </c>
    </row>
    <row r="1832" spans="54:74" x14ac:dyDescent="0.25">
      <c r="BO1832">
        <v>0</v>
      </c>
      <c r="BP1832">
        <v>0</v>
      </c>
      <c r="BQ1832">
        <v>0</v>
      </c>
      <c r="BR1832">
        <v>0</v>
      </c>
      <c r="BS1832">
        <v>0</v>
      </c>
      <c r="BT1832">
        <v>0</v>
      </c>
      <c r="BU1832">
        <v>0</v>
      </c>
      <c r="BV1832">
        <v>0</v>
      </c>
    </row>
    <row r="1833" spans="54:74" x14ac:dyDescent="0.25">
      <c r="BO1833">
        <v>0</v>
      </c>
      <c r="BP1833">
        <v>0</v>
      </c>
      <c r="BQ1833">
        <v>0</v>
      </c>
      <c r="BR1833">
        <v>0</v>
      </c>
      <c r="BS1833">
        <v>0</v>
      </c>
      <c r="BT1833">
        <v>0</v>
      </c>
      <c r="BU1833">
        <v>0</v>
      </c>
      <c r="BV1833">
        <v>0</v>
      </c>
    </row>
    <row r="1834" spans="54:74" x14ac:dyDescent="0.25">
      <c r="BO1834">
        <v>0</v>
      </c>
      <c r="BP1834">
        <v>0</v>
      </c>
      <c r="BQ1834">
        <v>0</v>
      </c>
      <c r="BR1834">
        <v>0</v>
      </c>
      <c r="BS1834">
        <v>0</v>
      </c>
      <c r="BT1834">
        <v>0</v>
      </c>
      <c r="BU1834">
        <v>0</v>
      </c>
      <c r="BV1834">
        <v>0</v>
      </c>
    </row>
    <row r="1835" spans="54:74" x14ac:dyDescent="0.25">
      <c r="BO1835">
        <v>0</v>
      </c>
      <c r="BP1835">
        <v>0</v>
      </c>
      <c r="BQ1835">
        <v>0</v>
      </c>
      <c r="BR1835">
        <v>0</v>
      </c>
      <c r="BS1835">
        <v>0</v>
      </c>
      <c r="BT1835">
        <v>0</v>
      </c>
      <c r="BU1835">
        <v>0</v>
      </c>
      <c r="BV1835">
        <v>0</v>
      </c>
    </row>
    <row r="1836" spans="54:74" x14ac:dyDescent="0.25">
      <c r="BO1836">
        <v>0</v>
      </c>
      <c r="BP1836">
        <v>0</v>
      </c>
      <c r="BQ1836">
        <v>0</v>
      </c>
      <c r="BR1836">
        <v>0</v>
      </c>
      <c r="BS1836">
        <v>0</v>
      </c>
      <c r="BT1836">
        <v>0</v>
      </c>
      <c r="BU1836">
        <v>0</v>
      </c>
      <c r="BV1836">
        <v>0</v>
      </c>
    </row>
    <row r="1837" spans="54:74" x14ac:dyDescent="0.25">
      <c r="BO1837">
        <v>0</v>
      </c>
      <c r="BP1837">
        <v>0</v>
      </c>
      <c r="BQ1837">
        <v>0</v>
      </c>
      <c r="BR1837">
        <v>0</v>
      </c>
      <c r="BS1837">
        <v>0</v>
      </c>
      <c r="BT1837">
        <v>0</v>
      </c>
      <c r="BU1837">
        <v>0</v>
      </c>
      <c r="BV1837">
        <v>0</v>
      </c>
    </row>
    <row r="1838" spans="54:74" x14ac:dyDescent="0.25">
      <c r="BO1838">
        <v>0</v>
      </c>
      <c r="BP1838">
        <v>0</v>
      </c>
      <c r="BQ1838">
        <v>0</v>
      </c>
      <c r="BR1838">
        <v>0</v>
      </c>
      <c r="BS1838">
        <v>0</v>
      </c>
      <c r="BT1838">
        <v>0</v>
      </c>
      <c r="BU1838">
        <v>0</v>
      </c>
      <c r="BV1838">
        <v>0</v>
      </c>
    </row>
    <row r="1839" spans="54:74" x14ac:dyDescent="0.25">
      <c r="BO1839">
        <v>0</v>
      </c>
      <c r="BP1839">
        <v>0</v>
      </c>
      <c r="BQ1839">
        <v>0</v>
      </c>
      <c r="BR1839">
        <v>0</v>
      </c>
      <c r="BS1839">
        <v>0</v>
      </c>
      <c r="BT1839">
        <v>0</v>
      </c>
      <c r="BU1839">
        <v>0</v>
      </c>
      <c r="BV1839">
        <v>0</v>
      </c>
    </row>
    <row r="1840" spans="54:74" x14ac:dyDescent="0.25">
      <c r="BO1840">
        <v>0</v>
      </c>
      <c r="BP1840">
        <v>0</v>
      </c>
      <c r="BQ1840">
        <v>0</v>
      </c>
      <c r="BR1840">
        <v>0</v>
      </c>
      <c r="BS1840">
        <v>0</v>
      </c>
      <c r="BT1840">
        <v>0</v>
      </c>
      <c r="BU1840">
        <v>0</v>
      </c>
      <c r="BV1840">
        <v>0</v>
      </c>
    </row>
    <row r="1841" spans="11:74" x14ac:dyDescent="0.25">
      <c r="BO1841">
        <v>0</v>
      </c>
      <c r="BP1841">
        <v>0</v>
      </c>
      <c r="BQ1841">
        <v>0</v>
      </c>
      <c r="BR1841">
        <v>0</v>
      </c>
      <c r="BS1841">
        <v>0</v>
      </c>
      <c r="BT1841">
        <v>0</v>
      </c>
      <c r="BU1841">
        <v>0</v>
      </c>
      <c r="BV1841">
        <v>0</v>
      </c>
    </row>
    <row r="1842" spans="11:74" x14ac:dyDescent="0.25">
      <c r="BO1842">
        <v>0</v>
      </c>
      <c r="BP1842">
        <v>0</v>
      </c>
      <c r="BQ1842">
        <v>0</v>
      </c>
      <c r="BR1842">
        <v>0</v>
      </c>
      <c r="BS1842">
        <v>0</v>
      </c>
      <c r="BT1842">
        <v>0</v>
      </c>
      <c r="BU1842">
        <v>0</v>
      </c>
      <c r="BV1842">
        <v>0</v>
      </c>
    </row>
    <row r="1843" spans="11:74" x14ac:dyDescent="0.25">
      <c r="BO1843">
        <v>0</v>
      </c>
      <c r="BP1843">
        <v>0</v>
      </c>
      <c r="BQ1843">
        <v>0</v>
      </c>
      <c r="BR1843">
        <v>0</v>
      </c>
      <c r="BS1843">
        <v>0</v>
      </c>
      <c r="BT1843">
        <v>0</v>
      </c>
      <c r="BU1843">
        <v>0</v>
      </c>
      <c r="BV1843">
        <v>0</v>
      </c>
    </row>
    <row r="1844" spans="11:74" x14ac:dyDescent="0.25">
      <c r="BO1844">
        <v>0</v>
      </c>
      <c r="BP1844">
        <v>0</v>
      </c>
      <c r="BQ1844">
        <v>0</v>
      </c>
      <c r="BR1844">
        <v>0</v>
      </c>
      <c r="BS1844">
        <v>0</v>
      </c>
      <c r="BT1844">
        <v>0</v>
      </c>
      <c r="BU1844">
        <v>0</v>
      </c>
      <c r="BV1844">
        <v>0</v>
      </c>
    </row>
    <row r="1845" spans="11:74" x14ac:dyDescent="0.25">
      <c r="BO1845">
        <v>0</v>
      </c>
      <c r="BP1845">
        <v>0</v>
      </c>
      <c r="BQ1845">
        <v>0</v>
      </c>
      <c r="BR1845">
        <v>0</v>
      </c>
      <c r="BS1845">
        <v>0</v>
      </c>
      <c r="BT1845">
        <v>0</v>
      </c>
      <c r="BU1845">
        <v>0</v>
      </c>
      <c r="BV1845">
        <v>0</v>
      </c>
    </row>
    <row r="1846" spans="11:74" x14ac:dyDescent="0.25">
      <c r="BO1846">
        <v>0</v>
      </c>
      <c r="BP1846">
        <v>0</v>
      </c>
      <c r="BQ1846">
        <v>0</v>
      </c>
      <c r="BR1846">
        <v>0</v>
      </c>
      <c r="BS1846">
        <v>0</v>
      </c>
      <c r="BT1846">
        <v>0</v>
      </c>
      <c r="BU1846">
        <v>0</v>
      </c>
      <c r="BV1846">
        <v>0</v>
      </c>
    </row>
    <row r="1847" spans="11:74" x14ac:dyDescent="0.25">
      <c r="AF1847" s="1"/>
      <c r="BE1847" s="1"/>
      <c r="BM1847" s="2"/>
      <c r="BO1847">
        <v>0</v>
      </c>
      <c r="BP1847">
        <v>0</v>
      </c>
      <c r="BQ1847">
        <v>0</v>
      </c>
      <c r="BR1847">
        <v>0</v>
      </c>
      <c r="BS1847">
        <v>0</v>
      </c>
      <c r="BT1847">
        <v>0</v>
      </c>
      <c r="BU1847">
        <v>0</v>
      </c>
      <c r="BV1847">
        <v>0</v>
      </c>
    </row>
    <row r="1848" spans="11:74" x14ac:dyDescent="0.25">
      <c r="BO1848">
        <v>0</v>
      </c>
      <c r="BP1848">
        <v>0</v>
      </c>
      <c r="BQ1848">
        <v>0</v>
      </c>
      <c r="BR1848">
        <v>0</v>
      </c>
      <c r="BS1848">
        <v>0</v>
      </c>
      <c r="BT1848">
        <v>0</v>
      </c>
      <c r="BU1848">
        <v>0</v>
      </c>
      <c r="BV1848">
        <v>0</v>
      </c>
    </row>
    <row r="1849" spans="11:74" x14ac:dyDescent="0.25">
      <c r="K1849" s="3"/>
      <c r="BO1849">
        <v>0</v>
      </c>
      <c r="BP1849">
        <v>0</v>
      </c>
      <c r="BQ1849">
        <v>0</v>
      </c>
      <c r="BR1849">
        <v>0</v>
      </c>
      <c r="BS1849">
        <v>0</v>
      </c>
      <c r="BT1849">
        <v>0</v>
      </c>
      <c r="BU1849">
        <v>0</v>
      </c>
      <c r="BV1849">
        <v>0</v>
      </c>
    </row>
    <row r="1850" spans="11:74" x14ac:dyDescent="0.25">
      <c r="K1850" s="3"/>
      <c r="BO1850">
        <v>0</v>
      </c>
      <c r="BP1850">
        <v>0</v>
      </c>
      <c r="BQ1850">
        <v>0</v>
      </c>
      <c r="BR1850">
        <v>0</v>
      </c>
      <c r="BS1850">
        <v>0</v>
      </c>
      <c r="BT1850">
        <v>0</v>
      </c>
      <c r="BU1850">
        <v>0</v>
      </c>
      <c r="BV1850">
        <v>0</v>
      </c>
    </row>
    <row r="1851" spans="11:74" x14ac:dyDescent="0.25">
      <c r="K1851" s="3"/>
      <c r="BO1851">
        <v>0</v>
      </c>
      <c r="BP1851">
        <v>0</v>
      </c>
      <c r="BQ1851">
        <v>0</v>
      </c>
      <c r="BR1851">
        <v>0</v>
      </c>
      <c r="BS1851">
        <v>0</v>
      </c>
      <c r="BT1851">
        <v>0</v>
      </c>
      <c r="BU1851">
        <v>0</v>
      </c>
      <c r="BV1851">
        <v>0</v>
      </c>
    </row>
    <row r="1852" spans="11:74" x14ac:dyDescent="0.25">
      <c r="K1852" s="3"/>
      <c r="BO1852">
        <v>0</v>
      </c>
      <c r="BP1852">
        <v>0</v>
      </c>
      <c r="BQ1852">
        <v>0</v>
      </c>
      <c r="BR1852">
        <v>0</v>
      </c>
      <c r="BS1852">
        <v>0</v>
      </c>
      <c r="BT1852">
        <v>0</v>
      </c>
      <c r="BU1852">
        <v>0</v>
      </c>
      <c r="BV1852">
        <v>0</v>
      </c>
    </row>
    <row r="1853" spans="11:74" x14ac:dyDescent="0.25">
      <c r="K1853" s="3"/>
      <c r="BO1853">
        <v>0</v>
      </c>
      <c r="BP1853">
        <v>0</v>
      </c>
      <c r="BQ1853">
        <v>0</v>
      </c>
      <c r="BR1853">
        <v>0</v>
      </c>
      <c r="BS1853">
        <v>0</v>
      </c>
      <c r="BT1853">
        <v>0</v>
      </c>
      <c r="BU1853">
        <v>0</v>
      </c>
      <c r="BV1853">
        <v>0</v>
      </c>
    </row>
    <row r="1854" spans="11:74" x14ac:dyDescent="0.25">
      <c r="K1854" s="3"/>
      <c r="BO1854">
        <v>0</v>
      </c>
      <c r="BP1854">
        <v>0</v>
      </c>
      <c r="BQ1854">
        <v>0</v>
      </c>
      <c r="BR1854">
        <v>0</v>
      </c>
      <c r="BS1854">
        <v>0</v>
      </c>
      <c r="BT1854">
        <v>0</v>
      </c>
      <c r="BU1854">
        <v>0</v>
      </c>
      <c r="BV1854">
        <v>0</v>
      </c>
    </row>
    <row r="1855" spans="11:74" x14ac:dyDescent="0.25">
      <c r="K1855" s="3"/>
      <c r="BB1855" s="1"/>
      <c r="BO1855">
        <v>0</v>
      </c>
      <c r="BP1855">
        <v>0</v>
      </c>
      <c r="BQ1855">
        <v>0</v>
      </c>
      <c r="BR1855">
        <v>0</v>
      </c>
      <c r="BS1855">
        <v>0</v>
      </c>
      <c r="BT1855">
        <v>0</v>
      </c>
      <c r="BU1855">
        <v>0</v>
      </c>
      <c r="BV1855">
        <v>0</v>
      </c>
    </row>
    <row r="1856" spans="11:74" x14ac:dyDescent="0.25">
      <c r="K1856" s="3"/>
      <c r="BO1856">
        <v>0</v>
      </c>
      <c r="BP1856">
        <v>0</v>
      </c>
      <c r="BQ1856">
        <v>0</v>
      </c>
      <c r="BR1856">
        <v>0</v>
      </c>
      <c r="BS1856">
        <v>0</v>
      </c>
      <c r="BT1856">
        <v>0</v>
      </c>
      <c r="BU1856">
        <v>0</v>
      </c>
      <c r="BV1856">
        <v>0</v>
      </c>
    </row>
    <row r="1857" spans="11:74" x14ac:dyDescent="0.25">
      <c r="K1857" s="3"/>
      <c r="BO1857">
        <v>0</v>
      </c>
      <c r="BP1857">
        <v>0</v>
      </c>
      <c r="BQ1857">
        <v>0</v>
      </c>
      <c r="BR1857">
        <v>0</v>
      </c>
      <c r="BS1857">
        <v>0</v>
      </c>
      <c r="BT1857">
        <v>0</v>
      </c>
      <c r="BU1857">
        <v>0</v>
      </c>
      <c r="BV1857">
        <v>0</v>
      </c>
    </row>
    <row r="1858" spans="11:74" x14ac:dyDescent="0.25">
      <c r="K1858" s="3"/>
      <c r="BO1858">
        <v>0</v>
      </c>
      <c r="BP1858">
        <v>0</v>
      </c>
      <c r="BQ1858">
        <v>0</v>
      </c>
      <c r="BR1858">
        <v>0</v>
      </c>
      <c r="BS1858">
        <v>0</v>
      </c>
      <c r="BT1858">
        <v>0</v>
      </c>
      <c r="BU1858">
        <v>0</v>
      </c>
      <c r="BV1858">
        <v>0</v>
      </c>
    </row>
    <row r="1859" spans="11:74" x14ac:dyDescent="0.25">
      <c r="K1859" s="3"/>
      <c r="BO1859">
        <v>0</v>
      </c>
      <c r="BP1859">
        <v>0</v>
      </c>
      <c r="BQ1859">
        <v>0</v>
      </c>
      <c r="BR1859">
        <v>0</v>
      </c>
      <c r="BS1859">
        <v>0</v>
      </c>
      <c r="BT1859">
        <v>0</v>
      </c>
      <c r="BU1859">
        <v>0</v>
      </c>
      <c r="BV1859">
        <v>0</v>
      </c>
    </row>
    <row r="1860" spans="11:74" x14ac:dyDescent="0.25">
      <c r="K1860" s="3"/>
      <c r="AF1860" s="1"/>
      <c r="BO1860">
        <v>0</v>
      </c>
      <c r="BP1860">
        <v>0</v>
      </c>
      <c r="BQ1860">
        <v>0</v>
      </c>
      <c r="BR1860">
        <v>0</v>
      </c>
      <c r="BS1860">
        <v>0</v>
      </c>
      <c r="BT1860">
        <v>0</v>
      </c>
      <c r="BU1860">
        <v>0</v>
      </c>
      <c r="BV1860">
        <v>0</v>
      </c>
    </row>
    <row r="1861" spans="11:74" x14ac:dyDescent="0.25">
      <c r="K1861" s="3"/>
      <c r="BO1861">
        <v>0</v>
      </c>
      <c r="BP1861">
        <v>0</v>
      </c>
      <c r="BQ1861">
        <v>0</v>
      </c>
      <c r="BR1861">
        <v>0</v>
      </c>
      <c r="BS1861">
        <v>0</v>
      </c>
      <c r="BT1861">
        <v>0</v>
      </c>
      <c r="BU1861">
        <v>0</v>
      </c>
      <c r="BV1861">
        <v>0</v>
      </c>
    </row>
    <row r="1862" spans="11:74" x14ac:dyDescent="0.25">
      <c r="K1862" s="3"/>
      <c r="BO1862">
        <v>0</v>
      </c>
      <c r="BP1862">
        <v>0</v>
      </c>
      <c r="BQ1862">
        <v>0</v>
      </c>
      <c r="BR1862">
        <v>0</v>
      </c>
      <c r="BS1862">
        <v>0</v>
      </c>
      <c r="BT1862">
        <v>0</v>
      </c>
      <c r="BU1862">
        <v>0</v>
      </c>
      <c r="BV1862">
        <v>0</v>
      </c>
    </row>
    <row r="1863" spans="11:74" x14ac:dyDescent="0.25">
      <c r="K1863" s="3"/>
      <c r="BO1863">
        <v>0</v>
      </c>
      <c r="BP1863">
        <v>0</v>
      </c>
      <c r="BQ1863">
        <v>0</v>
      </c>
      <c r="BR1863">
        <v>0</v>
      </c>
      <c r="BS1863">
        <v>0</v>
      </c>
      <c r="BT1863">
        <v>0</v>
      </c>
      <c r="BU1863">
        <v>0</v>
      </c>
      <c r="BV1863">
        <v>0</v>
      </c>
    </row>
    <row r="1864" spans="11:74" x14ac:dyDescent="0.25">
      <c r="K1864" s="3"/>
      <c r="BO1864">
        <v>0</v>
      </c>
      <c r="BP1864">
        <v>0</v>
      </c>
      <c r="BQ1864">
        <v>0</v>
      </c>
      <c r="BR1864">
        <v>0</v>
      </c>
      <c r="BS1864">
        <v>0</v>
      </c>
      <c r="BT1864">
        <v>0</v>
      </c>
      <c r="BU1864">
        <v>0</v>
      </c>
      <c r="BV1864">
        <v>0</v>
      </c>
    </row>
    <row r="1865" spans="11:74" x14ac:dyDescent="0.25">
      <c r="K1865" s="3"/>
      <c r="BO1865">
        <v>0</v>
      </c>
      <c r="BP1865">
        <v>0</v>
      </c>
      <c r="BQ1865">
        <v>0</v>
      </c>
      <c r="BR1865">
        <v>0</v>
      </c>
      <c r="BS1865">
        <v>0</v>
      </c>
      <c r="BT1865">
        <v>0</v>
      </c>
      <c r="BU1865">
        <v>0</v>
      </c>
      <c r="BV1865">
        <v>0</v>
      </c>
    </row>
    <row r="1866" spans="11:74" x14ac:dyDescent="0.25">
      <c r="K1866" s="3"/>
      <c r="BO1866">
        <v>0</v>
      </c>
      <c r="BP1866">
        <v>0</v>
      </c>
      <c r="BQ1866">
        <v>0</v>
      </c>
      <c r="BR1866">
        <v>0</v>
      </c>
      <c r="BS1866">
        <v>0</v>
      </c>
      <c r="BT1866">
        <v>0</v>
      </c>
      <c r="BU1866">
        <v>0</v>
      </c>
      <c r="BV1866">
        <v>0</v>
      </c>
    </row>
    <row r="1867" spans="11:74" x14ac:dyDescent="0.25">
      <c r="K1867" s="3"/>
      <c r="BO1867">
        <v>0</v>
      </c>
      <c r="BP1867">
        <v>0</v>
      </c>
      <c r="BQ1867">
        <v>0</v>
      </c>
      <c r="BR1867">
        <v>0</v>
      </c>
      <c r="BS1867">
        <v>0</v>
      </c>
      <c r="BT1867">
        <v>0</v>
      </c>
      <c r="BU1867">
        <v>0</v>
      </c>
      <c r="BV1867">
        <v>0</v>
      </c>
    </row>
    <row r="1868" spans="11:74" x14ac:dyDescent="0.25">
      <c r="K1868" s="3"/>
      <c r="BO1868">
        <v>0</v>
      </c>
      <c r="BP1868">
        <v>0</v>
      </c>
      <c r="BQ1868">
        <v>0</v>
      </c>
      <c r="BR1868">
        <v>0</v>
      </c>
      <c r="BS1868">
        <v>0</v>
      </c>
      <c r="BT1868">
        <v>0</v>
      </c>
      <c r="BU1868">
        <v>0</v>
      </c>
      <c r="BV1868">
        <v>0</v>
      </c>
    </row>
    <row r="1869" spans="11:74" x14ac:dyDescent="0.25">
      <c r="K1869" s="3"/>
      <c r="BO1869">
        <v>0</v>
      </c>
      <c r="BP1869">
        <v>0</v>
      </c>
      <c r="BQ1869">
        <v>0</v>
      </c>
      <c r="BR1869">
        <v>0</v>
      </c>
      <c r="BS1869">
        <v>0</v>
      </c>
      <c r="BT1869">
        <v>0</v>
      </c>
      <c r="BU1869">
        <v>0</v>
      </c>
      <c r="BV1869">
        <v>0</v>
      </c>
    </row>
    <row r="1870" spans="11:74" x14ac:dyDescent="0.25">
      <c r="K1870" s="3"/>
      <c r="BO1870">
        <v>0</v>
      </c>
      <c r="BP1870">
        <v>0</v>
      </c>
      <c r="BQ1870">
        <v>0</v>
      </c>
      <c r="BR1870">
        <v>0</v>
      </c>
      <c r="BS1870">
        <v>0</v>
      </c>
      <c r="BT1870">
        <v>0</v>
      </c>
      <c r="BU1870">
        <v>0</v>
      </c>
      <c r="BV1870">
        <v>0</v>
      </c>
    </row>
    <row r="1871" spans="11:74" x14ac:dyDescent="0.25">
      <c r="K1871" s="3"/>
      <c r="BO1871">
        <v>0</v>
      </c>
      <c r="BP1871">
        <v>0</v>
      </c>
      <c r="BQ1871">
        <v>0</v>
      </c>
      <c r="BR1871">
        <v>0</v>
      </c>
      <c r="BS1871">
        <v>0</v>
      </c>
      <c r="BT1871">
        <v>0</v>
      </c>
      <c r="BU1871">
        <v>0</v>
      </c>
      <c r="BV1871">
        <v>0</v>
      </c>
    </row>
    <row r="1872" spans="11:74" x14ac:dyDescent="0.25">
      <c r="K1872" s="3"/>
      <c r="BO1872">
        <v>0</v>
      </c>
      <c r="BP1872">
        <v>0</v>
      </c>
      <c r="BQ1872">
        <v>0</v>
      </c>
      <c r="BR1872">
        <v>0</v>
      </c>
      <c r="BS1872">
        <v>0</v>
      </c>
      <c r="BT1872">
        <v>0</v>
      </c>
      <c r="BU1872">
        <v>0</v>
      </c>
      <c r="BV1872">
        <v>0</v>
      </c>
    </row>
    <row r="1873" spans="11:74" x14ac:dyDescent="0.25">
      <c r="K1873" s="3"/>
      <c r="BO1873">
        <v>0</v>
      </c>
      <c r="BP1873">
        <v>0</v>
      </c>
      <c r="BQ1873">
        <v>0</v>
      </c>
      <c r="BR1873">
        <v>0</v>
      </c>
      <c r="BS1873">
        <v>0</v>
      </c>
      <c r="BT1873">
        <v>0</v>
      </c>
      <c r="BU1873">
        <v>0</v>
      </c>
      <c r="BV1873">
        <v>0</v>
      </c>
    </row>
    <row r="1874" spans="11:74" x14ac:dyDescent="0.25">
      <c r="K1874" s="3"/>
      <c r="BO1874">
        <v>0</v>
      </c>
      <c r="BP1874">
        <v>0</v>
      </c>
      <c r="BQ1874">
        <v>0</v>
      </c>
      <c r="BR1874">
        <v>0</v>
      </c>
      <c r="BS1874">
        <v>0</v>
      </c>
      <c r="BT1874">
        <v>0</v>
      </c>
      <c r="BU1874">
        <v>0</v>
      </c>
      <c r="BV1874">
        <v>0</v>
      </c>
    </row>
    <row r="1875" spans="11:74" x14ac:dyDescent="0.25">
      <c r="K1875" s="3"/>
      <c r="BO1875">
        <v>0</v>
      </c>
      <c r="BP1875">
        <v>0</v>
      </c>
      <c r="BQ1875">
        <v>0</v>
      </c>
      <c r="BR1875">
        <v>0</v>
      </c>
      <c r="BS1875">
        <v>0</v>
      </c>
      <c r="BT1875">
        <v>0</v>
      </c>
      <c r="BU1875">
        <v>0</v>
      </c>
      <c r="BV1875">
        <v>0</v>
      </c>
    </row>
    <row r="1876" spans="11:74" x14ac:dyDescent="0.25">
      <c r="K1876" s="3"/>
      <c r="BO1876">
        <v>0</v>
      </c>
      <c r="BP1876">
        <v>0</v>
      </c>
      <c r="BQ1876">
        <v>0</v>
      </c>
      <c r="BR1876">
        <v>0</v>
      </c>
      <c r="BS1876">
        <v>0</v>
      </c>
      <c r="BT1876">
        <v>0</v>
      </c>
      <c r="BU1876">
        <v>0</v>
      </c>
      <c r="BV1876">
        <v>0</v>
      </c>
    </row>
    <row r="1877" spans="11:74" x14ac:dyDescent="0.25">
      <c r="K1877" s="3"/>
      <c r="BO1877">
        <v>0</v>
      </c>
      <c r="BP1877">
        <v>0</v>
      </c>
      <c r="BQ1877">
        <v>0</v>
      </c>
      <c r="BR1877">
        <v>0</v>
      </c>
      <c r="BS1877">
        <v>0</v>
      </c>
      <c r="BT1877">
        <v>0</v>
      </c>
      <c r="BU1877">
        <v>0</v>
      </c>
      <c r="BV1877">
        <v>0</v>
      </c>
    </row>
    <row r="1878" spans="11:74" x14ac:dyDescent="0.25">
      <c r="K1878" s="3"/>
      <c r="BO1878">
        <v>0</v>
      </c>
      <c r="BP1878">
        <v>0</v>
      </c>
      <c r="BQ1878">
        <v>0</v>
      </c>
      <c r="BR1878">
        <v>0</v>
      </c>
      <c r="BS1878">
        <v>0</v>
      </c>
      <c r="BT1878">
        <v>0</v>
      </c>
      <c r="BU1878">
        <v>0</v>
      </c>
      <c r="BV1878">
        <v>0</v>
      </c>
    </row>
    <row r="1879" spans="11:74" x14ac:dyDescent="0.25">
      <c r="K1879" s="3"/>
      <c r="BO1879">
        <v>0</v>
      </c>
      <c r="BP1879">
        <v>0</v>
      </c>
      <c r="BQ1879">
        <v>0</v>
      </c>
      <c r="BR1879">
        <v>0</v>
      </c>
      <c r="BS1879">
        <v>0</v>
      </c>
      <c r="BT1879">
        <v>0</v>
      </c>
      <c r="BU1879">
        <v>0</v>
      </c>
      <c r="BV1879">
        <v>0</v>
      </c>
    </row>
    <row r="1880" spans="11:74" x14ac:dyDescent="0.25">
      <c r="K1880" s="3"/>
      <c r="BO1880">
        <v>0</v>
      </c>
      <c r="BP1880">
        <v>0</v>
      </c>
      <c r="BQ1880">
        <v>0</v>
      </c>
      <c r="BR1880">
        <v>0</v>
      </c>
      <c r="BS1880">
        <v>0</v>
      </c>
      <c r="BT1880">
        <v>0</v>
      </c>
      <c r="BU1880">
        <v>0</v>
      </c>
      <c r="BV1880">
        <v>0</v>
      </c>
    </row>
    <row r="1881" spans="11:74" x14ac:dyDescent="0.25">
      <c r="K1881" s="3"/>
      <c r="BO1881">
        <v>0</v>
      </c>
      <c r="BP1881">
        <v>0</v>
      </c>
      <c r="BQ1881">
        <v>0</v>
      </c>
      <c r="BR1881">
        <v>0</v>
      </c>
      <c r="BS1881">
        <v>0</v>
      </c>
      <c r="BT1881">
        <v>0</v>
      </c>
      <c r="BU1881">
        <v>0</v>
      </c>
      <c r="BV1881">
        <v>0</v>
      </c>
    </row>
    <row r="1882" spans="11:74" x14ac:dyDescent="0.25">
      <c r="K1882" s="3"/>
      <c r="BO1882">
        <v>0</v>
      </c>
      <c r="BP1882">
        <v>0</v>
      </c>
      <c r="BQ1882">
        <v>0</v>
      </c>
      <c r="BR1882">
        <v>0</v>
      </c>
      <c r="BS1882">
        <v>0</v>
      </c>
      <c r="BT1882">
        <v>0</v>
      </c>
      <c r="BU1882">
        <v>0</v>
      </c>
      <c r="BV1882">
        <v>0</v>
      </c>
    </row>
    <row r="1883" spans="11:74" x14ac:dyDescent="0.25">
      <c r="K1883" s="3"/>
      <c r="BO1883">
        <v>0</v>
      </c>
      <c r="BP1883">
        <v>0</v>
      </c>
      <c r="BQ1883">
        <v>0</v>
      </c>
      <c r="BR1883">
        <v>0</v>
      </c>
      <c r="BS1883">
        <v>0</v>
      </c>
      <c r="BT1883">
        <v>0</v>
      </c>
      <c r="BU1883">
        <v>0</v>
      </c>
      <c r="BV1883">
        <v>0</v>
      </c>
    </row>
    <row r="1884" spans="11:74" x14ac:dyDescent="0.25">
      <c r="K1884" s="3"/>
      <c r="BO1884">
        <v>0</v>
      </c>
      <c r="BP1884">
        <v>0</v>
      </c>
      <c r="BQ1884">
        <v>0</v>
      </c>
      <c r="BR1884">
        <v>0</v>
      </c>
      <c r="BS1884">
        <v>0</v>
      </c>
      <c r="BT1884">
        <v>0</v>
      </c>
      <c r="BU1884">
        <v>0</v>
      </c>
      <c r="BV1884">
        <v>0</v>
      </c>
    </row>
    <row r="1885" spans="11:74" x14ac:dyDescent="0.25">
      <c r="K1885" s="3"/>
      <c r="BO1885">
        <v>0</v>
      </c>
      <c r="BP1885">
        <v>0</v>
      </c>
      <c r="BQ1885">
        <v>0</v>
      </c>
      <c r="BR1885">
        <v>0</v>
      </c>
      <c r="BS1885">
        <v>0</v>
      </c>
      <c r="BT1885">
        <v>0</v>
      </c>
      <c r="BU1885">
        <v>0</v>
      </c>
      <c r="BV1885">
        <v>0</v>
      </c>
    </row>
    <row r="1886" spans="11:74" x14ac:dyDescent="0.25">
      <c r="K1886" s="3"/>
      <c r="BO1886">
        <v>0</v>
      </c>
      <c r="BP1886">
        <v>0</v>
      </c>
      <c r="BQ1886">
        <v>0</v>
      </c>
      <c r="BR1886">
        <v>0</v>
      </c>
      <c r="BS1886">
        <v>0</v>
      </c>
      <c r="BT1886">
        <v>0</v>
      </c>
      <c r="BU1886">
        <v>0</v>
      </c>
      <c r="BV1886">
        <v>0</v>
      </c>
    </row>
    <row r="1887" spans="11:74" x14ac:dyDescent="0.25">
      <c r="K1887" s="3"/>
      <c r="BO1887">
        <v>0</v>
      </c>
      <c r="BP1887">
        <v>0</v>
      </c>
      <c r="BQ1887">
        <v>0</v>
      </c>
      <c r="BR1887">
        <v>0</v>
      </c>
      <c r="BS1887">
        <v>0</v>
      </c>
      <c r="BT1887">
        <v>0</v>
      </c>
      <c r="BU1887">
        <v>0</v>
      </c>
      <c r="BV1887">
        <v>0</v>
      </c>
    </row>
    <row r="1888" spans="11:74" x14ac:dyDescent="0.25">
      <c r="K1888" s="3"/>
      <c r="BO1888">
        <v>0</v>
      </c>
      <c r="BP1888">
        <v>0</v>
      </c>
      <c r="BQ1888">
        <v>0</v>
      </c>
      <c r="BR1888">
        <v>0</v>
      </c>
      <c r="BS1888">
        <v>0</v>
      </c>
      <c r="BT1888">
        <v>0</v>
      </c>
      <c r="BU1888">
        <v>0</v>
      </c>
      <c r="BV1888">
        <v>0</v>
      </c>
    </row>
    <row r="1889" spans="11:74" x14ac:dyDescent="0.25">
      <c r="K1889" s="3"/>
      <c r="BO1889">
        <v>0</v>
      </c>
      <c r="BP1889">
        <v>0</v>
      </c>
      <c r="BQ1889">
        <v>0</v>
      </c>
      <c r="BR1889">
        <v>0</v>
      </c>
      <c r="BS1889">
        <v>0</v>
      </c>
      <c r="BT1889">
        <v>0</v>
      </c>
      <c r="BU1889">
        <v>0</v>
      </c>
      <c r="BV1889">
        <v>0</v>
      </c>
    </row>
    <row r="1890" spans="11:74" x14ac:dyDescent="0.25">
      <c r="K1890" s="3"/>
      <c r="BO1890">
        <v>0</v>
      </c>
      <c r="BP1890">
        <v>0</v>
      </c>
      <c r="BQ1890">
        <v>0</v>
      </c>
      <c r="BR1890">
        <v>0</v>
      </c>
      <c r="BS1890">
        <v>0</v>
      </c>
      <c r="BT1890">
        <v>0</v>
      </c>
      <c r="BU1890">
        <v>0</v>
      </c>
      <c r="BV1890">
        <v>0</v>
      </c>
    </row>
    <row r="1891" spans="11:74" x14ac:dyDescent="0.25">
      <c r="K1891" s="3"/>
      <c r="BO1891">
        <v>0</v>
      </c>
      <c r="BP1891">
        <v>0</v>
      </c>
      <c r="BQ1891">
        <v>0</v>
      </c>
      <c r="BR1891">
        <v>0</v>
      </c>
      <c r="BS1891">
        <v>0</v>
      </c>
      <c r="BT1891">
        <v>0</v>
      </c>
      <c r="BU1891">
        <v>0</v>
      </c>
      <c r="BV1891">
        <v>0</v>
      </c>
    </row>
    <row r="1892" spans="11:74" x14ac:dyDescent="0.25">
      <c r="K1892" s="3"/>
      <c r="BO1892">
        <v>0</v>
      </c>
      <c r="BP1892">
        <v>0</v>
      </c>
      <c r="BQ1892">
        <v>0</v>
      </c>
      <c r="BR1892">
        <v>0</v>
      </c>
      <c r="BS1892">
        <v>0</v>
      </c>
      <c r="BT1892">
        <v>0</v>
      </c>
      <c r="BU1892">
        <v>0</v>
      </c>
      <c r="BV1892">
        <v>0</v>
      </c>
    </row>
    <row r="1893" spans="11:74" x14ac:dyDescent="0.25">
      <c r="K1893" s="3"/>
      <c r="BO1893">
        <v>0</v>
      </c>
      <c r="BP1893">
        <v>0</v>
      </c>
      <c r="BQ1893">
        <v>0</v>
      </c>
      <c r="BR1893">
        <v>0</v>
      </c>
      <c r="BS1893">
        <v>0</v>
      </c>
      <c r="BT1893">
        <v>0</v>
      </c>
      <c r="BU1893">
        <v>0</v>
      </c>
      <c r="BV1893">
        <v>0</v>
      </c>
    </row>
    <row r="1894" spans="11:74" x14ac:dyDescent="0.25">
      <c r="K1894" s="3"/>
      <c r="BO1894">
        <v>0</v>
      </c>
      <c r="BP1894">
        <v>0</v>
      </c>
      <c r="BQ1894">
        <v>0</v>
      </c>
      <c r="BR1894">
        <v>0</v>
      </c>
      <c r="BS1894">
        <v>0</v>
      </c>
      <c r="BT1894">
        <v>0</v>
      </c>
      <c r="BU1894">
        <v>0</v>
      </c>
      <c r="BV1894">
        <v>0</v>
      </c>
    </row>
    <row r="1895" spans="11:74" x14ac:dyDescent="0.25">
      <c r="K1895" s="3"/>
      <c r="BO1895">
        <v>0</v>
      </c>
      <c r="BP1895">
        <v>0</v>
      </c>
      <c r="BQ1895">
        <v>0</v>
      </c>
      <c r="BR1895">
        <v>0</v>
      </c>
      <c r="BS1895">
        <v>0</v>
      </c>
      <c r="BT1895">
        <v>0</v>
      </c>
      <c r="BU1895">
        <v>0</v>
      </c>
      <c r="BV1895">
        <v>0</v>
      </c>
    </row>
    <row r="1896" spans="11:74" x14ac:dyDescent="0.25">
      <c r="K1896" s="3"/>
      <c r="BO1896">
        <v>0</v>
      </c>
      <c r="BP1896">
        <v>0</v>
      </c>
      <c r="BQ1896">
        <v>0</v>
      </c>
      <c r="BR1896">
        <v>0</v>
      </c>
      <c r="BS1896">
        <v>0</v>
      </c>
      <c r="BT1896">
        <v>0</v>
      </c>
      <c r="BU1896">
        <v>0</v>
      </c>
      <c r="BV1896">
        <v>0</v>
      </c>
    </row>
    <row r="1897" spans="11:74" x14ac:dyDescent="0.25">
      <c r="K1897" s="3"/>
      <c r="BO1897">
        <v>0</v>
      </c>
      <c r="BP1897">
        <v>0</v>
      </c>
      <c r="BQ1897">
        <v>0</v>
      </c>
      <c r="BR1897">
        <v>0</v>
      </c>
      <c r="BS1897">
        <v>0</v>
      </c>
      <c r="BT1897">
        <v>0</v>
      </c>
      <c r="BU1897">
        <v>0</v>
      </c>
      <c r="BV1897">
        <v>0</v>
      </c>
    </row>
    <row r="1898" spans="11:74" x14ac:dyDescent="0.25">
      <c r="K1898" s="3"/>
      <c r="BO1898">
        <v>0</v>
      </c>
      <c r="BP1898">
        <v>0</v>
      </c>
      <c r="BQ1898">
        <v>0</v>
      </c>
      <c r="BR1898">
        <v>0</v>
      </c>
      <c r="BS1898">
        <v>0</v>
      </c>
      <c r="BT1898">
        <v>0</v>
      </c>
      <c r="BU1898">
        <v>0</v>
      </c>
      <c r="BV1898">
        <v>0</v>
      </c>
    </row>
    <row r="1899" spans="11:74" x14ac:dyDescent="0.25">
      <c r="K1899" s="3"/>
      <c r="BO1899">
        <v>0</v>
      </c>
      <c r="BP1899">
        <v>0</v>
      </c>
      <c r="BQ1899">
        <v>0</v>
      </c>
      <c r="BR1899">
        <v>0</v>
      </c>
      <c r="BS1899">
        <v>0</v>
      </c>
      <c r="BT1899">
        <v>0</v>
      </c>
      <c r="BU1899">
        <v>0</v>
      </c>
      <c r="BV1899">
        <v>0</v>
      </c>
    </row>
    <row r="1900" spans="11:74" x14ac:dyDescent="0.25">
      <c r="K1900" s="3"/>
      <c r="BO1900">
        <v>0</v>
      </c>
      <c r="BP1900">
        <v>0</v>
      </c>
      <c r="BQ1900">
        <v>0</v>
      </c>
      <c r="BR1900">
        <v>0</v>
      </c>
      <c r="BS1900">
        <v>0</v>
      </c>
      <c r="BT1900">
        <v>0</v>
      </c>
      <c r="BU1900">
        <v>0</v>
      </c>
      <c r="BV1900">
        <v>0</v>
      </c>
    </row>
    <row r="1901" spans="11:74" x14ac:dyDescent="0.25">
      <c r="K1901" s="3"/>
      <c r="BO1901">
        <v>0</v>
      </c>
      <c r="BP1901">
        <v>0</v>
      </c>
      <c r="BQ1901">
        <v>0</v>
      </c>
      <c r="BR1901">
        <v>0</v>
      </c>
      <c r="BS1901">
        <v>0</v>
      </c>
      <c r="BT1901">
        <v>0</v>
      </c>
      <c r="BU1901">
        <v>0</v>
      </c>
      <c r="BV1901">
        <v>0</v>
      </c>
    </row>
    <row r="1902" spans="11:74" x14ac:dyDescent="0.25">
      <c r="K1902" s="3"/>
      <c r="BO1902">
        <v>0</v>
      </c>
      <c r="BP1902">
        <v>0</v>
      </c>
      <c r="BQ1902">
        <v>0</v>
      </c>
      <c r="BR1902">
        <v>0</v>
      </c>
      <c r="BS1902">
        <v>0</v>
      </c>
      <c r="BT1902">
        <v>0</v>
      </c>
      <c r="BU1902">
        <v>0</v>
      </c>
      <c r="BV1902">
        <v>0</v>
      </c>
    </row>
    <row r="1903" spans="11:74" x14ac:dyDescent="0.25">
      <c r="K1903" s="3"/>
      <c r="BO1903">
        <v>0</v>
      </c>
      <c r="BP1903">
        <v>0</v>
      </c>
      <c r="BQ1903">
        <v>0</v>
      </c>
      <c r="BR1903">
        <v>0</v>
      </c>
      <c r="BS1903">
        <v>0</v>
      </c>
      <c r="BT1903">
        <v>0</v>
      </c>
      <c r="BU1903">
        <v>0</v>
      </c>
      <c r="BV1903">
        <v>0</v>
      </c>
    </row>
    <row r="1904" spans="11:74" x14ac:dyDescent="0.25">
      <c r="K1904" s="3"/>
      <c r="BO1904">
        <v>0</v>
      </c>
      <c r="BP1904">
        <v>0</v>
      </c>
      <c r="BQ1904">
        <v>0</v>
      </c>
      <c r="BR1904">
        <v>0</v>
      </c>
      <c r="BS1904">
        <v>0</v>
      </c>
      <c r="BT1904">
        <v>0</v>
      </c>
      <c r="BU1904">
        <v>0</v>
      </c>
      <c r="BV1904">
        <v>0</v>
      </c>
    </row>
    <row r="1905" spans="11:74" x14ac:dyDescent="0.25">
      <c r="K1905" s="3"/>
      <c r="BO1905">
        <v>0</v>
      </c>
      <c r="BP1905">
        <v>0</v>
      </c>
      <c r="BQ1905">
        <v>0</v>
      </c>
      <c r="BR1905">
        <v>0</v>
      </c>
      <c r="BS1905">
        <v>0</v>
      </c>
      <c r="BT1905">
        <v>0</v>
      </c>
      <c r="BU1905">
        <v>0</v>
      </c>
      <c r="BV1905">
        <v>0</v>
      </c>
    </row>
    <row r="1906" spans="11:74" x14ac:dyDescent="0.25">
      <c r="K1906" s="3"/>
      <c r="BO1906">
        <v>0</v>
      </c>
      <c r="BP1906">
        <v>0</v>
      </c>
      <c r="BQ1906">
        <v>0</v>
      </c>
      <c r="BR1906">
        <v>0</v>
      </c>
      <c r="BS1906">
        <v>0</v>
      </c>
      <c r="BT1906">
        <v>0</v>
      </c>
      <c r="BU1906">
        <v>0</v>
      </c>
      <c r="BV1906">
        <v>0</v>
      </c>
    </row>
    <row r="1907" spans="11:74" x14ac:dyDescent="0.25">
      <c r="K1907" s="3"/>
      <c r="BO1907">
        <v>0</v>
      </c>
      <c r="BP1907">
        <v>0</v>
      </c>
      <c r="BQ1907">
        <v>0</v>
      </c>
      <c r="BR1907">
        <v>0</v>
      </c>
      <c r="BS1907">
        <v>0</v>
      </c>
      <c r="BT1907">
        <v>0</v>
      </c>
      <c r="BU1907">
        <v>0</v>
      </c>
      <c r="BV1907">
        <v>0</v>
      </c>
    </row>
    <row r="1908" spans="11:74" x14ac:dyDescent="0.25">
      <c r="K1908" s="3"/>
      <c r="BO1908">
        <v>0</v>
      </c>
      <c r="BP1908">
        <v>0</v>
      </c>
      <c r="BQ1908">
        <v>0</v>
      </c>
      <c r="BR1908">
        <v>0</v>
      </c>
      <c r="BS1908">
        <v>0</v>
      </c>
      <c r="BT1908">
        <v>0</v>
      </c>
      <c r="BU1908">
        <v>0</v>
      </c>
      <c r="BV1908">
        <v>0</v>
      </c>
    </row>
    <row r="1909" spans="11:74" x14ac:dyDescent="0.25">
      <c r="K1909" s="3"/>
      <c r="BO1909">
        <v>0</v>
      </c>
      <c r="BP1909">
        <v>0</v>
      </c>
      <c r="BQ1909">
        <v>0</v>
      </c>
      <c r="BR1909">
        <v>0</v>
      </c>
      <c r="BS1909">
        <v>0</v>
      </c>
      <c r="BT1909">
        <v>0</v>
      </c>
      <c r="BU1909">
        <v>0</v>
      </c>
      <c r="BV1909">
        <v>0</v>
      </c>
    </row>
    <row r="1910" spans="11:74" x14ac:dyDescent="0.25">
      <c r="K1910" s="3"/>
      <c r="BO1910">
        <v>0</v>
      </c>
      <c r="BP1910">
        <v>0</v>
      </c>
      <c r="BQ1910">
        <v>0</v>
      </c>
      <c r="BR1910">
        <v>0</v>
      </c>
      <c r="BS1910">
        <v>0</v>
      </c>
      <c r="BT1910">
        <v>0</v>
      </c>
      <c r="BU1910">
        <v>0</v>
      </c>
      <c r="BV1910">
        <v>0</v>
      </c>
    </row>
    <row r="1911" spans="11:74" x14ac:dyDescent="0.25">
      <c r="K1911" s="3"/>
      <c r="BO1911">
        <v>0</v>
      </c>
      <c r="BP1911">
        <v>0</v>
      </c>
      <c r="BQ1911">
        <v>0</v>
      </c>
      <c r="BR1911">
        <v>0</v>
      </c>
      <c r="BS1911">
        <v>0</v>
      </c>
      <c r="BT1911">
        <v>0</v>
      </c>
      <c r="BU1911">
        <v>0</v>
      </c>
      <c r="BV1911">
        <v>0</v>
      </c>
    </row>
    <row r="1912" spans="11:74" x14ac:dyDescent="0.25">
      <c r="K1912" s="3"/>
      <c r="BO1912">
        <v>0</v>
      </c>
      <c r="BP1912">
        <v>0</v>
      </c>
      <c r="BQ1912">
        <v>0</v>
      </c>
      <c r="BR1912">
        <v>0</v>
      </c>
      <c r="BS1912">
        <v>0</v>
      </c>
      <c r="BT1912">
        <v>0</v>
      </c>
      <c r="BU1912">
        <v>0</v>
      </c>
      <c r="BV1912">
        <v>0</v>
      </c>
    </row>
    <row r="1913" spans="11:74" x14ac:dyDescent="0.25">
      <c r="K1913" s="3"/>
      <c r="BO1913">
        <v>0</v>
      </c>
      <c r="BP1913">
        <v>0</v>
      </c>
      <c r="BQ1913">
        <v>0</v>
      </c>
      <c r="BR1913">
        <v>0</v>
      </c>
      <c r="BS1913">
        <v>0</v>
      </c>
      <c r="BT1913">
        <v>0</v>
      </c>
      <c r="BU1913">
        <v>0</v>
      </c>
      <c r="BV1913">
        <v>0</v>
      </c>
    </row>
    <row r="1914" spans="11:74" x14ac:dyDescent="0.25">
      <c r="BO1914">
        <v>0</v>
      </c>
      <c r="BP1914">
        <v>0</v>
      </c>
      <c r="BQ1914">
        <v>0</v>
      </c>
      <c r="BR1914">
        <v>0</v>
      </c>
      <c r="BS1914">
        <v>0</v>
      </c>
      <c r="BT1914">
        <v>0</v>
      </c>
      <c r="BU1914">
        <v>0</v>
      </c>
      <c r="BV1914">
        <v>0</v>
      </c>
    </row>
    <row r="1915" spans="11:74" x14ac:dyDescent="0.25">
      <c r="BO1915">
        <v>0</v>
      </c>
      <c r="BP1915">
        <v>0</v>
      </c>
      <c r="BQ1915">
        <v>0</v>
      </c>
      <c r="BR1915">
        <v>0</v>
      </c>
      <c r="BS1915">
        <v>0</v>
      </c>
      <c r="BT1915">
        <v>0</v>
      </c>
      <c r="BU1915">
        <v>0</v>
      </c>
      <c r="BV1915">
        <v>0</v>
      </c>
    </row>
    <row r="1916" spans="11:74" x14ac:dyDescent="0.25">
      <c r="BO1916">
        <v>0</v>
      </c>
      <c r="BP1916">
        <v>0</v>
      </c>
      <c r="BQ1916">
        <v>0</v>
      </c>
      <c r="BR1916">
        <v>0</v>
      </c>
      <c r="BS1916">
        <v>0</v>
      </c>
      <c r="BT1916">
        <v>0</v>
      </c>
      <c r="BU1916">
        <v>0</v>
      </c>
      <c r="BV1916">
        <v>0</v>
      </c>
    </row>
    <row r="1917" spans="11:74" x14ac:dyDescent="0.25">
      <c r="BO1917">
        <v>0</v>
      </c>
      <c r="BP1917">
        <v>0</v>
      </c>
      <c r="BQ1917">
        <v>0</v>
      </c>
      <c r="BR1917">
        <v>0</v>
      </c>
      <c r="BS1917">
        <v>0</v>
      </c>
      <c r="BT1917">
        <v>0</v>
      </c>
      <c r="BU1917">
        <v>0</v>
      </c>
      <c r="BV1917">
        <v>0</v>
      </c>
    </row>
    <row r="1918" spans="11:74" x14ac:dyDescent="0.25">
      <c r="BO1918">
        <v>0</v>
      </c>
      <c r="BP1918">
        <v>0</v>
      </c>
      <c r="BQ1918">
        <v>0</v>
      </c>
      <c r="BR1918">
        <v>0</v>
      </c>
      <c r="BS1918">
        <v>0</v>
      </c>
      <c r="BT1918">
        <v>0</v>
      </c>
      <c r="BU1918">
        <v>0</v>
      </c>
      <c r="BV1918">
        <v>0</v>
      </c>
    </row>
    <row r="1919" spans="11:74" x14ac:dyDescent="0.25">
      <c r="BO1919">
        <v>0</v>
      </c>
      <c r="BP1919">
        <v>0</v>
      </c>
      <c r="BQ1919">
        <v>0</v>
      </c>
      <c r="BR1919">
        <v>0</v>
      </c>
      <c r="BS1919">
        <v>0</v>
      </c>
      <c r="BT1919">
        <v>0</v>
      </c>
      <c r="BU1919">
        <v>0</v>
      </c>
      <c r="BV1919">
        <v>0</v>
      </c>
    </row>
    <row r="1920" spans="11:74" x14ac:dyDescent="0.25">
      <c r="BO1920">
        <v>0</v>
      </c>
      <c r="BP1920">
        <v>0</v>
      </c>
      <c r="BQ1920">
        <v>0</v>
      </c>
      <c r="BR1920">
        <v>0</v>
      </c>
      <c r="BS1920">
        <v>0</v>
      </c>
      <c r="BT1920">
        <v>0</v>
      </c>
      <c r="BU1920">
        <v>0</v>
      </c>
      <c r="BV1920">
        <v>0</v>
      </c>
    </row>
    <row r="1921" spans="51:74" x14ac:dyDescent="0.25">
      <c r="BO1921">
        <v>0</v>
      </c>
      <c r="BP1921">
        <v>0</v>
      </c>
      <c r="BQ1921">
        <v>0</v>
      </c>
      <c r="BR1921">
        <v>0</v>
      </c>
      <c r="BS1921">
        <v>0</v>
      </c>
      <c r="BT1921">
        <v>0</v>
      </c>
      <c r="BU1921">
        <v>0</v>
      </c>
      <c r="BV1921">
        <v>0</v>
      </c>
    </row>
    <row r="1922" spans="51:74" x14ac:dyDescent="0.25">
      <c r="BO1922">
        <v>0</v>
      </c>
      <c r="BP1922">
        <v>0</v>
      </c>
      <c r="BQ1922">
        <v>0</v>
      </c>
      <c r="BR1922">
        <v>0</v>
      </c>
      <c r="BS1922">
        <v>0</v>
      </c>
      <c r="BT1922">
        <v>0</v>
      </c>
      <c r="BU1922">
        <v>0</v>
      </c>
      <c r="BV1922">
        <v>0</v>
      </c>
    </row>
    <row r="1923" spans="51:74" x14ac:dyDescent="0.25">
      <c r="BO1923">
        <v>0</v>
      </c>
      <c r="BP1923">
        <v>0</v>
      </c>
      <c r="BQ1923">
        <v>0</v>
      </c>
      <c r="BR1923">
        <v>0</v>
      </c>
      <c r="BS1923">
        <v>0</v>
      </c>
      <c r="BT1923">
        <v>0</v>
      </c>
      <c r="BU1923">
        <v>0</v>
      </c>
      <c r="BV1923">
        <v>0</v>
      </c>
    </row>
    <row r="1924" spans="51:74" x14ac:dyDescent="0.25">
      <c r="BO1924">
        <v>0</v>
      </c>
      <c r="BP1924">
        <v>0</v>
      </c>
      <c r="BQ1924">
        <v>0</v>
      </c>
      <c r="BR1924">
        <v>0</v>
      </c>
      <c r="BS1924">
        <v>0</v>
      </c>
      <c r="BT1924">
        <v>0</v>
      </c>
      <c r="BU1924">
        <v>0</v>
      </c>
      <c r="BV1924">
        <v>0</v>
      </c>
    </row>
    <row r="1925" spans="51:74" x14ac:dyDescent="0.25">
      <c r="BO1925">
        <v>0</v>
      </c>
      <c r="BP1925">
        <v>0</v>
      </c>
      <c r="BQ1925">
        <v>0</v>
      </c>
      <c r="BR1925">
        <v>0</v>
      </c>
      <c r="BS1925">
        <v>0</v>
      </c>
      <c r="BT1925">
        <v>0</v>
      </c>
      <c r="BU1925">
        <v>0</v>
      </c>
      <c r="BV1925">
        <v>0</v>
      </c>
    </row>
    <row r="1926" spans="51:74" x14ac:dyDescent="0.25">
      <c r="AY1926" s="8"/>
      <c r="BO1926">
        <v>0</v>
      </c>
      <c r="BP1926">
        <v>0</v>
      </c>
      <c r="BQ1926">
        <v>0</v>
      </c>
      <c r="BR1926">
        <v>0</v>
      </c>
      <c r="BS1926">
        <v>0</v>
      </c>
      <c r="BT1926">
        <v>0</v>
      </c>
      <c r="BU1926">
        <v>0</v>
      </c>
      <c r="BV1926">
        <v>0</v>
      </c>
    </row>
    <row r="1927" spans="51:74" x14ac:dyDescent="0.25">
      <c r="BO1927">
        <v>0</v>
      </c>
      <c r="BP1927">
        <v>0</v>
      </c>
      <c r="BQ1927">
        <v>0</v>
      </c>
      <c r="BR1927">
        <v>0</v>
      </c>
      <c r="BS1927">
        <v>0</v>
      </c>
      <c r="BT1927">
        <v>0</v>
      </c>
      <c r="BU1927">
        <v>0</v>
      </c>
      <c r="BV1927">
        <v>0</v>
      </c>
    </row>
    <row r="1928" spans="51:74" x14ac:dyDescent="0.25">
      <c r="BO1928">
        <v>0</v>
      </c>
      <c r="BP1928">
        <v>0</v>
      </c>
      <c r="BQ1928">
        <v>0</v>
      </c>
      <c r="BR1928">
        <v>0</v>
      </c>
      <c r="BS1928">
        <v>0</v>
      </c>
      <c r="BT1928">
        <v>0</v>
      </c>
      <c r="BU1928">
        <v>0</v>
      </c>
      <c r="BV1928">
        <v>0</v>
      </c>
    </row>
    <row r="1929" spans="51:74" x14ac:dyDescent="0.25">
      <c r="BO1929">
        <v>0</v>
      </c>
      <c r="BP1929">
        <v>0</v>
      </c>
      <c r="BQ1929">
        <v>0</v>
      </c>
      <c r="BR1929">
        <v>0</v>
      </c>
      <c r="BS1929">
        <v>0</v>
      </c>
      <c r="BT1929">
        <v>0</v>
      </c>
      <c r="BU1929">
        <v>0</v>
      </c>
      <c r="BV1929">
        <v>0</v>
      </c>
    </row>
    <row r="1930" spans="51:74" x14ac:dyDescent="0.25">
      <c r="BO1930">
        <v>0</v>
      </c>
      <c r="BP1930">
        <v>0</v>
      </c>
      <c r="BQ1930">
        <v>0</v>
      </c>
      <c r="BR1930">
        <v>0</v>
      </c>
      <c r="BS1930">
        <v>0</v>
      </c>
      <c r="BT1930">
        <v>0</v>
      </c>
      <c r="BU1930">
        <v>0</v>
      </c>
      <c r="BV1930">
        <v>0</v>
      </c>
    </row>
    <row r="1931" spans="51:74" x14ac:dyDescent="0.25">
      <c r="BO1931">
        <v>0</v>
      </c>
      <c r="BP1931">
        <v>0</v>
      </c>
      <c r="BQ1931">
        <v>0</v>
      </c>
      <c r="BR1931">
        <v>0</v>
      </c>
      <c r="BS1931">
        <v>0</v>
      </c>
      <c r="BT1931">
        <v>0</v>
      </c>
      <c r="BU1931">
        <v>0</v>
      </c>
      <c r="BV1931">
        <v>0</v>
      </c>
    </row>
    <row r="1932" spans="51:74" x14ac:dyDescent="0.25">
      <c r="BO1932">
        <v>0</v>
      </c>
      <c r="BP1932">
        <v>0</v>
      </c>
      <c r="BQ1932">
        <v>0</v>
      </c>
      <c r="BR1932">
        <v>0</v>
      </c>
      <c r="BS1932">
        <v>0</v>
      </c>
      <c r="BT1932">
        <v>0</v>
      </c>
      <c r="BU1932">
        <v>0</v>
      </c>
      <c r="BV1932">
        <v>0</v>
      </c>
    </row>
    <row r="1933" spans="51:74" x14ac:dyDescent="0.25">
      <c r="BO1933">
        <v>0</v>
      </c>
      <c r="BP1933">
        <v>0</v>
      </c>
      <c r="BQ1933">
        <v>0</v>
      </c>
      <c r="BR1933">
        <v>0</v>
      </c>
      <c r="BS1933">
        <v>0</v>
      </c>
      <c r="BT1933">
        <v>0</v>
      </c>
      <c r="BU1933">
        <v>0</v>
      </c>
      <c r="BV1933">
        <v>0</v>
      </c>
    </row>
    <row r="1934" spans="51:74" x14ac:dyDescent="0.25">
      <c r="BO1934">
        <v>0</v>
      </c>
      <c r="BP1934">
        <v>0</v>
      </c>
      <c r="BQ1934">
        <v>0</v>
      </c>
      <c r="BR1934">
        <v>0</v>
      </c>
      <c r="BS1934">
        <v>0</v>
      </c>
      <c r="BT1934">
        <v>0</v>
      </c>
      <c r="BU1934">
        <v>0</v>
      </c>
      <c r="BV1934">
        <v>0</v>
      </c>
    </row>
    <row r="1935" spans="51:74" x14ac:dyDescent="0.25">
      <c r="BO1935">
        <v>0</v>
      </c>
      <c r="BP1935">
        <v>0</v>
      </c>
      <c r="BQ1935">
        <v>0</v>
      </c>
      <c r="BR1935">
        <v>0</v>
      </c>
      <c r="BS1935">
        <v>0</v>
      </c>
      <c r="BT1935">
        <v>0</v>
      </c>
      <c r="BU1935">
        <v>0</v>
      </c>
      <c r="BV1935">
        <v>0</v>
      </c>
    </row>
    <row r="1936" spans="51:74" x14ac:dyDescent="0.25">
      <c r="BO1936">
        <v>0</v>
      </c>
      <c r="BP1936">
        <v>0</v>
      </c>
      <c r="BQ1936">
        <v>0</v>
      </c>
      <c r="BR1936">
        <v>0</v>
      </c>
      <c r="BS1936">
        <v>0</v>
      </c>
      <c r="BT1936">
        <v>0</v>
      </c>
      <c r="BU1936">
        <v>0</v>
      </c>
      <c r="BV1936">
        <v>0</v>
      </c>
    </row>
    <row r="1937" spans="1:76" x14ac:dyDescent="0.25">
      <c r="BO1937">
        <v>0</v>
      </c>
      <c r="BP1937">
        <v>0</v>
      </c>
      <c r="BQ1937">
        <v>0</v>
      </c>
      <c r="BR1937">
        <v>0</v>
      </c>
      <c r="BS1937">
        <v>0</v>
      </c>
      <c r="BT1937">
        <v>0</v>
      </c>
      <c r="BU1937">
        <v>0</v>
      </c>
      <c r="BV1937">
        <v>0</v>
      </c>
    </row>
    <row r="1938" spans="1:76" x14ac:dyDescent="0.25">
      <c r="BO1938">
        <v>0</v>
      </c>
      <c r="BP1938">
        <v>0</v>
      </c>
      <c r="BQ1938">
        <v>0</v>
      </c>
      <c r="BR1938">
        <v>0</v>
      </c>
      <c r="BS1938">
        <v>0</v>
      </c>
      <c r="BT1938">
        <v>0</v>
      </c>
      <c r="BU1938">
        <v>0</v>
      </c>
      <c r="BV1938">
        <v>0</v>
      </c>
    </row>
    <row r="1939" spans="1:76" x14ac:dyDescent="0.25">
      <c r="BO1939">
        <v>0</v>
      </c>
      <c r="BP1939">
        <v>0</v>
      </c>
      <c r="BQ1939">
        <v>0</v>
      </c>
      <c r="BR1939">
        <v>0</v>
      </c>
      <c r="BS1939">
        <v>0</v>
      </c>
      <c r="BT1939">
        <v>0</v>
      </c>
      <c r="BU1939">
        <v>0</v>
      </c>
      <c r="BV1939">
        <v>0</v>
      </c>
    </row>
    <row r="1940" spans="1:76" x14ac:dyDescent="0.25">
      <c r="BO1940">
        <v>0</v>
      </c>
      <c r="BP1940">
        <v>0</v>
      </c>
      <c r="BQ1940">
        <v>0</v>
      </c>
      <c r="BR1940">
        <v>0</v>
      </c>
      <c r="BS1940">
        <v>0</v>
      </c>
      <c r="BT1940">
        <v>0</v>
      </c>
      <c r="BU1940">
        <v>0</v>
      </c>
      <c r="BV1940">
        <v>0</v>
      </c>
    </row>
    <row r="1941" spans="1:76" x14ac:dyDescent="0.25">
      <c r="BO1941">
        <v>0</v>
      </c>
      <c r="BP1941">
        <v>0</v>
      </c>
      <c r="BQ1941">
        <v>0</v>
      </c>
      <c r="BR1941">
        <v>0</v>
      </c>
      <c r="BS1941">
        <v>0</v>
      </c>
      <c r="BT1941">
        <v>0</v>
      </c>
      <c r="BU1941">
        <v>0</v>
      </c>
      <c r="BV1941">
        <v>0</v>
      </c>
    </row>
    <row r="1942" spans="1:76" x14ac:dyDescent="0.25">
      <c r="BO1942">
        <v>0</v>
      </c>
      <c r="BP1942">
        <v>0</v>
      </c>
      <c r="BQ1942">
        <v>0</v>
      </c>
      <c r="BR1942">
        <v>0</v>
      </c>
      <c r="BS1942">
        <v>0</v>
      </c>
      <c r="BT1942">
        <v>0</v>
      </c>
      <c r="BU1942">
        <v>0</v>
      </c>
      <c r="BV1942">
        <v>0</v>
      </c>
    </row>
    <row r="1943" spans="1:76" x14ac:dyDescent="0.25">
      <c r="BO1943">
        <v>0</v>
      </c>
      <c r="BP1943">
        <v>0</v>
      </c>
      <c r="BQ1943">
        <v>0</v>
      </c>
      <c r="BR1943">
        <v>0</v>
      </c>
      <c r="BS1943">
        <v>0</v>
      </c>
      <c r="BT1943">
        <v>0</v>
      </c>
      <c r="BU1943">
        <v>0</v>
      </c>
      <c r="BV1943">
        <v>0</v>
      </c>
    </row>
    <row r="1944" spans="1:76" x14ac:dyDescent="0.25">
      <c r="BO1944">
        <v>0</v>
      </c>
      <c r="BP1944">
        <v>0</v>
      </c>
      <c r="BQ1944">
        <v>0</v>
      </c>
      <c r="BR1944">
        <v>0</v>
      </c>
      <c r="BS1944">
        <v>0</v>
      </c>
      <c r="BT1944">
        <v>0</v>
      </c>
      <c r="BU1944">
        <v>0</v>
      </c>
      <c r="BV1944">
        <v>0</v>
      </c>
    </row>
    <row r="1945" spans="1:76" x14ac:dyDescent="0.25">
      <c r="BO1945">
        <v>0</v>
      </c>
      <c r="BP1945">
        <v>0</v>
      </c>
      <c r="BQ1945">
        <v>0</v>
      </c>
      <c r="BR1945">
        <v>0</v>
      </c>
      <c r="BS1945">
        <v>0</v>
      </c>
      <c r="BT1945">
        <v>0</v>
      </c>
      <c r="BU1945">
        <v>0</v>
      </c>
      <c r="BV1945">
        <v>0</v>
      </c>
    </row>
    <row r="1946" spans="1:76" x14ac:dyDescent="0.25">
      <c r="BO1946">
        <v>0</v>
      </c>
      <c r="BP1946">
        <v>0</v>
      </c>
      <c r="BQ1946">
        <v>0</v>
      </c>
      <c r="BR1946">
        <v>0</v>
      </c>
      <c r="BS1946">
        <v>0</v>
      </c>
      <c r="BT1946">
        <v>0</v>
      </c>
      <c r="BU1946">
        <v>0</v>
      </c>
      <c r="BV1946">
        <v>0</v>
      </c>
    </row>
    <row r="1947" spans="1:76" x14ac:dyDescent="0.25">
      <c r="A1947" s="6"/>
      <c r="B1947" s="6"/>
      <c r="C1947" s="6"/>
      <c r="D1947" s="6"/>
      <c r="E1947" s="6"/>
      <c r="F1947" s="6"/>
      <c r="G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  <c r="BE1947" s="6"/>
      <c r="BF1947" s="6"/>
      <c r="BG1947" s="6"/>
      <c r="BH1947" s="6"/>
      <c r="BI1947" s="6"/>
      <c r="BK1947" s="6"/>
      <c r="BL1947" s="6"/>
      <c r="BM1947" s="6"/>
      <c r="BN1947" s="6"/>
      <c r="BO1947" s="6">
        <v>0</v>
      </c>
      <c r="BP1947" s="6">
        <v>0</v>
      </c>
      <c r="BQ1947" s="6">
        <v>0</v>
      </c>
      <c r="BR1947" s="6">
        <v>0</v>
      </c>
      <c r="BS1947" s="6">
        <v>0</v>
      </c>
      <c r="BT1947" s="6">
        <v>0</v>
      </c>
      <c r="BU1947" s="6">
        <v>0</v>
      </c>
      <c r="BV1947" s="6">
        <v>0</v>
      </c>
      <c r="BW1947" s="6"/>
      <c r="BX1947" s="6"/>
    </row>
    <row r="1948" spans="1:76" x14ac:dyDescent="0.25">
      <c r="A1948" s="6"/>
      <c r="B1948" s="6"/>
      <c r="C1948" s="6"/>
      <c r="D1948" s="6"/>
      <c r="E1948" s="6"/>
      <c r="F1948" s="6"/>
      <c r="G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  <c r="BE1948" s="6"/>
      <c r="BF1948" s="6"/>
      <c r="BG1948" s="6"/>
      <c r="BH1948" s="6"/>
      <c r="BI1948" s="6"/>
      <c r="BK1948" s="6"/>
      <c r="BL1948" s="6"/>
      <c r="BM1948" s="6"/>
      <c r="BN1948" s="6"/>
      <c r="BO1948" s="6">
        <v>0</v>
      </c>
      <c r="BP1948" s="6">
        <v>0</v>
      </c>
      <c r="BQ1948" s="6">
        <v>0</v>
      </c>
      <c r="BR1948" s="6">
        <v>0</v>
      </c>
      <c r="BS1948" s="6">
        <v>0</v>
      </c>
      <c r="BT1948" s="6">
        <v>0</v>
      </c>
      <c r="BU1948" s="6">
        <v>0</v>
      </c>
      <c r="BV1948" s="6">
        <v>0</v>
      </c>
      <c r="BW1948" s="6"/>
      <c r="BX1948" s="6"/>
    </row>
    <row r="1949" spans="1:76" x14ac:dyDescent="0.25">
      <c r="A1949" s="6"/>
      <c r="B1949" s="6"/>
      <c r="C1949" s="6"/>
      <c r="D1949" s="6"/>
      <c r="E1949" s="6"/>
      <c r="F1949" s="6"/>
      <c r="G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  <c r="BE1949" s="6"/>
      <c r="BF1949" s="6"/>
      <c r="BG1949" s="6"/>
      <c r="BH1949" s="6"/>
      <c r="BI1949" s="6"/>
      <c r="BK1949" s="6"/>
      <c r="BL1949" s="6"/>
      <c r="BM1949" s="6"/>
      <c r="BN1949" s="6"/>
      <c r="BO1949" s="6">
        <v>0</v>
      </c>
      <c r="BP1949" s="6">
        <v>0</v>
      </c>
      <c r="BQ1949" s="6">
        <v>0</v>
      </c>
      <c r="BR1949" s="6">
        <v>0</v>
      </c>
      <c r="BS1949" s="6">
        <v>0</v>
      </c>
      <c r="BT1949" s="6">
        <v>0</v>
      </c>
      <c r="BU1949" s="6">
        <v>0</v>
      </c>
      <c r="BV1949" s="6">
        <v>0</v>
      </c>
      <c r="BW1949" s="6"/>
      <c r="BX1949" s="6"/>
    </row>
    <row r="1950" spans="1:76" x14ac:dyDescent="0.25">
      <c r="A1950" s="6"/>
      <c r="B1950" s="6"/>
      <c r="C1950" s="6"/>
      <c r="D1950" s="6"/>
      <c r="E1950" s="6"/>
      <c r="F1950" s="6"/>
      <c r="G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  <c r="BE1950" s="6"/>
      <c r="BF1950" s="6"/>
      <c r="BG1950" s="6"/>
      <c r="BH1950" s="6"/>
      <c r="BI1950" s="6"/>
      <c r="BK1950" s="6"/>
      <c r="BL1950" s="6"/>
      <c r="BM1950" s="6"/>
      <c r="BN1950" s="6"/>
      <c r="BO1950" s="6">
        <v>0</v>
      </c>
      <c r="BP1950" s="6">
        <v>0</v>
      </c>
      <c r="BQ1950" s="6">
        <v>0</v>
      </c>
      <c r="BR1950" s="6">
        <v>0</v>
      </c>
      <c r="BS1950" s="6">
        <v>0</v>
      </c>
      <c r="BT1950" s="6">
        <v>0</v>
      </c>
      <c r="BU1950" s="6">
        <v>0</v>
      </c>
      <c r="BV1950" s="6">
        <v>0</v>
      </c>
      <c r="BW1950" s="6"/>
      <c r="BX1950" s="6"/>
    </row>
    <row r="1951" spans="1:76" x14ac:dyDescent="0.25">
      <c r="A1951" s="6"/>
      <c r="B1951" s="6"/>
      <c r="C1951" s="6"/>
      <c r="D1951" s="6"/>
      <c r="E1951" s="6"/>
      <c r="F1951" s="6"/>
      <c r="G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  <c r="BE1951" s="6"/>
      <c r="BF1951" s="6"/>
      <c r="BG1951" s="6"/>
      <c r="BH1951" s="6"/>
      <c r="BI1951" s="6"/>
      <c r="BK1951" s="6"/>
      <c r="BL1951" s="6"/>
      <c r="BM1951" s="6"/>
      <c r="BN1951" s="6"/>
      <c r="BO1951" s="6">
        <v>0</v>
      </c>
      <c r="BP1951" s="6">
        <v>0</v>
      </c>
      <c r="BQ1951" s="6">
        <v>0</v>
      </c>
      <c r="BR1951" s="6">
        <v>0</v>
      </c>
      <c r="BS1951" s="6">
        <v>0</v>
      </c>
      <c r="BT1951" s="6">
        <v>0</v>
      </c>
      <c r="BU1951" s="6">
        <v>0</v>
      </c>
      <c r="BV1951" s="6">
        <v>0</v>
      </c>
      <c r="BW1951" s="6"/>
      <c r="BX1951" s="6"/>
    </row>
    <row r="1952" spans="1:76" x14ac:dyDescent="0.25">
      <c r="A1952" s="6"/>
      <c r="B1952" s="6"/>
      <c r="C1952" s="6"/>
      <c r="D1952" s="6"/>
      <c r="E1952" s="6"/>
      <c r="F1952" s="6"/>
      <c r="G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  <c r="BE1952" s="6"/>
      <c r="BF1952" s="6"/>
      <c r="BG1952" s="6"/>
      <c r="BH1952" s="6"/>
      <c r="BI1952" s="6"/>
      <c r="BK1952" s="6"/>
      <c r="BL1952" s="6"/>
      <c r="BM1952" s="6"/>
      <c r="BN1952" s="6"/>
      <c r="BO1952" s="6">
        <v>0</v>
      </c>
      <c r="BP1952" s="6">
        <v>0</v>
      </c>
      <c r="BQ1952" s="6">
        <v>0</v>
      </c>
      <c r="BR1952" s="6">
        <v>0</v>
      </c>
      <c r="BS1952" s="6">
        <v>0</v>
      </c>
      <c r="BT1952" s="6">
        <v>0</v>
      </c>
      <c r="BU1952" s="6">
        <v>0</v>
      </c>
      <c r="BV1952" s="6">
        <v>0</v>
      </c>
      <c r="BW1952" s="6"/>
      <c r="BX1952" s="6"/>
    </row>
    <row r="1953" spans="1:76" x14ac:dyDescent="0.25">
      <c r="A1953" s="6"/>
      <c r="B1953" s="6"/>
      <c r="C1953" s="6"/>
      <c r="D1953" s="6"/>
      <c r="E1953" s="6"/>
      <c r="F1953" s="6"/>
      <c r="G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  <c r="BE1953" s="6"/>
      <c r="BF1953" s="6"/>
      <c r="BG1953" s="6"/>
      <c r="BH1953" s="6"/>
      <c r="BI1953" s="6"/>
      <c r="BK1953" s="6"/>
      <c r="BL1953" s="6"/>
      <c r="BM1953" s="6"/>
      <c r="BN1953" s="6"/>
      <c r="BO1953" s="6">
        <v>0</v>
      </c>
      <c r="BP1953" s="6">
        <v>0</v>
      </c>
      <c r="BQ1953" s="6">
        <v>0</v>
      </c>
      <c r="BR1953" s="6">
        <v>0</v>
      </c>
      <c r="BS1953" s="6">
        <v>0</v>
      </c>
      <c r="BT1953" s="6">
        <v>0</v>
      </c>
      <c r="BU1953" s="6">
        <v>0</v>
      </c>
      <c r="BV1953" s="6">
        <v>0</v>
      </c>
      <c r="BW1953" s="6"/>
      <c r="BX1953" s="6"/>
    </row>
    <row r="1954" spans="1:76" x14ac:dyDescent="0.25">
      <c r="A1954" s="6"/>
      <c r="B1954" s="6"/>
      <c r="C1954" s="6"/>
      <c r="D1954" s="6"/>
      <c r="E1954" s="6"/>
      <c r="F1954" s="6"/>
      <c r="G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  <c r="BE1954" s="6"/>
      <c r="BF1954" s="6"/>
      <c r="BG1954" s="6"/>
      <c r="BH1954" s="6"/>
      <c r="BI1954" s="6"/>
      <c r="BK1954" s="6"/>
      <c r="BL1954" s="6"/>
      <c r="BM1954" s="6"/>
      <c r="BN1954" s="6"/>
      <c r="BO1954" s="6">
        <v>0</v>
      </c>
      <c r="BP1954" s="6">
        <v>0</v>
      </c>
      <c r="BQ1954" s="6">
        <v>0</v>
      </c>
      <c r="BR1954" s="6">
        <v>0</v>
      </c>
      <c r="BS1954" s="6">
        <v>0</v>
      </c>
      <c r="BT1954" s="6">
        <v>0</v>
      </c>
      <c r="BU1954" s="6">
        <v>0</v>
      </c>
      <c r="BV1954" s="6">
        <v>0</v>
      </c>
      <c r="BW1954" s="6"/>
      <c r="BX1954" s="6"/>
    </row>
    <row r="1955" spans="1:76" x14ac:dyDescent="0.25">
      <c r="A1955" s="6"/>
      <c r="B1955" s="6"/>
      <c r="C1955" s="6"/>
      <c r="D1955" s="6"/>
      <c r="E1955" s="6"/>
      <c r="F1955" s="6"/>
      <c r="G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  <c r="BE1955" s="6"/>
      <c r="BF1955" s="6"/>
      <c r="BG1955" s="6"/>
      <c r="BH1955" s="6"/>
      <c r="BI1955" s="6"/>
      <c r="BK1955" s="6"/>
      <c r="BL1955" s="6"/>
      <c r="BM1955" s="6"/>
      <c r="BN1955" s="6"/>
      <c r="BO1955" s="6">
        <v>0</v>
      </c>
      <c r="BP1955" s="6">
        <v>0</v>
      </c>
      <c r="BQ1955" s="6">
        <v>0</v>
      </c>
      <c r="BR1955" s="6">
        <v>0</v>
      </c>
      <c r="BS1955" s="6">
        <v>0</v>
      </c>
      <c r="BT1955" s="6">
        <v>0</v>
      </c>
      <c r="BU1955" s="6">
        <v>0</v>
      </c>
      <c r="BV1955" s="6">
        <v>0</v>
      </c>
      <c r="BW1955" s="6"/>
      <c r="BX1955" s="6"/>
    </row>
    <row r="1956" spans="1:76" x14ac:dyDescent="0.25">
      <c r="A1956" s="6"/>
      <c r="B1956" s="6"/>
      <c r="C1956" s="6"/>
      <c r="D1956" s="6"/>
      <c r="E1956" s="6"/>
      <c r="F1956" s="6"/>
      <c r="G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  <c r="BE1956" s="6"/>
      <c r="BF1956" s="6"/>
      <c r="BG1956" s="6"/>
      <c r="BH1956" s="6"/>
      <c r="BI1956" s="6"/>
      <c r="BK1956" s="6"/>
      <c r="BL1956" s="6"/>
      <c r="BM1956" s="6"/>
      <c r="BN1956" s="6"/>
      <c r="BO1956" s="6">
        <v>0</v>
      </c>
      <c r="BP1956" s="6">
        <v>0</v>
      </c>
      <c r="BQ1956" s="6">
        <v>0</v>
      </c>
      <c r="BR1956" s="6">
        <v>0</v>
      </c>
      <c r="BS1956" s="6">
        <v>0</v>
      </c>
      <c r="BT1956" s="6">
        <v>0</v>
      </c>
      <c r="BU1956" s="6">
        <v>0</v>
      </c>
      <c r="BV1956" s="6">
        <v>0</v>
      </c>
      <c r="BW1956" s="6"/>
      <c r="BX1956" s="6"/>
    </row>
    <row r="1957" spans="1:76" x14ac:dyDescent="0.25">
      <c r="A1957" s="6"/>
      <c r="B1957" s="6"/>
      <c r="C1957" s="6"/>
      <c r="D1957" s="6"/>
      <c r="E1957" s="6"/>
      <c r="F1957" s="6"/>
      <c r="G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  <c r="BE1957" s="6"/>
      <c r="BF1957" s="6"/>
      <c r="BG1957" s="6"/>
      <c r="BH1957" s="6"/>
      <c r="BI1957" s="6"/>
      <c r="BK1957" s="6"/>
      <c r="BL1957" s="6"/>
      <c r="BM1957" s="6"/>
      <c r="BN1957" s="6"/>
      <c r="BO1957" s="6">
        <v>0</v>
      </c>
      <c r="BP1957" s="6">
        <v>0</v>
      </c>
      <c r="BQ1957" s="6">
        <v>0</v>
      </c>
      <c r="BR1957" s="6">
        <v>0</v>
      </c>
      <c r="BS1957" s="6">
        <v>0</v>
      </c>
      <c r="BT1957" s="6">
        <v>0</v>
      </c>
      <c r="BU1957" s="6">
        <v>0</v>
      </c>
      <c r="BV1957" s="6">
        <v>0</v>
      </c>
      <c r="BW1957" s="6"/>
      <c r="BX1957" s="6"/>
    </row>
    <row r="1958" spans="1:76" x14ac:dyDescent="0.25">
      <c r="A1958" s="6"/>
      <c r="B1958" s="6"/>
      <c r="C1958" s="6"/>
      <c r="D1958" s="6"/>
      <c r="E1958" s="6"/>
      <c r="F1958" s="6"/>
      <c r="G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  <c r="BE1958" s="6"/>
      <c r="BF1958" s="6"/>
      <c r="BG1958" s="6"/>
      <c r="BH1958" s="6"/>
      <c r="BI1958" s="6"/>
      <c r="BK1958" s="6"/>
      <c r="BL1958" s="6"/>
      <c r="BM1958" s="6"/>
      <c r="BN1958" s="6"/>
      <c r="BO1958" s="6">
        <v>0</v>
      </c>
      <c r="BP1958" s="6">
        <v>0</v>
      </c>
      <c r="BQ1958" s="6">
        <v>0</v>
      </c>
      <c r="BR1958" s="6">
        <v>0</v>
      </c>
      <c r="BS1958" s="6">
        <v>0</v>
      </c>
      <c r="BT1958" s="6">
        <v>0</v>
      </c>
      <c r="BU1958" s="6">
        <v>0</v>
      </c>
      <c r="BV1958" s="6">
        <v>0</v>
      </c>
      <c r="BW1958" s="6"/>
      <c r="BX1958" s="6"/>
    </row>
    <row r="1959" spans="1:76" x14ac:dyDescent="0.25">
      <c r="A1959" s="6"/>
      <c r="B1959" s="6"/>
      <c r="C1959" s="6"/>
      <c r="D1959" s="6"/>
      <c r="E1959" s="6"/>
      <c r="F1959" s="6"/>
      <c r="G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  <c r="BE1959" s="6"/>
      <c r="BF1959" s="6"/>
      <c r="BG1959" s="6"/>
      <c r="BH1959" s="6"/>
      <c r="BI1959" s="6"/>
      <c r="BK1959" s="6"/>
      <c r="BL1959" s="6"/>
      <c r="BM1959" s="6"/>
      <c r="BN1959" s="6"/>
      <c r="BO1959" s="6">
        <v>0</v>
      </c>
      <c r="BP1959" s="6">
        <v>0</v>
      </c>
      <c r="BQ1959" s="6">
        <v>0</v>
      </c>
      <c r="BR1959" s="6">
        <v>0</v>
      </c>
      <c r="BS1959" s="6">
        <v>0</v>
      </c>
      <c r="BT1959" s="6">
        <v>0</v>
      </c>
      <c r="BU1959" s="6">
        <v>0</v>
      </c>
      <c r="BV1959" s="6">
        <v>0</v>
      </c>
      <c r="BW1959" s="6"/>
      <c r="BX1959" s="6"/>
    </row>
    <row r="1960" spans="1:76" x14ac:dyDescent="0.25">
      <c r="A1960" s="6"/>
      <c r="B1960" s="6"/>
      <c r="C1960" s="6"/>
      <c r="D1960" s="6"/>
      <c r="E1960" s="6"/>
      <c r="F1960" s="6"/>
      <c r="G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  <c r="BE1960" s="6"/>
      <c r="BF1960" s="6"/>
      <c r="BG1960" s="6"/>
      <c r="BH1960" s="6"/>
      <c r="BI1960" s="6"/>
      <c r="BK1960" s="6"/>
      <c r="BL1960" s="6"/>
      <c r="BM1960" s="6"/>
      <c r="BN1960" s="6"/>
      <c r="BO1960" s="6">
        <v>0</v>
      </c>
      <c r="BP1960" s="6">
        <v>0</v>
      </c>
      <c r="BQ1960" s="6">
        <v>0</v>
      </c>
      <c r="BR1960" s="6">
        <v>0</v>
      </c>
      <c r="BS1960" s="6">
        <v>0</v>
      </c>
      <c r="BT1960" s="6">
        <v>0</v>
      </c>
      <c r="BU1960" s="6">
        <v>0</v>
      </c>
      <c r="BV1960" s="6">
        <v>0</v>
      </c>
      <c r="BW1960" s="6"/>
      <c r="BX1960" s="6"/>
    </row>
    <row r="1961" spans="1:76" x14ac:dyDescent="0.25">
      <c r="A1961" s="6"/>
      <c r="B1961" s="6"/>
      <c r="C1961" s="6"/>
      <c r="D1961" s="6"/>
      <c r="E1961" s="6"/>
      <c r="F1961" s="6"/>
      <c r="G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  <c r="BE1961" s="6"/>
      <c r="BF1961" s="6"/>
      <c r="BG1961" s="6"/>
      <c r="BH1961" s="6"/>
      <c r="BI1961" s="6"/>
      <c r="BK1961" s="6"/>
      <c r="BL1961" s="6"/>
      <c r="BM1961" s="6"/>
      <c r="BN1961" s="6"/>
      <c r="BO1961" s="6">
        <v>0</v>
      </c>
      <c r="BP1961" s="6">
        <v>0</v>
      </c>
      <c r="BQ1961" s="6">
        <v>0</v>
      </c>
      <c r="BR1961" s="6">
        <v>0</v>
      </c>
      <c r="BS1961" s="6">
        <v>0</v>
      </c>
      <c r="BT1961" s="6">
        <v>0</v>
      </c>
      <c r="BU1961" s="6">
        <v>0</v>
      </c>
      <c r="BV1961" s="6">
        <v>0</v>
      </c>
      <c r="BW1961" s="6"/>
      <c r="BX1961" s="6"/>
    </row>
    <row r="1962" spans="1:76" x14ac:dyDescent="0.25">
      <c r="A1962" s="6"/>
      <c r="B1962" s="6"/>
      <c r="C1962" s="6"/>
      <c r="D1962" s="6"/>
      <c r="E1962" s="6"/>
      <c r="F1962" s="6"/>
      <c r="G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  <c r="BE1962" s="6"/>
      <c r="BF1962" s="6"/>
      <c r="BG1962" s="6"/>
      <c r="BH1962" s="6"/>
      <c r="BI1962" s="6"/>
      <c r="BK1962" s="6"/>
      <c r="BL1962" s="6"/>
      <c r="BM1962" s="6"/>
      <c r="BN1962" s="6"/>
      <c r="BO1962" s="6">
        <v>0</v>
      </c>
      <c r="BP1962" s="6">
        <v>0</v>
      </c>
      <c r="BQ1962" s="6">
        <v>0</v>
      </c>
      <c r="BR1962" s="6">
        <v>0</v>
      </c>
      <c r="BS1962" s="6">
        <v>0</v>
      </c>
      <c r="BT1962" s="6">
        <v>0</v>
      </c>
      <c r="BU1962" s="6">
        <v>0</v>
      </c>
      <c r="BV1962" s="6">
        <v>0</v>
      </c>
      <c r="BW1962" s="6"/>
      <c r="BX1962" s="6"/>
    </row>
    <row r="1963" spans="1:76" x14ac:dyDescent="0.25">
      <c r="A1963" s="6"/>
      <c r="B1963" s="6"/>
      <c r="C1963" s="6"/>
      <c r="D1963" s="6"/>
      <c r="E1963" s="6"/>
      <c r="F1963" s="6"/>
      <c r="G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  <c r="BE1963" s="6"/>
      <c r="BF1963" s="6"/>
      <c r="BG1963" s="6"/>
      <c r="BH1963" s="6"/>
      <c r="BI1963" s="6"/>
      <c r="BK1963" s="6"/>
      <c r="BL1963" s="6"/>
      <c r="BM1963" s="6"/>
      <c r="BN1963" s="6"/>
      <c r="BO1963" s="6">
        <v>0</v>
      </c>
      <c r="BP1963" s="6">
        <v>0</v>
      </c>
      <c r="BQ1963" s="6">
        <v>0</v>
      </c>
      <c r="BR1963" s="6">
        <v>0</v>
      </c>
      <c r="BS1963" s="6">
        <v>0</v>
      </c>
      <c r="BT1963" s="6">
        <v>0</v>
      </c>
      <c r="BU1963" s="6">
        <v>0</v>
      </c>
      <c r="BV1963" s="6">
        <v>0</v>
      </c>
      <c r="BW1963" s="6"/>
      <c r="BX1963" s="6"/>
    </row>
    <row r="1964" spans="1:76" x14ac:dyDescent="0.25">
      <c r="A1964" s="6"/>
      <c r="B1964" s="6"/>
      <c r="C1964" s="6"/>
      <c r="D1964" s="6"/>
      <c r="E1964" s="6"/>
      <c r="F1964" s="6"/>
      <c r="G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  <c r="BE1964" s="6"/>
      <c r="BF1964" s="6"/>
      <c r="BG1964" s="6"/>
      <c r="BH1964" s="6"/>
      <c r="BI1964" s="6"/>
      <c r="BK1964" s="6"/>
      <c r="BL1964" s="6"/>
      <c r="BM1964" s="6"/>
      <c r="BN1964" s="6"/>
      <c r="BO1964" s="6">
        <v>0</v>
      </c>
      <c r="BP1964" s="6">
        <v>0</v>
      </c>
      <c r="BQ1964" s="6">
        <v>0</v>
      </c>
      <c r="BR1964" s="6">
        <v>0</v>
      </c>
      <c r="BS1964" s="6">
        <v>0</v>
      </c>
      <c r="BT1964" s="6">
        <v>0</v>
      </c>
      <c r="BU1964" s="6">
        <v>0</v>
      </c>
      <c r="BV1964" s="6">
        <v>0</v>
      </c>
      <c r="BW1964" s="6"/>
      <c r="BX1964" s="6"/>
    </row>
    <row r="1965" spans="1:76" x14ac:dyDescent="0.25">
      <c r="A1965" s="6"/>
      <c r="B1965" s="6"/>
      <c r="C1965" s="6"/>
      <c r="D1965" s="6"/>
      <c r="E1965" s="6"/>
      <c r="F1965" s="6"/>
      <c r="G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  <c r="BE1965" s="6"/>
      <c r="BF1965" s="6"/>
      <c r="BG1965" s="6"/>
      <c r="BH1965" s="6"/>
      <c r="BI1965" s="6"/>
      <c r="BK1965" s="6"/>
      <c r="BL1965" s="6"/>
      <c r="BM1965" s="6"/>
      <c r="BN1965" s="6"/>
      <c r="BO1965" s="6">
        <v>0</v>
      </c>
      <c r="BP1965" s="6">
        <v>0</v>
      </c>
      <c r="BQ1965" s="6">
        <v>0</v>
      </c>
      <c r="BR1965" s="6">
        <v>0</v>
      </c>
      <c r="BS1965" s="6">
        <v>0</v>
      </c>
      <c r="BT1965" s="6">
        <v>0</v>
      </c>
      <c r="BU1965" s="6">
        <v>0</v>
      </c>
      <c r="BV1965" s="6">
        <v>0</v>
      </c>
      <c r="BW1965" s="6"/>
      <c r="BX1965" s="6"/>
    </row>
    <row r="1966" spans="1:76" x14ac:dyDescent="0.25">
      <c r="A1966" s="6"/>
      <c r="B1966" s="6"/>
      <c r="C1966" s="6"/>
      <c r="D1966" s="6"/>
      <c r="E1966" s="6"/>
      <c r="F1966" s="6"/>
      <c r="G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  <c r="BE1966" s="6"/>
      <c r="BF1966" s="6"/>
      <c r="BG1966" s="6"/>
      <c r="BH1966" s="6"/>
      <c r="BI1966" s="6"/>
      <c r="BK1966" s="6"/>
      <c r="BL1966" s="6"/>
      <c r="BM1966" s="6"/>
      <c r="BN1966" s="6"/>
      <c r="BO1966" s="6">
        <v>0</v>
      </c>
      <c r="BP1966" s="6">
        <v>0</v>
      </c>
      <c r="BQ1966" s="6">
        <v>0</v>
      </c>
      <c r="BR1966" s="6">
        <v>0</v>
      </c>
      <c r="BS1966" s="6">
        <v>0</v>
      </c>
      <c r="BT1966" s="6">
        <v>0</v>
      </c>
      <c r="BU1966" s="6">
        <v>0</v>
      </c>
      <c r="BV1966" s="6">
        <v>0</v>
      </c>
      <c r="BW1966" s="6"/>
      <c r="BX1966" s="6"/>
    </row>
    <row r="1967" spans="1:76" x14ac:dyDescent="0.25">
      <c r="A1967" s="6"/>
      <c r="B1967" s="6"/>
      <c r="C1967" s="6"/>
      <c r="D1967" s="6"/>
      <c r="E1967" s="6"/>
      <c r="F1967" s="6"/>
      <c r="G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  <c r="BE1967" s="6"/>
      <c r="BF1967" s="6"/>
      <c r="BG1967" s="6"/>
      <c r="BH1967" s="6"/>
      <c r="BI1967" s="6"/>
      <c r="BK1967" s="6"/>
      <c r="BL1967" s="6"/>
      <c r="BM1967" s="6"/>
      <c r="BN1967" s="6"/>
      <c r="BO1967" s="6">
        <v>0</v>
      </c>
      <c r="BP1967" s="6">
        <v>0</v>
      </c>
      <c r="BQ1967" s="6">
        <v>0</v>
      </c>
      <c r="BR1967" s="6">
        <v>0</v>
      </c>
      <c r="BS1967" s="6">
        <v>0</v>
      </c>
      <c r="BT1967" s="6">
        <v>0</v>
      </c>
      <c r="BU1967" s="6">
        <v>0</v>
      </c>
      <c r="BV1967" s="6">
        <v>0</v>
      </c>
      <c r="BW1967" s="6"/>
      <c r="BX1967" s="6"/>
    </row>
    <row r="1968" spans="1:76" x14ac:dyDescent="0.25">
      <c r="BO1968">
        <v>0</v>
      </c>
      <c r="BP1968">
        <v>0</v>
      </c>
      <c r="BQ1968">
        <v>0</v>
      </c>
      <c r="BR1968">
        <v>0</v>
      </c>
      <c r="BS1968">
        <v>0</v>
      </c>
      <c r="BT1968">
        <v>0</v>
      </c>
      <c r="BU1968">
        <v>0</v>
      </c>
      <c r="BV1968">
        <v>0</v>
      </c>
    </row>
    <row r="1969" spans="67:74" x14ac:dyDescent="0.25">
      <c r="BO1969">
        <v>0</v>
      </c>
      <c r="BP1969">
        <v>0</v>
      </c>
      <c r="BQ1969">
        <v>0</v>
      </c>
      <c r="BR1969">
        <v>0</v>
      </c>
      <c r="BS1969">
        <v>0</v>
      </c>
      <c r="BT1969">
        <v>0</v>
      </c>
      <c r="BU1969">
        <v>0</v>
      </c>
      <c r="BV1969">
        <v>0</v>
      </c>
    </row>
    <row r="1970" spans="67:74" x14ac:dyDescent="0.25">
      <c r="BO1970">
        <v>0</v>
      </c>
      <c r="BP1970">
        <v>0</v>
      </c>
      <c r="BQ1970">
        <v>0</v>
      </c>
      <c r="BR1970">
        <v>0</v>
      </c>
      <c r="BS1970">
        <v>0</v>
      </c>
      <c r="BT1970">
        <v>0</v>
      </c>
      <c r="BU1970">
        <v>0</v>
      </c>
      <c r="BV1970">
        <v>0</v>
      </c>
    </row>
    <row r="1971" spans="67:74" x14ac:dyDescent="0.25">
      <c r="BO1971">
        <v>0</v>
      </c>
      <c r="BP1971">
        <v>0</v>
      </c>
      <c r="BQ1971">
        <v>0</v>
      </c>
      <c r="BR1971">
        <v>0</v>
      </c>
      <c r="BS1971">
        <v>0</v>
      </c>
      <c r="BT1971">
        <v>0</v>
      </c>
      <c r="BU1971">
        <v>0</v>
      </c>
      <c r="BV1971">
        <v>0</v>
      </c>
    </row>
    <row r="1972" spans="67:74" x14ac:dyDescent="0.25">
      <c r="BO1972">
        <v>0</v>
      </c>
      <c r="BP1972">
        <v>0</v>
      </c>
      <c r="BQ1972">
        <v>0</v>
      </c>
      <c r="BR1972">
        <v>0</v>
      </c>
      <c r="BS1972">
        <v>0</v>
      </c>
      <c r="BT1972">
        <v>0</v>
      </c>
      <c r="BU1972">
        <v>0</v>
      </c>
      <c r="BV1972">
        <v>0</v>
      </c>
    </row>
    <row r="1973" spans="67:74" x14ac:dyDescent="0.25">
      <c r="BO1973">
        <v>0</v>
      </c>
      <c r="BP1973">
        <v>0</v>
      </c>
      <c r="BQ1973">
        <v>0</v>
      </c>
      <c r="BR1973">
        <v>0</v>
      </c>
      <c r="BS1973">
        <v>0</v>
      </c>
      <c r="BT1973">
        <v>0</v>
      </c>
      <c r="BU1973">
        <v>0</v>
      </c>
      <c r="BV1973">
        <v>0</v>
      </c>
    </row>
    <row r="1974" spans="67:74" x14ac:dyDescent="0.25">
      <c r="BO1974">
        <v>0</v>
      </c>
      <c r="BP1974">
        <v>0</v>
      </c>
      <c r="BQ1974">
        <v>0</v>
      </c>
      <c r="BR1974">
        <v>0</v>
      </c>
      <c r="BS1974">
        <v>0</v>
      </c>
      <c r="BT1974">
        <v>0</v>
      </c>
      <c r="BU1974">
        <v>0</v>
      </c>
      <c r="BV1974">
        <v>0</v>
      </c>
    </row>
    <row r="1975" spans="67:74" x14ac:dyDescent="0.25">
      <c r="BO1975">
        <v>0</v>
      </c>
      <c r="BP1975">
        <v>0</v>
      </c>
      <c r="BQ1975">
        <v>0</v>
      </c>
      <c r="BR1975">
        <v>0</v>
      </c>
      <c r="BS1975">
        <v>0</v>
      </c>
      <c r="BT1975">
        <v>0</v>
      </c>
      <c r="BU1975">
        <v>0</v>
      </c>
      <c r="BV1975">
        <v>0</v>
      </c>
    </row>
    <row r="1976" spans="67:74" x14ac:dyDescent="0.25">
      <c r="BO1976">
        <v>0</v>
      </c>
      <c r="BP1976">
        <v>0</v>
      </c>
      <c r="BQ1976">
        <v>0</v>
      </c>
      <c r="BR1976">
        <v>0</v>
      </c>
      <c r="BS1976">
        <v>0</v>
      </c>
      <c r="BT1976">
        <v>0</v>
      </c>
      <c r="BU1976">
        <v>0</v>
      </c>
      <c r="BV1976">
        <v>0</v>
      </c>
    </row>
    <row r="1977" spans="67:74" x14ac:dyDescent="0.25">
      <c r="BO1977">
        <v>0</v>
      </c>
      <c r="BP1977">
        <v>0</v>
      </c>
      <c r="BQ1977">
        <v>0</v>
      </c>
      <c r="BR1977">
        <v>0</v>
      </c>
      <c r="BS1977">
        <v>0</v>
      </c>
      <c r="BT1977">
        <v>0</v>
      </c>
      <c r="BU1977">
        <v>0</v>
      </c>
      <c r="BV1977">
        <v>0</v>
      </c>
    </row>
    <row r="1978" spans="67:74" x14ac:dyDescent="0.25">
      <c r="BO1978">
        <v>0</v>
      </c>
      <c r="BP1978">
        <v>0</v>
      </c>
      <c r="BQ1978">
        <v>0</v>
      </c>
      <c r="BR1978">
        <v>0</v>
      </c>
      <c r="BS1978">
        <v>0</v>
      </c>
      <c r="BT1978">
        <v>0</v>
      </c>
      <c r="BU1978">
        <v>0</v>
      </c>
      <c r="BV1978">
        <v>0</v>
      </c>
    </row>
    <row r="1979" spans="67:74" x14ac:dyDescent="0.25">
      <c r="BO1979">
        <v>0</v>
      </c>
      <c r="BP1979">
        <v>0</v>
      </c>
      <c r="BQ1979">
        <v>0</v>
      </c>
      <c r="BR1979">
        <v>0</v>
      </c>
      <c r="BS1979">
        <v>0</v>
      </c>
      <c r="BT1979">
        <v>0</v>
      </c>
      <c r="BU1979">
        <v>0</v>
      </c>
      <c r="BV1979">
        <v>0</v>
      </c>
    </row>
    <row r="1980" spans="67:74" x14ac:dyDescent="0.25">
      <c r="BO1980">
        <v>0</v>
      </c>
      <c r="BP1980">
        <v>0</v>
      </c>
      <c r="BQ1980">
        <v>0</v>
      </c>
      <c r="BR1980">
        <v>0</v>
      </c>
      <c r="BS1980">
        <v>0</v>
      </c>
      <c r="BT1980">
        <v>0</v>
      </c>
      <c r="BU1980">
        <v>0</v>
      </c>
      <c r="BV1980">
        <v>0</v>
      </c>
    </row>
    <row r="1981" spans="67:74" x14ac:dyDescent="0.25">
      <c r="BO1981">
        <v>0</v>
      </c>
      <c r="BP1981">
        <v>0</v>
      </c>
      <c r="BQ1981">
        <v>0</v>
      </c>
      <c r="BR1981">
        <v>0</v>
      </c>
      <c r="BS1981">
        <v>0</v>
      </c>
      <c r="BT1981">
        <v>0</v>
      </c>
      <c r="BU1981">
        <v>0</v>
      </c>
      <c r="BV1981">
        <v>0</v>
      </c>
    </row>
    <row r="1982" spans="67:74" x14ac:dyDescent="0.25">
      <c r="BO1982">
        <v>0</v>
      </c>
      <c r="BP1982">
        <v>0</v>
      </c>
      <c r="BQ1982">
        <v>0</v>
      </c>
      <c r="BR1982">
        <v>0</v>
      </c>
      <c r="BS1982">
        <v>0</v>
      </c>
      <c r="BT1982">
        <v>0</v>
      </c>
      <c r="BU1982">
        <v>0</v>
      </c>
      <c r="BV1982">
        <v>0</v>
      </c>
    </row>
    <row r="1983" spans="67:74" x14ac:dyDescent="0.25">
      <c r="BO1983">
        <v>0</v>
      </c>
      <c r="BP1983">
        <v>0</v>
      </c>
      <c r="BQ1983">
        <v>0</v>
      </c>
      <c r="BR1983">
        <v>0</v>
      </c>
      <c r="BS1983">
        <v>0</v>
      </c>
      <c r="BT1983">
        <v>0</v>
      </c>
      <c r="BU1983">
        <v>0</v>
      </c>
      <c r="BV1983">
        <v>0</v>
      </c>
    </row>
    <row r="1984" spans="67:74" x14ac:dyDescent="0.25">
      <c r="BO1984">
        <v>0</v>
      </c>
      <c r="BP1984">
        <v>0</v>
      </c>
      <c r="BQ1984">
        <v>0</v>
      </c>
      <c r="BR1984">
        <v>0</v>
      </c>
      <c r="BS1984">
        <v>0</v>
      </c>
      <c r="BT1984">
        <v>0</v>
      </c>
      <c r="BU1984">
        <v>0</v>
      </c>
      <c r="BV1984">
        <v>0</v>
      </c>
    </row>
    <row r="1985" spans="67:74" x14ac:dyDescent="0.25">
      <c r="BO1985">
        <v>0</v>
      </c>
      <c r="BP1985">
        <v>0</v>
      </c>
      <c r="BQ1985">
        <v>0</v>
      </c>
      <c r="BR1985">
        <v>0</v>
      </c>
      <c r="BS1985">
        <v>0</v>
      </c>
      <c r="BT1985">
        <v>0</v>
      </c>
      <c r="BU1985">
        <v>0</v>
      </c>
      <c r="BV1985">
        <v>0</v>
      </c>
    </row>
    <row r="1986" spans="67:74" x14ac:dyDescent="0.25">
      <c r="BO1986">
        <v>0</v>
      </c>
      <c r="BP1986">
        <v>0</v>
      </c>
      <c r="BQ1986">
        <v>0</v>
      </c>
      <c r="BR1986">
        <v>0</v>
      </c>
      <c r="BS1986">
        <v>0</v>
      </c>
      <c r="BT1986">
        <v>0</v>
      </c>
      <c r="BU1986">
        <v>0</v>
      </c>
      <c r="BV1986">
        <v>0</v>
      </c>
    </row>
    <row r="1987" spans="67:74" x14ac:dyDescent="0.25">
      <c r="BO1987">
        <v>0</v>
      </c>
      <c r="BP1987">
        <v>0</v>
      </c>
      <c r="BQ1987">
        <v>0</v>
      </c>
      <c r="BR1987">
        <v>0</v>
      </c>
      <c r="BS1987">
        <v>0</v>
      </c>
      <c r="BT1987">
        <v>0</v>
      </c>
      <c r="BU1987">
        <v>0</v>
      </c>
      <c r="BV1987">
        <v>0</v>
      </c>
    </row>
    <row r="1988" spans="67:74" x14ac:dyDescent="0.25">
      <c r="BO1988">
        <v>0</v>
      </c>
      <c r="BP1988">
        <v>0</v>
      </c>
      <c r="BQ1988">
        <v>0</v>
      </c>
      <c r="BR1988">
        <v>0</v>
      </c>
      <c r="BS1988">
        <v>0</v>
      </c>
      <c r="BT1988">
        <v>0</v>
      </c>
      <c r="BU1988">
        <v>0</v>
      </c>
      <c r="BV1988">
        <v>0</v>
      </c>
    </row>
    <row r="1989" spans="67:74" x14ac:dyDescent="0.25">
      <c r="BO1989">
        <v>0</v>
      </c>
      <c r="BP1989">
        <v>0</v>
      </c>
      <c r="BQ1989">
        <v>0</v>
      </c>
      <c r="BR1989">
        <v>0</v>
      </c>
      <c r="BS1989">
        <v>0</v>
      </c>
      <c r="BT1989">
        <v>0</v>
      </c>
      <c r="BU1989">
        <v>0</v>
      </c>
      <c r="BV1989">
        <v>0</v>
      </c>
    </row>
    <row r="1990" spans="67:74" x14ac:dyDescent="0.25">
      <c r="BO1990">
        <v>0</v>
      </c>
      <c r="BP1990">
        <v>0</v>
      </c>
      <c r="BQ1990">
        <v>0</v>
      </c>
      <c r="BR1990">
        <v>0</v>
      </c>
      <c r="BS1990">
        <v>0</v>
      </c>
      <c r="BT1990">
        <v>0</v>
      </c>
      <c r="BU1990">
        <v>0</v>
      </c>
      <c r="BV1990">
        <v>0</v>
      </c>
    </row>
    <row r="1991" spans="67:74" x14ac:dyDescent="0.25">
      <c r="BO1991">
        <v>0</v>
      </c>
      <c r="BP1991">
        <v>0</v>
      </c>
      <c r="BQ1991">
        <v>0</v>
      </c>
      <c r="BR1991">
        <v>0</v>
      </c>
      <c r="BS1991">
        <v>0</v>
      </c>
      <c r="BT1991">
        <v>0</v>
      </c>
      <c r="BU1991">
        <v>0</v>
      </c>
      <c r="BV1991">
        <v>0</v>
      </c>
    </row>
    <row r="1992" spans="67:74" x14ac:dyDescent="0.25">
      <c r="BO1992">
        <v>0</v>
      </c>
      <c r="BP1992">
        <v>0</v>
      </c>
      <c r="BQ1992">
        <v>0</v>
      </c>
      <c r="BR1992">
        <v>0</v>
      </c>
      <c r="BS1992">
        <v>0</v>
      </c>
      <c r="BT1992">
        <v>0</v>
      </c>
      <c r="BU1992">
        <v>0</v>
      </c>
      <c r="BV1992">
        <v>0</v>
      </c>
    </row>
    <row r="1993" spans="67:74" x14ac:dyDescent="0.25">
      <c r="BO1993">
        <v>0</v>
      </c>
      <c r="BP1993">
        <v>0</v>
      </c>
      <c r="BQ1993">
        <v>0</v>
      </c>
      <c r="BR1993">
        <v>0</v>
      </c>
      <c r="BS1993">
        <v>0</v>
      </c>
      <c r="BT1993">
        <v>0</v>
      </c>
      <c r="BU1993">
        <v>0</v>
      </c>
      <c r="BV1993">
        <v>0</v>
      </c>
    </row>
    <row r="1994" spans="67:74" x14ac:dyDescent="0.25">
      <c r="BO1994">
        <v>0</v>
      </c>
      <c r="BP1994">
        <v>0</v>
      </c>
      <c r="BQ1994">
        <v>0</v>
      </c>
      <c r="BR1994">
        <v>0</v>
      </c>
      <c r="BS1994">
        <v>0</v>
      </c>
      <c r="BT1994">
        <v>0</v>
      </c>
      <c r="BU1994">
        <v>0</v>
      </c>
      <c r="BV1994">
        <v>0</v>
      </c>
    </row>
    <row r="1995" spans="67:74" x14ac:dyDescent="0.25">
      <c r="BO1995">
        <v>0</v>
      </c>
      <c r="BP1995">
        <v>0</v>
      </c>
      <c r="BQ1995">
        <v>0</v>
      </c>
      <c r="BR1995">
        <v>0</v>
      </c>
      <c r="BS1995">
        <v>0</v>
      </c>
      <c r="BT1995">
        <v>0</v>
      </c>
      <c r="BU1995">
        <v>0</v>
      </c>
      <c r="BV1995">
        <v>0</v>
      </c>
    </row>
    <row r="1996" spans="67:74" x14ac:dyDescent="0.25">
      <c r="BO1996">
        <v>0</v>
      </c>
      <c r="BP1996">
        <v>0</v>
      </c>
      <c r="BQ1996">
        <v>0</v>
      </c>
      <c r="BR1996">
        <v>0</v>
      </c>
      <c r="BS1996">
        <v>0</v>
      </c>
      <c r="BT1996">
        <v>0</v>
      </c>
      <c r="BU1996">
        <v>0</v>
      </c>
      <c r="BV1996">
        <v>0</v>
      </c>
    </row>
    <row r="1997" spans="67:74" x14ac:dyDescent="0.25">
      <c r="BO1997">
        <v>0</v>
      </c>
      <c r="BP1997">
        <v>0</v>
      </c>
      <c r="BQ1997">
        <v>0</v>
      </c>
      <c r="BR1997">
        <v>0</v>
      </c>
      <c r="BS1997">
        <v>0</v>
      </c>
      <c r="BT1997">
        <v>0</v>
      </c>
      <c r="BU1997">
        <v>0</v>
      </c>
      <c r="BV1997">
        <v>0</v>
      </c>
    </row>
    <row r="1998" spans="67:74" x14ac:dyDescent="0.25">
      <c r="BO1998">
        <v>0</v>
      </c>
      <c r="BP1998">
        <v>0</v>
      </c>
      <c r="BQ1998">
        <v>0</v>
      </c>
      <c r="BR1998">
        <v>0</v>
      </c>
      <c r="BS1998">
        <v>0</v>
      </c>
      <c r="BT1998">
        <v>0</v>
      </c>
      <c r="BU1998">
        <v>0</v>
      </c>
      <c r="BV1998">
        <v>0</v>
      </c>
    </row>
    <row r="1999" spans="67:74" x14ac:dyDescent="0.25">
      <c r="BO1999">
        <v>0</v>
      </c>
      <c r="BP1999">
        <v>0</v>
      </c>
      <c r="BQ1999">
        <v>0</v>
      </c>
      <c r="BR1999">
        <v>0</v>
      </c>
      <c r="BS1999">
        <v>0</v>
      </c>
      <c r="BT1999">
        <v>0</v>
      </c>
      <c r="BU1999">
        <v>0</v>
      </c>
      <c r="BV1999">
        <v>0</v>
      </c>
    </row>
    <row r="2000" spans="67:74" x14ac:dyDescent="0.25">
      <c r="BO2000">
        <v>0</v>
      </c>
      <c r="BP2000">
        <v>0</v>
      </c>
      <c r="BQ2000">
        <v>0</v>
      </c>
      <c r="BR2000">
        <v>0</v>
      </c>
      <c r="BS2000">
        <v>0</v>
      </c>
      <c r="BT2000">
        <v>0</v>
      </c>
      <c r="BU2000">
        <v>0</v>
      </c>
      <c r="BV2000">
        <v>0</v>
      </c>
    </row>
    <row r="2001" spans="67:74" x14ac:dyDescent="0.25">
      <c r="BO2001">
        <v>0</v>
      </c>
      <c r="BP2001">
        <v>0</v>
      </c>
      <c r="BQ2001">
        <v>0</v>
      </c>
      <c r="BR2001">
        <v>0</v>
      </c>
      <c r="BS2001">
        <v>0</v>
      </c>
      <c r="BT2001">
        <v>0</v>
      </c>
      <c r="BU2001">
        <v>0</v>
      </c>
      <c r="BV2001">
        <v>0</v>
      </c>
    </row>
    <row r="2002" spans="67:74" x14ac:dyDescent="0.25">
      <c r="BO2002">
        <v>0</v>
      </c>
      <c r="BP2002">
        <v>0</v>
      </c>
      <c r="BQ2002">
        <v>0</v>
      </c>
      <c r="BR2002">
        <v>0</v>
      </c>
      <c r="BS2002">
        <v>0</v>
      </c>
      <c r="BT2002">
        <v>0</v>
      </c>
      <c r="BU2002">
        <v>0</v>
      </c>
      <c r="BV2002">
        <v>0</v>
      </c>
    </row>
    <row r="2003" spans="67:74" x14ac:dyDescent="0.25">
      <c r="BO2003">
        <v>0</v>
      </c>
      <c r="BP2003">
        <v>0</v>
      </c>
      <c r="BQ2003">
        <v>0</v>
      </c>
      <c r="BR2003">
        <v>0</v>
      </c>
      <c r="BS2003">
        <v>0</v>
      </c>
      <c r="BT2003">
        <v>0</v>
      </c>
      <c r="BU2003">
        <v>0</v>
      </c>
      <c r="BV2003">
        <v>0</v>
      </c>
    </row>
    <row r="2004" spans="67:74" x14ac:dyDescent="0.25">
      <c r="BO2004">
        <v>0</v>
      </c>
      <c r="BP2004">
        <v>0</v>
      </c>
      <c r="BQ2004">
        <v>0</v>
      </c>
      <c r="BR2004">
        <v>0</v>
      </c>
      <c r="BS2004">
        <v>0</v>
      </c>
      <c r="BT2004">
        <v>0</v>
      </c>
      <c r="BU2004">
        <v>0</v>
      </c>
      <c r="BV2004">
        <v>0</v>
      </c>
    </row>
    <row r="2005" spans="67:74" x14ac:dyDescent="0.25">
      <c r="BO2005">
        <v>0</v>
      </c>
      <c r="BP2005">
        <v>0</v>
      </c>
      <c r="BQ2005">
        <v>0</v>
      </c>
      <c r="BR2005">
        <v>0</v>
      </c>
      <c r="BS2005">
        <v>0</v>
      </c>
      <c r="BT2005">
        <v>0</v>
      </c>
      <c r="BU2005">
        <v>0</v>
      </c>
      <c r="BV2005">
        <v>0</v>
      </c>
    </row>
    <row r="2006" spans="67:74" x14ac:dyDescent="0.25">
      <c r="BO2006">
        <v>0</v>
      </c>
      <c r="BP2006">
        <v>0</v>
      </c>
      <c r="BQ2006">
        <v>0</v>
      </c>
      <c r="BR2006">
        <v>0</v>
      </c>
      <c r="BS2006">
        <v>0</v>
      </c>
      <c r="BT2006">
        <v>0</v>
      </c>
      <c r="BU2006">
        <v>0</v>
      </c>
      <c r="BV2006">
        <v>0</v>
      </c>
    </row>
    <row r="2007" spans="67:74" x14ac:dyDescent="0.25">
      <c r="BO2007">
        <v>0</v>
      </c>
      <c r="BP2007">
        <v>0</v>
      </c>
      <c r="BQ2007">
        <v>0</v>
      </c>
      <c r="BR2007">
        <v>0</v>
      </c>
      <c r="BS2007">
        <v>0</v>
      </c>
      <c r="BT2007">
        <v>0</v>
      </c>
      <c r="BU2007">
        <v>0</v>
      </c>
      <c r="BV2007">
        <v>0</v>
      </c>
    </row>
    <row r="2008" spans="67:74" x14ac:dyDescent="0.25">
      <c r="BO2008">
        <v>0</v>
      </c>
      <c r="BP2008">
        <v>0</v>
      </c>
      <c r="BQ2008">
        <v>0</v>
      </c>
      <c r="BR2008">
        <v>0</v>
      </c>
      <c r="BS2008">
        <v>0</v>
      </c>
      <c r="BT2008">
        <v>0</v>
      </c>
      <c r="BU2008">
        <v>0</v>
      </c>
      <c r="BV2008">
        <v>0</v>
      </c>
    </row>
    <row r="2009" spans="67:74" x14ac:dyDescent="0.25">
      <c r="BO2009">
        <v>0</v>
      </c>
      <c r="BP2009">
        <v>0</v>
      </c>
      <c r="BQ2009">
        <v>0</v>
      </c>
      <c r="BR2009">
        <v>0</v>
      </c>
      <c r="BS2009">
        <v>0</v>
      </c>
      <c r="BT2009">
        <v>0</v>
      </c>
      <c r="BU2009">
        <v>0</v>
      </c>
      <c r="BV2009">
        <v>0</v>
      </c>
    </row>
    <row r="2010" spans="67:74" x14ac:dyDescent="0.25">
      <c r="BO2010">
        <v>0</v>
      </c>
      <c r="BP2010">
        <v>0</v>
      </c>
      <c r="BQ2010">
        <v>0</v>
      </c>
      <c r="BR2010">
        <v>0</v>
      </c>
      <c r="BS2010">
        <v>0</v>
      </c>
      <c r="BT2010">
        <v>0</v>
      </c>
      <c r="BU2010">
        <v>0</v>
      </c>
      <c r="BV2010">
        <v>0</v>
      </c>
    </row>
    <row r="2011" spans="67:74" x14ac:dyDescent="0.25">
      <c r="BO2011">
        <v>0</v>
      </c>
      <c r="BP2011">
        <v>0</v>
      </c>
      <c r="BQ2011">
        <v>0</v>
      </c>
      <c r="BR2011">
        <v>0</v>
      </c>
      <c r="BS2011">
        <v>0</v>
      </c>
      <c r="BT2011">
        <v>0</v>
      </c>
      <c r="BU2011">
        <v>0</v>
      </c>
      <c r="BV2011">
        <v>0</v>
      </c>
    </row>
    <row r="2012" spans="67:74" x14ac:dyDescent="0.25">
      <c r="BO2012">
        <v>0</v>
      </c>
      <c r="BP2012">
        <v>0</v>
      </c>
      <c r="BQ2012">
        <v>0</v>
      </c>
      <c r="BR2012">
        <v>0</v>
      </c>
      <c r="BS2012">
        <v>0</v>
      </c>
      <c r="BT2012">
        <v>0</v>
      </c>
      <c r="BU2012">
        <v>0</v>
      </c>
      <c r="BV2012">
        <v>0</v>
      </c>
    </row>
    <row r="2013" spans="67:74" x14ac:dyDescent="0.25">
      <c r="BO2013">
        <v>0</v>
      </c>
      <c r="BP2013">
        <v>0</v>
      </c>
      <c r="BQ2013">
        <v>0</v>
      </c>
      <c r="BR2013">
        <v>0</v>
      </c>
      <c r="BS2013">
        <v>0</v>
      </c>
      <c r="BT2013">
        <v>0</v>
      </c>
      <c r="BU2013">
        <v>0</v>
      </c>
      <c r="BV2013">
        <v>0</v>
      </c>
    </row>
    <row r="2014" spans="67:74" x14ac:dyDescent="0.25">
      <c r="BO2014">
        <v>0</v>
      </c>
      <c r="BP2014">
        <v>0</v>
      </c>
      <c r="BQ2014">
        <v>0</v>
      </c>
      <c r="BR2014">
        <v>0</v>
      </c>
      <c r="BS2014">
        <v>0</v>
      </c>
      <c r="BT2014">
        <v>0</v>
      </c>
      <c r="BU2014">
        <v>0</v>
      </c>
      <c r="BV2014">
        <v>0</v>
      </c>
    </row>
    <row r="2015" spans="67:74" x14ac:dyDescent="0.25">
      <c r="BO2015">
        <v>0</v>
      </c>
      <c r="BP2015">
        <v>0</v>
      </c>
      <c r="BQ2015">
        <v>0</v>
      </c>
      <c r="BR2015">
        <v>0</v>
      </c>
      <c r="BS2015">
        <v>0</v>
      </c>
      <c r="BT2015">
        <v>0</v>
      </c>
      <c r="BU2015">
        <v>0</v>
      </c>
      <c r="BV2015">
        <v>0</v>
      </c>
    </row>
    <row r="2016" spans="67:74" x14ac:dyDescent="0.25">
      <c r="BO2016">
        <v>0</v>
      </c>
      <c r="BP2016">
        <v>0</v>
      </c>
      <c r="BQ2016">
        <v>0</v>
      </c>
      <c r="BR2016">
        <v>0</v>
      </c>
      <c r="BS2016">
        <v>0</v>
      </c>
      <c r="BT2016">
        <v>0</v>
      </c>
      <c r="BU2016">
        <v>0</v>
      </c>
      <c r="BV2016">
        <v>0</v>
      </c>
    </row>
    <row r="2017" spans="32:74" x14ac:dyDescent="0.25">
      <c r="BO2017">
        <v>0</v>
      </c>
      <c r="BP2017">
        <v>0</v>
      </c>
      <c r="BQ2017">
        <v>0</v>
      </c>
      <c r="BR2017">
        <v>0</v>
      </c>
      <c r="BS2017">
        <v>0</v>
      </c>
      <c r="BT2017">
        <v>0</v>
      </c>
      <c r="BU2017">
        <v>0</v>
      </c>
      <c r="BV2017">
        <v>0</v>
      </c>
    </row>
    <row r="2018" spans="32:74" x14ac:dyDescent="0.25">
      <c r="BO2018">
        <v>0</v>
      </c>
      <c r="BP2018">
        <v>0</v>
      </c>
      <c r="BQ2018">
        <v>0</v>
      </c>
      <c r="BR2018">
        <v>0</v>
      </c>
      <c r="BS2018">
        <v>0</v>
      </c>
      <c r="BT2018">
        <v>0</v>
      </c>
      <c r="BU2018">
        <v>0</v>
      </c>
      <c r="BV2018">
        <v>0</v>
      </c>
    </row>
    <row r="2019" spans="32:74" x14ac:dyDescent="0.25">
      <c r="BO2019">
        <v>0</v>
      </c>
      <c r="BP2019">
        <v>0</v>
      </c>
      <c r="BQ2019">
        <v>0</v>
      </c>
      <c r="BR2019">
        <v>0</v>
      </c>
      <c r="BS2019">
        <v>0</v>
      </c>
      <c r="BT2019">
        <v>0</v>
      </c>
      <c r="BU2019">
        <v>0</v>
      </c>
      <c r="BV2019">
        <v>0</v>
      </c>
    </row>
    <row r="2020" spans="32:74" x14ac:dyDescent="0.25">
      <c r="BO2020">
        <v>0</v>
      </c>
      <c r="BP2020">
        <v>0</v>
      </c>
      <c r="BQ2020">
        <v>0</v>
      </c>
      <c r="BR2020">
        <v>0</v>
      </c>
      <c r="BS2020">
        <v>0</v>
      </c>
      <c r="BT2020">
        <v>0</v>
      </c>
      <c r="BU2020">
        <v>0</v>
      </c>
      <c r="BV2020">
        <v>0</v>
      </c>
    </row>
    <row r="2021" spans="32:74" x14ac:dyDescent="0.25">
      <c r="BO2021">
        <v>0</v>
      </c>
      <c r="BP2021">
        <v>0</v>
      </c>
      <c r="BQ2021">
        <v>0</v>
      </c>
      <c r="BR2021">
        <v>0</v>
      </c>
      <c r="BS2021">
        <v>0</v>
      </c>
      <c r="BT2021">
        <v>0</v>
      </c>
      <c r="BU2021">
        <v>0</v>
      </c>
      <c r="BV2021">
        <v>0</v>
      </c>
    </row>
    <row r="2022" spans="32:74" x14ac:dyDescent="0.25">
      <c r="BO2022">
        <v>0</v>
      </c>
      <c r="BP2022">
        <v>0</v>
      </c>
      <c r="BQ2022">
        <v>0</v>
      </c>
      <c r="BR2022">
        <v>0</v>
      </c>
      <c r="BS2022">
        <v>0</v>
      </c>
      <c r="BT2022">
        <v>0</v>
      </c>
      <c r="BU2022">
        <v>0</v>
      </c>
      <c r="BV2022">
        <v>0</v>
      </c>
    </row>
    <row r="2023" spans="32:74" x14ac:dyDescent="0.25">
      <c r="BO2023">
        <v>0</v>
      </c>
      <c r="BP2023">
        <v>0</v>
      </c>
      <c r="BQ2023">
        <v>0</v>
      </c>
      <c r="BR2023">
        <v>0</v>
      </c>
      <c r="BS2023">
        <v>0</v>
      </c>
      <c r="BT2023">
        <v>0</v>
      </c>
      <c r="BU2023">
        <v>0</v>
      </c>
      <c r="BV2023">
        <v>0</v>
      </c>
    </row>
    <row r="2024" spans="32:74" x14ac:dyDescent="0.25">
      <c r="BO2024">
        <v>0</v>
      </c>
      <c r="BP2024">
        <v>0</v>
      </c>
      <c r="BQ2024">
        <v>0</v>
      </c>
      <c r="BR2024">
        <v>0</v>
      </c>
      <c r="BS2024">
        <v>0</v>
      </c>
      <c r="BT2024">
        <v>0</v>
      </c>
      <c r="BU2024">
        <v>0</v>
      </c>
      <c r="BV2024">
        <v>0</v>
      </c>
    </row>
    <row r="2025" spans="32:74" x14ac:dyDescent="0.25">
      <c r="BO2025">
        <v>0</v>
      </c>
      <c r="BP2025">
        <v>0</v>
      </c>
      <c r="BQ2025">
        <v>0</v>
      </c>
      <c r="BR2025">
        <v>0</v>
      </c>
      <c r="BS2025">
        <v>0</v>
      </c>
      <c r="BT2025">
        <v>0</v>
      </c>
      <c r="BU2025">
        <v>0</v>
      </c>
      <c r="BV2025">
        <v>0</v>
      </c>
    </row>
    <row r="2026" spans="32:74" x14ac:dyDescent="0.25">
      <c r="BO2026">
        <v>0</v>
      </c>
      <c r="BP2026">
        <v>0</v>
      </c>
      <c r="BQ2026">
        <v>0</v>
      </c>
      <c r="BR2026">
        <v>0</v>
      </c>
      <c r="BS2026">
        <v>0</v>
      </c>
      <c r="BT2026">
        <v>0</v>
      </c>
      <c r="BU2026">
        <v>0</v>
      </c>
      <c r="BV2026">
        <v>0</v>
      </c>
    </row>
    <row r="2027" spans="32:74" x14ac:dyDescent="0.25">
      <c r="BO2027">
        <v>0</v>
      </c>
      <c r="BP2027">
        <v>0</v>
      </c>
      <c r="BQ2027">
        <v>0</v>
      </c>
      <c r="BR2027">
        <v>0</v>
      </c>
      <c r="BS2027">
        <v>0</v>
      </c>
      <c r="BT2027">
        <v>0</v>
      </c>
      <c r="BU2027">
        <v>0</v>
      </c>
      <c r="BV2027">
        <v>0</v>
      </c>
    </row>
    <row r="2028" spans="32:74" x14ac:dyDescent="0.25">
      <c r="BO2028">
        <v>0</v>
      </c>
      <c r="BP2028">
        <v>0</v>
      </c>
      <c r="BQ2028">
        <v>0</v>
      </c>
      <c r="BR2028">
        <v>0</v>
      </c>
      <c r="BS2028">
        <v>0</v>
      </c>
      <c r="BT2028">
        <v>0</v>
      </c>
      <c r="BU2028">
        <v>0</v>
      </c>
      <c r="BV2028">
        <v>0</v>
      </c>
    </row>
    <row r="2029" spans="32:74" x14ac:dyDescent="0.25">
      <c r="AF2029" s="1"/>
      <c r="BE2029" s="1"/>
      <c r="BM2029" s="2"/>
      <c r="BO2029">
        <v>0</v>
      </c>
      <c r="BP2029">
        <v>0</v>
      </c>
      <c r="BQ2029">
        <v>0</v>
      </c>
      <c r="BR2029">
        <v>0</v>
      </c>
      <c r="BS2029">
        <v>0</v>
      </c>
      <c r="BT2029">
        <v>0</v>
      </c>
      <c r="BU2029">
        <v>0</v>
      </c>
      <c r="BV2029">
        <v>0</v>
      </c>
    </row>
    <row r="2030" spans="32:74" x14ac:dyDescent="0.25">
      <c r="BO2030">
        <v>0</v>
      </c>
      <c r="BP2030">
        <v>0</v>
      </c>
      <c r="BQ2030">
        <v>0</v>
      </c>
      <c r="BR2030">
        <v>0</v>
      </c>
      <c r="BS2030">
        <v>0</v>
      </c>
      <c r="BT2030">
        <v>0</v>
      </c>
      <c r="BU2030">
        <v>0</v>
      </c>
      <c r="BV2030">
        <v>0</v>
      </c>
    </row>
    <row r="2031" spans="32:74" x14ac:dyDescent="0.25">
      <c r="BO2031">
        <v>0</v>
      </c>
      <c r="BP2031">
        <v>0</v>
      </c>
      <c r="BQ2031">
        <v>0</v>
      </c>
      <c r="BR2031">
        <v>0</v>
      </c>
      <c r="BS2031">
        <v>0</v>
      </c>
      <c r="BT2031">
        <v>0</v>
      </c>
      <c r="BU2031">
        <v>0</v>
      </c>
      <c r="BV2031">
        <v>0</v>
      </c>
    </row>
    <row r="2032" spans="32:74" x14ac:dyDescent="0.25">
      <c r="BO2032">
        <v>0</v>
      </c>
      <c r="BP2032">
        <v>0</v>
      </c>
      <c r="BQ2032">
        <v>0</v>
      </c>
      <c r="BR2032">
        <v>0</v>
      </c>
      <c r="BS2032">
        <v>0</v>
      </c>
      <c r="BT2032">
        <v>0</v>
      </c>
      <c r="BU2032">
        <v>0</v>
      </c>
      <c r="BV2032">
        <v>0</v>
      </c>
    </row>
    <row r="2033" spans="54:74" x14ac:dyDescent="0.25">
      <c r="BO2033">
        <v>0</v>
      </c>
      <c r="BP2033">
        <v>0</v>
      </c>
      <c r="BQ2033">
        <v>0</v>
      </c>
      <c r="BR2033">
        <v>0</v>
      </c>
      <c r="BS2033">
        <v>0</v>
      </c>
      <c r="BT2033">
        <v>0</v>
      </c>
      <c r="BU2033">
        <v>0</v>
      </c>
      <c r="BV2033">
        <v>0</v>
      </c>
    </row>
    <row r="2034" spans="54:74" x14ac:dyDescent="0.25">
      <c r="BO2034">
        <v>0</v>
      </c>
      <c r="BP2034">
        <v>0</v>
      </c>
      <c r="BQ2034">
        <v>0</v>
      </c>
      <c r="BR2034">
        <v>0</v>
      </c>
      <c r="BS2034">
        <v>0</v>
      </c>
      <c r="BT2034">
        <v>0</v>
      </c>
      <c r="BU2034">
        <v>0</v>
      </c>
      <c r="BV2034">
        <v>0</v>
      </c>
    </row>
    <row r="2035" spans="54:74" x14ac:dyDescent="0.25">
      <c r="BO2035">
        <v>0</v>
      </c>
      <c r="BP2035">
        <v>0</v>
      </c>
      <c r="BQ2035">
        <v>0</v>
      </c>
      <c r="BR2035">
        <v>0</v>
      </c>
      <c r="BS2035">
        <v>0</v>
      </c>
      <c r="BT2035">
        <v>0</v>
      </c>
      <c r="BU2035">
        <v>0</v>
      </c>
      <c r="BV2035">
        <v>0</v>
      </c>
    </row>
    <row r="2036" spans="54:74" x14ac:dyDescent="0.25">
      <c r="BO2036">
        <v>0</v>
      </c>
      <c r="BP2036">
        <v>0</v>
      </c>
      <c r="BQ2036">
        <v>0</v>
      </c>
      <c r="BR2036">
        <v>0</v>
      </c>
      <c r="BS2036">
        <v>0</v>
      </c>
      <c r="BT2036">
        <v>0</v>
      </c>
      <c r="BU2036">
        <v>0</v>
      </c>
      <c r="BV2036">
        <v>0</v>
      </c>
    </row>
    <row r="2037" spans="54:74" x14ac:dyDescent="0.25">
      <c r="BB2037" s="1"/>
      <c r="BO2037">
        <v>0</v>
      </c>
      <c r="BP2037">
        <v>0</v>
      </c>
      <c r="BQ2037">
        <v>0</v>
      </c>
      <c r="BR2037">
        <v>0</v>
      </c>
      <c r="BS2037">
        <v>0</v>
      </c>
      <c r="BT2037">
        <v>0</v>
      </c>
      <c r="BU2037">
        <v>0</v>
      </c>
      <c r="BV2037">
        <v>0</v>
      </c>
    </row>
    <row r="2038" spans="54:74" x14ac:dyDescent="0.25">
      <c r="BO2038">
        <v>0</v>
      </c>
      <c r="BP2038">
        <v>0</v>
      </c>
      <c r="BQ2038">
        <v>0</v>
      </c>
      <c r="BR2038">
        <v>0</v>
      </c>
      <c r="BS2038">
        <v>0</v>
      </c>
      <c r="BT2038">
        <v>0</v>
      </c>
      <c r="BU2038">
        <v>0</v>
      </c>
      <c r="BV2038">
        <v>0</v>
      </c>
    </row>
    <row r="2039" spans="54:74" x14ac:dyDescent="0.25">
      <c r="BO2039">
        <v>0</v>
      </c>
      <c r="BP2039">
        <v>0</v>
      </c>
      <c r="BQ2039">
        <v>0</v>
      </c>
      <c r="BR2039">
        <v>0</v>
      </c>
      <c r="BS2039">
        <v>0</v>
      </c>
      <c r="BT2039">
        <v>0</v>
      </c>
      <c r="BU2039">
        <v>0</v>
      </c>
      <c r="BV2039">
        <v>0</v>
      </c>
    </row>
    <row r="2040" spans="54:74" x14ac:dyDescent="0.25">
      <c r="BO2040">
        <v>0</v>
      </c>
      <c r="BP2040">
        <v>0</v>
      </c>
      <c r="BQ2040">
        <v>0</v>
      </c>
      <c r="BR2040">
        <v>0</v>
      </c>
      <c r="BS2040">
        <v>0</v>
      </c>
      <c r="BT2040">
        <v>0</v>
      </c>
      <c r="BU2040">
        <v>0</v>
      </c>
      <c r="BV2040">
        <v>0</v>
      </c>
    </row>
    <row r="2041" spans="54:74" x14ac:dyDescent="0.25">
      <c r="BO2041">
        <v>0</v>
      </c>
      <c r="BP2041">
        <v>0</v>
      </c>
      <c r="BQ2041">
        <v>0</v>
      </c>
      <c r="BR2041">
        <v>0</v>
      </c>
      <c r="BS2041">
        <v>0</v>
      </c>
      <c r="BT2041">
        <v>0</v>
      </c>
      <c r="BU2041">
        <v>0</v>
      </c>
      <c r="BV2041">
        <v>0</v>
      </c>
    </row>
    <row r="2042" spans="54:74" x14ac:dyDescent="0.25">
      <c r="BO2042">
        <v>0</v>
      </c>
      <c r="BP2042">
        <v>0</v>
      </c>
      <c r="BQ2042">
        <v>0</v>
      </c>
      <c r="BR2042">
        <v>0</v>
      </c>
      <c r="BS2042">
        <v>0</v>
      </c>
      <c r="BT2042">
        <v>0</v>
      </c>
      <c r="BU2042">
        <v>0</v>
      </c>
      <c r="BV2042">
        <v>0</v>
      </c>
    </row>
    <row r="2043" spans="54:74" x14ac:dyDescent="0.25">
      <c r="BO2043">
        <v>0</v>
      </c>
      <c r="BP2043">
        <v>0</v>
      </c>
      <c r="BQ2043">
        <v>0</v>
      </c>
      <c r="BR2043">
        <v>0</v>
      </c>
      <c r="BS2043">
        <v>0</v>
      </c>
      <c r="BT2043">
        <v>0</v>
      </c>
      <c r="BU2043">
        <v>0</v>
      </c>
      <c r="BV2043">
        <v>0</v>
      </c>
    </row>
    <row r="2044" spans="54:74" x14ac:dyDescent="0.25">
      <c r="BO2044">
        <v>0</v>
      </c>
      <c r="BP2044">
        <v>0</v>
      </c>
      <c r="BQ2044">
        <v>0</v>
      </c>
      <c r="BR2044">
        <v>0</v>
      </c>
      <c r="BS2044">
        <v>0</v>
      </c>
      <c r="BT2044">
        <v>0</v>
      </c>
      <c r="BU2044">
        <v>0</v>
      </c>
      <c r="BV2044">
        <v>0</v>
      </c>
    </row>
    <row r="2045" spans="54:74" x14ac:dyDescent="0.25">
      <c r="BO2045">
        <v>0</v>
      </c>
      <c r="BP2045">
        <v>0</v>
      </c>
      <c r="BQ2045">
        <v>0</v>
      </c>
      <c r="BR2045">
        <v>0</v>
      </c>
      <c r="BS2045">
        <v>0</v>
      </c>
      <c r="BT2045">
        <v>0</v>
      </c>
      <c r="BU2045">
        <v>0</v>
      </c>
      <c r="BV2045">
        <v>0</v>
      </c>
    </row>
    <row r="2046" spans="54:74" x14ac:dyDescent="0.25">
      <c r="BO2046">
        <v>0</v>
      </c>
      <c r="BP2046">
        <v>0</v>
      </c>
      <c r="BQ2046">
        <v>0</v>
      </c>
      <c r="BR2046">
        <v>0</v>
      </c>
      <c r="BS2046">
        <v>0</v>
      </c>
      <c r="BT2046">
        <v>0</v>
      </c>
      <c r="BU2046">
        <v>0</v>
      </c>
      <c r="BV2046">
        <v>0</v>
      </c>
    </row>
    <row r="2047" spans="54:74" x14ac:dyDescent="0.25">
      <c r="BO2047">
        <v>0</v>
      </c>
      <c r="BP2047">
        <v>0</v>
      </c>
      <c r="BQ2047">
        <v>0</v>
      </c>
      <c r="BR2047">
        <v>0</v>
      </c>
      <c r="BS2047">
        <v>0</v>
      </c>
      <c r="BT2047">
        <v>0</v>
      </c>
      <c r="BU2047">
        <v>0</v>
      </c>
      <c r="BV2047">
        <v>0</v>
      </c>
    </row>
    <row r="2048" spans="54:74" x14ac:dyDescent="0.25">
      <c r="BO2048">
        <v>0</v>
      </c>
      <c r="BP2048">
        <v>0</v>
      </c>
      <c r="BQ2048">
        <v>0</v>
      </c>
      <c r="BR2048">
        <v>0</v>
      </c>
      <c r="BS2048">
        <v>0</v>
      </c>
      <c r="BT2048">
        <v>0</v>
      </c>
      <c r="BU2048">
        <v>0</v>
      </c>
      <c r="BV2048">
        <v>0</v>
      </c>
    </row>
    <row r="2049" spans="67:74" x14ac:dyDescent="0.25">
      <c r="BO2049">
        <v>0</v>
      </c>
      <c r="BP2049">
        <v>0</v>
      </c>
      <c r="BQ2049">
        <v>0</v>
      </c>
      <c r="BR2049">
        <v>0</v>
      </c>
      <c r="BS2049">
        <v>0</v>
      </c>
      <c r="BT2049">
        <v>0</v>
      </c>
      <c r="BU2049">
        <v>0</v>
      </c>
      <c r="BV2049">
        <v>0</v>
      </c>
    </row>
    <row r="2050" spans="67:74" x14ac:dyDescent="0.25">
      <c r="BO2050">
        <v>0</v>
      </c>
      <c r="BP2050">
        <v>0</v>
      </c>
      <c r="BQ2050">
        <v>0</v>
      </c>
      <c r="BR2050">
        <v>0</v>
      </c>
      <c r="BS2050">
        <v>0</v>
      </c>
      <c r="BT2050">
        <v>0</v>
      </c>
      <c r="BU2050">
        <v>0</v>
      </c>
      <c r="BV2050">
        <v>0</v>
      </c>
    </row>
    <row r="2051" spans="67:74" x14ac:dyDescent="0.25">
      <c r="BO2051">
        <v>0</v>
      </c>
      <c r="BP2051">
        <v>0</v>
      </c>
      <c r="BQ2051">
        <v>0</v>
      </c>
      <c r="BR2051">
        <v>0</v>
      </c>
      <c r="BS2051">
        <v>0</v>
      </c>
      <c r="BT2051">
        <v>0</v>
      </c>
      <c r="BU2051">
        <v>0</v>
      </c>
      <c r="BV2051">
        <v>0</v>
      </c>
    </row>
    <row r="2052" spans="67:74" x14ac:dyDescent="0.25">
      <c r="BO2052">
        <v>0</v>
      </c>
      <c r="BP2052">
        <v>0</v>
      </c>
      <c r="BQ2052">
        <v>0</v>
      </c>
      <c r="BR2052">
        <v>0</v>
      </c>
      <c r="BS2052">
        <v>0</v>
      </c>
      <c r="BT2052">
        <v>0</v>
      </c>
      <c r="BU2052">
        <v>0</v>
      </c>
      <c r="BV2052">
        <v>0</v>
      </c>
    </row>
    <row r="2053" spans="67:74" x14ac:dyDescent="0.25">
      <c r="BO2053">
        <v>0</v>
      </c>
      <c r="BP2053">
        <v>0</v>
      </c>
      <c r="BQ2053">
        <v>0</v>
      </c>
      <c r="BR2053">
        <v>0</v>
      </c>
      <c r="BS2053">
        <v>0</v>
      </c>
      <c r="BT2053">
        <v>0</v>
      </c>
      <c r="BU2053">
        <v>0</v>
      </c>
      <c r="BV2053">
        <v>0</v>
      </c>
    </row>
    <row r="2054" spans="67:74" x14ac:dyDescent="0.25">
      <c r="BO2054">
        <v>0</v>
      </c>
      <c r="BP2054">
        <v>0</v>
      </c>
      <c r="BQ2054">
        <v>0</v>
      </c>
      <c r="BR2054">
        <v>0</v>
      </c>
      <c r="BS2054">
        <v>0</v>
      </c>
      <c r="BT2054">
        <v>0</v>
      </c>
      <c r="BU2054">
        <v>0</v>
      </c>
      <c r="BV2054">
        <v>0</v>
      </c>
    </row>
    <row r="2055" spans="67:74" x14ac:dyDescent="0.25">
      <c r="BO2055">
        <v>0</v>
      </c>
      <c r="BP2055">
        <v>0</v>
      </c>
      <c r="BQ2055">
        <v>0</v>
      </c>
      <c r="BR2055">
        <v>0</v>
      </c>
      <c r="BS2055">
        <v>0</v>
      </c>
      <c r="BT2055">
        <v>0</v>
      </c>
      <c r="BU2055">
        <v>0</v>
      </c>
      <c r="BV2055">
        <v>0</v>
      </c>
    </row>
    <row r="2056" spans="67:74" x14ac:dyDescent="0.25">
      <c r="BO2056">
        <v>0</v>
      </c>
      <c r="BP2056">
        <v>0</v>
      </c>
      <c r="BQ2056">
        <v>0</v>
      </c>
      <c r="BR2056">
        <v>0</v>
      </c>
      <c r="BS2056">
        <v>0</v>
      </c>
      <c r="BT2056">
        <v>0</v>
      </c>
      <c r="BU2056">
        <v>0</v>
      </c>
      <c r="BV2056">
        <v>0</v>
      </c>
    </row>
    <row r="2057" spans="67:74" x14ac:dyDescent="0.25">
      <c r="BO2057">
        <v>0</v>
      </c>
      <c r="BP2057">
        <v>0</v>
      </c>
      <c r="BQ2057">
        <v>0</v>
      </c>
      <c r="BR2057">
        <v>0</v>
      </c>
      <c r="BS2057">
        <v>0</v>
      </c>
      <c r="BT2057">
        <v>0</v>
      </c>
      <c r="BU2057">
        <v>0</v>
      </c>
      <c r="BV2057">
        <v>0</v>
      </c>
    </row>
    <row r="2058" spans="67:74" x14ac:dyDescent="0.25">
      <c r="BO2058">
        <v>0</v>
      </c>
      <c r="BP2058">
        <v>0</v>
      </c>
      <c r="BQ2058">
        <v>0</v>
      </c>
      <c r="BR2058">
        <v>0</v>
      </c>
      <c r="BS2058">
        <v>0</v>
      </c>
      <c r="BT2058">
        <v>0</v>
      </c>
      <c r="BU2058">
        <v>0</v>
      </c>
      <c r="BV2058">
        <v>0</v>
      </c>
    </row>
    <row r="2059" spans="67:74" x14ac:dyDescent="0.25">
      <c r="BO2059">
        <v>0</v>
      </c>
      <c r="BP2059">
        <v>0</v>
      </c>
      <c r="BQ2059">
        <v>0</v>
      </c>
      <c r="BR2059">
        <v>0</v>
      </c>
      <c r="BS2059">
        <v>0</v>
      </c>
      <c r="BT2059">
        <v>0</v>
      </c>
      <c r="BU2059">
        <v>0</v>
      </c>
      <c r="BV2059">
        <v>0</v>
      </c>
    </row>
    <row r="2060" spans="67:74" x14ac:dyDescent="0.25">
      <c r="BO2060">
        <v>0</v>
      </c>
      <c r="BP2060">
        <v>0</v>
      </c>
      <c r="BQ2060">
        <v>0</v>
      </c>
      <c r="BR2060">
        <v>0</v>
      </c>
      <c r="BS2060">
        <v>0</v>
      </c>
      <c r="BT2060">
        <v>0</v>
      </c>
      <c r="BU2060">
        <v>0</v>
      </c>
      <c r="BV2060">
        <v>0</v>
      </c>
    </row>
    <row r="2061" spans="67:74" x14ac:dyDescent="0.25">
      <c r="BO2061">
        <v>0</v>
      </c>
      <c r="BP2061">
        <v>0</v>
      </c>
      <c r="BQ2061">
        <v>0</v>
      </c>
      <c r="BR2061">
        <v>0</v>
      </c>
      <c r="BS2061">
        <v>0</v>
      </c>
      <c r="BT2061">
        <v>0</v>
      </c>
      <c r="BU2061">
        <v>0</v>
      </c>
      <c r="BV2061">
        <v>0</v>
      </c>
    </row>
    <row r="2062" spans="67:74" x14ac:dyDescent="0.25">
      <c r="BO2062">
        <v>0</v>
      </c>
      <c r="BP2062">
        <v>0</v>
      </c>
      <c r="BQ2062">
        <v>0</v>
      </c>
      <c r="BR2062">
        <v>0</v>
      </c>
      <c r="BS2062">
        <v>0</v>
      </c>
      <c r="BT2062">
        <v>0</v>
      </c>
      <c r="BU2062">
        <v>0</v>
      </c>
      <c r="BV2062">
        <v>0</v>
      </c>
    </row>
    <row r="2063" spans="67:74" x14ac:dyDescent="0.25">
      <c r="BO2063">
        <v>0</v>
      </c>
      <c r="BP2063">
        <v>0</v>
      </c>
      <c r="BQ2063">
        <v>0</v>
      </c>
      <c r="BR2063">
        <v>0</v>
      </c>
      <c r="BS2063">
        <v>0</v>
      </c>
      <c r="BT2063">
        <v>0</v>
      </c>
      <c r="BU2063">
        <v>0</v>
      </c>
      <c r="BV2063">
        <v>0</v>
      </c>
    </row>
    <row r="2064" spans="67:74" x14ac:dyDescent="0.25">
      <c r="BO2064">
        <v>0</v>
      </c>
      <c r="BP2064">
        <v>0</v>
      </c>
      <c r="BQ2064">
        <v>0</v>
      </c>
      <c r="BR2064">
        <v>0</v>
      </c>
      <c r="BS2064">
        <v>0</v>
      </c>
      <c r="BT2064">
        <v>0</v>
      </c>
      <c r="BU2064">
        <v>0</v>
      </c>
      <c r="BV2064">
        <v>0</v>
      </c>
    </row>
    <row r="2065" spans="67:74" x14ac:dyDescent="0.25">
      <c r="BO2065">
        <v>0</v>
      </c>
      <c r="BP2065">
        <v>0</v>
      </c>
      <c r="BQ2065">
        <v>0</v>
      </c>
      <c r="BR2065">
        <v>0</v>
      </c>
      <c r="BS2065">
        <v>0</v>
      </c>
      <c r="BT2065">
        <v>0</v>
      </c>
      <c r="BU2065">
        <v>0</v>
      </c>
      <c r="BV2065">
        <v>0</v>
      </c>
    </row>
    <row r="2066" spans="67:74" x14ac:dyDescent="0.25">
      <c r="BO2066">
        <v>0</v>
      </c>
      <c r="BP2066">
        <v>0</v>
      </c>
      <c r="BQ2066">
        <v>0</v>
      </c>
      <c r="BR2066">
        <v>0</v>
      </c>
      <c r="BS2066">
        <v>0</v>
      </c>
      <c r="BT2066">
        <v>0</v>
      </c>
      <c r="BU2066">
        <v>0</v>
      </c>
      <c r="BV2066">
        <v>0</v>
      </c>
    </row>
    <row r="2067" spans="67:74" x14ac:dyDescent="0.25">
      <c r="BO2067">
        <v>0</v>
      </c>
      <c r="BP2067">
        <v>0</v>
      </c>
      <c r="BQ2067">
        <v>0</v>
      </c>
      <c r="BR2067">
        <v>0</v>
      </c>
      <c r="BS2067">
        <v>0</v>
      </c>
      <c r="BT2067">
        <v>0</v>
      </c>
      <c r="BU2067">
        <v>0</v>
      </c>
      <c r="BV2067">
        <v>0</v>
      </c>
    </row>
    <row r="2068" spans="67:74" x14ac:dyDescent="0.25">
      <c r="BO2068">
        <v>0</v>
      </c>
      <c r="BP2068">
        <v>0</v>
      </c>
      <c r="BQ2068">
        <v>0</v>
      </c>
      <c r="BR2068">
        <v>0</v>
      </c>
      <c r="BS2068">
        <v>0</v>
      </c>
      <c r="BT2068">
        <v>0</v>
      </c>
      <c r="BU2068">
        <v>0</v>
      </c>
      <c r="BV2068">
        <v>0</v>
      </c>
    </row>
    <row r="2069" spans="67:74" x14ac:dyDescent="0.25">
      <c r="BO2069">
        <v>0</v>
      </c>
      <c r="BP2069">
        <v>0</v>
      </c>
      <c r="BQ2069">
        <v>0</v>
      </c>
      <c r="BR2069">
        <v>0</v>
      </c>
      <c r="BS2069">
        <v>0</v>
      </c>
      <c r="BT2069">
        <v>0</v>
      </c>
      <c r="BU2069">
        <v>0</v>
      </c>
      <c r="BV2069">
        <v>0</v>
      </c>
    </row>
    <row r="2070" spans="67:74" x14ac:dyDescent="0.25">
      <c r="BO2070">
        <v>0</v>
      </c>
      <c r="BP2070">
        <v>0</v>
      </c>
      <c r="BQ2070">
        <v>0</v>
      </c>
      <c r="BR2070">
        <v>0</v>
      </c>
      <c r="BS2070">
        <v>0</v>
      </c>
      <c r="BT2070">
        <v>0</v>
      </c>
      <c r="BU2070">
        <v>0</v>
      </c>
      <c r="BV2070">
        <v>0</v>
      </c>
    </row>
    <row r="2071" spans="67:74" x14ac:dyDescent="0.25">
      <c r="BO2071">
        <v>0</v>
      </c>
      <c r="BP2071">
        <v>0</v>
      </c>
      <c r="BQ2071">
        <v>0</v>
      </c>
      <c r="BR2071">
        <v>0</v>
      </c>
      <c r="BS2071">
        <v>0</v>
      </c>
      <c r="BT2071">
        <v>0</v>
      </c>
      <c r="BU2071">
        <v>0</v>
      </c>
      <c r="BV2071">
        <v>0</v>
      </c>
    </row>
    <row r="2072" spans="67:74" x14ac:dyDescent="0.25">
      <c r="BO2072">
        <v>0</v>
      </c>
      <c r="BP2072">
        <v>0</v>
      </c>
      <c r="BQ2072">
        <v>0</v>
      </c>
      <c r="BR2072">
        <v>0</v>
      </c>
      <c r="BS2072">
        <v>0</v>
      </c>
      <c r="BT2072">
        <v>0</v>
      </c>
      <c r="BU2072">
        <v>0</v>
      </c>
      <c r="BV2072">
        <v>0</v>
      </c>
    </row>
    <row r="2073" spans="67:74" x14ac:dyDescent="0.25">
      <c r="BO2073">
        <v>0</v>
      </c>
      <c r="BP2073">
        <v>0</v>
      </c>
      <c r="BQ2073">
        <v>0</v>
      </c>
      <c r="BR2073">
        <v>0</v>
      </c>
      <c r="BS2073">
        <v>0</v>
      </c>
      <c r="BT2073">
        <v>0</v>
      </c>
      <c r="BU2073">
        <v>0</v>
      </c>
      <c r="BV2073">
        <v>0</v>
      </c>
    </row>
    <row r="2074" spans="67:74" x14ac:dyDescent="0.25">
      <c r="BO2074">
        <v>0</v>
      </c>
      <c r="BP2074">
        <v>0</v>
      </c>
      <c r="BQ2074">
        <v>0</v>
      </c>
      <c r="BR2074">
        <v>0</v>
      </c>
      <c r="BS2074">
        <v>0</v>
      </c>
      <c r="BT2074">
        <v>0</v>
      </c>
      <c r="BU2074">
        <v>0</v>
      </c>
      <c r="BV2074">
        <v>0</v>
      </c>
    </row>
    <row r="2075" spans="67:74" x14ac:dyDescent="0.25">
      <c r="BO2075">
        <v>0</v>
      </c>
      <c r="BP2075">
        <v>0</v>
      </c>
      <c r="BQ2075">
        <v>0</v>
      </c>
      <c r="BR2075">
        <v>0</v>
      </c>
      <c r="BS2075">
        <v>0</v>
      </c>
      <c r="BT2075">
        <v>0</v>
      </c>
      <c r="BU2075">
        <v>0</v>
      </c>
      <c r="BV2075">
        <v>0</v>
      </c>
    </row>
    <row r="2076" spans="67:74" x14ac:dyDescent="0.25">
      <c r="BO2076">
        <v>0</v>
      </c>
      <c r="BP2076">
        <v>0</v>
      </c>
      <c r="BQ2076">
        <v>0</v>
      </c>
      <c r="BR2076">
        <v>0</v>
      </c>
      <c r="BS2076">
        <v>0</v>
      </c>
      <c r="BT2076">
        <v>0</v>
      </c>
      <c r="BU2076">
        <v>0</v>
      </c>
      <c r="BV2076">
        <v>0</v>
      </c>
    </row>
    <row r="2077" spans="67:74" x14ac:dyDescent="0.25">
      <c r="BO2077">
        <v>0</v>
      </c>
      <c r="BP2077">
        <v>0</v>
      </c>
      <c r="BQ2077">
        <v>0</v>
      </c>
      <c r="BR2077">
        <v>0</v>
      </c>
      <c r="BS2077">
        <v>0</v>
      </c>
      <c r="BT2077">
        <v>0</v>
      </c>
      <c r="BU2077">
        <v>0</v>
      </c>
      <c r="BV2077">
        <v>0</v>
      </c>
    </row>
    <row r="2078" spans="67:74" x14ac:dyDescent="0.25">
      <c r="BO2078">
        <v>0</v>
      </c>
      <c r="BP2078">
        <v>0</v>
      </c>
      <c r="BQ2078">
        <v>0</v>
      </c>
      <c r="BR2078">
        <v>0</v>
      </c>
      <c r="BS2078">
        <v>0</v>
      </c>
      <c r="BT2078">
        <v>0</v>
      </c>
      <c r="BU2078">
        <v>0</v>
      </c>
      <c r="BV2078">
        <v>0</v>
      </c>
    </row>
    <row r="2079" spans="67:74" x14ac:dyDescent="0.25">
      <c r="BO2079">
        <v>0</v>
      </c>
      <c r="BP2079">
        <v>0</v>
      </c>
      <c r="BQ2079">
        <v>0</v>
      </c>
      <c r="BR2079">
        <v>0</v>
      </c>
      <c r="BS2079">
        <v>0</v>
      </c>
      <c r="BT2079">
        <v>0</v>
      </c>
      <c r="BU2079">
        <v>0</v>
      </c>
      <c r="BV2079">
        <v>0</v>
      </c>
    </row>
    <row r="2080" spans="67:74" x14ac:dyDescent="0.25">
      <c r="BO2080">
        <v>0</v>
      </c>
      <c r="BP2080">
        <v>0</v>
      </c>
      <c r="BQ2080">
        <v>0</v>
      </c>
      <c r="BR2080">
        <v>0</v>
      </c>
      <c r="BS2080">
        <v>0</v>
      </c>
      <c r="BT2080">
        <v>0</v>
      </c>
      <c r="BU2080">
        <v>0</v>
      </c>
      <c r="BV2080">
        <v>0</v>
      </c>
    </row>
    <row r="2081" spans="67:74" x14ac:dyDescent="0.25">
      <c r="BO2081">
        <v>0</v>
      </c>
      <c r="BP2081">
        <v>0</v>
      </c>
      <c r="BQ2081">
        <v>0</v>
      </c>
      <c r="BR2081">
        <v>0</v>
      </c>
      <c r="BS2081">
        <v>0</v>
      </c>
      <c r="BT2081">
        <v>0</v>
      </c>
      <c r="BU2081">
        <v>0</v>
      </c>
      <c r="BV2081">
        <v>0</v>
      </c>
    </row>
    <row r="2082" spans="67:74" x14ac:dyDescent="0.25">
      <c r="BO2082">
        <v>0</v>
      </c>
      <c r="BP2082">
        <v>0</v>
      </c>
      <c r="BQ2082">
        <v>0</v>
      </c>
      <c r="BR2082">
        <v>0</v>
      </c>
      <c r="BS2082">
        <v>0</v>
      </c>
      <c r="BT2082">
        <v>0</v>
      </c>
      <c r="BU2082">
        <v>0</v>
      </c>
      <c r="BV2082">
        <v>0</v>
      </c>
    </row>
    <row r="2083" spans="67:74" x14ac:dyDescent="0.25">
      <c r="BO2083">
        <v>0</v>
      </c>
      <c r="BP2083">
        <v>0</v>
      </c>
      <c r="BQ2083">
        <v>0</v>
      </c>
      <c r="BR2083">
        <v>0</v>
      </c>
      <c r="BS2083">
        <v>0</v>
      </c>
      <c r="BT2083">
        <v>0</v>
      </c>
      <c r="BU2083">
        <v>0</v>
      </c>
      <c r="BV2083">
        <v>0</v>
      </c>
    </row>
    <row r="2084" spans="67:74" x14ac:dyDescent="0.25">
      <c r="BO2084">
        <v>0</v>
      </c>
      <c r="BP2084">
        <v>0</v>
      </c>
      <c r="BQ2084">
        <v>0</v>
      </c>
      <c r="BR2084">
        <v>0</v>
      </c>
      <c r="BS2084">
        <v>0</v>
      </c>
      <c r="BT2084">
        <v>0</v>
      </c>
      <c r="BU2084">
        <v>0</v>
      </c>
      <c r="BV2084">
        <v>0</v>
      </c>
    </row>
    <row r="2085" spans="67:74" x14ac:dyDescent="0.25">
      <c r="BO2085">
        <v>0</v>
      </c>
      <c r="BP2085">
        <v>0</v>
      </c>
      <c r="BQ2085">
        <v>0</v>
      </c>
      <c r="BR2085">
        <v>0</v>
      </c>
      <c r="BS2085">
        <v>0</v>
      </c>
      <c r="BT2085">
        <v>0</v>
      </c>
      <c r="BU2085">
        <v>0</v>
      </c>
      <c r="BV2085">
        <v>0</v>
      </c>
    </row>
    <row r="2086" spans="67:74" x14ac:dyDescent="0.25">
      <c r="BO2086">
        <v>0</v>
      </c>
      <c r="BP2086">
        <v>0</v>
      </c>
      <c r="BQ2086">
        <v>0</v>
      </c>
      <c r="BR2086">
        <v>0</v>
      </c>
      <c r="BS2086">
        <v>0</v>
      </c>
      <c r="BT2086">
        <v>0</v>
      </c>
      <c r="BU2086">
        <v>0</v>
      </c>
      <c r="BV2086">
        <v>0</v>
      </c>
    </row>
    <row r="2087" spans="67:74" x14ac:dyDescent="0.25">
      <c r="BO2087">
        <v>0</v>
      </c>
      <c r="BP2087">
        <v>0</v>
      </c>
      <c r="BQ2087">
        <v>0</v>
      </c>
      <c r="BR2087">
        <v>0</v>
      </c>
      <c r="BS2087">
        <v>0</v>
      </c>
      <c r="BT2087">
        <v>0</v>
      </c>
      <c r="BU2087">
        <v>0</v>
      </c>
      <c r="BV2087">
        <v>0</v>
      </c>
    </row>
    <row r="2088" spans="67:74" x14ac:dyDescent="0.25">
      <c r="BO2088">
        <v>0</v>
      </c>
      <c r="BP2088">
        <v>0</v>
      </c>
      <c r="BQ2088">
        <v>0</v>
      </c>
      <c r="BR2088">
        <v>0</v>
      </c>
      <c r="BS2088">
        <v>0</v>
      </c>
      <c r="BT2088">
        <v>0</v>
      </c>
      <c r="BU2088">
        <v>0</v>
      </c>
      <c r="BV2088">
        <v>0</v>
      </c>
    </row>
    <row r="2089" spans="67:74" x14ac:dyDescent="0.25">
      <c r="BO2089">
        <v>0</v>
      </c>
      <c r="BP2089">
        <v>0</v>
      </c>
      <c r="BQ2089">
        <v>0</v>
      </c>
      <c r="BR2089">
        <v>0</v>
      </c>
      <c r="BS2089">
        <v>0</v>
      </c>
      <c r="BT2089">
        <v>0</v>
      </c>
      <c r="BU2089">
        <v>0</v>
      </c>
      <c r="BV2089">
        <v>0</v>
      </c>
    </row>
    <row r="2090" spans="67:74" x14ac:dyDescent="0.25">
      <c r="BO2090">
        <v>0</v>
      </c>
      <c r="BP2090">
        <v>0</v>
      </c>
      <c r="BQ2090">
        <v>0</v>
      </c>
      <c r="BR2090">
        <v>0</v>
      </c>
      <c r="BS2090">
        <v>0</v>
      </c>
      <c r="BT2090">
        <v>0</v>
      </c>
      <c r="BU2090">
        <v>0</v>
      </c>
      <c r="BV2090">
        <v>0</v>
      </c>
    </row>
    <row r="2091" spans="67:74" x14ac:dyDescent="0.25">
      <c r="BO2091">
        <v>0</v>
      </c>
      <c r="BP2091">
        <v>0</v>
      </c>
      <c r="BQ2091">
        <v>0</v>
      </c>
      <c r="BR2091">
        <v>0</v>
      </c>
      <c r="BS2091">
        <v>0</v>
      </c>
      <c r="BT2091">
        <v>0</v>
      </c>
      <c r="BU2091">
        <v>0</v>
      </c>
      <c r="BV2091">
        <v>0</v>
      </c>
    </row>
    <row r="2092" spans="67:74" x14ac:dyDescent="0.25">
      <c r="BO2092">
        <v>0</v>
      </c>
      <c r="BP2092">
        <v>0</v>
      </c>
      <c r="BQ2092">
        <v>0</v>
      </c>
      <c r="BR2092">
        <v>0</v>
      </c>
      <c r="BS2092">
        <v>0</v>
      </c>
      <c r="BT2092">
        <v>0</v>
      </c>
      <c r="BU2092">
        <v>0</v>
      </c>
      <c r="BV2092">
        <v>0</v>
      </c>
    </row>
    <row r="2093" spans="67:74" x14ac:dyDescent="0.25">
      <c r="BO2093">
        <v>0</v>
      </c>
      <c r="BP2093">
        <v>0</v>
      </c>
      <c r="BQ2093">
        <v>0</v>
      </c>
      <c r="BR2093">
        <v>0</v>
      </c>
      <c r="BS2093">
        <v>0</v>
      </c>
      <c r="BT2093">
        <v>0</v>
      </c>
      <c r="BU2093">
        <v>0</v>
      </c>
      <c r="BV2093">
        <v>0</v>
      </c>
    </row>
    <row r="2094" spans="67:74" x14ac:dyDescent="0.25">
      <c r="BO2094">
        <v>0</v>
      </c>
      <c r="BP2094">
        <v>0</v>
      </c>
      <c r="BQ2094">
        <v>0</v>
      </c>
      <c r="BR2094">
        <v>0</v>
      </c>
      <c r="BS2094">
        <v>0</v>
      </c>
      <c r="BT2094">
        <v>0</v>
      </c>
      <c r="BU2094">
        <v>0</v>
      </c>
      <c r="BV2094">
        <v>0</v>
      </c>
    </row>
    <row r="2095" spans="67:74" x14ac:dyDescent="0.25">
      <c r="BO2095">
        <v>0</v>
      </c>
      <c r="BP2095">
        <v>0</v>
      </c>
      <c r="BQ2095">
        <v>0</v>
      </c>
      <c r="BR2095">
        <v>0</v>
      </c>
      <c r="BS2095">
        <v>0</v>
      </c>
      <c r="BT2095">
        <v>0</v>
      </c>
      <c r="BU2095">
        <v>0</v>
      </c>
      <c r="BV2095">
        <v>0</v>
      </c>
    </row>
    <row r="2096" spans="67:74" x14ac:dyDescent="0.25">
      <c r="BO2096">
        <v>0</v>
      </c>
      <c r="BP2096">
        <v>0</v>
      </c>
      <c r="BQ2096">
        <v>0</v>
      </c>
      <c r="BR2096">
        <v>0</v>
      </c>
      <c r="BS2096">
        <v>0</v>
      </c>
      <c r="BT2096">
        <v>0</v>
      </c>
      <c r="BU2096">
        <v>0</v>
      </c>
      <c r="BV2096">
        <v>0</v>
      </c>
    </row>
    <row r="2097" spans="67:74" x14ac:dyDescent="0.25">
      <c r="BO2097">
        <v>0</v>
      </c>
      <c r="BP2097">
        <v>0</v>
      </c>
      <c r="BQ2097">
        <v>0</v>
      </c>
      <c r="BR2097">
        <v>0</v>
      </c>
      <c r="BS2097">
        <v>0</v>
      </c>
      <c r="BT2097">
        <v>0</v>
      </c>
      <c r="BU2097">
        <v>0</v>
      </c>
      <c r="BV2097">
        <v>0</v>
      </c>
    </row>
    <row r="2098" spans="67:74" x14ac:dyDescent="0.25">
      <c r="BO2098">
        <v>0</v>
      </c>
      <c r="BP2098">
        <v>0</v>
      </c>
      <c r="BQ2098">
        <v>0</v>
      </c>
      <c r="BR2098">
        <v>0</v>
      </c>
      <c r="BS2098">
        <v>0</v>
      </c>
      <c r="BT2098">
        <v>0</v>
      </c>
      <c r="BU2098">
        <v>0</v>
      </c>
      <c r="BV2098">
        <v>0</v>
      </c>
    </row>
    <row r="2099" spans="67:74" x14ac:dyDescent="0.25">
      <c r="BO2099">
        <v>0</v>
      </c>
      <c r="BP2099">
        <v>0</v>
      </c>
      <c r="BQ2099">
        <v>0</v>
      </c>
      <c r="BR2099">
        <v>0</v>
      </c>
      <c r="BS2099">
        <v>0</v>
      </c>
      <c r="BT2099">
        <v>0</v>
      </c>
      <c r="BU2099">
        <v>0</v>
      </c>
      <c r="BV2099">
        <v>0</v>
      </c>
    </row>
    <row r="2100" spans="67:74" x14ac:dyDescent="0.25">
      <c r="BO2100">
        <v>0</v>
      </c>
      <c r="BP2100">
        <v>0</v>
      </c>
      <c r="BQ2100">
        <v>0</v>
      </c>
      <c r="BR2100">
        <v>0</v>
      </c>
      <c r="BS2100">
        <v>0</v>
      </c>
      <c r="BT2100">
        <v>0</v>
      </c>
      <c r="BU2100">
        <v>0</v>
      </c>
      <c r="BV2100">
        <v>0</v>
      </c>
    </row>
    <row r="2101" spans="67:74" x14ac:dyDescent="0.25">
      <c r="BO2101">
        <v>0</v>
      </c>
      <c r="BP2101">
        <v>0</v>
      </c>
      <c r="BQ2101">
        <v>0</v>
      </c>
      <c r="BR2101">
        <v>0</v>
      </c>
      <c r="BS2101">
        <v>0</v>
      </c>
      <c r="BT2101">
        <v>0</v>
      </c>
      <c r="BU2101">
        <v>0</v>
      </c>
      <c r="BV2101">
        <v>0</v>
      </c>
    </row>
    <row r="2102" spans="67:74" x14ac:dyDescent="0.25">
      <c r="BO2102">
        <v>0</v>
      </c>
      <c r="BP2102">
        <v>0</v>
      </c>
      <c r="BQ2102">
        <v>0</v>
      </c>
      <c r="BR2102">
        <v>0</v>
      </c>
      <c r="BS2102">
        <v>0</v>
      </c>
      <c r="BT2102">
        <v>0</v>
      </c>
      <c r="BU2102">
        <v>0</v>
      </c>
      <c r="BV2102">
        <v>0</v>
      </c>
    </row>
    <row r="2103" spans="67:74" x14ac:dyDescent="0.25">
      <c r="BO2103">
        <v>0</v>
      </c>
      <c r="BP2103">
        <v>0</v>
      </c>
      <c r="BQ2103">
        <v>0</v>
      </c>
      <c r="BR2103">
        <v>0</v>
      </c>
      <c r="BS2103">
        <v>0</v>
      </c>
      <c r="BT2103">
        <v>0</v>
      </c>
      <c r="BU2103">
        <v>0</v>
      </c>
      <c r="BV2103">
        <v>0</v>
      </c>
    </row>
    <row r="2104" spans="67:74" x14ac:dyDescent="0.25">
      <c r="BO2104">
        <v>0</v>
      </c>
      <c r="BP2104">
        <v>0</v>
      </c>
      <c r="BQ2104">
        <v>0</v>
      </c>
      <c r="BR2104">
        <v>0</v>
      </c>
      <c r="BS2104">
        <v>0</v>
      </c>
      <c r="BT2104">
        <v>0</v>
      </c>
      <c r="BU2104">
        <v>0</v>
      </c>
      <c r="BV2104">
        <v>0</v>
      </c>
    </row>
    <row r="2105" spans="67:74" x14ac:dyDescent="0.25">
      <c r="BO2105">
        <v>0</v>
      </c>
      <c r="BP2105">
        <v>0</v>
      </c>
      <c r="BQ2105">
        <v>0</v>
      </c>
      <c r="BR2105">
        <v>0</v>
      </c>
      <c r="BS2105">
        <v>0</v>
      </c>
      <c r="BT2105">
        <v>0</v>
      </c>
      <c r="BU2105">
        <v>0</v>
      </c>
      <c r="BV2105">
        <v>0</v>
      </c>
    </row>
    <row r="2106" spans="67:74" x14ac:dyDescent="0.25">
      <c r="BO2106">
        <v>0</v>
      </c>
      <c r="BP2106">
        <v>0</v>
      </c>
      <c r="BQ2106">
        <v>0</v>
      </c>
      <c r="BR2106">
        <v>0</v>
      </c>
      <c r="BS2106">
        <v>0</v>
      </c>
      <c r="BT2106">
        <v>0</v>
      </c>
      <c r="BU2106">
        <v>0</v>
      </c>
      <c r="BV2106">
        <v>0</v>
      </c>
    </row>
    <row r="2107" spans="67:74" x14ac:dyDescent="0.25">
      <c r="BO2107">
        <v>0</v>
      </c>
      <c r="BP2107">
        <v>0</v>
      </c>
      <c r="BQ2107">
        <v>0</v>
      </c>
      <c r="BR2107">
        <v>0</v>
      </c>
      <c r="BS2107">
        <v>0</v>
      </c>
      <c r="BT2107">
        <v>0</v>
      </c>
      <c r="BU2107">
        <v>0</v>
      </c>
      <c r="BV2107">
        <v>0</v>
      </c>
    </row>
    <row r="2108" spans="67:74" x14ac:dyDescent="0.25">
      <c r="BO2108">
        <v>0</v>
      </c>
      <c r="BP2108">
        <v>0</v>
      </c>
      <c r="BQ2108">
        <v>0</v>
      </c>
      <c r="BR2108">
        <v>0</v>
      </c>
      <c r="BS2108">
        <v>0</v>
      </c>
      <c r="BT2108">
        <v>0</v>
      </c>
      <c r="BU2108">
        <v>0</v>
      </c>
      <c r="BV2108">
        <v>0</v>
      </c>
    </row>
    <row r="2109" spans="67:74" x14ac:dyDescent="0.25">
      <c r="BO2109">
        <v>0</v>
      </c>
      <c r="BP2109">
        <v>0</v>
      </c>
      <c r="BQ2109">
        <v>0</v>
      </c>
      <c r="BR2109">
        <v>0</v>
      </c>
      <c r="BS2109">
        <v>0</v>
      </c>
      <c r="BT2109">
        <v>0</v>
      </c>
      <c r="BU2109">
        <v>0</v>
      </c>
      <c r="BV2109">
        <v>0</v>
      </c>
    </row>
    <row r="2110" spans="67:74" x14ac:dyDescent="0.25">
      <c r="BO2110">
        <v>0</v>
      </c>
      <c r="BP2110">
        <v>0</v>
      </c>
      <c r="BQ2110">
        <v>0</v>
      </c>
      <c r="BR2110">
        <v>0</v>
      </c>
      <c r="BS2110">
        <v>0</v>
      </c>
      <c r="BT2110">
        <v>0</v>
      </c>
      <c r="BU2110">
        <v>0</v>
      </c>
      <c r="BV2110">
        <v>0</v>
      </c>
    </row>
    <row r="2111" spans="67:74" x14ac:dyDescent="0.25">
      <c r="BO2111">
        <v>0</v>
      </c>
      <c r="BP2111">
        <v>0</v>
      </c>
      <c r="BQ2111">
        <v>0</v>
      </c>
      <c r="BR2111">
        <v>0</v>
      </c>
      <c r="BS2111">
        <v>0</v>
      </c>
      <c r="BT2111">
        <v>0</v>
      </c>
      <c r="BU2111">
        <v>0</v>
      </c>
      <c r="BV2111">
        <v>0</v>
      </c>
    </row>
    <row r="2112" spans="67:74" x14ac:dyDescent="0.25">
      <c r="BO2112">
        <v>0</v>
      </c>
      <c r="BP2112">
        <v>0</v>
      </c>
      <c r="BQ2112">
        <v>0</v>
      </c>
      <c r="BR2112">
        <v>0</v>
      </c>
      <c r="BS2112">
        <v>0</v>
      </c>
      <c r="BT2112">
        <v>0</v>
      </c>
      <c r="BU2112">
        <v>0</v>
      </c>
      <c r="BV2112">
        <v>0</v>
      </c>
    </row>
    <row r="2113" spans="67:74" x14ac:dyDescent="0.25">
      <c r="BO2113">
        <v>0</v>
      </c>
      <c r="BP2113">
        <v>0</v>
      </c>
      <c r="BQ2113">
        <v>0</v>
      </c>
      <c r="BR2113">
        <v>0</v>
      </c>
      <c r="BS2113">
        <v>0</v>
      </c>
      <c r="BT2113">
        <v>0</v>
      </c>
      <c r="BU2113">
        <v>0</v>
      </c>
      <c r="BV2113">
        <v>0</v>
      </c>
    </row>
    <row r="2114" spans="67:74" x14ac:dyDescent="0.25">
      <c r="BO2114">
        <v>0</v>
      </c>
      <c r="BP2114">
        <v>0</v>
      </c>
      <c r="BQ2114">
        <v>0</v>
      </c>
      <c r="BR2114">
        <v>0</v>
      </c>
      <c r="BS2114">
        <v>0</v>
      </c>
      <c r="BT2114">
        <v>0</v>
      </c>
      <c r="BU2114">
        <v>0</v>
      </c>
      <c r="BV2114">
        <v>0</v>
      </c>
    </row>
    <row r="2115" spans="67:74" x14ac:dyDescent="0.25">
      <c r="BO2115">
        <v>0</v>
      </c>
      <c r="BP2115">
        <v>0</v>
      </c>
      <c r="BQ2115">
        <v>0</v>
      </c>
      <c r="BR2115">
        <v>0</v>
      </c>
      <c r="BS2115">
        <v>0</v>
      </c>
      <c r="BT2115">
        <v>0</v>
      </c>
      <c r="BU2115">
        <v>0</v>
      </c>
      <c r="BV2115">
        <v>0</v>
      </c>
    </row>
    <row r="2116" spans="67:74" x14ac:dyDescent="0.25">
      <c r="BO2116">
        <v>0</v>
      </c>
      <c r="BP2116">
        <v>0</v>
      </c>
      <c r="BQ2116">
        <v>0</v>
      </c>
      <c r="BR2116">
        <v>0</v>
      </c>
      <c r="BS2116">
        <v>0</v>
      </c>
      <c r="BT2116">
        <v>0</v>
      </c>
      <c r="BU2116">
        <v>0</v>
      </c>
      <c r="BV2116">
        <v>0</v>
      </c>
    </row>
    <row r="2117" spans="67:74" x14ac:dyDescent="0.25">
      <c r="BO2117">
        <v>0</v>
      </c>
      <c r="BP2117">
        <v>0</v>
      </c>
      <c r="BQ2117">
        <v>0</v>
      </c>
      <c r="BR2117">
        <v>0</v>
      </c>
      <c r="BS2117">
        <v>0</v>
      </c>
      <c r="BT2117">
        <v>0</v>
      </c>
      <c r="BU2117">
        <v>0</v>
      </c>
      <c r="BV2117">
        <v>0</v>
      </c>
    </row>
    <row r="2118" spans="67:74" x14ac:dyDescent="0.25">
      <c r="BO2118">
        <v>0</v>
      </c>
      <c r="BP2118">
        <v>0</v>
      </c>
      <c r="BQ2118">
        <v>0</v>
      </c>
      <c r="BR2118">
        <v>0</v>
      </c>
      <c r="BS2118">
        <v>0</v>
      </c>
      <c r="BT2118">
        <v>0</v>
      </c>
      <c r="BU2118">
        <v>0</v>
      </c>
      <c r="BV2118">
        <v>0</v>
      </c>
    </row>
    <row r="2119" spans="67:74" x14ac:dyDescent="0.25">
      <c r="BO2119">
        <v>0</v>
      </c>
      <c r="BP2119">
        <v>0</v>
      </c>
      <c r="BQ2119">
        <v>0</v>
      </c>
      <c r="BR2119">
        <v>0</v>
      </c>
      <c r="BS2119">
        <v>0</v>
      </c>
      <c r="BT2119">
        <v>0</v>
      </c>
      <c r="BU2119">
        <v>0</v>
      </c>
      <c r="BV2119">
        <v>0</v>
      </c>
    </row>
    <row r="2120" spans="67:74" x14ac:dyDescent="0.25">
      <c r="BO2120">
        <v>0</v>
      </c>
      <c r="BP2120">
        <v>0</v>
      </c>
      <c r="BQ2120">
        <v>0</v>
      </c>
      <c r="BR2120">
        <v>0</v>
      </c>
      <c r="BS2120">
        <v>0</v>
      </c>
      <c r="BT2120">
        <v>0</v>
      </c>
      <c r="BU2120">
        <v>0</v>
      </c>
      <c r="BV2120">
        <v>0</v>
      </c>
    </row>
    <row r="2121" spans="67:74" x14ac:dyDescent="0.25">
      <c r="BO2121">
        <v>0</v>
      </c>
      <c r="BP2121">
        <v>0</v>
      </c>
      <c r="BQ2121">
        <v>0</v>
      </c>
      <c r="BR2121">
        <v>0</v>
      </c>
      <c r="BS2121">
        <v>0</v>
      </c>
      <c r="BT2121">
        <v>0</v>
      </c>
      <c r="BU2121">
        <v>0</v>
      </c>
      <c r="BV2121">
        <v>0</v>
      </c>
    </row>
    <row r="2122" spans="67:74" x14ac:dyDescent="0.25">
      <c r="BO2122">
        <v>0</v>
      </c>
      <c r="BP2122">
        <v>0</v>
      </c>
      <c r="BQ2122">
        <v>0</v>
      </c>
      <c r="BR2122">
        <v>0</v>
      </c>
      <c r="BS2122">
        <v>0</v>
      </c>
      <c r="BT2122">
        <v>0</v>
      </c>
      <c r="BU2122">
        <v>0</v>
      </c>
      <c r="BV2122">
        <v>0</v>
      </c>
    </row>
    <row r="2123" spans="67:74" x14ac:dyDescent="0.25">
      <c r="BO2123">
        <v>0</v>
      </c>
      <c r="BP2123">
        <v>0</v>
      </c>
      <c r="BQ2123">
        <v>0</v>
      </c>
      <c r="BR2123">
        <v>0</v>
      </c>
      <c r="BS2123">
        <v>0</v>
      </c>
      <c r="BT2123">
        <v>0</v>
      </c>
      <c r="BU2123">
        <v>0</v>
      </c>
      <c r="BV2123">
        <v>0</v>
      </c>
    </row>
    <row r="2124" spans="67:74" x14ac:dyDescent="0.25">
      <c r="BO2124">
        <v>0</v>
      </c>
      <c r="BP2124">
        <v>0</v>
      </c>
      <c r="BQ2124">
        <v>0</v>
      </c>
      <c r="BR2124">
        <v>0</v>
      </c>
      <c r="BS2124">
        <v>0</v>
      </c>
      <c r="BT2124">
        <v>0</v>
      </c>
      <c r="BU2124">
        <v>0</v>
      </c>
      <c r="BV2124">
        <v>0</v>
      </c>
    </row>
    <row r="2125" spans="67:74" x14ac:dyDescent="0.25">
      <c r="BO2125">
        <v>0</v>
      </c>
      <c r="BP2125">
        <v>0</v>
      </c>
      <c r="BQ2125">
        <v>0</v>
      </c>
      <c r="BR2125">
        <v>0</v>
      </c>
      <c r="BS2125">
        <v>0</v>
      </c>
      <c r="BT2125">
        <v>0</v>
      </c>
      <c r="BU2125">
        <v>0</v>
      </c>
      <c r="BV2125">
        <v>0</v>
      </c>
    </row>
    <row r="2126" spans="67:74" x14ac:dyDescent="0.25">
      <c r="BO2126">
        <v>0</v>
      </c>
      <c r="BP2126">
        <v>0</v>
      </c>
      <c r="BQ2126">
        <v>0</v>
      </c>
      <c r="BR2126">
        <v>0</v>
      </c>
      <c r="BS2126">
        <v>0</v>
      </c>
      <c r="BT2126">
        <v>0</v>
      </c>
      <c r="BU2126">
        <v>0</v>
      </c>
      <c r="BV2126">
        <v>0</v>
      </c>
    </row>
    <row r="2127" spans="67:74" x14ac:dyDescent="0.25">
      <c r="BO2127">
        <v>0</v>
      </c>
      <c r="BP2127">
        <v>0</v>
      </c>
      <c r="BQ2127">
        <v>0</v>
      </c>
      <c r="BR2127">
        <v>0</v>
      </c>
      <c r="BS2127">
        <v>0</v>
      </c>
      <c r="BT2127">
        <v>0</v>
      </c>
      <c r="BU2127">
        <v>0</v>
      </c>
      <c r="BV2127">
        <v>0</v>
      </c>
    </row>
    <row r="2128" spans="67:74" x14ac:dyDescent="0.25">
      <c r="BO2128">
        <v>0</v>
      </c>
      <c r="BP2128">
        <v>0</v>
      </c>
      <c r="BQ2128">
        <v>0</v>
      </c>
      <c r="BR2128">
        <v>0</v>
      </c>
      <c r="BS2128">
        <v>0</v>
      </c>
      <c r="BT2128">
        <v>0</v>
      </c>
      <c r="BU2128">
        <v>0</v>
      </c>
      <c r="BV2128">
        <v>0</v>
      </c>
    </row>
    <row r="2129" spans="67:74" x14ac:dyDescent="0.25">
      <c r="BO2129">
        <v>0</v>
      </c>
      <c r="BP2129">
        <v>0</v>
      </c>
      <c r="BQ2129">
        <v>0</v>
      </c>
      <c r="BR2129">
        <v>0</v>
      </c>
      <c r="BS2129">
        <v>0</v>
      </c>
      <c r="BT2129">
        <v>0</v>
      </c>
      <c r="BU2129">
        <v>0</v>
      </c>
      <c r="BV2129">
        <v>0</v>
      </c>
    </row>
    <row r="2130" spans="67:74" x14ac:dyDescent="0.25">
      <c r="BO2130">
        <v>0</v>
      </c>
      <c r="BP2130">
        <v>0</v>
      </c>
      <c r="BQ2130">
        <v>0</v>
      </c>
      <c r="BR2130">
        <v>0</v>
      </c>
      <c r="BS2130">
        <v>0</v>
      </c>
      <c r="BT2130">
        <v>0</v>
      </c>
      <c r="BU2130">
        <v>0</v>
      </c>
      <c r="BV2130">
        <v>0</v>
      </c>
    </row>
    <row r="2131" spans="67:74" x14ac:dyDescent="0.25">
      <c r="BO2131">
        <v>0</v>
      </c>
      <c r="BP2131">
        <v>0</v>
      </c>
      <c r="BQ2131">
        <v>0</v>
      </c>
      <c r="BR2131">
        <v>0</v>
      </c>
      <c r="BS2131">
        <v>0</v>
      </c>
      <c r="BT2131">
        <v>0</v>
      </c>
      <c r="BU2131">
        <v>0</v>
      </c>
      <c r="BV2131">
        <v>0</v>
      </c>
    </row>
    <row r="2132" spans="67:74" x14ac:dyDescent="0.25">
      <c r="BO2132">
        <v>0</v>
      </c>
      <c r="BP2132">
        <v>0</v>
      </c>
      <c r="BQ2132">
        <v>0</v>
      </c>
      <c r="BR2132">
        <v>0</v>
      </c>
      <c r="BS2132">
        <v>0</v>
      </c>
      <c r="BT2132">
        <v>0</v>
      </c>
      <c r="BU2132">
        <v>0</v>
      </c>
      <c r="BV2132">
        <v>0</v>
      </c>
    </row>
    <row r="2133" spans="67:74" x14ac:dyDescent="0.25">
      <c r="BO2133">
        <v>0</v>
      </c>
      <c r="BP2133">
        <v>0</v>
      </c>
      <c r="BQ2133">
        <v>0</v>
      </c>
      <c r="BR2133">
        <v>0</v>
      </c>
      <c r="BS2133">
        <v>0</v>
      </c>
      <c r="BT2133">
        <v>0</v>
      </c>
      <c r="BU2133">
        <v>0</v>
      </c>
      <c r="BV2133">
        <v>0</v>
      </c>
    </row>
    <row r="2134" spans="67:74" x14ac:dyDescent="0.25">
      <c r="BO2134">
        <v>0</v>
      </c>
      <c r="BP2134">
        <v>0</v>
      </c>
      <c r="BQ2134">
        <v>0</v>
      </c>
      <c r="BR2134">
        <v>0</v>
      </c>
      <c r="BS2134">
        <v>0</v>
      </c>
      <c r="BT2134">
        <v>0</v>
      </c>
      <c r="BU2134">
        <v>0</v>
      </c>
      <c r="BV2134">
        <v>0</v>
      </c>
    </row>
    <row r="2135" spans="67:74" x14ac:dyDescent="0.25">
      <c r="BO2135">
        <v>0</v>
      </c>
      <c r="BP2135">
        <v>0</v>
      </c>
      <c r="BQ2135">
        <v>0</v>
      </c>
      <c r="BR2135">
        <v>0</v>
      </c>
      <c r="BS2135">
        <v>0</v>
      </c>
      <c r="BT2135">
        <v>0</v>
      </c>
      <c r="BU2135">
        <v>0</v>
      </c>
      <c r="BV2135">
        <v>0</v>
      </c>
    </row>
    <row r="2136" spans="67:74" x14ac:dyDescent="0.25">
      <c r="BO2136">
        <v>0</v>
      </c>
      <c r="BP2136">
        <v>0</v>
      </c>
      <c r="BQ2136">
        <v>0</v>
      </c>
      <c r="BR2136">
        <v>0</v>
      </c>
      <c r="BS2136">
        <v>0</v>
      </c>
      <c r="BT2136">
        <v>0</v>
      </c>
      <c r="BU2136">
        <v>0</v>
      </c>
      <c r="BV2136">
        <v>0</v>
      </c>
    </row>
    <row r="2137" spans="67:74" x14ac:dyDescent="0.25">
      <c r="BO2137">
        <v>0</v>
      </c>
      <c r="BP2137">
        <v>0</v>
      </c>
      <c r="BQ2137">
        <v>0</v>
      </c>
      <c r="BR2137">
        <v>0</v>
      </c>
      <c r="BS2137">
        <v>0</v>
      </c>
      <c r="BT2137">
        <v>0</v>
      </c>
      <c r="BU2137">
        <v>0</v>
      </c>
      <c r="BV2137">
        <v>0</v>
      </c>
    </row>
    <row r="2138" spans="67:74" x14ac:dyDescent="0.25">
      <c r="BO2138">
        <v>0</v>
      </c>
      <c r="BP2138">
        <v>0</v>
      </c>
      <c r="BQ2138">
        <v>0</v>
      </c>
      <c r="BR2138">
        <v>0</v>
      </c>
      <c r="BS2138">
        <v>0</v>
      </c>
      <c r="BT2138">
        <v>0</v>
      </c>
      <c r="BU2138">
        <v>0</v>
      </c>
      <c r="BV2138">
        <v>0</v>
      </c>
    </row>
    <row r="2139" spans="67:74" x14ac:dyDescent="0.25">
      <c r="BO2139">
        <v>0</v>
      </c>
      <c r="BP2139">
        <v>0</v>
      </c>
      <c r="BQ2139">
        <v>0</v>
      </c>
      <c r="BR2139">
        <v>0</v>
      </c>
      <c r="BS2139">
        <v>0</v>
      </c>
      <c r="BT2139">
        <v>0</v>
      </c>
      <c r="BU2139">
        <v>0</v>
      </c>
      <c r="BV2139">
        <v>0</v>
      </c>
    </row>
    <row r="2140" spans="67:74" x14ac:dyDescent="0.25">
      <c r="BO2140">
        <v>0</v>
      </c>
      <c r="BP2140">
        <v>0</v>
      </c>
      <c r="BQ2140">
        <v>0</v>
      </c>
      <c r="BR2140">
        <v>0</v>
      </c>
      <c r="BS2140">
        <v>0</v>
      </c>
      <c r="BT2140">
        <v>0</v>
      </c>
      <c r="BU2140">
        <v>0</v>
      </c>
      <c r="BV2140">
        <v>0</v>
      </c>
    </row>
    <row r="2141" spans="67:74" x14ac:dyDescent="0.25">
      <c r="BO2141">
        <v>0</v>
      </c>
      <c r="BP2141">
        <v>0</v>
      </c>
      <c r="BQ2141">
        <v>0</v>
      </c>
      <c r="BR2141">
        <v>0</v>
      </c>
      <c r="BS2141">
        <v>0</v>
      </c>
      <c r="BT2141">
        <v>0</v>
      </c>
      <c r="BU2141">
        <v>0</v>
      </c>
      <c r="BV2141">
        <v>0</v>
      </c>
    </row>
    <row r="2142" spans="67:74" x14ac:dyDescent="0.25">
      <c r="BO2142">
        <v>0</v>
      </c>
      <c r="BP2142">
        <v>0</v>
      </c>
      <c r="BQ2142">
        <v>0</v>
      </c>
      <c r="BR2142">
        <v>0</v>
      </c>
      <c r="BS2142">
        <v>0</v>
      </c>
      <c r="BT2142">
        <v>0</v>
      </c>
      <c r="BU2142">
        <v>0</v>
      </c>
      <c r="BV2142">
        <v>0</v>
      </c>
    </row>
    <row r="2143" spans="67:74" x14ac:dyDescent="0.25">
      <c r="BO2143">
        <v>0</v>
      </c>
      <c r="BP2143">
        <v>0</v>
      </c>
      <c r="BQ2143">
        <v>0</v>
      </c>
      <c r="BR2143">
        <v>0</v>
      </c>
      <c r="BS2143">
        <v>0</v>
      </c>
      <c r="BT2143">
        <v>0</v>
      </c>
      <c r="BU2143">
        <v>0</v>
      </c>
      <c r="BV2143">
        <v>0</v>
      </c>
    </row>
    <row r="2144" spans="67:74" x14ac:dyDescent="0.25">
      <c r="BO2144">
        <v>0</v>
      </c>
      <c r="BP2144">
        <v>0</v>
      </c>
      <c r="BQ2144">
        <v>0</v>
      </c>
      <c r="BR2144">
        <v>0</v>
      </c>
      <c r="BS2144">
        <v>0</v>
      </c>
      <c r="BT2144">
        <v>0</v>
      </c>
      <c r="BU2144">
        <v>0</v>
      </c>
      <c r="BV2144">
        <v>0</v>
      </c>
    </row>
    <row r="2145" spans="67:74" x14ac:dyDescent="0.25">
      <c r="BO2145">
        <v>0</v>
      </c>
      <c r="BP2145">
        <v>0</v>
      </c>
      <c r="BQ2145">
        <v>0</v>
      </c>
      <c r="BR2145">
        <v>0</v>
      </c>
      <c r="BS2145">
        <v>0</v>
      </c>
      <c r="BT2145">
        <v>0</v>
      </c>
      <c r="BU2145">
        <v>0</v>
      </c>
      <c r="BV2145">
        <v>0</v>
      </c>
    </row>
    <row r="2146" spans="67:74" x14ac:dyDescent="0.25">
      <c r="BO2146">
        <v>0</v>
      </c>
      <c r="BP2146">
        <v>0</v>
      </c>
      <c r="BQ2146">
        <v>0</v>
      </c>
      <c r="BR2146">
        <v>0</v>
      </c>
      <c r="BS2146">
        <v>0</v>
      </c>
      <c r="BT2146">
        <v>0</v>
      </c>
      <c r="BU2146">
        <v>0</v>
      </c>
      <c r="BV2146">
        <v>0</v>
      </c>
    </row>
    <row r="2147" spans="67:74" x14ac:dyDescent="0.25">
      <c r="BO2147">
        <v>0</v>
      </c>
      <c r="BP2147">
        <v>0</v>
      </c>
      <c r="BQ2147">
        <v>0</v>
      </c>
      <c r="BR2147">
        <v>0</v>
      </c>
      <c r="BS2147">
        <v>0</v>
      </c>
      <c r="BT2147">
        <v>0</v>
      </c>
      <c r="BU2147">
        <v>0</v>
      </c>
      <c r="BV2147">
        <v>0</v>
      </c>
    </row>
    <row r="2148" spans="67:74" x14ac:dyDescent="0.25">
      <c r="BO2148">
        <v>0</v>
      </c>
      <c r="BP2148">
        <v>0</v>
      </c>
      <c r="BQ2148">
        <v>0</v>
      </c>
      <c r="BR2148">
        <v>0</v>
      </c>
      <c r="BS2148">
        <v>0</v>
      </c>
      <c r="BT2148">
        <v>0</v>
      </c>
      <c r="BU2148">
        <v>0</v>
      </c>
      <c r="BV2148">
        <v>0</v>
      </c>
    </row>
    <row r="2149" spans="67:74" x14ac:dyDescent="0.25">
      <c r="BO2149">
        <v>0</v>
      </c>
      <c r="BP2149">
        <v>0</v>
      </c>
      <c r="BQ2149">
        <v>0</v>
      </c>
      <c r="BR2149">
        <v>0</v>
      </c>
      <c r="BS2149">
        <v>0</v>
      </c>
      <c r="BT2149">
        <v>0</v>
      </c>
      <c r="BU2149">
        <v>0</v>
      </c>
      <c r="BV2149">
        <v>0</v>
      </c>
    </row>
    <row r="2150" spans="67:74" x14ac:dyDescent="0.25">
      <c r="BO2150">
        <v>0</v>
      </c>
      <c r="BP2150">
        <v>0</v>
      </c>
      <c r="BQ2150">
        <v>0</v>
      </c>
      <c r="BR2150">
        <v>0</v>
      </c>
      <c r="BS2150">
        <v>0</v>
      </c>
      <c r="BT2150">
        <v>0</v>
      </c>
      <c r="BU2150">
        <v>0</v>
      </c>
      <c r="BV2150">
        <v>0</v>
      </c>
    </row>
    <row r="2151" spans="67:74" x14ac:dyDescent="0.25">
      <c r="BO2151">
        <v>0</v>
      </c>
      <c r="BP2151">
        <v>0</v>
      </c>
      <c r="BQ2151">
        <v>0</v>
      </c>
      <c r="BR2151">
        <v>0</v>
      </c>
      <c r="BS2151">
        <v>0</v>
      </c>
      <c r="BT2151">
        <v>0</v>
      </c>
      <c r="BU2151">
        <v>0</v>
      </c>
      <c r="BV2151">
        <v>0</v>
      </c>
    </row>
    <row r="2152" spans="67:74" x14ac:dyDescent="0.25">
      <c r="BO2152">
        <v>0</v>
      </c>
      <c r="BP2152">
        <v>0</v>
      </c>
      <c r="BQ2152">
        <v>0</v>
      </c>
      <c r="BR2152">
        <v>0</v>
      </c>
      <c r="BS2152">
        <v>0</v>
      </c>
      <c r="BT2152">
        <v>0</v>
      </c>
      <c r="BU2152">
        <v>0</v>
      </c>
      <c r="BV2152">
        <v>0</v>
      </c>
    </row>
    <row r="2153" spans="67:74" x14ac:dyDescent="0.25">
      <c r="BO2153">
        <v>0</v>
      </c>
      <c r="BP2153">
        <v>0</v>
      </c>
      <c r="BQ2153">
        <v>0</v>
      </c>
      <c r="BR2153">
        <v>0</v>
      </c>
      <c r="BS2153">
        <v>0</v>
      </c>
      <c r="BT2153">
        <v>0</v>
      </c>
      <c r="BU2153">
        <v>0</v>
      </c>
      <c r="BV2153">
        <v>0</v>
      </c>
    </row>
    <row r="2154" spans="67:74" x14ac:dyDescent="0.25">
      <c r="BO2154">
        <v>0</v>
      </c>
      <c r="BP2154">
        <v>0</v>
      </c>
      <c r="BQ2154">
        <v>0</v>
      </c>
      <c r="BR2154">
        <v>0</v>
      </c>
      <c r="BS2154">
        <v>0</v>
      </c>
      <c r="BT2154">
        <v>0</v>
      </c>
      <c r="BU2154">
        <v>0</v>
      </c>
      <c r="BV2154">
        <v>0</v>
      </c>
    </row>
    <row r="2155" spans="67:74" x14ac:dyDescent="0.25">
      <c r="BO2155">
        <v>0</v>
      </c>
      <c r="BP2155">
        <v>0</v>
      </c>
      <c r="BQ2155">
        <v>0</v>
      </c>
      <c r="BR2155">
        <v>0</v>
      </c>
      <c r="BS2155">
        <v>0</v>
      </c>
      <c r="BT2155">
        <v>0</v>
      </c>
      <c r="BU2155">
        <v>0</v>
      </c>
      <c r="BV2155">
        <v>0</v>
      </c>
    </row>
    <row r="2156" spans="67:74" x14ac:dyDescent="0.25">
      <c r="BO2156">
        <v>0</v>
      </c>
      <c r="BP2156">
        <v>0</v>
      </c>
      <c r="BQ2156">
        <v>0</v>
      </c>
      <c r="BR2156">
        <v>0</v>
      </c>
      <c r="BS2156">
        <v>0</v>
      </c>
      <c r="BT2156">
        <v>0</v>
      </c>
      <c r="BU2156">
        <v>0</v>
      </c>
      <c r="BV2156">
        <v>0</v>
      </c>
    </row>
    <row r="2157" spans="67:74" x14ac:dyDescent="0.25">
      <c r="BO2157">
        <v>0</v>
      </c>
      <c r="BP2157">
        <v>0</v>
      </c>
      <c r="BQ2157">
        <v>0</v>
      </c>
      <c r="BR2157">
        <v>0</v>
      </c>
      <c r="BS2157">
        <v>0</v>
      </c>
      <c r="BT2157">
        <v>0</v>
      </c>
      <c r="BU2157">
        <v>0</v>
      </c>
      <c r="BV2157">
        <v>0</v>
      </c>
    </row>
    <row r="2158" spans="67:74" x14ac:dyDescent="0.25">
      <c r="BO2158">
        <v>0</v>
      </c>
      <c r="BP2158">
        <v>0</v>
      </c>
      <c r="BQ2158">
        <v>0</v>
      </c>
      <c r="BR2158">
        <v>0</v>
      </c>
      <c r="BS2158">
        <v>0</v>
      </c>
      <c r="BT2158">
        <v>0</v>
      </c>
      <c r="BU2158">
        <v>0</v>
      </c>
      <c r="BV2158">
        <v>0</v>
      </c>
    </row>
    <row r="2159" spans="67:74" x14ac:dyDescent="0.25">
      <c r="BO2159">
        <v>0</v>
      </c>
      <c r="BP2159">
        <v>0</v>
      </c>
      <c r="BQ2159">
        <v>0</v>
      </c>
      <c r="BR2159">
        <v>0</v>
      </c>
      <c r="BS2159">
        <v>0</v>
      </c>
      <c r="BT2159">
        <v>0</v>
      </c>
      <c r="BU2159">
        <v>0</v>
      </c>
      <c r="BV2159">
        <v>0</v>
      </c>
    </row>
    <row r="2160" spans="67:74" x14ac:dyDescent="0.25">
      <c r="BO2160">
        <v>0</v>
      </c>
      <c r="BP2160">
        <v>0</v>
      </c>
      <c r="BQ2160">
        <v>0</v>
      </c>
      <c r="BR2160">
        <v>0</v>
      </c>
      <c r="BS2160">
        <v>0</v>
      </c>
      <c r="BT2160">
        <v>0</v>
      </c>
      <c r="BU2160">
        <v>0</v>
      </c>
      <c r="BV2160">
        <v>0</v>
      </c>
    </row>
    <row r="2161" spans="51:74" x14ac:dyDescent="0.25">
      <c r="BO2161">
        <v>0</v>
      </c>
      <c r="BP2161">
        <v>0</v>
      </c>
      <c r="BQ2161">
        <v>0</v>
      </c>
      <c r="BR2161">
        <v>0</v>
      </c>
      <c r="BS2161">
        <v>0</v>
      </c>
      <c r="BT2161">
        <v>0</v>
      </c>
      <c r="BU2161">
        <v>0</v>
      </c>
      <c r="BV2161">
        <v>0</v>
      </c>
    </row>
    <row r="2162" spans="51:74" x14ac:dyDescent="0.25">
      <c r="BO2162">
        <v>0</v>
      </c>
      <c r="BP2162">
        <v>0</v>
      </c>
      <c r="BQ2162">
        <v>0</v>
      </c>
      <c r="BR2162">
        <v>0</v>
      </c>
      <c r="BS2162">
        <v>0</v>
      </c>
      <c r="BT2162">
        <v>0</v>
      </c>
      <c r="BU2162">
        <v>0</v>
      </c>
      <c r="BV2162">
        <v>0</v>
      </c>
    </row>
    <row r="2163" spans="51:74" x14ac:dyDescent="0.25">
      <c r="BO2163">
        <v>0</v>
      </c>
      <c r="BP2163">
        <v>0</v>
      </c>
      <c r="BQ2163">
        <v>0</v>
      </c>
      <c r="BR2163">
        <v>0</v>
      </c>
      <c r="BS2163">
        <v>0</v>
      </c>
      <c r="BT2163">
        <v>0</v>
      </c>
      <c r="BU2163">
        <v>0</v>
      </c>
      <c r="BV2163">
        <v>0</v>
      </c>
    </row>
    <row r="2164" spans="51:74" x14ac:dyDescent="0.25">
      <c r="BO2164">
        <v>0</v>
      </c>
      <c r="BP2164">
        <v>0</v>
      </c>
      <c r="BQ2164">
        <v>0</v>
      </c>
      <c r="BR2164">
        <v>0</v>
      </c>
      <c r="BS2164">
        <v>0</v>
      </c>
      <c r="BT2164">
        <v>0</v>
      </c>
      <c r="BU2164">
        <v>0</v>
      </c>
      <c r="BV2164">
        <v>0</v>
      </c>
    </row>
    <row r="2165" spans="51:74" x14ac:dyDescent="0.25">
      <c r="BO2165">
        <v>0</v>
      </c>
      <c r="BP2165">
        <v>0</v>
      </c>
      <c r="BQ2165">
        <v>0</v>
      </c>
      <c r="BR2165">
        <v>0</v>
      </c>
      <c r="BS2165">
        <v>0</v>
      </c>
      <c r="BT2165">
        <v>0</v>
      </c>
      <c r="BU2165">
        <v>0</v>
      </c>
      <c r="BV2165">
        <v>0</v>
      </c>
    </row>
    <row r="2166" spans="51:74" x14ac:dyDescent="0.25">
      <c r="BO2166">
        <v>0</v>
      </c>
      <c r="BP2166">
        <v>0</v>
      </c>
      <c r="BQ2166">
        <v>0</v>
      </c>
      <c r="BR2166">
        <v>0</v>
      </c>
      <c r="BS2166">
        <v>0</v>
      </c>
      <c r="BT2166">
        <v>0</v>
      </c>
      <c r="BU2166">
        <v>0</v>
      </c>
      <c r="BV2166">
        <v>0</v>
      </c>
    </row>
    <row r="2167" spans="51:74" x14ac:dyDescent="0.25">
      <c r="AY2167" s="8"/>
      <c r="BO2167">
        <v>0</v>
      </c>
      <c r="BP2167">
        <v>0</v>
      </c>
      <c r="BQ2167">
        <v>0</v>
      </c>
      <c r="BR2167">
        <v>0</v>
      </c>
      <c r="BS2167">
        <v>0</v>
      </c>
      <c r="BT2167">
        <v>0</v>
      </c>
      <c r="BU2167">
        <v>0</v>
      </c>
      <c r="BV2167">
        <v>0</v>
      </c>
    </row>
    <row r="2168" spans="51:74" x14ac:dyDescent="0.25">
      <c r="BO2168">
        <v>0</v>
      </c>
      <c r="BP2168">
        <v>0</v>
      </c>
      <c r="BQ2168">
        <v>0</v>
      </c>
      <c r="BR2168">
        <v>0</v>
      </c>
      <c r="BS2168">
        <v>0</v>
      </c>
      <c r="BT2168">
        <v>0</v>
      </c>
      <c r="BU2168">
        <v>0</v>
      </c>
      <c r="BV2168">
        <v>0</v>
      </c>
    </row>
    <row r="2169" spans="51:74" x14ac:dyDescent="0.25">
      <c r="BO2169">
        <v>0</v>
      </c>
      <c r="BP2169">
        <v>0</v>
      </c>
      <c r="BQ2169">
        <v>0</v>
      </c>
      <c r="BR2169">
        <v>0</v>
      </c>
      <c r="BS2169">
        <v>0</v>
      </c>
      <c r="BT2169">
        <v>0</v>
      </c>
      <c r="BU2169">
        <v>0</v>
      </c>
      <c r="BV2169">
        <v>0</v>
      </c>
    </row>
    <row r="2170" spans="51:74" x14ac:dyDescent="0.25">
      <c r="BO2170">
        <v>0</v>
      </c>
      <c r="BP2170">
        <v>0</v>
      </c>
      <c r="BQ2170">
        <v>0</v>
      </c>
      <c r="BR2170">
        <v>0</v>
      </c>
      <c r="BS2170">
        <v>0</v>
      </c>
      <c r="BT2170">
        <v>0</v>
      </c>
      <c r="BU2170">
        <v>0</v>
      </c>
      <c r="BV2170">
        <v>0</v>
      </c>
    </row>
    <row r="2171" spans="51:74" x14ac:dyDescent="0.25">
      <c r="BO2171">
        <v>0</v>
      </c>
      <c r="BP2171">
        <v>0</v>
      </c>
      <c r="BQ2171">
        <v>0</v>
      </c>
      <c r="BR2171">
        <v>0</v>
      </c>
      <c r="BS2171">
        <v>0</v>
      </c>
      <c r="BT2171">
        <v>0</v>
      </c>
      <c r="BU2171">
        <v>0</v>
      </c>
      <c r="BV2171">
        <v>0</v>
      </c>
    </row>
    <row r="2172" spans="51:74" x14ac:dyDescent="0.25">
      <c r="BO2172">
        <v>0</v>
      </c>
      <c r="BP2172">
        <v>0</v>
      </c>
      <c r="BQ2172">
        <v>0</v>
      </c>
      <c r="BR2172">
        <v>0</v>
      </c>
      <c r="BS2172">
        <v>0</v>
      </c>
      <c r="BT2172">
        <v>0</v>
      </c>
      <c r="BU2172">
        <v>0</v>
      </c>
      <c r="BV2172">
        <v>0</v>
      </c>
    </row>
    <row r="2173" spans="51:74" x14ac:dyDescent="0.25">
      <c r="BO2173">
        <v>0</v>
      </c>
      <c r="BP2173">
        <v>0</v>
      </c>
      <c r="BQ2173">
        <v>0</v>
      </c>
      <c r="BR2173">
        <v>0</v>
      </c>
      <c r="BS2173">
        <v>0</v>
      </c>
      <c r="BT2173">
        <v>0</v>
      </c>
      <c r="BU2173">
        <v>0</v>
      </c>
      <c r="BV2173">
        <v>0</v>
      </c>
    </row>
    <row r="2174" spans="51:74" x14ac:dyDescent="0.25">
      <c r="BO2174">
        <v>0</v>
      </c>
      <c r="BP2174">
        <v>0</v>
      </c>
      <c r="BQ2174">
        <v>0</v>
      </c>
      <c r="BR2174">
        <v>0</v>
      </c>
      <c r="BS2174">
        <v>0</v>
      </c>
      <c r="BT2174">
        <v>0</v>
      </c>
      <c r="BU2174">
        <v>0</v>
      </c>
      <c r="BV2174">
        <v>0</v>
      </c>
    </row>
    <row r="2175" spans="51:74" x14ac:dyDescent="0.25">
      <c r="BO2175">
        <v>0</v>
      </c>
      <c r="BP2175">
        <v>0</v>
      </c>
      <c r="BQ2175">
        <v>0</v>
      </c>
      <c r="BR2175">
        <v>0</v>
      </c>
      <c r="BS2175">
        <v>0</v>
      </c>
      <c r="BT2175">
        <v>0</v>
      </c>
      <c r="BU2175">
        <v>0</v>
      </c>
      <c r="BV2175">
        <v>0</v>
      </c>
    </row>
    <row r="2176" spans="51:74" x14ac:dyDescent="0.25">
      <c r="BO2176">
        <v>0</v>
      </c>
      <c r="BP2176">
        <v>0</v>
      </c>
      <c r="BQ2176">
        <v>0</v>
      </c>
      <c r="BR2176">
        <v>0</v>
      </c>
      <c r="BS2176">
        <v>0</v>
      </c>
      <c r="BT2176">
        <v>0</v>
      </c>
      <c r="BU2176">
        <v>0</v>
      </c>
      <c r="BV2176">
        <v>0</v>
      </c>
    </row>
    <row r="2177" spans="1:76" x14ac:dyDescent="0.25">
      <c r="I2177" s="8"/>
      <c r="BN2177" s="8"/>
      <c r="BO2177">
        <v>0</v>
      </c>
      <c r="BP2177">
        <v>0</v>
      </c>
      <c r="BQ2177">
        <v>0</v>
      </c>
      <c r="BR2177">
        <v>0</v>
      </c>
      <c r="BS2177">
        <v>0</v>
      </c>
      <c r="BT2177">
        <v>0</v>
      </c>
      <c r="BU2177">
        <v>0</v>
      </c>
      <c r="BV2177">
        <v>0</v>
      </c>
    </row>
    <row r="2178" spans="1:76" x14ac:dyDescent="0.25">
      <c r="BO2178">
        <v>0</v>
      </c>
      <c r="BP2178">
        <v>0</v>
      </c>
      <c r="BQ2178">
        <v>0</v>
      </c>
      <c r="BR2178">
        <v>0</v>
      </c>
      <c r="BS2178">
        <v>0</v>
      </c>
      <c r="BT2178">
        <v>0</v>
      </c>
      <c r="BU2178">
        <v>0</v>
      </c>
      <c r="BV2178">
        <v>0</v>
      </c>
    </row>
    <row r="2179" spans="1:76" x14ac:dyDescent="0.25">
      <c r="BO2179">
        <v>0</v>
      </c>
      <c r="BP2179">
        <v>0</v>
      </c>
      <c r="BQ2179">
        <v>0</v>
      </c>
      <c r="BR2179">
        <v>0</v>
      </c>
      <c r="BS2179">
        <v>0</v>
      </c>
      <c r="BT2179">
        <v>0</v>
      </c>
      <c r="BU2179">
        <v>0</v>
      </c>
      <c r="BV2179">
        <v>0</v>
      </c>
    </row>
    <row r="2180" spans="1:76" x14ac:dyDescent="0.25">
      <c r="BO2180">
        <v>0</v>
      </c>
      <c r="BP2180">
        <v>0</v>
      </c>
      <c r="BQ2180">
        <v>0</v>
      </c>
      <c r="BR2180">
        <v>0</v>
      </c>
      <c r="BS2180">
        <v>0</v>
      </c>
      <c r="BT2180">
        <v>0</v>
      </c>
      <c r="BU2180">
        <v>0</v>
      </c>
      <c r="BV2180">
        <v>0</v>
      </c>
    </row>
    <row r="2181" spans="1:76" x14ac:dyDescent="0.25">
      <c r="BO2181">
        <v>0</v>
      </c>
      <c r="BP2181">
        <v>0</v>
      </c>
      <c r="BQ2181">
        <v>0</v>
      </c>
      <c r="BR2181">
        <v>0</v>
      </c>
      <c r="BS2181">
        <v>0</v>
      </c>
      <c r="BT2181">
        <v>0</v>
      </c>
      <c r="BU2181">
        <v>0</v>
      </c>
      <c r="BV2181">
        <v>0</v>
      </c>
    </row>
    <row r="2182" spans="1:76" x14ac:dyDescent="0.25">
      <c r="BO2182">
        <v>0</v>
      </c>
      <c r="BP2182">
        <v>0</v>
      </c>
      <c r="BQ2182">
        <v>0</v>
      </c>
      <c r="BR2182">
        <v>0</v>
      </c>
      <c r="BS2182">
        <v>0</v>
      </c>
      <c r="BT2182">
        <v>0</v>
      </c>
      <c r="BU2182">
        <v>0</v>
      </c>
      <c r="BV2182">
        <v>0</v>
      </c>
    </row>
    <row r="2183" spans="1:76" x14ac:dyDescent="0.25">
      <c r="BO2183">
        <v>0</v>
      </c>
      <c r="BP2183">
        <v>0</v>
      </c>
      <c r="BQ2183">
        <v>0</v>
      </c>
      <c r="BR2183">
        <v>0</v>
      </c>
      <c r="BS2183">
        <v>0</v>
      </c>
      <c r="BT2183">
        <v>0</v>
      </c>
      <c r="BU2183">
        <v>0</v>
      </c>
      <c r="BV2183">
        <v>0</v>
      </c>
    </row>
    <row r="2184" spans="1:76" x14ac:dyDescent="0.25">
      <c r="BO2184">
        <v>0</v>
      </c>
      <c r="BP2184">
        <v>0</v>
      </c>
      <c r="BQ2184">
        <v>0</v>
      </c>
      <c r="BR2184">
        <v>0</v>
      </c>
      <c r="BS2184">
        <v>0</v>
      </c>
      <c r="BT2184">
        <v>0</v>
      </c>
      <c r="BU2184">
        <v>0</v>
      </c>
      <c r="BV2184">
        <v>0</v>
      </c>
    </row>
    <row r="2185" spans="1:76" x14ac:dyDescent="0.25">
      <c r="BO2185">
        <v>0</v>
      </c>
      <c r="BP2185">
        <v>0</v>
      </c>
      <c r="BQ2185">
        <v>0</v>
      </c>
      <c r="BR2185">
        <v>0</v>
      </c>
      <c r="BS2185">
        <v>0</v>
      </c>
      <c r="BT2185">
        <v>0</v>
      </c>
      <c r="BU2185">
        <v>0</v>
      </c>
      <c r="BV2185">
        <v>0</v>
      </c>
    </row>
    <row r="2186" spans="1:76" x14ac:dyDescent="0.25">
      <c r="BO2186">
        <v>0</v>
      </c>
      <c r="BP2186">
        <v>0</v>
      </c>
      <c r="BQ2186">
        <v>0</v>
      </c>
      <c r="BR2186">
        <v>0</v>
      </c>
      <c r="BS2186">
        <v>0</v>
      </c>
      <c r="BT2186">
        <v>0</v>
      </c>
      <c r="BU2186">
        <v>0</v>
      </c>
      <c r="BV2186">
        <v>0</v>
      </c>
    </row>
    <row r="2187" spans="1:76" x14ac:dyDescent="0.25">
      <c r="BO2187">
        <v>0</v>
      </c>
      <c r="BP2187">
        <v>0</v>
      </c>
      <c r="BQ2187">
        <v>0</v>
      </c>
      <c r="BR2187">
        <v>0</v>
      </c>
      <c r="BS2187">
        <v>0</v>
      </c>
      <c r="BT2187">
        <v>0</v>
      </c>
      <c r="BU2187">
        <v>0</v>
      </c>
      <c r="BV2187">
        <v>0</v>
      </c>
    </row>
    <row r="2188" spans="1:76" x14ac:dyDescent="0.25">
      <c r="A2188" s="6"/>
      <c r="B2188" s="6"/>
      <c r="C2188" s="6"/>
      <c r="D2188" s="6"/>
      <c r="E2188" s="6"/>
      <c r="F2188" s="6"/>
      <c r="G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  <c r="BE2188" s="6"/>
      <c r="BF2188" s="6"/>
      <c r="BG2188" s="6"/>
      <c r="BH2188" s="6"/>
      <c r="BI2188" s="6"/>
      <c r="BK2188" s="6"/>
      <c r="BL2188" s="6"/>
      <c r="BM2188" s="6"/>
      <c r="BN2188" s="6"/>
      <c r="BO2188" s="6">
        <v>0</v>
      </c>
      <c r="BP2188" s="6">
        <v>0</v>
      </c>
      <c r="BQ2188" s="6">
        <v>0</v>
      </c>
      <c r="BR2188" s="6">
        <v>0</v>
      </c>
      <c r="BS2188" s="6">
        <v>0</v>
      </c>
      <c r="BT2188" s="6">
        <v>0</v>
      </c>
      <c r="BU2188" s="6">
        <v>0</v>
      </c>
      <c r="BV2188" s="6">
        <v>0</v>
      </c>
      <c r="BW2188" s="6"/>
      <c r="BX2188" s="6"/>
    </row>
    <row r="2189" spans="1:76" x14ac:dyDescent="0.25">
      <c r="A2189" s="6"/>
      <c r="B2189" s="6"/>
      <c r="C2189" s="6"/>
      <c r="D2189" s="6"/>
      <c r="E2189" s="6"/>
      <c r="F2189" s="6"/>
      <c r="G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  <c r="BE2189" s="6"/>
      <c r="BF2189" s="6"/>
      <c r="BG2189" s="6"/>
      <c r="BH2189" s="6"/>
      <c r="BI2189" s="6"/>
      <c r="BK2189" s="6"/>
      <c r="BL2189" s="6"/>
      <c r="BM2189" s="6"/>
      <c r="BN2189" s="6"/>
      <c r="BO2189" s="6">
        <v>0</v>
      </c>
      <c r="BP2189" s="6">
        <v>0</v>
      </c>
      <c r="BQ2189" s="6">
        <v>0</v>
      </c>
      <c r="BR2189" s="6">
        <v>0</v>
      </c>
      <c r="BS2189" s="6">
        <v>0</v>
      </c>
      <c r="BT2189" s="6">
        <v>0</v>
      </c>
      <c r="BU2189" s="6">
        <v>0</v>
      </c>
      <c r="BV2189" s="6">
        <v>0</v>
      </c>
      <c r="BW2189" s="6"/>
      <c r="BX2189" s="6"/>
    </row>
    <row r="2190" spans="1:76" x14ac:dyDescent="0.25">
      <c r="A2190" s="6"/>
      <c r="B2190" s="6"/>
      <c r="C2190" s="6"/>
      <c r="D2190" s="6"/>
      <c r="E2190" s="6"/>
      <c r="F2190" s="6"/>
      <c r="G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  <c r="BE2190" s="6"/>
      <c r="BF2190" s="6"/>
      <c r="BG2190" s="6"/>
      <c r="BH2190" s="6"/>
      <c r="BI2190" s="6"/>
      <c r="BK2190" s="6"/>
      <c r="BL2190" s="6"/>
      <c r="BM2190" s="6"/>
      <c r="BN2190" s="6"/>
      <c r="BO2190" s="6">
        <v>0</v>
      </c>
      <c r="BP2190" s="6">
        <v>0</v>
      </c>
      <c r="BQ2190" s="6">
        <v>0</v>
      </c>
      <c r="BR2190" s="6">
        <v>0</v>
      </c>
      <c r="BS2190" s="6">
        <v>0</v>
      </c>
      <c r="BT2190" s="6">
        <v>0</v>
      </c>
      <c r="BU2190" s="6">
        <v>0</v>
      </c>
      <c r="BV2190" s="6">
        <v>0</v>
      </c>
      <c r="BW2190" s="6"/>
      <c r="BX2190" s="6"/>
    </row>
    <row r="2191" spans="1:76" x14ac:dyDescent="0.25">
      <c r="A2191" s="6"/>
      <c r="B2191" s="6"/>
      <c r="C2191" s="6"/>
      <c r="D2191" s="6"/>
      <c r="E2191" s="6"/>
      <c r="F2191" s="6"/>
      <c r="G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  <c r="BE2191" s="6"/>
      <c r="BF2191" s="6"/>
      <c r="BG2191" s="6"/>
      <c r="BH2191" s="6"/>
      <c r="BI2191" s="6"/>
      <c r="BK2191" s="6"/>
      <c r="BL2191" s="6"/>
      <c r="BM2191" s="6"/>
      <c r="BN2191" s="6"/>
      <c r="BO2191" s="6">
        <v>0</v>
      </c>
      <c r="BP2191" s="6">
        <v>0</v>
      </c>
      <c r="BQ2191" s="6">
        <v>0</v>
      </c>
      <c r="BR2191" s="6">
        <v>0</v>
      </c>
      <c r="BS2191" s="6">
        <v>0</v>
      </c>
      <c r="BT2191" s="6">
        <v>0</v>
      </c>
      <c r="BU2191" s="6">
        <v>0</v>
      </c>
      <c r="BV2191" s="6">
        <v>0</v>
      </c>
      <c r="BW2191" s="6"/>
      <c r="BX2191" s="6"/>
    </row>
    <row r="2192" spans="1:76" x14ac:dyDescent="0.25">
      <c r="A2192" s="6"/>
      <c r="B2192" s="6"/>
      <c r="C2192" s="6"/>
      <c r="D2192" s="6"/>
      <c r="E2192" s="6"/>
      <c r="F2192" s="6"/>
      <c r="G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  <c r="BE2192" s="6"/>
      <c r="BF2192" s="6"/>
      <c r="BG2192" s="6"/>
      <c r="BH2192" s="6"/>
      <c r="BI2192" s="6"/>
      <c r="BK2192" s="6"/>
      <c r="BL2192" s="6"/>
      <c r="BM2192" s="6"/>
      <c r="BN2192" s="6"/>
      <c r="BO2192" s="6">
        <v>0</v>
      </c>
      <c r="BP2192" s="6">
        <v>0</v>
      </c>
      <c r="BQ2192" s="6">
        <v>0</v>
      </c>
      <c r="BR2192" s="6">
        <v>0</v>
      </c>
      <c r="BS2192" s="6">
        <v>0</v>
      </c>
      <c r="BT2192" s="6">
        <v>0</v>
      </c>
      <c r="BU2192" s="6">
        <v>0</v>
      </c>
      <c r="BV2192" s="6">
        <v>0</v>
      </c>
      <c r="BW2192" s="6"/>
      <c r="BX2192" s="6"/>
    </row>
    <row r="2193" spans="67:74" x14ac:dyDescent="0.25">
      <c r="BO2193">
        <v>0</v>
      </c>
      <c r="BP2193">
        <v>0</v>
      </c>
      <c r="BQ2193">
        <v>0</v>
      </c>
      <c r="BR2193">
        <v>0</v>
      </c>
      <c r="BS2193">
        <v>0</v>
      </c>
      <c r="BT2193">
        <v>0</v>
      </c>
      <c r="BU2193">
        <v>0</v>
      </c>
      <c r="BV2193">
        <v>0</v>
      </c>
    </row>
    <row r="2194" spans="67:74" x14ac:dyDescent="0.25">
      <c r="BO2194">
        <v>0</v>
      </c>
      <c r="BP2194">
        <v>0</v>
      </c>
      <c r="BQ2194">
        <v>0</v>
      </c>
      <c r="BR2194">
        <v>0</v>
      </c>
      <c r="BS2194">
        <v>0</v>
      </c>
      <c r="BT2194">
        <v>0</v>
      </c>
      <c r="BU2194">
        <v>0</v>
      </c>
      <c r="BV2194">
        <v>0</v>
      </c>
    </row>
    <row r="2195" spans="67:74" x14ac:dyDescent="0.25">
      <c r="BO2195">
        <v>0</v>
      </c>
      <c r="BP2195">
        <v>0</v>
      </c>
      <c r="BQ2195">
        <v>0</v>
      </c>
      <c r="BR2195">
        <v>0</v>
      </c>
      <c r="BS2195">
        <v>0</v>
      </c>
      <c r="BT2195">
        <v>0</v>
      </c>
      <c r="BU2195">
        <v>0</v>
      </c>
      <c r="BV2195">
        <v>0</v>
      </c>
    </row>
    <row r="2196" spans="67:74" x14ac:dyDescent="0.25">
      <c r="BO2196">
        <v>0</v>
      </c>
      <c r="BP2196">
        <v>0</v>
      </c>
      <c r="BQ2196">
        <v>0</v>
      </c>
      <c r="BR2196">
        <v>0</v>
      </c>
      <c r="BS2196">
        <v>0</v>
      </c>
      <c r="BT2196">
        <v>0</v>
      </c>
      <c r="BU2196">
        <v>0</v>
      </c>
      <c r="BV2196">
        <v>0</v>
      </c>
    </row>
    <row r="2197" spans="67:74" x14ac:dyDescent="0.25">
      <c r="BO2197">
        <v>0</v>
      </c>
      <c r="BP2197">
        <v>0</v>
      </c>
      <c r="BQ2197">
        <v>0</v>
      </c>
      <c r="BR2197">
        <v>0</v>
      </c>
      <c r="BS2197">
        <v>0</v>
      </c>
      <c r="BT2197">
        <v>0</v>
      </c>
      <c r="BU2197">
        <v>0</v>
      </c>
      <c r="BV2197">
        <v>0</v>
      </c>
    </row>
    <row r="2198" spans="67:74" x14ac:dyDescent="0.25">
      <c r="BO2198">
        <v>0</v>
      </c>
      <c r="BP2198">
        <v>0</v>
      </c>
      <c r="BQ2198">
        <v>0</v>
      </c>
      <c r="BR2198">
        <v>0</v>
      </c>
      <c r="BS2198">
        <v>0</v>
      </c>
      <c r="BT2198">
        <v>0</v>
      </c>
      <c r="BU2198">
        <v>0</v>
      </c>
      <c r="BV2198">
        <v>0</v>
      </c>
    </row>
    <row r="2199" spans="67:74" x14ac:dyDescent="0.25">
      <c r="BO2199">
        <v>0</v>
      </c>
      <c r="BP2199">
        <v>0</v>
      </c>
      <c r="BQ2199">
        <v>0</v>
      </c>
      <c r="BR2199">
        <v>0</v>
      </c>
      <c r="BS2199">
        <v>0</v>
      </c>
      <c r="BT2199">
        <v>0</v>
      </c>
      <c r="BU2199">
        <v>0</v>
      </c>
      <c r="BV2199">
        <v>0</v>
      </c>
    </row>
    <row r="2200" spans="67:74" x14ac:dyDescent="0.25">
      <c r="BO2200">
        <v>0</v>
      </c>
      <c r="BP2200">
        <v>0</v>
      </c>
      <c r="BQ2200">
        <v>0</v>
      </c>
      <c r="BR2200">
        <v>0</v>
      </c>
      <c r="BS2200">
        <v>0</v>
      </c>
      <c r="BT2200">
        <v>0</v>
      </c>
      <c r="BU2200">
        <v>0</v>
      </c>
      <c r="BV2200">
        <v>0</v>
      </c>
    </row>
    <row r="2201" spans="67:74" x14ac:dyDescent="0.25">
      <c r="BO2201">
        <v>0</v>
      </c>
      <c r="BP2201">
        <v>0</v>
      </c>
      <c r="BQ2201">
        <v>0</v>
      </c>
      <c r="BR2201">
        <v>0</v>
      </c>
      <c r="BS2201">
        <v>0</v>
      </c>
      <c r="BT2201">
        <v>0</v>
      </c>
      <c r="BU2201">
        <v>0</v>
      </c>
      <c r="BV2201">
        <v>0</v>
      </c>
    </row>
    <row r="2202" spans="67:74" x14ac:dyDescent="0.25">
      <c r="BO2202">
        <v>0</v>
      </c>
      <c r="BP2202">
        <v>0</v>
      </c>
      <c r="BQ2202">
        <v>0</v>
      </c>
      <c r="BR2202">
        <v>0</v>
      </c>
      <c r="BS2202">
        <v>0</v>
      </c>
      <c r="BT2202">
        <v>0</v>
      </c>
      <c r="BU2202">
        <v>0</v>
      </c>
      <c r="BV2202">
        <v>0</v>
      </c>
    </row>
    <row r="2203" spans="67:74" x14ac:dyDescent="0.25">
      <c r="BO2203">
        <v>0</v>
      </c>
      <c r="BP2203">
        <v>0</v>
      </c>
      <c r="BQ2203">
        <v>0</v>
      </c>
      <c r="BR2203">
        <v>0</v>
      </c>
      <c r="BS2203">
        <v>0</v>
      </c>
      <c r="BT2203">
        <v>0</v>
      </c>
      <c r="BU2203">
        <v>0</v>
      </c>
      <c r="BV2203">
        <v>0</v>
      </c>
    </row>
    <row r="2204" spans="67:74" x14ac:dyDescent="0.25">
      <c r="BO2204">
        <v>0</v>
      </c>
      <c r="BP2204">
        <v>0</v>
      </c>
      <c r="BQ2204">
        <v>0</v>
      </c>
      <c r="BR2204">
        <v>0</v>
      </c>
      <c r="BS2204">
        <v>0</v>
      </c>
      <c r="BT2204">
        <v>0</v>
      </c>
      <c r="BU2204">
        <v>0</v>
      </c>
      <c r="BV2204">
        <v>0</v>
      </c>
    </row>
    <row r="2205" spans="67:74" x14ac:dyDescent="0.25">
      <c r="BO2205">
        <v>0</v>
      </c>
      <c r="BP2205">
        <v>0</v>
      </c>
      <c r="BQ2205">
        <v>0</v>
      </c>
      <c r="BR2205">
        <v>0</v>
      </c>
      <c r="BS2205">
        <v>0</v>
      </c>
      <c r="BT2205">
        <v>0</v>
      </c>
      <c r="BU2205">
        <v>0</v>
      </c>
      <c r="BV2205">
        <v>0</v>
      </c>
    </row>
    <row r="2206" spans="67:74" x14ac:dyDescent="0.25">
      <c r="BO2206">
        <v>0</v>
      </c>
      <c r="BP2206">
        <v>0</v>
      </c>
      <c r="BQ2206">
        <v>0</v>
      </c>
      <c r="BR2206">
        <v>0</v>
      </c>
      <c r="BS2206">
        <v>0</v>
      </c>
      <c r="BT2206">
        <v>0</v>
      </c>
      <c r="BU2206">
        <v>0</v>
      </c>
      <c r="BV2206">
        <v>0</v>
      </c>
    </row>
    <row r="2207" spans="67:74" x14ac:dyDescent="0.25">
      <c r="BO2207">
        <v>0</v>
      </c>
      <c r="BP2207">
        <v>0</v>
      </c>
      <c r="BQ2207">
        <v>0</v>
      </c>
      <c r="BR2207">
        <v>0</v>
      </c>
      <c r="BS2207">
        <v>0</v>
      </c>
      <c r="BT2207">
        <v>0</v>
      </c>
      <c r="BU2207">
        <v>0</v>
      </c>
      <c r="BV2207">
        <v>0</v>
      </c>
    </row>
    <row r="2208" spans="67:74" x14ac:dyDescent="0.25">
      <c r="BO2208">
        <v>0</v>
      </c>
      <c r="BP2208">
        <v>0</v>
      </c>
      <c r="BQ2208">
        <v>0</v>
      </c>
      <c r="BR2208">
        <v>0</v>
      </c>
      <c r="BS2208">
        <v>0</v>
      </c>
      <c r="BT2208">
        <v>0</v>
      </c>
      <c r="BU2208">
        <v>0</v>
      </c>
      <c r="BV2208">
        <v>0</v>
      </c>
    </row>
    <row r="2209" spans="1:74" x14ac:dyDescent="0.25">
      <c r="BO2209">
        <v>0</v>
      </c>
      <c r="BP2209">
        <v>0</v>
      </c>
      <c r="BQ2209">
        <v>0</v>
      </c>
      <c r="BR2209">
        <v>0</v>
      </c>
      <c r="BS2209">
        <v>0</v>
      </c>
      <c r="BT2209">
        <v>0</v>
      </c>
      <c r="BU2209">
        <v>0</v>
      </c>
      <c r="BV2209">
        <v>0</v>
      </c>
    </row>
    <row r="2210" spans="1:74" x14ac:dyDescent="0.25">
      <c r="BO2210">
        <v>0</v>
      </c>
      <c r="BP2210">
        <v>0</v>
      </c>
      <c r="BQ2210">
        <v>0</v>
      </c>
      <c r="BR2210">
        <v>0</v>
      </c>
      <c r="BS2210">
        <v>0</v>
      </c>
      <c r="BT2210">
        <v>0</v>
      </c>
      <c r="BU2210">
        <v>0</v>
      </c>
      <c r="BV2210">
        <v>0</v>
      </c>
    </row>
    <row r="2211" spans="1:74" x14ac:dyDescent="0.25">
      <c r="BO2211">
        <v>0</v>
      </c>
      <c r="BP2211">
        <v>0</v>
      </c>
      <c r="BQ2211">
        <v>0</v>
      </c>
      <c r="BR2211">
        <v>0</v>
      </c>
      <c r="BS2211">
        <v>0</v>
      </c>
      <c r="BT2211">
        <v>0</v>
      </c>
      <c r="BU2211">
        <v>0</v>
      </c>
      <c r="BV2211">
        <v>0</v>
      </c>
    </row>
    <row r="2212" spans="1:74" x14ac:dyDescent="0.25">
      <c r="BO2212">
        <v>0</v>
      </c>
      <c r="BP2212">
        <v>0</v>
      </c>
      <c r="BQ2212">
        <v>0</v>
      </c>
      <c r="BR2212">
        <v>0</v>
      </c>
      <c r="BS2212">
        <v>0</v>
      </c>
      <c r="BT2212">
        <v>0</v>
      </c>
      <c r="BU2212">
        <v>0</v>
      </c>
      <c r="BV2212">
        <v>0</v>
      </c>
    </row>
    <row r="2213" spans="1:74" x14ac:dyDescent="0.25">
      <c r="BO2213">
        <v>0</v>
      </c>
      <c r="BP2213">
        <v>0</v>
      </c>
      <c r="BQ2213">
        <v>0</v>
      </c>
      <c r="BR2213">
        <v>0</v>
      </c>
      <c r="BS2213">
        <v>0</v>
      </c>
      <c r="BT2213">
        <v>0</v>
      </c>
      <c r="BU2213">
        <v>0</v>
      </c>
      <c r="BV2213">
        <v>0</v>
      </c>
    </row>
    <row r="2214" spans="1:74" x14ac:dyDescent="0.25">
      <c r="BO2214">
        <v>0</v>
      </c>
      <c r="BP2214">
        <v>0</v>
      </c>
      <c r="BQ2214">
        <v>0</v>
      </c>
      <c r="BR2214">
        <v>0</v>
      </c>
      <c r="BS2214">
        <v>0</v>
      </c>
      <c r="BT2214">
        <v>0</v>
      </c>
      <c r="BU2214">
        <v>0</v>
      </c>
      <c r="BV2214">
        <v>0</v>
      </c>
    </row>
    <row r="2215" spans="1:74" x14ac:dyDescent="0.25">
      <c r="BO2215">
        <v>0</v>
      </c>
      <c r="BP2215">
        <v>0</v>
      </c>
      <c r="BQ2215">
        <v>0</v>
      </c>
      <c r="BR2215">
        <v>0</v>
      </c>
      <c r="BS2215">
        <v>0</v>
      </c>
      <c r="BT2215">
        <v>0</v>
      </c>
      <c r="BU2215">
        <v>0</v>
      </c>
      <c r="BV2215">
        <v>0</v>
      </c>
    </row>
    <row r="2216" spans="1:74" x14ac:dyDescent="0.25">
      <c r="BO2216">
        <v>0</v>
      </c>
      <c r="BP2216">
        <v>0</v>
      </c>
      <c r="BQ2216">
        <v>0</v>
      </c>
      <c r="BR2216">
        <v>0</v>
      </c>
      <c r="BS2216">
        <v>0</v>
      </c>
      <c r="BT2216">
        <v>0</v>
      </c>
      <c r="BU2216">
        <v>0</v>
      </c>
      <c r="BV2216">
        <v>0</v>
      </c>
    </row>
    <row r="2217" spans="1:74" x14ac:dyDescent="0.25">
      <c r="BO2217">
        <v>0</v>
      </c>
      <c r="BP2217">
        <v>0</v>
      </c>
      <c r="BQ2217">
        <v>0</v>
      </c>
      <c r="BR2217">
        <v>0</v>
      </c>
      <c r="BS2217">
        <v>0</v>
      </c>
      <c r="BT2217">
        <v>0</v>
      </c>
      <c r="BU2217">
        <v>0</v>
      </c>
      <c r="BV2217">
        <v>0</v>
      </c>
    </row>
    <row r="2218" spans="1:74" x14ac:dyDescent="0.25">
      <c r="BO2218">
        <v>0</v>
      </c>
      <c r="BP2218">
        <v>0</v>
      </c>
      <c r="BQ2218">
        <v>0</v>
      </c>
      <c r="BR2218">
        <v>0</v>
      </c>
      <c r="BS2218">
        <v>0</v>
      </c>
      <c r="BT2218">
        <v>0</v>
      </c>
      <c r="BU2218">
        <v>0</v>
      </c>
      <c r="BV2218">
        <v>0</v>
      </c>
    </row>
    <row r="2219" spans="1:74" x14ac:dyDescent="0.25">
      <c r="BO2219">
        <v>0</v>
      </c>
      <c r="BP2219">
        <v>0</v>
      </c>
      <c r="BQ2219">
        <v>0</v>
      </c>
      <c r="BR2219">
        <v>0</v>
      </c>
      <c r="BS2219">
        <v>0</v>
      </c>
      <c r="BT2219">
        <v>0</v>
      </c>
      <c r="BU2219">
        <v>0</v>
      </c>
      <c r="BV2219">
        <v>0</v>
      </c>
    </row>
    <row r="2220" spans="1:74" x14ac:dyDescent="0.25">
      <c r="BO2220">
        <v>0</v>
      </c>
      <c r="BP2220">
        <v>0</v>
      </c>
      <c r="BQ2220">
        <v>0</v>
      </c>
      <c r="BR2220">
        <v>0</v>
      </c>
      <c r="BS2220">
        <v>0</v>
      </c>
      <c r="BT2220">
        <v>0</v>
      </c>
      <c r="BU2220">
        <v>0</v>
      </c>
      <c r="BV2220">
        <v>0</v>
      </c>
    </row>
    <row r="2221" spans="1:74" x14ac:dyDescent="0.25">
      <c r="A2221" s="5"/>
      <c r="BO2221">
        <v>0</v>
      </c>
      <c r="BP2221">
        <v>0</v>
      </c>
      <c r="BQ2221">
        <v>0</v>
      </c>
      <c r="BR2221">
        <v>0</v>
      </c>
      <c r="BS2221">
        <v>0</v>
      </c>
      <c r="BT2221">
        <v>0</v>
      </c>
      <c r="BU2221">
        <v>0</v>
      </c>
      <c r="BV2221">
        <v>0</v>
      </c>
    </row>
    <row r="2222" spans="1:74" x14ac:dyDescent="0.25">
      <c r="BO2222">
        <v>0</v>
      </c>
      <c r="BP2222">
        <v>0</v>
      </c>
      <c r="BQ2222">
        <v>0</v>
      </c>
      <c r="BR2222">
        <v>0</v>
      </c>
      <c r="BS2222">
        <v>0</v>
      </c>
      <c r="BT2222">
        <v>0</v>
      </c>
      <c r="BU2222">
        <v>0</v>
      </c>
      <c r="BV2222">
        <v>0</v>
      </c>
    </row>
    <row r="2223" spans="1:74" x14ac:dyDescent="0.25">
      <c r="BO2223">
        <v>0</v>
      </c>
      <c r="BP2223">
        <v>0</v>
      </c>
      <c r="BQ2223">
        <v>0</v>
      </c>
      <c r="BR2223">
        <v>0</v>
      </c>
      <c r="BS2223">
        <v>0</v>
      </c>
      <c r="BT2223">
        <v>0</v>
      </c>
      <c r="BU2223">
        <v>0</v>
      </c>
      <c r="BV2223">
        <v>0</v>
      </c>
    </row>
    <row r="2224" spans="1:74" x14ac:dyDescent="0.25">
      <c r="BO2224">
        <v>0</v>
      </c>
      <c r="BP2224">
        <v>0</v>
      </c>
      <c r="BQ2224">
        <v>0</v>
      </c>
      <c r="BR2224">
        <v>0</v>
      </c>
      <c r="BS2224">
        <v>0</v>
      </c>
      <c r="BT2224">
        <v>0</v>
      </c>
      <c r="BU2224">
        <v>0</v>
      </c>
      <c r="BV2224">
        <v>0</v>
      </c>
    </row>
    <row r="2225" spans="32:74" x14ac:dyDescent="0.25">
      <c r="BO2225">
        <v>0</v>
      </c>
      <c r="BP2225">
        <v>0</v>
      </c>
      <c r="BQ2225">
        <v>0</v>
      </c>
      <c r="BR2225">
        <v>0</v>
      </c>
      <c r="BS2225">
        <v>0</v>
      </c>
      <c r="BT2225">
        <v>0</v>
      </c>
      <c r="BU2225">
        <v>0</v>
      </c>
      <c r="BV2225">
        <v>0</v>
      </c>
    </row>
    <row r="2226" spans="32:74" x14ac:dyDescent="0.25">
      <c r="BO2226">
        <v>0</v>
      </c>
      <c r="BP2226">
        <v>0</v>
      </c>
      <c r="BQ2226">
        <v>0</v>
      </c>
      <c r="BR2226">
        <v>0</v>
      </c>
      <c r="BS2226">
        <v>0</v>
      </c>
      <c r="BT2226">
        <v>0</v>
      </c>
      <c r="BU2226">
        <v>0</v>
      </c>
      <c r="BV2226">
        <v>0</v>
      </c>
    </row>
    <row r="2227" spans="32:74" x14ac:dyDescent="0.25">
      <c r="BO2227">
        <v>0</v>
      </c>
      <c r="BP2227">
        <v>0</v>
      </c>
      <c r="BQ2227">
        <v>0</v>
      </c>
      <c r="BR2227">
        <v>0</v>
      </c>
      <c r="BS2227">
        <v>0</v>
      </c>
      <c r="BT2227">
        <v>0</v>
      </c>
      <c r="BU2227">
        <v>0</v>
      </c>
      <c r="BV2227">
        <v>0</v>
      </c>
    </row>
    <row r="2228" spans="32:74" x14ac:dyDescent="0.25">
      <c r="BO2228">
        <v>0</v>
      </c>
      <c r="BP2228">
        <v>0</v>
      </c>
      <c r="BQ2228">
        <v>0</v>
      </c>
      <c r="BR2228">
        <v>0</v>
      </c>
      <c r="BS2228">
        <v>0</v>
      </c>
      <c r="BT2228">
        <v>0</v>
      </c>
      <c r="BU2228">
        <v>0</v>
      </c>
      <c r="BV2228">
        <v>0</v>
      </c>
    </row>
    <row r="2229" spans="32:74" x14ac:dyDescent="0.25">
      <c r="BO2229">
        <v>0</v>
      </c>
      <c r="BP2229">
        <v>0</v>
      </c>
      <c r="BQ2229">
        <v>0</v>
      </c>
      <c r="BR2229">
        <v>0</v>
      </c>
      <c r="BS2229">
        <v>0</v>
      </c>
      <c r="BT2229">
        <v>0</v>
      </c>
      <c r="BU2229">
        <v>0</v>
      </c>
      <c r="BV2229">
        <v>0</v>
      </c>
    </row>
    <row r="2230" spans="32:74" x14ac:dyDescent="0.25">
      <c r="BO2230">
        <v>0</v>
      </c>
      <c r="BP2230">
        <v>0</v>
      </c>
      <c r="BQ2230">
        <v>0</v>
      </c>
      <c r="BR2230">
        <v>0</v>
      </c>
      <c r="BS2230">
        <v>0</v>
      </c>
      <c r="BT2230">
        <v>0</v>
      </c>
      <c r="BU2230">
        <v>0</v>
      </c>
      <c r="BV2230">
        <v>0</v>
      </c>
    </row>
    <row r="2231" spans="32:74" x14ac:dyDescent="0.25">
      <c r="BO2231">
        <v>0</v>
      </c>
      <c r="BP2231">
        <v>0</v>
      </c>
      <c r="BQ2231">
        <v>0</v>
      </c>
      <c r="BR2231">
        <v>0</v>
      </c>
      <c r="BS2231">
        <v>0</v>
      </c>
      <c r="BT2231">
        <v>0</v>
      </c>
      <c r="BU2231">
        <v>0</v>
      </c>
      <c r="BV2231">
        <v>0</v>
      </c>
    </row>
    <row r="2232" spans="32:74" x14ac:dyDescent="0.25">
      <c r="BO2232">
        <v>0</v>
      </c>
      <c r="BP2232">
        <v>0</v>
      </c>
      <c r="BQ2232">
        <v>0</v>
      </c>
      <c r="BR2232">
        <v>0</v>
      </c>
      <c r="BS2232">
        <v>0</v>
      </c>
      <c r="BT2232">
        <v>0</v>
      </c>
      <c r="BU2232">
        <v>0</v>
      </c>
      <c r="BV2232">
        <v>0</v>
      </c>
    </row>
    <row r="2233" spans="32:74" x14ac:dyDescent="0.25">
      <c r="BO2233">
        <v>0</v>
      </c>
      <c r="BP2233">
        <v>0</v>
      </c>
      <c r="BQ2233">
        <v>0</v>
      </c>
      <c r="BR2233">
        <v>0</v>
      </c>
      <c r="BS2233">
        <v>0</v>
      </c>
      <c r="BT2233">
        <v>0</v>
      </c>
      <c r="BU2233">
        <v>0</v>
      </c>
      <c r="BV2233">
        <v>0</v>
      </c>
    </row>
    <row r="2234" spans="32:74" x14ac:dyDescent="0.25">
      <c r="BO2234">
        <v>0</v>
      </c>
      <c r="BP2234">
        <v>0</v>
      </c>
      <c r="BQ2234">
        <v>0</v>
      </c>
      <c r="BR2234">
        <v>0</v>
      </c>
      <c r="BS2234">
        <v>0</v>
      </c>
      <c r="BT2234">
        <v>0</v>
      </c>
      <c r="BU2234">
        <v>0</v>
      </c>
      <c r="BV2234">
        <v>0</v>
      </c>
    </row>
    <row r="2235" spans="32:74" x14ac:dyDescent="0.25">
      <c r="BO2235">
        <v>0</v>
      </c>
      <c r="BP2235">
        <v>0</v>
      </c>
      <c r="BQ2235">
        <v>0</v>
      </c>
      <c r="BR2235">
        <v>0</v>
      </c>
      <c r="BS2235">
        <v>0</v>
      </c>
      <c r="BT2235">
        <v>0</v>
      </c>
      <c r="BU2235">
        <v>0</v>
      </c>
      <c r="BV2235">
        <v>0</v>
      </c>
    </row>
    <row r="2236" spans="32:74" x14ac:dyDescent="0.25">
      <c r="BO2236">
        <v>0</v>
      </c>
      <c r="BP2236">
        <v>0</v>
      </c>
      <c r="BQ2236">
        <v>0</v>
      </c>
      <c r="BR2236">
        <v>0</v>
      </c>
      <c r="BS2236">
        <v>0</v>
      </c>
      <c r="BT2236">
        <v>0</v>
      </c>
      <c r="BU2236">
        <v>0</v>
      </c>
      <c r="BV2236">
        <v>0</v>
      </c>
    </row>
    <row r="2237" spans="32:74" x14ac:dyDescent="0.25">
      <c r="BO2237">
        <v>0</v>
      </c>
      <c r="BP2237">
        <v>0</v>
      </c>
      <c r="BQ2237">
        <v>0</v>
      </c>
      <c r="BR2237">
        <v>0</v>
      </c>
      <c r="BS2237">
        <v>0</v>
      </c>
      <c r="BT2237">
        <v>0</v>
      </c>
      <c r="BU2237">
        <v>0</v>
      </c>
      <c r="BV2237">
        <v>0</v>
      </c>
    </row>
    <row r="2238" spans="32:74" x14ac:dyDescent="0.25">
      <c r="BO2238">
        <v>0</v>
      </c>
      <c r="BP2238">
        <v>0</v>
      </c>
      <c r="BQ2238">
        <v>0</v>
      </c>
      <c r="BR2238">
        <v>0</v>
      </c>
      <c r="BS2238">
        <v>0</v>
      </c>
      <c r="BT2238">
        <v>0</v>
      </c>
      <c r="BU2238">
        <v>0</v>
      </c>
      <c r="BV2238">
        <v>0</v>
      </c>
    </row>
    <row r="2239" spans="32:74" x14ac:dyDescent="0.25">
      <c r="BO2239">
        <v>0</v>
      </c>
      <c r="BP2239">
        <v>0</v>
      </c>
      <c r="BQ2239">
        <v>0</v>
      </c>
      <c r="BR2239">
        <v>0</v>
      </c>
      <c r="BS2239">
        <v>0</v>
      </c>
      <c r="BT2239">
        <v>0</v>
      </c>
      <c r="BU2239">
        <v>0</v>
      </c>
      <c r="BV2239">
        <v>0</v>
      </c>
    </row>
    <row r="2240" spans="32:74" x14ac:dyDescent="0.25">
      <c r="AF2240" s="1"/>
      <c r="BE2240" s="1"/>
      <c r="BM2240" s="2"/>
      <c r="BO2240">
        <v>0</v>
      </c>
      <c r="BP2240">
        <v>0</v>
      </c>
      <c r="BQ2240">
        <v>0</v>
      </c>
      <c r="BR2240">
        <v>0</v>
      </c>
      <c r="BS2240">
        <v>0</v>
      </c>
      <c r="BT2240">
        <v>0</v>
      </c>
      <c r="BU2240">
        <v>0</v>
      </c>
      <c r="BV2240">
        <v>0</v>
      </c>
    </row>
    <row r="2241" spans="67:74" x14ac:dyDescent="0.25">
      <c r="BO2241">
        <v>0</v>
      </c>
      <c r="BP2241">
        <v>0</v>
      </c>
      <c r="BQ2241">
        <v>0</v>
      </c>
      <c r="BR2241">
        <v>0</v>
      </c>
      <c r="BS2241">
        <v>0</v>
      </c>
      <c r="BT2241">
        <v>0</v>
      </c>
      <c r="BU2241">
        <v>0</v>
      </c>
      <c r="BV2241">
        <v>0</v>
      </c>
    </row>
    <row r="2242" spans="67:74" x14ac:dyDescent="0.25">
      <c r="BO2242">
        <v>0</v>
      </c>
      <c r="BP2242">
        <v>0</v>
      </c>
      <c r="BQ2242">
        <v>0</v>
      </c>
      <c r="BR2242">
        <v>0</v>
      </c>
      <c r="BS2242">
        <v>0</v>
      </c>
      <c r="BT2242">
        <v>0</v>
      </c>
      <c r="BU2242">
        <v>0</v>
      </c>
      <c r="BV2242">
        <v>0</v>
      </c>
    </row>
    <row r="2243" spans="67:74" x14ac:dyDescent="0.25">
      <c r="BO2243">
        <v>0</v>
      </c>
      <c r="BP2243">
        <v>0</v>
      </c>
      <c r="BQ2243">
        <v>0</v>
      </c>
      <c r="BR2243">
        <v>0</v>
      </c>
      <c r="BS2243">
        <v>0</v>
      </c>
      <c r="BT2243">
        <v>0</v>
      </c>
      <c r="BU2243">
        <v>0</v>
      </c>
      <c r="BV2243">
        <v>0</v>
      </c>
    </row>
    <row r="2244" spans="67:74" x14ac:dyDescent="0.25">
      <c r="BO2244">
        <v>0</v>
      </c>
      <c r="BP2244">
        <v>0</v>
      </c>
      <c r="BQ2244">
        <v>0</v>
      </c>
      <c r="BR2244">
        <v>0</v>
      </c>
      <c r="BS2244">
        <v>0</v>
      </c>
      <c r="BT2244">
        <v>0</v>
      </c>
      <c r="BU2244">
        <v>0</v>
      </c>
      <c r="BV2244">
        <v>0</v>
      </c>
    </row>
    <row r="2245" spans="67:74" x14ac:dyDescent="0.25">
      <c r="BO2245">
        <v>0</v>
      </c>
      <c r="BP2245">
        <v>0</v>
      </c>
      <c r="BQ2245">
        <v>0</v>
      </c>
      <c r="BR2245">
        <v>0</v>
      </c>
      <c r="BS2245">
        <v>0</v>
      </c>
      <c r="BT2245">
        <v>0</v>
      </c>
      <c r="BU2245">
        <v>0</v>
      </c>
      <c r="BV2245">
        <v>0</v>
      </c>
    </row>
    <row r="2246" spans="67:74" x14ac:dyDescent="0.25">
      <c r="BO2246">
        <v>0</v>
      </c>
      <c r="BP2246">
        <v>0</v>
      </c>
      <c r="BQ2246">
        <v>0</v>
      </c>
      <c r="BR2246">
        <v>0</v>
      </c>
      <c r="BS2246">
        <v>0</v>
      </c>
      <c r="BT2246">
        <v>0</v>
      </c>
      <c r="BU2246">
        <v>0</v>
      </c>
      <c r="BV2246">
        <v>0</v>
      </c>
    </row>
    <row r="2247" spans="67:74" x14ac:dyDescent="0.25">
      <c r="BO2247">
        <v>0</v>
      </c>
      <c r="BP2247">
        <v>0</v>
      </c>
      <c r="BQ2247">
        <v>0</v>
      </c>
      <c r="BR2247">
        <v>0</v>
      </c>
      <c r="BS2247">
        <v>0</v>
      </c>
      <c r="BT2247">
        <v>0</v>
      </c>
      <c r="BU2247">
        <v>0</v>
      </c>
      <c r="BV2247">
        <v>0</v>
      </c>
    </row>
    <row r="2248" spans="67:74" x14ac:dyDescent="0.25">
      <c r="BO2248">
        <v>0</v>
      </c>
      <c r="BP2248">
        <v>0</v>
      </c>
      <c r="BQ2248">
        <v>0</v>
      </c>
      <c r="BR2248">
        <v>0</v>
      </c>
      <c r="BS2248">
        <v>0</v>
      </c>
      <c r="BT2248">
        <v>0</v>
      </c>
      <c r="BU2248">
        <v>0</v>
      </c>
      <c r="BV2248">
        <v>0</v>
      </c>
    </row>
    <row r="2249" spans="67:74" x14ac:dyDescent="0.25">
      <c r="BO2249">
        <v>0</v>
      </c>
      <c r="BP2249">
        <v>0</v>
      </c>
      <c r="BQ2249">
        <v>0</v>
      </c>
      <c r="BR2249">
        <v>0</v>
      </c>
      <c r="BS2249">
        <v>0</v>
      </c>
      <c r="BT2249">
        <v>0</v>
      </c>
      <c r="BU2249">
        <v>0</v>
      </c>
      <c r="BV2249">
        <v>0</v>
      </c>
    </row>
    <row r="2250" spans="67:74" x14ac:dyDescent="0.25">
      <c r="BO2250">
        <v>0</v>
      </c>
      <c r="BP2250">
        <v>0</v>
      </c>
      <c r="BQ2250">
        <v>0</v>
      </c>
      <c r="BR2250">
        <v>0</v>
      </c>
      <c r="BS2250">
        <v>0</v>
      </c>
      <c r="BT2250">
        <v>0</v>
      </c>
      <c r="BU2250">
        <v>0</v>
      </c>
      <c r="BV2250">
        <v>0</v>
      </c>
    </row>
    <row r="2251" spans="67:74" x14ac:dyDescent="0.25">
      <c r="BO2251">
        <v>0</v>
      </c>
      <c r="BP2251">
        <v>0</v>
      </c>
      <c r="BQ2251">
        <v>0</v>
      </c>
      <c r="BR2251">
        <v>0</v>
      </c>
      <c r="BS2251">
        <v>0</v>
      </c>
      <c r="BT2251">
        <v>0</v>
      </c>
      <c r="BU2251">
        <v>0</v>
      </c>
      <c r="BV2251">
        <v>0</v>
      </c>
    </row>
    <row r="2252" spans="67:74" x14ac:dyDescent="0.25">
      <c r="BO2252">
        <v>0</v>
      </c>
      <c r="BP2252">
        <v>0</v>
      </c>
      <c r="BQ2252">
        <v>0</v>
      </c>
      <c r="BR2252">
        <v>0</v>
      </c>
      <c r="BS2252">
        <v>0</v>
      </c>
      <c r="BT2252">
        <v>0</v>
      </c>
      <c r="BU2252">
        <v>0</v>
      </c>
      <c r="BV2252">
        <v>0</v>
      </c>
    </row>
    <row r="2253" spans="67:74" x14ac:dyDescent="0.25">
      <c r="BO2253">
        <v>0</v>
      </c>
      <c r="BP2253">
        <v>0</v>
      </c>
      <c r="BQ2253">
        <v>0</v>
      </c>
      <c r="BR2253">
        <v>0</v>
      </c>
      <c r="BS2253">
        <v>0</v>
      </c>
      <c r="BT2253">
        <v>0</v>
      </c>
      <c r="BU2253">
        <v>0</v>
      </c>
      <c r="BV2253">
        <v>0</v>
      </c>
    </row>
    <row r="2254" spans="67:74" x14ac:dyDescent="0.25">
      <c r="BO2254">
        <v>0</v>
      </c>
      <c r="BP2254">
        <v>0</v>
      </c>
      <c r="BQ2254">
        <v>0</v>
      </c>
      <c r="BR2254">
        <v>0</v>
      </c>
      <c r="BS2254">
        <v>0</v>
      </c>
      <c r="BT2254">
        <v>0</v>
      </c>
      <c r="BU2254">
        <v>0</v>
      </c>
      <c r="BV2254">
        <v>0</v>
      </c>
    </row>
    <row r="2255" spans="67:74" x14ac:dyDescent="0.25">
      <c r="BO2255">
        <v>0</v>
      </c>
      <c r="BP2255">
        <v>0</v>
      </c>
      <c r="BQ2255">
        <v>0</v>
      </c>
      <c r="BR2255">
        <v>0</v>
      </c>
      <c r="BS2255">
        <v>0</v>
      </c>
      <c r="BT2255">
        <v>0</v>
      </c>
      <c r="BU2255">
        <v>0</v>
      </c>
      <c r="BV2255">
        <v>0</v>
      </c>
    </row>
    <row r="2256" spans="67:74" x14ac:dyDescent="0.25">
      <c r="BO2256">
        <v>0</v>
      </c>
      <c r="BP2256">
        <v>0</v>
      </c>
      <c r="BQ2256">
        <v>0</v>
      </c>
      <c r="BR2256">
        <v>0</v>
      </c>
      <c r="BS2256">
        <v>0</v>
      </c>
      <c r="BT2256">
        <v>0</v>
      </c>
      <c r="BU2256">
        <v>0</v>
      </c>
      <c r="BV2256">
        <v>0</v>
      </c>
    </row>
    <row r="2257" spans="67:74" x14ac:dyDescent="0.25">
      <c r="BO2257">
        <v>0</v>
      </c>
      <c r="BP2257">
        <v>0</v>
      </c>
      <c r="BQ2257">
        <v>0</v>
      </c>
      <c r="BR2257">
        <v>0</v>
      </c>
      <c r="BS2257">
        <v>0</v>
      </c>
      <c r="BT2257">
        <v>0</v>
      </c>
      <c r="BU2257">
        <v>0</v>
      </c>
      <c r="BV2257">
        <v>0</v>
      </c>
    </row>
    <row r="2258" spans="67:74" x14ac:dyDescent="0.25">
      <c r="BO2258">
        <v>0</v>
      </c>
      <c r="BP2258">
        <v>0</v>
      </c>
      <c r="BQ2258">
        <v>0</v>
      </c>
      <c r="BR2258">
        <v>0</v>
      </c>
      <c r="BS2258">
        <v>0</v>
      </c>
      <c r="BT2258">
        <v>0</v>
      </c>
      <c r="BU2258">
        <v>0</v>
      </c>
      <c r="BV2258">
        <v>0</v>
      </c>
    </row>
    <row r="2259" spans="67:74" x14ac:dyDescent="0.25">
      <c r="BO2259">
        <v>0</v>
      </c>
      <c r="BP2259">
        <v>0</v>
      </c>
      <c r="BQ2259">
        <v>0</v>
      </c>
      <c r="BR2259">
        <v>0</v>
      </c>
      <c r="BS2259">
        <v>0</v>
      </c>
      <c r="BT2259">
        <v>0</v>
      </c>
      <c r="BU2259">
        <v>0</v>
      </c>
      <c r="BV2259">
        <v>0</v>
      </c>
    </row>
    <row r="2260" spans="67:74" x14ac:dyDescent="0.25">
      <c r="BO2260">
        <v>0</v>
      </c>
      <c r="BP2260">
        <v>0</v>
      </c>
      <c r="BQ2260">
        <v>0</v>
      </c>
      <c r="BR2260">
        <v>0</v>
      </c>
      <c r="BS2260">
        <v>0</v>
      </c>
      <c r="BT2260">
        <v>0</v>
      </c>
      <c r="BU2260">
        <v>0</v>
      </c>
      <c r="BV2260">
        <v>0</v>
      </c>
    </row>
    <row r="2261" spans="67:74" x14ac:dyDescent="0.25">
      <c r="BO2261">
        <v>0</v>
      </c>
      <c r="BP2261">
        <v>0</v>
      </c>
      <c r="BQ2261">
        <v>0</v>
      </c>
      <c r="BR2261">
        <v>0</v>
      </c>
      <c r="BS2261">
        <v>0</v>
      </c>
      <c r="BT2261">
        <v>0</v>
      </c>
      <c r="BU2261">
        <v>0</v>
      </c>
      <c r="BV2261">
        <v>0</v>
      </c>
    </row>
    <row r="2262" spans="67:74" x14ac:dyDescent="0.25">
      <c r="BO2262">
        <v>0</v>
      </c>
      <c r="BP2262">
        <v>0</v>
      </c>
      <c r="BQ2262">
        <v>0</v>
      </c>
      <c r="BR2262">
        <v>0</v>
      </c>
      <c r="BS2262">
        <v>0</v>
      </c>
      <c r="BT2262">
        <v>0</v>
      </c>
      <c r="BU2262">
        <v>0</v>
      </c>
      <c r="BV2262">
        <v>0</v>
      </c>
    </row>
    <row r="2263" spans="67:74" x14ac:dyDescent="0.25">
      <c r="BO2263">
        <v>0</v>
      </c>
      <c r="BP2263">
        <v>0</v>
      </c>
      <c r="BQ2263">
        <v>0</v>
      </c>
      <c r="BR2263">
        <v>0</v>
      </c>
      <c r="BS2263">
        <v>0</v>
      </c>
      <c r="BT2263">
        <v>0</v>
      </c>
      <c r="BU2263">
        <v>0</v>
      </c>
      <c r="BV2263">
        <v>0</v>
      </c>
    </row>
    <row r="2264" spans="67:74" x14ac:dyDescent="0.25">
      <c r="BO2264">
        <v>0</v>
      </c>
      <c r="BP2264">
        <v>0</v>
      </c>
      <c r="BQ2264">
        <v>0</v>
      </c>
      <c r="BR2264">
        <v>0</v>
      </c>
      <c r="BS2264">
        <v>0</v>
      </c>
      <c r="BT2264">
        <v>0</v>
      </c>
      <c r="BU2264">
        <v>0</v>
      </c>
      <c r="BV2264">
        <v>0</v>
      </c>
    </row>
    <row r="2265" spans="67:74" x14ac:dyDescent="0.25">
      <c r="BO2265">
        <v>0</v>
      </c>
      <c r="BP2265">
        <v>0</v>
      </c>
      <c r="BQ2265">
        <v>0</v>
      </c>
      <c r="BR2265">
        <v>0</v>
      </c>
      <c r="BS2265">
        <v>0</v>
      </c>
      <c r="BT2265">
        <v>0</v>
      </c>
      <c r="BU2265">
        <v>0</v>
      </c>
      <c r="BV2265">
        <v>0</v>
      </c>
    </row>
    <row r="2266" spans="67:74" x14ac:dyDescent="0.25">
      <c r="BO2266">
        <v>0</v>
      </c>
      <c r="BP2266">
        <v>0</v>
      </c>
      <c r="BQ2266">
        <v>0</v>
      </c>
      <c r="BR2266">
        <v>0</v>
      </c>
      <c r="BS2266">
        <v>0</v>
      </c>
      <c r="BT2266">
        <v>0</v>
      </c>
      <c r="BU2266">
        <v>0</v>
      </c>
      <c r="BV2266">
        <v>0</v>
      </c>
    </row>
    <row r="2267" spans="67:74" x14ac:dyDescent="0.25">
      <c r="BO2267">
        <v>0</v>
      </c>
      <c r="BP2267">
        <v>0</v>
      </c>
      <c r="BQ2267">
        <v>0</v>
      </c>
      <c r="BR2267">
        <v>0</v>
      </c>
      <c r="BS2267">
        <v>0</v>
      </c>
      <c r="BT2267">
        <v>0</v>
      </c>
      <c r="BU2267">
        <v>0</v>
      </c>
      <c r="BV2267">
        <v>0</v>
      </c>
    </row>
    <row r="2268" spans="67:74" x14ac:dyDescent="0.25">
      <c r="BO2268">
        <v>0</v>
      </c>
      <c r="BP2268">
        <v>0</v>
      </c>
      <c r="BQ2268">
        <v>0</v>
      </c>
      <c r="BR2268">
        <v>0</v>
      </c>
      <c r="BS2268">
        <v>0</v>
      </c>
      <c r="BT2268">
        <v>0</v>
      </c>
      <c r="BU2268">
        <v>0</v>
      </c>
      <c r="BV2268">
        <v>0</v>
      </c>
    </row>
    <row r="2269" spans="67:74" x14ac:dyDescent="0.25">
      <c r="BO2269">
        <v>0</v>
      </c>
      <c r="BP2269">
        <v>0</v>
      </c>
      <c r="BQ2269">
        <v>0</v>
      </c>
      <c r="BR2269">
        <v>0</v>
      </c>
      <c r="BS2269">
        <v>0</v>
      </c>
      <c r="BT2269">
        <v>0</v>
      </c>
      <c r="BU2269">
        <v>0</v>
      </c>
      <c r="BV2269">
        <v>0</v>
      </c>
    </row>
    <row r="2270" spans="67:74" x14ac:dyDescent="0.25">
      <c r="BO2270">
        <v>0</v>
      </c>
      <c r="BP2270">
        <v>0</v>
      </c>
      <c r="BQ2270">
        <v>0</v>
      </c>
      <c r="BR2270">
        <v>0</v>
      </c>
      <c r="BS2270">
        <v>0</v>
      </c>
      <c r="BT2270">
        <v>0</v>
      </c>
      <c r="BU2270">
        <v>0</v>
      </c>
      <c r="BV2270">
        <v>0</v>
      </c>
    </row>
    <row r="2271" spans="67:74" x14ac:dyDescent="0.25">
      <c r="BO2271">
        <v>0</v>
      </c>
      <c r="BP2271">
        <v>0</v>
      </c>
      <c r="BQ2271">
        <v>0</v>
      </c>
      <c r="BR2271">
        <v>0</v>
      </c>
      <c r="BS2271">
        <v>0</v>
      </c>
      <c r="BT2271">
        <v>0</v>
      </c>
      <c r="BU2271">
        <v>0</v>
      </c>
      <c r="BV2271">
        <v>0</v>
      </c>
    </row>
    <row r="2272" spans="67:74" x14ac:dyDescent="0.25">
      <c r="BO2272">
        <v>0</v>
      </c>
      <c r="BP2272">
        <v>0</v>
      </c>
      <c r="BQ2272">
        <v>0</v>
      </c>
      <c r="BR2272">
        <v>0</v>
      </c>
      <c r="BS2272">
        <v>0</v>
      </c>
      <c r="BT2272">
        <v>0</v>
      </c>
      <c r="BU2272">
        <v>0</v>
      </c>
      <c r="BV2272">
        <v>0</v>
      </c>
    </row>
    <row r="2273" spans="67:74" x14ac:dyDescent="0.25">
      <c r="BO2273">
        <v>0</v>
      </c>
      <c r="BP2273">
        <v>0</v>
      </c>
      <c r="BQ2273">
        <v>0</v>
      </c>
      <c r="BR2273">
        <v>0</v>
      </c>
      <c r="BS2273">
        <v>0</v>
      </c>
      <c r="BT2273">
        <v>0</v>
      </c>
      <c r="BU2273">
        <v>0</v>
      </c>
      <c r="BV2273">
        <v>0</v>
      </c>
    </row>
    <row r="2274" spans="67:74" x14ac:dyDescent="0.25">
      <c r="BO2274">
        <v>0</v>
      </c>
      <c r="BP2274">
        <v>0</v>
      </c>
      <c r="BQ2274">
        <v>0</v>
      </c>
      <c r="BR2274">
        <v>0</v>
      </c>
      <c r="BS2274">
        <v>0</v>
      </c>
      <c r="BT2274">
        <v>0</v>
      </c>
      <c r="BU2274">
        <v>0</v>
      </c>
      <c r="BV2274">
        <v>0</v>
      </c>
    </row>
    <row r="2275" spans="67:74" x14ac:dyDescent="0.25">
      <c r="BO2275">
        <v>0</v>
      </c>
      <c r="BP2275">
        <v>0</v>
      </c>
      <c r="BQ2275">
        <v>0</v>
      </c>
      <c r="BR2275">
        <v>0</v>
      </c>
      <c r="BS2275">
        <v>0</v>
      </c>
      <c r="BT2275">
        <v>0</v>
      </c>
      <c r="BU2275">
        <v>0</v>
      </c>
      <c r="BV2275">
        <v>0</v>
      </c>
    </row>
    <row r="2276" spans="67:74" x14ac:dyDescent="0.25">
      <c r="BO2276">
        <v>0</v>
      </c>
      <c r="BP2276">
        <v>0</v>
      </c>
      <c r="BQ2276">
        <v>0</v>
      </c>
      <c r="BR2276">
        <v>0</v>
      </c>
      <c r="BS2276">
        <v>0</v>
      </c>
      <c r="BT2276">
        <v>0</v>
      </c>
      <c r="BU2276">
        <v>0</v>
      </c>
      <c r="BV2276">
        <v>0</v>
      </c>
    </row>
    <row r="2277" spans="67:74" x14ac:dyDescent="0.25">
      <c r="BO2277">
        <v>0</v>
      </c>
      <c r="BP2277">
        <v>0</v>
      </c>
      <c r="BQ2277">
        <v>0</v>
      </c>
      <c r="BR2277">
        <v>0</v>
      </c>
      <c r="BS2277">
        <v>0</v>
      </c>
      <c r="BT2277">
        <v>0</v>
      </c>
      <c r="BU2277">
        <v>0</v>
      </c>
      <c r="BV2277">
        <v>0</v>
      </c>
    </row>
    <row r="2278" spans="67:74" x14ac:dyDescent="0.25">
      <c r="BO2278">
        <v>0</v>
      </c>
      <c r="BP2278">
        <v>0</v>
      </c>
      <c r="BQ2278">
        <v>0</v>
      </c>
      <c r="BR2278">
        <v>0</v>
      </c>
      <c r="BS2278">
        <v>0</v>
      </c>
      <c r="BT2278">
        <v>0</v>
      </c>
      <c r="BU2278">
        <v>0</v>
      </c>
      <c r="BV2278">
        <v>0</v>
      </c>
    </row>
    <row r="2279" spans="67:74" x14ac:dyDescent="0.25">
      <c r="BO2279">
        <v>0</v>
      </c>
      <c r="BP2279">
        <v>0</v>
      </c>
      <c r="BQ2279">
        <v>0</v>
      </c>
      <c r="BR2279">
        <v>0</v>
      </c>
      <c r="BS2279">
        <v>0</v>
      </c>
      <c r="BT2279">
        <v>0</v>
      </c>
      <c r="BU2279">
        <v>0</v>
      </c>
      <c r="BV2279">
        <v>0</v>
      </c>
    </row>
    <row r="2280" spans="67:74" x14ac:dyDescent="0.25">
      <c r="BO2280">
        <v>0</v>
      </c>
      <c r="BP2280">
        <v>0</v>
      </c>
      <c r="BQ2280">
        <v>0</v>
      </c>
      <c r="BR2280">
        <v>0</v>
      </c>
      <c r="BS2280">
        <v>0</v>
      </c>
      <c r="BT2280">
        <v>0</v>
      </c>
      <c r="BU2280">
        <v>0</v>
      </c>
      <c r="BV2280">
        <v>0</v>
      </c>
    </row>
    <row r="2281" spans="67:74" x14ac:dyDescent="0.25">
      <c r="BO2281">
        <v>0</v>
      </c>
      <c r="BP2281">
        <v>0</v>
      </c>
      <c r="BQ2281">
        <v>0</v>
      </c>
      <c r="BR2281">
        <v>0</v>
      </c>
      <c r="BS2281">
        <v>0</v>
      </c>
      <c r="BT2281">
        <v>0</v>
      </c>
      <c r="BU2281">
        <v>0</v>
      </c>
      <c r="BV2281">
        <v>0</v>
      </c>
    </row>
    <row r="2282" spans="67:74" x14ac:dyDescent="0.25">
      <c r="BO2282">
        <v>0</v>
      </c>
      <c r="BP2282">
        <v>0</v>
      </c>
      <c r="BQ2282">
        <v>0</v>
      </c>
      <c r="BR2282">
        <v>0</v>
      </c>
      <c r="BS2282">
        <v>0</v>
      </c>
      <c r="BT2282">
        <v>0</v>
      </c>
      <c r="BU2282">
        <v>0</v>
      </c>
      <c r="BV2282">
        <v>0</v>
      </c>
    </row>
    <row r="2283" spans="67:74" x14ac:dyDescent="0.25">
      <c r="BO2283">
        <v>0</v>
      </c>
      <c r="BP2283">
        <v>0</v>
      </c>
      <c r="BQ2283">
        <v>0</v>
      </c>
      <c r="BR2283">
        <v>0</v>
      </c>
      <c r="BS2283">
        <v>0</v>
      </c>
      <c r="BT2283">
        <v>0</v>
      </c>
      <c r="BU2283">
        <v>0</v>
      </c>
      <c r="BV2283">
        <v>0</v>
      </c>
    </row>
    <row r="2284" spans="67:74" x14ac:dyDescent="0.25">
      <c r="BO2284">
        <v>0</v>
      </c>
      <c r="BP2284">
        <v>0</v>
      </c>
      <c r="BQ2284">
        <v>0</v>
      </c>
      <c r="BR2284">
        <v>0</v>
      </c>
      <c r="BS2284">
        <v>0</v>
      </c>
      <c r="BT2284">
        <v>0</v>
      </c>
      <c r="BU2284">
        <v>0</v>
      </c>
      <c r="BV2284">
        <v>0</v>
      </c>
    </row>
    <row r="2285" spans="67:74" x14ac:dyDescent="0.25">
      <c r="BO2285">
        <v>0</v>
      </c>
      <c r="BP2285">
        <v>0</v>
      </c>
      <c r="BQ2285">
        <v>0</v>
      </c>
      <c r="BR2285">
        <v>0</v>
      </c>
      <c r="BS2285">
        <v>0</v>
      </c>
      <c r="BT2285">
        <v>0</v>
      </c>
      <c r="BU2285">
        <v>0</v>
      </c>
      <c r="BV2285">
        <v>0</v>
      </c>
    </row>
    <row r="2286" spans="67:74" x14ac:dyDescent="0.25">
      <c r="BO2286">
        <v>0</v>
      </c>
      <c r="BP2286">
        <v>0</v>
      </c>
      <c r="BQ2286">
        <v>0</v>
      </c>
      <c r="BR2286">
        <v>0</v>
      </c>
      <c r="BS2286">
        <v>0</v>
      </c>
      <c r="BT2286">
        <v>0</v>
      </c>
      <c r="BU2286">
        <v>0</v>
      </c>
      <c r="BV2286">
        <v>0</v>
      </c>
    </row>
    <row r="2287" spans="67:74" x14ac:dyDescent="0.25">
      <c r="BO2287">
        <v>0</v>
      </c>
      <c r="BP2287">
        <v>0</v>
      </c>
      <c r="BQ2287">
        <v>0</v>
      </c>
      <c r="BR2287">
        <v>0</v>
      </c>
      <c r="BS2287">
        <v>0</v>
      </c>
      <c r="BT2287">
        <v>0</v>
      </c>
      <c r="BU2287">
        <v>0</v>
      </c>
      <c r="BV2287">
        <v>0</v>
      </c>
    </row>
    <row r="2288" spans="67:74" x14ac:dyDescent="0.25">
      <c r="BO2288">
        <v>0</v>
      </c>
      <c r="BP2288">
        <v>0</v>
      </c>
      <c r="BQ2288">
        <v>0</v>
      </c>
      <c r="BR2288">
        <v>0</v>
      </c>
      <c r="BS2288">
        <v>0</v>
      </c>
      <c r="BT2288">
        <v>0</v>
      </c>
      <c r="BU2288">
        <v>0</v>
      </c>
      <c r="BV2288">
        <v>0</v>
      </c>
    </row>
    <row r="2289" spans="67:74" x14ac:dyDescent="0.25">
      <c r="BO2289">
        <v>0</v>
      </c>
      <c r="BP2289">
        <v>0</v>
      </c>
      <c r="BQ2289">
        <v>0</v>
      </c>
      <c r="BR2289">
        <v>0</v>
      </c>
      <c r="BS2289">
        <v>0</v>
      </c>
      <c r="BT2289">
        <v>0</v>
      </c>
      <c r="BU2289">
        <v>0</v>
      </c>
      <c r="BV2289">
        <v>0</v>
      </c>
    </row>
    <row r="2290" spans="67:74" x14ac:dyDescent="0.25">
      <c r="BO2290">
        <v>0</v>
      </c>
      <c r="BP2290">
        <v>0</v>
      </c>
      <c r="BQ2290">
        <v>0</v>
      </c>
      <c r="BR2290">
        <v>0</v>
      </c>
      <c r="BS2290">
        <v>0</v>
      </c>
      <c r="BT2290">
        <v>0</v>
      </c>
      <c r="BU2290">
        <v>0</v>
      </c>
      <c r="BV2290">
        <v>0</v>
      </c>
    </row>
    <row r="2291" spans="67:74" x14ac:dyDescent="0.25">
      <c r="BO2291">
        <v>0</v>
      </c>
      <c r="BP2291">
        <v>0</v>
      </c>
      <c r="BQ2291">
        <v>0</v>
      </c>
      <c r="BR2291">
        <v>0</v>
      </c>
      <c r="BS2291">
        <v>0</v>
      </c>
      <c r="BT2291">
        <v>0</v>
      </c>
      <c r="BU2291">
        <v>0</v>
      </c>
      <c r="BV2291">
        <v>0</v>
      </c>
    </row>
    <row r="2292" spans="67:74" x14ac:dyDescent="0.25">
      <c r="BO2292">
        <v>0</v>
      </c>
      <c r="BP2292">
        <v>0</v>
      </c>
      <c r="BQ2292">
        <v>0</v>
      </c>
      <c r="BR2292">
        <v>0</v>
      </c>
      <c r="BS2292">
        <v>0</v>
      </c>
      <c r="BT2292">
        <v>0</v>
      </c>
      <c r="BU2292">
        <v>0</v>
      </c>
      <c r="BV2292">
        <v>0</v>
      </c>
    </row>
    <row r="2293" spans="67:74" x14ac:dyDescent="0.25">
      <c r="BO2293">
        <v>0</v>
      </c>
      <c r="BP2293">
        <v>0</v>
      </c>
      <c r="BQ2293">
        <v>0</v>
      </c>
      <c r="BR2293">
        <v>0</v>
      </c>
      <c r="BS2293">
        <v>0</v>
      </c>
      <c r="BT2293">
        <v>0</v>
      </c>
      <c r="BU2293">
        <v>0</v>
      </c>
      <c r="BV2293">
        <v>0</v>
      </c>
    </row>
    <row r="2294" spans="67:74" x14ac:dyDescent="0.25">
      <c r="BO2294">
        <v>0</v>
      </c>
      <c r="BP2294">
        <v>0</v>
      </c>
      <c r="BQ2294">
        <v>0</v>
      </c>
      <c r="BR2294">
        <v>0</v>
      </c>
      <c r="BS2294">
        <v>0</v>
      </c>
      <c r="BT2294">
        <v>0</v>
      </c>
      <c r="BU2294">
        <v>0</v>
      </c>
      <c r="BV2294">
        <v>0</v>
      </c>
    </row>
    <row r="2295" spans="67:74" x14ac:dyDescent="0.25">
      <c r="BO2295">
        <v>0</v>
      </c>
      <c r="BP2295">
        <v>0</v>
      </c>
      <c r="BQ2295">
        <v>0</v>
      </c>
      <c r="BR2295">
        <v>0</v>
      </c>
      <c r="BS2295">
        <v>0</v>
      </c>
      <c r="BT2295">
        <v>0</v>
      </c>
      <c r="BU2295">
        <v>0</v>
      </c>
      <c r="BV2295">
        <v>0</v>
      </c>
    </row>
    <row r="2296" spans="67:74" x14ac:dyDescent="0.25">
      <c r="BO2296">
        <v>0</v>
      </c>
      <c r="BP2296">
        <v>0</v>
      </c>
      <c r="BQ2296">
        <v>0</v>
      </c>
      <c r="BR2296">
        <v>0</v>
      </c>
      <c r="BS2296">
        <v>0</v>
      </c>
      <c r="BT2296">
        <v>0</v>
      </c>
      <c r="BU2296">
        <v>0</v>
      </c>
      <c r="BV2296">
        <v>0</v>
      </c>
    </row>
    <row r="2297" spans="67:74" x14ac:dyDescent="0.25">
      <c r="BO2297">
        <v>0</v>
      </c>
      <c r="BP2297">
        <v>0</v>
      </c>
      <c r="BQ2297">
        <v>0</v>
      </c>
      <c r="BR2297">
        <v>0</v>
      </c>
      <c r="BS2297">
        <v>0</v>
      </c>
      <c r="BT2297">
        <v>0</v>
      </c>
      <c r="BU2297">
        <v>0</v>
      </c>
      <c r="BV2297">
        <v>0</v>
      </c>
    </row>
    <row r="2298" spans="67:74" x14ac:dyDescent="0.25">
      <c r="BO2298">
        <v>0</v>
      </c>
      <c r="BP2298">
        <v>0</v>
      </c>
      <c r="BQ2298">
        <v>0</v>
      </c>
      <c r="BR2298">
        <v>0</v>
      </c>
      <c r="BS2298">
        <v>0</v>
      </c>
      <c r="BT2298">
        <v>0</v>
      </c>
      <c r="BU2298">
        <v>0</v>
      </c>
      <c r="BV2298">
        <v>0</v>
      </c>
    </row>
    <row r="2299" spans="67:74" x14ac:dyDescent="0.25">
      <c r="BO2299">
        <v>0</v>
      </c>
      <c r="BP2299">
        <v>0</v>
      </c>
      <c r="BQ2299">
        <v>0</v>
      </c>
      <c r="BR2299">
        <v>0</v>
      </c>
      <c r="BS2299">
        <v>0</v>
      </c>
      <c r="BT2299">
        <v>0</v>
      </c>
      <c r="BU2299">
        <v>0</v>
      </c>
      <c r="BV2299">
        <v>0</v>
      </c>
    </row>
    <row r="2300" spans="67:74" x14ac:dyDescent="0.25">
      <c r="BO2300">
        <v>0</v>
      </c>
      <c r="BP2300">
        <v>0</v>
      </c>
      <c r="BQ2300">
        <v>0</v>
      </c>
      <c r="BR2300">
        <v>0</v>
      </c>
      <c r="BS2300">
        <v>0</v>
      </c>
      <c r="BT2300">
        <v>0</v>
      </c>
      <c r="BU2300">
        <v>0</v>
      </c>
      <c r="BV2300">
        <v>0</v>
      </c>
    </row>
    <row r="2301" spans="67:74" x14ac:dyDescent="0.25">
      <c r="BO2301">
        <v>0</v>
      </c>
      <c r="BP2301">
        <v>0</v>
      </c>
      <c r="BQ2301">
        <v>0</v>
      </c>
      <c r="BR2301">
        <v>0</v>
      </c>
      <c r="BS2301">
        <v>0</v>
      </c>
      <c r="BT2301">
        <v>0</v>
      </c>
      <c r="BU2301">
        <v>0</v>
      </c>
      <c r="BV2301">
        <v>0</v>
      </c>
    </row>
    <row r="2302" spans="67:74" x14ac:dyDescent="0.25">
      <c r="BO2302">
        <v>0</v>
      </c>
      <c r="BP2302">
        <v>0</v>
      </c>
      <c r="BQ2302">
        <v>0</v>
      </c>
      <c r="BR2302">
        <v>0</v>
      </c>
      <c r="BS2302">
        <v>0</v>
      </c>
      <c r="BT2302">
        <v>0</v>
      </c>
      <c r="BU2302">
        <v>0</v>
      </c>
      <c r="BV2302">
        <v>0</v>
      </c>
    </row>
    <row r="2303" spans="67:74" x14ac:dyDescent="0.25">
      <c r="BO2303">
        <v>0</v>
      </c>
      <c r="BP2303">
        <v>0</v>
      </c>
      <c r="BQ2303">
        <v>0</v>
      </c>
      <c r="BR2303">
        <v>0</v>
      </c>
      <c r="BS2303">
        <v>0</v>
      </c>
      <c r="BT2303">
        <v>0</v>
      </c>
      <c r="BU2303">
        <v>0</v>
      </c>
      <c r="BV2303">
        <v>0</v>
      </c>
    </row>
    <row r="2304" spans="67:74" x14ac:dyDescent="0.25">
      <c r="BO2304">
        <v>0</v>
      </c>
      <c r="BP2304">
        <v>0</v>
      </c>
      <c r="BQ2304">
        <v>0</v>
      </c>
      <c r="BR2304">
        <v>0</v>
      </c>
      <c r="BS2304">
        <v>0</v>
      </c>
      <c r="BT2304">
        <v>0</v>
      </c>
      <c r="BU2304">
        <v>0</v>
      </c>
      <c r="BV2304">
        <v>0</v>
      </c>
    </row>
    <row r="2305" spans="67:74" x14ac:dyDescent="0.25">
      <c r="BO2305">
        <v>0</v>
      </c>
      <c r="BP2305">
        <v>0</v>
      </c>
      <c r="BQ2305">
        <v>0</v>
      </c>
      <c r="BR2305">
        <v>0</v>
      </c>
      <c r="BS2305">
        <v>0</v>
      </c>
      <c r="BT2305">
        <v>0</v>
      </c>
      <c r="BU2305">
        <v>0</v>
      </c>
      <c r="BV2305">
        <v>0</v>
      </c>
    </row>
    <row r="2306" spans="67:74" x14ac:dyDescent="0.25">
      <c r="BO2306">
        <v>0</v>
      </c>
      <c r="BP2306">
        <v>0</v>
      </c>
      <c r="BQ2306">
        <v>0</v>
      </c>
      <c r="BR2306">
        <v>0</v>
      </c>
      <c r="BS2306">
        <v>0</v>
      </c>
      <c r="BT2306">
        <v>0</v>
      </c>
      <c r="BU2306">
        <v>0</v>
      </c>
      <c r="BV2306">
        <v>0</v>
      </c>
    </row>
    <row r="2307" spans="67:74" x14ac:dyDescent="0.25">
      <c r="BO2307">
        <v>0</v>
      </c>
      <c r="BP2307">
        <v>0</v>
      </c>
      <c r="BQ2307">
        <v>0</v>
      </c>
      <c r="BR2307">
        <v>0</v>
      </c>
      <c r="BS2307">
        <v>0</v>
      </c>
      <c r="BT2307">
        <v>0</v>
      </c>
      <c r="BU2307">
        <v>0</v>
      </c>
      <c r="BV2307">
        <v>0</v>
      </c>
    </row>
    <row r="2308" spans="67:74" x14ac:dyDescent="0.25">
      <c r="BO2308">
        <v>0</v>
      </c>
      <c r="BP2308">
        <v>0</v>
      </c>
      <c r="BQ2308">
        <v>0</v>
      </c>
      <c r="BR2308">
        <v>0</v>
      </c>
      <c r="BS2308">
        <v>0</v>
      </c>
      <c r="BT2308">
        <v>0</v>
      </c>
      <c r="BU2308">
        <v>0</v>
      </c>
      <c r="BV2308">
        <v>0</v>
      </c>
    </row>
    <row r="2309" spans="67:74" x14ac:dyDescent="0.25">
      <c r="BO2309">
        <v>0</v>
      </c>
      <c r="BP2309">
        <v>0</v>
      </c>
      <c r="BQ2309">
        <v>0</v>
      </c>
      <c r="BR2309">
        <v>0</v>
      </c>
      <c r="BS2309">
        <v>0</v>
      </c>
      <c r="BT2309">
        <v>0</v>
      </c>
      <c r="BU2309">
        <v>0</v>
      </c>
      <c r="BV2309">
        <v>0</v>
      </c>
    </row>
    <row r="2310" spans="67:74" x14ac:dyDescent="0.25">
      <c r="BO2310">
        <v>0</v>
      </c>
      <c r="BP2310">
        <v>0</v>
      </c>
      <c r="BQ2310">
        <v>0</v>
      </c>
      <c r="BR2310">
        <v>0</v>
      </c>
      <c r="BS2310">
        <v>0</v>
      </c>
      <c r="BT2310">
        <v>0</v>
      </c>
      <c r="BU2310">
        <v>0</v>
      </c>
      <c r="BV2310">
        <v>0</v>
      </c>
    </row>
    <row r="2311" spans="67:74" x14ac:dyDescent="0.25">
      <c r="BO2311">
        <v>0</v>
      </c>
      <c r="BP2311">
        <v>0</v>
      </c>
      <c r="BQ2311">
        <v>0</v>
      </c>
      <c r="BR2311">
        <v>0</v>
      </c>
      <c r="BS2311">
        <v>0</v>
      </c>
      <c r="BT2311">
        <v>0</v>
      </c>
      <c r="BU2311">
        <v>0</v>
      </c>
      <c r="BV2311">
        <v>0</v>
      </c>
    </row>
    <row r="2312" spans="67:74" x14ac:dyDescent="0.25">
      <c r="BO2312">
        <v>0</v>
      </c>
      <c r="BP2312">
        <v>0</v>
      </c>
      <c r="BQ2312">
        <v>0</v>
      </c>
      <c r="BR2312">
        <v>0</v>
      </c>
      <c r="BS2312">
        <v>0</v>
      </c>
      <c r="BT2312">
        <v>0</v>
      </c>
      <c r="BU2312">
        <v>0</v>
      </c>
      <c r="BV2312">
        <v>0</v>
      </c>
    </row>
    <row r="2313" spans="67:74" x14ac:dyDescent="0.25">
      <c r="BO2313">
        <v>0</v>
      </c>
      <c r="BP2313">
        <v>0</v>
      </c>
      <c r="BQ2313">
        <v>0</v>
      </c>
      <c r="BR2313">
        <v>0</v>
      </c>
      <c r="BS2313">
        <v>0</v>
      </c>
      <c r="BT2313">
        <v>0</v>
      </c>
      <c r="BU2313">
        <v>0</v>
      </c>
      <c r="BV2313">
        <v>0</v>
      </c>
    </row>
    <row r="2314" spans="67:74" x14ac:dyDescent="0.25">
      <c r="BO2314">
        <v>0</v>
      </c>
      <c r="BP2314">
        <v>0</v>
      </c>
      <c r="BQ2314">
        <v>0</v>
      </c>
      <c r="BR2314">
        <v>0</v>
      </c>
      <c r="BS2314">
        <v>0</v>
      </c>
      <c r="BT2314">
        <v>0</v>
      </c>
      <c r="BU2314">
        <v>0</v>
      </c>
      <c r="BV2314">
        <v>0</v>
      </c>
    </row>
    <row r="2315" spans="67:74" x14ac:dyDescent="0.25">
      <c r="BO2315">
        <v>0</v>
      </c>
      <c r="BP2315">
        <v>0</v>
      </c>
      <c r="BQ2315">
        <v>0</v>
      </c>
      <c r="BR2315">
        <v>0</v>
      </c>
      <c r="BS2315">
        <v>0</v>
      </c>
      <c r="BT2315">
        <v>0</v>
      </c>
      <c r="BU2315">
        <v>0</v>
      </c>
      <c r="BV2315">
        <v>0</v>
      </c>
    </row>
    <row r="2316" spans="67:74" x14ac:dyDescent="0.25">
      <c r="BO2316">
        <v>0</v>
      </c>
      <c r="BP2316">
        <v>0</v>
      </c>
      <c r="BQ2316">
        <v>0</v>
      </c>
      <c r="BR2316">
        <v>0</v>
      </c>
      <c r="BS2316">
        <v>0</v>
      </c>
      <c r="BT2316">
        <v>0</v>
      </c>
      <c r="BU2316">
        <v>0</v>
      </c>
      <c r="BV2316">
        <v>0</v>
      </c>
    </row>
    <row r="2317" spans="67:74" x14ac:dyDescent="0.25">
      <c r="BO2317">
        <v>0</v>
      </c>
      <c r="BP2317">
        <v>0</v>
      </c>
      <c r="BQ2317">
        <v>0</v>
      </c>
      <c r="BR2317">
        <v>0</v>
      </c>
      <c r="BS2317">
        <v>0</v>
      </c>
      <c r="BT2317">
        <v>0</v>
      </c>
      <c r="BU2317">
        <v>0</v>
      </c>
      <c r="BV2317">
        <v>0</v>
      </c>
    </row>
    <row r="2318" spans="67:74" x14ac:dyDescent="0.25">
      <c r="BO2318">
        <v>0</v>
      </c>
      <c r="BP2318">
        <v>0</v>
      </c>
      <c r="BQ2318">
        <v>0</v>
      </c>
      <c r="BR2318">
        <v>0</v>
      </c>
      <c r="BS2318">
        <v>0</v>
      </c>
      <c r="BT2318">
        <v>0</v>
      </c>
      <c r="BU2318">
        <v>0</v>
      </c>
      <c r="BV2318">
        <v>0</v>
      </c>
    </row>
    <row r="2319" spans="67:74" x14ac:dyDescent="0.25">
      <c r="BO2319">
        <v>0</v>
      </c>
      <c r="BP2319">
        <v>0</v>
      </c>
      <c r="BQ2319">
        <v>0</v>
      </c>
      <c r="BR2319">
        <v>0</v>
      </c>
      <c r="BS2319">
        <v>0</v>
      </c>
      <c r="BT2319">
        <v>0</v>
      </c>
      <c r="BU2319">
        <v>0</v>
      </c>
      <c r="BV2319">
        <v>0</v>
      </c>
    </row>
    <row r="2320" spans="67:74" x14ac:dyDescent="0.25">
      <c r="BO2320">
        <v>0</v>
      </c>
      <c r="BP2320">
        <v>0</v>
      </c>
      <c r="BQ2320">
        <v>0</v>
      </c>
      <c r="BR2320">
        <v>0</v>
      </c>
      <c r="BS2320">
        <v>0</v>
      </c>
      <c r="BT2320">
        <v>0</v>
      </c>
      <c r="BU2320">
        <v>0</v>
      </c>
      <c r="BV2320">
        <v>0</v>
      </c>
    </row>
    <row r="2321" spans="67:74" x14ac:dyDescent="0.25">
      <c r="BO2321">
        <v>0</v>
      </c>
      <c r="BP2321">
        <v>0</v>
      </c>
      <c r="BQ2321">
        <v>0</v>
      </c>
      <c r="BR2321">
        <v>0</v>
      </c>
      <c r="BS2321">
        <v>0</v>
      </c>
      <c r="BT2321">
        <v>0</v>
      </c>
      <c r="BU2321">
        <v>0</v>
      </c>
      <c r="BV2321">
        <v>0</v>
      </c>
    </row>
    <row r="2322" spans="67:74" x14ac:dyDescent="0.25">
      <c r="BO2322">
        <v>0</v>
      </c>
      <c r="BP2322">
        <v>0</v>
      </c>
      <c r="BQ2322">
        <v>0</v>
      </c>
      <c r="BR2322">
        <v>0</v>
      </c>
      <c r="BS2322">
        <v>0</v>
      </c>
      <c r="BT2322">
        <v>0</v>
      </c>
      <c r="BU2322">
        <v>0</v>
      </c>
      <c r="BV2322">
        <v>0</v>
      </c>
    </row>
    <row r="2323" spans="67:74" x14ac:dyDescent="0.25">
      <c r="BO2323">
        <v>0</v>
      </c>
      <c r="BP2323">
        <v>0</v>
      </c>
      <c r="BQ2323">
        <v>0</v>
      </c>
      <c r="BR2323">
        <v>0</v>
      </c>
      <c r="BS2323">
        <v>0</v>
      </c>
      <c r="BT2323">
        <v>0</v>
      </c>
      <c r="BU2323">
        <v>0</v>
      </c>
      <c r="BV2323">
        <v>0</v>
      </c>
    </row>
    <row r="2324" spans="67:74" x14ac:dyDescent="0.25">
      <c r="BO2324">
        <v>0</v>
      </c>
      <c r="BP2324">
        <v>0</v>
      </c>
      <c r="BQ2324">
        <v>0</v>
      </c>
      <c r="BR2324">
        <v>0</v>
      </c>
      <c r="BS2324">
        <v>0</v>
      </c>
      <c r="BT2324">
        <v>0</v>
      </c>
      <c r="BU2324">
        <v>0</v>
      </c>
      <c r="BV2324">
        <v>0</v>
      </c>
    </row>
    <row r="2325" spans="67:74" x14ac:dyDescent="0.25">
      <c r="BO2325">
        <v>0</v>
      </c>
      <c r="BP2325">
        <v>0</v>
      </c>
      <c r="BQ2325">
        <v>0</v>
      </c>
      <c r="BR2325">
        <v>0</v>
      </c>
      <c r="BS2325">
        <v>0</v>
      </c>
      <c r="BT2325">
        <v>0</v>
      </c>
      <c r="BU2325">
        <v>0</v>
      </c>
      <c r="BV2325">
        <v>0</v>
      </c>
    </row>
    <row r="2326" spans="67:74" x14ac:dyDescent="0.25">
      <c r="BO2326">
        <v>0</v>
      </c>
      <c r="BP2326">
        <v>0</v>
      </c>
      <c r="BQ2326">
        <v>0</v>
      </c>
      <c r="BR2326">
        <v>0</v>
      </c>
      <c r="BS2326">
        <v>0</v>
      </c>
      <c r="BT2326">
        <v>0</v>
      </c>
      <c r="BU2326">
        <v>0</v>
      </c>
      <c r="BV2326">
        <v>0</v>
      </c>
    </row>
    <row r="2327" spans="67:74" x14ac:dyDescent="0.25">
      <c r="BO2327">
        <v>0</v>
      </c>
      <c r="BP2327">
        <v>0</v>
      </c>
      <c r="BQ2327">
        <v>0</v>
      </c>
      <c r="BR2327">
        <v>0</v>
      </c>
      <c r="BS2327">
        <v>0</v>
      </c>
      <c r="BT2327">
        <v>0</v>
      </c>
      <c r="BU2327">
        <v>0</v>
      </c>
      <c r="BV2327">
        <v>0</v>
      </c>
    </row>
    <row r="2328" spans="67:74" x14ac:dyDescent="0.25">
      <c r="BO2328">
        <v>0</v>
      </c>
      <c r="BP2328">
        <v>0</v>
      </c>
      <c r="BQ2328">
        <v>0</v>
      </c>
      <c r="BR2328">
        <v>0</v>
      </c>
      <c r="BS2328">
        <v>0</v>
      </c>
      <c r="BT2328">
        <v>0</v>
      </c>
      <c r="BU2328">
        <v>0</v>
      </c>
      <c r="BV2328">
        <v>0</v>
      </c>
    </row>
    <row r="2329" spans="67:74" x14ac:dyDescent="0.25">
      <c r="BO2329">
        <v>0</v>
      </c>
      <c r="BP2329">
        <v>0</v>
      </c>
      <c r="BQ2329">
        <v>0</v>
      </c>
      <c r="BR2329">
        <v>0</v>
      </c>
      <c r="BS2329">
        <v>0</v>
      </c>
      <c r="BT2329">
        <v>0</v>
      </c>
      <c r="BU2329">
        <v>0</v>
      </c>
      <c r="BV2329">
        <v>0</v>
      </c>
    </row>
    <row r="2330" spans="67:74" x14ac:dyDescent="0.25">
      <c r="BO2330">
        <v>0</v>
      </c>
      <c r="BP2330">
        <v>0</v>
      </c>
      <c r="BQ2330">
        <v>0</v>
      </c>
      <c r="BR2330">
        <v>0</v>
      </c>
      <c r="BS2330">
        <v>0</v>
      </c>
      <c r="BT2330">
        <v>0</v>
      </c>
      <c r="BU2330">
        <v>0</v>
      </c>
      <c r="BV2330">
        <v>0</v>
      </c>
    </row>
    <row r="2331" spans="67:74" x14ac:dyDescent="0.25">
      <c r="BO2331">
        <v>0</v>
      </c>
      <c r="BP2331">
        <v>0</v>
      </c>
      <c r="BQ2331">
        <v>0</v>
      </c>
      <c r="BR2331">
        <v>0</v>
      </c>
      <c r="BS2331">
        <v>0</v>
      </c>
      <c r="BT2331">
        <v>0</v>
      </c>
      <c r="BU2331">
        <v>0</v>
      </c>
      <c r="BV2331">
        <v>0</v>
      </c>
    </row>
    <row r="2332" spans="67:74" x14ac:dyDescent="0.25">
      <c r="BO2332">
        <v>0</v>
      </c>
      <c r="BP2332">
        <v>0</v>
      </c>
      <c r="BQ2332">
        <v>0</v>
      </c>
      <c r="BR2332">
        <v>0</v>
      </c>
      <c r="BS2332">
        <v>0</v>
      </c>
      <c r="BT2332">
        <v>0</v>
      </c>
      <c r="BU2332">
        <v>0</v>
      </c>
      <c r="BV2332">
        <v>0</v>
      </c>
    </row>
    <row r="2333" spans="67:74" x14ac:dyDescent="0.25">
      <c r="BO2333">
        <v>0</v>
      </c>
      <c r="BP2333">
        <v>0</v>
      </c>
      <c r="BQ2333">
        <v>0</v>
      </c>
      <c r="BR2333">
        <v>0</v>
      </c>
      <c r="BS2333">
        <v>0</v>
      </c>
      <c r="BT2333">
        <v>0</v>
      </c>
      <c r="BU2333">
        <v>0</v>
      </c>
      <c r="BV2333">
        <v>0</v>
      </c>
    </row>
    <row r="2334" spans="67:74" x14ac:dyDescent="0.25">
      <c r="BO2334">
        <v>0</v>
      </c>
      <c r="BP2334">
        <v>0</v>
      </c>
      <c r="BQ2334">
        <v>0</v>
      </c>
      <c r="BR2334">
        <v>0</v>
      </c>
      <c r="BS2334">
        <v>0</v>
      </c>
      <c r="BT2334">
        <v>0</v>
      </c>
      <c r="BU2334">
        <v>0</v>
      </c>
      <c r="BV2334">
        <v>0</v>
      </c>
    </row>
    <row r="2335" spans="67:74" x14ac:dyDescent="0.25">
      <c r="BO2335">
        <v>0</v>
      </c>
      <c r="BP2335">
        <v>0</v>
      </c>
      <c r="BQ2335">
        <v>0</v>
      </c>
      <c r="BR2335">
        <v>0</v>
      </c>
      <c r="BS2335">
        <v>0</v>
      </c>
      <c r="BT2335">
        <v>0</v>
      </c>
      <c r="BU2335">
        <v>0</v>
      </c>
      <c r="BV2335">
        <v>0</v>
      </c>
    </row>
    <row r="2336" spans="67:74" x14ac:dyDescent="0.25">
      <c r="BO2336">
        <v>0</v>
      </c>
      <c r="BP2336">
        <v>0</v>
      </c>
      <c r="BQ2336">
        <v>0</v>
      </c>
      <c r="BR2336">
        <v>0</v>
      </c>
      <c r="BS2336">
        <v>0</v>
      </c>
      <c r="BT2336">
        <v>0</v>
      </c>
      <c r="BU2336">
        <v>0</v>
      </c>
      <c r="BV2336">
        <v>0</v>
      </c>
    </row>
    <row r="2337" spans="67:74" x14ac:dyDescent="0.25">
      <c r="BO2337">
        <v>0</v>
      </c>
      <c r="BP2337">
        <v>0</v>
      </c>
      <c r="BQ2337">
        <v>0</v>
      </c>
      <c r="BR2337">
        <v>0</v>
      </c>
      <c r="BS2337">
        <v>0</v>
      </c>
      <c r="BT2337">
        <v>0</v>
      </c>
      <c r="BU2337">
        <v>0</v>
      </c>
      <c r="BV2337">
        <v>0</v>
      </c>
    </row>
    <row r="2338" spans="67:74" x14ac:dyDescent="0.25">
      <c r="BO2338">
        <v>0</v>
      </c>
      <c r="BP2338">
        <v>0</v>
      </c>
      <c r="BQ2338">
        <v>0</v>
      </c>
      <c r="BR2338">
        <v>0</v>
      </c>
      <c r="BS2338">
        <v>0</v>
      </c>
      <c r="BT2338">
        <v>0</v>
      </c>
      <c r="BU2338">
        <v>0</v>
      </c>
      <c r="BV2338">
        <v>0</v>
      </c>
    </row>
    <row r="2339" spans="67:74" x14ac:dyDescent="0.25">
      <c r="BO2339">
        <v>0</v>
      </c>
      <c r="BP2339">
        <v>0</v>
      </c>
      <c r="BQ2339">
        <v>0</v>
      </c>
      <c r="BR2339">
        <v>0</v>
      </c>
      <c r="BS2339">
        <v>0</v>
      </c>
      <c r="BT2339">
        <v>0</v>
      </c>
      <c r="BU2339">
        <v>0</v>
      </c>
      <c r="BV2339">
        <v>0</v>
      </c>
    </row>
    <row r="2340" spans="67:74" x14ac:dyDescent="0.25">
      <c r="BO2340">
        <v>0</v>
      </c>
      <c r="BP2340">
        <v>0</v>
      </c>
      <c r="BQ2340">
        <v>0</v>
      </c>
      <c r="BR2340">
        <v>0</v>
      </c>
      <c r="BS2340">
        <v>0</v>
      </c>
      <c r="BT2340">
        <v>0</v>
      </c>
      <c r="BU2340">
        <v>0</v>
      </c>
      <c r="BV2340">
        <v>0</v>
      </c>
    </row>
    <row r="2341" spans="67:74" x14ac:dyDescent="0.25">
      <c r="BO2341">
        <v>0</v>
      </c>
      <c r="BP2341">
        <v>0</v>
      </c>
      <c r="BQ2341">
        <v>0</v>
      </c>
      <c r="BR2341">
        <v>0</v>
      </c>
      <c r="BS2341">
        <v>0</v>
      </c>
      <c r="BT2341">
        <v>0</v>
      </c>
      <c r="BU2341">
        <v>0</v>
      </c>
      <c r="BV2341">
        <v>0</v>
      </c>
    </row>
    <row r="2342" spans="67:74" x14ac:dyDescent="0.25">
      <c r="BO2342">
        <v>0</v>
      </c>
      <c r="BP2342">
        <v>0</v>
      </c>
      <c r="BQ2342">
        <v>0</v>
      </c>
      <c r="BR2342">
        <v>0</v>
      </c>
      <c r="BS2342">
        <v>0</v>
      </c>
      <c r="BT2342">
        <v>0</v>
      </c>
      <c r="BU2342">
        <v>0</v>
      </c>
      <c r="BV2342">
        <v>0</v>
      </c>
    </row>
    <row r="2343" spans="67:74" x14ac:dyDescent="0.25">
      <c r="BO2343">
        <v>0</v>
      </c>
      <c r="BP2343">
        <v>0</v>
      </c>
      <c r="BQ2343">
        <v>0</v>
      </c>
      <c r="BR2343">
        <v>0</v>
      </c>
      <c r="BS2343">
        <v>0</v>
      </c>
      <c r="BT2343">
        <v>0</v>
      </c>
      <c r="BU2343">
        <v>0</v>
      </c>
      <c r="BV2343">
        <v>0</v>
      </c>
    </row>
    <row r="2344" spans="67:74" x14ac:dyDescent="0.25">
      <c r="BO2344">
        <v>0</v>
      </c>
      <c r="BP2344">
        <v>0</v>
      </c>
      <c r="BQ2344">
        <v>0</v>
      </c>
      <c r="BR2344">
        <v>0</v>
      </c>
      <c r="BS2344">
        <v>0</v>
      </c>
      <c r="BT2344">
        <v>0</v>
      </c>
      <c r="BU2344">
        <v>0</v>
      </c>
      <c r="BV2344">
        <v>0</v>
      </c>
    </row>
    <row r="2345" spans="67:74" x14ac:dyDescent="0.25">
      <c r="BO2345">
        <v>0</v>
      </c>
      <c r="BP2345">
        <v>0</v>
      </c>
      <c r="BQ2345">
        <v>0</v>
      </c>
      <c r="BR2345">
        <v>0</v>
      </c>
      <c r="BS2345">
        <v>0</v>
      </c>
      <c r="BT2345">
        <v>0</v>
      </c>
      <c r="BU2345">
        <v>0</v>
      </c>
      <c r="BV2345">
        <v>0</v>
      </c>
    </row>
    <row r="2346" spans="67:74" x14ac:dyDescent="0.25">
      <c r="BO2346">
        <v>0</v>
      </c>
      <c r="BP2346">
        <v>0</v>
      </c>
      <c r="BQ2346">
        <v>0</v>
      </c>
      <c r="BR2346">
        <v>0</v>
      </c>
      <c r="BS2346">
        <v>0</v>
      </c>
      <c r="BT2346">
        <v>0</v>
      </c>
      <c r="BU2346">
        <v>0</v>
      </c>
      <c r="BV2346">
        <v>0</v>
      </c>
    </row>
    <row r="2347" spans="67:74" x14ac:dyDescent="0.25">
      <c r="BO2347">
        <v>0</v>
      </c>
      <c r="BP2347">
        <v>0</v>
      </c>
      <c r="BQ2347">
        <v>0</v>
      </c>
      <c r="BR2347">
        <v>0</v>
      </c>
      <c r="BS2347">
        <v>0</v>
      </c>
      <c r="BT2347">
        <v>0</v>
      </c>
      <c r="BU2347">
        <v>0</v>
      </c>
      <c r="BV2347">
        <v>0</v>
      </c>
    </row>
    <row r="2348" spans="67:74" x14ac:dyDescent="0.25">
      <c r="BO2348">
        <v>0</v>
      </c>
      <c r="BP2348">
        <v>0</v>
      </c>
      <c r="BQ2348">
        <v>0</v>
      </c>
      <c r="BR2348">
        <v>0</v>
      </c>
      <c r="BS2348">
        <v>0</v>
      </c>
      <c r="BT2348">
        <v>0</v>
      </c>
      <c r="BU2348">
        <v>0</v>
      </c>
      <c r="BV2348">
        <v>0</v>
      </c>
    </row>
    <row r="2349" spans="67:74" x14ac:dyDescent="0.25">
      <c r="BO2349">
        <v>0</v>
      </c>
      <c r="BP2349">
        <v>0</v>
      </c>
      <c r="BQ2349">
        <v>0</v>
      </c>
      <c r="BR2349">
        <v>0</v>
      </c>
      <c r="BS2349">
        <v>0</v>
      </c>
      <c r="BT2349">
        <v>0</v>
      </c>
      <c r="BU2349">
        <v>0</v>
      </c>
      <c r="BV2349">
        <v>0</v>
      </c>
    </row>
    <row r="2350" spans="67:74" x14ac:dyDescent="0.25">
      <c r="BO2350">
        <v>0</v>
      </c>
      <c r="BP2350">
        <v>0</v>
      </c>
      <c r="BQ2350">
        <v>0</v>
      </c>
      <c r="BR2350">
        <v>0</v>
      </c>
      <c r="BS2350">
        <v>0</v>
      </c>
      <c r="BT2350">
        <v>0</v>
      </c>
      <c r="BU2350">
        <v>0</v>
      </c>
      <c r="BV2350">
        <v>0</v>
      </c>
    </row>
    <row r="2351" spans="67:74" x14ac:dyDescent="0.25">
      <c r="BO2351">
        <v>0</v>
      </c>
      <c r="BP2351">
        <v>0</v>
      </c>
      <c r="BQ2351">
        <v>0</v>
      </c>
      <c r="BR2351">
        <v>0</v>
      </c>
      <c r="BS2351">
        <v>0</v>
      </c>
      <c r="BT2351">
        <v>0</v>
      </c>
      <c r="BU2351">
        <v>0</v>
      </c>
      <c r="BV2351">
        <v>0</v>
      </c>
    </row>
    <row r="2352" spans="67:74" x14ac:dyDescent="0.25">
      <c r="BO2352">
        <v>0</v>
      </c>
      <c r="BP2352">
        <v>0</v>
      </c>
      <c r="BQ2352">
        <v>0</v>
      </c>
      <c r="BR2352">
        <v>0</v>
      </c>
      <c r="BS2352">
        <v>0</v>
      </c>
      <c r="BT2352">
        <v>0</v>
      </c>
      <c r="BU2352">
        <v>0</v>
      </c>
      <c r="BV2352">
        <v>0</v>
      </c>
    </row>
    <row r="2353" spans="1:74" x14ac:dyDescent="0.25">
      <c r="BO2353">
        <v>0</v>
      </c>
      <c r="BP2353">
        <v>0</v>
      </c>
      <c r="BQ2353">
        <v>0</v>
      </c>
      <c r="BR2353">
        <v>0</v>
      </c>
      <c r="BS2353">
        <v>0</v>
      </c>
      <c r="BT2353">
        <v>0</v>
      </c>
      <c r="BU2353">
        <v>0</v>
      </c>
      <c r="BV2353">
        <v>0</v>
      </c>
    </row>
    <row r="2354" spans="1:74" x14ac:dyDescent="0.25">
      <c r="BO2354">
        <v>0</v>
      </c>
      <c r="BP2354">
        <v>0</v>
      </c>
      <c r="BQ2354">
        <v>0</v>
      </c>
      <c r="BR2354">
        <v>0</v>
      </c>
      <c r="BS2354">
        <v>0</v>
      </c>
      <c r="BT2354">
        <v>0</v>
      </c>
      <c r="BU2354">
        <v>0</v>
      </c>
      <c r="BV2354">
        <v>0</v>
      </c>
    </row>
    <row r="2355" spans="1:74" x14ac:dyDescent="0.25">
      <c r="BO2355">
        <v>0</v>
      </c>
      <c r="BP2355">
        <v>0</v>
      </c>
      <c r="BQ2355">
        <v>0</v>
      </c>
      <c r="BR2355">
        <v>0</v>
      </c>
      <c r="BS2355">
        <v>0</v>
      </c>
      <c r="BT2355">
        <v>0</v>
      </c>
      <c r="BU2355">
        <v>0</v>
      </c>
      <c r="BV2355">
        <v>0</v>
      </c>
    </row>
    <row r="2356" spans="1:74" x14ac:dyDescent="0.25">
      <c r="BO2356">
        <v>0</v>
      </c>
      <c r="BP2356">
        <v>0</v>
      </c>
      <c r="BQ2356">
        <v>0</v>
      </c>
      <c r="BR2356">
        <v>0</v>
      </c>
      <c r="BS2356">
        <v>0</v>
      </c>
      <c r="BT2356">
        <v>0</v>
      </c>
      <c r="BU2356">
        <v>0</v>
      </c>
      <c r="BV2356">
        <v>0</v>
      </c>
    </row>
    <row r="2357" spans="1:74" x14ac:dyDescent="0.25">
      <c r="BO2357">
        <v>0</v>
      </c>
      <c r="BP2357">
        <v>0</v>
      </c>
      <c r="BQ2357">
        <v>0</v>
      </c>
      <c r="BR2357">
        <v>0</v>
      </c>
      <c r="BS2357">
        <v>0</v>
      </c>
      <c r="BT2357">
        <v>0</v>
      </c>
      <c r="BU2357">
        <v>0</v>
      </c>
      <c r="BV2357">
        <v>0</v>
      </c>
    </row>
    <row r="2358" spans="1:74" x14ac:dyDescent="0.25">
      <c r="BO2358">
        <v>0</v>
      </c>
      <c r="BP2358">
        <v>0</v>
      </c>
      <c r="BQ2358">
        <v>0</v>
      </c>
      <c r="BR2358">
        <v>0</v>
      </c>
      <c r="BS2358">
        <v>0</v>
      </c>
      <c r="BT2358">
        <v>0</v>
      </c>
      <c r="BU2358">
        <v>0</v>
      </c>
      <c r="BV2358">
        <v>0</v>
      </c>
    </row>
    <row r="2359" spans="1:74" x14ac:dyDescent="0.25">
      <c r="BO2359">
        <v>0</v>
      </c>
      <c r="BP2359">
        <v>0</v>
      </c>
      <c r="BQ2359">
        <v>0</v>
      </c>
      <c r="BR2359">
        <v>0</v>
      </c>
      <c r="BS2359">
        <v>0</v>
      </c>
      <c r="BT2359">
        <v>0</v>
      </c>
      <c r="BU2359">
        <v>0</v>
      </c>
      <c r="BV2359">
        <v>0</v>
      </c>
    </row>
    <row r="2360" spans="1:74" x14ac:dyDescent="0.25">
      <c r="BO2360">
        <v>0</v>
      </c>
      <c r="BP2360">
        <v>0</v>
      </c>
      <c r="BQ2360">
        <v>0</v>
      </c>
      <c r="BR2360">
        <v>0</v>
      </c>
      <c r="BS2360">
        <v>0</v>
      </c>
      <c r="BT2360">
        <v>0</v>
      </c>
      <c r="BU2360">
        <v>0</v>
      </c>
      <c r="BV2360">
        <v>0</v>
      </c>
    </row>
    <row r="2361" spans="1:74" x14ac:dyDescent="0.25">
      <c r="BO2361">
        <v>0</v>
      </c>
      <c r="BP2361">
        <v>0</v>
      </c>
      <c r="BQ2361">
        <v>0</v>
      </c>
      <c r="BR2361">
        <v>0</v>
      </c>
      <c r="BS2361">
        <v>0</v>
      </c>
      <c r="BT2361">
        <v>0</v>
      </c>
      <c r="BU2361">
        <v>0</v>
      </c>
      <c r="BV2361">
        <v>0</v>
      </c>
    </row>
    <row r="2362" spans="1:74" x14ac:dyDescent="0.25">
      <c r="BO2362">
        <v>0</v>
      </c>
      <c r="BP2362">
        <v>0</v>
      </c>
      <c r="BQ2362">
        <v>0</v>
      </c>
      <c r="BR2362">
        <v>0</v>
      </c>
      <c r="BS2362">
        <v>0</v>
      </c>
      <c r="BT2362">
        <v>0</v>
      </c>
      <c r="BU2362">
        <v>0</v>
      </c>
      <c r="BV2362">
        <v>0</v>
      </c>
    </row>
    <row r="2363" spans="1:74" x14ac:dyDescent="0.25">
      <c r="BO2363">
        <v>0</v>
      </c>
      <c r="BP2363">
        <v>0</v>
      </c>
      <c r="BQ2363">
        <v>0</v>
      </c>
      <c r="BR2363">
        <v>0</v>
      </c>
      <c r="BS2363">
        <v>0</v>
      </c>
      <c r="BT2363">
        <v>0</v>
      </c>
      <c r="BU2363">
        <v>0</v>
      </c>
      <c r="BV2363">
        <v>0</v>
      </c>
    </row>
    <row r="2364" spans="1:74" x14ac:dyDescent="0.25">
      <c r="BO2364">
        <v>0</v>
      </c>
      <c r="BP2364">
        <v>0</v>
      </c>
      <c r="BQ2364">
        <v>0</v>
      </c>
      <c r="BR2364">
        <v>0</v>
      </c>
      <c r="BS2364">
        <v>0</v>
      </c>
      <c r="BT2364">
        <v>0</v>
      </c>
      <c r="BU2364">
        <v>0</v>
      </c>
      <c r="BV2364">
        <v>0</v>
      </c>
    </row>
    <row r="2365" spans="1:74" x14ac:dyDescent="0.25">
      <c r="A2365" s="10"/>
      <c r="BO2365">
        <v>0</v>
      </c>
      <c r="BP2365">
        <v>0</v>
      </c>
      <c r="BQ2365">
        <v>0</v>
      </c>
      <c r="BR2365">
        <v>0</v>
      </c>
      <c r="BS2365">
        <v>0</v>
      </c>
      <c r="BT2365">
        <v>0</v>
      </c>
      <c r="BU2365">
        <v>0</v>
      </c>
      <c r="BV2365">
        <v>0</v>
      </c>
    </row>
    <row r="2366" spans="1:74" x14ac:dyDescent="0.25">
      <c r="A2366" s="10"/>
      <c r="BO2366">
        <v>0</v>
      </c>
      <c r="BP2366">
        <v>0</v>
      </c>
      <c r="BQ2366">
        <v>0</v>
      </c>
      <c r="BR2366">
        <v>0</v>
      </c>
      <c r="BS2366">
        <v>0</v>
      </c>
      <c r="BT2366">
        <v>0</v>
      </c>
      <c r="BU2366">
        <v>0</v>
      </c>
      <c r="BV2366">
        <v>0</v>
      </c>
    </row>
    <row r="2367" spans="1:74" x14ac:dyDescent="0.25">
      <c r="BO2367">
        <v>0</v>
      </c>
      <c r="BP2367">
        <v>0</v>
      </c>
      <c r="BQ2367">
        <v>0</v>
      </c>
      <c r="BR2367">
        <v>0</v>
      </c>
      <c r="BS2367">
        <v>0</v>
      </c>
      <c r="BT2367">
        <v>0</v>
      </c>
      <c r="BU2367">
        <v>0</v>
      </c>
      <c r="BV2367">
        <v>0</v>
      </c>
    </row>
    <row r="2368" spans="1:74" x14ac:dyDescent="0.25">
      <c r="BO2368">
        <v>0</v>
      </c>
      <c r="BP2368">
        <v>0</v>
      </c>
      <c r="BQ2368">
        <v>0</v>
      </c>
      <c r="BR2368">
        <v>0</v>
      </c>
      <c r="BS2368">
        <v>0</v>
      </c>
      <c r="BT2368">
        <v>0</v>
      </c>
      <c r="BU2368">
        <v>0</v>
      </c>
      <c r="BV2368">
        <v>0</v>
      </c>
    </row>
    <row r="2369" spans="57:74" x14ac:dyDescent="0.25">
      <c r="BO2369">
        <v>0</v>
      </c>
      <c r="BP2369">
        <v>0</v>
      </c>
      <c r="BQ2369">
        <v>0</v>
      </c>
      <c r="BR2369">
        <v>0</v>
      </c>
      <c r="BS2369">
        <v>0</v>
      </c>
      <c r="BT2369">
        <v>0</v>
      </c>
      <c r="BU2369">
        <v>0</v>
      </c>
      <c r="BV2369">
        <v>0</v>
      </c>
    </row>
    <row r="2370" spans="57:74" x14ac:dyDescent="0.25">
      <c r="BO2370">
        <v>0</v>
      </c>
      <c r="BP2370">
        <v>0</v>
      </c>
      <c r="BQ2370">
        <v>0</v>
      </c>
      <c r="BR2370">
        <v>0</v>
      </c>
      <c r="BS2370">
        <v>0</v>
      </c>
      <c r="BT2370">
        <v>0</v>
      </c>
      <c r="BU2370">
        <v>0</v>
      </c>
      <c r="BV2370">
        <v>0</v>
      </c>
    </row>
    <row r="2371" spans="57:74" x14ac:dyDescent="0.25">
      <c r="BO2371">
        <v>0</v>
      </c>
      <c r="BP2371">
        <v>0</v>
      </c>
      <c r="BQ2371">
        <v>0</v>
      </c>
      <c r="BR2371">
        <v>0</v>
      </c>
      <c r="BS2371">
        <v>0</v>
      </c>
      <c r="BT2371">
        <v>0</v>
      </c>
      <c r="BU2371">
        <v>0</v>
      </c>
      <c r="BV2371">
        <v>0</v>
      </c>
    </row>
    <row r="2372" spans="57:74" x14ac:dyDescent="0.25">
      <c r="BO2372">
        <v>0</v>
      </c>
      <c r="BP2372">
        <v>0</v>
      </c>
      <c r="BQ2372">
        <v>0</v>
      </c>
      <c r="BR2372">
        <v>0</v>
      </c>
      <c r="BS2372">
        <v>0</v>
      </c>
      <c r="BT2372">
        <v>0</v>
      </c>
      <c r="BU2372">
        <v>0</v>
      </c>
      <c r="BV2372">
        <v>0</v>
      </c>
    </row>
    <row r="2373" spans="57:74" x14ac:dyDescent="0.25">
      <c r="BO2373">
        <v>0</v>
      </c>
      <c r="BP2373">
        <v>0</v>
      </c>
      <c r="BQ2373">
        <v>0</v>
      </c>
      <c r="BR2373">
        <v>0</v>
      </c>
      <c r="BS2373">
        <v>0</v>
      </c>
      <c r="BT2373">
        <v>0</v>
      </c>
      <c r="BU2373">
        <v>0</v>
      </c>
      <c r="BV2373">
        <v>0</v>
      </c>
    </row>
    <row r="2374" spans="57:74" x14ac:dyDescent="0.25">
      <c r="BO2374">
        <v>0</v>
      </c>
      <c r="BP2374">
        <v>0</v>
      </c>
      <c r="BQ2374">
        <v>0</v>
      </c>
      <c r="BR2374">
        <v>0</v>
      </c>
      <c r="BS2374">
        <v>0</v>
      </c>
      <c r="BT2374">
        <v>0</v>
      </c>
      <c r="BU2374">
        <v>0</v>
      </c>
      <c r="BV2374">
        <v>0</v>
      </c>
    </row>
    <row r="2375" spans="57:74" x14ac:dyDescent="0.25">
      <c r="BO2375">
        <v>0</v>
      </c>
      <c r="BP2375">
        <v>0</v>
      </c>
      <c r="BQ2375">
        <v>0</v>
      </c>
      <c r="BR2375">
        <v>0</v>
      </c>
      <c r="BS2375">
        <v>0</v>
      </c>
      <c r="BT2375">
        <v>0</v>
      </c>
      <c r="BU2375">
        <v>0</v>
      </c>
      <c r="BV2375">
        <v>0</v>
      </c>
    </row>
    <row r="2376" spans="57:74" x14ac:dyDescent="0.25">
      <c r="BO2376">
        <v>0</v>
      </c>
      <c r="BP2376">
        <v>0</v>
      </c>
      <c r="BQ2376">
        <v>0</v>
      </c>
      <c r="BR2376">
        <v>0</v>
      </c>
      <c r="BS2376">
        <v>0</v>
      </c>
      <c r="BT2376">
        <v>0</v>
      </c>
      <c r="BU2376">
        <v>0</v>
      </c>
      <c r="BV2376">
        <v>0</v>
      </c>
    </row>
    <row r="2377" spans="57:74" x14ac:dyDescent="0.25">
      <c r="BE2377" s="1"/>
      <c r="BO2377">
        <v>0</v>
      </c>
      <c r="BP2377">
        <v>0</v>
      </c>
      <c r="BQ2377">
        <v>0</v>
      </c>
      <c r="BR2377">
        <v>0</v>
      </c>
      <c r="BS2377">
        <v>0</v>
      </c>
      <c r="BT2377">
        <v>0</v>
      </c>
      <c r="BU2377">
        <v>0</v>
      </c>
      <c r="BV2377">
        <v>0</v>
      </c>
    </row>
    <row r="2378" spans="57:74" x14ac:dyDescent="0.25">
      <c r="BO2378">
        <v>0</v>
      </c>
      <c r="BP2378">
        <v>0</v>
      </c>
      <c r="BQ2378">
        <v>0</v>
      </c>
      <c r="BR2378">
        <v>0</v>
      </c>
      <c r="BS2378">
        <v>0</v>
      </c>
      <c r="BT2378">
        <v>0</v>
      </c>
      <c r="BU2378">
        <v>0</v>
      </c>
      <c r="BV2378">
        <v>0</v>
      </c>
    </row>
    <row r="2379" spans="57:74" x14ac:dyDescent="0.25">
      <c r="BO2379">
        <v>0</v>
      </c>
      <c r="BP2379">
        <v>0</v>
      </c>
      <c r="BQ2379">
        <v>0</v>
      </c>
      <c r="BR2379">
        <v>0</v>
      </c>
      <c r="BS2379">
        <v>0</v>
      </c>
      <c r="BT2379">
        <v>0</v>
      </c>
      <c r="BU2379">
        <v>0</v>
      </c>
      <c r="BV2379">
        <v>0</v>
      </c>
    </row>
    <row r="2380" spans="57:74" x14ac:dyDescent="0.25">
      <c r="BO2380">
        <v>0</v>
      </c>
      <c r="BP2380">
        <v>0</v>
      </c>
      <c r="BQ2380">
        <v>0</v>
      </c>
      <c r="BR2380">
        <v>0</v>
      </c>
      <c r="BS2380">
        <v>0</v>
      </c>
      <c r="BT2380">
        <v>0</v>
      </c>
      <c r="BU2380">
        <v>0</v>
      </c>
      <c r="BV2380">
        <v>0</v>
      </c>
    </row>
    <row r="2381" spans="57:74" x14ac:dyDescent="0.25">
      <c r="BO2381">
        <v>0</v>
      </c>
      <c r="BP2381">
        <v>0</v>
      </c>
      <c r="BQ2381">
        <v>0</v>
      </c>
      <c r="BR2381">
        <v>0</v>
      </c>
      <c r="BS2381">
        <v>0</v>
      </c>
      <c r="BT2381">
        <v>0</v>
      </c>
      <c r="BU2381">
        <v>0</v>
      </c>
      <c r="BV2381">
        <v>0</v>
      </c>
    </row>
    <row r="2382" spans="57:74" x14ac:dyDescent="0.25">
      <c r="BO2382">
        <v>0</v>
      </c>
      <c r="BP2382">
        <v>0</v>
      </c>
      <c r="BQ2382">
        <v>0</v>
      </c>
      <c r="BR2382">
        <v>0</v>
      </c>
      <c r="BS2382">
        <v>0</v>
      </c>
      <c r="BT2382">
        <v>0</v>
      </c>
      <c r="BU2382">
        <v>0</v>
      </c>
      <c r="BV2382">
        <v>0</v>
      </c>
    </row>
    <row r="2383" spans="57:74" x14ac:dyDescent="0.25">
      <c r="BO2383">
        <v>0</v>
      </c>
      <c r="BP2383">
        <v>0</v>
      </c>
      <c r="BQ2383">
        <v>0</v>
      </c>
      <c r="BR2383">
        <v>0</v>
      </c>
      <c r="BS2383">
        <v>0</v>
      </c>
      <c r="BT2383">
        <v>0</v>
      </c>
      <c r="BU2383">
        <v>0</v>
      </c>
      <c r="BV2383">
        <v>0</v>
      </c>
    </row>
    <row r="2384" spans="57:74" x14ac:dyDescent="0.25">
      <c r="BO2384">
        <v>0</v>
      </c>
      <c r="BP2384">
        <v>0</v>
      </c>
      <c r="BQ2384">
        <v>0</v>
      </c>
      <c r="BR2384">
        <v>0</v>
      </c>
      <c r="BS2384">
        <v>0</v>
      </c>
      <c r="BT2384">
        <v>0</v>
      </c>
      <c r="BU2384">
        <v>0</v>
      </c>
      <c r="BV2384">
        <v>0</v>
      </c>
    </row>
    <row r="2385" spans="67:74" x14ac:dyDescent="0.25">
      <c r="BO2385">
        <v>0</v>
      </c>
      <c r="BP2385">
        <v>0</v>
      </c>
      <c r="BQ2385">
        <v>0</v>
      </c>
      <c r="BR2385">
        <v>0</v>
      </c>
      <c r="BS2385">
        <v>0</v>
      </c>
      <c r="BT2385">
        <v>0</v>
      </c>
      <c r="BU2385">
        <v>0</v>
      </c>
      <c r="BV2385">
        <v>0</v>
      </c>
    </row>
    <row r="2386" spans="67:74" x14ac:dyDescent="0.25">
      <c r="BO2386">
        <v>0</v>
      </c>
      <c r="BP2386">
        <v>0</v>
      </c>
      <c r="BQ2386">
        <v>0</v>
      </c>
      <c r="BR2386">
        <v>0</v>
      </c>
      <c r="BS2386">
        <v>0</v>
      </c>
      <c r="BT2386">
        <v>0</v>
      </c>
      <c r="BU2386">
        <v>0</v>
      </c>
      <c r="BV2386">
        <v>0</v>
      </c>
    </row>
    <row r="2387" spans="67:74" x14ac:dyDescent="0.25">
      <c r="BO2387">
        <v>0</v>
      </c>
      <c r="BP2387">
        <v>0</v>
      </c>
      <c r="BQ2387">
        <v>0</v>
      </c>
      <c r="BR2387">
        <v>0</v>
      </c>
      <c r="BS2387">
        <v>0</v>
      </c>
      <c r="BT2387">
        <v>0</v>
      </c>
      <c r="BU2387">
        <v>0</v>
      </c>
      <c r="BV2387">
        <v>0</v>
      </c>
    </row>
    <row r="2388" spans="67:74" x14ac:dyDescent="0.25">
      <c r="BO2388">
        <v>0</v>
      </c>
      <c r="BP2388">
        <v>0</v>
      </c>
      <c r="BQ2388">
        <v>0</v>
      </c>
      <c r="BR2388">
        <v>0</v>
      </c>
      <c r="BS2388">
        <v>0</v>
      </c>
      <c r="BT2388">
        <v>0</v>
      </c>
      <c r="BU2388">
        <v>0</v>
      </c>
      <c r="BV2388">
        <v>0</v>
      </c>
    </row>
    <row r="2389" spans="67:74" x14ac:dyDescent="0.25">
      <c r="BO2389">
        <v>0</v>
      </c>
      <c r="BP2389">
        <v>0</v>
      </c>
      <c r="BQ2389">
        <v>0</v>
      </c>
      <c r="BR2389">
        <v>0</v>
      </c>
      <c r="BS2389">
        <v>0</v>
      </c>
      <c r="BT2389">
        <v>0</v>
      </c>
      <c r="BU2389">
        <v>0</v>
      </c>
      <c r="BV2389">
        <v>0</v>
      </c>
    </row>
    <row r="2390" spans="67:74" x14ac:dyDescent="0.25">
      <c r="BO2390">
        <v>0</v>
      </c>
      <c r="BP2390">
        <v>0</v>
      </c>
      <c r="BQ2390">
        <v>0</v>
      </c>
      <c r="BR2390">
        <v>0</v>
      </c>
      <c r="BS2390">
        <v>0</v>
      </c>
      <c r="BT2390">
        <v>0</v>
      </c>
      <c r="BU2390">
        <v>0</v>
      </c>
      <c r="BV2390">
        <v>0</v>
      </c>
    </row>
    <row r="2391" spans="67:74" x14ac:dyDescent="0.25">
      <c r="BO2391">
        <v>0</v>
      </c>
      <c r="BP2391">
        <v>0</v>
      </c>
      <c r="BQ2391">
        <v>0</v>
      </c>
      <c r="BR2391">
        <v>0</v>
      </c>
      <c r="BS2391">
        <v>0</v>
      </c>
      <c r="BT2391">
        <v>0</v>
      </c>
      <c r="BU2391">
        <v>0</v>
      </c>
      <c r="BV2391">
        <v>0</v>
      </c>
    </row>
    <row r="2392" spans="67:74" x14ac:dyDescent="0.25">
      <c r="BO2392">
        <v>0</v>
      </c>
      <c r="BP2392">
        <v>0</v>
      </c>
      <c r="BQ2392">
        <v>0</v>
      </c>
      <c r="BR2392">
        <v>0</v>
      </c>
      <c r="BS2392">
        <v>0</v>
      </c>
      <c r="BT2392">
        <v>0</v>
      </c>
      <c r="BU2392">
        <v>0</v>
      </c>
      <c r="BV2392">
        <v>0</v>
      </c>
    </row>
    <row r="2393" spans="67:74" x14ac:dyDescent="0.25">
      <c r="BO2393">
        <v>0</v>
      </c>
      <c r="BP2393">
        <v>0</v>
      </c>
      <c r="BQ2393">
        <v>0</v>
      </c>
      <c r="BR2393">
        <v>0</v>
      </c>
      <c r="BS2393">
        <v>0</v>
      </c>
      <c r="BT2393">
        <v>0</v>
      </c>
      <c r="BU2393">
        <v>0</v>
      </c>
      <c r="BV2393">
        <v>0</v>
      </c>
    </row>
    <row r="2394" spans="67:74" x14ac:dyDescent="0.25">
      <c r="BO2394">
        <v>0</v>
      </c>
      <c r="BP2394">
        <v>0</v>
      </c>
      <c r="BQ2394">
        <v>0</v>
      </c>
      <c r="BR2394">
        <v>0</v>
      </c>
      <c r="BS2394">
        <v>0</v>
      </c>
      <c r="BT2394">
        <v>0</v>
      </c>
      <c r="BU2394">
        <v>0</v>
      </c>
      <c r="BV2394">
        <v>0</v>
      </c>
    </row>
    <row r="2395" spans="67:74" x14ac:dyDescent="0.25">
      <c r="BO2395">
        <v>0</v>
      </c>
      <c r="BP2395">
        <v>0</v>
      </c>
      <c r="BQ2395">
        <v>0</v>
      </c>
      <c r="BR2395">
        <v>0</v>
      </c>
      <c r="BS2395">
        <v>0</v>
      </c>
      <c r="BT2395">
        <v>0</v>
      </c>
      <c r="BU2395">
        <v>0</v>
      </c>
      <c r="BV2395">
        <v>0</v>
      </c>
    </row>
    <row r="2396" spans="67:74" x14ac:dyDescent="0.25">
      <c r="BO2396">
        <v>0</v>
      </c>
      <c r="BP2396">
        <v>0</v>
      </c>
      <c r="BQ2396">
        <v>0</v>
      </c>
      <c r="BR2396">
        <v>0</v>
      </c>
      <c r="BS2396">
        <v>0</v>
      </c>
      <c r="BT2396">
        <v>0</v>
      </c>
      <c r="BU2396">
        <v>0</v>
      </c>
      <c r="BV2396">
        <v>0</v>
      </c>
    </row>
    <row r="2397" spans="67:74" x14ac:dyDescent="0.25">
      <c r="BO2397">
        <v>0</v>
      </c>
      <c r="BP2397">
        <v>0</v>
      </c>
      <c r="BQ2397">
        <v>0</v>
      </c>
      <c r="BR2397">
        <v>0</v>
      </c>
      <c r="BS2397">
        <v>0</v>
      </c>
      <c r="BT2397">
        <v>0</v>
      </c>
      <c r="BU2397">
        <v>0</v>
      </c>
      <c r="BV2397">
        <v>0</v>
      </c>
    </row>
    <row r="2398" spans="67:74" x14ac:dyDescent="0.25">
      <c r="BO2398">
        <v>0</v>
      </c>
      <c r="BP2398">
        <v>0</v>
      </c>
      <c r="BQ2398">
        <v>0</v>
      </c>
      <c r="BR2398">
        <v>0</v>
      </c>
      <c r="BS2398">
        <v>0</v>
      </c>
      <c r="BT2398">
        <v>0</v>
      </c>
      <c r="BU2398">
        <v>0</v>
      </c>
      <c r="BV2398">
        <v>0</v>
      </c>
    </row>
    <row r="2399" spans="67:74" x14ac:dyDescent="0.25">
      <c r="BO2399">
        <v>0</v>
      </c>
      <c r="BP2399">
        <v>0</v>
      </c>
      <c r="BQ2399">
        <v>0</v>
      </c>
      <c r="BR2399">
        <v>0</v>
      </c>
      <c r="BS2399">
        <v>0</v>
      </c>
      <c r="BT2399">
        <v>0</v>
      </c>
      <c r="BU2399">
        <v>0</v>
      </c>
      <c r="BV2399">
        <v>0</v>
      </c>
    </row>
    <row r="2400" spans="67:74" x14ac:dyDescent="0.25">
      <c r="BO2400">
        <v>0</v>
      </c>
      <c r="BP2400">
        <v>0</v>
      </c>
      <c r="BQ2400">
        <v>0</v>
      </c>
      <c r="BR2400">
        <v>0</v>
      </c>
      <c r="BS2400">
        <v>0</v>
      </c>
      <c r="BT2400">
        <v>0</v>
      </c>
      <c r="BU2400">
        <v>0</v>
      </c>
      <c r="BV2400">
        <v>0</v>
      </c>
    </row>
    <row r="2401" spans="1:74" x14ac:dyDescent="0.25">
      <c r="BO2401">
        <v>0</v>
      </c>
      <c r="BP2401">
        <v>0</v>
      </c>
      <c r="BQ2401">
        <v>0</v>
      </c>
      <c r="BR2401">
        <v>0</v>
      </c>
      <c r="BS2401">
        <v>0</v>
      </c>
      <c r="BT2401">
        <v>0</v>
      </c>
      <c r="BU2401">
        <v>0</v>
      </c>
      <c r="BV2401">
        <v>0</v>
      </c>
    </row>
    <row r="2402" spans="1:74" x14ac:dyDescent="0.25">
      <c r="BO2402">
        <v>0</v>
      </c>
      <c r="BP2402">
        <v>0</v>
      </c>
      <c r="BQ2402">
        <v>0</v>
      </c>
      <c r="BR2402">
        <v>0</v>
      </c>
      <c r="BS2402">
        <v>0</v>
      </c>
      <c r="BT2402">
        <v>0</v>
      </c>
      <c r="BU2402">
        <v>0</v>
      </c>
      <c r="BV2402">
        <v>0</v>
      </c>
    </row>
    <row r="2403" spans="1:74" x14ac:dyDescent="0.25">
      <c r="BO2403">
        <v>0</v>
      </c>
      <c r="BP2403">
        <v>0</v>
      </c>
      <c r="BQ2403">
        <v>0</v>
      </c>
      <c r="BR2403">
        <v>0</v>
      </c>
      <c r="BS2403">
        <v>0</v>
      </c>
      <c r="BT2403">
        <v>0</v>
      </c>
      <c r="BU2403">
        <v>0</v>
      </c>
      <c r="BV2403">
        <v>0</v>
      </c>
    </row>
    <row r="2404" spans="1:74" x14ac:dyDescent="0.25">
      <c r="BO2404">
        <v>0</v>
      </c>
      <c r="BP2404">
        <v>0</v>
      </c>
      <c r="BQ2404">
        <v>0</v>
      </c>
      <c r="BR2404">
        <v>0</v>
      </c>
      <c r="BS2404">
        <v>0</v>
      </c>
      <c r="BT2404">
        <v>0</v>
      </c>
      <c r="BU2404">
        <v>0</v>
      </c>
      <c r="BV2404">
        <v>0</v>
      </c>
    </row>
    <row r="2405" spans="1:74" x14ac:dyDescent="0.25">
      <c r="BO2405">
        <v>0</v>
      </c>
      <c r="BP2405">
        <v>0</v>
      </c>
      <c r="BQ2405">
        <v>0</v>
      </c>
      <c r="BR2405">
        <v>0</v>
      </c>
      <c r="BS2405">
        <v>0</v>
      </c>
      <c r="BT2405">
        <v>0</v>
      </c>
      <c r="BU2405">
        <v>0</v>
      </c>
      <c r="BV2405">
        <v>0</v>
      </c>
    </row>
    <row r="2406" spans="1:74" x14ac:dyDescent="0.25">
      <c r="BO2406">
        <v>0</v>
      </c>
      <c r="BP2406">
        <v>0</v>
      </c>
      <c r="BQ2406">
        <v>0</v>
      </c>
      <c r="BR2406">
        <v>0</v>
      </c>
      <c r="BS2406">
        <v>0</v>
      </c>
      <c r="BT2406">
        <v>0</v>
      </c>
      <c r="BU2406">
        <v>0</v>
      </c>
      <c r="BV2406">
        <v>0</v>
      </c>
    </row>
    <row r="2407" spans="1:74" x14ac:dyDescent="0.25">
      <c r="BO2407">
        <v>0</v>
      </c>
      <c r="BP2407">
        <v>0</v>
      </c>
      <c r="BQ2407">
        <v>0</v>
      </c>
      <c r="BR2407">
        <v>0</v>
      </c>
      <c r="BS2407">
        <v>0</v>
      </c>
      <c r="BT2407">
        <v>0</v>
      </c>
      <c r="BU2407">
        <v>0</v>
      </c>
      <c r="BV2407">
        <v>0</v>
      </c>
    </row>
    <row r="2408" spans="1:74" x14ac:dyDescent="0.25">
      <c r="BO2408">
        <v>0</v>
      </c>
      <c r="BP2408">
        <v>0</v>
      </c>
      <c r="BQ2408">
        <v>0</v>
      </c>
      <c r="BR2408">
        <v>0</v>
      </c>
      <c r="BS2408">
        <v>0</v>
      </c>
      <c r="BT2408">
        <v>0</v>
      </c>
      <c r="BU2408">
        <v>0</v>
      </c>
      <c r="BV2408">
        <v>0</v>
      </c>
    </row>
    <row r="2409" spans="1:74" x14ac:dyDescent="0.25">
      <c r="BO2409">
        <v>0</v>
      </c>
      <c r="BP2409">
        <v>0</v>
      </c>
      <c r="BQ2409">
        <v>0</v>
      </c>
      <c r="BR2409">
        <v>0</v>
      </c>
      <c r="BS2409">
        <v>0</v>
      </c>
      <c r="BT2409">
        <v>0</v>
      </c>
      <c r="BU2409">
        <v>0</v>
      </c>
      <c r="BV2409">
        <v>0</v>
      </c>
    </row>
    <row r="2410" spans="1:74" x14ac:dyDescent="0.25">
      <c r="BO2410">
        <v>0</v>
      </c>
      <c r="BP2410">
        <v>0</v>
      </c>
      <c r="BQ2410">
        <v>0</v>
      </c>
      <c r="BR2410">
        <v>0</v>
      </c>
      <c r="BS2410">
        <v>0</v>
      </c>
      <c r="BT2410">
        <v>0</v>
      </c>
      <c r="BU2410">
        <v>0</v>
      </c>
      <c r="BV2410">
        <v>0</v>
      </c>
    </row>
    <row r="2411" spans="1:74" x14ac:dyDescent="0.25">
      <c r="A2411" s="5"/>
      <c r="BO2411">
        <v>0</v>
      </c>
      <c r="BP2411">
        <v>0</v>
      </c>
      <c r="BQ2411">
        <v>0</v>
      </c>
      <c r="BR2411">
        <v>0</v>
      </c>
      <c r="BS2411">
        <v>0</v>
      </c>
      <c r="BT2411">
        <v>0</v>
      </c>
      <c r="BU2411">
        <v>0</v>
      </c>
      <c r="BV2411">
        <v>0</v>
      </c>
    </row>
    <row r="2412" spans="1:74" x14ac:dyDescent="0.25">
      <c r="BO2412">
        <v>0</v>
      </c>
      <c r="BP2412">
        <v>0</v>
      </c>
      <c r="BQ2412">
        <v>0</v>
      </c>
      <c r="BR2412">
        <v>0</v>
      </c>
      <c r="BS2412">
        <v>0</v>
      </c>
      <c r="BT2412">
        <v>0</v>
      </c>
      <c r="BU2412">
        <v>0</v>
      </c>
      <c r="BV2412">
        <v>0</v>
      </c>
    </row>
    <row r="2413" spans="1:74" x14ac:dyDescent="0.25">
      <c r="BO2413">
        <v>0</v>
      </c>
      <c r="BP2413">
        <v>0</v>
      </c>
      <c r="BQ2413">
        <v>0</v>
      </c>
      <c r="BR2413">
        <v>0</v>
      </c>
      <c r="BS2413">
        <v>0</v>
      </c>
      <c r="BT2413">
        <v>0</v>
      </c>
      <c r="BU2413">
        <v>0</v>
      </c>
      <c r="BV2413">
        <v>0</v>
      </c>
    </row>
    <row r="2414" spans="1:74" x14ac:dyDescent="0.25">
      <c r="BO2414">
        <v>0</v>
      </c>
      <c r="BP2414">
        <v>0</v>
      </c>
      <c r="BQ2414">
        <v>0</v>
      </c>
      <c r="BR2414">
        <v>0</v>
      </c>
      <c r="BS2414">
        <v>0</v>
      </c>
      <c r="BT2414">
        <v>0</v>
      </c>
      <c r="BU2414">
        <v>0</v>
      </c>
      <c r="BV2414">
        <v>0</v>
      </c>
    </row>
    <row r="2415" spans="1:74" x14ac:dyDescent="0.25">
      <c r="BO2415">
        <v>0</v>
      </c>
      <c r="BP2415">
        <v>0</v>
      </c>
      <c r="BQ2415">
        <v>0</v>
      </c>
      <c r="BR2415">
        <v>0</v>
      </c>
      <c r="BS2415">
        <v>0</v>
      </c>
      <c r="BT2415">
        <v>0</v>
      </c>
      <c r="BU2415">
        <v>0</v>
      </c>
      <c r="BV2415">
        <v>0</v>
      </c>
    </row>
    <row r="2416" spans="1:74" x14ac:dyDescent="0.25">
      <c r="BO2416">
        <v>0</v>
      </c>
      <c r="BP2416">
        <v>0</v>
      </c>
      <c r="BQ2416">
        <v>0</v>
      </c>
      <c r="BR2416">
        <v>0</v>
      </c>
      <c r="BS2416">
        <v>0</v>
      </c>
      <c r="BT2416">
        <v>0</v>
      </c>
      <c r="BU2416">
        <v>0</v>
      </c>
      <c r="BV2416">
        <v>0</v>
      </c>
    </row>
    <row r="2417" spans="67:74" x14ac:dyDescent="0.25">
      <c r="BO2417">
        <v>0</v>
      </c>
      <c r="BP2417">
        <v>0</v>
      </c>
      <c r="BQ2417">
        <v>0</v>
      </c>
      <c r="BR2417">
        <v>0</v>
      </c>
      <c r="BS2417">
        <v>0</v>
      </c>
      <c r="BT2417">
        <v>0</v>
      </c>
      <c r="BU2417">
        <v>0</v>
      </c>
      <c r="BV2417">
        <v>0</v>
      </c>
    </row>
    <row r="2418" spans="67:74" x14ac:dyDescent="0.25">
      <c r="BO2418">
        <v>0</v>
      </c>
      <c r="BP2418">
        <v>0</v>
      </c>
      <c r="BQ2418">
        <v>0</v>
      </c>
      <c r="BR2418">
        <v>0</v>
      </c>
      <c r="BS2418">
        <v>0</v>
      </c>
      <c r="BT2418">
        <v>0</v>
      </c>
      <c r="BU2418">
        <v>0</v>
      </c>
      <c r="BV2418">
        <v>0</v>
      </c>
    </row>
    <row r="2419" spans="67:74" x14ac:dyDescent="0.25">
      <c r="BO2419">
        <v>0</v>
      </c>
      <c r="BP2419">
        <v>0</v>
      </c>
      <c r="BQ2419">
        <v>0</v>
      </c>
      <c r="BR2419">
        <v>0</v>
      </c>
      <c r="BS2419">
        <v>0</v>
      </c>
      <c r="BT2419">
        <v>0</v>
      </c>
      <c r="BU2419">
        <v>0</v>
      </c>
      <c r="BV2419">
        <v>0</v>
      </c>
    </row>
    <row r="2420" spans="67:74" x14ac:dyDescent="0.25">
      <c r="BO2420">
        <v>0</v>
      </c>
      <c r="BP2420">
        <v>0</v>
      </c>
      <c r="BQ2420">
        <v>0</v>
      </c>
      <c r="BR2420">
        <v>0</v>
      </c>
      <c r="BS2420">
        <v>0</v>
      </c>
      <c r="BT2420">
        <v>0</v>
      </c>
      <c r="BU2420">
        <v>0</v>
      </c>
      <c r="BV2420">
        <v>0</v>
      </c>
    </row>
    <row r="2421" spans="67:74" x14ac:dyDescent="0.25">
      <c r="BO2421">
        <v>0</v>
      </c>
      <c r="BP2421">
        <v>0</v>
      </c>
      <c r="BQ2421">
        <v>0</v>
      </c>
      <c r="BR2421">
        <v>0</v>
      </c>
      <c r="BS2421">
        <v>0</v>
      </c>
      <c r="BT2421">
        <v>0</v>
      </c>
      <c r="BU2421">
        <v>0</v>
      </c>
      <c r="BV2421">
        <v>0</v>
      </c>
    </row>
    <row r="2422" spans="67:74" x14ac:dyDescent="0.25">
      <c r="BO2422">
        <v>0</v>
      </c>
      <c r="BP2422">
        <v>0</v>
      </c>
      <c r="BQ2422">
        <v>0</v>
      </c>
      <c r="BR2422">
        <v>0</v>
      </c>
      <c r="BS2422">
        <v>0</v>
      </c>
      <c r="BT2422">
        <v>0</v>
      </c>
      <c r="BU2422">
        <v>0</v>
      </c>
      <c r="BV2422">
        <v>0</v>
      </c>
    </row>
    <row r="2423" spans="67:74" x14ac:dyDescent="0.25">
      <c r="BO2423">
        <v>0</v>
      </c>
      <c r="BP2423">
        <v>0</v>
      </c>
      <c r="BQ2423">
        <v>0</v>
      </c>
      <c r="BR2423">
        <v>0</v>
      </c>
      <c r="BS2423">
        <v>0</v>
      </c>
      <c r="BT2423">
        <v>0</v>
      </c>
      <c r="BU2423">
        <v>0</v>
      </c>
      <c r="BV2423">
        <v>0</v>
      </c>
    </row>
    <row r="2424" spans="67:74" x14ac:dyDescent="0.25">
      <c r="BO2424">
        <v>0</v>
      </c>
      <c r="BP2424">
        <v>0</v>
      </c>
      <c r="BQ2424">
        <v>0</v>
      </c>
      <c r="BR2424">
        <v>0</v>
      </c>
      <c r="BS2424">
        <v>0</v>
      </c>
      <c r="BT2424">
        <v>0</v>
      </c>
      <c r="BU2424">
        <v>0</v>
      </c>
      <c r="BV2424">
        <v>0</v>
      </c>
    </row>
    <row r="2425" spans="67:74" x14ac:dyDescent="0.25">
      <c r="BO2425">
        <v>0</v>
      </c>
      <c r="BP2425">
        <v>0</v>
      </c>
      <c r="BQ2425">
        <v>0</v>
      </c>
      <c r="BR2425">
        <v>0</v>
      </c>
      <c r="BS2425">
        <v>0</v>
      </c>
      <c r="BT2425">
        <v>0</v>
      </c>
      <c r="BU2425">
        <v>0</v>
      </c>
      <c r="BV2425">
        <v>0</v>
      </c>
    </row>
    <row r="2426" spans="67:74" x14ac:dyDescent="0.25">
      <c r="BO2426">
        <v>0</v>
      </c>
      <c r="BP2426">
        <v>0</v>
      </c>
      <c r="BQ2426">
        <v>0</v>
      </c>
      <c r="BR2426">
        <v>0</v>
      </c>
      <c r="BS2426">
        <v>0</v>
      </c>
      <c r="BT2426">
        <v>0</v>
      </c>
      <c r="BU2426">
        <v>0</v>
      </c>
      <c r="BV2426">
        <v>0</v>
      </c>
    </row>
    <row r="2427" spans="67:74" x14ac:dyDescent="0.25">
      <c r="BO2427">
        <v>0</v>
      </c>
      <c r="BP2427">
        <v>0</v>
      </c>
      <c r="BQ2427">
        <v>0</v>
      </c>
      <c r="BR2427">
        <v>0</v>
      </c>
      <c r="BS2427">
        <v>0</v>
      </c>
      <c r="BT2427">
        <v>0</v>
      </c>
      <c r="BU2427">
        <v>0</v>
      </c>
      <c r="BV2427">
        <v>0</v>
      </c>
    </row>
    <row r="2428" spans="67:74" x14ac:dyDescent="0.25">
      <c r="BO2428">
        <v>0</v>
      </c>
      <c r="BP2428">
        <v>0</v>
      </c>
      <c r="BQ2428">
        <v>0</v>
      </c>
      <c r="BR2428">
        <v>0</v>
      </c>
      <c r="BS2428">
        <v>0</v>
      </c>
      <c r="BT2428">
        <v>0</v>
      </c>
      <c r="BU2428">
        <v>0</v>
      </c>
      <c r="BV2428">
        <v>0</v>
      </c>
    </row>
    <row r="2429" spans="67:74" x14ac:dyDescent="0.25">
      <c r="BO2429">
        <v>0</v>
      </c>
      <c r="BP2429">
        <v>0</v>
      </c>
      <c r="BQ2429">
        <v>0</v>
      </c>
      <c r="BR2429">
        <v>0</v>
      </c>
      <c r="BS2429">
        <v>0</v>
      </c>
      <c r="BT2429">
        <v>0</v>
      </c>
      <c r="BU2429">
        <v>0</v>
      </c>
      <c r="BV2429">
        <v>0</v>
      </c>
    </row>
    <row r="2430" spans="67:74" x14ac:dyDescent="0.25">
      <c r="BO2430">
        <v>0</v>
      </c>
      <c r="BP2430">
        <v>0</v>
      </c>
      <c r="BQ2430">
        <v>0</v>
      </c>
      <c r="BR2430">
        <v>0</v>
      </c>
      <c r="BS2430">
        <v>0</v>
      </c>
      <c r="BT2430">
        <v>0</v>
      </c>
      <c r="BU2430">
        <v>0</v>
      </c>
      <c r="BV2430">
        <v>0</v>
      </c>
    </row>
    <row r="2431" spans="67:74" x14ac:dyDescent="0.25">
      <c r="BO2431">
        <v>0</v>
      </c>
      <c r="BP2431">
        <v>0</v>
      </c>
      <c r="BQ2431">
        <v>0</v>
      </c>
      <c r="BR2431">
        <v>0</v>
      </c>
      <c r="BS2431">
        <v>0</v>
      </c>
      <c r="BT2431">
        <v>0</v>
      </c>
      <c r="BU2431">
        <v>0</v>
      </c>
      <c r="BV2431">
        <v>0</v>
      </c>
    </row>
    <row r="2432" spans="67:74" x14ac:dyDescent="0.25">
      <c r="BO2432">
        <v>0</v>
      </c>
      <c r="BP2432">
        <v>0</v>
      </c>
      <c r="BQ2432">
        <v>0</v>
      </c>
      <c r="BR2432">
        <v>0</v>
      </c>
      <c r="BS2432">
        <v>0</v>
      </c>
      <c r="BT2432">
        <v>0</v>
      </c>
      <c r="BU2432">
        <v>0</v>
      </c>
      <c r="BV2432">
        <v>0</v>
      </c>
    </row>
    <row r="2433" spans="67:74" x14ac:dyDescent="0.25">
      <c r="BO2433">
        <v>0</v>
      </c>
      <c r="BP2433">
        <v>0</v>
      </c>
      <c r="BQ2433">
        <v>0</v>
      </c>
      <c r="BR2433">
        <v>0</v>
      </c>
      <c r="BS2433">
        <v>0</v>
      </c>
      <c r="BT2433">
        <v>0</v>
      </c>
      <c r="BU2433">
        <v>0</v>
      </c>
      <c r="BV2433">
        <v>0</v>
      </c>
    </row>
    <row r="2434" spans="67:74" x14ac:dyDescent="0.25">
      <c r="BO2434">
        <v>0</v>
      </c>
      <c r="BP2434">
        <v>0</v>
      </c>
      <c r="BQ2434">
        <v>0</v>
      </c>
      <c r="BR2434">
        <v>0</v>
      </c>
      <c r="BS2434">
        <v>0</v>
      </c>
      <c r="BT2434">
        <v>0</v>
      </c>
      <c r="BU2434">
        <v>0</v>
      </c>
      <c r="BV2434">
        <v>0</v>
      </c>
    </row>
    <row r="2435" spans="67:74" x14ac:dyDescent="0.25">
      <c r="BO2435">
        <v>0</v>
      </c>
      <c r="BP2435">
        <v>0</v>
      </c>
      <c r="BQ2435">
        <v>0</v>
      </c>
      <c r="BR2435">
        <v>0</v>
      </c>
      <c r="BS2435">
        <v>0</v>
      </c>
      <c r="BT2435">
        <v>0</v>
      </c>
      <c r="BU2435">
        <v>0</v>
      </c>
      <c r="BV2435">
        <v>0</v>
      </c>
    </row>
    <row r="2436" spans="67:74" x14ac:dyDescent="0.25">
      <c r="BO2436">
        <v>0</v>
      </c>
      <c r="BP2436">
        <v>0</v>
      </c>
      <c r="BQ2436">
        <v>0</v>
      </c>
      <c r="BR2436">
        <v>0</v>
      </c>
      <c r="BS2436">
        <v>0</v>
      </c>
      <c r="BT2436">
        <v>0</v>
      </c>
      <c r="BU2436">
        <v>0</v>
      </c>
      <c r="BV2436">
        <v>0</v>
      </c>
    </row>
    <row r="2437" spans="67:74" x14ac:dyDescent="0.25">
      <c r="BO2437">
        <v>0</v>
      </c>
      <c r="BP2437">
        <v>0</v>
      </c>
      <c r="BQ2437">
        <v>0</v>
      </c>
      <c r="BR2437">
        <v>0</v>
      </c>
      <c r="BS2437">
        <v>0</v>
      </c>
      <c r="BT2437">
        <v>0</v>
      </c>
      <c r="BU2437">
        <v>0</v>
      </c>
      <c r="BV2437">
        <v>0</v>
      </c>
    </row>
    <row r="2438" spans="67:74" x14ac:dyDescent="0.25">
      <c r="BO2438">
        <v>0</v>
      </c>
      <c r="BP2438">
        <v>0</v>
      </c>
      <c r="BQ2438">
        <v>0</v>
      </c>
      <c r="BR2438">
        <v>0</v>
      </c>
      <c r="BS2438">
        <v>0</v>
      </c>
      <c r="BT2438">
        <v>0</v>
      </c>
      <c r="BU2438">
        <v>0</v>
      </c>
      <c r="BV2438">
        <v>0</v>
      </c>
    </row>
    <row r="2439" spans="67:74" x14ac:dyDescent="0.25">
      <c r="BO2439">
        <v>0</v>
      </c>
      <c r="BP2439">
        <v>0</v>
      </c>
      <c r="BQ2439">
        <v>0</v>
      </c>
      <c r="BR2439">
        <v>0</v>
      </c>
      <c r="BS2439">
        <v>0</v>
      </c>
      <c r="BT2439">
        <v>0</v>
      </c>
      <c r="BU2439">
        <v>0</v>
      </c>
      <c r="BV2439">
        <v>0</v>
      </c>
    </row>
    <row r="2440" spans="67:74" x14ac:dyDescent="0.25">
      <c r="BO2440">
        <v>0</v>
      </c>
      <c r="BP2440">
        <v>0</v>
      </c>
      <c r="BQ2440">
        <v>0</v>
      </c>
      <c r="BR2440">
        <v>0</v>
      </c>
      <c r="BS2440">
        <v>0</v>
      </c>
      <c r="BT2440">
        <v>0</v>
      </c>
      <c r="BU2440">
        <v>0</v>
      </c>
      <c r="BV2440">
        <v>0</v>
      </c>
    </row>
    <row r="2441" spans="67:74" x14ac:dyDescent="0.25">
      <c r="BO2441">
        <v>0</v>
      </c>
      <c r="BP2441">
        <v>0</v>
      </c>
      <c r="BQ2441">
        <v>0</v>
      </c>
      <c r="BR2441">
        <v>0</v>
      </c>
      <c r="BS2441">
        <v>0</v>
      </c>
      <c r="BT2441">
        <v>0</v>
      </c>
      <c r="BU2441">
        <v>0</v>
      </c>
      <c r="BV2441">
        <v>0</v>
      </c>
    </row>
    <row r="2442" spans="67:74" x14ac:dyDescent="0.25">
      <c r="BO2442">
        <v>0</v>
      </c>
      <c r="BP2442">
        <v>0</v>
      </c>
      <c r="BQ2442">
        <v>0</v>
      </c>
      <c r="BR2442">
        <v>0</v>
      </c>
      <c r="BS2442">
        <v>0</v>
      </c>
      <c r="BT2442">
        <v>0</v>
      </c>
      <c r="BU2442">
        <v>0</v>
      </c>
      <c r="BV2442">
        <v>0</v>
      </c>
    </row>
    <row r="2443" spans="67:74" x14ac:dyDescent="0.25">
      <c r="BO2443">
        <v>0</v>
      </c>
      <c r="BP2443">
        <v>0</v>
      </c>
      <c r="BQ2443">
        <v>0</v>
      </c>
      <c r="BR2443">
        <v>0</v>
      </c>
      <c r="BS2443">
        <v>0</v>
      </c>
      <c r="BT2443">
        <v>0</v>
      </c>
      <c r="BU2443">
        <v>0</v>
      </c>
      <c r="BV2443">
        <v>0</v>
      </c>
    </row>
    <row r="2444" spans="67:74" x14ac:dyDescent="0.25">
      <c r="BO2444">
        <v>0</v>
      </c>
      <c r="BP2444">
        <v>0</v>
      </c>
      <c r="BQ2444">
        <v>0</v>
      </c>
      <c r="BR2444">
        <v>0</v>
      </c>
      <c r="BS2444">
        <v>0</v>
      </c>
      <c r="BT2444">
        <v>0</v>
      </c>
      <c r="BU2444">
        <v>0</v>
      </c>
      <c r="BV2444">
        <v>0</v>
      </c>
    </row>
    <row r="2445" spans="67:74" x14ac:dyDescent="0.25">
      <c r="BO2445">
        <v>0</v>
      </c>
      <c r="BP2445">
        <v>0</v>
      </c>
      <c r="BQ2445">
        <v>0</v>
      </c>
      <c r="BR2445">
        <v>0</v>
      </c>
      <c r="BS2445">
        <v>0</v>
      </c>
      <c r="BT2445">
        <v>0</v>
      </c>
      <c r="BU2445">
        <v>0</v>
      </c>
      <c r="BV2445">
        <v>0</v>
      </c>
    </row>
    <row r="2446" spans="67:74" x14ac:dyDescent="0.25">
      <c r="BO2446">
        <v>0</v>
      </c>
      <c r="BP2446">
        <v>0</v>
      </c>
      <c r="BQ2446">
        <v>0</v>
      </c>
      <c r="BR2446">
        <v>0</v>
      </c>
      <c r="BS2446">
        <v>0</v>
      </c>
      <c r="BT2446">
        <v>0</v>
      </c>
      <c r="BU2446">
        <v>0</v>
      </c>
      <c r="BV2446">
        <v>0</v>
      </c>
    </row>
    <row r="2447" spans="67:74" x14ac:dyDescent="0.25">
      <c r="BO2447">
        <v>0</v>
      </c>
      <c r="BP2447">
        <v>0</v>
      </c>
      <c r="BQ2447">
        <v>0</v>
      </c>
      <c r="BR2447">
        <v>0</v>
      </c>
      <c r="BS2447">
        <v>0</v>
      </c>
      <c r="BT2447">
        <v>0</v>
      </c>
      <c r="BU2447">
        <v>0</v>
      </c>
      <c r="BV2447">
        <v>0</v>
      </c>
    </row>
    <row r="2448" spans="67:74" x14ac:dyDescent="0.25">
      <c r="BO2448">
        <v>0</v>
      </c>
      <c r="BP2448">
        <v>0</v>
      </c>
      <c r="BQ2448">
        <v>0</v>
      </c>
      <c r="BR2448">
        <v>0</v>
      </c>
      <c r="BS2448">
        <v>0</v>
      </c>
      <c r="BT2448">
        <v>0</v>
      </c>
      <c r="BU2448">
        <v>0</v>
      </c>
      <c r="BV2448">
        <v>0</v>
      </c>
    </row>
    <row r="2449" spans="1:76" x14ac:dyDescent="0.25">
      <c r="BO2449">
        <v>0</v>
      </c>
      <c r="BP2449">
        <v>0</v>
      </c>
      <c r="BQ2449">
        <v>0</v>
      </c>
      <c r="BR2449">
        <v>0</v>
      </c>
      <c r="BS2449">
        <v>0</v>
      </c>
      <c r="BT2449">
        <v>0</v>
      </c>
      <c r="BU2449">
        <v>0</v>
      </c>
      <c r="BV2449">
        <v>0</v>
      </c>
    </row>
    <row r="2450" spans="1:76" x14ac:dyDescent="0.25">
      <c r="BO2450">
        <v>0</v>
      </c>
      <c r="BP2450">
        <v>0</v>
      </c>
      <c r="BQ2450">
        <v>0</v>
      </c>
      <c r="BR2450">
        <v>0</v>
      </c>
      <c r="BS2450">
        <v>0</v>
      </c>
      <c r="BT2450">
        <v>0</v>
      </c>
      <c r="BU2450">
        <v>0</v>
      </c>
      <c r="BV2450">
        <v>0</v>
      </c>
    </row>
    <row r="2451" spans="1:76" x14ac:dyDescent="0.25">
      <c r="BO2451">
        <v>0</v>
      </c>
      <c r="BP2451">
        <v>0</v>
      </c>
      <c r="BQ2451">
        <v>0</v>
      </c>
      <c r="BR2451">
        <v>0</v>
      </c>
      <c r="BS2451">
        <v>0</v>
      </c>
      <c r="BT2451">
        <v>0</v>
      </c>
      <c r="BU2451">
        <v>0</v>
      </c>
      <c r="BV2451">
        <v>0</v>
      </c>
    </row>
    <row r="2452" spans="1:76" x14ac:dyDescent="0.25">
      <c r="BO2452">
        <v>0</v>
      </c>
      <c r="BP2452">
        <v>0</v>
      </c>
      <c r="BQ2452">
        <v>0</v>
      </c>
      <c r="BR2452">
        <v>0</v>
      </c>
      <c r="BS2452">
        <v>0</v>
      </c>
      <c r="BT2452">
        <v>0</v>
      </c>
      <c r="BU2452">
        <v>0</v>
      </c>
      <c r="BV2452">
        <v>0</v>
      </c>
    </row>
    <row r="2453" spans="1:76" x14ac:dyDescent="0.25">
      <c r="BO2453">
        <v>0</v>
      </c>
      <c r="BP2453">
        <v>0</v>
      </c>
      <c r="BQ2453">
        <v>0</v>
      </c>
      <c r="BR2453">
        <v>0</v>
      </c>
      <c r="BS2453">
        <v>0</v>
      </c>
      <c r="BT2453">
        <v>0</v>
      </c>
      <c r="BU2453">
        <v>0</v>
      </c>
      <c r="BV2453">
        <v>0</v>
      </c>
    </row>
    <row r="2454" spans="1:76" x14ac:dyDescent="0.25">
      <c r="BO2454">
        <v>0</v>
      </c>
      <c r="BP2454">
        <v>0</v>
      </c>
      <c r="BQ2454">
        <v>0</v>
      </c>
      <c r="BR2454">
        <v>0</v>
      </c>
      <c r="BS2454">
        <v>0</v>
      </c>
      <c r="BT2454">
        <v>0</v>
      </c>
      <c r="BU2454">
        <v>0</v>
      </c>
      <c r="BV2454">
        <v>0</v>
      </c>
    </row>
    <row r="2455" spans="1:76" x14ac:dyDescent="0.25">
      <c r="A2455" s="6"/>
      <c r="B2455" s="6"/>
      <c r="C2455" s="6"/>
      <c r="D2455" s="6"/>
      <c r="E2455" s="6"/>
      <c r="F2455" s="6"/>
      <c r="G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  <c r="BE2455" s="6"/>
      <c r="BF2455" s="6"/>
      <c r="BG2455" s="6"/>
      <c r="BH2455" s="6"/>
      <c r="BI2455" s="6"/>
      <c r="BK2455" s="6"/>
      <c r="BL2455" s="6"/>
      <c r="BM2455" s="6"/>
      <c r="BN2455" s="6"/>
      <c r="BO2455" s="6">
        <v>0</v>
      </c>
      <c r="BP2455" s="6">
        <v>0</v>
      </c>
      <c r="BQ2455" s="6">
        <v>0</v>
      </c>
      <c r="BR2455" s="6">
        <v>0</v>
      </c>
      <c r="BS2455" s="6">
        <v>0</v>
      </c>
      <c r="BT2455" s="6">
        <v>0</v>
      </c>
      <c r="BU2455" s="6">
        <v>0</v>
      </c>
      <c r="BV2455" s="6">
        <v>0</v>
      </c>
      <c r="BW2455" s="6"/>
      <c r="BX2455" s="6"/>
    </row>
    <row r="2456" spans="1:76" x14ac:dyDescent="0.25">
      <c r="BO2456">
        <v>0</v>
      </c>
      <c r="BP2456">
        <v>0</v>
      </c>
      <c r="BQ2456">
        <v>0</v>
      </c>
      <c r="BR2456">
        <v>0</v>
      </c>
      <c r="BS2456">
        <v>0</v>
      </c>
      <c r="BT2456">
        <v>0</v>
      </c>
      <c r="BU2456">
        <v>0</v>
      </c>
      <c r="BV2456">
        <v>0</v>
      </c>
    </row>
    <row r="2457" spans="1:76" x14ac:dyDescent="0.25">
      <c r="AR2457" s="6"/>
      <c r="AS2457" s="6"/>
      <c r="AT2457" s="6"/>
      <c r="AU2457" s="6"/>
      <c r="AV2457" s="6"/>
      <c r="AW2457" s="6"/>
      <c r="BO2457">
        <v>0</v>
      </c>
      <c r="BP2457">
        <v>0</v>
      </c>
      <c r="BQ2457">
        <v>0</v>
      </c>
      <c r="BR2457">
        <v>0</v>
      </c>
      <c r="BS2457">
        <v>0</v>
      </c>
      <c r="BT2457">
        <v>0</v>
      </c>
      <c r="BU2457">
        <v>0</v>
      </c>
      <c r="BV2457">
        <v>0</v>
      </c>
    </row>
    <row r="2458" spans="1:76" x14ac:dyDescent="0.25">
      <c r="AR2458" s="6"/>
      <c r="AS2458" s="6"/>
      <c r="AT2458" s="6"/>
      <c r="AU2458" s="6"/>
      <c r="AV2458" s="6"/>
      <c r="AW2458" s="6"/>
      <c r="BO2458">
        <v>0</v>
      </c>
      <c r="BP2458">
        <v>0</v>
      </c>
      <c r="BQ2458">
        <v>0</v>
      </c>
      <c r="BR2458">
        <v>0</v>
      </c>
      <c r="BS2458">
        <v>0</v>
      </c>
      <c r="BT2458">
        <v>0</v>
      </c>
      <c r="BU2458">
        <v>0</v>
      </c>
      <c r="BV2458">
        <v>0</v>
      </c>
    </row>
    <row r="2459" spans="1:76" x14ac:dyDescent="0.25">
      <c r="AR2459" s="6"/>
      <c r="AS2459" s="6"/>
      <c r="AT2459" s="6"/>
      <c r="AU2459" s="6"/>
      <c r="AV2459" s="6"/>
      <c r="AW2459" s="6"/>
      <c r="BO2459">
        <v>0</v>
      </c>
      <c r="BP2459">
        <v>0</v>
      </c>
      <c r="BQ2459">
        <v>0</v>
      </c>
      <c r="BR2459">
        <v>0</v>
      </c>
      <c r="BS2459">
        <v>0</v>
      </c>
      <c r="BT2459">
        <v>0</v>
      </c>
      <c r="BU2459">
        <v>0</v>
      </c>
      <c r="BV2459">
        <v>0</v>
      </c>
    </row>
    <row r="2460" spans="1:76" x14ac:dyDescent="0.25">
      <c r="AR2460" s="6"/>
      <c r="AS2460" s="6"/>
      <c r="AT2460" s="6"/>
      <c r="AU2460" s="6"/>
      <c r="AV2460" s="6"/>
      <c r="AW2460" s="6"/>
      <c r="BO2460">
        <v>0</v>
      </c>
      <c r="BP2460">
        <v>0</v>
      </c>
      <c r="BQ2460">
        <v>0</v>
      </c>
      <c r="BR2460">
        <v>0</v>
      </c>
      <c r="BS2460">
        <v>0</v>
      </c>
      <c r="BT2460">
        <v>0</v>
      </c>
      <c r="BU2460">
        <v>0</v>
      </c>
      <c r="BV2460">
        <v>0</v>
      </c>
    </row>
    <row r="2461" spans="1:76" x14ac:dyDescent="0.25">
      <c r="AR2461" s="6"/>
      <c r="AS2461" s="6"/>
      <c r="AT2461" s="6"/>
      <c r="AU2461" s="6"/>
      <c r="AV2461" s="6"/>
      <c r="AW2461" s="6"/>
      <c r="BO2461">
        <v>0</v>
      </c>
      <c r="BP2461">
        <v>0</v>
      </c>
      <c r="BQ2461">
        <v>0</v>
      </c>
      <c r="BR2461">
        <v>0</v>
      </c>
      <c r="BS2461">
        <v>0</v>
      </c>
      <c r="BT2461">
        <v>0</v>
      </c>
      <c r="BU2461">
        <v>0</v>
      </c>
      <c r="BV2461">
        <v>0</v>
      </c>
    </row>
    <row r="2462" spans="1:76" x14ac:dyDescent="0.25">
      <c r="AR2462" s="6"/>
      <c r="AS2462" s="6"/>
      <c r="AT2462" s="6"/>
      <c r="AU2462" s="6"/>
      <c r="AV2462" s="6"/>
      <c r="AW2462" s="6"/>
      <c r="BO2462">
        <v>0</v>
      </c>
      <c r="BP2462">
        <v>0</v>
      </c>
      <c r="BQ2462">
        <v>0</v>
      </c>
      <c r="BR2462">
        <v>0</v>
      </c>
      <c r="BS2462">
        <v>0</v>
      </c>
      <c r="BT2462">
        <v>0</v>
      </c>
      <c r="BU2462">
        <v>0</v>
      </c>
      <c r="BV2462">
        <v>0</v>
      </c>
    </row>
    <row r="2463" spans="1:76" x14ac:dyDescent="0.25">
      <c r="AR2463" s="6"/>
      <c r="AS2463" s="6"/>
      <c r="AT2463" s="6"/>
      <c r="AU2463" s="6"/>
      <c r="AV2463" s="6"/>
      <c r="AW2463" s="6"/>
      <c r="BO2463">
        <v>0</v>
      </c>
      <c r="BP2463">
        <v>0</v>
      </c>
      <c r="BQ2463">
        <v>0</v>
      </c>
      <c r="BR2463">
        <v>0</v>
      </c>
      <c r="BS2463">
        <v>0</v>
      </c>
      <c r="BT2463">
        <v>0</v>
      </c>
      <c r="BU2463">
        <v>0</v>
      </c>
      <c r="BV2463">
        <v>0</v>
      </c>
    </row>
    <row r="2464" spans="1:76" x14ac:dyDescent="0.25">
      <c r="AR2464" s="6"/>
      <c r="AS2464" s="6"/>
      <c r="AT2464" s="6"/>
      <c r="AU2464" s="6"/>
      <c r="AV2464" s="6"/>
      <c r="AW2464" s="6"/>
      <c r="BO2464">
        <v>0</v>
      </c>
      <c r="BP2464">
        <v>0</v>
      </c>
      <c r="BQ2464">
        <v>0</v>
      </c>
      <c r="BR2464">
        <v>0</v>
      </c>
      <c r="BS2464">
        <v>0</v>
      </c>
      <c r="BT2464">
        <v>0</v>
      </c>
      <c r="BU2464">
        <v>0</v>
      </c>
      <c r="BV2464">
        <v>0</v>
      </c>
    </row>
    <row r="2465" spans="41:76" x14ac:dyDescent="0.25">
      <c r="AR2465" s="6"/>
      <c r="AS2465" s="6"/>
      <c r="AT2465" s="6"/>
      <c r="AU2465" s="6"/>
      <c r="AV2465" s="6"/>
      <c r="AW2465" s="6"/>
      <c r="BO2465">
        <v>0</v>
      </c>
      <c r="BP2465">
        <v>0</v>
      </c>
      <c r="BQ2465">
        <v>0</v>
      </c>
      <c r="BR2465">
        <v>0</v>
      </c>
      <c r="BS2465">
        <v>0</v>
      </c>
      <c r="BT2465">
        <v>0</v>
      </c>
      <c r="BU2465">
        <v>0</v>
      </c>
      <c r="BV2465">
        <v>0</v>
      </c>
    </row>
    <row r="2466" spans="41:76" x14ac:dyDescent="0.25">
      <c r="AO2466" s="6"/>
      <c r="AR2466" s="6"/>
      <c r="AS2466" s="6"/>
      <c r="AT2466" s="6"/>
      <c r="AU2466" s="6"/>
      <c r="AV2466" s="6"/>
      <c r="AW2466" s="6"/>
      <c r="AZ2466" s="6"/>
      <c r="BA2466" s="6"/>
      <c r="BB2466" s="6"/>
      <c r="BE2466" s="6"/>
      <c r="BF2466" s="6"/>
      <c r="BG2466" s="6"/>
      <c r="BH2466" s="6"/>
      <c r="BI2466" s="6"/>
      <c r="BK2466" s="6"/>
      <c r="BL2466" s="6"/>
      <c r="BO2466" s="6">
        <v>0</v>
      </c>
      <c r="BP2466" s="6">
        <v>0</v>
      </c>
      <c r="BQ2466" s="6">
        <v>0</v>
      </c>
      <c r="BR2466" s="6">
        <v>0</v>
      </c>
      <c r="BS2466" s="6">
        <v>0</v>
      </c>
      <c r="BT2466" s="6">
        <v>0</v>
      </c>
      <c r="BU2466" s="6">
        <v>0</v>
      </c>
      <c r="BV2466" s="6">
        <v>0</v>
      </c>
      <c r="BW2466" s="6"/>
      <c r="BX2466" s="6"/>
    </row>
    <row r="2467" spans="41:76" x14ac:dyDescent="0.25">
      <c r="AR2467" s="6"/>
      <c r="AS2467" s="6"/>
      <c r="AT2467" s="6"/>
      <c r="AU2467" s="6"/>
      <c r="AV2467" s="6"/>
      <c r="AW2467" s="6"/>
      <c r="BO2467">
        <v>0</v>
      </c>
      <c r="BP2467">
        <v>0</v>
      </c>
      <c r="BQ2467">
        <v>0</v>
      </c>
      <c r="BR2467">
        <v>0</v>
      </c>
      <c r="BS2467">
        <v>0</v>
      </c>
      <c r="BT2467">
        <v>0</v>
      </c>
      <c r="BU2467">
        <v>0</v>
      </c>
      <c r="BV2467">
        <v>0</v>
      </c>
    </row>
    <row r="2468" spans="41:76" x14ac:dyDescent="0.25">
      <c r="BO2468">
        <v>0</v>
      </c>
      <c r="BP2468">
        <v>0</v>
      </c>
      <c r="BQ2468">
        <v>0</v>
      </c>
      <c r="BR2468">
        <v>0</v>
      </c>
      <c r="BS2468">
        <v>0</v>
      </c>
      <c r="BT2468">
        <v>0</v>
      </c>
      <c r="BU2468">
        <v>0</v>
      </c>
      <c r="BV2468">
        <v>0</v>
      </c>
    </row>
    <row r="2469" spans="41:76" x14ac:dyDescent="0.25">
      <c r="BO2469">
        <v>0</v>
      </c>
      <c r="BP2469">
        <v>0</v>
      </c>
      <c r="BQ2469">
        <v>0</v>
      </c>
      <c r="BR2469">
        <v>0</v>
      </c>
      <c r="BS2469">
        <v>0</v>
      </c>
      <c r="BT2469">
        <v>0</v>
      </c>
      <c r="BU2469">
        <v>0</v>
      </c>
      <c r="BV2469">
        <v>0</v>
      </c>
    </row>
    <row r="2470" spans="41:76" x14ac:dyDescent="0.25">
      <c r="BO2470">
        <v>0</v>
      </c>
      <c r="BP2470">
        <v>0</v>
      </c>
      <c r="BQ2470">
        <v>0</v>
      </c>
      <c r="BR2470">
        <v>0</v>
      </c>
      <c r="BS2470">
        <v>0</v>
      </c>
      <c r="BT2470">
        <v>0</v>
      </c>
      <c r="BU2470">
        <v>0</v>
      </c>
      <c r="BV2470">
        <v>0</v>
      </c>
    </row>
    <row r="2471" spans="41:76" x14ac:dyDescent="0.25">
      <c r="BO2471">
        <v>0</v>
      </c>
      <c r="BP2471">
        <v>0</v>
      </c>
      <c r="BQ2471">
        <v>0</v>
      </c>
      <c r="BR2471">
        <v>0</v>
      </c>
      <c r="BS2471">
        <v>0</v>
      </c>
      <c r="BT2471">
        <v>0</v>
      </c>
      <c r="BU2471">
        <v>0</v>
      </c>
      <c r="BV2471">
        <v>0</v>
      </c>
    </row>
    <row r="2472" spans="41:76" x14ac:dyDescent="0.25">
      <c r="BO2472">
        <v>0</v>
      </c>
      <c r="BP2472">
        <v>0</v>
      </c>
      <c r="BQ2472">
        <v>0</v>
      </c>
      <c r="BR2472">
        <v>0</v>
      </c>
      <c r="BS2472">
        <v>0</v>
      </c>
      <c r="BT2472">
        <v>0</v>
      </c>
      <c r="BU2472">
        <v>0</v>
      </c>
      <c r="BV2472">
        <v>0</v>
      </c>
    </row>
    <row r="2473" spans="41:76" x14ac:dyDescent="0.25">
      <c r="BO2473">
        <v>0</v>
      </c>
      <c r="BP2473">
        <v>0</v>
      </c>
      <c r="BQ2473">
        <v>0</v>
      </c>
      <c r="BR2473">
        <v>0</v>
      </c>
      <c r="BS2473">
        <v>0</v>
      </c>
      <c r="BT2473">
        <v>0</v>
      </c>
      <c r="BU2473">
        <v>0</v>
      </c>
      <c r="BV2473">
        <v>0</v>
      </c>
    </row>
    <row r="2474" spans="41:76" x14ac:dyDescent="0.25">
      <c r="BO2474">
        <v>0</v>
      </c>
      <c r="BP2474">
        <v>0</v>
      </c>
      <c r="BQ2474">
        <v>0</v>
      </c>
      <c r="BR2474">
        <v>0</v>
      </c>
      <c r="BS2474">
        <v>0</v>
      </c>
      <c r="BT2474">
        <v>0</v>
      </c>
      <c r="BU2474">
        <v>0</v>
      </c>
      <c r="BV2474">
        <v>0</v>
      </c>
    </row>
    <row r="2475" spans="41:76" x14ac:dyDescent="0.25">
      <c r="BO2475">
        <v>0</v>
      </c>
      <c r="BP2475">
        <v>0</v>
      </c>
      <c r="BQ2475">
        <v>0</v>
      </c>
      <c r="BR2475">
        <v>0</v>
      </c>
      <c r="BS2475">
        <v>0</v>
      </c>
      <c r="BT2475">
        <v>0</v>
      </c>
      <c r="BU2475">
        <v>0</v>
      </c>
      <c r="BV2475">
        <v>0</v>
      </c>
    </row>
    <row r="2476" spans="41:76" x14ac:dyDescent="0.25">
      <c r="BO2476">
        <v>0</v>
      </c>
      <c r="BP2476">
        <v>0</v>
      </c>
      <c r="BQ2476">
        <v>0</v>
      </c>
      <c r="BR2476">
        <v>0</v>
      </c>
      <c r="BS2476">
        <v>0</v>
      </c>
      <c r="BT2476">
        <v>0</v>
      </c>
      <c r="BU2476">
        <v>0</v>
      </c>
      <c r="BV2476">
        <v>0</v>
      </c>
    </row>
    <row r="2477" spans="41:76" x14ac:dyDescent="0.25">
      <c r="BO2477">
        <v>0</v>
      </c>
      <c r="BP2477">
        <v>0</v>
      </c>
      <c r="BQ2477">
        <v>0</v>
      </c>
      <c r="BR2477">
        <v>0</v>
      </c>
      <c r="BS2477">
        <v>0</v>
      </c>
      <c r="BT2477">
        <v>0</v>
      </c>
      <c r="BU2477">
        <v>0</v>
      </c>
      <c r="BV2477">
        <v>0</v>
      </c>
    </row>
    <row r="2478" spans="41:76" x14ac:dyDescent="0.25">
      <c r="BO2478">
        <v>0</v>
      </c>
      <c r="BP2478">
        <v>0</v>
      </c>
      <c r="BQ2478">
        <v>0</v>
      </c>
      <c r="BR2478">
        <v>0</v>
      </c>
      <c r="BS2478">
        <v>0</v>
      </c>
      <c r="BT2478">
        <v>0</v>
      </c>
      <c r="BU2478">
        <v>0</v>
      </c>
      <c r="BV2478">
        <v>0</v>
      </c>
    </row>
    <row r="2479" spans="41:76" x14ac:dyDescent="0.25">
      <c r="BO2479">
        <v>0</v>
      </c>
      <c r="BP2479">
        <v>0</v>
      </c>
      <c r="BQ2479">
        <v>0</v>
      </c>
      <c r="BR2479">
        <v>0</v>
      </c>
      <c r="BS2479">
        <v>0</v>
      </c>
      <c r="BT2479">
        <v>0</v>
      </c>
      <c r="BU2479">
        <v>0</v>
      </c>
      <c r="BV2479">
        <v>0</v>
      </c>
    </row>
    <row r="2480" spans="41:76" x14ac:dyDescent="0.25">
      <c r="BO2480">
        <v>0</v>
      </c>
      <c r="BP2480">
        <v>0</v>
      </c>
      <c r="BQ2480">
        <v>0</v>
      </c>
      <c r="BR2480">
        <v>0</v>
      </c>
      <c r="BS2480">
        <v>0</v>
      </c>
      <c r="BT2480">
        <v>0</v>
      </c>
      <c r="BU2480">
        <v>0</v>
      </c>
      <c r="BV2480">
        <v>0</v>
      </c>
    </row>
    <row r="2481" spans="67:74" x14ac:dyDescent="0.25">
      <c r="BO2481">
        <v>0</v>
      </c>
      <c r="BP2481">
        <v>0</v>
      </c>
      <c r="BQ2481">
        <v>0</v>
      </c>
      <c r="BR2481">
        <v>0</v>
      </c>
      <c r="BS2481">
        <v>0</v>
      </c>
      <c r="BT2481">
        <v>0</v>
      </c>
      <c r="BU2481">
        <v>0</v>
      </c>
      <c r="BV2481">
        <v>0</v>
      </c>
    </row>
    <row r="2482" spans="67:74" x14ac:dyDescent="0.25">
      <c r="BO2482">
        <v>0</v>
      </c>
      <c r="BP2482">
        <v>0</v>
      </c>
      <c r="BQ2482">
        <v>0</v>
      </c>
      <c r="BR2482">
        <v>0</v>
      </c>
      <c r="BS2482">
        <v>0</v>
      </c>
      <c r="BT2482">
        <v>0</v>
      </c>
      <c r="BU2482">
        <v>0</v>
      </c>
      <c r="BV2482">
        <v>0</v>
      </c>
    </row>
    <row r="2483" spans="67:74" x14ac:dyDescent="0.25">
      <c r="BO2483">
        <v>0</v>
      </c>
      <c r="BP2483">
        <v>0</v>
      </c>
      <c r="BQ2483">
        <v>0</v>
      </c>
      <c r="BR2483">
        <v>0</v>
      </c>
      <c r="BS2483">
        <v>0</v>
      </c>
      <c r="BT2483">
        <v>0</v>
      </c>
      <c r="BU2483">
        <v>0</v>
      </c>
      <c r="BV2483">
        <v>0</v>
      </c>
    </row>
    <row r="2484" spans="67:74" x14ac:dyDescent="0.25">
      <c r="BO2484">
        <v>0</v>
      </c>
      <c r="BP2484">
        <v>0</v>
      </c>
      <c r="BQ2484">
        <v>0</v>
      </c>
      <c r="BR2484">
        <v>0</v>
      </c>
      <c r="BS2484">
        <v>0</v>
      </c>
      <c r="BT2484">
        <v>0</v>
      </c>
      <c r="BU2484">
        <v>0</v>
      </c>
      <c r="BV2484">
        <v>0</v>
      </c>
    </row>
    <row r="2485" spans="67:74" x14ac:dyDescent="0.25">
      <c r="BO2485">
        <v>0</v>
      </c>
      <c r="BP2485">
        <v>0</v>
      </c>
      <c r="BQ2485">
        <v>0</v>
      </c>
      <c r="BR2485">
        <v>0</v>
      </c>
      <c r="BS2485">
        <v>0</v>
      </c>
      <c r="BT2485">
        <v>0</v>
      </c>
      <c r="BU2485">
        <v>0</v>
      </c>
      <c r="BV2485">
        <v>0</v>
      </c>
    </row>
    <row r="2486" spans="67:74" x14ac:dyDescent="0.25">
      <c r="BO2486">
        <v>0</v>
      </c>
      <c r="BP2486">
        <v>0</v>
      </c>
      <c r="BQ2486">
        <v>0</v>
      </c>
      <c r="BR2486">
        <v>0</v>
      </c>
      <c r="BS2486">
        <v>0</v>
      </c>
      <c r="BT2486">
        <v>0</v>
      </c>
      <c r="BU2486">
        <v>0</v>
      </c>
      <c r="BV2486">
        <v>0</v>
      </c>
    </row>
    <row r="2487" spans="67:74" x14ac:dyDescent="0.25">
      <c r="BO2487">
        <v>0</v>
      </c>
      <c r="BP2487">
        <v>0</v>
      </c>
      <c r="BQ2487">
        <v>0</v>
      </c>
      <c r="BR2487">
        <v>0</v>
      </c>
      <c r="BS2487">
        <v>0</v>
      </c>
      <c r="BT2487">
        <v>0</v>
      </c>
      <c r="BU2487">
        <v>0</v>
      </c>
      <c r="BV2487">
        <v>0</v>
      </c>
    </row>
    <row r="2488" spans="67:74" x14ac:dyDescent="0.25">
      <c r="BO2488">
        <v>0</v>
      </c>
      <c r="BP2488">
        <v>0</v>
      </c>
      <c r="BQ2488">
        <v>0</v>
      </c>
      <c r="BR2488">
        <v>0</v>
      </c>
      <c r="BS2488">
        <v>0</v>
      </c>
      <c r="BT2488">
        <v>0</v>
      </c>
      <c r="BU2488">
        <v>0</v>
      </c>
      <c r="BV2488">
        <v>0</v>
      </c>
    </row>
    <row r="2489" spans="67:74" x14ac:dyDescent="0.25">
      <c r="BO2489">
        <v>0</v>
      </c>
      <c r="BP2489">
        <v>0</v>
      </c>
      <c r="BQ2489">
        <v>0</v>
      </c>
      <c r="BR2489">
        <v>0</v>
      </c>
      <c r="BS2489">
        <v>0</v>
      </c>
      <c r="BT2489">
        <v>0</v>
      </c>
      <c r="BU2489">
        <v>0</v>
      </c>
      <c r="BV2489">
        <v>0</v>
      </c>
    </row>
    <row r="2490" spans="67:74" x14ac:dyDescent="0.25">
      <c r="BO2490">
        <v>0</v>
      </c>
      <c r="BP2490">
        <v>0</v>
      </c>
      <c r="BQ2490">
        <v>0</v>
      </c>
      <c r="BR2490">
        <v>0</v>
      </c>
      <c r="BS2490">
        <v>0</v>
      </c>
      <c r="BT2490">
        <v>0</v>
      </c>
      <c r="BU2490">
        <v>0</v>
      </c>
      <c r="BV2490">
        <v>0</v>
      </c>
    </row>
    <row r="2491" spans="67:74" x14ac:dyDescent="0.25">
      <c r="BO2491">
        <v>0</v>
      </c>
      <c r="BP2491">
        <v>0</v>
      </c>
      <c r="BQ2491">
        <v>0</v>
      </c>
      <c r="BR2491">
        <v>0</v>
      </c>
      <c r="BS2491">
        <v>0</v>
      </c>
      <c r="BT2491">
        <v>0</v>
      </c>
      <c r="BU2491">
        <v>0</v>
      </c>
      <c r="BV2491">
        <v>0</v>
      </c>
    </row>
    <row r="2492" spans="67:74" x14ac:dyDescent="0.25">
      <c r="BO2492">
        <v>0</v>
      </c>
      <c r="BP2492">
        <v>0</v>
      </c>
      <c r="BQ2492">
        <v>0</v>
      </c>
      <c r="BR2492">
        <v>0</v>
      </c>
      <c r="BS2492">
        <v>0</v>
      </c>
      <c r="BT2492">
        <v>0</v>
      </c>
      <c r="BU2492">
        <v>0</v>
      </c>
      <c r="BV2492">
        <v>0</v>
      </c>
    </row>
    <row r="2493" spans="67:74" x14ac:dyDescent="0.25">
      <c r="BO2493">
        <v>0</v>
      </c>
      <c r="BP2493">
        <v>0</v>
      </c>
      <c r="BQ2493">
        <v>0</v>
      </c>
      <c r="BR2493">
        <v>0</v>
      </c>
      <c r="BS2493">
        <v>0</v>
      </c>
      <c r="BT2493">
        <v>0</v>
      </c>
      <c r="BU2493">
        <v>0</v>
      </c>
      <c r="BV2493">
        <v>0</v>
      </c>
    </row>
    <row r="2494" spans="67:74" x14ac:dyDescent="0.25">
      <c r="BO2494">
        <v>0</v>
      </c>
      <c r="BP2494">
        <v>0</v>
      </c>
      <c r="BQ2494">
        <v>0</v>
      </c>
      <c r="BR2494">
        <v>0</v>
      </c>
      <c r="BS2494">
        <v>0</v>
      </c>
      <c r="BT2494">
        <v>0</v>
      </c>
      <c r="BU2494">
        <v>0</v>
      </c>
      <c r="BV2494">
        <v>0</v>
      </c>
    </row>
    <row r="2495" spans="67:74" x14ac:dyDescent="0.25">
      <c r="BO2495">
        <v>0</v>
      </c>
      <c r="BP2495">
        <v>0</v>
      </c>
      <c r="BQ2495">
        <v>0</v>
      </c>
      <c r="BR2495">
        <v>0</v>
      </c>
      <c r="BS2495">
        <v>0</v>
      </c>
      <c r="BT2495">
        <v>0</v>
      </c>
      <c r="BU2495">
        <v>0</v>
      </c>
      <c r="BV2495">
        <v>0</v>
      </c>
    </row>
    <row r="2496" spans="67:74" x14ac:dyDescent="0.25">
      <c r="BO2496">
        <v>0</v>
      </c>
      <c r="BP2496">
        <v>0</v>
      </c>
      <c r="BQ2496">
        <v>0</v>
      </c>
      <c r="BR2496">
        <v>0</v>
      </c>
      <c r="BS2496">
        <v>0</v>
      </c>
      <c r="BT2496">
        <v>0</v>
      </c>
      <c r="BU2496">
        <v>0</v>
      </c>
      <c r="BV2496">
        <v>0</v>
      </c>
    </row>
    <row r="2497" spans="67:74" x14ac:dyDescent="0.25">
      <c r="BO2497">
        <v>0</v>
      </c>
      <c r="BP2497">
        <v>0</v>
      </c>
      <c r="BQ2497">
        <v>0</v>
      </c>
      <c r="BR2497">
        <v>0</v>
      </c>
      <c r="BS2497">
        <v>0</v>
      </c>
      <c r="BT2497">
        <v>0</v>
      </c>
      <c r="BU2497">
        <v>0</v>
      </c>
      <c r="BV2497">
        <v>0</v>
      </c>
    </row>
    <row r="2498" spans="67:74" x14ac:dyDescent="0.25">
      <c r="BO2498">
        <v>0</v>
      </c>
      <c r="BP2498">
        <v>0</v>
      </c>
      <c r="BQ2498">
        <v>0</v>
      </c>
      <c r="BR2498">
        <v>0</v>
      </c>
      <c r="BS2498">
        <v>0</v>
      </c>
      <c r="BT2498">
        <v>0</v>
      </c>
      <c r="BU2498">
        <v>0</v>
      </c>
      <c r="BV2498">
        <v>0</v>
      </c>
    </row>
    <row r="2499" spans="67:74" x14ac:dyDescent="0.25">
      <c r="BO2499">
        <v>0</v>
      </c>
      <c r="BP2499">
        <v>0</v>
      </c>
      <c r="BQ2499">
        <v>0</v>
      </c>
      <c r="BR2499">
        <v>0</v>
      </c>
      <c r="BS2499">
        <v>0</v>
      </c>
      <c r="BT2499">
        <v>0</v>
      </c>
      <c r="BU2499">
        <v>0</v>
      </c>
      <c r="BV2499">
        <v>0</v>
      </c>
    </row>
    <row r="2500" spans="67:74" x14ac:dyDescent="0.25">
      <c r="BO2500">
        <v>0</v>
      </c>
      <c r="BP2500">
        <v>0</v>
      </c>
      <c r="BQ2500">
        <v>0</v>
      </c>
      <c r="BR2500">
        <v>0</v>
      </c>
      <c r="BS2500">
        <v>0</v>
      </c>
      <c r="BT2500">
        <v>0</v>
      </c>
      <c r="BU2500">
        <v>0</v>
      </c>
      <c r="BV2500">
        <v>0</v>
      </c>
    </row>
    <row r="2501" spans="67:74" x14ac:dyDescent="0.25">
      <c r="BO2501">
        <v>0</v>
      </c>
      <c r="BP2501">
        <v>0</v>
      </c>
      <c r="BQ2501">
        <v>0</v>
      </c>
      <c r="BR2501">
        <v>0</v>
      </c>
      <c r="BS2501">
        <v>0</v>
      </c>
      <c r="BT2501">
        <v>0</v>
      </c>
      <c r="BU2501">
        <v>0</v>
      </c>
      <c r="BV2501">
        <v>0</v>
      </c>
    </row>
    <row r="2502" spans="67:74" x14ac:dyDescent="0.25">
      <c r="BO2502">
        <v>0</v>
      </c>
      <c r="BP2502">
        <v>0</v>
      </c>
      <c r="BQ2502">
        <v>0</v>
      </c>
      <c r="BR2502">
        <v>0</v>
      </c>
      <c r="BS2502">
        <v>0</v>
      </c>
      <c r="BT2502">
        <v>0</v>
      </c>
      <c r="BU2502">
        <v>0</v>
      </c>
      <c r="BV2502">
        <v>0</v>
      </c>
    </row>
    <row r="2503" spans="67:74" x14ac:dyDescent="0.25">
      <c r="BO2503">
        <v>0</v>
      </c>
      <c r="BP2503">
        <v>0</v>
      </c>
      <c r="BQ2503">
        <v>0</v>
      </c>
      <c r="BR2503">
        <v>0</v>
      </c>
      <c r="BS2503">
        <v>0</v>
      </c>
      <c r="BT2503">
        <v>0</v>
      </c>
      <c r="BU2503">
        <v>0</v>
      </c>
      <c r="BV2503">
        <v>0</v>
      </c>
    </row>
    <row r="2504" spans="67:74" x14ac:dyDescent="0.25">
      <c r="BO2504">
        <v>0</v>
      </c>
      <c r="BP2504">
        <v>0</v>
      </c>
      <c r="BQ2504">
        <v>0</v>
      </c>
      <c r="BR2504">
        <v>0</v>
      </c>
      <c r="BS2504">
        <v>0</v>
      </c>
      <c r="BT2504">
        <v>0</v>
      </c>
      <c r="BU2504">
        <v>0</v>
      </c>
      <c r="BV2504">
        <v>0</v>
      </c>
    </row>
    <row r="2505" spans="67:74" x14ac:dyDescent="0.25">
      <c r="BO2505">
        <v>0</v>
      </c>
      <c r="BP2505">
        <v>0</v>
      </c>
      <c r="BQ2505">
        <v>0</v>
      </c>
      <c r="BR2505">
        <v>0</v>
      </c>
      <c r="BS2505">
        <v>0</v>
      </c>
      <c r="BT2505">
        <v>0</v>
      </c>
      <c r="BU2505">
        <v>0</v>
      </c>
      <c r="BV2505">
        <v>0</v>
      </c>
    </row>
    <row r="2506" spans="67:74" x14ac:dyDescent="0.25">
      <c r="BO2506">
        <v>0</v>
      </c>
      <c r="BP2506">
        <v>0</v>
      </c>
      <c r="BQ2506">
        <v>0</v>
      </c>
      <c r="BR2506">
        <v>0</v>
      </c>
      <c r="BS2506">
        <v>0</v>
      </c>
      <c r="BT2506">
        <v>0</v>
      </c>
      <c r="BU2506">
        <v>0</v>
      </c>
      <c r="BV2506">
        <v>0</v>
      </c>
    </row>
    <row r="2507" spans="67:74" x14ac:dyDescent="0.25">
      <c r="BO2507">
        <v>0</v>
      </c>
      <c r="BP2507">
        <v>0</v>
      </c>
      <c r="BQ2507">
        <v>0</v>
      </c>
      <c r="BR2507">
        <v>0</v>
      </c>
      <c r="BS2507">
        <v>0</v>
      </c>
      <c r="BT2507">
        <v>0</v>
      </c>
      <c r="BU2507">
        <v>0</v>
      </c>
      <c r="BV2507">
        <v>0</v>
      </c>
    </row>
    <row r="2508" spans="67:74" x14ac:dyDescent="0.25">
      <c r="BO2508">
        <v>0</v>
      </c>
      <c r="BP2508">
        <v>0</v>
      </c>
      <c r="BQ2508">
        <v>0</v>
      </c>
      <c r="BR2508">
        <v>0</v>
      </c>
      <c r="BS2508">
        <v>0</v>
      </c>
      <c r="BT2508">
        <v>0</v>
      </c>
      <c r="BU2508">
        <v>0</v>
      </c>
      <c r="BV2508">
        <v>0</v>
      </c>
    </row>
    <row r="2509" spans="67:74" x14ac:dyDescent="0.25">
      <c r="BO2509">
        <v>0</v>
      </c>
      <c r="BP2509">
        <v>0</v>
      </c>
      <c r="BQ2509">
        <v>0</v>
      </c>
      <c r="BR2509">
        <v>0</v>
      </c>
      <c r="BS2509">
        <v>0</v>
      </c>
      <c r="BT2509">
        <v>0</v>
      </c>
      <c r="BU2509">
        <v>0</v>
      </c>
      <c r="BV2509">
        <v>0</v>
      </c>
    </row>
    <row r="2510" spans="67:74" x14ac:dyDescent="0.25">
      <c r="BO2510">
        <v>0</v>
      </c>
      <c r="BP2510">
        <v>0</v>
      </c>
      <c r="BQ2510">
        <v>0</v>
      </c>
      <c r="BR2510">
        <v>0</v>
      </c>
      <c r="BS2510">
        <v>0</v>
      </c>
      <c r="BT2510">
        <v>0</v>
      </c>
      <c r="BU2510">
        <v>0</v>
      </c>
      <c r="BV2510">
        <v>0</v>
      </c>
    </row>
    <row r="2511" spans="67:74" x14ac:dyDescent="0.25">
      <c r="BO2511">
        <v>0</v>
      </c>
      <c r="BP2511">
        <v>0</v>
      </c>
      <c r="BQ2511">
        <v>0</v>
      </c>
      <c r="BR2511">
        <v>0</v>
      </c>
      <c r="BS2511">
        <v>0</v>
      </c>
      <c r="BT2511">
        <v>0</v>
      </c>
      <c r="BU2511">
        <v>0</v>
      </c>
      <c r="BV2511">
        <v>0</v>
      </c>
    </row>
    <row r="2512" spans="67:74" x14ac:dyDescent="0.25">
      <c r="BO2512">
        <v>0</v>
      </c>
      <c r="BP2512">
        <v>0</v>
      </c>
      <c r="BQ2512">
        <v>0</v>
      </c>
      <c r="BR2512">
        <v>0</v>
      </c>
      <c r="BS2512">
        <v>0</v>
      </c>
      <c r="BT2512">
        <v>0</v>
      </c>
      <c r="BU2512">
        <v>0</v>
      </c>
      <c r="BV2512">
        <v>0</v>
      </c>
    </row>
    <row r="2513" spans="67:74" x14ac:dyDescent="0.25">
      <c r="BO2513">
        <v>0</v>
      </c>
      <c r="BP2513">
        <v>0</v>
      </c>
      <c r="BQ2513">
        <v>0</v>
      </c>
      <c r="BR2513">
        <v>0</v>
      </c>
      <c r="BS2513">
        <v>0</v>
      </c>
      <c r="BT2513">
        <v>0</v>
      </c>
      <c r="BU2513">
        <v>0</v>
      </c>
      <c r="BV2513">
        <v>0</v>
      </c>
    </row>
    <row r="2514" spans="67:74" x14ac:dyDescent="0.25">
      <c r="BO2514">
        <v>0</v>
      </c>
      <c r="BP2514">
        <v>0</v>
      </c>
      <c r="BQ2514">
        <v>0</v>
      </c>
      <c r="BR2514">
        <v>0</v>
      </c>
      <c r="BS2514">
        <v>0</v>
      </c>
      <c r="BT2514">
        <v>0</v>
      </c>
      <c r="BU2514">
        <v>0</v>
      </c>
      <c r="BV2514">
        <v>0</v>
      </c>
    </row>
    <row r="2515" spans="67:74" x14ac:dyDescent="0.25">
      <c r="BO2515">
        <v>0</v>
      </c>
      <c r="BP2515">
        <v>0</v>
      </c>
      <c r="BQ2515">
        <v>0</v>
      </c>
      <c r="BR2515">
        <v>0</v>
      </c>
      <c r="BS2515">
        <v>0</v>
      </c>
      <c r="BT2515">
        <v>0</v>
      </c>
      <c r="BU2515">
        <v>0</v>
      </c>
      <c r="BV2515">
        <v>0</v>
      </c>
    </row>
    <row r="2516" spans="67:74" x14ac:dyDescent="0.25">
      <c r="BO2516">
        <v>0</v>
      </c>
      <c r="BP2516">
        <v>0</v>
      </c>
      <c r="BQ2516">
        <v>0</v>
      </c>
      <c r="BR2516">
        <v>0</v>
      </c>
      <c r="BS2516">
        <v>0</v>
      </c>
      <c r="BT2516">
        <v>0</v>
      </c>
      <c r="BU2516">
        <v>0</v>
      </c>
      <c r="BV2516">
        <v>0</v>
      </c>
    </row>
    <row r="2517" spans="67:74" x14ac:dyDescent="0.25">
      <c r="BO2517">
        <v>0</v>
      </c>
      <c r="BP2517">
        <v>0</v>
      </c>
      <c r="BQ2517">
        <v>0</v>
      </c>
      <c r="BR2517">
        <v>0</v>
      </c>
      <c r="BS2517">
        <v>0</v>
      </c>
      <c r="BT2517">
        <v>0</v>
      </c>
      <c r="BU2517">
        <v>0</v>
      </c>
      <c r="BV2517">
        <v>0</v>
      </c>
    </row>
    <row r="2518" spans="67:74" x14ac:dyDescent="0.25">
      <c r="BO2518">
        <v>0</v>
      </c>
      <c r="BP2518">
        <v>0</v>
      </c>
      <c r="BQ2518">
        <v>0</v>
      </c>
      <c r="BR2518">
        <v>0</v>
      </c>
      <c r="BS2518">
        <v>0</v>
      </c>
      <c r="BT2518">
        <v>0</v>
      </c>
      <c r="BU2518">
        <v>0</v>
      </c>
      <c r="BV2518">
        <v>0</v>
      </c>
    </row>
    <row r="2519" spans="67:74" x14ac:dyDescent="0.25">
      <c r="BO2519">
        <v>0</v>
      </c>
      <c r="BP2519">
        <v>0</v>
      </c>
      <c r="BQ2519">
        <v>0</v>
      </c>
      <c r="BR2519">
        <v>0</v>
      </c>
      <c r="BS2519">
        <v>0</v>
      </c>
      <c r="BT2519">
        <v>0</v>
      </c>
      <c r="BU2519">
        <v>0</v>
      </c>
      <c r="BV2519">
        <v>0</v>
      </c>
    </row>
    <row r="2520" spans="67:74" x14ac:dyDescent="0.25">
      <c r="BO2520">
        <v>0</v>
      </c>
      <c r="BP2520">
        <v>0</v>
      </c>
      <c r="BQ2520">
        <v>0</v>
      </c>
      <c r="BR2520">
        <v>0</v>
      </c>
      <c r="BS2520">
        <v>0</v>
      </c>
      <c r="BT2520">
        <v>0</v>
      </c>
      <c r="BU2520">
        <v>0</v>
      </c>
      <c r="BV2520">
        <v>0</v>
      </c>
    </row>
    <row r="2521" spans="67:74" x14ac:dyDescent="0.25">
      <c r="BO2521">
        <v>0</v>
      </c>
      <c r="BP2521">
        <v>0</v>
      </c>
      <c r="BQ2521">
        <v>0</v>
      </c>
      <c r="BR2521">
        <v>0</v>
      </c>
      <c r="BS2521">
        <v>0</v>
      </c>
      <c r="BT2521">
        <v>0</v>
      </c>
      <c r="BU2521">
        <v>0</v>
      </c>
      <c r="BV2521">
        <v>0</v>
      </c>
    </row>
    <row r="2522" spans="67:74" x14ac:dyDescent="0.25">
      <c r="BO2522">
        <v>0</v>
      </c>
      <c r="BP2522">
        <v>0</v>
      </c>
      <c r="BQ2522">
        <v>0</v>
      </c>
      <c r="BR2522">
        <v>0</v>
      </c>
      <c r="BS2522">
        <v>0</v>
      </c>
      <c r="BT2522">
        <v>0</v>
      </c>
      <c r="BU2522">
        <v>0</v>
      </c>
      <c r="BV2522">
        <v>0</v>
      </c>
    </row>
    <row r="2523" spans="67:74" x14ac:dyDescent="0.25">
      <c r="BO2523">
        <v>0</v>
      </c>
      <c r="BP2523">
        <v>0</v>
      </c>
      <c r="BQ2523">
        <v>0</v>
      </c>
      <c r="BR2523">
        <v>0</v>
      </c>
      <c r="BS2523">
        <v>0</v>
      </c>
      <c r="BT2523">
        <v>0</v>
      </c>
      <c r="BU2523">
        <v>0</v>
      </c>
      <c r="BV2523">
        <v>0</v>
      </c>
    </row>
    <row r="2524" spans="67:74" x14ac:dyDescent="0.25">
      <c r="BO2524">
        <v>0</v>
      </c>
      <c r="BP2524">
        <v>0</v>
      </c>
      <c r="BQ2524">
        <v>0</v>
      </c>
      <c r="BR2524">
        <v>0</v>
      </c>
      <c r="BS2524">
        <v>0</v>
      </c>
      <c r="BT2524">
        <v>0</v>
      </c>
      <c r="BU2524">
        <v>0</v>
      </c>
      <c r="BV2524">
        <v>0</v>
      </c>
    </row>
    <row r="2525" spans="67:74" x14ac:dyDescent="0.25">
      <c r="BO2525">
        <v>0</v>
      </c>
      <c r="BP2525">
        <v>0</v>
      </c>
      <c r="BQ2525">
        <v>0</v>
      </c>
      <c r="BR2525">
        <v>0</v>
      </c>
      <c r="BS2525">
        <v>0</v>
      </c>
      <c r="BT2525">
        <v>0</v>
      </c>
      <c r="BU2525">
        <v>0</v>
      </c>
      <c r="BV2525">
        <v>0</v>
      </c>
    </row>
    <row r="2526" spans="67:74" x14ac:dyDescent="0.25">
      <c r="BO2526">
        <v>0</v>
      </c>
      <c r="BP2526">
        <v>0</v>
      </c>
      <c r="BQ2526">
        <v>0</v>
      </c>
      <c r="BR2526">
        <v>0</v>
      </c>
      <c r="BS2526">
        <v>0</v>
      </c>
      <c r="BT2526">
        <v>0</v>
      </c>
      <c r="BU2526">
        <v>0</v>
      </c>
      <c r="BV2526">
        <v>0</v>
      </c>
    </row>
    <row r="2527" spans="67:74" x14ac:dyDescent="0.25">
      <c r="BO2527">
        <v>0</v>
      </c>
      <c r="BP2527">
        <v>0</v>
      </c>
      <c r="BQ2527">
        <v>0</v>
      </c>
      <c r="BR2527">
        <v>0</v>
      </c>
      <c r="BS2527">
        <v>0</v>
      </c>
      <c r="BT2527">
        <v>0</v>
      </c>
      <c r="BU2527">
        <v>0</v>
      </c>
      <c r="BV2527">
        <v>0</v>
      </c>
    </row>
    <row r="2528" spans="67:74" x14ac:dyDescent="0.25">
      <c r="BO2528">
        <v>0</v>
      </c>
      <c r="BP2528">
        <v>0</v>
      </c>
      <c r="BQ2528">
        <v>0</v>
      </c>
      <c r="BR2528">
        <v>0</v>
      </c>
      <c r="BS2528">
        <v>0</v>
      </c>
      <c r="BT2528">
        <v>0</v>
      </c>
      <c r="BU2528">
        <v>0</v>
      </c>
      <c r="BV2528">
        <v>0</v>
      </c>
    </row>
    <row r="2529" spans="67:74" x14ac:dyDescent="0.25">
      <c r="BO2529">
        <v>0</v>
      </c>
      <c r="BP2529">
        <v>0</v>
      </c>
      <c r="BQ2529">
        <v>0</v>
      </c>
      <c r="BR2529">
        <v>0</v>
      </c>
      <c r="BS2529">
        <v>0</v>
      </c>
      <c r="BT2529">
        <v>0</v>
      </c>
      <c r="BU2529">
        <v>0</v>
      </c>
      <c r="BV2529">
        <v>0</v>
      </c>
    </row>
    <row r="2530" spans="67:74" x14ac:dyDescent="0.25">
      <c r="BO2530">
        <v>0</v>
      </c>
      <c r="BP2530">
        <v>0</v>
      </c>
      <c r="BQ2530">
        <v>0</v>
      </c>
      <c r="BR2530">
        <v>0</v>
      </c>
      <c r="BS2530">
        <v>0</v>
      </c>
      <c r="BT2530">
        <v>0</v>
      </c>
      <c r="BU2530">
        <v>0</v>
      </c>
      <c r="BV2530">
        <v>0</v>
      </c>
    </row>
    <row r="2531" spans="67:74" x14ac:dyDescent="0.25">
      <c r="BO2531">
        <v>0</v>
      </c>
      <c r="BP2531">
        <v>0</v>
      </c>
      <c r="BQ2531">
        <v>0</v>
      </c>
      <c r="BR2531">
        <v>0</v>
      </c>
      <c r="BS2531">
        <v>0</v>
      </c>
      <c r="BT2531">
        <v>0</v>
      </c>
      <c r="BU2531">
        <v>0</v>
      </c>
      <c r="BV2531">
        <v>0</v>
      </c>
    </row>
    <row r="2532" spans="67:74" x14ac:dyDescent="0.25">
      <c r="BO2532">
        <v>0</v>
      </c>
      <c r="BP2532">
        <v>0</v>
      </c>
      <c r="BQ2532">
        <v>0</v>
      </c>
      <c r="BR2532">
        <v>0</v>
      </c>
      <c r="BS2532">
        <v>0</v>
      </c>
      <c r="BT2532">
        <v>0</v>
      </c>
      <c r="BU2532">
        <v>0</v>
      </c>
      <c r="BV2532">
        <v>0</v>
      </c>
    </row>
    <row r="2533" spans="67:74" x14ac:dyDescent="0.25">
      <c r="BO2533">
        <v>0</v>
      </c>
      <c r="BP2533">
        <v>0</v>
      </c>
      <c r="BQ2533">
        <v>0</v>
      </c>
      <c r="BR2533">
        <v>0</v>
      </c>
      <c r="BS2533">
        <v>0</v>
      </c>
      <c r="BT2533">
        <v>0</v>
      </c>
      <c r="BU2533">
        <v>0</v>
      </c>
      <c r="BV2533">
        <v>0</v>
      </c>
    </row>
    <row r="2534" spans="67:74" x14ac:dyDescent="0.25">
      <c r="BO2534">
        <v>0</v>
      </c>
      <c r="BP2534">
        <v>0</v>
      </c>
      <c r="BQ2534">
        <v>0</v>
      </c>
      <c r="BR2534">
        <v>0</v>
      </c>
      <c r="BS2534">
        <v>0</v>
      </c>
      <c r="BT2534">
        <v>0</v>
      </c>
      <c r="BU2534">
        <v>0</v>
      </c>
      <c r="BV2534">
        <v>0</v>
      </c>
    </row>
    <row r="2535" spans="67:74" x14ac:dyDescent="0.25">
      <c r="BO2535">
        <v>0</v>
      </c>
      <c r="BP2535">
        <v>0</v>
      </c>
      <c r="BQ2535">
        <v>0</v>
      </c>
      <c r="BR2535">
        <v>0</v>
      </c>
      <c r="BS2535">
        <v>0</v>
      </c>
      <c r="BT2535">
        <v>0</v>
      </c>
      <c r="BU2535">
        <v>0</v>
      </c>
      <c r="BV2535">
        <v>0</v>
      </c>
    </row>
    <row r="2536" spans="67:74" x14ac:dyDescent="0.25">
      <c r="BO2536">
        <v>0</v>
      </c>
      <c r="BP2536">
        <v>0</v>
      </c>
      <c r="BQ2536">
        <v>0</v>
      </c>
      <c r="BR2536">
        <v>0</v>
      </c>
      <c r="BS2536">
        <v>0</v>
      </c>
      <c r="BT2536">
        <v>0</v>
      </c>
      <c r="BU2536">
        <v>0</v>
      </c>
      <c r="BV2536">
        <v>0</v>
      </c>
    </row>
    <row r="2537" spans="67:74" x14ac:dyDescent="0.25">
      <c r="BO2537">
        <v>0</v>
      </c>
      <c r="BP2537">
        <v>0</v>
      </c>
      <c r="BQ2537">
        <v>0</v>
      </c>
      <c r="BR2537">
        <v>0</v>
      </c>
      <c r="BS2537">
        <v>0</v>
      </c>
      <c r="BT2537">
        <v>0</v>
      </c>
      <c r="BU2537">
        <v>0</v>
      </c>
      <c r="BV2537">
        <v>0</v>
      </c>
    </row>
    <row r="2538" spans="67:74" x14ac:dyDescent="0.25">
      <c r="BO2538">
        <v>0</v>
      </c>
      <c r="BP2538">
        <v>0</v>
      </c>
      <c r="BQ2538">
        <v>0</v>
      </c>
      <c r="BR2538">
        <v>0</v>
      </c>
      <c r="BS2538">
        <v>0</v>
      </c>
      <c r="BT2538">
        <v>0</v>
      </c>
      <c r="BU2538">
        <v>0</v>
      </c>
      <c r="BV2538">
        <v>0</v>
      </c>
    </row>
    <row r="2539" spans="67:74" x14ac:dyDescent="0.25">
      <c r="BO2539">
        <v>0</v>
      </c>
      <c r="BP2539">
        <v>0</v>
      </c>
      <c r="BQ2539">
        <v>0</v>
      </c>
      <c r="BR2539">
        <v>0</v>
      </c>
      <c r="BS2539">
        <v>0</v>
      </c>
      <c r="BT2539">
        <v>0</v>
      </c>
      <c r="BU2539">
        <v>0</v>
      </c>
      <c r="BV2539">
        <v>0</v>
      </c>
    </row>
    <row r="2540" spans="67:74" x14ac:dyDescent="0.25">
      <c r="BO2540">
        <v>0</v>
      </c>
      <c r="BP2540">
        <v>0</v>
      </c>
      <c r="BQ2540">
        <v>0</v>
      </c>
      <c r="BR2540">
        <v>0</v>
      </c>
      <c r="BS2540">
        <v>0</v>
      </c>
      <c r="BT2540">
        <v>0</v>
      </c>
      <c r="BU2540">
        <v>0</v>
      </c>
      <c r="BV2540">
        <v>0</v>
      </c>
    </row>
    <row r="2541" spans="67:74" x14ac:dyDescent="0.25">
      <c r="BO2541">
        <v>0</v>
      </c>
      <c r="BP2541">
        <v>0</v>
      </c>
      <c r="BQ2541">
        <v>0</v>
      </c>
      <c r="BR2541">
        <v>0</v>
      </c>
      <c r="BS2541">
        <v>0</v>
      </c>
      <c r="BT2541">
        <v>0</v>
      </c>
      <c r="BU2541">
        <v>0</v>
      </c>
      <c r="BV2541">
        <v>0</v>
      </c>
    </row>
    <row r="2542" spans="67:74" x14ac:dyDescent="0.25">
      <c r="BO2542">
        <v>0</v>
      </c>
      <c r="BP2542">
        <v>0</v>
      </c>
      <c r="BQ2542">
        <v>0</v>
      </c>
      <c r="BR2542">
        <v>0</v>
      </c>
      <c r="BS2542">
        <v>0</v>
      </c>
      <c r="BT2542">
        <v>0</v>
      </c>
      <c r="BU2542">
        <v>0</v>
      </c>
      <c r="BV2542">
        <v>0</v>
      </c>
    </row>
    <row r="2543" spans="67:74" x14ac:dyDescent="0.25">
      <c r="BO2543">
        <v>0</v>
      </c>
      <c r="BP2543">
        <v>0</v>
      </c>
      <c r="BQ2543">
        <v>0</v>
      </c>
      <c r="BR2543">
        <v>0</v>
      </c>
      <c r="BS2543">
        <v>0</v>
      </c>
      <c r="BT2543">
        <v>0</v>
      </c>
      <c r="BU2543">
        <v>0</v>
      </c>
      <c r="BV2543">
        <v>0</v>
      </c>
    </row>
    <row r="2544" spans="67:74" x14ac:dyDescent="0.25">
      <c r="BO2544">
        <v>0</v>
      </c>
      <c r="BP2544">
        <v>0</v>
      </c>
      <c r="BQ2544">
        <v>0</v>
      </c>
      <c r="BR2544">
        <v>0</v>
      </c>
      <c r="BS2544">
        <v>0</v>
      </c>
      <c r="BT2544">
        <v>0</v>
      </c>
      <c r="BU2544">
        <v>0</v>
      </c>
      <c r="BV2544">
        <v>0</v>
      </c>
    </row>
    <row r="2545" spans="67:74" x14ac:dyDescent="0.25">
      <c r="BO2545">
        <v>0</v>
      </c>
      <c r="BP2545">
        <v>0</v>
      </c>
      <c r="BQ2545">
        <v>0</v>
      </c>
      <c r="BR2545">
        <v>0</v>
      </c>
      <c r="BS2545">
        <v>0</v>
      </c>
      <c r="BT2545">
        <v>0</v>
      </c>
      <c r="BU2545">
        <v>0</v>
      </c>
      <c r="BV2545">
        <v>0</v>
      </c>
    </row>
    <row r="2546" spans="67:74" x14ac:dyDescent="0.25">
      <c r="BO2546">
        <v>0</v>
      </c>
      <c r="BP2546">
        <v>0</v>
      </c>
      <c r="BQ2546">
        <v>0</v>
      </c>
      <c r="BR2546">
        <v>0</v>
      </c>
      <c r="BS2546">
        <v>0</v>
      </c>
      <c r="BT2546">
        <v>0</v>
      </c>
      <c r="BU2546">
        <v>0</v>
      </c>
      <c r="BV2546">
        <v>0</v>
      </c>
    </row>
    <row r="2547" spans="67:74" x14ac:dyDescent="0.25">
      <c r="BO2547">
        <v>0</v>
      </c>
      <c r="BP2547">
        <v>0</v>
      </c>
      <c r="BQ2547">
        <v>0</v>
      </c>
      <c r="BR2547">
        <v>0</v>
      </c>
      <c r="BS2547">
        <v>0</v>
      </c>
      <c r="BT2547">
        <v>0</v>
      </c>
      <c r="BU2547">
        <v>0</v>
      </c>
      <c r="BV2547">
        <v>0</v>
      </c>
    </row>
    <row r="2548" spans="67:74" x14ac:dyDescent="0.25">
      <c r="BO2548">
        <v>0</v>
      </c>
      <c r="BP2548">
        <v>0</v>
      </c>
      <c r="BQ2548">
        <v>0</v>
      </c>
      <c r="BR2548">
        <v>0</v>
      </c>
      <c r="BS2548">
        <v>0</v>
      </c>
      <c r="BT2548">
        <v>0</v>
      </c>
      <c r="BU2548">
        <v>0</v>
      </c>
      <c r="BV2548">
        <v>0</v>
      </c>
    </row>
    <row r="2549" spans="67:74" x14ac:dyDescent="0.25">
      <c r="BO2549">
        <v>0</v>
      </c>
      <c r="BP2549">
        <v>0</v>
      </c>
      <c r="BQ2549">
        <v>0</v>
      </c>
      <c r="BR2549">
        <v>0</v>
      </c>
      <c r="BS2549">
        <v>0</v>
      </c>
      <c r="BT2549">
        <v>0</v>
      </c>
      <c r="BU2549">
        <v>0</v>
      </c>
      <c r="BV2549">
        <v>0</v>
      </c>
    </row>
    <row r="2550" spans="67:74" x14ac:dyDescent="0.25">
      <c r="BO2550">
        <v>0</v>
      </c>
      <c r="BP2550">
        <v>0</v>
      </c>
      <c r="BQ2550">
        <v>0</v>
      </c>
      <c r="BR2550">
        <v>0</v>
      </c>
      <c r="BS2550">
        <v>0</v>
      </c>
      <c r="BT2550">
        <v>0</v>
      </c>
      <c r="BU2550">
        <v>0</v>
      </c>
      <c r="BV2550">
        <v>0</v>
      </c>
    </row>
    <row r="2551" spans="67:74" x14ac:dyDescent="0.25">
      <c r="BO2551">
        <v>0</v>
      </c>
      <c r="BP2551">
        <v>0</v>
      </c>
      <c r="BQ2551">
        <v>0</v>
      </c>
      <c r="BR2551">
        <v>0</v>
      </c>
      <c r="BS2551">
        <v>0</v>
      </c>
      <c r="BT2551">
        <v>0</v>
      </c>
      <c r="BU2551">
        <v>0</v>
      </c>
      <c r="BV2551">
        <v>0</v>
      </c>
    </row>
    <row r="2552" spans="67:74" x14ac:dyDescent="0.25">
      <c r="BO2552">
        <v>0</v>
      </c>
      <c r="BP2552">
        <v>0</v>
      </c>
      <c r="BQ2552">
        <v>0</v>
      </c>
      <c r="BR2552">
        <v>0</v>
      </c>
      <c r="BS2552">
        <v>0</v>
      </c>
      <c r="BT2552">
        <v>0</v>
      </c>
      <c r="BU2552">
        <v>0</v>
      </c>
      <c r="BV2552">
        <v>0</v>
      </c>
    </row>
    <row r="2553" spans="67:74" x14ac:dyDescent="0.25">
      <c r="BO2553">
        <v>0</v>
      </c>
      <c r="BP2553">
        <v>0</v>
      </c>
      <c r="BQ2553">
        <v>0</v>
      </c>
      <c r="BR2553">
        <v>0</v>
      </c>
      <c r="BS2553">
        <v>0</v>
      </c>
      <c r="BT2553">
        <v>0</v>
      </c>
      <c r="BU2553">
        <v>0</v>
      </c>
      <c r="BV2553">
        <v>0</v>
      </c>
    </row>
    <row r="2554" spans="67:74" x14ac:dyDescent="0.25">
      <c r="BO2554">
        <v>0</v>
      </c>
      <c r="BP2554">
        <v>0</v>
      </c>
      <c r="BQ2554">
        <v>0</v>
      </c>
      <c r="BR2554">
        <v>0</v>
      </c>
      <c r="BS2554">
        <v>0</v>
      </c>
      <c r="BT2554">
        <v>0</v>
      </c>
      <c r="BU2554">
        <v>0</v>
      </c>
      <c r="BV2554">
        <v>0</v>
      </c>
    </row>
    <row r="2555" spans="67:74" x14ac:dyDescent="0.25">
      <c r="BO2555">
        <v>0</v>
      </c>
      <c r="BP2555">
        <v>0</v>
      </c>
      <c r="BQ2555">
        <v>0</v>
      </c>
      <c r="BR2555">
        <v>0</v>
      </c>
      <c r="BS2555">
        <v>0</v>
      </c>
      <c r="BT2555">
        <v>0</v>
      </c>
      <c r="BU2555">
        <v>0</v>
      </c>
      <c r="BV2555">
        <v>0</v>
      </c>
    </row>
    <row r="2556" spans="67:74" x14ac:dyDescent="0.25">
      <c r="BO2556">
        <v>0</v>
      </c>
      <c r="BP2556">
        <v>0</v>
      </c>
      <c r="BQ2556">
        <v>0</v>
      </c>
      <c r="BR2556">
        <v>0</v>
      </c>
      <c r="BS2556">
        <v>0</v>
      </c>
      <c r="BT2556">
        <v>0</v>
      </c>
      <c r="BU2556">
        <v>0</v>
      </c>
      <c r="BV2556">
        <v>0</v>
      </c>
    </row>
    <row r="2557" spans="67:74" x14ac:dyDescent="0.25">
      <c r="BO2557">
        <v>0</v>
      </c>
      <c r="BP2557">
        <v>0</v>
      </c>
      <c r="BQ2557">
        <v>0</v>
      </c>
      <c r="BR2557">
        <v>0</v>
      </c>
      <c r="BS2557">
        <v>0</v>
      </c>
      <c r="BT2557">
        <v>0</v>
      </c>
      <c r="BU2557">
        <v>0</v>
      </c>
      <c r="BV2557">
        <v>0</v>
      </c>
    </row>
    <row r="2558" spans="67:74" x14ac:dyDescent="0.25">
      <c r="BO2558">
        <v>0</v>
      </c>
      <c r="BP2558">
        <v>0</v>
      </c>
      <c r="BQ2558">
        <v>0</v>
      </c>
      <c r="BR2558">
        <v>0</v>
      </c>
      <c r="BS2558">
        <v>0</v>
      </c>
      <c r="BT2558">
        <v>0</v>
      </c>
      <c r="BU2558">
        <v>0</v>
      </c>
      <c r="BV2558">
        <v>0</v>
      </c>
    </row>
    <row r="2559" spans="67:74" x14ac:dyDescent="0.25">
      <c r="BO2559">
        <v>0</v>
      </c>
      <c r="BP2559">
        <v>0</v>
      </c>
      <c r="BQ2559">
        <v>0</v>
      </c>
      <c r="BR2559">
        <v>0</v>
      </c>
      <c r="BS2559">
        <v>0</v>
      </c>
      <c r="BT2559">
        <v>0</v>
      </c>
      <c r="BU2559">
        <v>0</v>
      </c>
      <c r="BV2559">
        <v>0</v>
      </c>
    </row>
    <row r="2560" spans="67:74" x14ac:dyDescent="0.25">
      <c r="BO2560">
        <v>0</v>
      </c>
      <c r="BP2560">
        <v>0</v>
      </c>
      <c r="BQ2560">
        <v>0</v>
      </c>
      <c r="BR2560">
        <v>0</v>
      </c>
      <c r="BS2560">
        <v>0</v>
      </c>
      <c r="BT2560">
        <v>0</v>
      </c>
      <c r="BU2560">
        <v>0</v>
      </c>
      <c r="BV2560">
        <v>0</v>
      </c>
    </row>
    <row r="2561" spans="67:74" x14ac:dyDescent="0.25">
      <c r="BO2561">
        <v>0</v>
      </c>
      <c r="BP2561">
        <v>0</v>
      </c>
      <c r="BQ2561">
        <v>0</v>
      </c>
      <c r="BR2561">
        <v>0</v>
      </c>
      <c r="BS2561">
        <v>0</v>
      </c>
      <c r="BT2561">
        <v>0</v>
      </c>
      <c r="BU2561">
        <v>0</v>
      </c>
      <c r="BV2561">
        <v>0</v>
      </c>
    </row>
    <row r="2562" spans="67:74" x14ac:dyDescent="0.25">
      <c r="BO2562">
        <v>0</v>
      </c>
      <c r="BP2562">
        <v>0</v>
      </c>
      <c r="BQ2562">
        <v>0</v>
      </c>
      <c r="BR2562">
        <v>0</v>
      </c>
      <c r="BS2562">
        <v>0</v>
      </c>
      <c r="BT2562">
        <v>0</v>
      </c>
      <c r="BU2562">
        <v>0</v>
      </c>
      <c r="BV2562">
        <v>0</v>
      </c>
    </row>
    <row r="2563" spans="67:74" x14ac:dyDescent="0.25">
      <c r="BO2563">
        <v>0</v>
      </c>
      <c r="BP2563">
        <v>0</v>
      </c>
      <c r="BQ2563">
        <v>0</v>
      </c>
      <c r="BR2563">
        <v>0</v>
      </c>
      <c r="BS2563">
        <v>0</v>
      </c>
      <c r="BT2563">
        <v>0</v>
      </c>
      <c r="BU2563">
        <v>0</v>
      </c>
      <c r="BV2563">
        <v>0</v>
      </c>
    </row>
    <row r="2564" spans="67:74" x14ac:dyDescent="0.25">
      <c r="BO2564">
        <v>0</v>
      </c>
      <c r="BP2564">
        <v>0</v>
      </c>
      <c r="BQ2564">
        <v>0</v>
      </c>
      <c r="BR2564">
        <v>0</v>
      </c>
      <c r="BS2564">
        <v>0</v>
      </c>
      <c r="BT2564">
        <v>0</v>
      </c>
      <c r="BU2564">
        <v>0</v>
      </c>
      <c r="BV2564">
        <v>0</v>
      </c>
    </row>
    <row r="2565" spans="67:74" x14ac:dyDescent="0.25">
      <c r="BO2565">
        <v>0</v>
      </c>
      <c r="BP2565">
        <v>0</v>
      </c>
      <c r="BQ2565">
        <v>0</v>
      </c>
      <c r="BR2565">
        <v>0</v>
      </c>
      <c r="BS2565">
        <v>0</v>
      </c>
      <c r="BT2565">
        <v>0</v>
      </c>
      <c r="BU2565">
        <v>0</v>
      </c>
      <c r="BV2565">
        <v>0</v>
      </c>
    </row>
    <row r="2566" spans="67:74" x14ac:dyDescent="0.25">
      <c r="BO2566">
        <v>0</v>
      </c>
      <c r="BP2566">
        <v>0</v>
      </c>
      <c r="BQ2566">
        <v>0</v>
      </c>
      <c r="BR2566">
        <v>0</v>
      </c>
      <c r="BS2566">
        <v>0</v>
      </c>
      <c r="BT2566">
        <v>0</v>
      </c>
      <c r="BU2566">
        <v>0</v>
      </c>
      <c r="BV2566">
        <v>0</v>
      </c>
    </row>
    <row r="2567" spans="67:74" x14ac:dyDescent="0.25">
      <c r="BO2567">
        <v>0</v>
      </c>
      <c r="BP2567">
        <v>0</v>
      </c>
      <c r="BQ2567">
        <v>0</v>
      </c>
      <c r="BR2567">
        <v>0</v>
      </c>
      <c r="BS2567">
        <v>0</v>
      </c>
      <c r="BT2567">
        <v>0</v>
      </c>
      <c r="BU2567">
        <v>0</v>
      </c>
      <c r="BV2567">
        <v>0</v>
      </c>
    </row>
    <row r="2568" spans="67:74" x14ac:dyDescent="0.25">
      <c r="BO2568">
        <v>0</v>
      </c>
      <c r="BP2568">
        <v>0</v>
      </c>
      <c r="BQ2568">
        <v>0</v>
      </c>
      <c r="BR2568">
        <v>0</v>
      </c>
      <c r="BS2568">
        <v>0</v>
      </c>
      <c r="BT2568">
        <v>0</v>
      </c>
      <c r="BU2568">
        <v>0</v>
      </c>
      <c r="BV2568">
        <v>0</v>
      </c>
    </row>
    <row r="2569" spans="67:74" x14ac:dyDescent="0.25">
      <c r="BO2569">
        <v>0</v>
      </c>
      <c r="BP2569">
        <v>0</v>
      </c>
      <c r="BQ2569">
        <v>0</v>
      </c>
      <c r="BR2569">
        <v>0</v>
      </c>
      <c r="BS2569">
        <v>0</v>
      </c>
      <c r="BT2569">
        <v>0</v>
      </c>
      <c r="BU2569">
        <v>0</v>
      </c>
      <c r="BV2569">
        <v>0</v>
      </c>
    </row>
    <row r="2570" spans="67:74" x14ac:dyDescent="0.25">
      <c r="BO2570">
        <v>0</v>
      </c>
      <c r="BP2570">
        <v>0</v>
      </c>
      <c r="BQ2570">
        <v>0</v>
      </c>
      <c r="BR2570">
        <v>0</v>
      </c>
      <c r="BS2570">
        <v>0</v>
      </c>
      <c r="BT2570">
        <v>0</v>
      </c>
      <c r="BU2570">
        <v>0</v>
      </c>
      <c r="BV2570">
        <v>0</v>
      </c>
    </row>
    <row r="2571" spans="67:74" x14ac:dyDescent="0.25">
      <c r="BO2571">
        <v>0</v>
      </c>
      <c r="BP2571">
        <v>0</v>
      </c>
      <c r="BQ2571">
        <v>0</v>
      </c>
      <c r="BR2571">
        <v>0</v>
      </c>
      <c r="BS2571">
        <v>0</v>
      </c>
      <c r="BT2571">
        <v>0</v>
      </c>
      <c r="BU2571">
        <v>0</v>
      </c>
      <c r="BV2571">
        <v>0</v>
      </c>
    </row>
    <row r="2572" spans="67:74" x14ac:dyDescent="0.25">
      <c r="BO2572">
        <v>0</v>
      </c>
      <c r="BP2572">
        <v>0</v>
      </c>
      <c r="BQ2572">
        <v>0</v>
      </c>
      <c r="BR2572">
        <v>0</v>
      </c>
      <c r="BS2572">
        <v>0</v>
      </c>
      <c r="BT2572">
        <v>0</v>
      </c>
      <c r="BU2572">
        <v>0</v>
      </c>
      <c r="BV2572">
        <v>0</v>
      </c>
    </row>
    <row r="2573" spans="67:74" x14ac:dyDescent="0.25">
      <c r="BO2573">
        <v>0</v>
      </c>
      <c r="BP2573">
        <v>0</v>
      </c>
      <c r="BQ2573">
        <v>0</v>
      </c>
      <c r="BR2573">
        <v>0</v>
      </c>
      <c r="BS2573">
        <v>0</v>
      </c>
      <c r="BT2573">
        <v>0</v>
      </c>
      <c r="BU2573">
        <v>0</v>
      </c>
      <c r="BV2573">
        <v>0</v>
      </c>
    </row>
    <row r="2574" spans="67:74" x14ac:dyDescent="0.25">
      <c r="BO2574">
        <v>0</v>
      </c>
      <c r="BP2574">
        <v>0</v>
      </c>
      <c r="BQ2574">
        <v>0</v>
      </c>
      <c r="BR2574">
        <v>0</v>
      </c>
      <c r="BS2574">
        <v>0</v>
      </c>
      <c r="BT2574">
        <v>0</v>
      </c>
      <c r="BU2574">
        <v>0</v>
      </c>
      <c r="BV2574">
        <v>0</v>
      </c>
    </row>
    <row r="2575" spans="67:74" x14ac:dyDescent="0.25">
      <c r="BO2575">
        <v>0</v>
      </c>
      <c r="BP2575">
        <v>0</v>
      </c>
      <c r="BQ2575">
        <v>0</v>
      </c>
      <c r="BR2575">
        <v>0</v>
      </c>
      <c r="BS2575">
        <v>0</v>
      </c>
      <c r="BT2575">
        <v>0</v>
      </c>
      <c r="BU2575">
        <v>0</v>
      </c>
      <c r="BV2575">
        <v>0</v>
      </c>
    </row>
    <row r="2576" spans="67:74" x14ac:dyDescent="0.25">
      <c r="BO2576">
        <v>0</v>
      </c>
      <c r="BP2576">
        <v>0</v>
      </c>
      <c r="BQ2576">
        <v>0</v>
      </c>
      <c r="BR2576">
        <v>0</v>
      </c>
      <c r="BS2576">
        <v>0</v>
      </c>
      <c r="BT2576">
        <v>0</v>
      </c>
      <c r="BU2576">
        <v>0</v>
      </c>
      <c r="BV2576">
        <v>0</v>
      </c>
    </row>
    <row r="2577" spans="67:74" x14ac:dyDescent="0.25">
      <c r="BO2577">
        <v>0</v>
      </c>
      <c r="BP2577">
        <v>0</v>
      </c>
      <c r="BQ2577">
        <v>0</v>
      </c>
      <c r="BR2577">
        <v>0</v>
      </c>
      <c r="BS2577">
        <v>0</v>
      </c>
      <c r="BT2577">
        <v>0</v>
      </c>
      <c r="BU2577">
        <v>0</v>
      </c>
      <c r="BV2577">
        <v>0</v>
      </c>
    </row>
    <row r="2578" spans="67:74" x14ac:dyDescent="0.25">
      <c r="BO2578">
        <v>0</v>
      </c>
      <c r="BP2578">
        <v>0</v>
      </c>
      <c r="BQ2578">
        <v>0</v>
      </c>
      <c r="BR2578">
        <v>0</v>
      </c>
      <c r="BS2578">
        <v>0</v>
      </c>
      <c r="BT2578">
        <v>0</v>
      </c>
      <c r="BU2578">
        <v>0</v>
      </c>
      <c r="BV2578">
        <v>0</v>
      </c>
    </row>
    <row r="2579" spans="67:74" x14ac:dyDescent="0.25">
      <c r="BO2579">
        <v>0</v>
      </c>
      <c r="BP2579">
        <v>0</v>
      </c>
      <c r="BQ2579">
        <v>0</v>
      </c>
      <c r="BR2579">
        <v>0</v>
      </c>
      <c r="BS2579">
        <v>0</v>
      </c>
      <c r="BT2579">
        <v>0</v>
      </c>
      <c r="BU2579">
        <v>0</v>
      </c>
      <c r="BV2579">
        <v>0</v>
      </c>
    </row>
    <row r="2580" spans="67:74" x14ac:dyDescent="0.25">
      <c r="BO2580">
        <v>0</v>
      </c>
      <c r="BP2580">
        <v>0</v>
      </c>
      <c r="BQ2580">
        <v>0</v>
      </c>
      <c r="BR2580">
        <v>0</v>
      </c>
      <c r="BS2580">
        <v>0</v>
      </c>
      <c r="BT2580">
        <v>0</v>
      </c>
      <c r="BU2580">
        <v>0</v>
      </c>
      <c r="BV2580">
        <v>0</v>
      </c>
    </row>
    <row r="2581" spans="67:74" x14ac:dyDescent="0.25">
      <c r="BO2581">
        <v>0</v>
      </c>
      <c r="BP2581">
        <v>0</v>
      </c>
      <c r="BQ2581">
        <v>0</v>
      </c>
      <c r="BR2581">
        <v>0</v>
      </c>
      <c r="BS2581">
        <v>0</v>
      </c>
      <c r="BT2581">
        <v>0</v>
      </c>
      <c r="BU2581">
        <v>0</v>
      </c>
      <c r="BV2581">
        <v>0</v>
      </c>
    </row>
    <row r="2582" spans="67:74" x14ac:dyDescent="0.25">
      <c r="BO2582">
        <v>0</v>
      </c>
      <c r="BP2582">
        <v>0</v>
      </c>
      <c r="BQ2582">
        <v>0</v>
      </c>
      <c r="BR2582">
        <v>0</v>
      </c>
      <c r="BS2582">
        <v>0</v>
      </c>
      <c r="BT2582">
        <v>0</v>
      </c>
      <c r="BU2582">
        <v>0</v>
      </c>
      <c r="BV2582">
        <v>0</v>
      </c>
    </row>
    <row r="2583" spans="67:74" x14ac:dyDescent="0.25">
      <c r="BO2583">
        <v>0</v>
      </c>
      <c r="BP2583">
        <v>0</v>
      </c>
      <c r="BQ2583">
        <v>0</v>
      </c>
      <c r="BR2583">
        <v>0</v>
      </c>
      <c r="BS2583">
        <v>0</v>
      </c>
      <c r="BT2583">
        <v>0</v>
      </c>
      <c r="BU2583">
        <v>0</v>
      </c>
      <c r="BV2583">
        <v>0</v>
      </c>
    </row>
    <row r="2584" spans="67:74" x14ac:dyDescent="0.25">
      <c r="BO2584">
        <v>0</v>
      </c>
      <c r="BP2584">
        <v>0</v>
      </c>
      <c r="BQ2584">
        <v>0</v>
      </c>
      <c r="BR2584">
        <v>0</v>
      </c>
      <c r="BS2584">
        <v>0</v>
      </c>
      <c r="BT2584">
        <v>0</v>
      </c>
      <c r="BU2584">
        <v>0</v>
      </c>
      <c r="BV2584">
        <v>0</v>
      </c>
    </row>
    <row r="2585" spans="67:74" x14ac:dyDescent="0.25">
      <c r="BO2585">
        <v>0</v>
      </c>
      <c r="BP2585">
        <v>0</v>
      </c>
      <c r="BQ2585">
        <v>0</v>
      </c>
      <c r="BR2585">
        <v>0</v>
      </c>
      <c r="BS2585">
        <v>0</v>
      </c>
      <c r="BT2585">
        <v>0</v>
      </c>
      <c r="BU2585">
        <v>0</v>
      </c>
      <c r="BV2585">
        <v>0</v>
      </c>
    </row>
    <row r="2586" spans="67:74" x14ac:dyDescent="0.25">
      <c r="BO2586">
        <v>0</v>
      </c>
      <c r="BP2586">
        <v>0</v>
      </c>
      <c r="BQ2586">
        <v>0</v>
      </c>
      <c r="BR2586">
        <v>0</v>
      </c>
      <c r="BS2586">
        <v>0</v>
      </c>
      <c r="BT2586">
        <v>0</v>
      </c>
      <c r="BU2586">
        <v>0</v>
      </c>
      <c r="BV2586">
        <v>0</v>
      </c>
    </row>
    <row r="2587" spans="67:74" x14ac:dyDescent="0.25">
      <c r="BO2587">
        <v>0</v>
      </c>
      <c r="BP2587">
        <v>0</v>
      </c>
      <c r="BQ2587">
        <v>0</v>
      </c>
      <c r="BR2587">
        <v>0</v>
      </c>
      <c r="BS2587">
        <v>0</v>
      </c>
      <c r="BT2587">
        <v>0</v>
      </c>
      <c r="BU2587">
        <v>0</v>
      </c>
      <c r="BV2587">
        <v>0</v>
      </c>
    </row>
    <row r="2588" spans="67:74" x14ac:dyDescent="0.25">
      <c r="BO2588">
        <v>0</v>
      </c>
      <c r="BP2588">
        <v>0</v>
      </c>
      <c r="BQ2588">
        <v>0</v>
      </c>
      <c r="BR2588">
        <v>0</v>
      </c>
      <c r="BS2588">
        <v>0</v>
      </c>
      <c r="BT2588">
        <v>0</v>
      </c>
      <c r="BU2588">
        <v>0</v>
      </c>
      <c r="BV2588">
        <v>0</v>
      </c>
    </row>
    <row r="2589" spans="67:74" x14ac:dyDescent="0.25">
      <c r="BO2589">
        <v>0</v>
      </c>
      <c r="BP2589">
        <v>0</v>
      </c>
      <c r="BQ2589">
        <v>0</v>
      </c>
      <c r="BR2589">
        <v>0</v>
      </c>
      <c r="BS2589">
        <v>0</v>
      </c>
      <c r="BT2589">
        <v>0</v>
      </c>
      <c r="BU2589">
        <v>0</v>
      </c>
      <c r="BV2589">
        <v>0</v>
      </c>
    </row>
    <row r="2590" spans="67:74" x14ac:dyDescent="0.25">
      <c r="BO2590">
        <v>0</v>
      </c>
      <c r="BP2590">
        <v>0</v>
      </c>
      <c r="BQ2590">
        <v>0</v>
      </c>
      <c r="BR2590">
        <v>0</v>
      </c>
      <c r="BS2590">
        <v>0</v>
      </c>
      <c r="BT2590">
        <v>0</v>
      </c>
      <c r="BU2590">
        <v>0</v>
      </c>
      <c r="BV2590">
        <v>0</v>
      </c>
    </row>
    <row r="2591" spans="67:74" x14ac:dyDescent="0.25">
      <c r="BO2591">
        <v>0</v>
      </c>
      <c r="BP2591">
        <v>0</v>
      </c>
      <c r="BQ2591">
        <v>0</v>
      </c>
      <c r="BR2591">
        <v>0</v>
      </c>
      <c r="BS2591">
        <v>0</v>
      </c>
      <c r="BT2591">
        <v>0</v>
      </c>
      <c r="BU2591">
        <v>0</v>
      </c>
      <c r="BV2591">
        <v>0</v>
      </c>
    </row>
    <row r="2592" spans="67:74" x14ac:dyDescent="0.25">
      <c r="BO2592">
        <v>0</v>
      </c>
      <c r="BP2592">
        <v>0</v>
      </c>
      <c r="BQ2592">
        <v>0</v>
      </c>
      <c r="BR2592">
        <v>0</v>
      </c>
      <c r="BS2592">
        <v>0</v>
      </c>
      <c r="BT2592">
        <v>0</v>
      </c>
      <c r="BU2592">
        <v>0</v>
      </c>
      <c r="BV2592">
        <v>0</v>
      </c>
    </row>
    <row r="2593" spans="67:74" x14ac:dyDescent="0.25">
      <c r="BO2593">
        <v>0</v>
      </c>
      <c r="BP2593">
        <v>0</v>
      </c>
      <c r="BQ2593">
        <v>0</v>
      </c>
      <c r="BR2593">
        <v>0</v>
      </c>
      <c r="BS2593">
        <v>0</v>
      </c>
      <c r="BT2593">
        <v>0</v>
      </c>
      <c r="BU2593">
        <v>0</v>
      </c>
      <c r="BV2593">
        <v>0</v>
      </c>
    </row>
    <row r="2594" spans="67:74" x14ac:dyDescent="0.25">
      <c r="BO2594">
        <v>0</v>
      </c>
      <c r="BP2594">
        <v>0</v>
      </c>
      <c r="BQ2594">
        <v>0</v>
      </c>
      <c r="BR2594">
        <v>0</v>
      </c>
      <c r="BS2594">
        <v>0</v>
      </c>
      <c r="BT2594">
        <v>0</v>
      </c>
      <c r="BU2594">
        <v>0</v>
      </c>
      <c r="BV2594">
        <v>0</v>
      </c>
    </row>
    <row r="2595" spans="67:74" x14ac:dyDescent="0.25">
      <c r="BO2595">
        <v>0</v>
      </c>
      <c r="BP2595">
        <v>0</v>
      </c>
      <c r="BQ2595">
        <v>0</v>
      </c>
      <c r="BR2595">
        <v>0</v>
      </c>
      <c r="BS2595">
        <v>0</v>
      </c>
      <c r="BT2595">
        <v>0</v>
      </c>
      <c r="BU2595">
        <v>0</v>
      </c>
      <c r="BV2595">
        <v>0</v>
      </c>
    </row>
    <row r="2596" spans="67:74" x14ac:dyDescent="0.25">
      <c r="BO2596">
        <v>0</v>
      </c>
      <c r="BP2596">
        <v>0</v>
      </c>
      <c r="BQ2596">
        <v>0</v>
      </c>
      <c r="BR2596">
        <v>0</v>
      </c>
      <c r="BS2596">
        <v>0</v>
      </c>
      <c r="BT2596">
        <v>0</v>
      </c>
      <c r="BU2596">
        <v>0</v>
      </c>
      <c r="BV2596">
        <v>0</v>
      </c>
    </row>
    <row r="2597" spans="67:74" x14ac:dyDescent="0.25">
      <c r="BO2597">
        <v>0</v>
      </c>
      <c r="BP2597">
        <v>0</v>
      </c>
      <c r="BQ2597">
        <v>0</v>
      </c>
      <c r="BR2597">
        <v>0</v>
      </c>
      <c r="BS2597">
        <v>0</v>
      </c>
      <c r="BT2597">
        <v>0</v>
      </c>
      <c r="BU2597">
        <v>0</v>
      </c>
      <c r="BV2597">
        <v>0</v>
      </c>
    </row>
    <row r="2598" spans="67:74" x14ac:dyDescent="0.25">
      <c r="BO2598">
        <v>0</v>
      </c>
      <c r="BP2598">
        <v>0</v>
      </c>
      <c r="BQ2598">
        <v>0</v>
      </c>
      <c r="BR2598">
        <v>0</v>
      </c>
      <c r="BS2598">
        <v>0</v>
      </c>
      <c r="BT2598">
        <v>0</v>
      </c>
      <c r="BU2598">
        <v>0</v>
      </c>
      <c r="BV2598">
        <v>0</v>
      </c>
    </row>
    <row r="2599" spans="67:74" x14ac:dyDescent="0.25">
      <c r="BO2599">
        <v>0</v>
      </c>
      <c r="BP2599">
        <v>0</v>
      </c>
      <c r="BQ2599">
        <v>0</v>
      </c>
      <c r="BR2599">
        <v>0</v>
      </c>
      <c r="BS2599">
        <v>0</v>
      </c>
      <c r="BT2599">
        <v>0</v>
      </c>
      <c r="BU2599">
        <v>0</v>
      </c>
      <c r="BV2599">
        <v>0</v>
      </c>
    </row>
    <row r="2600" spans="67:74" x14ac:dyDescent="0.25">
      <c r="BO2600">
        <v>0</v>
      </c>
      <c r="BP2600">
        <v>0</v>
      </c>
      <c r="BQ2600">
        <v>0</v>
      </c>
      <c r="BR2600">
        <v>0</v>
      </c>
      <c r="BS2600">
        <v>0</v>
      </c>
      <c r="BT2600">
        <v>0</v>
      </c>
      <c r="BU2600">
        <v>0</v>
      </c>
      <c r="BV2600">
        <v>0</v>
      </c>
    </row>
    <row r="2601" spans="67:74" x14ac:dyDescent="0.25">
      <c r="BO2601">
        <v>0</v>
      </c>
      <c r="BP2601">
        <v>0</v>
      </c>
      <c r="BQ2601">
        <v>0</v>
      </c>
      <c r="BR2601">
        <v>0</v>
      </c>
      <c r="BS2601">
        <v>0</v>
      </c>
      <c r="BT2601">
        <v>0</v>
      </c>
      <c r="BU2601">
        <v>0</v>
      </c>
      <c r="BV2601">
        <v>0</v>
      </c>
    </row>
    <row r="2602" spans="67:74" x14ac:dyDescent="0.25">
      <c r="BO2602">
        <v>0</v>
      </c>
      <c r="BP2602">
        <v>0</v>
      </c>
      <c r="BQ2602">
        <v>0</v>
      </c>
      <c r="BR2602">
        <v>0</v>
      </c>
      <c r="BS2602">
        <v>0</v>
      </c>
      <c r="BT2602">
        <v>0</v>
      </c>
      <c r="BU2602">
        <v>0</v>
      </c>
      <c r="BV2602">
        <v>0</v>
      </c>
    </row>
    <row r="2603" spans="67:74" x14ac:dyDescent="0.25">
      <c r="BO2603">
        <v>0</v>
      </c>
      <c r="BP2603">
        <v>0</v>
      </c>
      <c r="BQ2603">
        <v>0</v>
      </c>
      <c r="BR2603">
        <v>0</v>
      </c>
      <c r="BS2603">
        <v>0</v>
      </c>
      <c r="BT2603">
        <v>0</v>
      </c>
      <c r="BU2603">
        <v>0</v>
      </c>
      <c r="BV2603">
        <v>0</v>
      </c>
    </row>
    <row r="2604" spans="67:74" x14ac:dyDescent="0.25">
      <c r="BO2604">
        <v>0</v>
      </c>
      <c r="BP2604">
        <v>0</v>
      </c>
      <c r="BQ2604">
        <v>0</v>
      </c>
      <c r="BR2604">
        <v>0</v>
      </c>
      <c r="BS2604">
        <v>0</v>
      </c>
      <c r="BT2604">
        <v>0</v>
      </c>
      <c r="BU2604">
        <v>0</v>
      </c>
      <c r="BV2604">
        <v>0</v>
      </c>
    </row>
    <row r="2605" spans="67:74" x14ac:dyDescent="0.25">
      <c r="BO2605">
        <v>0</v>
      </c>
      <c r="BP2605">
        <v>0</v>
      </c>
      <c r="BQ2605">
        <v>0</v>
      </c>
      <c r="BR2605">
        <v>0</v>
      </c>
      <c r="BS2605">
        <v>0</v>
      </c>
      <c r="BT2605">
        <v>0</v>
      </c>
      <c r="BU2605">
        <v>0</v>
      </c>
      <c r="BV2605">
        <v>0</v>
      </c>
    </row>
    <row r="2606" spans="67:74" x14ac:dyDescent="0.25">
      <c r="BO2606">
        <v>0</v>
      </c>
      <c r="BP2606">
        <v>0</v>
      </c>
      <c r="BQ2606">
        <v>0</v>
      </c>
      <c r="BR2606">
        <v>0</v>
      </c>
      <c r="BS2606">
        <v>0</v>
      </c>
      <c r="BT2606">
        <v>0</v>
      </c>
      <c r="BU2606">
        <v>0</v>
      </c>
      <c r="BV2606">
        <v>0</v>
      </c>
    </row>
    <row r="2607" spans="67:74" x14ac:dyDescent="0.25">
      <c r="BO2607">
        <v>0</v>
      </c>
      <c r="BP2607">
        <v>0</v>
      </c>
      <c r="BQ2607">
        <v>0</v>
      </c>
      <c r="BR2607">
        <v>0</v>
      </c>
      <c r="BS2607">
        <v>0</v>
      </c>
      <c r="BT2607">
        <v>0</v>
      </c>
      <c r="BU2607">
        <v>0</v>
      </c>
      <c r="BV2607">
        <v>0</v>
      </c>
    </row>
    <row r="2608" spans="67:74" x14ac:dyDescent="0.25">
      <c r="BO2608">
        <v>0</v>
      </c>
      <c r="BP2608">
        <v>0</v>
      </c>
      <c r="BQ2608">
        <v>0</v>
      </c>
      <c r="BR2608">
        <v>0</v>
      </c>
      <c r="BS2608">
        <v>0</v>
      </c>
      <c r="BT2608">
        <v>0</v>
      </c>
      <c r="BU2608">
        <v>0</v>
      </c>
      <c r="BV2608">
        <v>0</v>
      </c>
    </row>
    <row r="2609" spans="67:74" x14ac:dyDescent="0.25">
      <c r="BO2609">
        <v>0</v>
      </c>
      <c r="BP2609">
        <v>0</v>
      </c>
      <c r="BQ2609">
        <v>0</v>
      </c>
      <c r="BR2609">
        <v>0</v>
      </c>
      <c r="BS2609">
        <v>0</v>
      </c>
      <c r="BT2609">
        <v>0</v>
      </c>
      <c r="BU2609">
        <v>0</v>
      </c>
      <c r="BV2609">
        <v>0</v>
      </c>
    </row>
    <row r="2610" spans="67:74" x14ac:dyDescent="0.25">
      <c r="BO2610">
        <v>0</v>
      </c>
      <c r="BP2610">
        <v>0</v>
      </c>
      <c r="BQ2610">
        <v>0</v>
      </c>
      <c r="BR2610">
        <v>0</v>
      </c>
      <c r="BS2610">
        <v>0</v>
      </c>
      <c r="BT2610">
        <v>0</v>
      </c>
      <c r="BU2610">
        <v>0</v>
      </c>
      <c r="BV2610">
        <v>0</v>
      </c>
    </row>
    <row r="2611" spans="67:74" x14ac:dyDescent="0.25">
      <c r="BO2611">
        <v>0</v>
      </c>
      <c r="BP2611">
        <v>0</v>
      </c>
      <c r="BQ2611">
        <v>0</v>
      </c>
      <c r="BR2611">
        <v>0</v>
      </c>
      <c r="BS2611">
        <v>0</v>
      </c>
      <c r="BT2611">
        <v>0</v>
      </c>
      <c r="BU2611">
        <v>0</v>
      </c>
      <c r="BV2611">
        <v>0</v>
      </c>
    </row>
    <row r="2612" spans="67:74" x14ac:dyDescent="0.25">
      <c r="BO2612">
        <v>0</v>
      </c>
      <c r="BP2612">
        <v>0</v>
      </c>
      <c r="BQ2612">
        <v>0</v>
      </c>
      <c r="BR2612">
        <v>0</v>
      </c>
      <c r="BS2612">
        <v>0</v>
      </c>
      <c r="BT2612">
        <v>0</v>
      </c>
      <c r="BU2612">
        <v>0</v>
      </c>
      <c r="BV2612">
        <v>0</v>
      </c>
    </row>
    <row r="2613" spans="67:74" x14ac:dyDescent="0.25">
      <c r="BO2613">
        <v>0</v>
      </c>
      <c r="BP2613">
        <v>0</v>
      </c>
      <c r="BQ2613">
        <v>0</v>
      </c>
      <c r="BR2613">
        <v>0</v>
      </c>
      <c r="BS2613">
        <v>0</v>
      </c>
      <c r="BT2613">
        <v>0</v>
      </c>
      <c r="BU2613">
        <v>0</v>
      </c>
      <c r="BV2613">
        <v>0</v>
      </c>
    </row>
    <row r="2614" spans="67:74" x14ac:dyDescent="0.25">
      <c r="BO2614">
        <v>0</v>
      </c>
      <c r="BP2614">
        <v>0</v>
      </c>
      <c r="BQ2614">
        <v>0</v>
      </c>
      <c r="BR2614">
        <v>0</v>
      </c>
      <c r="BS2614">
        <v>0</v>
      </c>
      <c r="BT2614">
        <v>0</v>
      </c>
      <c r="BU2614">
        <v>0</v>
      </c>
      <c r="BV2614">
        <v>0</v>
      </c>
    </row>
    <row r="2615" spans="67:74" x14ac:dyDescent="0.25">
      <c r="BO2615">
        <v>0</v>
      </c>
      <c r="BP2615">
        <v>0</v>
      </c>
      <c r="BQ2615">
        <v>0</v>
      </c>
      <c r="BR2615">
        <v>0</v>
      </c>
      <c r="BS2615">
        <v>0</v>
      </c>
      <c r="BT2615">
        <v>0</v>
      </c>
      <c r="BU2615">
        <v>0</v>
      </c>
      <c r="BV2615">
        <v>0</v>
      </c>
    </row>
    <row r="2616" spans="67:74" x14ac:dyDescent="0.25">
      <c r="BO2616">
        <v>0</v>
      </c>
      <c r="BP2616">
        <v>0</v>
      </c>
      <c r="BQ2616">
        <v>0</v>
      </c>
      <c r="BR2616">
        <v>0</v>
      </c>
      <c r="BS2616">
        <v>0</v>
      </c>
      <c r="BT2616">
        <v>0</v>
      </c>
      <c r="BU2616">
        <v>0</v>
      </c>
      <c r="BV2616">
        <v>0</v>
      </c>
    </row>
    <row r="2617" spans="67:74" x14ac:dyDescent="0.25">
      <c r="BO2617">
        <v>0</v>
      </c>
      <c r="BP2617">
        <v>0</v>
      </c>
      <c r="BQ2617">
        <v>0</v>
      </c>
      <c r="BR2617">
        <v>0</v>
      </c>
      <c r="BS2617">
        <v>0</v>
      </c>
      <c r="BT2617">
        <v>0</v>
      </c>
      <c r="BU2617">
        <v>0</v>
      </c>
      <c r="BV2617">
        <v>0</v>
      </c>
    </row>
    <row r="2618" spans="67:74" x14ac:dyDescent="0.25">
      <c r="BO2618">
        <v>0</v>
      </c>
      <c r="BP2618">
        <v>0</v>
      </c>
      <c r="BQ2618">
        <v>0</v>
      </c>
      <c r="BR2618">
        <v>0</v>
      </c>
      <c r="BS2618">
        <v>0</v>
      </c>
      <c r="BT2618">
        <v>0</v>
      </c>
      <c r="BU2618">
        <v>0</v>
      </c>
      <c r="BV2618">
        <v>0</v>
      </c>
    </row>
    <row r="2619" spans="67:74" x14ac:dyDescent="0.25">
      <c r="BO2619">
        <v>0</v>
      </c>
      <c r="BP2619">
        <v>0</v>
      </c>
      <c r="BQ2619">
        <v>0</v>
      </c>
      <c r="BR2619">
        <v>0</v>
      </c>
      <c r="BS2619">
        <v>0</v>
      </c>
      <c r="BT2619">
        <v>0</v>
      </c>
      <c r="BU2619">
        <v>0</v>
      </c>
      <c r="BV2619">
        <v>0</v>
      </c>
    </row>
    <row r="2620" spans="67:74" x14ac:dyDescent="0.25">
      <c r="BO2620">
        <v>0</v>
      </c>
      <c r="BP2620">
        <v>0</v>
      </c>
      <c r="BQ2620">
        <v>0</v>
      </c>
      <c r="BR2620">
        <v>0</v>
      </c>
      <c r="BS2620">
        <v>0</v>
      </c>
      <c r="BT2620">
        <v>0</v>
      </c>
      <c r="BU2620">
        <v>0</v>
      </c>
      <c r="BV2620">
        <v>0</v>
      </c>
    </row>
    <row r="2621" spans="67:74" x14ac:dyDescent="0.25">
      <c r="BO2621">
        <v>0</v>
      </c>
      <c r="BP2621">
        <v>0</v>
      </c>
      <c r="BQ2621">
        <v>0</v>
      </c>
      <c r="BR2621">
        <v>0</v>
      </c>
      <c r="BS2621">
        <v>0</v>
      </c>
      <c r="BT2621">
        <v>0</v>
      </c>
      <c r="BU2621">
        <v>0</v>
      </c>
      <c r="BV2621">
        <v>0</v>
      </c>
    </row>
    <row r="2622" spans="67:74" x14ac:dyDescent="0.25">
      <c r="BO2622">
        <v>0</v>
      </c>
      <c r="BP2622">
        <v>0</v>
      </c>
      <c r="BQ2622">
        <v>0</v>
      </c>
      <c r="BR2622">
        <v>0</v>
      </c>
      <c r="BS2622">
        <v>0</v>
      </c>
      <c r="BT2622">
        <v>0</v>
      </c>
      <c r="BU2622">
        <v>0</v>
      </c>
      <c r="BV2622">
        <v>0</v>
      </c>
    </row>
    <row r="2623" spans="67:74" x14ac:dyDescent="0.25">
      <c r="BO2623">
        <v>0</v>
      </c>
      <c r="BP2623">
        <v>0</v>
      </c>
      <c r="BQ2623">
        <v>0</v>
      </c>
      <c r="BR2623">
        <v>0</v>
      </c>
      <c r="BS2623">
        <v>0</v>
      </c>
      <c r="BT2623">
        <v>0</v>
      </c>
      <c r="BU2623">
        <v>0</v>
      </c>
      <c r="BV2623">
        <v>0</v>
      </c>
    </row>
    <row r="2624" spans="67:74" x14ac:dyDescent="0.25">
      <c r="BO2624">
        <v>0</v>
      </c>
      <c r="BP2624">
        <v>0</v>
      </c>
      <c r="BQ2624">
        <v>0</v>
      </c>
      <c r="BR2624">
        <v>0</v>
      </c>
      <c r="BS2624">
        <v>0</v>
      </c>
      <c r="BT2624">
        <v>0</v>
      </c>
      <c r="BU2624">
        <v>0</v>
      </c>
      <c r="BV2624">
        <v>0</v>
      </c>
    </row>
    <row r="2625" spans="67:74" x14ac:dyDescent="0.25">
      <c r="BO2625">
        <v>0</v>
      </c>
      <c r="BP2625">
        <v>0</v>
      </c>
      <c r="BQ2625">
        <v>0</v>
      </c>
      <c r="BR2625">
        <v>0</v>
      </c>
      <c r="BS2625">
        <v>0</v>
      </c>
      <c r="BT2625">
        <v>0</v>
      </c>
      <c r="BU2625">
        <v>0</v>
      </c>
      <c r="BV2625">
        <v>0</v>
      </c>
    </row>
    <row r="2626" spans="67:74" x14ac:dyDescent="0.25">
      <c r="BO2626">
        <v>0</v>
      </c>
      <c r="BP2626">
        <v>0</v>
      </c>
      <c r="BQ2626">
        <v>0</v>
      </c>
      <c r="BR2626">
        <v>0</v>
      </c>
      <c r="BS2626">
        <v>0</v>
      </c>
      <c r="BT2626">
        <v>0</v>
      </c>
      <c r="BU2626">
        <v>0</v>
      </c>
      <c r="BV2626">
        <v>0</v>
      </c>
    </row>
    <row r="2627" spans="67:74" x14ac:dyDescent="0.25">
      <c r="BO2627">
        <v>0</v>
      </c>
      <c r="BP2627">
        <v>0</v>
      </c>
      <c r="BQ2627">
        <v>0</v>
      </c>
      <c r="BR2627">
        <v>0</v>
      </c>
      <c r="BS2627">
        <v>0</v>
      </c>
      <c r="BT2627">
        <v>0</v>
      </c>
      <c r="BU2627">
        <v>0</v>
      </c>
      <c r="BV2627">
        <v>0</v>
      </c>
    </row>
    <row r="2628" spans="67:74" x14ac:dyDescent="0.25">
      <c r="BO2628">
        <v>0</v>
      </c>
      <c r="BP2628">
        <v>0</v>
      </c>
      <c r="BQ2628">
        <v>0</v>
      </c>
      <c r="BR2628">
        <v>0</v>
      </c>
      <c r="BS2628">
        <v>0</v>
      </c>
      <c r="BT2628">
        <v>0</v>
      </c>
      <c r="BU2628">
        <v>0</v>
      </c>
      <c r="BV2628">
        <v>0</v>
      </c>
    </row>
    <row r="2629" spans="67:74" x14ac:dyDescent="0.25">
      <c r="BO2629">
        <v>0</v>
      </c>
      <c r="BP2629">
        <v>0</v>
      </c>
      <c r="BQ2629">
        <v>0</v>
      </c>
      <c r="BR2629">
        <v>0</v>
      </c>
      <c r="BS2629">
        <v>0</v>
      </c>
      <c r="BT2629">
        <v>0</v>
      </c>
      <c r="BU2629">
        <v>0</v>
      </c>
      <c r="BV2629">
        <v>0</v>
      </c>
    </row>
    <row r="2630" spans="67:74" x14ac:dyDescent="0.25">
      <c r="BO2630">
        <v>0</v>
      </c>
      <c r="BP2630">
        <v>0</v>
      </c>
      <c r="BQ2630">
        <v>0</v>
      </c>
      <c r="BR2630">
        <v>0</v>
      </c>
      <c r="BS2630">
        <v>0</v>
      </c>
      <c r="BT2630">
        <v>0</v>
      </c>
      <c r="BU2630">
        <v>0</v>
      </c>
      <c r="BV2630">
        <v>0</v>
      </c>
    </row>
    <row r="2631" spans="67:74" x14ac:dyDescent="0.25">
      <c r="BO2631">
        <v>0</v>
      </c>
      <c r="BP2631">
        <v>0</v>
      </c>
      <c r="BQ2631">
        <v>0</v>
      </c>
      <c r="BR2631">
        <v>0</v>
      </c>
      <c r="BS2631">
        <v>0</v>
      </c>
      <c r="BT2631">
        <v>0</v>
      </c>
      <c r="BU2631">
        <v>0</v>
      </c>
      <c r="BV2631">
        <v>0</v>
      </c>
    </row>
    <row r="2632" spans="67:74" x14ac:dyDescent="0.25">
      <c r="BO2632">
        <v>0</v>
      </c>
      <c r="BP2632">
        <v>0</v>
      </c>
      <c r="BQ2632">
        <v>0</v>
      </c>
      <c r="BR2632">
        <v>0</v>
      </c>
      <c r="BS2632">
        <v>0</v>
      </c>
      <c r="BT2632">
        <v>0</v>
      </c>
      <c r="BU2632">
        <v>0</v>
      </c>
      <c r="BV2632">
        <v>0</v>
      </c>
    </row>
    <row r="2633" spans="67:74" x14ac:dyDescent="0.25">
      <c r="BO2633">
        <v>0</v>
      </c>
      <c r="BP2633">
        <v>0</v>
      </c>
      <c r="BQ2633">
        <v>0</v>
      </c>
      <c r="BR2633">
        <v>0</v>
      </c>
      <c r="BS2633">
        <v>0</v>
      </c>
      <c r="BT2633">
        <v>0</v>
      </c>
      <c r="BU2633">
        <v>0</v>
      </c>
      <c r="BV2633">
        <v>0</v>
      </c>
    </row>
    <row r="2634" spans="67:74" x14ac:dyDescent="0.25">
      <c r="BO2634">
        <v>0</v>
      </c>
      <c r="BP2634">
        <v>0</v>
      </c>
      <c r="BQ2634">
        <v>0</v>
      </c>
      <c r="BR2634">
        <v>0</v>
      </c>
      <c r="BS2634">
        <v>0</v>
      </c>
      <c r="BT2634">
        <v>0</v>
      </c>
      <c r="BU2634">
        <v>0</v>
      </c>
      <c r="BV2634">
        <v>0</v>
      </c>
    </row>
    <row r="2635" spans="67:74" x14ac:dyDescent="0.25">
      <c r="BO2635">
        <v>0</v>
      </c>
      <c r="BP2635">
        <v>0</v>
      </c>
      <c r="BQ2635">
        <v>0</v>
      </c>
      <c r="BR2635">
        <v>0</v>
      </c>
      <c r="BS2635">
        <v>0</v>
      </c>
      <c r="BT2635">
        <v>0</v>
      </c>
      <c r="BU2635">
        <v>0</v>
      </c>
      <c r="BV2635">
        <v>0</v>
      </c>
    </row>
    <row r="2636" spans="67:74" x14ac:dyDescent="0.25">
      <c r="BO2636">
        <v>0</v>
      </c>
      <c r="BP2636">
        <v>0</v>
      </c>
      <c r="BQ2636">
        <v>0</v>
      </c>
      <c r="BR2636">
        <v>0</v>
      </c>
      <c r="BS2636">
        <v>0</v>
      </c>
      <c r="BT2636">
        <v>0</v>
      </c>
      <c r="BU2636">
        <v>0</v>
      </c>
      <c r="BV2636">
        <v>0</v>
      </c>
    </row>
    <row r="2637" spans="67:74" x14ac:dyDescent="0.25">
      <c r="BO2637">
        <v>0</v>
      </c>
      <c r="BP2637">
        <v>0</v>
      </c>
      <c r="BQ2637">
        <v>0</v>
      </c>
      <c r="BR2637">
        <v>0</v>
      </c>
      <c r="BS2637">
        <v>0</v>
      </c>
      <c r="BT2637">
        <v>0</v>
      </c>
      <c r="BU2637">
        <v>0</v>
      </c>
      <c r="BV2637">
        <v>0</v>
      </c>
    </row>
    <row r="2638" spans="67:74" x14ac:dyDescent="0.25">
      <c r="BO2638">
        <v>0</v>
      </c>
      <c r="BP2638">
        <v>0</v>
      </c>
      <c r="BQ2638">
        <v>0</v>
      </c>
      <c r="BR2638">
        <v>0</v>
      </c>
      <c r="BS2638">
        <v>0</v>
      </c>
      <c r="BT2638">
        <v>0</v>
      </c>
      <c r="BU2638">
        <v>0</v>
      </c>
      <c r="BV2638">
        <v>0</v>
      </c>
    </row>
    <row r="2639" spans="67:74" x14ac:dyDescent="0.25">
      <c r="BO2639">
        <v>0</v>
      </c>
      <c r="BP2639">
        <v>0</v>
      </c>
      <c r="BQ2639">
        <v>0</v>
      </c>
      <c r="BR2639">
        <v>0</v>
      </c>
      <c r="BS2639">
        <v>0</v>
      </c>
      <c r="BT2639">
        <v>0</v>
      </c>
      <c r="BU2639">
        <v>0</v>
      </c>
      <c r="BV2639">
        <v>0</v>
      </c>
    </row>
    <row r="2640" spans="67:74" x14ac:dyDescent="0.25">
      <c r="BO2640">
        <v>0</v>
      </c>
      <c r="BP2640">
        <v>0</v>
      </c>
      <c r="BQ2640">
        <v>0</v>
      </c>
      <c r="BR2640">
        <v>0</v>
      </c>
      <c r="BS2640">
        <v>0</v>
      </c>
      <c r="BT2640">
        <v>0</v>
      </c>
      <c r="BU2640">
        <v>0</v>
      </c>
      <c r="BV2640">
        <v>0</v>
      </c>
    </row>
    <row r="2641" spans="67:74" x14ac:dyDescent="0.25">
      <c r="BO2641">
        <v>0</v>
      </c>
      <c r="BP2641">
        <v>0</v>
      </c>
      <c r="BQ2641">
        <v>0</v>
      </c>
      <c r="BR2641">
        <v>0</v>
      </c>
      <c r="BS2641">
        <v>0</v>
      </c>
      <c r="BT2641">
        <v>0</v>
      </c>
      <c r="BU2641">
        <v>0</v>
      </c>
      <c r="BV2641">
        <v>0</v>
      </c>
    </row>
    <row r="2642" spans="67:74" x14ac:dyDescent="0.25">
      <c r="BO2642">
        <v>0</v>
      </c>
      <c r="BP2642">
        <v>0</v>
      </c>
      <c r="BQ2642">
        <v>0</v>
      </c>
      <c r="BR2642">
        <v>0</v>
      </c>
      <c r="BS2642">
        <v>0</v>
      </c>
      <c r="BT2642">
        <v>0</v>
      </c>
      <c r="BU2642">
        <v>0</v>
      </c>
      <c r="BV2642">
        <v>0</v>
      </c>
    </row>
    <row r="2643" spans="67:74" x14ac:dyDescent="0.25">
      <c r="BO2643">
        <v>0</v>
      </c>
      <c r="BP2643">
        <v>0</v>
      </c>
      <c r="BQ2643">
        <v>0</v>
      </c>
      <c r="BR2643">
        <v>0</v>
      </c>
      <c r="BS2643">
        <v>0</v>
      </c>
      <c r="BT2643">
        <v>0</v>
      </c>
      <c r="BU2643">
        <v>0</v>
      </c>
      <c r="BV2643">
        <v>0</v>
      </c>
    </row>
    <row r="2644" spans="67:74" x14ac:dyDescent="0.25">
      <c r="BO2644">
        <v>0</v>
      </c>
      <c r="BP2644">
        <v>0</v>
      </c>
      <c r="BQ2644">
        <v>0</v>
      </c>
      <c r="BR2644">
        <v>0</v>
      </c>
      <c r="BS2644">
        <v>0</v>
      </c>
      <c r="BT2644">
        <v>0</v>
      </c>
      <c r="BU2644">
        <v>0</v>
      </c>
      <c r="BV2644">
        <v>0</v>
      </c>
    </row>
    <row r="2645" spans="67:74" x14ac:dyDescent="0.25">
      <c r="BO2645">
        <v>0</v>
      </c>
      <c r="BP2645">
        <v>0</v>
      </c>
      <c r="BQ2645">
        <v>0</v>
      </c>
      <c r="BR2645">
        <v>0</v>
      </c>
      <c r="BS2645">
        <v>0</v>
      </c>
      <c r="BT2645">
        <v>0</v>
      </c>
      <c r="BU2645">
        <v>0</v>
      </c>
      <c r="BV2645">
        <v>0</v>
      </c>
    </row>
    <row r="2646" spans="67:74" x14ac:dyDescent="0.25">
      <c r="BO2646">
        <v>0</v>
      </c>
      <c r="BP2646">
        <v>0</v>
      </c>
      <c r="BQ2646">
        <v>0</v>
      </c>
      <c r="BR2646">
        <v>0</v>
      </c>
      <c r="BS2646">
        <v>0</v>
      </c>
      <c r="BT2646">
        <v>0</v>
      </c>
      <c r="BU2646">
        <v>0</v>
      </c>
      <c r="BV2646">
        <v>0</v>
      </c>
    </row>
    <row r="2647" spans="67:74" x14ac:dyDescent="0.25">
      <c r="BO2647">
        <v>0</v>
      </c>
      <c r="BP2647">
        <v>0</v>
      </c>
      <c r="BQ2647">
        <v>0</v>
      </c>
      <c r="BR2647">
        <v>0</v>
      </c>
      <c r="BS2647">
        <v>0</v>
      </c>
      <c r="BT2647">
        <v>0</v>
      </c>
      <c r="BU2647">
        <v>0</v>
      </c>
      <c r="BV2647">
        <v>0</v>
      </c>
    </row>
    <row r="2648" spans="67:74" x14ac:dyDescent="0.25">
      <c r="BO2648">
        <v>0</v>
      </c>
      <c r="BP2648">
        <v>0</v>
      </c>
      <c r="BQ2648">
        <v>0</v>
      </c>
      <c r="BR2648">
        <v>0</v>
      </c>
      <c r="BS2648">
        <v>0</v>
      </c>
      <c r="BT2648">
        <v>0</v>
      </c>
      <c r="BU2648">
        <v>0</v>
      </c>
      <c r="BV2648">
        <v>0</v>
      </c>
    </row>
    <row r="2649" spans="67:74" x14ac:dyDescent="0.25">
      <c r="BO2649">
        <v>0</v>
      </c>
      <c r="BP2649">
        <v>0</v>
      </c>
      <c r="BQ2649">
        <v>0</v>
      </c>
      <c r="BR2649">
        <v>0</v>
      </c>
      <c r="BS2649">
        <v>0</v>
      </c>
      <c r="BT2649">
        <v>0</v>
      </c>
      <c r="BU2649">
        <v>0</v>
      </c>
      <c r="BV2649">
        <v>0</v>
      </c>
    </row>
    <row r="2650" spans="67:74" x14ac:dyDescent="0.25">
      <c r="BO2650">
        <v>0</v>
      </c>
      <c r="BP2650">
        <v>0</v>
      </c>
      <c r="BQ2650">
        <v>0</v>
      </c>
      <c r="BR2650">
        <v>0</v>
      </c>
      <c r="BS2650">
        <v>0</v>
      </c>
      <c r="BT2650">
        <v>0</v>
      </c>
      <c r="BU2650">
        <v>0</v>
      </c>
      <c r="BV2650">
        <v>0</v>
      </c>
    </row>
    <row r="2651" spans="67:74" x14ac:dyDescent="0.25">
      <c r="BO2651">
        <v>0</v>
      </c>
      <c r="BP2651">
        <v>0</v>
      </c>
      <c r="BQ2651">
        <v>0</v>
      </c>
      <c r="BR2651">
        <v>0</v>
      </c>
      <c r="BS2651">
        <v>0</v>
      </c>
      <c r="BT2651">
        <v>0</v>
      </c>
      <c r="BU2651">
        <v>0</v>
      </c>
      <c r="BV2651">
        <v>0</v>
      </c>
    </row>
    <row r="2652" spans="67:74" x14ac:dyDescent="0.25">
      <c r="BO2652">
        <v>0</v>
      </c>
      <c r="BP2652">
        <v>0</v>
      </c>
      <c r="BQ2652">
        <v>0</v>
      </c>
      <c r="BR2652">
        <v>0</v>
      </c>
      <c r="BS2652">
        <v>0</v>
      </c>
      <c r="BT2652">
        <v>0</v>
      </c>
      <c r="BU2652">
        <v>0</v>
      </c>
      <c r="BV2652">
        <v>0</v>
      </c>
    </row>
    <row r="2653" spans="67:74" x14ac:dyDescent="0.25">
      <c r="BO2653">
        <v>0</v>
      </c>
      <c r="BP2653">
        <v>0</v>
      </c>
      <c r="BQ2653">
        <v>0</v>
      </c>
      <c r="BR2653">
        <v>0</v>
      </c>
      <c r="BS2653">
        <v>0</v>
      </c>
      <c r="BT2653">
        <v>0</v>
      </c>
      <c r="BU2653">
        <v>0</v>
      </c>
      <c r="BV2653">
        <v>0</v>
      </c>
    </row>
    <row r="2654" spans="67:74" x14ac:dyDescent="0.25">
      <c r="BO2654">
        <v>0</v>
      </c>
      <c r="BP2654">
        <v>0</v>
      </c>
      <c r="BQ2654">
        <v>0</v>
      </c>
      <c r="BR2654">
        <v>0</v>
      </c>
      <c r="BS2654">
        <v>0</v>
      </c>
      <c r="BT2654">
        <v>0</v>
      </c>
      <c r="BU2654">
        <v>0</v>
      </c>
      <c r="BV2654">
        <v>0</v>
      </c>
    </row>
    <row r="2655" spans="67:74" x14ac:dyDescent="0.25">
      <c r="BO2655">
        <v>0</v>
      </c>
      <c r="BP2655">
        <v>0</v>
      </c>
      <c r="BQ2655">
        <v>0</v>
      </c>
      <c r="BR2655">
        <v>0</v>
      </c>
      <c r="BS2655">
        <v>0</v>
      </c>
      <c r="BT2655">
        <v>0</v>
      </c>
      <c r="BU2655">
        <v>0</v>
      </c>
      <c r="BV2655">
        <v>0</v>
      </c>
    </row>
    <row r="2656" spans="67:74" x14ac:dyDescent="0.25">
      <c r="BO2656">
        <v>0</v>
      </c>
      <c r="BP2656">
        <v>0</v>
      </c>
      <c r="BQ2656">
        <v>0</v>
      </c>
      <c r="BR2656">
        <v>0</v>
      </c>
      <c r="BS2656">
        <v>0</v>
      </c>
      <c r="BT2656">
        <v>0</v>
      </c>
      <c r="BU2656">
        <v>0</v>
      </c>
      <c r="BV2656">
        <v>0</v>
      </c>
    </row>
    <row r="2657" spans="67:74" x14ac:dyDescent="0.25">
      <c r="BO2657">
        <v>0</v>
      </c>
      <c r="BP2657">
        <v>0</v>
      </c>
      <c r="BQ2657">
        <v>0</v>
      </c>
      <c r="BR2657">
        <v>0</v>
      </c>
      <c r="BS2657">
        <v>0</v>
      </c>
      <c r="BT2657">
        <v>0</v>
      </c>
      <c r="BU2657">
        <v>0</v>
      </c>
      <c r="BV2657">
        <v>0</v>
      </c>
    </row>
    <row r="2658" spans="67:74" x14ac:dyDescent="0.25">
      <c r="BO2658">
        <v>0</v>
      </c>
      <c r="BP2658">
        <v>0</v>
      </c>
      <c r="BQ2658">
        <v>0</v>
      </c>
      <c r="BR2658">
        <v>0</v>
      </c>
      <c r="BS2658">
        <v>0</v>
      </c>
      <c r="BT2658">
        <v>0</v>
      </c>
      <c r="BU2658">
        <v>0</v>
      </c>
      <c r="BV2658">
        <v>0</v>
      </c>
    </row>
    <row r="2659" spans="67:74" x14ac:dyDescent="0.25">
      <c r="BO2659">
        <v>0</v>
      </c>
      <c r="BP2659">
        <v>0</v>
      </c>
      <c r="BQ2659">
        <v>0</v>
      </c>
      <c r="BR2659">
        <v>0</v>
      </c>
      <c r="BS2659">
        <v>0</v>
      </c>
      <c r="BT2659">
        <v>0</v>
      </c>
      <c r="BU2659">
        <v>0</v>
      </c>
      <c r="BV2659">
        <v>0</v>
      </c>
    </row>
    <row r="2660" spans="67:74" x14ac:dyDescent="0.25">
      <c r="BO2660">
        <v>0</v>
      </c>
      <c r="BP2660">
        <v>0</v>
      </c>
      <c r="BQ2660">
        <v>0</v>
      </c>
      <c r="BR2660">
        <v>0</v>
      </c>
      <c r="BS2660">
        <v>0</v>
      </c>
      <c r="BT2660">
        <v>0</v>
      </c>
      <c r="BU2660">
        <v>0</v>
      </c>
      <c r="BV2660">
        <v>0</v>
      </c>
    </row>
    <row r="2661" spans="67:74" x14ac:dyDescent="0.25">
      <c r="BO2661">
        <v>0</v>
      </c>
      <c r="BP2661">
        <v>0</v>
      </c>
      <c r="BQ2661">
        <v>0</v>
      </c>
      <c r="BR2661">
        <v>0</v>
      </c>
      <c r="BS2661">
        <v>0</v>
      </c>
      <c r="BT2661">
        <v>0</v>
      </c>
      <c r="BU2661">
        <v>0</v>
      </c>
      <c r="BV2661">
        <v>0</v>
      </c>
    </row>
    <row r="2662" spans="67:74" x14ac:dyDescent="0.25">
      <c r="BO2662">
        <v>0</v>
      </c>
      <c r="BP2662">
        <v>0</v>
      </c>
      <c r="BQ2662">
        <v>0</v>
      </c>
      <c r="BR2662">
        <v>0</v>
      </c>
      <c r="BS2662">
        <v>0</v>
      </c>
      <c r="BT2662">
        <v>0</v>
      </c>
      <c r="BU2662">
        <v>0</v>
      </c>
      <c r="BV2662">
        <v>0</v>
      </c>
    </row>
    <row r="2663" spans="67:74" x14ac:dyDescent="0.25">
      <c r="BO2663">
        <v>0</v>
      </c>
      <c r="BP2663">
        <v>0</v>
      </c>
      <c r="BQ2663">
        <v>0</v>
      </c>
      <c r="BR2663">
        <v>0</v>
      </c>
      <c r="BS2663">
        <v>0</v>
      </c>
      <c r="BT2663">
        <v>0</v>
      </c>
      <c r="BU2663">
        <v>0</v>
      </c>
      <c r="BV2663">
        <v>0</v>
      </c>
    </row>
    <row r="2664" spans="67:74" x14ac:dyDescent="0.25">
      <c r="BO2664">
        <v>0</v>
      </c>
      <c r="BP2664">
        <v>0</v>
      </c>
      <c r="BQ2664">
        <v>0</v>
      </c>
      <c r="BR2664">
        <v>0</v>
      </c>
      <c r="BS2664">
        <v>0</v>
      </c>
      <c r="BT2664">
        <v>0</v>
      </c>
      <c r="BU2664">
        <v>0</v>
      </c>
      <c r="BV2664">
        <v>0</v>
      </c>
    </row>
    <row r="2665" spans="67:74" x14ac:dyDescent="0.25">
      <c r="BO2665">
        <v>0</v>
      </c>
      <c r="BP2665">
        <v>0</v>
      </c>
      <c r="BQ2665">
        <v>0</v>
      </c>
      <c r="BR2665">
        <v>0</v>
      </c>
      <c r="BS2665">
        <v>0</v>
      </c>
      <c r="BT2665">
        <v>0</v>
      </c>
      <c r="BU2665">
        <v>0</v>
      </c>
      <c r="BV2665">
        <v>0</v>
      </c>
    </row>
    <row r="2666" spans="67:74" x14ac:dyDescent="0.25">
      <c r="BO2666">
        <v>0</v>
      </c>
      <c r="BP2666">
        <v>0</v>
      </c>
      <c r="BQ2666">
        <v>0</v>
      </c>
      <c r="BR2666">
        <v>0</v>
      </c>
      <c r="BS2666">
        <v>0</v>
      </c>
      <c r="BT2666">
        <v>0</v>
      </c>
      <c r="BU2666">
        <v>0</v>
      </c>
      <c r="BV2666">
        <v>0</v>
      </c>
    </row>
    <row r="2667" spans="67:74" x14ac:dyDescent="0.25">
      <c r="BO2667">
        <v>0</v>
      </c>
      <c r="BP2667">
        <v>0</v>
      </c>
      <c r="BQ2667">
        <v>0</v>
      </c>
      <c r="BR2667">
        <v>0</v>
      </c>
      <c r="BS2667">
        <v>0</v>
      </c>
      <c r="BT2667">
        <v>0</v>
      </c>
      <c r="BU2667">
        <v>0</v>
      </c>
      <c r="BV2667">
        <v>0</v>
      </c>
    </row>
    <row r="2668" spans="67:74" x14ac:dyDescent="0.25">
      <c r="BO2668">
        <v>0</v>
      </c>
      <c r="BP2668">
        <v>0</v>
      </c>
      <c r="BQ2668">
        <v>0</v>
      </c>
      <c r="BR2668">
        <v>0</v>
      </c>
      <c r="BS2668">
        <v>0</v>
      </c>
      <c r="BT2668">
        <v>0</v>
      </c>
      <c r="BU2668">
        <v>0</v>
      </c>
      <c r="BV2668">
        <v>0</v>
      </c>
    </row>
    <row r="2669" spans="67:74" x14ac:dyDescent="0.25">
      <c r="BO2669">
        <v>0</v>
      </c>
      <c r="BP2669">
        <v>0</v>
      </c>
      <c r="BQ2669">
        <v>0</v>
      </c>
      <c r="BR2669">
        <v>0</v>
      </c>
      <c r="BS2669">
        <v>0</v>
      </c>
      <c r="BT2669">
        <v>0</v>
      </c>
      <c r="BU2669">
        <v>0</v>
      </c>
      <c r="BV2669">
        <v>0</v>
      </c>
    </row>
    <row r="2670" spans="67:74" x14ac:dyDescent="0.25">
      <c r="BO2670">
        <v>0</v>
      </c>
      <c r="BP2670">
        <v>0</v>
      </c>
      <c r="BQ2670">
        <v>0</v>
      </c>
      <c r="BR2670">
        <v>0</v>
      </c>
      <c r="BS2670">
        <v>0</v>
      </c>
      <c r="BT2670">
        <v>0</v>
      </c>
      <c r="BU2670">
        <v>0</v>
      </c>
      <c r="BV2670">
        <v>0</v>
      </c>
    </row>
    <row r="2671" spans="67:74" x14ac:dyDescent="0.25">
      <c r="BO2671">
        <v>0</v>
      </c>
      <c r="BP2671">
        <v>0</v>
      </c>
      <c r="BQ2671">
        <v>0</v>
      </c>
      <c r="BR2671">
        <v>0</v>
      </c>
      <c r="BS2671">
        <v>0</v>
      </c>
      <c r="BT2671">
        <v>0</v>
      </c>
      <c r="BU2671">
        <v>0</v>
      </c>
      <c r="BV2671">
        <v>0</v>
      </c>
    </row>
    <row r="2672" spans="67:74" x14ac:dyDescent="0.25">
      <c r="BO2672">
        <v>0</v>
      </c>
      <c r="BP2672">
        <v>0</v>
      </c>
      <c r="BQ2672">
        <v>0</v>
      </c>
      <c r="BR2672">
        <v>0</v>
      </c>
      <c r="BS2672">
        <v>0</v>
      </c>
      <c r="BT2672">
        <v>0</v>
      </c>
      <c r="BU2672">
        <v>0</v>
      </c>
      <c r="BV2672">
        <v>0</v>
      </c>
    </row>
    <row r="2673" spans="67:74" x14ac:dyDescent="0.25">
      <c r="BO2673">
        <v>0</v>
      </c>
      <c r="BP2673">
        <v>0</v>
      </c>
      <c r="BQ2673">
        <v>0</v>
      </c>
      <c r="BR2673">
        <v>0</v>
      </c>
      <c r="BS2673">
        <v>0</v>
      </c>
      <c r="BT2673">
        <v>0</v>
      </c>
      <c r="BU2673">
        <v>0</v>
      </c>
      <c r="BV2673">
        <v>0</v>
      </c>
    </row>
    <row r="2674" spans="67:74" x14ac:dyDescent="0.25">
      <c r="BO2674">
        <v>0</v>
      </c>
      <c r="BP2674">
        <v>0</v>
      </c>
      <c r="BQ2674">
        <v>0</v>
      </c>
      <c r="BR2674">
        <v>0</v>
      </c>
      <c r="BS2674">
        <v>0</v>
      </c>
      <c r="BT2674">
        <v>0</v>
      </c>
      <c r="BU2674">
        <v>0</v>
      </c>
      <c r="BV2674">
        <v>0</v>
      </c>
    </row>
    <row r="2675" spans="67:74" x14ac:dyDescent="0.25">
      <c r="BO2675">
        <v>0</v>
      </c>
      <c r="BP2675">
        <v>0</v>
      </c>
      <c r="BQ2675">
        <v>0</v>
      </c>
      <c r="BR2675">
        <v>0</v>
      </c>
      <c r="BS2675">
        <v>0</v>
      </c>
      <c r="BT2675">
        <v>0</v>
      </c>
      <c r="BU2675">
        <v>0</v>
      </c>
      <c r="BV2675">
        <v>0</v>
      </c>
    </row>
    <row r="2676" spans="67:74" x14ac:dyDescent="0.25">
      <c r="BO2676">
        <v>0</v>
      </c>
      <c r="BP2676">
        <v>0</v>
      </c>
      <c r="BQ2676">
        <v>0</v>
      </c>
      <c r="BR2676">
        <v>0</v>
      </c>
      <c r="BS2676">
        <v>0</v>
      </c>
      <c r="BT2676">
        <v>0</v>
      </c>
      <c r="BU2676">
        <v>0</v>
      </c>
      <c r="BV2676">
        <v>0</v>
      </c>
    </row>
    <row r="2677" spans="67:74" x14ac:dyDescent="0.25">
      <c r="BO2677">
        <v>0</v>
      </c>
      <c r="BP2677">
        <v>0</v>
      </c>
      <c r="BQ2677">
        <v>0</v>
      </c>
      <c r="BR2677">
        <v>0</v>
      </c>
      <c r="BS2677">
        <v>0</v>
      </c>
      <c r="BT2677">
        <v>0</v>
      </c>
      <c r="BU2677">
        <v>0</v>
      </c>
      <c r="BV2677">
        <v>0</v>
      </c>
    </row>
    <row r="2678" spans="67:74" x14ac:dyDescent="0.25">
      <c r="BO2678">
        <v>0</v>
      </c>
      <c r="BP2678">
        <v>0</v>
      </c>
      <c r="BQ2678">
        <v>0</v>
      </c>
      <c r="BR2678">
        <v>0</v>
      </c>
      <c r="BS2678">
        <v>0</v>
      </c>
      <c r="BT2678">
        <v>0</v>
      </c>
      <c r="BU2678">
        <v>0</v>
      </c>
      <c r="BV2678">
        <v>0</v>
      </c>
    </row>
    <row r="2679" spans="67:74" x14ac:dyDescent="0.25">
      <c r="BO2679">
        <v>0</v>
      </c>
      <c r="BP2679">
        <v>0</v>
      </c>
      <c r="BQ2679">
        <v>0</v>
      </c>
      <c r="BR2679">
        <v>0</v>
      </c>
      <c r="BS2679">
        <v>0</v>
      </c>
      <c r="BT2679">
        <v>0</v>
      </c>
      <c r="BU2679">
        <v>0</v>
      </c>
      <c r="BV2679">
        <v>0</v>
      </c>
    </row>
    <row r="2680" spans="67:74" x14ac:dyDescent="0.25">
      <c r="BO2680">
        <v>0</v>
      </c>
      <c r="BP2680">
        <v>0</v>
      </c>
      <c r="BQ2680">
        <v>0</v>
      </c>
      <c r="BR2680">
        <v>0</v>
      </c>
      <c r="BS2680">
        <v>0</v>
      </c>
      <c r="BT2680">
        <v>0</v>
      </c>
      <c r="BU2680">
        <v>0</v>
      </c>
      <c r="BV2680">
        <v>0</v>
      </c>
    </row>
    <row r="2681" spans="67:74" x14ac:dyDescent="0.25">
      <c r="BO2681">
        <v>0</v>
      </c>
      <c r="BP2681">
        <v>0</v>
      </c>
      <c r="BQ2681">
        <v>0</v>
      </c>
      <c r="BR2681">
        <v>0</v>
      </c>
      <c r="BS2681">
        <v>0</v>
      </c>
      <c r="BT2681">
        <v>0</v>
      </c>
      <c r="BU2681">
        <v>0</v>
      </c>
      <c r="BV2681">
        <v>0</v>
      </c>
    </row>
    <row r="2682" spans="67:74" x14ac:dyDescent="0.25">
      <c r="BO2682">
        <v>0</v>
      </c>
      <c r="BP2682">
        <v>0</v>
      </c>
      <c r="BQ2682">
        <v>0</v>
      </c>
      <c r="BR2682">
        <v>0</v>
      </c>
      <c r="BS2682">
        <v>0</v>
      </c>
      <c r="BT2682">
        <v>0</v>
      </c>
      <c r="BU2682">
        <v>0</v>
      </c>
      <c r="BV2682">
        <v>0</v>
      </c>
    </row>
    <row r="2683" spans="67:74" x14ac:dyDescent="0.25">
      <c r="BO2683">
        <v>0</v>
      </c>
      <c r="BP2683">
        <v>0</v>
      </c>
      <c r="BQ2683">
        <v>0</v>
      </c>
      <c r="BR2683">
        <v>0</v>
      </c>
      <c r="BS2683">
        <v>0</v>
      </c>
      <c r="BT2683">
        <v>0</v>
      </c>
      <c r="BU2683">
        <v>0</v>
      </c>
      <c r="BV2683">
        <v>0</v>
      </c>
    </row>
    <row r="2684" spans="67:74" x14ac:dyDescent="0.25">
      <c r="BO2684">
        <v>0</v>
      </c>
      <c r="BP2684">
        <v>0</v>
      </c>
      <c r="BQ2684">
        <v>0</v>
      </c>
      <c r="BR2684">
        <v>0</v>
      </c>
      <c r="BS2684">
        <v>0</v>
      </c>
      <c r="BT2684">
        <v>0</v>
      </c>
      <c r="BU2684">
        <v>0</v>
      </c>
      <c r="BV2684">
        <v>0</v>
      </c>
    </row>
    <row r="2685" spans="67:74" x14ac:dyDescent="0.25">
      <c r="BO2685">
        <v>0</v>
      </c>
      <c r="BP2685">
        <v>0</v>
      </c>
      <c r="BQ2685">
        <v>0</v>
      </c>
      <c r="BR2685">
        <v>0</v>
      </c>
      <c r="BS2685">
        <v>0</v>
      </c>
      <c r="BT2685">
        <v>0</v>
      </c>
      <c r="BU2685">
        <v>0</v>
      </c>
      <c r="BV2685">
        <v>0</v>
      </c>
    </row>
    <row r="2686" spans="67:74" x14ac:dyDescent="0.25">
      <c r="BO2686">
        <v>0</v>
      </c>
      <c r="BP2686">
        <v>0</v>
      </c>
      <c r="BQ2686">
        <v>0</v>
      </c>
      <c r="BR2686">
        <v>0</v>
      </c>
      <c r="BS2686">
        <v>0</v>
      </c>
      <c r="BT2686">
        <v>0</v>
      </c>
      <c r="BU2686">
        <v>0</v>
      </c>
      <c r="BV2686">
        <v>0</v>
      </c>
    </row>
    <row r="2687" spans="67:74" x14ac:dyDescent="0.25">
      <c r="BO2687">
        <v>0</v>
      </c>
      <c r="BP2687">
        <v>0</v>
      </c>
      <c r="BQ2687">
        <v>0</v>
      </c>
      <c r="BR2687">
        <v>0</v>
      </c>
      <c r="BS2687">
        <v>0</v>
      </c>
      <c r="BT2687">
        <v>0</v>
      </c>
      <c r="BU2687">
        <v>0</v>
      </c>
      <c r="BV2687">
        <v>0</v>
      </c>
    </row>
    <row r="2688" spans="67:74" x14ac:dyDescent="0.25">
      <c r="BO2688">
        <v>0</v>
      </c>
      <c r="BP2688">
        <v>0</v>
      </c>
      <c r="BQ2688">
        <v>0</v>
      </c>
      <c r="BR2688">
        <v>0</v>
      </c>
      <c r="BS2688">
        <v>0</v>
      </c>
      <c r="BT2688">
        <v>0</v>
      </c>
      <c r="BU2688">
        <v>0</v>
      </c>
      <c r="BV2688">
        <v>0</v>
      </c>
    </row>
    <row r="2689" spans="67:74" x14ac:dyDescent="0.25">
      <c r="BO2689">
        <v>0</v>
      </c>
      <c r="BP2689">
        <v>0</v>
      </c>
      <c r="BQ2689">
        <v>0</v>
      </c>
      <c r="BR2689">
        <v>0</v>
      </c>
      <c r="BS2689">
        <v>0</v>
      </c>
      <c r="BT2689">
        <v>0</v>
      </c>
      <c r="BU2689">
        <v>0</v>
      </c>
      <c r="BV2689">
        <v>0</v>
      </c>
    </row>
    <row r="2690" spans="67:74" x14ac:dyDescent="0.25">
      <c r="BO2690">
        <v>0</v>
      </c>
      <c r="BP2690">
        <v>0</v>
      </c>
      <c r="BQ2690">
        <v>0</v>
      </c>
      <c r="BR2690">
        <v>0</v>
      </c>
      <c r="BS2690">
        <v>0</v>
      </c>
      <c r="BT2690">
        <v>0</v>
      </c>
      <c r="BU2690">
        <v>0</v>
      </c>
      <c r="BV2690">
        <v>0</v>
      </c>
    </row>
    <row r="2691" spans="67:74" x14ac:dyDescent="0.25">
      <c r="BO2691">
        <v>0</v>
      </c>
      <c r="BP2691">
        <v>0</v>
      </c>
      <c r="BQ2691">
        <v>0</v>
      </c>
      <c r="BR2691">
        <v>0</v>
      </c>
      <c r="BS2691">
        <v>0</v>
      </c>
      <c r="BT2691">
        <v>0</v>
      </c>
      <c r="BU2691">
        <v>0</v>
      </c>
      <c r="BV2691">
        <v>0</v>
      </c>
    </row>
    <row r="2692" spans="67:74" x14ac:dyDescent="0.25">
      <c r="BO2692">
        <v>0</v>
      </c>
      <c r="BP2692">
        <v>0</v>
      </c>
      <c r="BQ2692">
        <v>0</v>
      </c>
      <c r="BR2692">
        <v>0</v>
      </c>
      <c r="BS2692">
        <v>0</v>
      </c>
      <c r="BT2692">
        <v>0</v>
      </c>
      <c r="BU2692">
        <v>0</v>
      </c>
      <c r="BV2692">
        <v>0</v>
      </c>
    </row>
    <row r="2693" spans="67:74" x14ac:dyDescent="0.25">
      <c r="BO2693">
        <v>0</v>
      </c>
      <c r="BP2693">
        <v>0</v>
      </c>
      <c r="BQ2693">
        <v>0</v>
      </c>
      <c r="BR2693">
        <v>0</v>
      </c>
      <c r="BS2693">
        <v>0</v>
      </c>
      <c r="BT2693">
        <v>0</v>
      </c>
      <c r="BU2693">
        <v>0</v>
      </c>
      <c r="BV2693">
        <v>0</v>
      </c>
    </row>
    <row r="2694" spans="67:74" x14ac:dyDescent="0.25">
      <c r="BO2694">
        <v>0</v>
      </c>
      <c r="BP2694">
        <v>0</v>
      </c>
      <c r="BQ2694">
        <v>0</v>
      </c>
      <c r="BR2694">
        <v>0</v>
      </c>
      <c r="BS2694">
        <v>0</v>
      </c>
      <c r="BT2694">
        <v>0</v>
      </c>
      <c r="BU2694">
        <v>0</v>
      </c>
      <c r="BV2694">
        <v>0</v>
      </c>
    </row>
    <row r="2695" spans="67:74" x14ac:dyDescent="0.25">
      <c r="BO2695">
        <v>0</v>
      </c>
      <c r="BP2695">
        <v>0</v>
      </c>
      <c r="BQ2695">
        <v>0</v>
      </c>
      <c r="BR2695">
        <v>0</v>
      </c>
      <c r="BS2695">
        <v>0</v>
      </c>
      <c r="BT2695">
        <v>0</v>
      </c>
      <c r="BU2695">
        <v>0</v>
      </c>
      <c r="BV2695">
        <v>0</v>
      </c>
    </row>
    <row r="2696" spans="67:74" x14ac:dyDescent="0.25">
      <c r="BO2696">
        <v>0</v>
      </c>
      <c r="BP2696">
        <v>0</v>
      </c>
      <c r="BQ2696">
        <v>0</v>
      </c>
      <c r="BR2696">
        <v>0</v>
      </c>
      <c r="BS2696">
        <v>0</v>
      </c>
      <c r="BT2696">
        <v>0</v>
      </c>
      <c r="BU2696">
        <v>0</v>
      </c>
      <c r="BV2696">
        <v>0</v>
      </c>
    </row>
    <row r="2697" spans="67:74" x14ac:dyDescent="0.25">
      <c r="BO2697">
        <v>0</v>
      </c>
      <c r="BP2697">
        <v>0</v>
      </c>
      <c r="BQ2697">
        <v>0</v>
      </c>
      <c r="BR2697">
        <v>0</v>
      </c>
      <c r="BS2697">
        <v>0</v>
      </c>
      <c r="BT2697">
        <v>0</v>
      </c>
      <c r="BU2697">
        <v>0</v>
      </c>
      <c r="BV2697">
        <v>0</v>
      </c>
    </row>
    <row r="2698" spans="67:74" x14ac:dyDescent="0.25">
      <c r="BO2698">
        <v>0</v>
      </c>
      <c r="BP2698">
        <v>0</v>
      </c>
      <c r="BQ2698">
        <v>0</v>
      </c>
      <c r="BR2698">
        <v>0</v>
      </c>
      <c r="BS2698">
        <v>0</v>
      </c>
      <c r="BT2698">
        <v>0</v>
      </c>
      <c r="BU2698">
        <v>0</v>
      </c>
      <c r="BV2698">
        <v>0</v>
      </c>
    </row>
    <row r="2699" spans="67:74" x14ac:dyDescent="0.25">
      <c r="BO2699">
        <v>0</v>
      </c>
      <c r="BP2699">
        <v>0</v>
      </c>
      <c r="BQ2699">
        <v>0</v>
      </c>
      <c r="BR2699">
        <v>0</v>
      </c>
      <c r="BS2699">
        <v>0</v>
      </c>
      <c r="BT2699">
        <v>0</v>
      </c>
      <c r="BU2699">
        <v>0</v>
      </c>
      <c r="BV2699">
        <v>0</v>
      </c>
    </row>
    <row r="2700" spans="67:74" x14ac:dyDescent="0.25">
      <c r="BO2700">
        <v>0</v>
      </c>
      <c r="BP2700">
        <v>0</v>
      </c>
      <c r="BQ2700">
        <v>0</v>
      </c>
      <c r="BR2700">
        <v>0</v>
      </c>
      <c r="BS2700">
        <v>0</v>
      </c>
      <c r="BT2700">
        <v>0</v>
      </c>
      <c r="BU2700">
        <v>0</v>
      </c>
      <c r="BV2700">
        <v>0</v>
      </c>
    </row>
    <row r="2701" spans="67:74" x14ac:dyDescent="0.25">
      <c r="BO2701">
        <v>0</v>
      </c>
      <c r="BP2701">
        <v>0</v>
      </c>
      <c r="BQ2701">
        <v>0</v>
      </c>
      <c r="BR2701">
        <v>0</v>
      </c>
      <c r="BS2701">
        <v>0</v>
      </c>
      <c r="BT2701">
        <v>0</v>
      </c>
      <c r="BU2701">
        <v>0</v>
      </c>
      <c r="BV2701">
        <v>0</v>
      </c>
    </row>
    <row r="2702" spans="67:74" x14ac:dyDescent="0.25">
      <c r="BO2702">
        <v>0</v>
      </c>
      <c r="BP2702">
        <v>0</v>
      </c>
      <c r="BQ2702">
        <v>0</v>
      </c>
      <c r="BR2702">
        <v>0</v>
      </c>
      <c r="BS2702">
        <v>0</v>
      </c>
      <c r="BT2702">
        <v>0</v>
      </c>
      <c r="BU2702">
        <v>0</v>
      </c>
      <c r="BV2702">
        <v>0</v>
      </c>
    </row>
    <row r="2703" spans="67:74" x14ac:dyDescent="0.25">
      <c r="BO2703">
        <v>0</v>
      </c>
      <c r="BP2703">
        <v>0</v>
      </c>
      <c r="BQ2703">
        <v>0</v>
      </c>
      <c r="BR2703">
        <v>0</v>
      </c>
      <c r="BS2703">
        <v>0</v>
      </c>
      <c r="BT2703">
        <v>0</v>
      </c>
      <c r="BU2703">
        <v>0</v>
      </c>
      <c r="BV2703">
        <v>0</v>
      </c>
    </row>
    <row r="2704" spans="67:74" x14ac:dyDescent="0.25">
      <c r="BO2704">
        <v>0</v>
      </c>
      <c r="BP2704">
        <v>0</v>
      </c>
      <c r="BQ2704">
        <v>0</v>
      </c>
      <c r="BR2704">
        <v>0</v>
      </c>
      <c r="BS2704">
        <v>0</v>
      </c>
      <c r="BT2704">
        <v>0</v>
      </c>
      <c r="BU2704">
        <v>0</v>
      </c>
      <c r="BV2704">
        <v>0</v>
      </c>
    </row>
    <row r="2705" spans="67:74" x14ac:dyDescent="0.25">
      <c r="BO2705">
        <v>0</v>
      </c>
      <c r="BP2705">
        <v>0</v>
      </c>
      <c r="BQ2705">
        <v>0</v>
      </c>
      <c r="BR2705">
        <v>0</v>
      </c>
      <c r="BS2705">
        <v>0</v>
      </c>
      <c r="BT2705">
        <v>0</v>
      </c>
      <c r="BU2705">
        <v>0</v>
      </c>
      <c r="BV2705">
        <v>0</v>
      </c>
    </row>
    <row r="2706" spans="67:74" x14ac:dyDescent="0.25">
      <c r="BO2706">
        <v>0</v>
      </c>
      <c r="BP2706">
        <v>0</v>
      </c>
      <c r="BQ2706">
        <v>0</v>
      </c>
      <c r="BR2706">
        <v>0</v>
      </c>
      <c r="BS2706">
        <v>0</v>
      </c>
      <c r="BT2706">
        <v>0</v>
      </c>
      <c r="BU2706">
        <v>0</v>
      </c>
      <c r="BV2706">
        <v>0</v>
      </c>
    </row>
    <row r="2707" spans="67:74" x14ac:dyDescent="0.25">
      <c r="BO2707">
        <v>0</v>
      </c>
      <c r="BP2707">
        <v>0</v>
      </c>
      <c r="BQ2707">
        <v>0</v>
      </c>
      <c r="BR2707">
        <v>0</v>
      </c>
      <c r="BS2707">
        <v>0</v>
      </c>
      <c r="BT2707">
        <v>0</v>
      </c>
      <c r="BU2707">
        <v>0</v>
      </c>
      <c r="BV2707">
        <v>0</v>
      </c>
    </row>
    <row r="2708" spans="67:74" x14ac:dyDescent="0.25">
      <c r="BO2708">
        <v>0</v>
      </c>
      <c r="BP2708">
        <v>0</v>
      </c>
      <c r="BQ2708">
        <v>0</v>
      </c>
      <c r="BR2708">
        <v>0</v>
      </c>
      <c r="BS2708">
        <v>0</v>
      </c>
      <c r="BT2708">
        <v>0</v>
      </c>
      <c r="BU2708">
        <v>0</v>
      </c>
      <c r="BV2708">
        <v>0</v>
      </c>
    </row>
    <row r="2709" spans="67:74" x14ac:dyDescent="0.25">
      <c r="BO2709">
        <v>0</v>
      </c>
      <c r="BP2709">
        <v>0</v>
      </c>
      <c r="BQ2709">
        <v>0</v>
      </c>
      <c r="BR2709">
        <v>0</v>
      </c>
      <c r="BS2709">
        <v>0</v>
      </c>
      <c r="BT2709">
        <v>0</v>
      </c>
      <c r="BU2709">
        <v>0</v>
      </c>
      <c r="BV2709">
        <v>0</v>
      </c>
    </row>
    <row r="2710" spans="67:74" x14ac:dyDescent="0.25">
      <c r="BO2710">
        <v>0</v>
      </c>
      <c r="BP2710">
        <v>0</v>
      </c>
      <c r="BQ2710">
        <v>0</v>
      </c>
      <c r="BR2710">
        <v>0</v>
      </c>
      <c r="BS2710">
        <v>0</v>
      </c>
      <c r="BT2710">
        <v>0</v>
      </c>
      <c r="BU2710">
        <v>0</v>
      </c>
      <c r="BV2710">
        <v>0</v>
      </c>
    </row>
    <row r="2711" spans="67:74" x14ac:dyDescent="0.25">
      <c r="BO2711">
        <v>0</v>
      </c>
      <c r="BP2711">
        <v>0</v>
      </c>
      <c r="BQ2711">
        <v>0</v>
      </c>
      <c r="BR2711">
        <v>0</v>
      </c>
      <c r="BS2711">
        <v>0</v>
      </c>
      <c r="BT2711">
        <v>0</v>
      </c>
      <c r="BU2711">
        <v>0</v>
      </c>
      <c r="BV2711">
        <v>0</v>
      </c>
    </row>
    <row r="2712" spans="67:74" x14ac:dyDescent="0.25">
      <c r="BO2712">
        <v>0</v>
      </c>
      <c r="BP2712">
        <v>0</v>
      </c>
      <c r="BQ2712">
        <v>0</v>
      </c>
      <c r="BR2712">
        <v>0</v>
      </c>
      <c r="BS2712">
        <v>0</v>
      </c>
      <c r="BT2712">
        <v>0</v>
      </c>
      <c r="BU2712">
        <v>0</v>
      </c>
      <c r="BV2712">
        <v>0</v>
      </c>
    </row>
    <row r="2713" spans="67:74" x14ac:dyDescent="0.25">
      <c r="BO2713">
        <v>0</v>
      </c>
      <c r="BP2713">
        <v>0</v>
      </c>
      <c r="BQ2713">
        <v>0</v>
      </c>
      <c r="BR2713">
        <v>0</v>
      </c>
      <c r="BS2713">
        <v>0</v>
      </c>
      <c r="BT2713">
        <v>0</v>
      </c>
      <c r="BU2713">
        <v>0</v>
      </c>
      <c r="BV2713">
        <v>0</v>
      </c>
    </row>
    <row r="2714" spans="67:74" x14ac:dyDescent="0.25">
      <c r="BO2714">
        <v>0</v>
      </c>
      <c r="BP2714">
        <v>0</v>
      </c>
      <c r="BQ2714">
        <v>0</v>
      </c>
      <c r="BR2714">
        <v>0</v>
      </c>
      <c r="BS2714">
        <v>0</v>
      </c>
      <c r="BT2714">
        <v>0</v>
      </c>
      <c r="BU2714">
        <v>0</v>
      </c>
      <c r="BV2714">
        <v>0</v>
      </c>
    </row>
    <row r="2715" spans="67:74" x14ac:dyDescent="0.25">
      <c r="BO2715">
        <v>0</v>
      </c>
      <c r="BP2715">
        <v>0</v>
      </c>
      <c r="BQ2715">
        <v>0</v>
      </c>
      <c r="BR2715">
        <v>0</v>
      </c>
      <c r="BS2715">
        <v>0</v>
      </c>
      <c r="BT2715">
        <v>0</v>
      </c>
      <c r="BU2715">
        <v>0</v>
      </c>
      <c r="BV2715">
        <v>0</v>
      </c>
    </row>
    <row r="2716" spans="67:74" x14ac:dyDescent="0.25">
      <c r="BO2716">
        <v>0</v>
      </c>
      <c r="BP2716">
        <v>0</v>
      </c>
      <c r="BQ2716">
        <v>0</v>
      </c>
      <c r="BR2716">
        <v>0</v>
      </c>
      <c r="BS2716">
        <v>0</v>
      </c>
      <c r="BT2716">
        <v>0</v>
      </c>
      <c r="BU2716">
        <v>0</v>
      </c>
      <c r="BV2716">
        <v>0</v>
      </c>
    </row>
    <row r="2717" spans="67:74" x14ac:dyDescent="0.25">
      <c r="BO2717">
        <v>0</v>
      </c>
      <c r="BP2717">
        <v>0</v>
      </c>
      <c r="BQ2717">
        <v>0</v>
      </c>
      <c r="BR2717">
        <v>0</v>
      </c>
      <c r="BS2717">
        <v>0</v>
      </c>
      <c r="BT2717">
        <v>0</v>
      </c>
      <c r="BU2717">
        <v>0</v>
      </c>
      <c r="BV2717">
        <v>0</v>
      </c>
    </row>
    <row r="2718" spans="67:74" x14ac:dyDescent="0.25">
      <c r="BO2718">
        <v>0</v>
      </c>
      <c r="BP2718">
        <v>0</v>
      </c>
      <c r="BQ2718">
        <v>0</v>
      </c>
      <c r="BR2718">
        <v>0</v>
      </c>
      <c r="BS2718">
        <v>0</v>
      </c>
      <c r="BT2718">
        <v>0</v>
      </c>
      <c r="BU2718">
        <v>0</v>
      </c>
      <c r="BV2718">
        <v>0</v>
      </c>
    </row>
    <row r="2719" spans="67:74" x14ac:dyDescent="0.25">
      <c r="BO2719">
        <v>0</v>
      </c>
      <c r="BP2719">
        <v>0</v>
      </c>
      <c r="BQ2719">
        <v>0</v>
      </c>
      <c r="BR2719">
        <v>0</v>
      </c>
      <c r="BS2719">
        <v>0</v>
      </c>
      <c r="BT2719">
        <v>0</v>
      </c>
      <c r="BU2719">
        <v>0</v>
      </c>
      <c r="BV2719">
        <v>0</v>
      </c>
    </row>
    <row r="2720" spans="67:74" x14ac:dyDescent="0.25">
      <c r="BO2720">
        <v>0</v>
      </c>
      <c r="BP2720">
        <v>0</v>
      </c>
      <c r="BQ2720">
        <v>0</v>
      </c>
      <c r="BR2720">
        <v>0</v>
      </c>
      <c r="BS2720">
        <v>0</v>
      </c>
      <c r="BT2720">
        <v>0</v>
      </c>
      <c r="BU2720">
        <v>0</v>
      </c>
      <c r="BV2720">
        <v>0</v>
      </c>
    </row>
    <row r="2721" spans="67:74" x14ac:dyDescent="0.25">
      <c r="BO2721">
        <v>0</v>
      </c>
      <c r="BP2721">
        <v>0</v>
      </c>
      <c r="BQ2721">
        <v>0</v>
      </c>
      <c r="BR2721">
        <v>0</v>
      </c>
      <c r="BS2721">
        <v>0</v>
      </c>
      <c r="BT2721">
        <v>0</v>
      </c>
      <c r="BU2721">
        <v>0</v>
      </c>
      <c r="BV2721">
        <v>0</v>
      </c>
    </row>
    <row r="2722" spans="67:74" x14ac:dyDescent="0.25">
      <c r="BO2722">
        <v>0</v>
      </c>
      <c r="BP2722">
        <v>0</v>
      </c>
      <c r="BQ2722">
        <v>0</v>
      </c>
      <c r="BR2722">
        <v>0</v>
      </c>
      <c r="BS2722">
        <v>0</v>
      </c>
      <c r="BT2722">
        <v>0</v>
      </c>
      <c r="BU2722">
        <v>0</v>
      </c>
      <c r="BV2722">
        <v>0</v>
      </c>
    </row>
    <row r="2723" spans="67:74" x14ac:dyDescent="0.25">
      <c r="BO2723">
        <v>0</v>
      </c>
      <c r="BP2723">
        <v>0</v>
      </c>
      <c r="BQ2723">
        <v>0</v>
      </c>
      <c r="BR2723">
        <v>0</v>
      </c>
      <c r="BS2723">
        <v>0</v>
      </c>
      <c r="BT2723">
        <v>0</v>
      </c>
      <c r="BU2723">
        <v>0</v>
      </c>
      <c r="BV2723">
        <v>0</v>
      </c>
    </row>
    <row r="2724" spans="67:74" x14ac:dyDescent="0.25">
      <c r="BO2724">
        <v>0</v>
      </c>
      <c r="BP2724">
        <v>0</v>
      </c>
      <c r="BQ2724">
        <v>0</v>
      </c>
      <c r="BR2724">
        <v>0</v>
      </c>
      <c r="BS2724">
        <v>0</v>
      </c>
      <c r="BT2724">
        <v>0</v>
      </c>
      <c r="BU2724">
        <v>0</v>
      </c>
      <c r="BV2724">
        <v>0</v>
      </c>
    </row>
    <row r="2725" spans="67:74" x14ac:dyDescent="0.25">
      <c r="BO2725">
        <v>0</v>
      </c>
      <c r="BP2725">
        <v>0</v>
      </c>
      <c r="BQ2725">
        <v>0</v>
      </c>
      <c r="BR2725">
        <v>0</v>
      </c>
      <c r="BS2725">
        <v>0</v>
      </c>
      <c r="BT2725">
        <v>0</v>
      </c>
      <c r="BU2725">
        <v>0</v>
      </c>
      <c r="BV2725">
        <v>0</v>
      </c>
    </row>
    <row r="2726" spans="67:74" x14ac:dyDescent="0.25">
      <c r="BO2726">
        <v>0</v>
      </c>
      <c r="BP2726">
        <v>0</v>
      </c>
      <c r="BQ2726">
        <v>0</v>
      </c>
      <c r="BR2726">
        <v>0</v>
      </c>
      <c r="BS2726">
        <v>0</v>
      </c>
      <c r="BT2726">
        <v>0</v>
      </c>
      <c r="BU2726">
        <v>0</v>
      </c>
      <c r="BV2726">
        <v>0</v>
      </c>
    </row>
    <row r="2727" spans="67:74" x14ac:dyDescent="0.25">
      <c r="BO2727">
        <v>0</v>
      </c>
      <c r="BP2727">
        <v>0</v>
      </c>
      <c r="BQ2727">
        <v>0</v>
      </c>
      <c r="BR2727">
        <v>0</v>
      </c>
      <c r="BS2727">
        <v>0</v>
      </c>
      <c r="BT2727">
        <v>0</v>
      </c>
      <c r="BU2727">
        <v>0</v>
      </c>
      <c r="BV2727">
        <v>0</v>
      </c>
    </row>
    <row r="2728" spans="67:74" x14ac:dyDescent="0.25">
      <c r="BO2728">
        <v>0</v>
      </c>
      <c r="BP2728">
        <v>0</v>
      </c>
      <c r="BQ2728">
        <v>0</v>
      </c>
      <c r="BR2728">
        <v>0</v>
      </c>
      <c r="BS2728">
        <v>0</v>
      </c>
      <c r="BT2728">
        <v>0</v>
      </c>
      <c r="BU2728">
        <v>0</v>
      </c>
      <c r="BV2728">
        <v>0</v>
      </c>
    </row>
    <row r="2729" spans="67:74" x14ac:dyDescent="0.25">
      <c r="BO2729">
        <v>0</v>
      </c>
      <c r="BP2729">
        <v>0</v>
      </c>
      <c r="BQ2729">
        <v>0</v>
      </c>
      <c r="BR2729">
        <v>0</v>
      </c>
      <c r="BS2729">
        <v>0</v>
      </c>
      <c r="BT2729">
        <v>0</v>
      </c>
      <c r="BU2729">
        <v>0</v>
      </c>
      <c r="BV2729">
        <v>0</v>
      </c>
    </row>
    <row r="2730" spans="67:74" x14ac:dyDescent="0.25">
      <c r="BO2730">
        <v>0</v>
      </c>
      <c r="BP2730">
        <v>0</v>
      </c>
      <c r="BQ2730">
        <v>0</v>
      </c>
      <c r="BR2730">
        <v>0</v>
      </c>
      <c r="BS2730">
        <v>0</v>
      </c>
      <c r="BT2730">
        <v>0</v>
      </c>
      <c r="BU2730">
        <v>0</v>
      </c>
      <c r="BV2730">
        <v>0</v>
      </c>
    </row>
    <row r="2731" spans="67:74" x14ac:dyDescent="0.25">
      <c r="BO2731">
        <v>0</v>
      </c>
      <c r="BP2731">
        <v>0</v>
      </c>
      <c r="BQ2731">
        <v>0</v>
      </c>
      <c r="BR2731">
        <v>0</v>
      </c>
      <c r="BS2731">
        <v>0</v>
      </c>
      <c r="BT2731">
        <v>0</v>
      </c>
      <c r="BU2731">
        <v>0</v>
      </c>
      <c r="BV2731">
        <v>0</v>
      </c>
    </row>
    <row r="2732" spans="67:74" x14ac:dyDescent="0.25">
      <c r="BO2732">
        <v>0</v>
      </c>
      <c r="BP2732">
        <v>0</v>
      </c>
      <c r="BQ2732">
        <v>0</v>
      </c>
      <c r="BR2732">
        <v>0</v>
      </c>
      <c r="BS2732">
        <v>0</v>
      </c>
      <c r="BT2732">
        <v>0</v>
      </c>
      <c r="BU2732">
        <v>0</v>
      </c>
      <c r="BV2732">
        <v>0</v>
      </c>
    </row>
    <row r="2733" spans="67:74" x14ac:dyDescent="0.25">
      <c r="BO2733">
        <v>0</v>
      </c>
      <c r="BP2733">
        <v>0</v>
      </c>
      <c r="BQ2733">
        <v>0</v>
      </c>
      <c r="BR2733">
        <v>0</v>
      </c>
      <c r="BS2733">
        <v>0</v>
      </c>
      <c r="BT2733">
        <v>0</v>
      </c>
      <c r="BU2733">
        <v>0</v>
      </c>
      <c r="BV2733">
        <v>0</v>
      </c>
    </row>
    <row r="2734" spans="67:74" x14ac:dyDescent="0.25">
      <c r="BO2734">
        <v>0</v>
      </c>
      <c r="BP2734">
        <v>0</v>
      </c>
      <c r="BQ2734">
        <v>0</v>
      </c>
      <c r="BR2734">
        <v>0</v>
      </c>
      <c r="BS2734">
        <v>0</v>
      </c>
      <c r="BT2734">
        <v>0</v>
      </c>
      <c r="BU2734">
        <v>0</v>
      </c>
      <c r="BV2734">
        <v>0</v>
      </c>
    </row>
    <row r="2735" spans="67:74" x14ac:dyDescent="0.25">
      <c r="BO2735">
        <v>0</v>
      </c>
      <c r="BP2735">
        <v>0</v>
      </c>
      <c r="BQ2735">
        <v>0</v>
      </c>
      <c r="BR2735">
        <v>0</v>
      </c>
      <c r="BS2735">
        <v>0</v>
      </c>
      <c r="BT2735">
        <v>0</v>
      </c>
      <c r="BU2735">
        <v>0</v>
      </c>
      <c r="BV2735">
        <v>0</v>
      </c>
    </row>
    <row r="2736" spans="67:74" x14ac:dyDescent="0.25">
      <c r="BO2736">
        <v>0</v>
      </c>
      <c r="BP2736">
        <v>0</v>
      </c>
      <c r="BQ2736">
        <v>0</v>
      </c>
      <c r="BR2736">
        <v>0</v>
      </c>
      <c r="BS2736">
        <v>0</v>
      </c>
      <c r="BT2736">
        <v>0</v>
      </c>
      <c r="BU2736">
        <v>0</v>
      </c>
      <c r="BV2736">
        <v>0</v>
      </c>
    </row>
    <row r="2737" spans="67:74" x14ac:dyDescent="0.25">
      <c r="BO2737">
        <v>0</v>
      </c>
      <c r="BP2737">
        <v>0</v>
      </c>
      <c r="BQ2737">
        <v>0</v>
      </c>
      <c r="BR2737">
        <v>0</v>
      </c>
      <c r="BS2737">
        <v>0</v>
      </c>
      <c r="BT2737">
        <v>0</v>
      </c>
      <c r="BU2737">
        <v>0</v>
      </c>
      <c r="BV2737">
        <v>0</v>
      </c>
    </row>
    <row r="2738" spans="67:74" x14ac:dyDescent="0.25">
      <c r="BO2738">
        <v>0</v>
      </c>
      <c r="BP2738">
        <v>0</v>
      </c>
      <c r="BQ2738">
        <v>0</v>
      </c>
      <c r="BR2738">
        <v>0</v>
      </c>
      <c r="BS2738">
        <v>0</v>
      </c>
      <c r="BT2738">
        <v>0</v>
      </c>
      <c r="BU2738">
        <v>0</v>
      </c>
      <c r="BV2738">
        <v>0</v>
      </c>
    </row>
    <row r="2739" spans="67:74" x14ac:dyDescent="0.25">
      <c r="BO2739">
        <v>0</v>
      </c>
      <c r="BP2739">
        <v>0</v>
      </c>
      <c r="BQ2739">
        <v>0</v>
      </c>
      <c r="BR2739">
        <v>0</v>
      </c>
      <c r="BS2739">
        <v>0</v>
      </c>
      <c r="BT2739">
        <v>0</v>
      </c>
      <c r="BU2739">
        <v>0</v>
      </c>
      <c r="BV2739">
        <v>0</v>
      </c>
    </row>
    <row r="2740" spans="67:74" x14ac:dyDescent="0.25">
      <c r="BO2740">
        <v>0</v>
      </c>
      <c r="BP2740">
        <v>0</v>
      </c>
      <c r="BQ2740">
        <v>0</v>
      </c>
      <c r="BR2740">
        <v>0</v>
      </c>
      <c r="BS2740">
        <v>0</v>
      </c>
      <c r="BT2740">
        <v>0</v>
      </c>
      <c r="BU2740">
        <v>0</v>
      </c>
      <c r="BV2740">
        <v>0</v>
      </c>
    </row>
    <row r="2741" spans="67:74" x14ac:dyDescent="0.25">
      <c r="BO2741">
        <v>0</v>
      </c>
      <c r="BP2741">
        <v>0</v>
      </c>
      <c r="BQ2741">
        <v>0</v>
      </c>
      <c r="BR2741">
        <v>0</v>
      </c>
      <c r="BS2741">
        <v>0</v>
      </c>
      <c r="BT2741">
        <v>0</v>
      </c>
      <c r="BU2741">
        <v>0</v>
      </c>
      <c r="BV2741">
        <v>0</v>
      </c>
    </row>
    <row r="2742" spans="67:74" x14ac:dyDescent="0.25">
      <c r="BO2742">
        <v>0</v>
      </c>
      <c r="BP2742">
        <v>0</v>
      </c>
      <c r="BQ2742">
        <v>0</v>
      </c>
      <c r="BR2742">
        <v>0</v>
      </c>
      <c r="BS2742">
        <v>0</v>
      </c>
      <c r="BT2742">
        <v>0</v>
      </c>
      <c r="BU2742">
        <v>0</v>
      </c>
      <c r="BV2742">
        <v>0</v>
      </c>
    </row>
    <row r="2743" spans="67:74" x14ac:dyDescent="0.25">
      <c r="BO2743">
        <v>0</v>
      </c>
      <c r="BP2743">
        <v>0</v>
      </c>
      <c r="BQ2743">
        <v>0</v>
      </c>
      <c r="BR2743">
        <v>0</v>
      </c>
      <c r="BS2743">
        <v>0</v>
      </c>
      <c r="BT2743">
        <v>0</v>
      </c>
      <c r="BU2743">
        <v>0</v>
      </c>
      <c r="BV2743">
        <v>0</v>
      </c>
    </row>
    <row r="2744" spans="67:74" x14ac:dyDescent="0.25">
      <c r="BO2744">
        <v>0</v>
      </c>
      <c r="BP2744">
        <v>0</v>
      </c>
      <c r="BQ2744">
        <v>0</v>
      </c>
      <c r="BR2744">
        <v>0</v>
      </c>
      <c r="BS2744">
        <v>0</v>
      </c>
      <c r="BT2744">
        <v>0</v>
      </c>
      <c r="BU2744">
        <v>0</v>
      </c>
      <c r="BV2744">
        <v>0</v>
      </c>
    </row>
    <row r="2745" spans="67:74" x14ac:dyDescent="0.25">
      <c r="BO2745">
        <v>0</v>
      </c>
      <c r="BP2745">
        <v>0</v>
      </c>
      <c r="BQ2745">
        <v>0</v>
      </c>
      <c r="BR2745">
        <v>0</v>
      </c>
      <c r="BS2745">
        <v>0</v>
      </c>
      <c r="BT2745">
        <v>0</v>
      </c>
      <c r="BU2745">
        <v>0</v>
      </c>
      <c r="BV2745">
        <v>0</v>
      </c>
    </row>
    <row r="2746" spans="67:74" x14ac:dyDescent="0.25">
      <c r="BO2746">
        <v>0</v>
      </c>
      <c r="BP2746">
        <v>0</v>
      </c>
      <c r="BQ2746">
        <v>0</v>
      </c>
      <c r="BR2746">
        <v>0</v>
      </c>
      <c r="BS2746">
        <v>0</v>
      </c>
      <c r="BT2746">
        <v>0</v>
      </c>
      <c r="BU2746">
        <v>0</v>
      </c>
      <c r="BV2746">
        <v>0</v>
      </c>
    </row>
    <row r="2747" spans="67:74" x14ac:dyDescent="0.25">
      <c r="BO2747">
        <v>0</v>
      </c>
      <c r="BP2747">
        <v>0</v>
      </c>
      <c r="BQ2747">
        <v>0</v>
      </c>
      <c r="BR2747">
        <v>0</v>
      </c>
      <c r="BS2747">
        <v>0</v>
      </c>
      <c r="BT2747">
        <v>0</v>
      </c>
      <c r="BU2747">
        <v>0</v>
      </c>
      <c r="BV2747">
        <v>0</v>
      </c>
    </row>
    <row r="2748" spans="67:74" x14ac:dyDescent="0.25">
      <c r="BO2748">
        <v>0</v>
      </c>
      <c r="BP2748">
        <v>0</v>
      </c>
      <c r="BQ2748">
        <v>0</v>
      </c>
      <c r="BR2748">
        <v>0</v>
      </c>
      <c r="BS2748">
        <v>0</v>
      </c>
      <c r="BT2748">
        <v>0</v>
      </c>
      <c r="BU2748">
        <v>0</v>
      </c>
      <c r="BV2748">
        <v>0</v>
      </c>
    </row>
    <row r="2749" spans="67:74" x14ac:dyDescent="0.25">
      <c r="BO2749">
        <v>0</v>
      </c>
      <c r="BP2749">
        <v>0</v>
      </c>
      <c r="BQ2749">
        <v>0</v>
      </c>
      <c r="BR2749">
        <v>0</v>
      </c>
      <c r="BS2749">
        <v>0</v>
      </c>
      <c r="BT2749">
        <v>0</v>
      </c>
      <c r="BU2749">
        <v>0</v>
      </c>
      <c r="BV2749">
        <v>0</v>
      </c>
    </row>
    <row r="2750" spans="67:74" x14ac:dyDescent="0.25">
      <c r="BO2750">
        <v>0</v>
      </c>
      <c r="BP2750">
        <v>0</v>
      </c>
      <c r="BQ2750">
        <v>0</v>
      </c>
      <c r="BR2750">
        <v>0</v>
      </c>
      <c r="BS2750">
        <v>0</v>
      </c>
      <c r="BT2750">
        <v>0</v>
      </c>
      <c r="BU2750">
        <v>0</v>
      </c>
      <c r="BV2750">
        <v>0</v>
      </c>
    </row>
    <row r="2751" spans="67:74" x14ac:dyDescent="0.25">
      <c r="BO2751">
        <v>0</v>
      </c>
      <c r="BP2751">
        <v>0</v>
      </c>
      <c r="BQ2751">
        <v>0</v>
      </c>
      <c r="BR2751">
        <v>0</v>
      </c>
      <c r="BS2751">
        <v>0</v>
      </c>
      <c r="BT2751">
        <v>0</v>
      </c>
      <c r="BU2751">
        <v>0</v>
      </c>
      <c r="BV2751">
        <v>0</v>
      </c>
    </row>
    <row r="2752" spans="67:74" x14ac:dyDescent="0.25">
      <c r="BO2752">
        <v>0</v>
      </c>
      <c r="BP2752">
        <v>0</v>
      </c>
      <c r="BQ2752">
        <v>0</v>
      </c>
      <c r="BR2752">
        <v>0</v>
      </c>
      <c r="BS2752">
        <v>0</v>
      </c>
      <c r="BT2752">
        <v>0</v>
      </c>
      <c r="BU2752">
        <v>0</v>
      </c>
      <c r="BV2752">
        <v>0</v>
      </c>
    </row>
    <row r="2753" spans="67:74" x14ac:dyDescent="0.25">
      <c r="BO2753">
        <v>0</v>
      </c>
      <c r="BP2753">
        <v>0</v>
      </c>
      <c r="BQ2753">
        <v>0</v>
      </c>
      <c r="BR2753">
        <v>0</v>
      </c>
      <c r="BS2753">
        <v>0</v>
      </c>
      <c r="BT2753">
        <v>0</v>
      </c>
      <c r="BU2753">
        <v>0</v>
      </c>
      <c r="BV2753">
        <v>0</v>
      </c>
    </row>
    <row r="2754" spans="67:74" x14ac:dyDescent="0.25">
      <c r="BO2754">
        <v>0</v>
      </c>
      <c r="BP2754">
        <v>0</v>
      </c>
      <c r="BQ2754">
        <v>0</v>
      </c>
      <c r="BR2754">
        <v>0</v>
      </c>
      <c r="BS2754">
        <v>0</v>
      </c>
      <c r="BT2754">
        <v>0</v>
      </c>
      <c r="BU2754">
        <v>0</v>
      </c>
      <c r="BV2754">
        <v>0</v>
      </c>
    </row>
    <row r="2755" spans="67:74" x14ac:dyDescent="0.25">
      <c r="BO2755">
        <v>0</v>
      </c>
      <c r="BP2755">
        <v>0</v>
      </c>
      <c r="BQ2755">
        <v>0</v>
      </c>
      <c r="BR2755">
        <v>0</v>
      </c>
      <c r="BS2755">
        <v>0</v>
      </c>
      <c r="BT2755">
        <v>0</v>
      </c>
      <c r="BU2755">
        <v>0</v>
      </c>
      <c r="BV2755">
        <v>0</v>
      </c>
    </row>
    <row r="2756" spans="67:74" x14ac:dyDescent="0.25">
      <c r="BO2756">
        <v>0</v>
      </c>
      <c r="BP2756">
        <v>0</v>
      </c>
      <c r="BQ2756">
        <v>0</v>
      </c>
      <c r="BR2756">
        <v>0</v>
      </c>
      <c r="BS2756">
        <v>0</v>
      </c>
      <c r="BT2756">
        <v>0</v>
      </c>
      <c r="BU2756">
        <v>0</v>
      </c>
      <c r="BV2756">
        <v>0</v>
      </c>
    </row>
    <row r="2757" spans="67:74" x14ac:dyDescent="0.25">
      <c r="BO2757">
        <v>0</v>
      </c>
      <c r="BP2757">
        <v>0</v>
      </c>
      <c r="BQ2757">
        <v>0</v>
      </c>
      <c r="BR2757">
        <v>0</v>
      </c>
      <c r="BS2757">
        <v>0</v>
      </c>
      <c r="BT2757">
        <v>0</v>
      </c>
      <c r="BU2757">
        <v>0</v>
      </c>
      <c r="BV2757">
        <v>0</v>
      </c>
    </row>
    <row r="2758" spans="67:74" x14ac:dyDescent="0.25">
      <c r="BO2758">
        <v>0</v>
      </c>
      <c r="BP2758">
        <v>0</v>
      </c>
      <c r="BQ2758">
        <v>0</v>
      </c>
      <c r="BR2758">
        <v>0</v>
      </c>
      <c r="BS2758">
        <v>0</v>
      </c>
      <c r="BT2758">
        <v>0</v>
      </c>
      <c r="BU2758">
        <v>0</v>
      </c>
      <c r="BV2758">
        <v>0</v>
      </c>
    </row>
    <row r="2759" spans="67:74" x14ac:dyDescent="0.25">
      <c r="BO2759">
        <v>0</v>
      </c>
      <c r="BP2759">
        <v>0</v>
      </c>
      <c r="BQ2759">
        <v>0</v>
      </c>
      <c r="BR2759">
        <v>0</v>
      </c>
      <c r="BS2759">
        <v>0</v>
      </c>
      <c r="BT2759">
        <v>0</v>
      </c>
      <c r="BU2759">
        <v>0</v>
      </c>
      <c r="BV2759">
        <v>0</v>
      </c>
    </row>
    <row r="2760" spans="67:74" x14ac:dyDescent="0.25">
      <c r="BO2760">
        <v>0</v>
      </c>
      <c r="BP2760">
        <v>0</v>
      </c>
      <c r="BQ2760">
        <v>0</v>
      </c>
      <c r="BR2760">
        <v>0</v>
      </c>
      <c r="BS2760">
        <v>0</v>
      </c>
      <c r="BT2760">
        <v>0</v>
      </c>
      <c r="BU2760">
        <v>0</v>
      </c>
      <c r="BV2760">
        <v>0</v>
      </c>
    </row>
    <row r="2761" spans="67:74" x14ac:dyDescent="0.25">
      <c r="BO2761">
        <v>0</v>
      </c>
      <c r="BP2761">
        <v>0</v>
      </c>
      <c r="BQ2761">
        <v>0</v>
      </c>
      <c r="BR2761">
        <v>0</v>
      </c>
      <c r="BS2761">
        <v>0</v>
      </c>
      <c r="BT2761">
        <v>0</v>
      </c>
      <c r="BU2761">
        <v>0</v>
      </c>
      <c r="BV2761">
        <v>0</v>
      </c>
    </row>
    <row r="2762" spans="67:74" x14ac:dyDescent="0.25">
      <c r="BO2762">
        <v>0</v>
      </c>
      <c r="BP2762">
        <v>0</v>
      </c>
      <c r="BQ2762">
        <v>0</v>
      </c>
      <c r="BR2762">
        <v>0</v>
      </c>
      <c r="BS2762">
        <v>0</v>
      </c>
      <c r="BT2762">
        <v>0</v>
      </c>
      <c r="BU2762">
        <v>0</v>
      </c>
      <c r="BV2762">
        <v>0</v>
      </c>
    </row>
    <row r="2763" spans="67:74" x14ac:dyDescent="0.25">
      <c r="BO2763">
        <v>0</v>
      </c>
      <c r="BP2763">
        <v>0</v>
      </c>
      <c r="BQ2763">
        <v>0</v>
      </c>
      <c r="BR2763">
        <v>0</v>
      </c>
      <c r="BS2763">
        <v>0</v>
      </c>
      <c r="BT2763">
        <v>0</v>
      </c>
      <c r="BU2763">
        <v>0</v>
      </c>
      <c r="BV2763">
        <v>0</v>
      </c>
    </row>
    <row r="2764" spans="67:74" x14ac:dyDescent="0.25">
      <c r="BO2764">
        <v>0</v>
      </c>
      <c r="BP2764">
        <v>0</v>
      </c>
      <c r="BQ2764">
        <v>0</v>
      </c>
      <c r="BR2764">
        <v>0</v>
      </c>
      <c r="BS2764">
        <v>0</v>
      </c>
      <c r="BT2764">
        <v>0</v>
      </c>
      <c r="BU2764">
        <v>0</v>
      </c>
      <c r="BV2764">
        <v>0</v>
      </c>
    </row>
    <row r="2765" spans="67:74" x14ac:dyDescent="0.25">
      <c r="BO2765">
        <v>0</v>
      </c>
      <c r="BP2765">
        <v>0</v>
      </c>
      <c r="BQ2765">
        <v>0</v>
      </c>
      <c r="BR2765">
        <v>0</v>
      </c>
      <c r="BS2765">
        <v>0</v>
      </c>
      <c r="BT2765">
        <v>0</v>
      </c>
      <c r="BU2765">
        <v>0</v>
      </c>
      <c r="BV2765">
        <v>0</v>
      </c>
    </row>
    <row r="2766" spans="67:74" x14ac:dyDescent="0.25">
      <c r="BO2766">
        <v>0</v>
      </c>
      <c r="BP2766">
        <v>0</v>
      </c>
      <c r="BQ2766">
        <v>0</v>
      </c>
      <c r="BR2766">
        <v>0</v>
      </c>
      <c r="BS2766">
        <v>0</v>
      </c>
      <c r="BT2766">
        <v>0</v>
      </c>
      <c r="BU2766">
        <v>0</v>
      </c>
      <c r="BV2766">
        <v>0</v>
      </c>
    </row>
    <row r="2767" spans="67:74" x14ac:dyDescent="0.25">
      <c r="BO2767">
        <v>0</v>
      </c>
      <c r="BP2767">
        <v>0</v>
      </c>
      <c r="BQ2767">
        <v>0</v>
      </c>
      <c r="BR2767">
        <v>0</v>
      </c>
      <c r="BS2767">
        <v>0</v>
      </c>
      <c r="BT2767">
        <v>0</v>
      </c>
      <c r="BU2767">
        <v>0</v>
      </c>
      <c r="BV2767">
        <v>0</v>
      </c>
    </row>
    <row r="2768" spans="67:74" x14ac:dyDescent="0.25">
      <c r="BO2768">
        <v>0</v>
      </c>
      <c r="BP2768">
        <v>0</v>
      </c>
      <c r="BQ2768">
        <v>0</v>
      </c>
      <c r="BR2768">
        <v>0</v>
      </c>
      <c r="BS2768">
        <v>0</v>
      </c>
      <c r="BT2768">
        <v>0</v>
      </c>
      <c r="BU2768">
        <v>0</v>
      </c>
      <c r="BV2768">
        <v>0</v>
      </c>
    </row>
    <row r="2769" spans="67:74" x14ac:dyDescent="0.25">
      <c r="BO2769">
        <v>0</v>
      </c>
      <c r="BP2769">
        <v>0</v>
      </c>
      <c r="BQ2769">
        <v>0</v>
      </c>
      <c r="BR2769">
        <v>0</v>
      </c>
      <c r="BS2769">
        <v>0</v>
      </c>
      <c r="BT2769">
        <v>0</v>
      </c>
      <c r="BU2769">
        <v>0</v>
      </c>
      <c r="BV2769">
        <v>0</v>
      </c>
    </row>
    <row r="2770" spans="67:74" x14ac:dyDescent="0.25">
      <c r="BO2770">
        <v>0</v>
      </c>
      <c r="BP2770">
        <v>0</v>
      </c>
      <c r="BQ2770">
        <v>0</v>
      </c>
      <c r="BR2770">
        <v>0</v>
      </c>
      <c r="BS2770">
        <v>0</v>
      </c>
      <c r="BT2770">
        <v>0</v>
      </c>
      <c r="BU2770">
        <v>0</v>
      </c>
      <c r="BV2770">
        <v>0</v>
      </c>
    </row>
    <row r="2771" spans="67:74" x14ac:dyDescent="0.25">
      <c r="BO2771">
        <v>0</v>
      </c>
      <c r="BP2771">
        <v>0</v>
      </c>
      <c r="BQ2771">
        <v>0</v>
      </c>
      <c r="BR2771">
        <v>0</v>
      </c>
      <c r="BS2771">
        <v>0</v>
      </c>
      <c r="BT2771">
        <v>0</v>
      </c>
      <c r="BU2771">
        <v>0</v>
      </c>
      <c r="BV2771">
        <v>0</v>
      </c>
    </row>
    <row r="2772" spans="67:74" x14ac:dyDescent="0.25">
      <c r="BO2772">
        <v>0</v>
      </c>
      <c r="BP2772">
        <v>0</v>
      </c>
      <c r="BQ2772">
        <v>0</v>
      </c>
      <c r="BR2772">
        <v>0</v>
      </c>
      <c r="BS2772">
        <v>0</v>
      </c>
      <c r="BT2772">
        <v>0</v>
      </c>
      <c r="BU2772">
        <v>0</v>
      </c>
      <c r="BV2772">
        <v>0</v>
      </c>
    </row>
    <row r="2773" spans="67:74" x14ac:dyDescent="0.25">
      <c r="BO2773">
        <v>0</v>
      </c>
      <c r="BP2773">
        <v>0</v>
      </c>
      <c r="BQ2773">
        <v>0</v>
      </c>
      <c r="BR2773">
        <v>0</v>
      </c>
      <c r="BS2773">
        <v>0</v>
      </c>
      <c r="BT2773">
        <v>0</v>
      </c>
      <c r="BU2773">
        <v>0</v>
      </c>
      <c r="BV2773">
        <v>0</v>
      </c>
    </row>
    <row r="2774" spans="67:74" x14ac:dyDescent="0.25">
      <c r="BO2774">
        <v>0</v>
      </c>
      <c r="BP2774">
        <v>0</v>
      </c>
      <c r="BQ2774">
        <v>0</v>
      </c>
      <c r="BR2774">
        <v>0</v>
      </c>
      <c r="BS2774">
        <v>0</v>
      </c>
      <c r="BT2774">
        <v>0</v>
      </c>
      <c r="BU2774">
        <v>0</v>
      </c>
      <c r="BV2774">
        <v>0</v>
      </c>
    </row>
    <row r="2775" spans="67:74" x14ac:dyDescent="0.25">
      <c r="BO2775">
        <v>0</v>
      </c>
      <c r="BP2775">
        <v>0</v>
      </c>
      <c r="BQ2775">
        <v>0</v>
      </c>
      <c r="BR2775">
        <v>0</v>
      </c>
      <c r="BS2775">
        <v>0</v>
      </c>
      <c r="BT2775">
        <v>0</v>
      </c>
      <c r="BU2775">
        <v>0</v>
      </c>
      <c r="BV2775">
        <v>0</v>
      </c>
    </row>
    <row r="2776" spans="67:74" x14ac:dyDescent="0.25">
      <c r="BO2776">
        <v>0</v>
      </c>
      <c r="BP2776">
        <v>0</v>
      </c>
      <c r="BQ2776">
        <v>0</v>
      </c>
      <c r="BR2776">
        <v>0</v>
      </c>
      <c r="BS2776">
        <v>0</v>
      </c>
      <c r="BT2776">
        <v>0</v>
      </c>
      <c r="BU2776">
        <v>0</v>
      </c>
      <c r="BV2776">
        <v>0</v>
      </c>
    </row>
    <row r="2777" spans="67:74" x14ac:dyDescent="0.25">
      <c r="BO2777">
        <v>0</v>
      </c>
      <c r="BP2777">
        <v>0</v>
      </c>
      <c r="BQ2777">
        <v>0</v>
      </c>
      <c r="BR2777">
        <v>0</v>
      </c>
      <c r="BS2777">
        <v>0</v>
      </c>
      <c r="BT2777">
        <v>0</v>
      </c>
      <c r="BU2777">
        <v>0</v>
      </c>
      <c r="BV2777">
        <v>0</v>
      </c>
    </row>
    <row r="2778" spans="67:74" x14ac:dyDescent="0.25">
      <c r="BO2778">
        <v>0</v>
      </c>
      <c r="BP2778">
        <v>0</v>
      </c>
      <c r="BQ2778">
        <v>0</v>
      </c>
      <c r="BR2778">
        <v>0</v>
      </c>
      <c r="BS2778">
        <v>0</v>
      </c>
      <c r="BT2778">
        <v>0</v>
      </c>
      <c r="BU2778">
        <v>0</v>
      </c>
      <c r="BV2778">
        <v>0</v>
      </c>
    </row>
    <row r="2779" spans="67:74" x14ac:dyDescent="0.25">
      <c r="BO2779">
        <v>0</v>
      </c>
      <c r="BP2779">
        <v>0</v>
      </c>
      <c r="BQ2779">
        <v>0</v>
      </c>
      <c r="BR2779">
        <v>0</v>
      </c>
      <c r="BS2779">
        <v>0</v>
      </c>
      <c r="BT2779">
        <v>0</v>
      </c>
      <c r="BU2779">
        <v>0</v>
      </c>
      <c r="BV2779">
        <v>0</v>
      </c>
    </row>
    <row r="2780" spans="67:74" x14ac:dyDescent="0.25">
      <c r="BO2780">
        <v>0</v>
      </c>
      <c r="BP2780">
        <v>0</v>
      </c>
      <c r="BQ2780">
        <v>0</v>
      </c>
      <c r="BR2780">
        <v>0</v>
      </c>
      <c r="BS2780">
        <v>0</v>
      </c>
      <c r="BT2780">
        <v>0</v>
      </c>
      <c r="BU2780">
        <v>0</v>
      </c>
      <c r="BV2780">
        <v>0</v>
      </c>
    </row>
    <row r="2781" spans="67:74" x14ac:dyDescent="0.25">
      <c r="BO2781">
        <v>0</v>
      </c>
      <c r="BP2781">
        <v>0</v>
      </c>
      <c r="BQ2781">
        <v>0</v>
      </c>
      <c r="BR2781">
        <v>0</v>
      </c>
      <c r="BS2781">
        <v>0</v>
      </c>
      <c r="BT2781">
        <v>0</v>
      </c>
      <c r="BU2781">
        <v>0</v>
      </c>
      <c r="BV2781">
        <v>0</v>
      </c>
    </row>
    <row r="2782" spans="67:74" x14ac:dyDescent="0.25">
      <c r="BO2782">
        <v>0</v>
      </c>
      <c r="BP2782">
        <v>0</v>
      </c>
      <c r="BQ2782">
        <v>0</v>
      </c>
      <c r="BR2782">
        <v>0</v>
      </c>
      <c r="BS2782">
        <v>0</v>
      </c>
      <c r="BT2782">
        <v>0</v>
      </c>
      <c r="BU2782">
        <v>0</v>
      </c>
      <c r="BV2782">
        <v>0</v>
      </c>
    </row>
    <row r="2783" spans="67:74" x14ac:dyDescent="0.25">
      <c r="BO2783">
        <v>0</v>
      </c>
      <c r="BP2783">
        <v>0</v>
      </c>
      <c r="BQ2783">
        <v>0</v>
      </c>
      <c r="BR2783">
        <v>0</v>
      </c>
      <c r="BS2783">
        <v>0</v>
      </c>
      <c r="BT2783">
        <v>0</v>
      </c>
      <c r="BU2783">
        <v>0</v>
      </c>
      <c r="BV2783">
        <v>0</v>
      </c>
    </row>
    <row r="2784" spans="67:74" x14ac:dyDescent="0.25">
      <c r="BO2784">
        <v>0</v>
      </c>
      <c r="BP2784">
        <v>0</v>
      </c>
      <c r="BQ2784">
        <v>0</v>
      </c>
      <c r="BR2784">
        <v>0</v>
      </c>
      <c r="BS2784">
        <v>0</v>
      </c>
      <c r="BT2784">
        <v>0</v>
      </c>
      <c r="BU2784">
        <v>0</v>
      </c>
      <c r="BV2784">
        <v>0</v>
      </c>
    </row>
    <row r="2785" spans="67:74" x14ac:dyDescent="0.25">
      <c r="BO2785">
        <v>0</v>
      </c>
      <c r="BP2785">
        <v>0</v>
      </c>
      <c r="BQ2785">
        <v>0</v>
      </c>
      <c r="BR2785">
        <v>0</v>
      </c>
      <c r="BS2785">
        <v>0</v>
      </c>
      <c r="BT2785">
        <v>0</v>
      </c>
      <c r="BU2785">
        <v>0</v>
      </c>
      <c r="BV2785">
        <v>0</v>
      </c>
    </row>
    <row r="2786" spans="67:74" x14ac:dyDescent="0.25">
      <c r="BO2786">
        <v>0</v>
      </c>
      <c r="BP2786">
        <v>0</v>
      </c>
      <c r="BQ2786">
        <v>0</v>
      </c>
      <c r="BR2786">
        <v>0</v>
      </c>
      <c r="BS2786">
        <v>0</v>
      </c>
      <c r="BT2786">
        <v>0</v>
      </c>
      <c r="BU2786">
        <v>0</v>
      </c>
      <c r="BV2786">
        <v>0</v>
      </c>
    </row>
    <row r="2787" spans="67:74" x14ac:dyDescent="0.25">
      <c r="BO2787">
        <v>0</v>
      </c>
      <c r="BP2787">
        <v>0</v>
      </c>
      <c r="BQ2787">
        <v>0</v>
      </c>
      <c r="BR2787">
        <v>0</v>
      </c>
      <c r="BS2787">
        <v>0</v>
      </c>
      <c r="BT2787">
        <v>0</v>
      </c>
      <c r="BU2787">
        <v>0</v>
      </c>
      <c r="BV2787">
        <v>0</v>
      </c>
    </row>
    <row r="2788" spans="67:74" x14ac:dyDescent="0.25">
      <c r="BO2788">
        <v>0</v>
      </c>
      <c r="BP2788">
        <v>0</v>
      </c>
      <c r="BQ2788">
        <v>0</v>
      </c>
      <c r="BR2788">
        <v>0</v>
      </c>
      <c r="BS2788">
        <v>0</v>
      </c>
      <c r="BT2788">
        <v>0</v>
      </c>
      <c r="BU2788">
        <v>0</v>
      </c>
      <c r="BV2788">
        <v>0</v>
      </c>
    </row>
    <row r="2789" spans="67:74" x14ac:dyDescent="0.25">
      <c r="BO2789">
        <v>0</v>
      </c>
      <c r="BP2789">
        <v>0</v>
      </c>
      <c r="BQ2789">
        <v>0</v>
      </c>
      <c r="BR2789">
        <v>0</v>
      </c>
      <c r="BS2789">
        <v>0</v>
      </c>
      <c r="BT2789">
        <v>0</v>
      </c>
      <c r="BU2789">
        <v>0</v>
      </c>
      <c r="BV2789">
        <v>0</v>
      </c>
    </row>
    <row r="2790" spans="67:74" x14ac:dyDescent="0.25">
      <c r="BO2790">
        <v>0</v>
      </c>
      <c r="BP2790">
        <v>0</v>
      </c>
      <c r="BQ2790">
        <v>0</v>
      </c>
      <c r="BR2790">
        <v>0</v>
      </c>
      <c r="BS2790">
        <v>0</v>
      </c>
      <c r="BT2790">
        <v>0</v>
      </c>
      <c r="BU2790">
        <v>0</v>
      </c>
      <c r="BV2790">
        <v>0</v>
      </c>
    </row>
    <row r="2791" spans="67:74" x14ac:dyDescent="0.25">
      <c r="BO2791">
        <v>0</v>
      </c>
      <c r="BP2791">
        <v>0</v>
      </c>
      <c r="BQ2791">
        <v>0</v>
      </c>
      <c r="BR2791">
        <v>0</v>
      </c>
      <c r="BS2791">
        <v>0</v>
      </c>
      <c r="BT2791">
        <v>0</v>
      </c>
      <c r="BU2791">
        <v>0</v>
      </c>
      <c r="BV2791">
        <v>0</v>
      </c>
    </row>
    <row r="2792" spans="67:74" x14ac:dyDescent="0.25">
      <c r="BO2792">
        <v>0</v>
      </c>
      <c r="BP2792">
        <v>0</v>
      </c>
      <c r="BQ2792">
        <v>0</v>
      </c>
      <c r="BR2792">
        <v>0</v>
      </c>
      <c r="BS2792">
        <v>0</v>
      </c>
      <c r="BT2792">
        <v>0</v>
      </c>
      <c r="BU2792">
        <v>0</v>
      </c>
      <c r="BV2792">
        <v>0</v>
      </c>
    </row>
    <row r="2793" spans="67:74" x14ac:dyDescent="0.25">
      <c r="BO2793">
        <v>0</v>
      </c>
      <c r="BP2793">
        <v>0</v>
      </c>
      <c r="BQ2793">
        <v>0</v>
      </c>
      <c r="BR2793">
        <v>0</v>
      </c>
      <c r="BS2793">
        <v>0</v>
      </c>
      <c r="BT2793">
        <v>0</v>
      </c>
      <c r="BU2793">
        <v>0</v>
      </c>
      <c r="BV2793">
        <v>0</v>
      </c>
    </row>
    <row r="2794" spans="67:74" x14ac:dyDescent="0.25">
      <c r="BO2794">
        <v>0</v>
      </c>
      <c r="BP2794">
        <v>0</v>
      </c>
      <c r="BQ2794">
        <v>0</v>
      </c>
      <c r="BR2794">
        <v>0</v>
      </c>
      <c r="BS2794">
        <v>0</v>
      </c>
      <c r="BT2794">
        <v>0</v>
      </c>
      <c r="BU2794">
        <v>0</v>
      </c>
      <c r="BV2794">
        <v>0</v>
      </c>
    </row>
    <row r="2795" spans="67:74" x14ac:dyDescent="0.25">
      <c r="BO2795">
        <v>0</v>
      </c>
      <c r="BP2795">
        <v>0</v>
      </c>
      <c r="BQ2795">
        <v>0</v>
      </c>
      <c r="BR2795">
        <v>0</v>
      </c>
      <c r="BS2795">
        <v>0</v>
      </c>
      <c r="BT2795">
        <v>0</v>
      </c>
      <c r="BU2795">
        <v>0</v>
      </c>
      <c r="BV2795">
        <v>0</v>
      </c>
    </row>
    <row r="2796" spans="67:74" x14ac:dyDescent="0.25">
      <c r="BO2796">
        <v>0</v>
      </c>
      <c r="BP2796">
        <v>0</v>
      </c>
      <c r="BQ2796">
        <v>0</v>
      </c>
      <c r="BR2796">
        <v>0</v>
      </c>
      <c r="BS2796">
        <v>0</v>
      </c>
      <c r="BT2796">
        <v>0</v>
      </c>
      <c r="BU2796">
        <v>0</v>
      </c>
      <c r="BV2796">
        <v>0</v>
      </c>
    </row>
    <row r="2797" spans="67:74" x14ac:dyDescent="0.25">
      <c r="BO2797">
        <v>0</v>
      </c>
      <c r="BP2797">
        <v>0</v>
      </c>
      <c r="BQ2797">
        <v>0</v>
      </c>
      <c r="BR2797">
        <v>0</v>
      </c>
      <c r="BS2797">
        <v>0</v>
      </c>
      <c r="BT2797">
        <v>0</v>
      </c>
      <c r="BU2797">
        <v>0</v>
      </c>
      <c r="BV2797">
        <v>0</v>
      </c>
    </row>
    <row r="2798" spans="67:74" x14ac:dyDescent="0.25">
      <c r="BO2798">
        <v>0</v>
      </c>
      <c r="BP2798">
        <v>0</v>
      </c>
      <c r="BQ2798">
        <v>0</v>
      </c>
      <c r="BR2798">
        <v>0</v>
      </c>
      <c r="BS2798">
        <v>0</v>
      </c>
      <c r="BT2798">
        <v>0</v>
      </c>
      <c r="BU2798">
        <v>0</v>
      </c>
      <c r="BV2798">
        <v>0</v>
      </c>
    </row>
    <row r="2799" spans="67:74" x14ac:dyDescent="0.25">
      <c r="BO2799">
        <v>0</v>
      </c>
      <c r="BP2799">
        <v>0</v>
      </c>
      <c r="BQ2799">
        <v>0</v>
      </c>
      <c r="BR2799">
        <v>0</v>
      </c>
      <c r="BS2799">
        <v>0</v>
      </c>
      <c r="BT2799">
        <v>0</v>
      </c>
      <c r="BU2799">
        <v>0</v>
      </c>
      <c r="BV2799">
        <v>0</v>
      </c>
    </row>
    <row r="2800" spans="67:74" x14ac:dyDescent="0.25">
      <c r="BO2800">
        <v>0</v>
      </c>
      <c r="BP2800">
        <v>0</v>
      </c>
      <c r="BQ2800">
        <v>0</v>
      </c>
      <c r="BR2800">
        <v>0</v>
      </c>
      <c r="BS2800">
        <v>0</v>
      </c>
      <c r="BT2800">
        <v>0</v>
      </c>
      <c r="BU2800">
        <v>0</v>
      </c>
      <c r="BV2800">
        <v>0</v>
      </c>
    </row>
    <row r="2801" spans="67:74" x14ac:dyDescent="0.25">
      <c r="BO2801">
        <v>0</v>
      </c>
      <c r="BP2801">
        <v>0</v>
      </c>
      <c r="BQ2801">
        <v>0</v>
      </c>
      <c r="BR2801">
        <v>0</v>
      </c>
      <c r="BS2801">
        <v>0</v>
      </c>
      <c r="BT2801">
        <v>0</v>
      </c>
      <c r="BU2801">
        <v>0</v>
      </c>
      <c r="BV2801">
        <v>0</v>
      </c>
    </row>
    <row r="2802" spans="67:74" x14ac:dyDescent="0.25">
      <c r="BO2802">
        <v>0</v>
      </c>
      <c r="BP2802">
        <v>0</v>
      </c>
      <c r="BQ2802">
        <v>0</v>
      </c>
      <c r="BR2802">
        <v>0</v>
      </c>
      <c r="BS2802">
        <v>0</v>
      </c>
      <c r="BT2802">
        <v>0</v>
      </c>
      <c r="BU2802">
        <v>0</v>
      </c>
      <c r="BV2802">
        <v>0</v>
      </c>
    </row>
    <row r="2803" spans="67:74" x14ac:dyDescent="0.25">
      <c r="BO2803">
        <v>0</v>
      </c>
      <c r="BP2803">
        <v>0</v>
      </c>
      <c r="BQ2803">
        <v>0</v>
      </c>
      <c r="BR2803">
        <v>0</v>
      </c>
      <c r="BS2803">
        <v>0</v>
      </c>
      <c r="BT2803">
        <v>0</v>
      </c>
      <c r="BU2803">
        <v>0</v>
      </c>
      <c r="BV2803">
        <v>0</v>
      </c>
    </row>
    <row r="2804" spans="67:74" x14ac:dyDescent="0.25">
      <c r="BO2804">
        <v>0</v>
      </c>
      <c r="BP2804">
        <v>0</v>
      </c>
      <c r="BQ2804">
        <v>0</v>
      </c>
      <c r="BR2804">
        <v>0</v>
      </c>
      <c r="BS2804">
        <v>0</v>
      </c>
      <c r="BT2804">
        <v>0</v>
      </c>
      <c r="BU2804">
        <v>0</v>
      </c>
      <c r="BV2804">
        <v>0</v>
      </c>
    </row>
    <row r="2805" spans="67:74" x14ac:dyDescent="0.25">
      <c r="BO2805">
        <v>0</v>
      </c>
      <c r="BP2805">
        <v>0</v>
      </c>
      <c r="BQ2805">
        <v>0</v>
      </c>
      <c r="BR2805">
        <v>0</v>
      </c>
      <c r="BS2805">
        <v>0</v>
      </c>
      <c r="BT2805">
        <v>0</v>
      </c>
      <c r="BU2805">
        <v>0</v>
      </c>
      <c r="BV2805">
        <v>0</v>
      </c>
    </row>
    <row r="2806" spans="67:74" x14ac:dyDescent="0.25">
      <c r="BO2806">
        <v>0</v>
      </c>
      <c r="BP2806">
        <v>0</v>
      </c>
      <c r="BQ2806">
        <v>0</v>
      </c>
      <c r="BR2806">
        <v>0</v>
      </c>
      <c r="BS2806">
        <v>0</v>
      </c>
      <c r="BT2806">
        <v>0</v>
      </c>
      <c r="BU2806">
        <v>0</v>
      </c>
      <c r="BV2806">
        <v>0</v>
      </c>
    </row>
    <row r="2807" spans="67:74" x14ac:dyDescent="0.25">
      <c r="BO2807">
        <v>0</v>
      </c>
      <c r="BP2807">
        <v>0</v>
      </c>
      <c r="BQ2807">
        <v>0</v>
      </c>
      <c r="BR2807">
        <v>0</v>
      </c>
      <c r="BS2807">
        <v>0</v>
      </c>
      <c r="BT2807">
        <v>0</v>
      </c>
      <c r="BU2807">
        <v>0</v>
      </c>
      <c r="BV2807">
        <v>0</v>
      </c>
    </row>
    <row r="2808" spans="67:74" x14ac:dyDescent="0.25">
      <c r="BO2808">
        <v>0</v>
      </c>
      <c r="BP2808">
        <v>0</v>
      </c>
      <c r="BQ2808">
        <v>0</v>
      </c>
      <c r="BR2808">
        <v>0</v>
      </c>
      <c r="BS2808">
        <v>0</v>
      </c>
      <c r="BT2808">
        <v>0</v>
      </c>
      <c r="BU2808">
        <v>0</v>
      </c>
      <c r="BV2808">
        <v>0</v>
      </c>
    </row>
    <row r="2809" spans="67:74" x14ac:dyDescent="0.25">
      <c r="BO2809">
        <v>0</v>
      </c>
      <c r="BP2809">
        <v>0</v>
      </c>
      <c r="BQ2809">
        <v>0</v>
      </c>
      <c r="BR2809">
        <v>0</v>
      </c>
      <c r="BS2809">
        <v>0</v>
      </c>
      <c r="BT2809">
        <v>0</v>
      </c>
      <c r="BU2809">
        <v>0</v>
      </c>
      <c r="BV2809">
        <v>0</v>
      </c>
    </row>
    <row r="2810" spans="67:74" x14ac:dyDescent="0.25">
      <c r="BO2810">
        <v>0</v>
      </c>
      <c r="BP2810">
        <v>0</v>
      </c>
      <c r="BQ2810">
        <v>0</v>
      </c>
      <c r="BR2810">
        <v>0</v>
      </c>
      <c r="BS2810">
        <v>0</v>
      </c>
      <c r="BT2810">
        <v>0</v>
      </c>
      <c r="BU2810">
        <v>0</v>
      </c>
      <c r="BV2810">
        <v>0</v>
      </c>
    </row>
    <row r="2811" spans="67:74" x14ac:dyDescent="0.25">
      <c r="BO2811">
        <v>0</v>
      </c>
      <c r="BP2811">
        <v>0</v>
      </c>
      <c r="BQ2811">
        <v>0</v>
      </c>
      <c r="BR2811">
        <v>0</v>
      </c>
      <c r="BS2811">
        <v>0</v>
      </c>
      <c r="BT2811">
        <v>0</v>
      </c>
      <c r="BU2811">
        <v>0</v>
      </c>
      <c r="BV2811">
        <v>0</v>
      </c>
    </row>
    <row r="2812" spans="67:74" x14ac:dyDescent="0.25">
      <c r="BO2812">
        <v>0</v>
      </c>
      <c r="BP2812">
        <v>0</v>
      </c>
      <c r="BQ2812">
        <v>0</v>
      </c>
      <c r="BR2812">
        <v>0</v>
      </c>
      <c r="BS2812">
        <v>0</v>
      </c>
      <c r="BT2812">
        <v>0</v>
      </c>
      <c r="BU2812">
        <v>0</v>
      </c>
      <c r="BV2812">
        <v>0</v>
      </c>
    </row>
    <row r="2813" spans="67:74" x14ac:dyDescent="0.25">
      <c r="BO2813">
        <v>0</v>
      </c>
      <c r="BP2813">
        <v>0</v>
      </c>
      <c r="BQ2813">
        <v>0</v>
      </c>
      <c r="BR2813">
        <v>0</v>
      </c>
      <c r="BS2813">
        <v>0</v>
      </c>
      <c r="BT2813">
        <v>0</v>
      </c>
      <c r="BU2813">
        <v>0</v>
      </c>
      <c r="BV2813">
        <v>0</v>
      </c>
    </row>
    <row r="2814" spans="67:74" x14ac:dyDescent="0.25">
      <c r="BO2814">
        <v>0</v>
      </c>
      <c r="BP2814">
        <v>0</v>
      </c>
      <c r="BQ2814">
        <v>0</v>
      </c>
      <c r="BR2814">
        <v>0</v>
      </c>
      <c r="BS2814">
        <v>0</v>
      </c>
      <c r="BT2814">
        <v>0</v>
      </c>
      <c r="BU2814">
        <v>0</v>
      </c>
      <c r="BV2814">
        <v>0</v>
      </c>
    </row>
    <row r="2815" spans="67:74" x14ac:dyDescent="0.25">
      <c r="BO2815">
        <v>0</v>
      </c>
      <c r="BP2815">
        <v>0</v>
      </c>
      <c r="BQ2815">
        <v>0</v>
      </c>
      <c r="BR2815">
        <v>0</v>
      </c>
      <c r="BS2815">
        <v>0</v>
      </c>
      <c r="BT2815">
        <v>0</v>
      </c>
      <c r="BU2815">
        <v>0</v>
      </c>
      <c r="BV2815">
        <v>0</v>
      </c>
    </row>
    <row r="2816" spans="67:74" x14ac:dyDescent="0.25">
      <c r="BO2816">
        <v>0</v>
      </c>
      <c r="BP2816">
        <v>0</v>
      </c>
      <c r="BQ2816">
        <v>0</v>
      </c>
      <c r="BR2816">
        <v>0</v>
      </c>
      <c r="BS2816">
        <v>0</v>
      </c>
      <c r="BT2816">
        <v>0</v>
      </c>
      <c r="BU2816">
        <v>0</v>
      </c>
      <c r="BV2816">
        <v>0</v>
      </c>
    </row>
    <row r="2817" spans="37:74" x14ac:dyDescent="0.25">
      <c r="BO2817">
        <v>0</v>
      </c>
      <c r="BP2817">
        <v>0</v>
      </c>
      <c r="BQ2817">
        <v>0</v>
      </c>
      <c r="BR2817">
        <v>0</v>
      </c>
      <c r="BS2817">
        <v>0</v>
      </c>
      <c r="BT2817">
        <v>0</v>
      </c>
      <c r="BU2817">
        <v>0</v>
      </c>
      <c r="BV2817">
        <v>0</v>
      </c>
    </row>
    <row r="2818" spans="37:74" x14ac:dyDescent="0.25">
      <c r="BO2818">
        <v>0</v>
      </c>
      <c r="BP2818">
        <v>0</v>
      </c>
      <c r="BQ2818">
        <v>0</v>
      </c>
      <c r="BR2818">
        <v>0</v>
      </c>
      <c r="BS2818">
        <v>0</v>
      </c>
      <c r="BT2818">
        <v>0</v>
      </c>
      <c r="BU2818">
        <v>0</v>
      </c>
      <c r="BV2818">
        <v>0</v>
      </c>
    </row>
    <row r="2819" spans="37:74" x14ac:dyDescent="0.25">
      <c r="BO2819">
        <v>0</v>
      </c>
      <c r="BP2819">
        <v>0</v>
      </c>
      <c r="BQ2819">
        <v>0</v>
      </c>
      <c r="BR2819">
        <v>0</v>
      </c>
      <c r="BS2819">
        <v>0</v>
      </c>
      <c r="BT2819">
        <v>0</v>
      </c>
      <c r="BU2819">
        <v>0</v>
      </c>
      <c r="BV2819">
        <v>0</v>
      </c>
    </row>
    <row r="2820" spans="37:74" x14ac:dyDescent="0.25">
      <c r="BO2820">
        <v>0</v>
      </c>
      <c r="BP2820">
        <v>0</v>
      </c>
      <c r="BQ2820">
        <v>0</v>
      </c>
      <c r="BR2820">
        <v>0</v>
      </c>
      <c r="BS2820">
        <v>0</v>
      </c>
      <c r="BT2820">
        <v>0</v>
      </c>
      <c r="BU2820">
        <v>0</v>
      </c>
      <c r="BV2820">
        <v>0</v>
      </c>
    </row>
    <row r="2821" spans="37:74" x14ac:dyDescent="0.25">
      <c r="BO2821">
        <v>0</v>
      </c>
      <c r="BP2821">
        <v>0</v>
      </c>
      <c r="BQ2821">
        <v>0</v>
      </c>
      <c r="BR2821">
        <v>0</v>
      </c>
      <c r="BS2821">
        <v>0</v>
      </c>
      <c r="BT2821">
        <v>0</v>
      </c>
      <c r="BU2821">
        <v>0</v>
      </c>
      <c r="BV2821">
        <v>0</v>
      </c>
    </row>
    <row r="2822" spans="37:74" x14ac:dyDescent="0.25">
      <c r="BO2822">
        <v>0</v>
      </c>
      <c r="BP2822">
        <v>0</v>
      </c>
      <c r="BQ2822">
        <v>0</v>
      </c>
      <c r="BR2822">
        <v>0</v>
      </c>
      <c r="BS2822">
        <v>0</v>
      </c>
      <c r="BT2822">
        <v>0</v>
      </c>
      <c r="BU2822">
        <v>0</v>
      </c>
      <c r="BV2822">
        <v>0</v>
      </c>
    </row>
    <row r="2823" spans="37:74" x14ac:dyDescent="0.25">
      <c r="BO2823">
        <v>0</v>
      </c>
      <c r="BP2823">
        <v>0</v>
      </c>
      <c r="BQ2823">
        <v>0</v>
      </c>
      <c r="BR2823">
        <v>0</v>
      </c>
      <c r="BS2823">
        <v>0</v>
      </c>
      <c r="BT2823">
        <v>0</v>
      </c>
      <c r="BU2823">
        <v>0</v>
      </c>
      <c r="BV2823">
        <v>0</v>
      </c>
    </row>
    <row r="2824" spans="37:74" x14ac:dyDescent="0.25">
      <c r="BO2824">
        <v>0</v>
      </c>
      <c r="BP2824">
        <v>0</v>
      </c>
      <c r="BQ2824">
        <v>0</v>
      </c>
      <c r="BR2824">
        <v>0</v>
      </c>
      <c r="BS2824">
        <v>0</v>
      </c>
      <c r="BT2824">
        <v>0</v>
      </c>
      <c r="BU2824">
        <v>0</v>
      </c>
      <c r="BV2824">
        <v>0</v>
      </c>
    </row>
    <row r="2825" spans="37:74" x14ac:dyDescent="0.25">
      <c r="BO2825">
        <v>0</v>
      </c>
      <c r="BP2825">
        <v>0</v>
      </c>
      <c r="BQ2825">
        <v>0</v>
      </c>
      <c r="BR2825">
        <v>0</v>
      </c>
      <c r="BS2825">
        <v>0</v>
      </c>
      <c r="BT2825">
        <v>0</v>
      </c>
      <c r="BU2825">
        <v>0</v>
      </c>
      <c r="BV2825">
        <v>0</v>
      </c>
    </row>
    <row r="2826" spans="37:74" x14ac:dyDescent="0.25">
      <c r="BO2826">
        <v>0</v>
      </c>
      <c r="BP2826">
        <v>0</v>
      </c>
      <c r="BQ2826">
        <v>0</v>
      </c>
      <c r="BR2826">
        <v>0</v>
      </c>
      <c r="BS2826">
        <v>0</v>
      </c>
      <c r="BT2826">
        <v>0</v>
      </c>
      <c r="BU2826">
        <v>0</v>
      </c>
      <c r="BV2826">
        <v>0</v>
      </c>
    </row>
    <row r="2827" spans="37:74" x14ac:dyDescent="0.25">
      <c r="BO2827">
        <v>0</v>
      </c>
      <c r="BP2827">
        <v>0</v>
      </c>
      <c r="BQ2827">
        <v>0</v>
      </c>
      <c r="BR2827">
        <v>0</v>
      </c>
      <c r="BS2827">
        <v>0</v>
      </c>
      <c r="BT2827">
        <v>0</v>
      </c>
      <c r="BU2827">
        <v>0</v>
      </c>
      <c r="BV2827">
        <v>0</v>
      </c>
    </row>
    <row r="2828" spans="37:74" x14ac:dyDescent="0.25">
      <c r="BO2828">
        <v>0</v>
      </c>
      <c r="BP2828">
        <v>0</v>
      </c>
      <c r="BQ2828">
        <v>0</v>
      </c>
      <c r="BR2828">
        <v>0</v>
      </c>
      <c r="BS2828">
        <v>0</v>
      </c>
      <c r="BT2828">
        <v>0</v>
      </c>
      <c r="BU2828">
        <v>0</v>
      </c>
      <c r="BV2828">
        <v>0</v>
      </c>
    </row>
    <row r="2829" spans="37:74" x14ac:dyDescent="0.25">
      <c r="BO2829">
        <v>0</v>
      </c>
      <c r="BP2829">
        <v>0</v>
      </c>
      <c r="BQ2829">
        <v>0</v>
      </c>
      <c r="BR2829">
        <v>0</v>
      </c>
      <c r="BS2829">
        <v>0</v>
      </c>
      <c r="BT2829">
        <v>0</v>
      </c>
      <c r="BU2829">
        <v>0</v>
      </c>
      <c r="BV2829">
        <v>0</v>
      </c>
    </row>
    <row r="2830" spans="37:74" x14ac:dyDescent="0.25">
      <c r="BO2830">
        <v>0</v>
      </c>
      <c r="BP2830">
        <v>0</v>
      </c>
      <c r="BQ2830">
        <v>0</v>
      </c>
      <c r="BR2830">
        <v>0</v>
      </c>
      <c r="BS2830">
        <v>0</v>
      </c>
      <c r="BT2830">
        <v>0</v>
      </c>
      <c r="BU2830">
        <v>0</v>
      </c>
      <c r="BV2830">
        <v>0</v>
      </c>
    </row>
    <row r="2831" spans="37:74" x14ac:dyDescent="0.25">
      <c r="AK2831" s="7"/>
      <c r="BO2831">
        <v>0</v>
      </c>
      <c r="BP2831">
        <v>0</v>
      </c>
      <c r="BQ2831">
        <v>0</v>
      </c>
      <c r="BR2831">
        <v>0</v>
      </c>
      <c r="BS2831">
        <v>0</v>
      </c>
      <c r="BT2831">
        <v>0</v>
      </c>
      <c r="BU2831">
        <v>0</v>
      </c>
      <c r="BV2831">
        <v>0</v>
      </c>
    </row>
    <row r="2832" spans="37:74" x14ac:dyDescent="0.25">
      <c r="BO2832">
        <v>0</v>
      </c>
      <c r="BP2832">
        <v>0</v>
      </c>
      <c r="BQ2832">
        <v>0</v>
      </c>
      <c r="BR2832">
        <v>0</v>
      </c>
      <c r="BS2832">
        <v>0</v>
      </c>
      <c r="BT2832">
        <v>0</v>
      </c>
      <c r="BU2832">
        <v>0</v>
      </c>
      <c r="BV2832">
        <v>0</v>
      </c>
    </row>
    <row r="2833" spans="57:74" x14ac:dyDescent="0.25">
      <c r="BO2833">
        <v>0</v>
      </c>
      <c r="BP2833">
        <v>0</v>
      </c>
      <c r="BQ2833">
        <v>0</v>
      </c>
      <c r="BR2833">
        <v>0</v>
      </c>
      <c r="BS2833">
        <v>0</v>
      </c>
      <c r="BT2833">
        <v>0</v>
      </c>
      <c r="BU2833">
        <v>0</v>
      </c>
      <c r="BV2833">
        <v>0</v>
      </c>
    </row>
    <row r="2834" spans="57:74" x14ac:dyDescent="0.25">
      <c r="BO2834">
        <v>0</v>
      </c>
      <c r="BP2834">
        <v>0</v>
      </c>
      <c r="BQ2834">
        <v>0</v>
      </c>
      <c r="BR2834">
        <v>0</v>
      </c>
      <c r="BS2834">
        <v>0</v>
      </c>
      <c r="BT2834">
        <v>0</v>
      </c>
      <c r="BU2834">
        <v>0</v>
      </c>
      <c r="BV2834">
        <v>0</v>
      </c>
    </row>
    <row r="2835" spans="57:74" x14ac:dyDescent="0.25">
      <c r="BO2835">
        <v>0</v>
      </c>
      <c r="BP2835">
        <v>0</v>
      </c>
      <c r="BQ2835">
        <v>0</v>
      </c>
      <c r="BR2835">
        <v>0</v>
      </c>
      <c r="BS2835">
        <v>0</v>
      </c>
      <c r="BT2835">
        <v>0</v>
      </c>
      <c r="BU2835">
        <v>0</v>
      </c>
      <c r="BV2835">
        <v>0</v>
      </c>
    </row>
    <row r="2836" spans="57:74" x14ac:dyDescent="0.25">
      <c r="BO2836">
        <v>0</v>
      </c>
      <c r="BP2836">
        <v>0</v>
      </c>
      <c r="BQ2836">
        <v>0</v>
      </c>
      <c r="BR2836">
        <v>0</v>
      </c>
      <c r="BS2836">
        <v>0</v>
      </c>
      <c r="BT2836">
        <v>0</v>
      </c>
      <c r="BU2836">
        <v>0</v>
      </c>
      <c r="BV2836">
        <v>0</v>
      </c>
    </row>
    <row r="2837" spans="57:74" x14ac:dyDescent="0.25">
      <c r="BO2837">
        <v>0</v>
      </c>
      <c r="BP2837">
        <v>0</v>
      </c>
      <c r="BQ2837">
        <v>0</v>
      </c>
      <c r="BR2837">
        <v>0</v>
      </c>
      <c r="BS2837">
        <v>0</v>
      </c>
      <c r="BT2837">
        <v>0</v>
      </c>
      <c r="BU2837">
        <v>0</v>
      </c>
      <c r="BV2837">
        <v>0</v>
      </c>
    </row>
    <row r="2838" spans="57:74" x14ac:dyDescent="0.25">
      <c r="BO2838">
        <v>0</v>
      </c>
      <c r="BP2838">
        <v>0</v>
      </c>
      <c r="BQ2838">
        <v>0</v>
      </c>
      <c r="BR2838">
        <v>0</v>
      </c>
      <c r="BS2838">
        <v>0</v>
      </c>
      <c r="BT2838">
        <v>0</v>
      </c>
      <c r="BU2838">
        <v>0</v>
      </c>
      <c r="BV2838">
        <v>0</v>
      </c>
    </row>
    <row r="2839" spans="57:74" x14ac:dyDescent="0.25">
      <c r="BO2839">
        <v>0</v>
      </c>
      <c r="BP2839">
        <v>0</v>
      </c>
      <c r="BQ2839">
        <v>0</v>
      </c>
      <c r="BR2839">
        <v>0</v>
      </c>
      <c r="BS2839">
        <v>0</v>
      </c>
      <c r="BT2839">
        <v>0</v>
      </c>
      <c r="BU2839">
        <v>0</v>
      </c>
      <c r="BV2839">
        <v>0</v>
      </c>
    </row>
    <row r="2840" spans="57:74" x14ac:dyDescent="0.25">
      <c r="BO2840">
        <v>0</v>
      </c>
      <c r="BP2840">
        <v>0</v>
      </c>
      <c r="BQ2840">
        <v>0</v>
      </c>
      <c r="BR2840">
        <v>0</v>
      </c>
      <c r="BS2840">
        <v>0</v>
      </c>
      <c r="BT2840">
        <v>0</v>
      </c>
      <c r="BU2840">
        <v>0</v>
      </c>
      <c r="BV2840">
        <v>0</v>
      </c>
    </row>
    <row r="2841" spans="57:74" x14ac:dyDescent="0.25">
      <c r="BO2841">
        <v>0</v>
      </c>
      <c r="BP2841">
        <v>0</v>
      </c>
      <c r="BQ2841">
        <v>0</v>
      </c>
      <c r="BR2841">
        <v>0</v>
      </c>
      <c r="BS2841">
        <v>0</v>
      </c>
      <c r="BT2841">
        <v>0</v>
      </c>
      <c r="BU2841">
        <v>0</v>
      </c>
      <c r="BV2841">
        <v>0</v>
      </c>
    </row>
    <row r="2842" spans="57:74" x14ac:dyDescent="0.25">
      <c r="BO2842">
        <v>0</v>
      </c>
      <c r="BP2842">
        <v>0</v>
      </c>
      <c r="BQ2842">
        <v>0</v>
      </c>
      <c r="BR2842">
        <v>0</v>
      </c>
      <c r="BS2842">
        <v>0</v>
      </c>
      <c r="BT2842">
        <v>0</v>
      </c>
      <c r="BU2842">
        <v>0</v>
      </c>
      <c r="BV2842">
        <v>0</v>
      </c>
    </row>
    <row r="2843" spans="57:74" x14ac:dyDescent="0.25">
      <c r="BE2843" s="1"/>
      <c r="BO2843">
        <v>0</v>
      </c>
      <c r="BP2843">
        <v>0</v>
      </c>
      <c r="BQ2843">
        <v>0</v>
      </c>
      <c r="BR2843">
        <v>0</v>
      </c>
      <c r="BS2843">
        <v>0</v>
      </c>
      <c r="BT2843">
        <v>0</v>
      </c>
      <c r="BU2843">
        <v>0</v>
      </c>
      <c r="BV2843">
        <v>0</v>
      </c>
    </row>
    <row r="2844" spans="57:74" x14ac:dyDescent="0.25">
      <c r="BO2844">
        <v>0</v>
      </c>
      <c r="BP2844">
        <v>0</v>
      </c>
      <c r="BQ2844">
        <v>0</v>
      </c>
      <c r="BR2844">
        <v>0</v>
      </c>
      <c r="BS2844">
        <v>0</v>
      </c>
      <c r="BT2844">
        <v>0</v>
      </c>
      <c r="BU2844">
        <v>0</v>
      </c>
      <c r="BV2844">
        <v>0</v>
      </c>
    </row>
    <row r="2845" spans="57:74" x14ac:dyDescent="0.25">
      <c r="BO2845">
        <v>0</v>
      </c>
      <c r="BP2845">
        <v>0</v>
      </c>
      <c r="BQ2845">
        <v>0</v>
      </c>
      <c r="BR2845">
        <v>0</v>
      </c>
      <c r="BS2845">
        <v>0</v>
      </c>
      <c r="BT2845">
        <v>0</v>
      </c>
      <c r="BU2845">
        <v>0</v>
      </c>
      <c r="BV2845">
        <v>0</v>
      </c>
    </row>
    <row r="2846" spans="57:74" x14ac:dyDescent="0.25">
      <c r="BO2846">
        <v>0</v>
      </c>
      <c r="BP2846">
        <v>0</v>
      </c>
      <c r="BQ2846">
        <v>0</v>
      </c>
      <c r="BR2846">
        <v>0</v>
      </c>
      <c r="BS2846">
        <v>0</v>
      </c>
      <c r="BT2846">
        <v>0</v>
      </c>
      <c r="BU2846">
        <v>0</v>
      </c>
      <c r="BV2846">
        <v>0</v>
      </c>
    </row>
    <row r="2847" spans="57:74" x14ac:dyDescent="0.25">
      <c r="BO2847">
        <v>0</v>
      </c>
      <c r="BP2847">
        <v>0</v>
      </c>
      <c r="BQ2847">
        <v>0</v>
      </c>
      <c r="BR2847">
        <v>0</v>
      </c>
      <c r="BS2847">
        <v>0</v>
      </c>
      <c r="BT2847">
        <v>0</v>
      </c>
      <c r="BU2847">
        <v>0</v>
      </c>
      <c r="BV2847">
        <v>0</v>
      </c>
    </row>
    <row r="2848" spans="57:74" x14ac:dyDescent="0.25">
      <c r="BO2848">
        <v>0</v>
      </c>
      <c r="BP2848">
        <v>0</v>
      </c>
      <c r="BQ2848">
        <v>0</v>
      </c>
      <c r="BR2848">
        <v>0</v>
      </c>
      <c r="BS2848">
        <v>0</v>
      </c>
      <c r="BT2848">
        <v>0</v>
      </c>
      <c r="BU2848">
        <v>0</v>
      </c>
      <c r="BV2848">
        <v>0</v>
      </c>
    </row>
    <row r="2849" spans="67:74" x14ac:dyDescent="0.25">
      <c r="BO2849">
        <v>0</v>
      </c>
      <c r="BP2849">
        <v>0</v>
      </c>
      <c r="BQ2849">
        <v>0</v>
      </c>
      <c r="BR2849">
        <v>0</v>
      </c>
      <c r="BS2849">
        <v>0</v>
      </c>
      <c r="BT2849">
        <v>0</v>
      </c>
      <c r="BU2849">
        <v>0</v>
      </c>
      <c r="BV2849">
        <v>0</v>
      </c>
    </row>
    <row r="2850" spans="67:74" x14ac:dyDescent="0.25">
      <c r="BO2850">
        <v>0</v>
      </c>
      <c r="BP2850">
        <v>0</v>
      </c>
      <c r="BQ2850">
        <v>0</v>
      </c>
      <c r="BR2850">
        <v>0</v>
      </c>
      <c r="BS2850">
        <v>0</v>
      </c>
      <c r="BT2850">
        <v>0</v>
      </c>
      <c r="BU2850">
        <v>0</v>
      </c>
      <c r="BV2850">
        <v>0</v>
      </c>
    </row>
    <row r="2851" spans="67:74" x14ac:dyDescent="0.25">
      <c r="BO2851">
        <v>0</v>
      </c>
      <c r="BP2851">
        <v>0</v>
      </c>
      <c r="BQ2851">
        <v>0</v>
      </c>
      <c r="BR2851">
        <v>0</v>
      </c>
      <c r="BS2851">
        <v>0</v>
      </c>
      <c r="BT2851">
        <v>0</v>
      </c>
      <c r="BU2851">
        <v>0</v>
      </c>
      <c r="BV2851">
        <v>0</v>
      </c>
    </row>
    <row r="2852" spans="67:74" x14ac:dyDescent="0.25">
      <c r="BO2852">
        <v>0</v>
      </c>
      <c r="BP2852">
        <v>0</v>
      </c>
      <c r="BQ2852">
        <v>0</v>
      </c>
      <c r="BR2852">
        <v>0</v>
      </c>
      <c r="BS2852">
        <v>0</v>
      </c>
      <c r="BT2852">
        <v>0</v>
      </c>
      <c r="BU2852">
        <v>0</v>
      </c>
      <c r="BV2852">
        <v>0</v>
      </c>
    </row>
    <row r="2853" spans="67:74" x14ac:dyDescent="0.25">
      <c r="BO2853">
        <v>0</v>
      </c>
      <c r="BP2853">
        <v>0</v>
      </c>
      <c r="BQ2853">
        <v>0</v>
      </c>
      <c r="BR2853">
        <v>0</v>
      </c>
      <c r="BS2853">
        <v>0</v>
      </c>
      <c r="BT2853">
        <v>0</v>
      </c>
      <c r="BU2853">
        <v>0</v>
      </c>
      <c r="BV2853">
        <v>0</v>
      </c>
    </row>
    <row r="2854" spans="67:74" x14ac:dyDescent="0.25">
      <c r="BO2854">
        <v>0</v>
      </c>
      <c r="BP2854">
        <v>0</v>
      </c>
      <c r="BQ2854">
        <v>0</v>
      </c>
      <c r="BR2854">
        <v>0</v>
      </c>
      <c r="BS2854">
        <v>0</v>
      </c>
      <c r="BT2854">
        <v>0</v>
      </c>
      <c r="BU2854">
        <v>0</v>
      </c>
      <c r="BV2854">
        <v>0</v>
      </c>
    </row>
    <row r="2855" spans="67:74" x14ac:dyDescent="0.25">
      <c r="BO2855">
        <v>0</v>
      </c>
      <c r="BP2855">
        <v>0</v>
      </c>
      <c r="BQ2855">
        <v>0</v>
      </c>
      <c r="BR2855">
        <v>0</v>
      </c>
      <c r="BS2855">
        <v>0</v>
      </c>
      <c r="BT2855">
        <v>0</v>
      </c>
      <c r="BU2855">
        <v>0</v>
      </c>
      <c r="BV2855">
        <v>0</v>
      </c>
    </row>
    <row r="2856" spans="67:74" x14ac:dyDescent="0.25">
      <c r="BO2856">
        <v>0</v>
      </c>
      <c r="BP2856">
        <v>0</v>
      </c>
      <c r="BQ2856">
        <v>0</v>
      </c>
      <c r="BR2856">
        <v>0</v>
      </c>
      <c r="BS2856">
        <v>0</v>
      </c>
      <c r="BT2856">
        <v>0</v>
      </c>
      <c r="BU2856">
        <v>0</v>
      </c>
      <c r="BV2856">
        <v>0</v>
      </c>
    </row>
    <row r="2857" spans="67:74" x14ac:dyDescent="0.25">
      <c r="BO2857">
        <v>0</v>
      </c>
      <c r="BP2857">
        <v>0</v>
      </c>
      <c r="BQ2857">
        <v>0</v>
      </c>
      <c r="BR2857">
        <v>0</v>
      </c>
      <c r="BS2857">
        <v>0</v>
      </c>
      <c r="BT2857">
        <v>0</v>
      </c>
      <c r="BU2857">
        <v>0</v>
      </c>
      <c r="BV2857">
        <v>0</v>
      </c>
    </row>
    <row r="2858" spans="67:74" x14ac:dyDescent="0.25">
      <c r="BO2858">
        <v>0</v>
      </c>
      <c r="BP2858">
        <v>0</v>
      </c>
      <c r="BQ2858">
        <v>0</v>
      </c>
      <c r="BR2858">
        <v>0</v>
      </c>
      <c r="BS2858">
        <v>0</v>
      </c>
      <c r="BT2858">
        <v>0</v>
      </c>
      <c r="BU2858">
        <v>0</v>
      </c>
      <c r="BV2858">
        <v>0</v>
      </c>
    </row>
    <row r="2859" spans="67:74" x14ac:dyDescent="0.25">
      <c r="BO2859">
        <v>0</v>
      </c>
      <c r="BP2859">
        <v>0</v>
      </c>
      <c r="BQ2859">
        <v>0</v>
      </c>
      <c r="BR2859">
        <v>0</v>
      </c>
      <c r="BS2859">
        <v>0</v>
      </c>
      <c r="BT2859">
        <v>0</v>
      </c>
      <c r="BU2859">
        <v>0</v>
      </c>
      <c r="BV2859">
        <v>0</v>
      </c>
    </row>
    <row r="2860" spans="67:74" x14ac:dyDescent="0.25">
      <c r="BO2860">
        <v>0</v>
      </c>
      <c r="BP2860">
        <v>0</v>
      </c>
      <c r="BQ2860">
        <v>0</v>
      </c>
      <c r="BR2860">
        <v>0</v>
      </c>
      <c r="BS2860">
        <v>0</v>
      </c>
      <c r="BT2860">
        <v>0</v>
      </c>
      <c r="BU2860">
        <v>0</v>
      </c>
      <c r="BV2860">
        <v>0</v>
      </c>
    </row>
    <row r="2861" spans="67:74" x14ac:dyDescent="0.25">
      <c r="BO2861">
        <v>0</v>
      </c>
      <c r="BP2861">
        <v>0</v>
      </c>
      <c r="BQ2861">
        <v>0</v>
      </c>
      <c r="BR2861">
        <v>0</v>
      </c>
      <c r="BS2861">
        <v>0</v>
      </c>
      <c r="BT2861">
        <v>0</v>
      </c>
      <c r="BU2861">
        <v>0</v>
      </c>
      <c r="BV2861">
        <v>0</v>
      </c>
    </row>
    <row r="2862" spans="67:74" x14ac:dyDescent="0.25">
      <c r="BO2862">
        <v>0</v>
      </c>
      <c r="BP2862">
        <v>0</v>
      </c>
      <c r="BQ2862">
        <v>0</v>
      </c>
      <c r="BR2862">
        <v>0</v>
      </c>
      <c r="BS2862">
        <v>0</v>
      </c>
      <c r="BT2862">
        <v>0</v>
      </c>
      <c r="BU2862">
        <v>0</v>
      </c>
      <c r="BV2862">
        <v>0</v>
      </c>
    </row>
    <row r="2863" spans="67:74" x14ac:dyDescent="0.25">
      <c r="BO2863">
        <v>0</v>
      </c>
      <c r="BP2863">
        <v>0</v>
      </c>
      <c r="BQ2863">
        <v>0</v>
      </c>
      <c r="BR2863">
        <v>0</v>
      </c>
      <c r="BS2863">
        <v>0</v>
      </c>
      <c r="BT2863">
        <v>0</v>
      </c>
      <c r="BU2863">
        <v>0</v>
      </c>
      <c r="BV2863">
        <v>0</v>
      </c>
    </row>
    <row r="2864" spans="67:74" x14ac:dyDescent="0.25">
      <c r="BO2864">
        <v>0</v>
      </c>
      <c r="BP2864">
        <v>0</v>
      </c>
      <c r="BQ2864">
        <v>0</v>
      </c>
      <c r="BR2864">
        <v>0</v>
      </c>
      <c r="BS2864">
        <v>0</v>
      </c>
      <c r="BT2864">
        <v>0</v>
      </c>
      <c r="BU2864">
        <v>0</v>
      </c>
      <c r="BV2864">
        <v>0</v>
      </c>
    </row>
    <row r="2865" spans="67:74" x14ac:dyDescent="0.25">
      <c r="BO2865">
        <v>0</v>
      </c>
      <c r="BP2865">
        <v>0</v>
      </c>
      <c r="BQ2865">
        <v>0</v>
      </c>
      <c r="BR2865">
        <v>0</v>
      </c>
      <c r="BS2865">
        <v>0</v>
      </c>
      <c r="BT2865">
        <v>0</v>
      </c>
      <c r="BU2865">
        <v>0</v>
      </c>
      <c r="BV2865">
        <v>0</v>
      </c>
    </row>
    <row r="2866" spans="67:74" x14ac:dyDescent="0.25">
      <c r="BO2866">
        <v>0</v>
      </c>
      <c r="BP2866">
        <v>0</v>
      </c>
      <c r="BQ2866">
        <v>0</v>
      </c>
      <c r="BR2866">
        <v>0</v>
      </c>
      <c r="BS2866">
        <v>0</v>
      </c>
      <c r="BT2866">
        <v>0</v>
      </c>
      <c r="BU2866">
        <v>0</v>
      </c>
      <c r="BV2866">
        <v>0</v>
      </c>
    </row>
    <row r="2867" spans="67:74" x14ac:dyDescent="0.25">
      <c r="BO2867">
        <v>0</v>
      </c>
      <c r="BP2867">
        <v>0</v>
      </c>
      <c r="BQ2867">
        <v>0</v>
      </c>
      <c r="BR2867">
        <v>0</v>
      </c>
      <c r="BS2867">
        <v>0</v>
      </c>
      <c r="BT2867">
        <v>0</v>
      </c>
      <c r="BU2867">
        <v>0</v>
      </c>
      <c r="BV2867">
        <v>0</v>
      </c>
    </row>
    <row r="2868" spans="67:74" x14ac:dyDescent="0.25">
      <c r="BO2868">
        <v>0</v>
      </c>
      <c r="BP2868">
        <v>0</v>
      </c>
      <c r="BQ2868">
        <v>0</v>
      </c>
      <c r="BR2868">
        <v>0</v>
      </c>
      <c r="BS2868">
        <v>0</v>
      </c>
      <c r="BT2868">
        <v>0</v>
      </c>
      <c r="BU2868">
        <v>0</v>
      </c>
      <c r="BV2868">
        <v>0</v>
      </c>
    </row>
    <row r="2869" spans="67:74" x14ac:dyDescent="0.25">
      <c r="BO2869">
        <v>0</v>
      </c>
      <c r="BP2869">
        <v>0</v>
      </c>
      <c r="BQ2869">
        <v>0</v>
      </c>
      <c r="BR2869">
        <v>0</v>
      </c>
      <c r="BS2869">
        <v>0</v>
      </c>
      <c r="BT2869">
        <v>0</v>
      </c>
      <c r="BU2869">
        <v>0</v>
      </c>
      <c r="BV2869">
        <v>0</v>
      </c>
    </row>
    <row r="2870" spans="67:74" x14ac:dyDescent="0.25">
      <c r="BO2870">
        <v>0</v>
      </c>
      <c r="BP2870">
        <v>0</v>
      </c>
      <c r="BQ2870">
        <v>0</v>
      </c>
      <c r="BR2870">
        <v>0</v>
      </c>
      <c r="BS2870">
        <v>0</v>
      </c>
      <c r="BT2870">
        <v>0</v>
      </c>
      <c r="BU2870">
        <v>0</v>
      </c>
      <c r="BV2870">
        <v>0</v>
      </c>
    </row>
    <row r="2871" spans="67:74" x14ac:dyDescent="0.25">
      <c r="BO2871">
        <v>0</v>
      </c>
      <c r="BP2871">
        <v>0</v>
      </c>
      <c r="BQ2871">
        <v>0</v>
      </c>
      <c r="BR2871">
        <v>0</v>
      </c>
      <c r="BS2871">
        <v>0</v>
      </c>
      <c r="BT2871">
        <v>0</v>
      </c>
      <c r="BU2871">
        <v>0</v>
      </c>
      <c r="BV2871">
        <v>0</v>
      </c>
    </row>
    <row r="2872" spans="67:74" x14ac:dyDescent="0.25">
      <c r="BO2872">
        <v>0</v>
      </c>
      <c r="BP2872">
        <v>0</v>
      </c>
      <c r="BQ2872">
        <v>0</v>
      </c>
      <c r="BR2872">
        <v>0</v>
      </c>
      <c r="BS2872">
        <v>0</v>
      </c>
      <c r="BT2872">
        <v>0</v>
      </c>
      <c r="BU2872">
        <v>0</v>
      </c>
      <c r="BV2872">
        <v>0</v>
      </c>
    </row>
    <row r="2873" spans="67:74" x14ac:dyDescent="0.25">
      <c r="BO2873">
        <v>0</v>
      </c>
      <c r="BP2873">
        <v>0</v>
      </c>
      <c r="BQ2873">
        <v>0</v>
      </c>
      <c r="BR2873">
        <v>0</v>
      </c>
      <c r="BS2873">
        <v>0</v>
      </c>
      <c r="BT2873">
        <v>0</v>
      </c>
      <c r="BU2873">
        <v>0</v>
      </c>
      <c r="BV2873">
        <v>0</v>
      </c>
    </row>
    <row r="2874" spans="67:74" x14ac:dyDescent="0.25">
      <c r="BO2874">
        <v>0</v>
      </c>
      <c r="BP2874">
        <v>0</v>
      </c>
      <c r="BQ2874">
        <v>0</v>
      </c>
      <c r="BR2874">
        <v>0</v>
      </c>
      <c r="BS2874">
        <v>0</v>
      </c>
      <c r="BT2874">
        <v>0</v>
      </c>
      <c r="BU2874">
        <v>0</v>
      </c>
      <c r="BV2874">
        <v>0</v>
      </c>
    </row>
    <row r="2875" spans="67:74" x14ac:dyDescent="0.25">
      <c r="BO2875">
        <v>0</v>
      </c>
      <c r="BP2875">
        <v>0</v>
      </c>
      <c r="BQ2875">
        <v>0</v>
      </c>
      <c r="BR2875">
        <v>0</v>
      </c>
      <c r="BS2875">
        <v>0</v>
      </c>
      <c r="BT2875">
        <v>0</v>
      </c>
      <c r="BU2875">
        <v>0</v>
      </c>
      <c r="BV2875">
        <v>0</v>
      </c>
    </row>
    <row r="2876" spans="67:74" x14ac:dyDescent="0.25">
      <c r="BO2876">
        <v>0</v>
      </c>
      <c r="BP2876">
        <v>0</v>
      </c>
      <c r="BQ2876">
        <v>0</v>
      </c>
      <c r="BR2876">
        <v>0</v>
      </c>
      <c r="BS2876">
        <v>0</v>
      </c>
      <c r="BT2876">
        <v>0</v>
      </c>
      <c r="BU2876">
        <v>0</v>
      </c>
      <c r="BV2876">
        <v>0</v>
      </c>
    </row>
    <row r="2877" spans="67:74" x14ac:dyDescent="0.25">
      <c r="BO2877">
        <v>0</v>
      </c>
      <c r="BP2877">
        <v>0</v>
      </c>
      <c r="BQ2877">
        <v>0</v>
      </c>
      <c r="BR2877">
        <v>0</v>
      </c>
      <c r="BS2877">
        <v>0</v>
      </c>
      <c r="BT2877">
        <v>0</v>
      </c>
      <c r="BU2877">
        <v>0</v>
      </c>
      <c r="BV2877">
        <v>0</v>
      </c>
    </row>
    <row r="2878" spans="67:74" x14ac:dyDescent="0.25">
      <c r="BO2878">
        <v>0</v>
      </c>
      <c r="BP2878">
        <v>0</v>
      </c>
      <c r="BQ2878">
        <v>0</v>
      </c>
      <c r="BR2878">
        <v>0</v>
      </c>
      <c r="BS2878">
        <v>0</v>
      </c>
      <c r="BT2878">
        <v>0</v>
      </c>
      <c r="BU2878">
        <v>0</v>
      </c>
      <c r="BV2878">
        <v>0</v>
      </c>
    </row>
    <row r="2879" spans="67:74" x14ac:dyDescent="0.25">
      <c r="BO2879">
        <v>0</v>
      </c>
      <c r="BP2879">
        <v>0</v>
      </c>
      <c r="BQ2879">
        <v>0</v>
      </c>
      <c r="BR2879">
        <v>0</v>
      </c>
      <c r="BS2879">
        <v>0</v>
      </c>
      <c r="BT2879">
        <v>0</v>
      </c>
      <c r="BU2879">
        <v>0</v>
      </c>
      <c r="BV2879">
        <v>0</v>
      </c>
    </row>
    <row r="2880" spans="67:74" x14ac:dyDescent="0.25">
      <c r="BO2880">
        <v>0</v>
      </c>
      <c r="BP2880">
        <v>0</v>
      </c>
      <c r="BQ2880">
        <v>0</v>
      </c>
      <c r="BR2880">
        <v>0</v>
      </c>
      <c r="BS2880">
        <v>0</v>
      </c>
      <c r="BT2880">
        <v>0</v>
      </c>
      <c r="BU2880">
        <v>0</v>
      </c>
      <c r="BV2880">
        <v>0</v>
      </c>
    </row>
    <row r="2881" spans="67:74" x14ac:dyDescent="0.25">
      <c r="BO2881">
        <v>0</v>
      </c>
      <c r="BP2881">
        <v>0</v>
      </c>
      <c r="BQ2881">
        <v>0</v>
      </c>
      <c r="BR2881">
        <v>0</v>
      </c>
      <c r="BS2881">
        <v>0</v>
      </c>
      <c r="BT2881">
        <v>0</v>
      </c>
      <c r="BU2881">
        <v>0</v>
      </c>
      <c r="BV2881">
        <v>0</v>
      </c>
    </row>
    <row r="2882" spans="67:74" x14ac:dyDescent="0.25">
      <c r="BO2882">
        <v>0</v>
      </c>
      <c r="BP2882">
        <v>0</v>
      </c>
      <c r="BQ2882">
        <v>0</v>
      </c>
      <c r="BR2882">
        <v>0</v>
      </c>
      <c r="BS2882">
        <v>0</v>
      </c>
      <c r="BT2882">
        <v>0</v>
      </c>
      <c r="BU2882">
        <v>0</v>
      </c>
      <c r="BV2882">
        <v>0</v>
      </c>
    </row>
    <row r="2883" spans="67:74" x14ac:dyDescent="0.25">
      <c r="BO2883">
        <v>0</v>
      </c>
      <c r="BP2883">
        <v>0</v>
      </c>
      <c r="BQ2883">
        <v>0</v>
      </c>
      <c r="BR2883">
        <v>0</v>
      </c>
      <c r="BS2883">
        <v>0</v>
      </c>
      <c r="BT2883">
        <v>0</v>
      </c>
      <c r="BU2883">
        <v>0</v>
      </c>
      <c r="BV2883">
        <v>0</v>
      </c>
    </row>
    <row r="2884" spans="67:74" x14ac:dyDescent="0.25">
      <c r="BO2884">
        <v>0</v>
      </c>
      <c r="BP2884">
        <v>0</v>
      </c>
      <c r="BQ2884">
        <v>0</v>
      </c>
      <c r="BR2884">
        <v>0</v>
      </c>
      <c r="BS2884">
        <v>0</v>
      </c>
      <c r="BT2884">
        <v>0</v>
      </c>
      <c r="BU2884">
        <v>0</v>
      </c>
      <c r="BV2884">
        <v>0</v>
      </c>
    </row>
    <row r="2885" spans="67:74" x14ac:dyDescent="0.25">
      <c r="BO2885">
        <v>0</v>
      </c>
      <c r="BP2885">
        <v>0</v>
      </c>
      <c r="BQ2885">
        <v>0</v>
      </c>
      <c r="BR2885">
        <v>0</v>
      </c>
      <c r="BS2885">
        <v>0</v>
      </c>
      <c r="BT2885">
        <v>0</v>
      </c>
      <c r="BU2885">
        <v>0</v>
      </c>
      <c r="BV2885">
        <v>0</v>
      </c>
    </row>
    <row r="2886" spans="67:74" x14ac:dyDescent="0.25">
      <c r="BO2886">
        <v>0</v>
      </c>
      <c r="BP2886">
        <v>0</v>
      </c>
      <c r="BQ2886">
        <v>0</v>
      </c>
      <c r="BR2886">
        <v>0</v>
      </c>
      <c r="BS2886">
        <v>0</v>
      </c>
      <c r="BT2886">
        <v>0</v>
      </c>
      <c r="BU2886">
        <v>0</v>
      </c>
      <c r="BV2886">
        <v>0</v>
      </c>
    </row>
    <row r="2887" spans="67:74" x14ac:dyDescent="0.25">
      <c r="BO2887">
        <v>0</v>
      </c>
      <c r="BP2887">
        <v>0</v>
      </c>
      <c r="BQ2887">
        <v>0</v>
      </c>
      <c r="BR2887">
        <v>0</v>
      </c>
      <c r="BS2887">
        <v>0</v>
      </c>
      <c r="BT2887">
        <v>0</v>
      </c>
      <c r="BU2887">
        <v>0</v>
      </c>
      <c r="BV2887">
        <v>0</v>
      </c>
    </row>
    <row r="2888" spans="67:74" x14ac:dyDescent="0.25">
      <c r="BO2888">
        <v>0</v>
      </c>
      <c r="BP2888">
        <v>0</v>
      </c>
      <c r="BQ2888">
        <v>0</v>
      </c>
      <c r="BR2888">
        <v>0</v>
      </c>
      <c r="BS2888">
        <v>0</v>
      </c>
      <c r="BT2888">
        <v>0</v>
      </c>
      <c r="BU2888">
        <v>0</v>
      </c>
      <c r="BV2888">
        <v>0</v>
      </c>
    </row>
    <row r="2889" spans="67:74" x14ac:dyDescent="0.25">
      <c r="BO2889">
        <v>0</v>
      </c>
      <c r="BP2889">
        <v>0</v>
      </c>
      <c r="BQ2889">
        <v>0</v>
      </c>
      <c r="BR2889">
        <v>0</v>
      </c>
      <c r="BS2889">
        <v>0</v>
      </c>
      <c r="BT2889">
        <v>0</v>
      </c>
      <c r="BU2889">
        <v>0</v>
      </c>
      <c r="BV2889">
        <v>0</v>
      </c>
    </row>
    <row r="2890" spans="67:74" x14ac:dyDescent="0.25">
      <c r="BO2890">
        <v>0</v>
      </c>
      <c r="BP2890">
        <v>0</v>
      </c>
      <c r="BQ2890">
        <v>0</v>
      </c>
      <c r="BR2890">
        <v>0</v>
      </c>
      <c r="BS2890">
        <v>0</v>
      </c>
      <c r="BT2890">
        <v>0</v>
      </c>
      <c r="BU2890">
        <v>0</v>
      </c>
      <c r="BV2890">
        <v>0</v>
      </c>
    </row>
    <row r="2891" spans="67:74" x14ac:dyDescent="0.25">
      <c r="BO2891">
        <v>0</v>
      </c>
      <c r="BP2891">
        <v>0</v>
      </c>
      <c r="BQ2891">
        <v>0</v>
      </c>
      <c r="BR2891">
        <v>0</v>
      </c>
      <c r="BS2891">
        <v>0</v>
      </c>
      <c r="BT2891">
        <v>0</v>
      </c>
      <c r="BU2891">
        <v>0</v>
      </c>
      <c r="BV2891">
        <v>0</v>
      </c>
    </row>
    <row r="2892" spans="67:74" x14ac:dyDescent="0.25">
      <c r="BO2892">
        <v>0</v>
      </c>
      <c r="BP2892">
        <v>0</v>
      </c>
      <c r="BQ2892">
        <v>0</v>
      </c>
      <c r="BR2892">
        <v>0</v>
      </c>
      <c r="BS2892">
        <v>0</v>
      </c>
      <c r="BT2892">
        <v>0</v>
      </c>
      <c r="BU2892">
        <v>0</v>
      </c>
      <c r="BV2892">
        <v>0</v>
      </c>
    </row>
    <row r="2893" spans="67:74" x14ac:dyDescent="0.25">
      <c r="BO2893">
        <v>0</v>
      </c>
      <c r="BP2893">
        <v>0</v>
      </c>
      <c r="BQ2893">
        <v>0</v>
      </c>
      <c r="BR2893">
        <v>0</v>
      </c>
      <c r="BS2893">
        <v>0</v>
      </c>
      <c r="BT2893">
        <v>0</v>
      </c>
      <c r="BU2893">
        <v>0</v>
      </c>
      <c r="BV2893">
        <v>0</v>
      </c>
    </row>
    <row r="2894" spans="67:74" x14ac:dyDescent="0.25">
      <c r="BO2894">
        <v>0</v>
      </c>
      <c r="BP2894">
        <v>0</v>
      </c>
      <c r="BQ2894">
        <v>0</v>
      </c>
      <c r="BR2894">
        <v>0</v>
      </c>
      <c r="BS2894">
        <v>0</v>
      </c>
      <c r="BT2894">
        <v>0</v>
      </c>
      <c r="BU2894">
        <v>0</v>
      </c>
      <c r="BV2894">
        <v>0</v>
      </c>
    </row>
    <row r="2895" spans="67:74" x14ac:dyDescent="0.25">
      <c r="BO2895">
        <v>0</v>
      </c>
      <c r="BP2895">
        <v>0</v>
      </c>
      <c r="BQ2895">
        <v>0</v>
      </c>
      <c r="BR2895">
        <v>0</v>
      </c>
      <c r="BS2895">
        <v>0</v>
      </c>
      <c r="BT2895">
        <v>0</v>
      </c>
      <c r="BU2895">
        <v>0</v>
      </c>
      <c r="BV2895">
        <v>0</v>
      </c>
    </row>
    <row r="2896" spans="67:74" x14ac:dyDescent="0.25">
      <c r="BO2896">
        <v>0</v>
      </c>
      <c r="BP2896">
        <v>0</v>
      </c>
      <c r="BQ2896">
        <v>0</v>
      </c>
      <c r="BR2896">
        <v>0</v>
      </c>
      <c r="BS2896">
        <v>0</v>
      </c>
      <c r="BT2896">
        <v>0</v>
      </c>
      <c r="BU2896">
        <v>0</v>
      </c>
      <c r="BV2896">
        <v>0</v>
      </c>
    </row>
    <row r="2897" spans="67:74" x14ac:dyDescent="0.25">
      <c r="BO2897">
        <v>0</v>
      </c>
      <c r="BP2897">
        <v>0</v>
      </c>
      <c r="BQ2897">
        <v>0</v>
      </c>
      <c r="BR2897">
        <v>0</v>
      </c>
      <c r="BS2897">
        <v>0</v>
      </c>
      <c r="BT2897">
        <v>0</v>
      </c>
      <c r="BU2897">
        <v>0</v>
      </c>
      <c r="BV2897">
        <v>0</v>
      </c>
    </row>
    <row r="2898" spans="67:74" x14ac:dyDescent="0.25">
      <c r="BO2898">
        <v>0</v>
      </c>
      <c r="BP2898">
        <v>0</v>
      </c>
      <c r="BQ2898">
        <v>0</v>
      </c>
      <c r="BR2898">
        <v>0</v>
      </c>
      <c r="BS2898">
        <v>0</v>
      </c>
      <c r="BT2898">
        <v>0</v>
      </c>
      <c r="BU2898">
        <v>0</v>
      </c>
      <c r="BV2898">
        <v>0</v>
      </c>
    </row>
    <row r="2899" spans="67:74" x14ac:dyDescent="0.25">
      <c r="BO2899">
        <v>0</v>
      </c>
      <c r="BP2899">
        <v>0</v>
      </c>
      <c r="BQ2899">
        <v>0</v>
      </c>
      <c r="BR2899">
        <v>0</v>
      </c>
      <c r="BS2899">
        <v>0</v>
      </c>
      <c r="BT2899">
        <v>0</v>
      </c>
      <c r="BU2899">
        <v>0</v>
      </c>
      <c r="BV2899">
        <v>0</v>
      </c>
    </row>
    <row r="2900" spans="67:74" x14ac:dyDescent="0.25">
      <c r="BO2900">
        <v>0</v>
      </c>
      <c r="BP2900">
        <v>0</v>
      </c>
      <c r="BQ2900">
        <v>0</v>
      </c>
      <c r="BR2900">
        <v>0</v>
      </c>
      <c r="BS2900">
        <v>0</v>
      </c>
      <c r="BT2900">
        <v>0</v>
      </c>
      <c r="BU2900">
        <v>0</v>
      </c>
      <c r="BV2900">
        <v>0</v>
      </c>
    </row>
    <row r="2901" spans="67:74" x14ac:dyDescent="0.25">
      <c r="BO2901">
        <v>0</v>
      </c>
      <c r="BP2901">
        <v>0</v>
      </c>
      <c r="BQ2901">
        <v>0</v>
      </c>
      <c r="BR2901">
        <v>0</v>
      </c>
      <c r="BS2901">
        <v>0</v>
      </c>
      <c r="BT2901">
        <v>0</v>
      </c>
      <c r="BU2901">
        <v>0</v>
      </c>
      <c r="BV2901">
        <v>0</v>
      </c>
    </row>
    <row r="2902" spans="67:74" x14ac:dyDescent="0.25">
      <c r="BO2902">
        <v>0</v>
      </c>
      <c r="BP2902">
        <v>0</v>
      </c>
      <c r="BQ2902">
        <v>0</v>
      </c>
      <c r="BR2902">
        <v>0</v>
      </c>
      <c r="BS2902">
        <v>0</v>
      </c>
      <c r="BT2902">
        <v>0</v>
      </c>
      <c r="BU2902">
        <v>0</v>
      </c>
      <c r="BV2902">
        <v>0</v>
      </c>
    </row>
    <row r="2903" spans="67:74" x14ac:dyDescent="0.25">
      <c r="BO2903">
        <v>0</v>
      </c>
      <c r="BP2903">
        <v>0</v>
      </c>
      <c r="BQ2903">
        <v>0</v>
      </c>
      <c r="BR2903">
        <v>0</v>
      </c>
      <c r="BS2903">
        <v>0</v>
      </c>
      <c r="BT2903">
        <v>0</v>
      </c>
      <c r="BU2903">
        <v>0</v>
      </c>
      <c r="BV2903">
        <v>0</v>
      </c>
    </row>
    <row r="2904" spans="67:74" x14ac:dyDescent="0.25">
      <c r="BO2904">
        <v>0</v>
      </c>
      <c r="BP2904">
        <v>0</v>
      </c>
      <c r="BQ2904">
        <v>0</v>
      </c>
      <c r="BR2904">
        <v>0</v>
      </c>
      <c r="BS2904">
        <v>0</v>
      </c>
      <c r="BT2904">
        <v>0</v>
      </c>
      <c r="BU2904">
        <v>0</v>
      </c>
      <c r="BV2904">
        <v>0</v>
      </c>
    </row>
    <row r="2905" spans="67:74" x14ac:dyDescent="0.25">
      <c r="BO2905">
        <v>0</v>
      </c>
      <c r="BP2905">
        <v>0</v>
      </c>
      <c r="BQ2905">
        <v>0</v>
      </c>
      <c r="BR2905">
        <v>0</v>
      </c>
      <c r="BS2905">
        <v>0</v>
      </c>
      <c r="BT2905">
        <v>0</v>
      </c>
      <c r="BU2905">
        <v>0</v>
      </c>
      <c r="BV2905">
        <v>0</v>
      </c>
    </row>
    <row r="2906" spans="67:74" x14ac:dyDescent="0.25">
      <c r="BO2906">
        <v>0</v>
      </c>
      <c r="BP2906">
        <v>0</v>
      </c>
      <c r="BQ2906">
        <v>0</v>
      </c>
      <c r="BR2906">
        <v>0</v>
      </c>
      <c r="BS2906">
        <v>0</v>
      </c>
      <c r="BT2906">
        <v>0</v>
      </c>
      <c r="BU2906">
        <v>0</v>
      </c>
      <c r="BV2906">
        <v>0</v>
      </c>
    </row>
    <row r="2907" spans="67:74" x14ac:dyDescent="0.25">
      <c r="BO2907">
        <v>0</v>
      </c>
      <c r="BP2907">
        <v>0</v>
      </c>
      <c r="BQ2907">
        <v>0</v>
      </c>
      <c r="BR2907">
        <v>0</v>
      </c>
      <c r="BS2907">
        <v>0</v>
      </c>
      <c r="BT2907">
        <v>0</v>
      </c>
      <c r="BU2907">
        <v>0</v>
      </c>
      <c r="BV2907">
        <v>0</v>
      </c>
    </row>
    <row r="2908" spans="67:74" x14ac:dyDescent="0.25">
      <c r="BO2908">
        <v>0</v>
      </c>
      <c r="BP2908">
        <v>0</v>
      </c>
      <c r="BQ2908">
        <v>0</v>
      </c>
      <c r="BR2908">
        <v>0</v>
      </c>
      <c r="BS2908">
        <v>0</v>
      </c>
      <c r="BT2908">
        <v>0</v>
      </c>
      <c r="BU2908">
        <v>0</v>
      </c>
      <c r="BV2908">
        <v>0</v>
      </c>
    </row>
    <row r="2909" spans="67:74" x14ac:dyDescent="0.25">
      <c r="BO2909">
        <v>0</v>
      </c>
      <c r="BP2909">
        <v>0</v>
      </c>
      <c r="BQ2909">
        <v>0</v>
      </c>
      <c r="BR2909">
        <v>0</v>
      </c>
      <c r="BS2909">
        <v>0</v>
      </c>
      <c r="BT2909">
        <v>0</v>
      </c>
      <c r="BU2909">
        <v>0</v>
      </c>
      <c r="BV2909">
        <v>0</v>
      </c>
    </row>
    <row r="2910" spans="67:74" x14ac:dyDescent="0.25">
      <c r="BO2910">
        <v>0</v>
      </c>
      <c r="BP2910">
        <v>0</v>
      </c>
      <c r="BQ2910">
        <v>0</v>
      </c>
      <c r="BR2910">
        <v>0</v>
      </c>
      <c r="BS2910">
        <v>0</v>
      </c>
      <c r="BT2910">
        <v>0</v>
      </c>
      <c r="BU2910">
        <v>0</v>
      </c>
      <c r="BV2910">
        <v>0</v>
      </c>
    </row>
    <row r="2911" spans="67:74" x14ac:dyDescent="0.25">
      <c r="BO2911">
        <v>0</v>
      </c>
      <c r="BP2911">
        <v>0</v>
      </c>
      <c r="BQ2911">
        <v>0</v>
      </c>
      <c r="BR2911">
        <v>0</v>
      </c>
      <c r="BS2911">
        <v>0</v>
      </c>
      <c r="BT2911">
        <v>0</v>
      </c>
      <c r="BU2911">
        <v>0</v>
      </c>
      <c r="BV2911">
        <v>0</v>
      </c>
    </row>
    <row r="2912" spans="67:74" x14ac:dyDescent="0.25">
      <c r="BO2912">
        <v>0</v>
      </c>
      <c r="BP2912">
        <v>0</v>
      </c>
      <c r="BQ2912">
        <v>0</v>
      </c>
      <c r="BR2912">
        <v>0</v>
      </c>
      <c r="BS2912">
        <v>0</v>
      </c>
      <c r="BT2912">
        <v>0</v>
      </c>
      <c r="BU2912">
        <v>0</v>
      </c>
      <c r="BV2912">
        <v>0</v>
      </c>
    </row>
    <row r="2913" spans="67:74" x14ac:dyDescent="0.25">
      <c r="BO2913">
        <v>0</v>
      </c>
      <c r="BP2913">
        <v>0</v>
      </c>
      <c r="BQ2913">
        <v>0</v>
      </c>
      <c r="BR2913">
        <v>0</v>
      </c>
      <c r="BS2913">
        <v>0</v>
      </c>
      <c r="BT2913">
        <v>0</v>
      </c>
      <c r="BU2913">
        <v>0</v>
      </c>
      <c r="BV2913">
        <v>0</v>
      </c>
    </row>
    <row r="2914" spans="67:74" x14ac:dyDescent="0.25">
      <c r="BO2914">
        <v>0</v>
      </c>
      <c r="BP2914">
        <v>0</v>
      </c>
      <c r="BQ2914">
        <v>0</v>
      </c>
      <c r="BR2914">
        <v>0</v>
      </c>
      <c r="BS2914">
        <v>0</v>
      </c>
      <c r="BT2914">
        <v>0</v>
      </c>
      <c r="BU2914">
        <v>0</v>
      </c>
      <c r="BV2914">
        <v>0</v>
      </c>
    </row>
    <row r="2915" spans="67:74" x14ac:dyDescent="0.25">
      <c r="BO2915">
        <v>0</v>
      </c>
      <c r="BP2915">
        <v>0</v>
      </c>
      <c r="BQ2915">
        <v>0</v>
      </c>
      <c r="BR2915">
        <v>0</v>
      </c>
      <c r="BS2915">
        <v>0</v>
      </c>
      <c r="BT2915">
        <v>0</v>
      </c>
      <c r="BU2915">
        <v>0</v>
      </c>
      <c r="BV2915">
        <v>0</v>
      </c>
    </row>
    <row r="2916" spans="67:74" x14ac:dyDescent="0.25">
      <c r="BO2916">
        <v>0</v>
      </c>
      <c r="BP2916">
        <v>0</v>
      </c>
      <c r="BQ2916">
        <v>0</v>
      </c>
      <c r="BR2916">
        <v>0</v>
      </c>
      <c r="BS2916">
        <v>0</v>
      </c>
      <c r="BT2916">
        <v>0</v>
      </c>
      <c r="BU2916">
        <v>0</v>
      </c>
      <c r="BV2916">
        <v>0</v>
      </c>
    </row>
    <row r="2917" spans="67:74" x14ac:dyDescent="0.25">
      <c r="BO2917">
        <v>0</v>
      </c>
      <c r="BP2917">
        <v>0</v>
      </c>
      <c r="BQ2917">
        <v>0</v>
      </c>
      <c r="BR2917">
        <v>0</v>
      </c>
      <c r="BS2917">
        <v>0</v>
      </c>
      <c r="BT2917">
        <v>0</v>
      </c>
      <c r="BU2917">
        <v>0</v>
      </c>
      <c r="BV2917">
        <v>0</v>
      </c>
    </row>
    <row r="2918" spans="67:74" x14ac:dyDescent="0.25">
      <c r="BO2918">
        <v>0</v>
      </c>
      <c r="BP2918">
        <v>0</v>
      </c>
      <c r="BQ2918">
        <v>0</v>
      </c>
      <c r="BR2918">
        <v>0</v>
      </c>
      <c r="BS2918">
        <v>0</v>
      </c>
      <c r="BT2918">
        <v>0</v>
      </c>
      <c r="BU2918">
        <v>0</v>
      </c>
      <c r="BV2918">
        <v>0</v>
      </c>
    </row>
    <row r="2919" spans="67:74" x14ac:dyDescent="0.25">
      <c r="BO2919">
        <v>0</v>
      </c>
      <c r="BP2919">
        <v>0</v>
      </c>
      <c r="BQ2919">
        <v>0</v>
      </c>
      <c r="BR2919">
        <v>0</v>
      </c>
      <c r="BS2919">
        <v>0</v>
      </c>
      <c r="BT2919">
        <v>0</v>
      </c>
      <c r="BU2919">
        <v>0</v>
      </c>
      <c r="BV2919">
        <v>0</v>
      </c>
    </row>
    <row r="2920" spans="67:74" x14ac:dyDescent="0.25">
      <c r="BO2920">
        <v>0</v>
      </c>
      <c r="BP2920">
        <v>0</v>
      </c>
      <c r="BQ2920">
        <v>0</v>
      </c>
      <c r="BR2920">
        <v>0</v>
      </c>
      <c r="BS2920">
        <v>0</v>
      </c>
      <c r="BT2920">
        <v>0</v>
      </c>
      <c r="BU2920">
        <v>0</v>
      </c>
      <c r="BV2920">
        <v>0</v>
      </c>
    </row>
    <row r="2921" spans="67:74" x14ac:dyDescent="0.25">
      <c r="BO2921">
        <v>0</v>
      </c>
      <c r="BP2921">
        <v>0</v>
      </c>
      <c r="BQ2921">
        <v>0</v>
      </c>
      <c r="BR2921">
        <v>0</v>
      </c>
      <c r="BS2921">
        <v>0</v>
      </c>
      <c r="BT2921">
        <v>0</v>
      </c>
      <c r="BU2921">
        <v>0</v>
      </c>
      <c r="BV2921">
        <v>0</v>
      </c>
    </row>
    <row r="2922" spans="67:74" x14ac:dyDescent="0.25">
      <c r="BO2922">
        <v>0</v>
      </c>
      <c r="BP2922">
        <v>0</v>
      </c>
      <c r="BQ2922">
        <v>0</v>
      </c>
      <c r="BR2922">
        <v>0</v>
      </c>
      <c r="BS2922">
        <v>0</v>
      </c>
      <c r="BT2922">
        <v>0</v>
      </c>
      <c r="BU2922">
        <v>0</v>
      </c>
      <c r="BV2922">
        <v>0</v>
      </c>
    </row>
    <row r="2923" spans="67:74" x14ac:dyDescent="0.25">
      <c r="BO2923">
        <v>0</v>
      </c>
      <c r="BP2923">
        <v>0</v>
      </c>
      <c r="BQ2923">
        <v>0</v>
      </c>
      <c r="BR2923">
        <v>0</v>
      </c>
      <c r="BS2923">
        <v>0</v>
      </c>
      <c r="BT2923">
        <v>0</v>
      </c>
      <c r="BU2923">
        <v>0</v>
      </c>
      <c r="BV2923">
        <v>0</v>
      </c>
    </row>
    <row r="2924" spans="67:74" x14ac:dyDescent="0.25">
      <c r="BO2924">
        <v>0</v>
      </c>
      <c r="BP2924">
        <v>0</v>
      </c>
      <c r="BQ2924">
        <v>0</v>
      </c>
      <c r="BR2924">
        <v>0</v>
      </c>
      <c r="BS2924">
        <v>0</v>
      </c>
      <c r="BT2924">
        <v>0</v>
      </c>
      <c r="BU2924">
        <v>0</v>
      </c>
      <c r="BV2924">
        <v>0</v>
      </c>
    </row>
    <row r="2925" spans="67:74" x14ac:dyDescent="0.25">
      <c r="BO2925">
        <v>0</v>
      </c>
      <c r="BP2925">
        <v>0</v>
      </c>
      <c r="BQ2925">
        <v>0</v>
      </c>
      <c r="BR2925">
        <v>0</v>
      </c>
      <c r="BS2925">
        <v>0</v>
      </c>
      <c r="BT2925">
        <v>0</v>
      </c>
      <c r="BU2925">
        <v>0</v>
      </c>
      <c r="BV2925">
        <v>0</v>
      </c>
    </row>
    <row r="2926" spans="67:74" x14ac:dyDescent="0.25">
      <c r="BO2926">
        <v>0</v>
      </c>
      <c r="BP2926">
        <v>0</v>
      </c>
      <c r="BQ2926">
        <v>0</v>
      </c>
      <c r="BR2926">
        <v>0</v>
      </c>
      <c r="BS2926">
        <v>0</v>
      </c>
      <c r="BT2926">
        <v>0</v>
      </c>
      <c r="BU2926">
        <v>0</v>
      </c>
      <c r="BV2926">
        <v>0</v>
      </c>
    </row>
    <row r="2927" spans="67:74" x14ac:dyDescent="0.25">
      <c r="BO2927">
        <v>0</v>
      </c>
      <c r="BP2927">
        <v>0</v>
      </c>
      <c r="BQ2927">
        <v>0</v>
      </c>
      <c r="BR2927">
        <v>0</v>
      </c>
      <c r="BS2927">
        <v>0</v>
      </c>
      <c r="BT2927">
        <v>0</v>
      </c>
      <c r="BU2927">
        <v>0</v>
      </c>
      <c r="BV2927">
        <v>0</v>
      </c>
    </row>
    <row r="2928" spans="67:74" x14ac:dyDescent="0.25">
      <c r="BO2928">
        <v>0</v>
      </c>
      <c r="BP2928">
        <v>0</v>
      </c>
      <c r="BQ2928">
        <v>0</v>
      </c>
      <c r="BR2928">
        <v>0</v>
      </c>
      <c r="BS2928">
        <v>0</v>
      </c>
      <c r="BT2928">
        <v>0</v>
      </c>
      <c r="BU2928">
        <v>0</v>
      </c>
      <c r="BV2928">
        <v>0</v>
      </c>
    </row>
    <row r="2929" spans="67:74" x14ac:dyDescent="0.25">
      <c r="BO2929">
        <v>0</v>
      </c>
      <c r="BP2929">
        <v>0</v>
      </c>
      <c r="BQ2929">
        <v>0</v>
      </c>
      <c r="BR2929">
        <v>0</v>
      </c>
      <c r="BS2929">
        <v>0</v>
      </c>
      <c r="BT2929">
        <v>0</v>
      </c>
      <c r="BU2929">
        <v>0</v>
      </c>
      <c r="BV2929">
        <v>0</v>
      </c>
    </row>
    <row r="2930" spans="67:74" x14ac:dyDescent="0.25">
      <c r="BO2930">
        <v>0</v>
      </c>
      <c r="BP2930">
        <v>0</v>
      </c>
      <c r="BQ2930">
        <v>0</v>
      </c>
      <c r="BR2930">
        <v>0</v>
      </c>
      <c r="BS2930">
        <v>0</v>
      </c>
      <c r="BT2930">
        <v>0</v>
      </c>
      <c r="BU2930">
        <v>0</v>
      </c>
      <c r="BV2930">
        <v>0</v>
      </c>
    </row>
    <row r="2931" spans="67:74" x14ac:dyDescent="0.25">
      <c r="BO2931">
        <v>0</v>
      </c>
      <c r="BP2931">
        <v>0</v>
      </c>
      <c r="BQ2931">
        <v>0</v>
      </c>
      <c r="BR2931">
        <v>0</v>
      </c>
      <c r="BS2931">
        <v>0</v>
      </c>
      <c r="BT2931">
        <v>0</v>
      </c>
      <c r="BU2931">
        <v>0</v>
      </c>
      <c r="BV2931">
        <v>0</v>
      </c>
    </row>
    <row r="2932" spans="67:74" x14ac:dyDescent="0.25">
      <c r="BO2932">
        <v>0</v>
      </c>
      <c r="BP2932">
        <v>0</v>
      </c>
      <c r="BQ2932">
        <v>0</v>
      </c>
      <c r="BR2932">
        <v>0</v>
      </c>
      <c r="BS2932">
        <v>0</v>
      </c>
      <c r="BT2932">
        <v>0</v>
      </c>
      <c r="BU2932">
        <v>0</v>
      </c>
      <c r="BV2932">
        <v>0</v>
      </c>
    </row>
    <row r="2933" spans="67:74" x14ac:dyDescent="0.25">
      <c r="BO2933">
        <v>0</v>
      </c>
      <c r="BP2933">
        <v>0</v>
      </c>
      <c r="BQ2933">
        <v>0</v>
      </c>
      <c r="BR2933">
        <v>0</v>
      </c>
      <c r="BS2933">
        <v>0</v>
      </c>
      <c r="BT2933">
        <v>0</v>
      </c>
      <c r="BU2933">
        <v>0</v>
      </c>
      <c r="BV2933">
        <v>0</v>
      </c>
    </row>
    <row r="2934" spans="67:74" x14ac:dyDescent="0.25">
      <c r="BO2934">
        <v>0</v>
      </c>
      <c r="BP2934">
        <v>0</v>
      </c>
      <c r="BQ2934">
        <v>0</v>
      </c>
      <c r="BR2934">
        <v>0</v>
      </c>
      <c r="BS2934">
        <v>0</v>
      </c>
      <c r="BT2934">
        <v>0</v>
      </c>
      <c r="BU2934">
        <v>0</v>
      </c>
      <c r="BV2934">
        <v>0</v>
      </c>
    </row>
    <row r="2935" spans="67:74" x14ac:dyDescent="0.25">
      <c r="BO2935">
        <v>0</v>
      </c>
      <c r="BP2935">
        <v>0</v>
      </c>
      <c r="BQ2935">
        <v>0</v>
      </c>
      <c r="BR2935">
        <v>0</v>
      </c>
      <c r="BS2935">
        <v>0</v>
      </c>
      <c r="BT2935">
        <v>0</v>
      </c>
      <c r="BU2935">
        <v>0</v>
      </c>
      <c r="BV2935">
        <v>0</v>
      </c>
    </row>
    <row r="2936" spans="67:74" x14ac:dyDescent="0.25">
      <c r="BO2936">
        <v>0</v>
      </c>
      <c r="BP2936">
        <v>0</v>
      </c>
      <c r="BQ2936">
        <v>0</v>
      </c>
      <c r="BR2936">
        <v>0</v>
      </c>
      <c r="BS2936">
        <v>0</v>
      </c>
      <c r="BT2936">
        <v>0</v>
      </c>
      <c r="BU2936">
        <v>0</v>
      </c>
      <c r="BV2936">
        <v>0</v>
      </c>
    </row>
    <row r="2937" spans="67:74" x14ac:dyDescent="0.25">
      <c r="BO2937">
        <v>0</v>
      </c>
      <c r="BP2937">
        <v>0</v>
      </c>
      <c r="BQ2937">
        <v>0</v>
      </c>
      <c r="BR2937">
        <v>0</v>
      </c>
      <c r="BS2937">
        <v>0</v>
      </c>
      <c r="BT2937">
        <v>0</v>
      </c>
      <c r="BU2937">
        <v>0</v>
      </c>
      <c r="BV2937">
        <v>0</v>
      </c>
    </row>
    <row r="2938" spans="67:74" x14ac:dyDescent="0.25">
      <c r="BO2938">
        <v>0</v>
      </c>
      <c r="BP2938">
        <v>0</v>
      </c>
      <c r="BQ2938">
        <v>0</v>
      </c>
      <c r="BR2938">
        <v>0</v>
      </c>
      <c r="BS2938">
        <v>0</v>
      </c>
      <c r="BT2938">
        <v>0</v>
      </c>
      <c r="BU2938">
        <v>0</v>
      </c>
      <c r="BV2938">
        <v>0</v>
      </c>
    </row>
    <row r="2939" spans="67:74" x14ac:dyDescent="0.25">
      <c r="BO2939">
        <v>0</v>
      </c>
      <c r="BP2939">
        <v>0</v>
      </c>
      <c r="BQ2939">
        <v>0</v>
      </c>
      <c r="BR2939">
        <v>0</v>
      </c>
      <c r="BS2939">
        <v>0</v>
      </c>
      <c r="BT2939">
        <v>0</v>
      </c>
      <c r="BU2939">
        <v>0</v>
      </c>
      <c r="BV2939">
        <v>0</v>
      </c>
    </row>
    <row r="2940" spans="67:74" x14ac:dyDescent="0.25">
      <c r="BO2940">
        <v>0</v>
      </c>
      <c r="BP2940">
        <v>0</v>
      </c>
      <c r="BQ2940">
        <v>0</v>
      </c>
      <c r="BR2940">
        <v>0</v>
      </c>
      <c r="BS2940">
        <v>0</v>
      </c>
      <c r="BT2940">
        <v>0</v>
      </c>
      <c r="BU2940">
        <v>0</v>
      </c>
      <c r="BV2940">
        <v>0</v>
      </c>
    </row>
    <row r="2941" spans="67:74" x14ac:dyDescent="0.25">
      <c r="BO2941">
        <v>0</v>
      </c>
      <c r="BP2941">
        <v>0</v>
      </c>
      <c r="BQ2941">
        <v>0</v>
      </c>
      <c r="BR2941">
        <v>0</v>
      </c>
      <c r="BS2941">
        <v>0</v>
      </c>
      <c r="BT2941">
        <v>0</v>
      </c>
      <c r="BU2941">
        <v>0</v>
      </c>
      <c r="BV2941">
        <v>0</v>
      </c>
    </row>
    <row r="2942" spans="67:74" x14ac:dyDescent="0.25">
      <c r="BO2942">
        <v>0</v>
      </c>
      <c r="BP2942">
        <v>0</v>
      </c>
      <c r="BQ2942">
        <v>0</v>
      </c>
      <c r="BR2942">
        <v>0</v>
      </c>
      <c r="BS2942">
        <v>0</v>
      </c>
      <c r="BT2942">
        <v>0</v>
      </c>
      <c r="BU2942">
        <v>0</v>
      </c>
      <c r="BV2942">
        <v>0</v>
      </c>
    </row>
    <row r="2943" spans="67:74" x14ac:dyDescent="0.25">
      <c r="BO2943">
        <v>0</v>
      </c>
      <c r="BP2943">
        <v>0</v>
      </c>
      <c r="BQ2943">
        <v>0</v>
      </c>
      <c r="BR2943">
        <v>0</v>
      </c>
      <c r="BS2943">
        <v>0</v>
      </c>
      <c r="BT2943">
        <v>0</v>
      </c>
      <c r="BU2943">
        <v>0</v>
      </c>
      <c r="BV2943">
        <v>0</v>
      </c>
    </row>
    <row r="2944" spans="67:74" x14ac:dyDescent="0.25">
      <c r="BO2944">
        <v>0</v>
      </c>
      <c r="BP2944">
        <v>0</v>
      </c>
      <c r="BQ2944">
        <v>0</v>
      </c>
      <c r="BR2944">
        <v>0</v>
      </c>
      <c r="BS2944">
        <v>0</v>
      </c>
      <c r="BT2944">
        <v>0</v>
      </c>
      <c r="BU2944">
        <v>0</v>
      </c>
      <c r="BV2944">
        <v>0</v>
      </c>
    </row>
    <row r="2945" spans="67:74" x14ac:dyDescent="0.25">
      <c r="BO2945">
        <v>0</v>
      </c>
      <c r="BP2945">
        <v>0</v>
      </c>
      <c r="BQ2945">
        <v>0</v>
      </c>
      <c r="BR2945">
        <v>0</v>
      </c>
      <c r="BS2945">
        <v>0</v>
      </c>
      <c r="BT2945">
        <v>0</v>
      </c>
      <c r="BU2945">
        <v>0</v>
      </c>
      <c r="BV2945">
        <v>0</v>
      </c>
    </row>
    <row r="2946" spans="67:74" x14ac:dyDescent="0.25">
      <c r="BO2946">
        <v>0</v>
      </c>
      <c r="BP2946">
        <v>0</v>
      </c>
      <c r="BQ2946">
        <v>0</v>
      </c>
      <c r="BR2946">
        <v>0</v>
      </c>
      <c r="BS2946">
        <v>0</v>
      </c>
      <c r="BT2946">
        <v>0</v>
      </c>
      <c r="BU2946">
        <v>0</v>
      </c>
      <c r="BV2946">
        <v>0</v>
      </c>
    </row>
    <row r="2947" spans="67:74" x14ac:dyDescent="0.25">
      <c r="BO2947">
        <v>0</v>
      </c>
      <c r="BP2947">
        <v>0</v>
      </c>
      <c r="BQ2947">
        <v>0</v>
      </c>
      <c r="BR2947">
        <v>0</v>
      </c>
      <c r="BS2947">
        <v>0</v>
      </c>
      <c r="BT2947">
        <v>0</v>
      </c>
      <c r="BU2947">
        <v>0</v>
      </c>
      <c r="BV2947">
        <v>0</v>
      </c>
    </row>
    <row r="2948" spans="67:74" x14ac:dyDescent="0.25">
      <c r="BO2948">
        <v>0</v>
      </c>
      <c r="BP2948">
        <v>0</v>
      </c>
      <c r="BQ2948">
        <v>0</v>
      </c>
      <c r="BR2948">
        <v>0</v>
      </c>
      <c r="BS2948">
        <v>0</v>
      </c>
      <c r="BT2948">
        <v>0</v>
      </c>
      <c r="BU2948">
        <v>0</v>
      </c>
      <c r="BV2948">
        <v>0</v>
      </c>
    </row>
    <row r="2949" spans="67:74" x14ac:dyDescent="0.25">
      <c r="BO2949">
        <v>0</v>
      </c>
      <c r="BP2949">
        <v>0</v>
      </c>
      <c r="BQ2949">
        <v>0</v>
      </c>
      <c r="BR2949">
        <v>0</v>
      </c>
      <c r="BS2949">
        <v>0</v>
      </c>
      <c r="BT2949">
        <v>0</v>
      </c>
      <c r="BU2949">
        <v>0</v>
      </c>
      <c r="BV2949">
        <v>0</v>
      </c>
    </row>
    <row r="2950" spans="67:74" x14ac:dyDescent="0.25">
      <c r="BO2950">
        <v>0</v>
      </c>
      <c r="BP2950">
        <v>0</v>
      </c>
      <c r="BQ2950">
        <v>0</v>
      </c>
      <c r="BR2950">
        <v>0</v>
      </c>
      <c r="BS2950">
        <v>0</v>
      </c>
      <c r="BT2950">
        <v>0</v>
      </c>
      <c r="BU2950">
        <v>0</v>
      </c>
      <c r="BV2950">
        <v>0</v>
      </c>
    </row>
    <row r="2951" spans="67:74" x14ac:dyDescent="0.25">
      <c r="BO2951">
        <v>0</v>
      </c>
      <c r="BP2951">
        <v>0</v>
      </c>
      <c r="BQ2951">
        <v>0</v>
      </c>
      <c r="BR2951">
        <v>0</v>
      </c>
      <c r="BS2951">
        <v>0</v>
      </c>
      <c r="BT2951">
        <v>0</v>
      </c>
      <c r="BU2951">
        <v>0</v>
      </c>
      <c r="BV2951">
        <v>0</v>
      </c>
    </row>
    <row r="2952" spans="67:74" x14ac:dyDescent="0.25">
      <c r="BO2952">
        <v>0</v>
      </c>
      <c r="BP2952">
        <v>0</v>
      </c>
      <c r="BQ2952">
        <v>0</v>
      </c>
      <c r="BR2952">
        <v>0</v>
      </c>
      <c r="BS2952">
        <v>0</v>
      </c>
      <c r="BT2952">
        <v>0</v>
      </c>
      <c r="BU2952">
        <v>0</v>
      </c>
      <c r="BV2952">
        <v>0</v>
      </c>
    </row>
    <row r="2953" spans="67:74" x14ac:dyDescent="0.25">
      <c r="BO2953">
        <v>0</v>
      </c>
      <c r="BP2953">
        <v>0</v>
      </c>
      <c r="BQ2953">
        <v>0</v>
      </c>
      <c r="BR2953">
        <v>0</v>
      </c>
      <c r="BS2953">
        <v>0</v>
      </c>
      <c r="BT2953">
        <v>0</v>
      </c>
      <c r="BU2953">
        <v>0</v>
      </c>
      <c r="BV2953">
        <v>0</v>
      </c>
    </row>
    <row r="2954" spans="67:74" x14ac:dyDescent="0.25">
      <c r="BO2954">
        <v>0</v>
      </c>
      <c r="BP2954">
        <v>0</v>
      </c>
      <c r="BQ2954">
        <v>0</v>
      </c>
      <c r="BR2954">
        <v>0</v>
      </c>
      <c r="BS2954">
        <v>0</v>
      </c>
      <c r="BT2954">
        <v>0</v>
      </c>
      <c r="BU2954">
        <v>0</v>
      </c>
      <c r="BV2954">
        <v>0</v>
      </c>
    </row>
    <row r="2955" spans="67:74" x14ac:dyDescent="0.25">
      <c r="BO2955">
        <v>0</v>
      </c>
      <c r="BP2955">
        <v>0</v>
      </c>
      <c r="BQ2955">
        <v>0</v>
      </c>
      <c r="BR2955">
        <v>0</v>
      </c>
      <c r="BS2955">
        <v>0</v>
      </c>
      <c r="BT2955">
        <v>0</v>
      </c>
      <c r="BU2955">
        <v>0</v>
      </c>
      <c r="BV2955">
        <v>0</v>
      </c>
    </row>
    <row r="2956" spans="67:74" x14ac:dyDescent="0.25">
      <c r="BO2956">
        <v>0</v>
      </c>
      <c r="BP2956">
        <v>0</v>
      </c>
      <c r="BQ2956">
        <v>0</v>
      </c>
      <c r="BR2956">
        <v>0</v>
      </c>
      <c r="BS2956">
        <v>0</v>
      </c>
      <c r="BT2956">
        <v>0</v>
      </c>
      <c r="BU2956">
        <v>0</v>
      </c>
      <c r="BV2956">
        <v>0</v>
      </c>
    </row>
    <row r="2957" spans="67:74" x14ac:dyDescent="0.25">
      <c r="BO2957">
        <v>0</v>
      </c>
      <c r="BP2957">
        <v>0</v>
      </c>
      <c r="BQ2957">
        <v>0</v>
      </c>
      <c r="BR2957">
        <v>0</v>
      </c>
      <c r="BS2957">
        <v>0</v>
      </c>
      <c r="BT2957">
        <v>0</v>
      </c>
      <c r="BU2957">
        <v>0</v>
      </c>
      <c r="BV2957">
        <v>0</v>
      </c>
    </row>
    <row r="2958" spans="67:74" x14ac:dyDescent="0.25">
      <c r="BO2958">
        <v>0</v>
      </c>
      <c r="BP2958">
        <v>0</v>
      </c>
      <c r="BQ2958">
        <v>0</v>
      </c>
      <c r="BR2958">
        <v>0</v>
      </c>
      <c r="BS2958">
        <v>0</v>
      </c>
      <c r="BT2958">
        <v>0</v>
      </c>
      <c r="BU2958">
        <v>0</v>
      </c>
      <c r="BV2958">
        <v>0</v>
      </c>
    </row>
    <row r="2959" spans="67:74" x14ac:dyDescent="0.25">
      <c r="BO2959">
        <v>0</v>
      </c>
      <c r="BP2959">
        <v>0</v>
      </c>
      <c r="BQ2959">
        <v>0</v>
      </c>
      <c r="BR2959">
        <v>0</v>
      </c>
      <c r="BS2959">
        <v>0</v>
      </c>
      <c r="BT2959">
        <v>0</v>
      </c>
      <c r="BU2959">
        <v>0</v>
      </c>
      <c r="BV2959">
        <v>0</v>
      </c>
    </row>
    <row r="2960" spans="67:74" x14ac:dyDescent="0.25">
      <c r="BO2960">
        <v>0</v>
      </c>
      <c r="BP2960">
        <v>0</v>
      </c>
      <c r="BQ2960">
        <v>0</v>
      </c>
      <c r="BR2960">
        <v>0</v>
      </c>
      <c r="BS2960">
        <v>0</v>
      </c>
      <c r="BT2960">
        <v>0</v>
      </c>
      <c r="BU2960">
        <v>0</v>
      </c>
      <c r="BV2960">
        <v>0</v>
      </c>
    </row>
    <row r="2961" spans="62:74" x14ac:dyDescent="0.25">
      <c r="BJ2961" s="16"/>
      <c r="BO2961">
        <v>0</v>
      </c>
      <c r="BP2961">
        <v>0</v>
      </c>
      <c r="BQ2961">
        <v>0</v>
      </c>
      <c r="BR2961">
        <v>0</v>
      </c>
      <c r="BS2961">
        <v>0</v>
      </c>
      <c r="BT2961">
        <v>0</v>
      </c>
      <c r="BU2961">
        <v>0</v>
      </c>
      <c r="BV2961">
        <v>0</v>
      </c>
    </row>
    <row r="2962" spans="62:74" x14ac:dyDescent="0.25">
      <c r="BO2962">
        <v>0</v>
      </c>
      <c r="BP2962">
        <v>0</v>
      </c>
      <c r="BQ2962">
        <v>0</v>
      </c>
      <c r="BR2962">
        <v>0</v>
      </c>
      <c r="BS2962">
        <v>0</v>
      </c>
      <c r="BT2962">
        <v>0</v>
      </c>
      <c r="BU2962">
        <v>0</v>
      </c>
      <c r="BV2962">
        <v>0</v>
      </c>
    </row>
    <row r="2963" spans="62:74" x14ac:dyDescent="0.25">
      <c r="BO2963">
        <v>0</v>
      </c>
      <c r="BP2963">
        <v>0</v>
      </c>
      <c r="BQ2963">
        <v>0</v>
      </c>
      <c r="BR2963">
        <v>0</v>
      </c>
      <c r="BS2963">
        <v>0</v>
      </c>
      <c r="BT2963">
        <v>0</v>
      </c>
      <c r="BU2963">
        <v>0</v>
      </c>
      <c r="BV2963">
        <v>0</v>
      </c>
    </row>
    <row r="2964" spans="62:74" x14ac:dyDescent="0.25">
      <c r="BO2964">
        <v>0</v>
      </c>
      <c r="BP2964">
        <v>0</v>
      </c>
      <c r="BQ2964">
        <v>0</v>
      </c>
      <c r="BR2964">
        <v>0</v>
      </c>
      <c r="BS2964">
        <v>0</v>
      </c>
      <c r="BT2964">
        <v>0</v>
      </c>
      <c r="BU2964">
        <v>0</v>
      </c>
      <c r="BV2964">
        <v>0</v>
      </c>
    </row>
    <row r="2965" spans="62:74" x14ac:dyDescent="0.25">
      <c r="BO2965">
        <v>0</v>
      </c>
      <c r="BP2965">
        <v>0</v>
      </c>
      <c r="BQ2965">
        <v>0</v>
      </c>
      <c r="BR2965">
        <v>0</v>
      </c>
      <c r="BS2965">
        <v>0</v>
      </c>
      <c r="BT2965">
        <v>0</v>
      </c>
      <c r="BU2965">
        <v>0</v>
      </c>
      <c r="BV2965">
        <v>0</v>
      </c>
    </row>
    <row r="2966" spans="62:74" x14ac:dyDescent="0.25">
      <c r="BO2966">
        <v>0</v>
      </c>
      <c r="BP2966">
        <v>0</v>
      </c>
      <c r="BQ2966">
        <v>0</v>
      </c>
      <c r="BR2966">
        <v>0</v>
      </c>
      <c r="BS2966">
        <v>0</v>
      </c>
      <c r="BT2966">
        <v>0</v>
      </c>
      <c r="BU2966">
        <v>0</v>
      </c>
      <c r="BV2966">
        <v>0</v>
      </c>
    </row>
    <row r="2967" spans="62:74" x14ac:dyDescent="0.25">
      <c r="BO2967">
        <v>0</v>
      </c>
      <c r="BP2967">
        <v>0</v>
      </c>
      <c r="BQ2967">
        <v>0</v>
      </c>
      <c r="BR2967">
        <v>0</v>
      </c>
      <c r="BS2967">
        <v>0</v>
      </c>
      <c r="BT2967">
        <v>0</v>
      </c>
      <c r="BU2967">
        <v>0</v>
      </c>
      <c r="BV2967">
        <v>0</v>
      </c>
    </row>
    <row r="2968" spans="62:74" x14ac:dyDescent="0.25">
      <c r="BO2968">
        <v>0</v>
      </c>
      <c r="BP2968">
        <v>0</v>
      </c>
      <c r="BQ2968">
        <v>0</v>
      </c>
      <c r="BR2968">
        <v>0</v>
      </c>
      <c r="BS2968">
        <v>0</v>
      </c>
      <c r="BT2968">
        <v>0</v>
      </c>
      <c r="BU2968">
        <v>0</v>
      </c>
      <c r="BV2968">
        <v>0</v>
      </c>
    </row>
    <row r="2969" spans="62:74" x14ac:dyDescent="0.25">
      <c r="BO2969">
        <v>0</v>
      </c>
      <c r="BP2969">
        <v>0</v>
      </c>
      <c r="BQ2969">
        <v>0</v>
      </c>
      <c r="BR2969">
        <v>0</v>
      </c>
      <c r="BS2969">
        <v>0</v>
      </c>
      <c r="BT2969">
        <v>0</v>
      </c>
      <c r="BU2969">
        <v>0</v>
      </c>
      <c r="BV2969">
        <v>0</v>
      </c>
    </row>
    <row r="2970" spans="62:74" x14ac:dyDescent="0.25">
      <c r="BO2970">
        <v>0</v>
      </c>
      <c r="BP2970">
        <v>0</v>
      </c>
      <c r="BQ2970">
        <v>0</v>
      </c>
      <c r="BR2970">
        <v>0</v>
      </c>
      <c r="BS2970">
        <v>0</v>
      </c>
      <c r="BT2970">
        <v>0</v>
      </c>
      <c r="BU2970">
        <v>0</v>
      </c>
      <c r="BV2970">
        <v>0</v>
      </c>
    </row>
    <row r="2971" spans="62:74" x14ac:dyDescent="0.25">
      <c r="BO2971">
        <v>0</v>
      </c>
      <c r="BP2971">
        <v>0</v>
      </c>
      <c r="BQ2971">
        <v>0</v>
      </c>
      <c r="BR2971">
        <v>0</v>
      </c>
      <c r="BS2971">
        <v>0</v>
      </c>
      <c r="BT2971">
        <v>0</v>
      </c>
      <c r="BU2971">
        <v>0</v>
      </c>
      <c r="BV2971">
        <v>0</v>
      </c>
    </row>
    <row r="2972" spans="62:74" x14ac:dyDescent="0.25">
      <c r="BO2972">
        <v>0</v>
      </c>
      <c r="BP2972">
        <v>0</v>
      </c>
      <c r="BQ2972">
        <v>0</v>
      </c>
      <c r="BR2972">
        <v>0</v>
      </c>
      <c r="BS2972">
        <v>0</v>
      </c>
      <c r="BT2972">
        <v>0</v>
      </c>
      <c r="BU2972">
        <v>0</v>
      </c>
      <c r="BV2972">
        <v>0</v>
      </c>
    </row>
    <row r="2973" spans="62:74" x14ac:dyDescent="0.25">
      <c r="BO2973">
        <v>0</v>
      </c>
      <c r="BP2973">
        <v>0</v>
      </c>
      <c r="BQ2973">
        <v>0</v>
      </c>
      <c r="BR2973">
        <v>0</v>
      </c>
      <c r="BS2973">
        <v>0</v>
      </c>
      <c r="BT2973">
        <v>0</v>
      </c>
      <c r="BU2973">
        <v>0</v>
      </c>
      <c r="BV2973">
        <v>0</v>
      </c>
    </row>
    <row r="2974" spans="62:74" x14ac:dyDescent="0.25">
      <c r="BO2974">
        <v>0</v>
      </c>
      <c r="BP2974">
        <v>0</v>
      </c>
      <c r="BQ2974">
        <v>0</v>
      </c>
      <c r="BR2974">
        <v>0</v>
      </c>
      <c r="BS2974">
        <v>0</v>
      </c>
      <c r="BT2974">
        <v>0</v>
      </c>
      <c r="BU2974">
        <v>0</v>
      </c>
      <c r="BV2974">
        <v>0</v>
      </c>
    </row>
    <row r="2975" spans="62:74" x14ac:dyDescent="0.25">
      <c r="BO2975">
        <v>0</v>
      </c>
      <c r="BP2975">
        <v>0</v>
      </c>
      <c r="BQ2975">
        <v>0</v>
      </c>
      <c r="BR2975">
        <v>0</v>
      </c>
      <c r="BS2975">
        <v>0</v>
      </c>
      <c r="BT2975">
        <v>0</v>
      </c>
      <c r="BU2975">
        <v>0</v>
      </c>
      <c r="BV2975">
        <v>0</v>
      </c>
    </row>
    <row r="2976" spans="62:74" x14ac:dyDescent="0.25">
      <c r="BO2976">
        <v>0</v>
      </c>
      <c r="BP2976">
        <v>0</v>
      </c>
      <c r="BQ2976">
        <v>0</v>
      </c>
      <c r="BR2976">
        <v>0</v>
      </c>
      <c r="BS2976">
        <v>0</v>
      </c>
      <c r="BT2976">
        <v>0</v>
      </c>
      <c r="BU2976">
        <v>0</v>
      </c>
      <c r="BV2976">
        <v>0</v>
      </c>
    </row>
    <row r="2977" spans="67:74" x14ac:dyDescent="0.25">
      <c r="BO2977">
        <v>0</v>
      </c>
      <c r="BP2977">
        <v>0</v>
      </c>
      <c r="BQ2977">
        <v>0</v>
      </c>
      <c r="BR2977">
        <v>0</v>
      </c>
      <c r="BS2977">
        <v>0</v>
      </c>
      <c r="BT2977">
        <v>0</v>
      </c>
      <c r="BU2977">
        <v>0</v>
      </c>
      <c r="BV2977">
        <v>0</v>
      </c>
    </row>
    <row r="2978" spans="67:74" x14ac:dyDescent="0.25">
      <c r="BO2978">
        <v>0</v>
      </c>
      <c r="BP2978">
        <v>0</v>
      </c>
      <c r="BQ2978">
        <v>0</v>
      </c>
      <c r="BR2978">
        <v>0</v>
      </c>
      <c r="BS2978">
        <v>0</v>
      </c>
      <c r="BT2978">
        <v>0</v>
      </c>
      <c r="BU2978">
        <v>0</v>
      </c>
      <c r="BV2978">
        <v>0</v>
      </c>
    </row>
    <row r="2979" spans="67:74" x14ac:dyDescent="0.25">
      <c r="BO2979">
        <v>0</v>
      </c>
      <c r="BP2979">
        <v>0</v>
      </c>
      <c r="BQ2979">
        <v>0</v>
      </c>
      <c r="BR2979">
        <v>0</v>
      </c>
      <c r="BS2979">
        <v>0</v>
      </c>
      <c r="BT2979">
        <v>0</v>
      </c>
      <c r="BU2979">
        <v>0</v>
      </c>
      <c r="BV2979">
        <v>0</v>
      </c>
    </row>
    <row r="2980" spans="67:74" x14ac:dyDescent="0.25">
      <c r="BO2980">
        <v>0</v>
      </c>
      <c r="BP2980">
        <v>0</v>
      </c>
      <c r="BQ2980">
        <v>0</v>
      </c>
      <c r="BR2980">
        <v>0</v>
      </c>
      <c r="BS2980">
        <v>0</v>
      </c>
      <c r="BT2980">
        <v>0</v>
      </c>
      <c r="BU2980">
        <v>0</v>
      </c>
      <c r="BV2980">
        <v>0</v>
      </c>
    </row>
    <row r="2981" spans="67:74" x14ac:dyDescent="0.25">
      <c r="BO2981">
        <v>0</v>
      </c>
      <c r="BP2981">
        <v>0</v>
      </c>
      <c r="BQ2981">
        <v>0</v>
      </c>
      <c r="BR2981">
        <v>0</v>
      </c>
      <c r="BS2981">
        <v>0</v>
      </c>
      <c r="BT2981">
        <v>0</v>
      </c>
      <c r="BU2981">
        <v>0</v>
      </c>
      <c r="BV2981">
        <v>0</v>
      </c>
    </row>
    <row r="2982" spans="67:74" x14ac:dyDescent="0.25">
      <c r="BO2982">
        <v>0</v>
      </c>
      <c r="BP2982">
        <v>0</v>
      </c>
      <c r="BQ2982">
        <v>0</v>
      </c>
      <c r="BR2982">
        <v>0</v>
      </c>
      <c r="BS2982">
        <v>0</v>
      </c>
      <c r="BT2982">
        <v>0</v>
      </c>
      <c r="BU2982">
        <v>0</v>
      </c>
      <c r="BV2982">
        <v>0</v>
      </c>
    </row>
    <row r="2983" spans="67:74" x14ac:dyDescent="0.25">
      <c r="BO2983">
        <v>0</v>
      </c>
      <c r="BP2983">
        <v>0</v>
      </c>
      <c r="BQ2983">
        <v>0</v>
      </c>
      <c r="BR2983">
        <v>0</v>
      </c>
      <c r="BS2983">
        <v>0</v>
      </c>
      <c r="BT2983">
        <v>0</v>
      </c>
      <c r="BU2983">
        <v>0</v>
      </c>
      <c r="BV2983">
        <v>0</v>
      </c>
    </row>
    <row r="2984" spans="67:74" x14ac:dyDescent="0.25">
      <c r="BO2984">
        <v>0</v>
      </c>
      <c r="BP2984">
        <v>0</v>
      </c>
      <c r="BQ2984">
        <v>0</v>
      </c>
      <c r="BR2984">
        <v>0</v>
      </c>
      <c r="BS2984">
        <v>0</v>
      </c>
      <c r="BT2984">
        <v>0</v>
      </c>
      <c r="BU2984">
        <v>0</v>
      </c>
      <c r="BV2984">
        <v>0</v>
      </c>
    </row>
    <row r="2985" spans="67:74" x14ac:dyDescent="0.25">
      <c r="BO2985">
        <v>0</v>
      </c>
      <c r="BP2985">
        <v>0</v>
      </c>
      <c r="BQ2985">
        <v>0</v>
      </c>
      <c r="BR2985">
        <v>0</v>
      </c>
      <c r="BS2985">
        <v>0</v>
      </c>
      <c r="BT2985">
        <v>0</v>
      </c>
      <c r="BU2985">
        <v>0</v>
      </c>
      <c r="BV2985">
        <v>0</v>
      </c>
    </row>
    <row r="2986" spans="67:74" x14ac:dyDescent="0.25">
      <c r="BO2986">
        <v>0</v>
      </c>
      <c r="BP2986">
        <v>0</v>
      </c>
      <c r="BQ2986">
        <v>0</v>
      </c>
      <c r="BR2986">
        <v>0</v>
      </c>
      <c r="BS2986">
        <v>0</v>
      </c>
      <c r="BT2986">
        <v>0</v>
      </c>
      <c r="BU2986">
        <v>0</v>
      </c>
      <c r="BV2986">
        <v>0</v>
      </c>
    </row>
    <row r="2987" spans="67:74" x14ac:dyDescent="0.25">
      <c r="BO2987">
        <v>0</v>
      </c>
      <c r="BP2987">
        <v>0</v>
      </c>
      <c r="BQ2987">
        <v>0</v>
      </c>
      <c r="BR2987">
        <v>0</v>
      </c>
      <c r="BS2987">
        <v>0</v>
      </c>
      <c r="BT2987">
        <v>0</v>
      </c>
      <c r="BU2987">
        <v>0</v>
      </c>
      <c r="BV2987">
        <v>0</v>
      </c>
    </row>
    <row r="2988" spans="67:74" x14ac:dyDescent="0.25">
      <c r="BO2988">
        <v>0</v>
      </c>
      <c r="BP2988">
        <v>0</v>
      </c>
      <c r="BQ2988">
        <v>0</v>
      </c>
      <c r="BR2988">
        <v>0</v>
      </c>
      <c r="BS2988">
        <v>0</v>
      </c>
      <c r="BT2988">
        <v>0</v>
      </c>
      <c r="BU2988">
        <v>0</v>
      </c>
      <c r="BV2988">
        <v>0</v>
      </c>
    </row>
    <row r="2989" spans="67:74" x14ac:dyDescent="0.25">
      <c r="BO2989">
        <v>0</v>
      </c>
      <c r="BP2989">
        <v>0</v>
      </c>
      <c r="BQ2989">
        <v>0</v>
      </c>
      <c r="BR2989">
        <v>0</v>
      </c>
      <c r="BS2989">
        <v>0</v>
      </c>
      <c r="BT2989">
        <v>0</v>
      </c>
      <c r="BU2989">
        <v>0</v>
      </c>
      <c r="BV2989">
        <v>0</v>
      </c>
    </row>
    <row r="2990" spans="67:74" x14ac:dyDescent="0.25">
      <c r="BO2990">
        <v>0</v>
      </c>
      <c r="BP2990">
        <v>0</v>
      </c>
      <c r="BQ2990">
        <v>0</v>
      </c>
      <c r="BR2990">
        <v>0</v>
      </c>
      <c r="BS2990">
        <v>0</v>
      </c>
      <c r="BT2990">
        <v>0</v>
      </c>
      <c r="BU2990">
        <v>0</v>
      </c>
      <c r="BV2990">
        <v>0</v>
      </c>
    </row>
    <row r="2991" spans="67:74" x14ac:dyDescent="0.25">
      <c r="BO2991">
        <v>0</v>
      </c>
      <c r="BP2991">
        <v>0</v>
      </c>
      <c r="BQ2991">
        <v>0</v>
      </c>
      <c r="BR2991">
        <v>0</v>
      </c>
      <c r="BS2991">
        <v>0</v>
      </c>
      <c r="BT2991">
        <v>0</v>
      </c>
      <c r="BU2991">
        <v>0</v>
      </c>
      <c r="BV2991">
        <v>0</v>
      </c>
    </row>
    <row r="2992" spans="67:74" x14ac:dyDescent="0.25">
      <c r="BO2992">
        <v>0</v>
      </c>
      <c r="BP2992">
        <v>0</v>
      </c>
      <c r="BQ2992">
        <v>0</v>
      </c>
      <c r="BR2992">
        <v>0</v>
      </c>
      <c r="BS2992">
        <v>0</v>
      </c>
      <c r="BT2992">
        <v>0</v>
      </c>
      <c r="BU2992">
        <v>0</v>
      </c>
      <c r="BV2992">
        <v>0</v>
      </c>
    </row>
    <row r="2993" spans="67:74" x14ac:dyDescent="0.25">
      <c r="BO2993">
        <v>0</v>
      </c>
      <c r="BP2993">
        <v>0</v>
      </c>
      <c r="BQ2993">
        <v>0</v>
      </c>
      <c r="BR2993">
        <v>0</v>
      </c>
      <c r="BS2993">
        <v>0</v>
      </c>
      <c r="BT2993">
        <v>0</v>
      </c>
      <c r="BU2993">
        <v>0</v>
      </c>
      <c r="BV2993">
        <v>0</v>
      </c>
    </row>
    <row r="2994" spans="67:74" x14ac:dyDescent="0.25">
      <c r="BO2994">
        <v>0</v>
      </c>
      <c r="BP2994">
        <v>0</v>
      </c>
      <c r="BQ2994">
        <v>0</v>
      </c>
      <c r="BR2994">
        <v>0</v>
      </c>
      <c r="BS2994">
        <v>0</v>
      </c>
      <c r="BT2994">
        <v>0</v>
      </c>
      <c r="BU2994">
        <v>0</v>
      </c>
      <c r="BV2994">
        <v>0</v>
      </c>
    </row>
    <row r="2995" spans="67:74" x14ac:dyDescent="0.25">
      <c r="BO2995">
        <v>0</v>
      </c>
      <c r="BP2995">
        <v>0</v>
      </c>
      <c r="BQ2995">
        <v>0</v>
      </c>
      <c r="BR2995">
        <v>0</v>
      </c>
      <c r="BS2995">
        <v>0</v>
      </c>
      <c r="BT2995">
        <v>0</v>
      </c>
      <c r="BU2995">
        <v>0</v>
      </c>
      <c r="BV2995">
        <v>0</v>
      </c>
    </row>
    <row r="2996" spans="67:74" x14ac:dyDescent="0.25">
      <c r="BO2996">
        <v>0</v>
      </c>
      <c r="BP2996">
        <v>0</v>
      </c>
      <c r="BQ2996">
        <v>0</v>
      </c>
      <c r="BR2996">
        <v>0</v>
      </c>
      <c r="BS2996">
        <v>0</v>
      </c>
      <c r="BT2996">
        <v>0</v>
      </c>
      <c r="BU2996">
        <v>0</v>
      </c>
      <c r="BV2996">
        <v>0</v>
      </c>
    </row>
    <row r="2997" spans="67:74" x14ac:dyDescent="0.25">
      <c r="BO2997">
        <v>0</v>
      </c>
      <c r="BP2997">
        <v>0</v>
      </c>
      <c r="BQ2997">
        <v>0</v>
      </c>
      <c r="BR2997">
        <v>0</v>
      </c>
      <c r="BS2997">
        <v>0</v>
      </c>
      <c r="BT2997">
        <v>0</v>
      </c>
      <c r="BU2997">
        <v>0</v>
      </c>
      <c r="BV2997">
        <v>0</v>
      </c>
    </row>
    <row r="2998" spans="67:74" x14ac:dyDescent="0.25">
      <c r="BO2998">
        <v>0</v>
      </c>
      <c r="BP2998">
        <v>0</v>
      </c>
      <c r="BQ2998">
        <v>0</v>
      </c>
      <c r="BR2998">
        <v>0</v>
      </c>
      <c r="BS2998">
        <v>0</v>
      </c>
      <c r="BT2998">
        <v>0</v>
      </c>
      <c r="BU2998">
        <v>0</v>
      </c>
      <c r="BV2998">
        <v>0</v>
      </c>
    </row>
    <row r="2999" spans="67:74" x14ac:dyDescent="0.25">
      <c r="BO2999">
        <v>0</v>
      </c>
      <c r="BP2999">
        <v>0</v>
      </c>
      <c r="BQ2999">
        <v>0</v>
      </c>
      <c r="BR2999">
        <v>0</v>
      </c>
      <c r="BS2999">
        <v>0</v>
      </c>
      <c r="BT2999">
        <v>0</v>
      </c>
      <c r="BU2999">
        <v>0</v>
      </c>
      <c r="BV2999">
        <v>0</v>
      </c>
    </row>
    <row r="3000" spans="67:74" x14ac:dyDescent="0.25">
      <c r="BO3000">
        <v>0</v>
      </c>
      <c r="BP3000">
        <v>0</v>
      </c>
      <c r="BQ3000">
        <v>0</v>
      </c>
      <c r="BR3000">
        <v>0</v>
      </c>
      <c r="BS3000">
        <v>0</v>
      </c>
      <c r="BT3000">
        <v>0</v>
      </c>
      <c r="BU3000">
        <v>0</v>
      </c>
      <c r="BV3000">
        <v>0</v>
      </c>
    </row>
    <row r="3001" spans="67:74" x14ac:dyDescent="0.25">
      <c r="BO3001">
        <v>0</v>
      </c>
      <c r="BP3001">
        <v>0</v>
      </c>
      <c r="BQ3001">
        <v>0</v>
      </c>
      <c r="BR3001">
        <v>0</v>
      </c>
      <c r="BS3001">
        <v>0</v>
      </c>
      <c r="BT3001">
        <v>0</v>
      </c>
      <c r="BU3001">
        <v>0</v>
      </c>
      <c r="BV3001">
        <v>0</v>
      </c>
    </row>
    <row r="3002" spans="67:74" x14ac:dyDescent="0.25">
      <c r="BO3002">
        <v>0</v>
      </c>
      <c r="BP3002">
        <v>0</v>
      </c>
      <c r="BQ3002">
        <v>0</v>
      </c>
      <c r="BR3002">
        <v>0</v>
      </c>
      <c r="BS3002">
        <v>0</v>
      </c>
      <c r="BT3002">
        <v>0</v>
      </c>
      <c r="BU3002">
        <v>0</v>
      </c>
      <c r="BV3002">
        <v>0</v>
      </c>
    </row>
    <row r="3003" spans="67:74" x14ac:dyDescent="0.25">
      <c r="BO3003">
        <v>0</v>
      </c>
      <c r="BP3003">
        <v>0</v>
      </c>
      <c r="BQ3003">
        <v>0</v>
      </c>
      <c r="BR3003">
        <v>0</v>
      </c>
      <c r="BS3003">
        <v>0</v>
      </c>
      <c r="BT3003">
        <v>0</v>
      </c>
      <c r="BU3003">
        <v>0</v>
      </c>
      <c r="BV3003">
        <v>0</v>
      </c>
    </row>
    <row r="3004" spans="67:74" x14ac:dyDescent="0.25">
      <c r="BO3004">
        <v>0</v>
      </c>
      <c r="BP3004">
        <v>0</v>
      </c>
      <c r="BQ3004">
        <v>0</v>
      </c>
      <c r="BR3004">
        <v>0</v>
      </c>
      <c r="BS3004">
        <v>0</v>
      </c>
      <c r="BT3004">
        <v>0</v>
      </c>
      <c r="BU3004">
        <v>0</v>
      </c>
      <c r="BV3004">
        <v>0</v>
      </c>
    </row>
    <row r="3005" spans="67:74" x14ac:dyDescent="0.25">
      <c r="BO3005">
        <v>0</v>
      </c>
      <c r="BP3005">
        <v>0</v>
      </c>
      <c r="BQ3005">
        <v>0</v>
      </c>
      <c r="BR3005">
        <v>0</v>
      </c>
      <c r="BS3005">
        <v>0</v>
      </c>
      <c r="BT3005">
        <v>0</v>
      </c>
      <c r="BU3005">
        <v>0</v>
      </c>
      <c r="BV3005">
        <v>0</v>
      </c>
    </row>
    <row r="3006" spans="67:74" x14ac:dyDescent="0.25">
      <c r="BO3006">
        <v>0</v>
      </c>
      <c r="BP3006">
        <v>0</v>
      </c>
      <c r="BQ3006">
        <v>0</v>
      </c>
      <c r="BR3006">
        <v>0</v>
      </c>
      <c r="BS3006">
        <v>0</v>
      </c>
      <c r="BT3006">
        <v>0</v>
      </c>
      <c r="BU3006">
        <v>0</v>
      </c>
      <c r="BV3006">
        <v>0</v>
      </c>
    </row>
    <row r="3007" spans="67:74" x14ac:dyDescent="0.25">
      <c r="BO3007">
        <v>0</v>
      </c>
      <c r="BP3007">
        <v>0</v>
      </c>
      <c r="BQ3007">
        <v>0</v>
      </c>
      <c r="BR3007">
        <v>0</v>
      </c>
      <c r="BS3007">
        <v>0</v>
      </c>
      <c r="BT3007">
        <v>0</v>
      </c>
      <c r="BU3007">
        <v>0</v>
      </c>
      <c r="BV3007">
        <v>0</v>
      </c>
    </row>
    <row r="3008" spans="67:74" x14ac:dyDescent="0.25">
      <c r="BO3008">
        <v>0</v>
      </c>
      <c r="BP3008">
        <v>0</v>
      </c>
      <c r="BQ3008">
        <v>0</v>
      </c>
      <c r="BR3008">
        <v>0</v>
      </c>
      <c r="BS3008">
        <v>0</v>
      </c>
      <c r="BT3008">
        <v>0</v>
      </c>
      <c r="BU3008">
        <v>0</v>
      </c>
      <c r="BV3008">
        <v>0</v>
      </c>
    </row>
    <row r="3009" spans="67:74" x14ac:dyDescent="0.25">
      <c r="BO3009">
        <v>0</v>
      </c>
      <c r="BP3009">
        <v>0</v>
      </c>
      <c r="BQ3009">
        <v>0</v>
      </c>
      <c r="BR3009">
        <v>0</v>
      </c>
      <c r="BS3009">
        <v>0</v>
      </c>
      <c r="BT3009">
        <v>0</v>
      </c>
      <c r="BU3009">
        <v>0</v>
      </c>
      <c r="BV3009">
        <v>0</v>
      </c>
    </row>
    <row r="3010" spans="67:74" x14ac:dyDescent="0.25">
      <c r="BO3010">
        <v>0</v>
      </c>
      <c r="BP3010">
        <v>0</v>
      </c>
      <c r="BQ3010">
        <v>0</v>
      </c>
      <c r="BR3010">
        <v>0</v>
      </c>
      <c r="BS3010">
        <v>0</v>
      </c>
      <c r="BT3010">
        <v>0</v>
      </c>
      <c r="BU3010">
        <v>0</v>
      </c>
      <c r="BV3010">
        <v>0</v>
      </c>
    </row>
    <row r="3011" spans="67:74" x14ac:dyDescent="0.25">
      <c r="BO3011">
        <v>0</v>
      </c>
      <c r="BP3011">
        <v>0</v>
      </c>
      <c r="BQ3011">
        <v>0</v>
      </c>
      <c r="BR3011">
        <v>0</v>
      </c>
      <c r="BS3011">
        <v>0</v>
      </c>
      <c r="BT3011">
        <v>0</v>
      </c>
      <c r="BU3011">
        <v>0</v>
      </c>
      <c r="BV3011">
        <v>0</v>
      </c>
    </row>
    <row r="3012" spans="67:74" x14ac:dyDescent="0.25">
      <c r="BO3012">
        <v>0</v>
      </c>
      <c r="BP3012">
        <v>0</v>
      </c>
      <c r="BQ3012">
        <v>0</v>
      </c>
      <c r="BR3012">
        <v>0</v>
      </c>
      <c r="BS3012">
        <v>0</v>
      </c>
      <c r="BT3012">
        <v>0</v>
      </c>
      <c r="BU3012">
        <v>0</v>
      </c>
      <c r="BV3012">
        <v>0</v>
      </c>
    </row>
    <row r="3013" spans="67:74" x14ac:dyDescent="0.25">
      <c r="BO3013">
        <v>0</v>
      </c>
      <c r="BP3013">
        <v>0</v>
      </c>
      <c r="BQ3013">
        <v>0</v>
      </c>
      <c r="BR3013">
        <v>0</v>
      </c>
      <c r="BS3013">
        <v>0</v>
      </c>
      <c r="BT3013">
        <v>0</v>
      </c>
      <c r="BU3013">
        <v>0</v>
      </c>
      <c r="BV3013">
        <v>0</v>
      </c>
    </row>
    <row r="3014" spans="67:74" x14ac:dyDescent="0.25">
      <c r="BO3014">
        <v>0</v>
      </c>
      <c r="BP3014">
        <v>0</v>
      </c>
      <c r="BQ3014">
        <v>0</v>
      </c>
      <c r="BR3014">
        <v>0</v>
      </c>
      <c r="BS3014">
        <v>0</v>
      </c>
      <c r="BT3014">
        <v>0</v>
      </c>
      <c r="BU3014">
        <v>0</v>
      </c>
      <c r="BV3014">
        <v>0</v>
      </c>
    </row>
    <row r="3015" spans="67:74" x14ac:dyDescent="0.25">
      <c r="BO3015">
        <v>0</v>
      </c>
      <c r="BP3015">
        <v>0</v>
      </c>
      <c r="BQ3015">
        <v>0</v>
      </c>
      <c r="BR3015">
        <v>0</v>
      </c>
      <c r="BS3015">
        <v>0</v>
      </c>
      <c r="BT3015">
        <v>0</v>
      </c>
      <c r="BU3015">
        <v>0</v>
      </c>
      <c r="BV3015">
        <v>0</v>
      </c>
    </row>
    <row r="3016" spans="67:74" x14ac:dyDescent="0.25">
      <c r="BO3016">
        <v>0</v>
      </c>
      <c r="BP3016">
        <v>0</v>
      </c>
      <c r="BQ3016">
        <v>0</v>
      </c>
      <c r="BR3016">
        <v>0</v>
      </c>
      <c r="BS3016">
        <v>0</v>
      </c>
      <c r="BT3016">
        <v>0</v>
      </c>
      <c r="BU3016">
        <v>0</v>
      </c>
      <c r="BV3016">
        <v>0</v>
      </c>
    </row>
    <row r="3017" spans="67:74" x14ac:dyDescent="0.25">
      <c r="BO3017">
        <v>0</v>
      </c>
      <c r="BP3017">
        <v>0</v>
      </c>
      <c r="BQ3017">
        <v>0</v>
      </c>
      <c r="BR3017">
        <v>0</v>
      </c>
      <c r="BS3017">
        <v>0</v>
      </c>
      <c r="BT3017">
        <v>0</v>
      </c>
      <c r="BU3017">
        <v>0</v>
      </c>
      <c r="BV3017">
        <v>0</v>
      </c>
    </row>
    <row r="3018" spans="67:74" x14ac:dyDescent="0.25">
      <c r="BO3018">
        <v>0</v>
      </c>
      <c r="BP3018">
        <v>0</v>
      </c>
      <c r="BQ3018">
        <v>0</v>
      </c>
      <c r="BR3018">
        <v>0</v>
      </c>
      <c r="BS3018">
        <v>0</v>
      </c>
      <c r="BT3018">
        <v>0</v>
      </c>
      <c r="BU3018">
        <v>0</v>
      </c>
      <c r="BV3018">
        <v>0</v>
      </c>
    </row>
    <row r="3019" spans="67:74" x14ac:dyDescent="0.25">
      <c r="BO3019">
        <v>0</v>
      </c>
      <c r="BP3019">
        <v>0</v>
      </c>
      <c r="BQ3019">
        <v>0</v>
      </c>
      <c r="BR3019">
        <v>0</v>
      </c>
      <c r="BS3019">
        <v>0</v>
      </c>
      <c r="BT3019">
        <v>0</v>
      </c>
      <c r="BU3019">
        <v>0</v>
      </c>
      <c r="BV3019">
        <v>0</v>
      </c>
    </row>
    <row r="3020" spans="67:74" x14ac:dyDescent="0.25">
      <c r="BO3020">
        <v>0</v>
      </c>
      <c r="BP3020">
        <v>0</v>
      </c>
      <c r="BQ3020">
        <v>0</v>
      </c>
      <c r="BR3020">
        <v>0</v>
      </c>
      <c r="BS3020">
        <v>0</v>
      </c>
      <c r="BT3020">
        <v>0</v>
      </c>
      <c r="BU3020">
        <v>0</v>
      </c>
      <c r="BV3020">
        <v>0</v>
      </c>
    </row>
    <row r="3021" spans="67:74" x14ac:dyDescent="0.25">
      <c r="BO3021">
        <v>0</v>
      </c>
      <c r="BP3021">
        <v>0</v>
      </c>
      <c r="BQ3021">
        <v>0</v>
      </c>
      <c r="BR3021">
        <v>0</v>
      </c>
      <c r="BS3021">
        <v>0</v>
      </c>
      <c r="BT3021">
        <v>0</v>
      </c>
      <c r="BU3021">
        <v>0</v>
      </c>
      <c r="BV3021">
        <v>0</v>
      </c>
    </row>
    <row r="3022" spans="67:74" x14ac:dyDescent="0.25">
      <c r="BO3022">
        <v>0</v>
      </c>
      <c r="BP3022">
        <v>0</v>
      </c>
      <c r="BQ3022">
        <v>0</v>
      </c>
      <c r="BR3022">
        <v>0</v>
      </c>
      <c r="BS3022">
        <v>0</v>
      </c>
      <c r="BT3022">
        <v>0</v>
      </c>
      <c r="BU3022">
        <v>0</v>
      </c>
      <c r="BV3022">
        <v>0</v>
      </c>
    </row>
    <row r="3023" spans="67:74" x14ac:dyDescent="0.25">
      <c r="BO3023">
        <v>0</v>
      </c>
      <c r="BP3023">
        <v>0</v>
      </c>
      <c r="BQ3023">
        <v>0</v>
      </c>
      <c r="BR3023">
        <v>0</v>
      </c>
      <c r="BS3023">
        <v>0</v>
      </c>
      <c r="BT3023">
        <v>0</v>
      </c>
      <c r="BU3023">
        <v>0</v>
      </c>
      <c r="BV3023">
        <v>0</v>
      </c>
    </row>
    <row r="3024" spans="67:74" x14ac:dyDescent="0.25">
      <c r="BO3024">
        <v>0</v>
      </c>
      <c r="BP3024">
        <v>0</v>
      </c>
      <c r="BQ3024">
        <v>0</v>
      </c>
      <c r="BR3024">
        <v>0</v>
      </c>
      <c r="BS3024">
        <v>0</v>
      </c>
      <c r="BT3024">
        <v>0</v>
      </c>
      <c r="BU3024">
        <v>0</v>
      </c>
      <c r="BV3024">
        <v>0</v>
      </c>
    </row>
    <row r="3025" spans="67:74" x14ac:dyDescent="0.25">
      <c r="BO3025">
        <v>0</v>
      </c>
      <c r="BP3025">
        <v>0</v>
      </c>
      <c r="BQ3025">
        <v>0</v>
      </c>
      <c r="BR3025">
        <v>0</v>
      </c>
      <c r="BS3025">
        <v>0</v>
      </c>
      <c r="BT3025">
        <v>0</v>
      </c>
      <c r="BU3025">
        <v>0</v>
      </c>
      <c r="BV3025">
        <v>0</v>
      </c>
    </row>
    <row r="3026" spans="67:74" x14ac:dyDescent="0.25">
      <c r="BO3026">
        <v>0</v>
      </c>
      <c r="BP3026">
        <v>0</v>
      </c>
      <c r="BQ3026">
        <v>0</v>
      </c>
      <c r="BR3026">
        <v>0</v>
      </c>
      <c r="BS3026">
        <v>0</v>
      </c>
      <c r="BT3026">
        <v>0</v>
      </c>
      <c r="BU3026">
        <v>0</v>
      </c>
      <c r="BV3026">
        <v>0</v>
      </c>
    </row>
    <row r="3027" spans="67:74" x14ac:dyDescent="0.25">
      <c r="BO3027">
        <v>0</v>
      </c>
      <c r="BP3027">
        <v>0</v>
      </c>
      <c r="BQ3027">
        <v>0</v>
      </c>
      <c r="BR3027">
        <v>0</v>
      </c>
      <c r="BS3027">
        <v>0</v>
      </c>
      <c r="BT3027">
        <v>0</v>
      </c>
      <c r="BU3027">
        <v>0</v>
      </c>
      <c r="BV3027">
        <v>0</v>
      </c>
    </row>
    <row r="3028" spans="67:74" x14ac:dyDescent="0.25">
      <c r="BO3028">
        <v>0</v>
      </c>
      <c r="BP3028">
        <v>0</v>
      </c>
      <c r="BQ3028">
        <v>0</v>
      </c>
      <c r="BR3028">
        <v>0</v>
      </c>
      <c r="BS3028">
        <v>0</v>
      </c>
      <c r="BT3028">
        <v>0</v>
      </c>
      <c r="BU3028">
        <v>0</v>
      </c>
      <c r="BV3028">
        <v>0</v>
      </c>
    </row>
    <row r="3029" spans="67:74" x14ac:dyDescent="0.25">
      <c r="BO3029">
        <v>0</v>
      </c>
      <c r="BP3029">
        <v>0</v>
      </c>
      <c r="BQ3029">
        <v>0</v>
      </c>
      <c r="BR3029">
        <v>0</v>
      </c>
      <c r="BS3029">
        <v>0</v>
      </c>
      <c r="BT3029">
        <v>0</v>
      </c>
      <c r="BU3029">
        <v>0</v>
      </c>
      <c r="BV3029">
        <v>0</v>
      </c>
    </row>
    <row r="3030" spans="67:74" x14ac:dyDescent="0.25">
      <c r="BO3030">
        <v>0</v>
      </c>
      <c r="BP3030">
        <v>0</v>
      </c>
      <c r="BQ3030">
        <v>0</v>
      </c>
      <c r="BR3030">
        <v>0</v>
      </c>
      <c r="BS3030">
        <v>0</v>
      </c>
      <c r="BT3030">
        <v>0</v>
      </c>
      <c r="BU3030">
        <v>0</v>
      </c>
      <c r="BV3030">
        <v>0</v>
      </c>
    </row>
    <row r="3031" spans="67:74" x14ac:dyDescent="0.25">
      <c r="BO3031">
        <v>0</v>
      </c>
      <c r="BP3031">
        <v>0</v>
      </c>
      <c r="BQ3031">
        <v>0</v>
      </c>
      <c r="BR3031">
        <v>0</v>
      </c>
      <c r="BS3031">
        <v>0</v>
      </c>
      <c r="BT3031">
        <v>0</v>
      </c>
      <c r="BU3031">
        <v>0</v>
      </c>
      <c r="BV3031">
        <v>0</v>
      </c>
    </row>
    <row r="3032" spans="67:74" x14ac:dyDescent="0.25">
      <c r="BO3032">
        <v>0</v>
      </c>
      <c r="BP3032">
        <v>0</v>
      </c>
      <c r="BQ3032">
        <v>0</v>
      </c>
      <c r="BR3032">
        <v>0</v>
      </c>
      <c r="BS3032">
        <v>0</v>
      </c>
      <c r="BT3032">
        <v>0</v>
      </c>
      <c r="BU3032">
        <v>0</v>
      </c>
      <c r="BV3032">
        <v>0</v>
      </c>
    </row>
    <row r="3033" spans="67:74" x14ac:dyDescent="0.25">
      <c r="BO3033">
        <v>0</v>
      </c>
      <c r="BP3033">
        <v>0</v>
      </c>
      <c r="BQ3033">
        <v>0</v>
      </c>
      <c r="BR3033">
        <v>0</v>
      </c>
      <c r="BS3033">
        <v>0</v>
      </c>
      <c r="BT3033">
        <v>0</v>
      </c>
      <c r="BU3033">
        <v>0</v>
      </c>
      <c r="BV3033">
        <v>0</v>
      </c>
    </row>
    <row r="3034" spans="67:74" x14ac:dyDescent="0.25">
      <c r="BO3034">
        <v>0</v>
      </c>
      <c r="BP3034">
        <v>0</v>
      </c>
      <c r="BQ3034">
        <v>0</v>
      </c>
      <c r="BR3034">
        <v>0</v>
      </c>
      <c r="BS3034">
        <v>0</v>
      </c>
      <c r="BT3034">
        <v>0</v>
      </c>
      <c r="BU3034">
        <v>0</v>
      </c>
      <c r="BV3034">
        <v>0</v>
      </c>
    </row>
    <row r="3035" spans="67:74" x14ac:dyDescent="0.25">
      <c r="BO3035">
        <v>0</v>
      </c>
      <c r="BP3035">
        <v>0</v>
      </c>
      <c r="BQ3035">
        <v>0</v>
      </c>
      <c r="BR3035">
        <v>0</v>
      </c>
      <c r="BS3035">
        <v>0</v>
      </c>
      <c r="BT3035">
        <v>0</v>
      </c>
      <c r="BU3035">
        <v>0</v>
      </c>
      <c r="BV3035">
        <v>0</v>
      </c>
    </row>
    <row r="3036" spans="67:74" x14ac:dyDescent="0.25">
      <c r="BO3036">
        <v>0</v>
      </c>
      <c r="BP3036">
        <v>0</v>
      </c>
      <c r="BQ3036">
        <v>0</v>
      </c>
      <c r="BR3036">
        <v>0</v>
      </c>
      <c r="BS3036">
        <v>0</v>
      </c>
      <c r="BT3036">
        <v>0</v>
      </c>
      <c r="BU3036">
        <v>0</v>
      </c>
      <c r="BV3036">
        <v>0</v>
      </c>
    </row>
    <row r="3037" spans="67:74" x14ac:dyDescent="0.25">
      <c r="BO3037">
        <v>0</v>
      </c>
      <c r="BP3037">
        <v>0</v>
      </c>
      <c r="BQ3037">
        <v>0</v>
      </c>
      <c r="BR3037">
        <v>0</v>
      </c>
      <c r="BS3037">
        <v>0</v>
      </c>
      <c r="BT3037">
        <v>0</v>
      </c>
      <c r="BU3037">
        <v>0</v>
      </c>
      <c r="BV3037">
        <v>0</v>
      </c>
    </row>
    <row r="3038" spans="67:74" x14ac:dyDescent="0.25">
      <c r="BO3038">
        <v>0</v>
      </c>
      <c r="BP3038">
        <v>0</v>
      </c>
      <c r="BQ3038">
        <v>0</v>
      </c>
      <c r="BR3038">
        <v>0</v>
      </c>
      <c r="BS3038">
        <v>0</v>
      </c>
      <c r="BT3038">
        <v>0</v>
      </c>
      <c r="BU3038">
        <v>0</v>
      </c>
      <c r="BV3038">
        <v>0</v>
      </c>
    </row>
    <row r="3039" spans="67:74" x14ac:dyDescent="0.25">
      <c r="BO3039">
        <v>0</v>
      </c>
      <c r="BP3039">
        <v>0</v>
      </c>
      <c r="BQ3039">
        <v>0</v>
      </c>
      <c r="BR3039">
        <v>0</v>
      </c>
      <c r="BS3039">
        <v>0</v>
      </c>
      <c r="BT3039">
        <v>0</v>
      </c>
      <c r="BU3039">
        <v>0</v>
      </c>
      <c r="BV3039">
        <v>0</v>
      </c>
    </row>
    <row r="3040" spans="67:74" x14ac:dyDescent="0.25">
      <c r="BO3040">
        <v>0</v>
      </c>
      <c r="BP3040">
        <v>0</v>
      </c>
      <c r="BQ3040">
        <v>0</v>
      </c>
      <c r="BR3040">
        <v>0</v>
      </c>
      <c r="BS3040">
        <v>0</v>
      </c>
      <c r="BT3040">
        <v>0</v>
      </c>
      <c r="BU3040">
        <v>0</v>
      </c>
      <c r="BV3040">
        <v>0</v>
      </c>
    </row>
    <row r="3041" spans="67:74" x14ac:dyDescent="0.25">
      <c r="BO3041">
        <v>0</v>
      </c>
      <c r="BP3041">
        <v>0</v>
      </c>
      <c r="BQ3041">
        <v>0</v>
      </c>
      <c r="BR3041">
        <v>0</v>
      </c>
      <c r="BS3041">
        <v>0</v>
      </c>
      <c r="BT3041">
        <v>0</v>
      </c>
      <c r="BU3041">
        <v>0</v>
      </c>
      <c r="BV3041">
        <v>0</v>
      </c>
    </row>
    <row r="3042" spans="67:74" x14ac:dyDescent="0.25">
      <c r="BO3042">
        <v>0</v>
      </c>
      <c r="BP3042">
        <v>0</v>
      </c>
      <c r="BQ3042">
        <v>0</v>
      </c>
      <c r="BR3042">
        <v>0</v>
      </c>
      <c r="BS3042">
        <v>0</v>
      </c>
      <c r="BT3042">
        <v>0</v>
      </c>
      <c r="BU3042">
        <v>0</v>
      </c>
      <c r="BV3042">
        <v>0</v>
      </c>
    </row>
    <row r="3043" spans="67:74" x14ac:dyDescent="0.25">
      <c r="BO3043">
        <v>0</v>
      </c>
      <c r="BP3043">
        <v>0</v>
      </c>
      <c r="BQ3043">
        <v>0</v>
      </c>
      <c r="BR3043">
        <v>0</v>
      </c>
      <c r="BS3043">
        <v>0</v>
      </c>
      <c r="BT3043">
        <v>0</v>
      </c>
      <c r="BU3043">
        <v>0</v>
      </c>
      <c r="BV3043">
        <v>0</v>
      </c>
    </row>
    <row r="3044" spans="67:74" x14ac:dyDescent="0.25">
      <c r="BO3044">
        <v>0</v>
      </c>
      <c r="BP3044">
        <v>0</v>
      </c>
      <c r="BQ3044">
        <v>0</v>
      </c>
      <c r="BR3044">
        <v>0</v>
      </c>
      <c r="BS3044">
        <v>0</v>
      </c>
      <c r="BT3044">
        <v>0</v>
      </c>
      <c r="BU3044">
        <v>0</v>
      </c>
      <c r="BV3044">
        <v>0</v>
      </c>
    </row>
    <row r="3045" spans="67:74" x14ac:dyDescent="0.25">
      <c r="BO3045">
        <v>0</v>
      </c>
      <c r="BP3045">
        <v>0</v>
      </c>
      <c r="BQ3045">
        <v>0</v>
      </c>
      <c r="BR3045">
        <v>0</v>
      </c>
      <c r="BS3045">
        <v>0</v>
      </c>
      <c r="BT3045">
        <v>0</v>
      </c>
      <c r="BU3045">
        <v>0</v>
      </c>
      <c r="BV3045">
        <v>0</v>
      </c>
    </row>
    <row r="3046" spans="67:74" x14ac:dyDescent="0.25">
      <c r="BO3046">
        <v>0</v>
      </c>
      <c r="BP3046">
        <v>0</v>
      </c>
      <c r="BQ3046">
        <v>0</v>
      </c>
      <c r="BR3046">
        <v>0</v>
      </c>
      <c r="BS3046">
        <v>0</v>
      </c>
      <c r="BT3046">
        <v>0</v>
      </c>
      <c r="BU3046">
        <v>0</v>
      </c>
      <c r="BV3046">
        <v>0</v>
      </c>
    </row>
    <row r="3047" spans="67:74" x14ac:dyDescent="0.25">
      <c r="BO3047">
        <v>0</v>
      </c>
      <c r="BP3047">
        <v>0</v>
      </c>
      <c r="BQ3047">
        <v>0</v>
      </c>
      <c r="BR3047">
        <v>0</v>
      </c>
      <c r="BS3047">
        <v>0</v>
      </c>
      <c r="BT3047">
        <v>0</v>
      </c>
      <c r="BU3047">
        <v>0</v>
      </c>
      <c r="BV3047">
        <v>0</v>
      </c>
    </row>
    <row r="3048" spans="67:74" x14ac:dyDescent="0.25">
      <c r="BO3048">
        <v>0</v>
      </c>
      <c r="BP3048">
        <v>0</v>
      </c>
      <c r="BQ3048">
        <v>0</v>
      </c>
      <c r="BR3048">
        <v>0</v>
      </c>
      <c r="BS3048">
        <v>0</v>
      </c>
      <c r="BT3048">
        <v>0</v>
      </c>
      <c r="BU3048">
        <v>0</v>
      </c>
      <c r="BV3048">
        <v>0</v>
      </c>
    </row>
    <row r="3049" spans="67:74" x14ac:dyDescent="0.25">
      <c r="BO3049">
        <v>0</v>
      </c>
      <c r="BP3049">
        <v>0</v>
      </c>
      <c r="BQ3049">
        <v>0</v>
      </c>
      <c r="BR3049">
        <v>0</v>
      </c>
      <c r="BS3049">
        <v>0</v>
      </c>
      <c r="BT3049">
        <v>0</v>
      </c>
      <c r="BU3049">
        <v>0</v>
      </c>
      <c r="BV3049">
        <v>0</v>
      </c>
    </row>
    <row r="3050" spans="67:74" x14ac:dyDescent="0.25">
      <c r="BO3050">
        <v>0</v>
      </c>
      <c r="BP3050">
        <v>0</v>
      </c>
      <c r="BQ3050">
        <v>0</v>
      </c>
      <c r="BR3050">
        <v>0</v>
      </c>
      <c r="BS3050">
        <v>0</v>
      </c>
      <c r="BT3050">
        <v>0</v>
      </c>
      <c r="BU3050">
        <v>0</v>
      </c>
      <c r="BV3050">
        <v>0</v>
      </c>
    </row>
    <row r="3051" spans="67:74" x14ac:dyDescent="0.25">
      <c r="BO3051">
        <v>0</v>
      </c>
      <c r="BP3051">
        <v>0</v>
      </c>
      <c r="BQ3051">
        <v>0</v>
      </c>
      <c r="BR3051">
        <v>0</v>
      </c>
      <c r="BS3051">
        <v>0</v>
      </c>
      <c r="BT3051">
        <v>0</v>
      </c>
      <c r="BU3051">
        <v>0</v>
      </c>
      <c r="BV3051">
        <v>0</v>
      </c>
    </row>
    <row r="3052" spans="67:74" x14ac:dyDescent="0.25">
      <c r="BO3052">
        <v>0</v>
      </c>
      <c r="BP3052">
        <v>0</v>
      </c>
      <c r="BQ3052">
        <v>0</v>
      </c>
      <c r="BR3052">
        <v>0</v>
      </c>
      <c r="BS3052">
        <v>0</v>
      </c>
      <c r="BT3052">
        <v>0</v>
      </c>
      <c r="BU3052">
        <v>0</v>
      </c>
      <c r="BV3052">
        <v>0</v>
      </c>
    </row>
    <row r="3053" spans="67:74" x14ac:dyDescent="0.25">
      <c r="BO3053">
        <v>0</v>
      </c>
      <c r="BP3053">
        <v>0</v>
      </c>
      <c r="BQ3053">
        <v>0</v>
      </c>
      <c r="BR3053">
        <v>0</v>
      </c>
      <c r="BS3053">
        <v>0</v>
      </c>
      <c r="BT3053">
        <v>0</v>
      </c>
      <c r="BU3053">
        <v>0</v>
      </c>
      <c r="BV3053">
        <v>0</v>
      </c>
    </row>
    <row r="3054" spans="67:74" x14ac:dyDescent="0.25">
      <c r="BO3054">
        <v>0</v>
      </c>
      <c r="BP3054">
        <v>0</v>
      </c>
      <c r="BQ3054">
        <v>0</v>
      </c>
      <c r="BR3054">
        <v>0</v>
      </c>
      <c r="BS3054">
        <v>0</v>
      </c>
      <c r="BT3054">
        <v>0</v>
      </c>
      <c r="BU3054">
        <v>0</v>
      </c>
      <c r="BV3054">
        <v>0</v>
      </c>
    </row>
    <row r="3055" spans="67:74" x14ac:dyDescent="0.25">
      <c r="BO3055">
        <v>0</v>
      </c>
      <c r="BP3055">
        <v>0</v>
      </c>
      <c r="BQ3055">
        <v>0</v>
      </c>
      <c r="BR3055">
        <v>0</v>
      </c>
      <c r="BS3055">
        <v>0</v>
      </c>
      <c r="BT3055">
        <v>0</v>
      </c>
      <c r="BU3055">
        <v>0</v>
      </c>
      <c r="BV3055">
        <v>0</v>
      </c>
    </row>
    <row r="3056" spans="67:74" x14ac:dyDescent="0.25">
      <c r="BO3056">
        <v>0</v>
      </c>
      <c r="BP3056">
        <v>0</v>
      </c>
      <c r="BQ3056">
        <v>0</v>
      </c>
      <c r="BR3056">
        <v>0</v>
      </c>
      <c r="BS3056">
        <v>0</v>
      </c>
      <c r="BT3056">
        <v>0</v>
      </c>
      <c r="BU3056">
        <v>0</v>
      </c>
      <c r="BV3056">
        <v>0</v>
      </c>
    </row>
    <row r="3057" spans="67:74" x14ac:dyDescent="0.25">
      <c r="BO3057">
        <v>0</v>
      </c>
      <c r="BP3057">
        <v>0</v>
      </c>
      <c r="BQ3057">
        <v>0</v>
      </c>
      <c r="BR3057">
        <v>0</v>
      </c>
      <c r="BS3057">
        <v>0</v>
      </c>
      <c r="BT3057">
        <v>0</v>
      </c>
      <c r="BU3057">
        <v>0</v>
      </c>
      <c r="BV3057">
        <v>0</v>
      </c>
    </row>
    <row r="3058" spans="67:74" x14ac:dyDescent="0.25">
      <c r="BO3058">
        <v>0</v>
      </c>
      <c r="BP3058">
        <v>0</v>
      </c>
      <c r="BQ3058">
        <v>0</v>
      </c>
      <c r="BR3058">
        <v>0</v>
      </c>
      <c r="BS3058">
        <v>0</v>
      </c>
      <c r="BT3058">
        <v>0</v>
      </c>
      <c r="BU3058">
        <v>0</v>
      </c>
      <c r="BV3058">
        <v>0</v>
      </c>
    </row>
    <row r="3059" spans="67:74" x14ac:dyDescent="0.25">
      <c r="BO3059">
        <v>0</v>
      </c>
      <c r="BP3059">
        <v>0</v>
      </c>
      <c r="BQ3059">
        <v>0</v>
      </c>
      <c r="BR3059">
        <v>0</v>
      </c>
      <c r="BS3059">
        <v>0</v>
      </c>
      <c r="BT3059">
        <v>0</v>
      </c>
      <c r="BU3059">
        <v>0</v>
      </c>
      <c r="BV3059">
        <v>0</v>
      </c>
    </row>
    <row r="3060" spans="67:74" x14ac:dyDescent="0.25">
      <c r="BO3060">
        <v>0</v>
      </c>
      <c r="BP3060">
        <v>0</v>
      </c>
      <c r="BQ3060">
        <v>0</v>
      </c>
      <c r="BR3060">
        <v>0</v>
      </c>
      <c r="BS3060">
        <v>0</v>
      </c>
      <c r="BT3060">
        <v>0</v>
      </c>
      <c r="BU3060">
        <v>0</v>
      </c>
      <c r="BV3060">
        <v>0</v>
      </c>
    </row>
    <row r="3061" spans="67:74" x14ac:dyDescent="0.25">
      <c r="BO3061">
        <v>0</v>
      </c>
      <c r="BP3061">
        <v>0</v>
      </c>
      <c r="BQ3061">
        <v>0</v>
      </c>
      <c r="BR3061">
        <v>0</v>
      </c>
      <c r="BS3061">
        <v>0</v>
      </c>
      <c r="BT3061">
        <v>0</v>
      </c>
      <c r="BU3061">
        <v>0</v>
      </c>
      <c r="BV3061">
        <v>0</v>
      </c>
    </row>
    <row r="3062" spans="67:74" x14ac:dyDescent="0.25">
      <c r="BO3062">
        <v>0</v>
      </c>
      <c r="BP3062">
        <v>0</v>
      </c>
      <c r="BQ3062">
        <v>0</v>
      </c>
      <c r="BR3062">
        <v>0</v>
      </c>
      <c r="BS3062">
        <v>0</v>
      </c>
      <c r="BT3062">
        <v>0</v>
      </c>
      <c r="BU3062">
        <v>0</v>
      </c>
      <c r="BV3062">
        <v>0</v>
      </c>
    </row>
    <row r="3063" spans="67:74" x14ac:dyDescent="0.25">
      <c r="BO3063">
        <v>0</v>
      </c>
      <c r="BP3063">
        <v>0</v>
      </c>
      <c r="BQ3063">
        <v>0</v>
      </c>
      <c r="BR3063">
        <v>0</v>
      </c>
      <c r="BS3063">
        <v>0</v>
      </c>
      <c r="BT3063">
        <v>0</v>
      </c>
      <c r="BU3063">
        <v>0</v>
      </c>
      <c r="BV3063">
        <v>0</v>
      </c>
    </row>
    <row r="3064" spans="67:74" x14ac:dyDescent="0.25">
      <c r="BO3064">
        <v>0</v>
      </c>
      <c r="BP3064">
        <v>0</v>
      </c>
      <c r="BQ3064">
        <v>0</v>
      </c>
      <c r="BR3064">
        <v>0</v>
      </c>
      <c r="BS3064">
        <v>0</v>
      </c>
      <c r="BT3064">
        <v>0</v>
      </c>
      <c r="BU3064">
        <v>0</v>
      </c>
      <c r="BV3064">
        <v>0</v>
      </c>
    </row>
    <row r="3065" spans="67:74" x14ac:dyDescent="0.25">
      <c r="BO3065">
        <v>0</v>
      </c>
      <c r="BP3065">
        <v>0</v>
      </c>
      <c r="BQ3065">
        <v>0</v>
      </c>
      <c r="BR3065">
        <v>0</v>
      </c>
      <c r="BS3065">
        <v>0</v>
      </c>
      <c r="BT3065">
        <v>0</v>
      </c>
      <c r="BU3065">
        <v>0</v>
      </c>
      <c r="BV3065">
        <v>0</v>
      </c>
    </row>
    <row r="3066" spans="67:74" x14ac:dyDescent="0.25">
      <c r="BO3066">
        <v>0</v>
      </c>
      <c r="BP3066">
        <v>0</v>
      </c>
      <c r="BQ3066">
        <v>0</v>
      </c>
      <c r="BR3066">
        <v>0</v>
      </c>
      <c r="BS3066">
        <v>0</v>
      </c>
      <c r="BT3066">
        <v>0</v>
      </c>
      <c r="BU3066">
        <v>0</v>
      </c>
      <c r="BV3066">
        <v>0</v>
      </c>
    </row>
    <row r="3067" spans="67:74" x14ac:dyDescent="0.25">
      <c r="BO3067">
        <v>0</v>
      </c>
      <c r="BP3067">
        <v>0</v>
      </c>
      <c r="BQ3067">
        <v>0</v>
      </c>
      <c r="BR3067">
        <v>0</v>
      </c>
      <c r="BS3067">
        <v>0</v>
      </c>
      <c r="BT3067">
        <v>0</v>
      </c>
      <c r="BU3067">
        <v>0</v>
      </c>
      <c r="BV3067">
        <v>0</v>
      </c>
    </row>
    <row r="3068" spans="67:74" x14ac:dyDescent="0.25">
      <c r="BO3068">
        <v>0</v>
      </c>
      <c r="BP3068">
        <v>0</v>
      </c>
      <c r="BQ3068">
        <v>0</v>
      </c>
      <c r="BR3068">
        <v>0</v>
      </c>
      <c r="BS3068">
        <v>0</v>
      </c>
      <c r="BT3068">
        <v>0</v>
      </c>
      <c r="BU3068">
        <v>0</v>
      </c>
      <c r="BV3068">
        <v>0</v>
      </c>
    </row>
    <row r="3069" spans="67:74" x14ac:dyDescent="0.25">
      <c r="BO3069">
        <v>0</v>
      </c>
      <c r="BP3069">
        <v>0</v>
      </c>
      <c r="BQ3069">
        <v>0</v>
      </c>
      <c r="BR3069">
        <v>0</v>
      </c>
      <c r="BS3069">
        <v>0</v>
      </c>
      <c r="BT3069">
        <v>0</v>
      </c>
      <c r="BU3069">
        <v>0</v>
      </c>
      <c r="BV3069">
        <v>0</v>
      </c>
    </row>
    <row r="3070" spans="67:74" x14ac:dyDescent="0.25">
      <c r="BO3070">
        <v>0</v>
      </c>
      <c r="BP3070">
        <v>0</v>
      </c>
      <c r="BQ3070">
        <v>0</v>
      </c>
      <c r="BR3070">
        <v>0</v>
      </c>
      <c r="BS3070">
        <v>0</v>
      </c>
      <c r="BT3070">
        <v>0</v>
      </c>
      <c r="BU3070">
        <v>0</v>
      </c>
      <c r="BV3070">
        <v>0</v>
      </c>
    </row>
    <row r="3071" spans="67:74" x14ac:dyDescent="0.25">
      <c r="BO3071">
        <v>0</v>
      </c>
      <c r="BP3071">
        <v>0</v>
      </c>
      <c r="BQ3071">
        <v>0</v>
      </c>
      <c r="BR3071">
        <v>0</v>
      </c>
      <c r="BS3071">
        <v>0</v>
      </c>
      <c r="BT3071">
        <v>0</v>
      </c>
      <c r="BU3071">
        <v>0</v>
      </c>
      <c r="BV3071">
        <v>0</v>
      </c>
    </row>
    <row r="3072" spans="67:74" x14ac:dyDescent="0.25">
      <c r="BO3072">
        <v>0</v>
      </c>
      <c r="BP3072">
        <v>0</v>
      </c>
      <c r="BQ3072">
        <v>0</v>
      </c>
      <c r="BR3072">
        <v>0</v>
      </c>
      <c r="BS3072">
        <v>0</v>
      </c>
      <c r="BT3072">
        <v>0</v>
      </c>
      <c r="BU3072">
        <v>0</v>
      </c>
      <c r="BV3072">
        <v>0</v>
      </c>
    </row>
    <row r="3073" spans="67:74" x14ac:dyDescent="0.25">
      <c r="BO3073">
        <v>0</v>
      </c>
      <c r="BP3073">
        <v>0</v>
      </c>
      <c r="BQ3073">
        <v>0</v>
      </c>
      <c r="BR3073">
        <v>0</v>
      </c>
      <c r="BS3073">
        <v>0</v>
      </c>
      <c r="BT3073">
        <v>0</v>
      </c>
      <c r="BU3073">
        <v>0</v>
      </c>
      <c r="BV3073">
        <v>0</v>
      </c>
    </row>
    <row r="3074" spans="67:74" x14ac:dyDescent="0.25">
      <c r="BO3074">
        <v>0</v>
      </c>
      <c r="BP3074">
        <v>0</v>
      </c>
      <c r="BQ3074">
        <v>0</v>
      </c>
      <c r="BR3074">
        <v>0</v>
      </c>
      <c r="BS3074">
        <v>0</v>
      </c>
      <c r="BT3074">
        <v>0</v>
      </c>
      <c r="BU3074">
        <v>0</v>
      </c>
      <c r="BV3074">
        <v>0</v>
      </c>
    </row>
    <row r="3075" spans="67:74" x14ac:dyDescent="0.25">
      <c r="BO3075">
        <v>0</v>
      </c>
      <c r="BP3075">
        <v>0</v>
      </c>
      <c r="BQ3075">
        <v>0</v>
      </c>
      <c r="BR3075">
        <v>0</v>
      </c>
      <c r="BS3075">
        <v>0</v>
      </c>
      <c r="BT3075">
        <v>0</v>
      </c>
      <c r="BU3075">
        <v>0</v>
      </c>
      <c r="BV3075">
        <v>0</v>
      </c>
    </row>
    <row r="3076" spans="67:74" x14ac:dyDescent="0.25">
      <c r="BO3076">
        <v>0</v>
      </c>
      <c r="BP3076">
        <v>0</v>
      </c>
      <c r="BQ3076">
        <v>0</v>
      </c>
      <c r="BR3076">
        <v>0</v>
      </c>
      <c r="BS3076">
        <v>0</v>
      </c>
      <c r="BT3076">
        <v>0</v>
      </c>
      <c r="BU3076">
        <v>0</v>
      </c>
      <c r="BV3076">
        <v>0</v>
      </c>
    </row>
    <row r="3077" spans="67:74" x14ac:dyDescent="0.25">
      <c r="BO3077">
        <v>0</v>
      </c>
      <c r="BP3077">
        <v>0</v>
      </c>
      <c r="BQ3077">
        <v>0</v>
      </c>
      <c r="BR3077">
        <v>0</v>
      </c>
      <c r="BS3077">
        <v>0</v>
      </c>
      <c r="BT3077">
        <v>0</v>
      </c>
      <c r="BU3077">
        <v>0</v>
      </c>
      <c r="BV3077">
        <v>0</v>
      </c>
    </row>
    <row r="3078" spans="67:74" x14ac:dyDescent="0.25">
      <c r="BO3078">
        <v>0</v>
      </c>
      <c r="BP3078">
        <v>0</v>
      </c>
      <c r="BQ3078">
        <v>0</v>
      </c>
      <c r="BR3078">
        <v>0</v>
      </c>
      <c r="BS3078">
        <v>0</v>
      </c>
      <c r="BT3078">
        <v>0</v>
      </c>
      <c r="BU3078">
        <v>0</v>
      </c>
      <c r="BV3078">
        <v>0</v>
      </c>
    </row>
    <row r="3079" spans="67:74" x14ac:dyDescent="0.25">
      <c r="BO3079">
        <v>0</v>
      </c>
      <c r="BP3079">
        <v>0</v>
      </c>
      <c r="BQ3079">
        <v>0</v>
      </c>
      <c r="BR3079">
        <v>0</v>
      </c>
      <c r="BS3079">
        <v>0</v>
      </c>
      <c r="BT3079">
        <v>0</v>
      </c>
      <c r="BU3079">
        <v>0</v>
      </c>
      <c r="BV3079">
        <v>0</v>
      </c>
    </row>
    <row r="3080" spans="67:74" x14ac:dyDescent="0.25">
      <c r="BO3080">
        <v>0</v>
      </c>
      <c r="BP3080">
        <v>0</v>
      </c>
      <c r="BQ3080">
        <v>0</v>
      </c>
      <c r="BR3080">
        <v>0</v>
      </c>
      <c r="BS3080">
        <v>0</v>
      </c>
      <c r="BT3080">
        <v>0</v>
      </c>
      <c r="BU3080">
        <v>0</v>
      </c>
      <c r="BV3080">
        <v>0</v>
      </c>
    </row>
    <row r="3081" spans="67:74" x14ac:dyDescent="0.25">
      <c r="BO3081">
        <v>0</v>
      </c>
      <c r="BP3081">
        <v>0</v>
      </c>
      <c r="BQ3081">
        <v>0</v>
      </c>
      <c r="BR3081">
        <v>0</v>
      </c>
      <c r="BS3081">
        <v>0</v>
      </c>
      <c r="BT3081">
        <v>0</v>
      </c>
      <c r="BU3081">
        <v>0</v>
      </c>
      <c r="BV3081">
        <v>0</v>
      </c>
    </row>
    <row r="3082" spans="67:74" x14ac:dyDescent="0.25">
      <c r="BO3082">
        <v>0</v>
      </c>
      <c r="BP3082">
        <v>0</v>
      </c>
      <c r="BQ3082">
        <v>0</v>
      </c>
      <c r="BR3082">
        <v>0</v>
      </c>
      <c r="BS3082">
        <v>0</v>
      </c>
      <c r="BT3082">
        <v>0</v>
      </c>
      <c r="BU3082">
        <v>0</v>
      </c>
      <c r="BV3082">
        <v>0</v>
      </c>
    </row>
    <row r="3083" spans="67:74" x14ac:dyDescent="0.25">
      <c r="BO3083">
        <v>0</v>
      </c>
      <c r="BP3083">
        <v>0</v>
      </c>
      <c r="BQ3083">
        <v>0</v>
      </c>
      <c r="BR3083">
        <v>0</v>
      </c>
      <c r="BS3083">
        <v>0</v>
      </c>
      <c r="BT3083">
        <v>0</v>
      </c>
      <c r="BU3083">
        <v>0</v>
      </c>
      <c r="BV3083">
        <v>0</v>
      </c>
    </row>
    <row r="3084" spans="67:74" x14ac:dyDescent="0.25">
      <c r="BO3084">
        <v>0</v>
      </c>
      <c r="BP3084">
        <v>0</v>
      </c>
      <c r="BQ3084">
        <v>0</v>
      </c>
      <c r="BR3084">
        <v>0</v>
      </c>
      <c r="BS3084">
        <v>0</v>
      </c>
      <c r="BT3084">
        <v>0</v>
      </c>
      <c r="BU3084">
        <v>0</v>
      </c>
      <c r="BV3084">
        <v>0</v>
      </c>
    </row>
    <row r="3085" spans="67:74" x14ac:dyDescent="0.25">
      <c r="BO3085">
        <v>0</v>
      </c>
      <c r="BP3085">
        <v>0</v>
      </c>
      <c r="BQ3085">
        <v>0</v>
      </c>
      <c r="BR3085">
        <v>0</v>
      </c>
      <c r="BS3085">
        <v>0</v>
      </c>
      <c r="BT3085">
        <v>0</v>
      </c>
      <c r="BU3085">
        <v>0</v>
      </c>
      <c r="BV3085">
        <v>0</v>
      </c>
    </row>
    <row r="3086" spans="67:74" x14ac:dyDescent="0.25">
      <c r="BO3086">
        <v>0</v>
      </c>
      <c r="BP3086">
        <v>0</v>
      </c>
      <c r="BQ3086">
        <v>0</v>
      </c>
      <c r="BR3086">
        <v>0</v>
      </c>
      <c r="BS3086">
        <v>0</v>
      </c>
      <c r="BT3086">
        <v>0</v>
      </c>
      <c r="BU3086">
        <v>0</v>
      </c>
      <c r="BV3086">
        <v>0</v>
      </c>
    </row>
    <row r="3087" spans="67:74" x14ac:dyDescent="0.25">
      <c r="BO3087">
        <v>0</v>
      </c>
      <c r="BP3087">
        <v>0</v>
      </c>
      <c r="BQ3087">
        <v>0</v>
      </c>
      <c r="BR3087">
        <v>0</v>
      </c>
      <c r="BS3087">
        <v>0</v>
      </c>
      <c r="BT3087">
        <v>0</v>
      </c>
      <c r="BU3087">
        <v>0</v>
      </c>
      <c r="BV3087">
        <v>0</v>
      </c>
    </row>
    <row r="3088" spans="67:74" x14ac:dyDescent="0.25">
      <c r="BO3088">
        <v>0</v>
      </c>
      <c r="BP3088">
        <v>0</v>
      </c>
      <c r="BQ3088">
        <v>0</v>
      </c>
      <c r="BR3088">
        <v>0</v>
      </c>
      <c r="BS3088">
        <v>0</v>
      </c>
      <c r="BT3088">
        <v>0</v>
      </c>
      <c r="BU3088">
        <v>0</v>
      </c>
      <c r="BV3088">
        <v>0</v>
      </c>
    </row>
    <row r="3089" spans="67:74" x14ac:dyDescent="0.25">
      <c r="BO3089">
        <v>0</v>
      </c>
      <c r="BP3089">
        <v>0</v>
      </c>
      <c r="BQ3089">
        <v>0</v>
      </c>
      <c r="BR3089">
        <v>0</v>
      </c>
      <c r="BS3089">
        <v>0</v>
      </c>
      <c r="BT3089">
        <v>0</v>
      </c>
      <c r="BU3089">
        <v>0</v>
      </c>
      <c r="BV3089">
        <v>0</v>
      </c>
    </row>
    <row r="3090" spans="67:74" x14ac:dyDescent="0.25">
      <c r="BO3090">
        <v>0</v>
      </c>
      <c r="BP3090">
        <v>0</v>
      </c>
      <c r="BQ3090">
        <v>0</v>
      </c>
      <c r="BR3090">
        <v>0</v>
      </c>
      <c r="BS3090">
        <v>0</v>
      </c>
      <c r="BT3090">
        <v>0</v>
      </c>
      <c r="BU3090">
        <v>0</v>
      </c>
      <c r="BV3090">
        <v>0</v>
      </c>
    </row>
    <row r="3091" spans="67:74" x14ac:dyDescent="0.25">
      <c r="BO3091">
        <v>0</v>
      </c>
      <c r="BP3091">
        <v>0</v>
      </c>
      <c r="BQ3091">
        <v>0</v>
      </c>
      <c r="BR3091">
        <v>0</v>
      </c>
      <c r="BS3091">
        <v>0</v>
      </c>
      <c r="BT3091">
        <v>0</v>
      </c>
      <c r="BU3091">
        <v>0</v>
      </c>
      <c r="BV3091">
        <v>0</v>
      </c>
    </row>
    <row r="3092" spans="67:74" x14ac:dyDescent="0.25">
      <c r="BO3092">
        <v>0</v>
      </c>
      <c r="BP3092">
        <v>0</v>
      </c>
      <c r="BQ3092">
        <v>0</v>
      </c>
      <c r="BR3092">
        <v>0</v>
      </c>
      <c r="BS3092">
        <v>0</v>
      </c>
      <c r="BT3092">
        <v>0</v>
      </c>
      <c r="BU3092">
        <v>0</v>
      </c>
      <c r="BV3092">
        <v>0</v>
      </c>
    </row>
    <row r="3093" spans="67:74" x14ac:dyDescent="0.25">
      <c r="BO3093">
        <v>0</v>
      </c>
      <c r="BP3093">
        <v>0</v>
      </c>
      <c r="BQ3093">
        <v>0</v>
      </c>
      <c r="BR3093">
        <v>0</v>
      </c>
      <c r="BS3093">
        <v>0</v>
      </c>
      <c r="BT3093">
        <v>0</v>
      </c>
      <c r="BU3093">
        <v>0</v>
      </c>
      <c r="BV3093">
        <v>0</v>
      </c>
    </row>
    <row r="3094" spans="67:74" x14ac:dyDescent="0.25">
      <c r="BO3094">
        <v>0</v>
      </c>
      <c r="BP3094">
        <v>0</v>
      </c>
      <c r="BQ3094">
        <v>0</v>
      </c>
      <c r="BR3094">
        <v>0</v>
      </c>
      <c r="BS3094">
        <v>0</v>
      </c>
      <c r="BT3094">
        <v>0</v>
      </c>
      <c r="BU3094">
        <v>0</v>
      </c>
      <c r="BV3094">
        <v>0</v>
      </c>
    </row>
    <row r="3095" spans="67:74" x14ac:dyDescent="0.25">
      <c r="BO3095">
        <v>0</v>
      </c>
      <c r="BP3095">
        <v>0</v>
      </c>
      <c r="BQ3095">
        <v>0</v>
      </c>
      <c r="BR3095">
        <v>0</v>
      </c>
      <c r="BS3095">
        <v>0</v>
      </c>
      <c r="BT3095">
        <v>0</v>
      </c>
      <c r="BU3095">
        <v>0</v>
      </c>
      <c r="BV3095">
        <v>0</v>
      </c>
    </row>
    <row r="3096" spans="67:74" x14ac:dyDescent="0.25">
      <c r="BO3096">
        <v>0</v>
      </c>
      <c r="BP3096">
        <v>0</v>
      </c>
      <c r="BQ3096">
        <v>0</v>
      </c>
      <c r="BR3096">
        <v>0</v>
      </c>
      <c r="BS3096">
        <v>0</v>
      </c>
      <c r="BT3096">
        <v>0</v>
      </c>
      <c r="BU3096">
        <v>0</v>
      </c>
      <c r="BV3096">
        <v>0</v>
      </c>
    </row>
    <row r="3097" spans="67:74" x14ac:dyDescent="0.25">
      <c r="BO3097">
        <v>0</v>
      </c>
      <c r="BP3097">
        <v>0</v>
      </c>
      <c r="BQ3097">
        <v>0</v>
      </c>
      <c r="BR3097">
        <v>0</v>
      </c>
      <c r="BS3097">
        <v>0</v>
      </c>
      <c r="BT3097">
        <v>0</v>
      </c>
      <c r="BU3097">
        <v>0</v>
      </c>
      <c r="BV3097">
        <v>0</v>
      </c>
    </row>
    <row r="3098" spans="67:74" x14ac:dyDescent="0.25">
      <c r="BO3098">
        <v>0</v>
      </c>
      <c r="BP3098">
        <v>0</v>
      </c>
      <c r="BQ3098">
        <v>0</v>
      </c>
      <c r="BR3098">
        <v>0</v>
      </c>
      <c r="BS3098">
        <v>0</v>
      </c>
      <c r="BT3098">
        <v>0</v>
      </c>
      <c r="BU3098">
        <v>0</v>
      </c>
      <c r="BV3098">
        <v>0</v>
      </c>
    </row>
    <row r="3099" spans="67:74" x14ac:dyDescent="0.25">
      <c r="BO3099">
        <v>0</v>
      </c>
      <c r="BP3099">
        <v>0</v>
      </c>
      <c r="BQ3099">
        <v>0</v>
      </c>
      <c r="BR3099">
        <v>0</v>
      </c>
      <c r="BS3099">
        <v>0</v>
      </c>
      <c r="BT3099">
        <v>0</v>
      </c>
      <c r="BU3099">
        <v>0</v>
      </c>
      <c r="BV3099">
        <v>0</v>
      </c>
    </row>
    <row r="3100" spans="67:74" x14ac:dyDescent="0.25">
      <c r="BO3100">
        <v>0</v>
      </c>
      <c r="BP3100">
        <v>0</v>
      </c>
      <c r="BQ3100">
        <v>0</v>
      </c>
      <c r="BR3100">
        <v>0</v>
      </c>
      <c r="BS3100">
        <v>0</v>
      </c>
      <c r="BT3100">
        <v>0</v>
      </c>
      <c r="BU3100">
        <v>0</v>
      </c>
      <c r="BV3100">
        <v>0</v>
      </c>
    </row>
    <row r="3101" spans="67:74" x14ac:dyDescent="0.25">
      <c r="BO3101">
        <v>0</v>
      </c>
      <c r="BP3101">
        <v>0</v>
      </c>
      <c r="BQ3101">
        <v>0</v>
      </c>
      <c r="BR3101">
        <v>0</v>
      </c>
      <c r="BS3101">
        <v>0</v>
      </c>
      <c r="BT3101">
        <v>0</v>
      </c>
      <c r="BU3101">
        <v>0</v>
      </c>
      <c r="BV3101">
        <v>0</v>
      </c>
    </row>
    <row r="3102" spans="67:74" x14ac:dyDescent="0.25">
      <c r="BO3102">
        <v>0</v>
      </c>
      <c r="BP3102">
        <v>0</v>
      </c>
      <c r="BQ3102">
        <v>0</v>
      </c>
      <c r="BR3102">
        <v>0</v>
      </c>
      <c r="BS3102">
        <v>0</v>
      </c>
      <c r="BT3102">
        <v>0</v>
      </c>
      <c r="BU3102">
        <v>0</v>
      </c>
      <c r="BV3102">
        <v>0</v>
      </c>
    </row>
    <row r="3103" spans="67:74" x14ac:dyDescent="0.25">
      <c r="BO3103">
        <v>0</v>
      </c>
      <c r="BP3103">
        <v>0</v>
      </c>
      <c r="BQ3103">
        <v>0</v>
      </c>
      <c r="BR3103">
        <v>0</v>
      </c>
      <c r="BS3103">
        <v>0</v>
      </c>
      <c r="BT3103">
        <v>0</v>
      </c>
      <c r="BU3103">
        <v>0</v>
      </c>
      <c r="BV3103">
        <v>0</v>
      </c>
    </row>
    <row r="3104" spans="67:74" x14ac:dyDescent="0.25">
      <c r="BO3104">
        <v>0</v>
      </c>
      <c r="BP3104">
        <v>0</v>
      </c>
      <c r="BQ3104">
        <v>0</v>
      </c>
      <c r="BR3104">
        <v>0</v>
      </c>
      <c r="BS3104">
        <v>0</v>
      </c>
      <c r="BT3104">
        <v>0</v>
      </c>
      <c r="BU3104">
        <v>0</v>
      </c>
      <c r="BV3104">
        <v>0</v>
      </c>
    </row>
    <row r="3105" spans="35:74" x14ac:dyDescent="0.25">
      <c r="BO3105">
        <v>0</v>
      </c>
      <c r="BP3105">
        <v>0</v>
      </c>
      <c r="BQ3105">
        <v>0</v>
      </c>
      <c r="BR3105">
        <v>0</v>
      </c>
      <c r="BS3105">
        <v>0</v>
      </c>
      <c r="BT3105">
        <v>0</v>
      </c>
      <c r="BU3105">
        <v>0</v>
      </c>
      <c r="BV3105">
        <v>0</v>
      </c>
    </row>
    <row r="3106" spans="35:74" x14ac:dyDescent="0.25">
      <c r="BO3106">
        <v>0</v>
      </c>
      <c r="BP3106">
        <v>0</v>
      </c>
      <c r="BQ3106">
        <v>0</v>
      </c>
      <c r="BR3106">
        <v>0</v>
      </c>
      <c r="BS3106">
        <v>0</v>
      </c>
      <c r="BT3106">
        <v>0</v>
      </c>
      <c r="BU3106">
        <v>0</v>
      </c>
      <c r="BV3106">
        <v>0</v>
      </c>
    </row>
    <row r="3107" spans="35:74" x14ac:dyDescent="0.25">
      <c r="BO3107">
        <v>0</v>
      </c>
      <c r="BP3107">
        <v>0</v>
      </c>
      <c r="BQ3107">
        <v>0</v>
      </c>
      <c r="BR3107">
        <v>0</v>
      </c>
      <c r="BS3107">
        <v>0</v>
      </c>
      <c r="BT3107">
        <v>0</v>
      </c>
      <c r="BU3107">
        <v>0</v>
      </c>
      <c r="BV3107">
        <v>0</v>
      </c>
    </row>
    <row r="3108" spans="35:74" x14ac:dyDescent="0.25">
      <c r="BO3108">
        <v>0</v>
      </c>
      <c r="BP3108">
        <v>0</v>
      </c>
      <c r="BQ3108">
        <v>0</v>
      </c>
      <c r="BR3108">
        <v>0</v>
      </c>
      <c r="BS3108">
        <v>0</v>
      </c>
      <c r="BT3108">
        <v>0</v>
      </c>
      <c r="BU3108">
        <v>0</v>
      </c>
      <c r="BV3108">
        <v>0</v>
      </c>
    </row>
    <row r="3109" spans="35:74" x14ac:dyDescent="0.25">
      <c r="BO3109">
        <v>0</v>
      </c>
      <c r="BP3109">
        <v>0</v>
      </c>
      <c r="BQ3109">
        <v>0</v>
      </c>
      <c r="BR3109">
        <v>0</v>
      </c>
      <c r="BS3109">
        <v>0</v>
      </c>
      <c r="BT3109">
        <v>0</v>
      </c>
      <c r="BU3109">
        <v>0</v>
      </c>
      <c r="BV3109">
        <v>0</v>
      </c>
    </row>
    <row r="3110" spans="35:74" x14ac:dyDescent="0.25">
      <c r="BO3110">
        <v>0</v>
      </c>
      <c r="BP3110">
        <v>0</v>
      </c>
      <c r="BQ3110">
        <v>0</v>
      </c>
      <c r="BR3110">
        <v>0</v>
      </c>
      <c r="BS3110">
        <v>0</v>
      </c>
      <c r="BT3110">
        <v>0</v>
      </c>
      <c r="BU3110">
        <v>0</v>
      </c>
      <c r="BV3110">
        <v>0</v>
      </c>
    </row>
    <row r="3111" spans="35:74" x14ac:dyDescent="0.25">
      <c r="AI3111" s="9"/>
      <c r="BO3111">
        <v>0</v>
      </c>
      <c r="BP3111">
        <v>0</v>
      </c>
      <c r="BQ3111">
        <v>0</v>
      </c>
      <c r="BR3111">
        <v>0</v>
      </c>
      <c r="BS3111">
        <v>0</v>
      </c>
      <c r="BT3111">
        <v>0</v>
      </c>
      <c r="BU3111">
        <v>0</v>
      </c>
      <c r="BV3111">
        <v>0</v>
      </c>
    </row>
    <row r="3112" spans="35:74" x14ac:dyDescent="0.25">
      <c r="BO3112">
        <v>0</v>
      </c>
      <c r="BP3112">
        <v>0</v>
      </c>
      <c r="BQ3112">
        <v>0</v>
      </c>
      <c r="BR3112">
        <v>0</v>
      </c>
      <c r="BS3112">
        <v>0</v>
      </c>
      <c r="BT3112">
        <v>0</v>
      </c>
      <c r="BU3112">
        <v>0</v>
      </c>
      <c r="BV3112">
        <v>0</v>
      </c>
    </row>
    <row r="3113" spans="35:74" x14ac:dyDescent="0.25">
      <c r="BO3113">
        <v>0</v>
      </c>
      <c r="BP3113">
        <v>0</v>
      </c>
      <c r="BQ3113">
        <v>0</v>
      </c>
      <c r="BR3113">
        <v>0</v>
      </c>
      <c r="BS3113">
        <v>0</v>
      </c>
      <c r="BT3113">
        <v>0</v>
      </c>
      <c r="BU3113">
        <v>0</v>
      </c>
      <c r="BV3113">
        <v>0</v>
      </c>
    </row>
    <row r="3114" spans="35:74" x14ac:dyDescent="0.25">
      <c r="BO3114">
        <v>0</v>
      </c>
      <c r="BP3114">
        <v>0</v>
      </c>
      <c r="BQ3114">
        <v>0</v>
      </c>
      <c r="BR3114">
        <v>0</v>
      </c>
      <c r="BS3114">
        <v>0</v>
      </c>
      <c r="BT3114">
        <v>0</v>
      </c>
      <c r="BU3114">
        <v>0</v>
      </c>
      <c r="BV3114">
        <v>0</v>
      </c>
    </row>
    <row r="3115" spans="35:74" x14ac:dyDescent="0.25">
      <c r="BO3115">
        <v>0</v>
      </c>
      <c r="BP3115">
        <v>0</v>
      </c>
      <c r="BQ3115">
        <v>0</v>
      </c>
      <c r="BR3115">
        <v>0</v>
      </c>
      <c r="BS3115">
        <v>0</v>
      </c>
      <c r="BT3115">
        <v>0</v>
      </c>
      <c r="BU3115">
        <v>0</v>
      </c>
      <c r="BV3115">
        <v>0</v>
      </c>
    </row>
    <row r="3116" spans="35:74" x14ac:dyDescent="0.25">
      <c r="BO3116">
        <v>0</v>
      </c>
      <c r="BP3116">
        <v>0</v>
      </c>
      <c r="BQ3116">
        <v>0</v>
      </c>
      <c r="BR3116">
        <v>0</v>
      </c>
      <c r="BS3116">
        <v>0</v>
      </c>
      <c r="BT3116">
        <v>0</v>
      </c>
      <c r="BU3116">
        <v>0</v>
      </c>
      <c r="BV3116">
        <v>0</v>
      </c>
    </row>
    <row r="3117" spans="35:74" x14ac:dyDescent="0.25">
      <c r="BO3117">
        <v>0</v>
      </c>
      <c r="BP3117">
        <v>0</v>
      </c>
      <c r="BQ3117">
        <v>0</v>
      </c>
      <c r="BR3117">
        <v>0</v>
      </c>
      <c r="BS3117">
        <v>0</v>
      </c>
      <c r="BT3117">
        <v>0</v>
      </c>
      <c r="BU3117">
        <v>0</v>
      </c>
      <c r="BV3117">
        <v>0</v>
      </c>
    </row>
    <row r="3118" spans="35:74" x14ac:dyDescent="0.25">
      <c r="BO3118">
        <v>0</v>
      </c>
      <c r="BP3118">
        <v>0</v>
      </c>
      <c r="BQ3118">
        <v>0</v>
      </c>
      <c r="BR3118">
        <v>0</v>
      </c>
      <c r="BS3118">
        <v>0</v>
      </c>
      <c r="BT3118">
        <v>0</v>
      </c>
      <c r="BU3118">
        <v>0</v>
      </c>
      <c r="BV3118">
        <v>0</v>
      </c>
    </row>
    <row r="3119" spans="35:74" x14ac:dyDescent="0.25">
      <c r="BO3119">
        <v>0</v>
      </c>
      <c r="BP3119">
        <v>0</v>
      </c>
      <c r="BQ3119">
        <v>0</v>
      </c>
      <c r="BR3119">
        <v>0</v>
      </c>
      <c r="BS3119">
        <v>0</v>
      </c>
      <c r="BT3119">
        <v>0</v>
      </c>
      <c r="BU3119">
        <v>0</v>
      </c>
      <c r="BV3119">
        <v>0</v>
      </c>
    </row>
    <row r="3120" spans="35:74" x14ac:dyDescent="0.25">
      <c r="BO3120">
        <v>0</v>
      </c>
      <c r="BP3120">
        <v>0</v>
      </c>
      <c r="BQ3120">
        <v>0</v>
      </c>
      <c r="BR3120">
        <v>0</v>
      </c>
      <c r="BS3120">
        <v>0</v>
      </c>
      <c r="BT3120">
        <v>0</v>
      </c>
      <c r="BU3120">
        <v>0</v>
      </c>
      <c r="BV3120">
        <v>0</v>
      </c>
    </row>
    <row r="3121" spans="32:74" x14ac:dyDescent="0.25">
      <c r="BO3121">
        <v>0</v>
      </c>
      <c r="BP3121">
        <v>0</v>
      </c>
      <c r="BQ3121">
        <v>0</v>
      </c>
      <c r="BR3121">
        <v>0</v>
      </c>
      <c r="BS3121">
        <v>0</v>
      </c>
      <c r="BT3121">
        <v>0</v>
      </c>
      <c r="BU3121">
        <v>0</v>
      </c>
      <c r="BV3121">
        <v>0</v>
      </c>
    </row>
    <row r="3122" spans="32:74" x14ac:dyDescent="0.25">
      <c r="BO3122">
        <v>0</v>
      </c>
      <c r="BP3122">
        <v>0</v>
      </c>
      <c r="BQ3122">
        <v>0</v>
      </c>
      <c r="BR3122">
        <v>0</v>
      </c>
      <c r="BS3122">
        <v>0</v>
      </c>
      <c r="BT3122">
        <v>0</v>
      </c>
      <c r="BU3122">
        <v>0</v>
      </c>
      <c r="BV3122">
        <v>0</v>
      </c>
    </row>
    <row r="3123" spans="32:74" x14ac:dyDescent="0.25">
      <c r="BO3123">
        <v>0</v>
      </c>
      <c r="BP3123">
        <v>0</v>
      </c>
      <c r="BQ3123">
        <v>0</v>
      </c>
      <c r="BR3123">
        <v>0</v>
      </c>
      <c r="BS3123">
        <v>0</v>
      </c>
      <c r="BT3123">
        <v>0</v>
      </c>
      <c r="BU3123">
        <v>0</v>
      </c>
      <c r="BV3123">
        <v>0</v>
      </c>
    </row>
    <row r="3124" spans="32:74" x14ac:dyDescent="0.25">
      <c r="BO3124">
        <v>0</v>
      </c>
      <c r="BP3124">
        <v>0</v>
      </c>
      <c r="BQ3124">
        <v>0</v>
      </c>
      <c r="BR3124">
        <v>0</v>
      </c>
      <c r="BS3124">
        <v>0</v>
      </c>
      <c r="BT3124">
        <v>0</v>
      </c>
      <c r="BU3124">
        <v>0</v>
      </c>
      <c r="BV3124">
        <v>0</v>
      </c>
    </row>
    <row r="3125" spans="32:74" x14ac:dyDescent="0.25">
      <c r="BO3125">
        <v>0</v>
      </c>
      <c r="BP3125">
        <v>0</v>
      </c>
      <c r="BQ3125">
        <v>0</v>
      </c>
      <c r="BR3125">
        <v>0</v>
      </c>
      <c r="BS3125">
        <v>0</v>
      </c>
      <c r="BT3125">
        <v>0</v>
      </c>
      <c r="BU3125">
        <v>0</v>
      </c>
      <c r="BV3125">
        <v>0</v>
      </c>
    </row>
    <row r="3126" spans="32:74" x14ac:dyDescent="0.25">
      <c r="AF3126" s="1"/>
      <c r="BE3126" s="1"/>
      <c r="BM3126" s="2"/>
      <c r="BO3126">
        <v>0</v>
      </c>
      <c r="BP3126">
        <v>0</v>
      </c>
      <c r="BQ3126">
        <v>0</v>
      </c>
      <c r="BR3126">
        <v>0</v>
      </c>
      <c r="BS3126">
        <v>0</v>
      </c>
      <c r="BT3126">
        <v>0</v>
      </c>
      <c r="BU3126">
        <v>0</v>
      </c>
      <c r="BV3126">
        <v>0</v>
      </c>
    </row>
    <row r="3127" spans="32:74" x14ac:dyDescent="0.25">
      <c r="BO3127">
        <v>0</v>
      </c>
      <c r="BP3127">
        <v>0</v>
      </c>
      <c r="BQ3127">
        <v>0</v>
      </c>
      <c r="BR3127">
        <v>0</v>
      </c>
      <c r="BS3127">
        <v>0</v>
      </c>
      <c r="BT3127">
        <v>0</v>
      </c>
      <c r="BU3127">
        <v>0</v>
      </c>
      <c r="BV3127">
        <v>0</v>
      </c>
    </row>
    <row r="3128" spans="32:74" x14ac:dyDescent="0.25">
      <c r="BO3128">
        <v>0</v>
      </c>
      <c r="BP3128">
        <v>0</v>
      </c>
      <c r="BQ3128">
        <v>0</v>
      </c>
      <c r="BR3128">
        <v>0</v>
      </c>
      <c r="BS3128">
        <v>0</v>
      </c>
      <c r="BT3128">
        <v>0</v>
      </c>
      <c r="BU3128">
        <v>0</v>
      </c>
      <c r="BV3128">
        <v>0</v>
      </c>
    </row>
    <row r="3129" spans="32:74" x14ac:dyDescent="0.25">
      <c r="BO3129">
        <v>0</v>
      </c>
      <c r="BP3129">
        <v>0</v>
      </c>
      <c r="BQ3129">
        <v>0</v>
      </c>
      <c r="BR3129">
        <v>0</v>
      </c>
      <c r="BS3129">
        <v>0</v>
      </c>
      <c r="BT3129">
        <v>0</v>
      </c>
      <c r="BU3129">
        <v>0</v>
      </c>
      <c r="BV3129">
        <v>0</v>
      </c>
    </row>
    <row r="3130" spans="32:74" x14ac:dyDescent="0.25">
      <c r="BO3130">
        <v>0</v>
      </c>
      <c r="BP3130">
        <v>0</v>
      </c>
      <c r="BQ3130">
        <v>0</v>
      </c>
      <c r="BR3130">
        <v>0</v>
      </c>
      <c r="BS3130">
        <v>0</v>
      </c>
      <c r="BT3130">
        <v>0</v>
      </c>
      <c r="BU3130">
        <v>0</v>
      </c>
      <c r="BV3130">
        <v>0</v>
      </c>
    </row>
    <row r="3131" spans="32:74" x14ac:dyDescent="0.25">
      <c r="BO3131">
        <v>0</v>
      </c>
      <c r="BP3131">
        <v>0</v>
      </c>
      <c r="BQ3131">
        <v>0</v>
      </c>
      <c r="BR3131">
        <v>0</v>
      </c>
      <c r="BS3131">
        <v>0</v>
      </c>
      <c r="BT3131">
        <v>0</v>
      </c>
      <c r="BU3131">
        <v>0</v>
      </c>
      <c r="BV3131">
        <v>0</v>
      </c>
    </row>
    <row r="3132" spans="32:74" x14ac:dyDescent="0.25">
      <c r="BO3132">
        <v>0</v>
      </c>
      <c r="BP3132">
        <v>0</v>
      </c>
      <c r="BQ3132">
        <v>0</v>
      </c>
      <c r="BR3132">
        <v>0</v>
      </c>
      <c r="BS3132">
        <v>0</v>
      </c>
      <c r="BT3132">
        <v>0</v>
      </c>
      <c r="BU3132">
        <v>0</v>
      </c>
      <c r="BV3132">
        <v>0</v>
      </c>
    </row>
    <row r="3133" spans="32:74" x14ac:dyDescent="0.25">
      <c r="BO3133">
        <v>0</v>
      </c>
      <c r="BP3133">
        <v>0</v>
      </c>
      <c r="BQ3133">
        <v>0</v>
      </c>
      <c r="BR3133">
        <v>0</v>
      </c>
      <c r="BS3133">
        <v>0</v>
      </c>
      <c r="BT3133">
        <v>0</v>
      </c>
      <c r="BU3133">
        <v>0</v>
      </c>
      <c r="BV3133">
        <v>0</v>
      </c>
    </row>
    <row r="3134" spans="32:74" x14ac:dyDescent="0.25">
      <c r="BO3134">
        <v>0</v>
      </c>
      <c r="BP3134">
        <v>0</v>
      </c>
      <c r="BQ3134">
        <v>0</v>
      </c>
      <c r="BR3134">
        <v>0</v>
      </c>
      <c r="BS3134">
        <v>0</v>
      </c>
      <c r="BT3134">
        <v>0</v>
      </c>
      <c r="BU3134">
        <v>0</v>
      </c>
      <c r="BV3134">
        <v>0</v>
      </c>
    </row>
    <row r="3135" spans="32:74" x14ac:dyDescent="0.25">
      <c r="BO3135">
        <v>0</v>
      </c>
      <c r="BP3135">
        <v>0</v>
      </c>
      <c r="BQ3135">
        <v>0</v>
      </c>
      <c r="BR3135">
        <v>0</v>
      </c>
      <c r="BS3135">
        <v>0</v>
      </c>
      <c r="BT3135">
        <v>0</v>
      </c>
      <c r="BU3135">
        <v>0</v>
      </c>
      <c r="BV3135">
        <v>0</v>
      </c>
    </row>
    <row r="3136" spans="32:74" x14ac:dyDescent="0.25">
      <c r="BO3136">
        <v>0</v>
      </c>
      <c r="BP3136">
        <v>0</v>
      </c>
      <c r="BQ3136">
        <v>0</v>
      </c>
      <c r="BR3136">
        <v>0</v>
      </c>
      <c r="BS3136">
        <v>0</v>
      </c>
      <c r="BT3136">
        <v>0</v>
      </c>
      <c r="BU3136">
        <v>0</v>
      </c>
      <c r="BV3136">
        <v>0</v>
      </c>
    </row>
    <row r="3137" spans="67:74" x14ac:dyDescent="0.25">
      <c r="BO3137">
        <v>0</v>
      </c>
      <c r="BP3137">
        <v>0</v>
      </c>
      <c r="BQ3137">
        <v>0</v>
      </c>
      <c r="BR3137">
        <v>0</v>
      </c>
      <c r="BS3137">
        <v>0</v>
      </c>
      <c r="BT3137">
        <v>0</v>
      </c>
      <c r="BU3137">
        <v>0</v>
      </c>
      <c r="BV3137">
        <v>0</v>
      </c>
    </row>
    <row r="3138" spans="67:74" x14ac:dyDescent="0.25">
      <c r="BO3138">
        <v>0</v>
      </c>
      <c r="BP3138">
        <v>0</v>
      </c>
      <c r="BQ3138">
        <v>0</v>
      </c>
      <c r="BR3138">
        <v>0</v>
      </c>
      <c r="BS3138">
        <v>0</v>
      </c>
      <c r="BT3138">
        <v>0</v>
      </c>
      <c r="BU3138">
        <v>0</v>
      </c>
      <c r="BV3138">
        <v>0</v>
      </c>
    </row>
    <row r="3139" spans="67:74" x14ac:dyDescent="0.25">
      <c r="BO3139">
        <v>0</v>
      </c>
      <c r="BP3139">
        <v>0</v>
      </c>
      <c r="BQ3139">
        <v>0</v>
      </c>
      <c r="BR3139">
        <v>0</v>
      </c>
      <c r="BS3139">
        <v>0</v>
      </c>
      <c r="BT3139">
        <v>0</v>
      </c>
      <c r="BU3139">
        <v>0</v>
      </c>
      <c r="BV3139">
        <v>0</v>
      </c>
    </row>
    <row r="3140" spans="67:74" x14ac:dyDescent="0.25">
      <c r="BO3140">
        <v>0</v>
      </c>
      <c r="BP3140">
        <v>0</v>
      </c>
      <c r="BQ3140">
        <v>0</v>
      </c>
      <c r="BR3140">
        <v>0</v>
      </c>
      <c r="BS3140">
        <v>0</v>
      </c>
      <c r="BT3140">
        <v>0</v>
      </c>
      <c r="BU3140">
        <v>0</v>
      </c>
      <c r="BV3140">
        <v>0</v>
      </c>
    </row>
    <row r="3141" spans="67:74" x14ac:dyDescent="0.25">
      <c r="BO3141">
        <v>0</v>
      </c>
      <c r="BP3141">
        <v>0</v>
      </c>
      <c r="BQ3141">
        <v>0</v>
      </c>
      <c r="BR3141">
        <v>0</v>
      </c>
      <c r="BS3141">
        <v>0</v>
      </c>
      <c r="BT3141">
        <v>0</v>
      </c>
      <c r="BU3141">
        <v>0</v>
      </c>
      <c r="BV3141">
        <v>0</v>
      </c>
    </row>
    <row r="3142" spans="67:74" x14ac:dyDescent="0.25">
      <c r="BO3142">
        <v>0</v>
      </c>
      <c r="BP3142">
        <v>0</v>
      </c>
      <c r="BQ3142">
        <v>0</v>
      </c>
      <c r="BR3142">
        <v>0</v>
      </c>
      <c r="BS3142">
        <v>0</v>
      </c>
      <c r="BT3142">
        <v>0</v>
      </c>
      <c r="BU3142">
        <v>0</v>
      </c>
      <c r="BV3142">
        <v>0</v>
      </c>
    </row>
    <row r="3143" spans="67:74" x14ac:dyDescent="0.25">
      <c r="BO3143">
        <v>0</v>
      </c>
      <c r="BP3143">
        <v>0</v>
      </c>
      <c r="BQ3143">
        <v>0</v>
      </c>
      <c r="BR3143">
        <v>0</v>
      </c>
      <c r="BS3143">
        <v>0</v>
      </c>
      <c r="BT3143">
        <v>0</v>
      </c>
      <c r="BU3143">
        <v>0</v>
      </c>
      <c r="BV3143">
        <v>0</v>
      </c>
    </row>
    <row r="3144" spans="67:74" x14ac:dyDescent="0.25">
      <c r="BO3144">
        <v>0</v>
      </c>
      <c r="BP3144">
        <v>0</v>
      </c>
      <c r="BQ3144">
        <v>0</v>
      </c>
      <c r="BR3144">
        <v>0</v>
      </c>
      <c r="BS3144">
        <v>0</v>
      </c>
      <c r="BT3144">
        <v>0</v>
      </c>
      <c r="BU3144">
        <v>0</v>
      </c>
      <c r="BV3144">
        <v>0</v>
      </c>
    </row>
    <row r="3145" spans="67:74" x14ac:dyDescent="0.25">
      <c r="BO3145">
        <v>0</v>
      </c>
      <c r="BP3145">
        <v>0</v>
      </c>
      <c r="BQ3145">
        <v>0</v>
      </c>
      <c r="BR3145">
        <v>0</v>
      </c>
      <c r="BS3145">
        <v>0</v>
      </c>
      <c r="BT3145">
        <v>0</v>
      </c>
      <c r="BU3145">
        <v>0</v>
      </c>
      <c r="BV3145">
        <v>0</v>
      </c>
    </row>
    <row r="3146" spans="67:74" x14ac:dyDescent="0.25">
      <c r="BO3146">
        <v>0</v>
      </c>
      <c r="BP3146">
        <v>0</v>
      </c>
      <c r="BQ3146">
        <v>0</v>
      </c>
      <c r="BR3146">
        <v>0</v>
      </c>
      <c r="BS3146">
        <v>0</v>
      </c>
      <c r="BT3146">
        <v>0</v>
      </c>
      <c r="BU3146">
        <v>0</v>
      </c>
      <c r="BV3146">
        <v>0</v>
      </c>
    </row>
    <row r="3147" spans="67:74" x14ac:dyDescent="0.25">
      <c r="BO3147">
        <v>0</v>
      </c>
      <c r="BP3147">
        <v>0</v>
      </c>
      <c r="BQ3147">
        <v>0</v>
      </c>
      <c r="BR3147">
        <v>0</v>
      </c>
      <c r="BS3147">
        <v>0</v>
      </c>
      <c r="BT3147">
        <v>0</v>
      </c>
      <c r="BU3147">
        <v>0</v>
      </c>
      <c r="BV3147">
        <v>0</v>
      </c>
    </row>
    <row r="3148" spans="67:74" x14ac:dyDescent="0.25">
      <c r="BO3148">
        <v>0</v>
      </c>
      <c r="BP3148">
        <v>0</v>
      </c>
      <c r="BQ3148">
        <v>0</v>
      </c>
      <c r="BR3148">
        <v>0</v>
      </c>
      <c r="BS3148">
        <v>0</v>
      </c>
      <c r="BT3148">
        <v>0</v>
      </c>
      <c r="BU3148">
        <v>0</v>
      </c>
      <c r="BV3148">
        <v>0</v>
      </c>
    </row>
    <row r="3149" spans="67:74" x14ac:dyDescent="0.25">
      <c r="BO3149">
        <v>0</v>
      </c>
      <c r="BP3149">
        <v>0</v>
      </c>
      <c r="BQ3149">
        <v>0</v>
      </c>
      <c r="BR3149">
        <v>0</v>
      </c>
      <c r="BS3149">
        <v>0</v>
      </c>
      <c r="BT3149">
        <v>0</v>
      </c>
      <c r="BU3149">
        <v>0</v>
      </c>
      <c r="BV3149">
        <v>0</v>
      </c>
    </row>
    <row r="3150" spans="67:74" x14ac:dyDescent="0.25">
      <c r="BO3150">
        <v>0</v>
      </c>
      <c r="BP3150">
        <v>0</v>
      </c>
      <c r="BQ3150">
        <v>0</v>
      </c>
      <c r="BR3150">
        <v>0</v>
      </c>
      <c r="BS3150">
        <v>0</v>
      </c>
      <c r="BT3150">
        <v>0</v>
      </c>
      <c r="BU3150">
        <v>0</v>
      </c>
      <c r="BV3150">
        <v>0</v>
      </c>
    </row>
    <row r="3151" spans="67:74" x14ac:dyDescent="0.25">
      <c r="BO3151">
        <v>0</v>
      </c>
      <c r="BP3151">
        <v>0</v>
      </c>
      <c r="BQ3151">
        <v>0</v>
      </c>
      <c r="BR3151">
        <v>0</v>
      </c>
      <c r="BS3151">
        <v>0</v>
      </c>
      <c r="BT3151">
        <v>0</v>
      </c>
      <c r="BU3151">
        <v>0</v>
      </c>
      <c r="BV3151">
        <v>0</v>
      </c>
    </row>
    <row r="3152" spans="67:74" x14ac:dyDescent="0.25">
      <c r="BO3152">
        <v>0</v>
      </c>
      <c r="BP3152">
        <v>0</v>
      </c>
      <c r="BQ3152">
        <v>0</v>
      </c>
      <c r="BR3152">
        <v>0</v>
      </c>
      <c r="BS3152">
        <v>0</v>
      </c>
      <c r="BT3152">
        <v>0</v>
      </c>
      <c r="BU3152">
        <v>0</v>
      </c>
      <c r="BV3152">
        <v>0</v>
      </c>
    </row>
    <row r="3153" spans="67:74" x14ac:dyDescent="0.25">
      <c r="BO3153">
        <v>0</v>
      </c>
      <c r="BP3153">
        <v>0</v>
      </c>
      <c r="BQ3153">
        <v>0</v>
      </c>
      <c r="BR3153">
        <v>0</v>
      </c>
      <c r="BS3153">
        <v>0</v>
      </c>
      <c r="BT3153">
        <v>0</v>
      </c>
      <c r="BU3153">
        <v>0</v>
      </c>
      <c r="BV3153">
        <v>0</v>
      </c>
    </row>
    <row r="3154" spans="67:74" x14ac:dyDescent="0.25">
      <c r="BO3154">
        <v>0</v>
      </c>
      <c r="BP3154">
        <v>0</v>
      </c>
      <c r="BQ3154">
        <v>0</v>
      </c>
      <c r="BR3154">
        <v>0</v>
      </c>
      <c r="BS3154">
        <v>0</v>
      </c>
      <c r="BT3154">
        <v>0</v>
      </c>
      <c r="BU3154">
        <v>0</v>
      </c>
      <c r="BV3154">
        <v>0</v>
      </c>
    </row>
    <row r="3155" spans="67:74" x14ac:dyDescent="0.25">
      <c r="BO3155">
        <v>0</v>
      </c>
      <c r="BP3155">
        <v>0</v>
      </c>
      <c r="BQ3155">
        <v>0</v>
      </c>
      <c r="BR3155">
        <v>0</v>
      </c>
      <c r="BS3155">
        <v>0</v>
      </c>
      <c r="BT3155">
        <v>0</v>
      </c>
      <c r="BU3155">
        <v>0</v>
      </c>
      <c r="BV3155">
        <v>0</v>
      </c>
    </row>
    <row r="3156" spans="67:74" x14ac:dyDescent="0.25">
      <c r="BO3156">
        <v>0</v>
      </c>
      <c r="BP3156">
        <v>0</v>
      </c>
      <c r="BQ3156">
        <v>0</v>
      </c>
      <c r="BR3156">
        <v>0</v>
      </c>
      <c r="BS3156">
        <v>0</v>
      </c>
      <c r="BT3156">
        <v>0</v>
      </c>
      <c r="BU3156">
        <v>0</v>
      </c>
      <c r="BV3156">
        <v>0</v>
      </c>
    </row>
    <row r="3157" spans="67:74" x14ac:dyDescent="0.25">
      <c r="BO3157">
        <v>0</v>
      </c>
      <c r="BP3157">
        <v>0</v>
      </c>
      <c r="BQ3157">
        <v>0</v>
      </c>
      <c r="BR3157">
        <v>0</v>
      </c>
      <c r="BS3157">
        <v>0</v>
      </c>
      <c r="BT3157">
        <v>0</v>
      </c>
      <c r="BU3157">
        <v>0</v>
      </c>
      <c r="BV3157">
        <v>0</v>
      </c>
    </row>
    <row r="3158" spans="67:74" x14ac:dyDescent="0.25">
      <c r="BO3158">
        <v>0</v>
      </c>
      <c r="BP3158">
        <v>0</v>
      </c>
      <c r="BQ3158">
        <v>0</v>
      </c>
      <c r="BR3158">
        <v>0</v>
      </c>
      <c r="BS3158">
        <v>0</v>
      </c>
      <c r="BT3158">
        <v>0</v>
      </c>
      <c r="BU3158">
        <v>0</v>
      </c>
      <c r="BV3158">
        <v>0</v>
      </c>
    </row>
    <row r="3159" spans="67:74" x14ac:dyDescent="0.25">
      <c r="BO3159">
        <v>0</v>
      </c>
      <c r="BP3159">
        <v>0</v>
      </c>
      <c r="BQ3159">
        <v>0</v>
      </c>
      <c r="BR3159">
        <v>0</v>
      </c>
      <c r="BS3159">
        <v>0</v>
      </c>
      <c r="BT3159">
        <v>0</v>
      </c>
      <c r="BU3159">
        <v>0</v>
      </c>
      <c r="BV3159">
        <v>0</v>
      </c>
    </row>
    <row r="3160" spans="67:74" x14ac:dyDescent="0.25">
      <c r="BO3160">
        <v>0</v>
      </c>
      <c r="BP3160">
        <v>0</v>
      </c>
      <c r="BQ3160">
        <v>0</v>
      </c>
      <c r="BR3160">
        <v>0</v>
      </c>
      <c r="BS3160">
        <v>0</v>
      </c>
      <c r="BT3160">
        <v>0</v>
      </c>
      <c r="BU3160">
        <v>0</v>
      </c>
      <c r="BV3160">
        <v>0</v>
      </c>
    </row>
    <row r="3161" spans="67:74" x14ac:dyDescent="0.25">
      <c r="BO3161">
        <v>0</v>
      </c>
      <c r="BP3161">
        <v>0</v>
      </c>
      <c r="BQ3161">
        <v>0</v>
      </c>
      <c r="BR3161">
        <v>0</v>
      </c>
      <c r="BS3161">
        <v>0</v>
      </c>
      <c r="BT3161">
        <v>0</v>
      </c>
      <c r="BU3161">
        <v>0</v>
      </c>
      <c r="BV3161">
        <v>0</v>
      </c>
    </row>
    <row r="3162" spans="67:74" x14ac:dyDescent="0.25">
      <c r="BO3162">
        <v>0</v>
      </c>
      <c r="BP3162">
        <v>0</v>
      </c>
      <c r="BQ3162">
        <v>0</v>
      </c>
      <c r="BR3162">
        <v>0</v>
      </c>
      <c r="BS3162">
        <v>0</v>
      </c>
      <c r="BT3162">
        <v>0</v>
      </c>
      <c r="BU3162">
        <v>0</v>
      </c>
      <c r="BV3162">
        <v>0</v>
      </c>
    </row>
    <row r="3163" spans="67:74" x14ac:dyDescent="0.25">
      <c r="BO3163">
        <v>0</v>
      </c>
      <c r="BP3163">
        <v>0</v>
      </c>
      <c r="BQ3163">
        <v>0</v>
      </c>
      <c r="BR3163">
        <v>0</v>
      </c>
      <c r="BS3163">
        <v>0</v>
      </c>
      <c r="BT3163">
        <v>0</v>
      </c>
      <c r="BU3163">
        <v>0</v>
      </c>
      <c r="BV3163">
        <v>0</v>
      </c>
    </row>
    <row r="3164" spans="67:74" x14ac:dyDescent="0.25">
      <c r="BO3164">
        <v>0</v>
      </c>
      <c r="BP3164">
        <v>0</v>
      </c>
      <c r="BQ3164">
        <v>0</v>
      </c>
      <c r="BR3164">
        <v>0</v>
      </c>
      <c r="BS3164">
        <v>0</v>
      </c>
      <c r="BT3164">
        <v>0</v>
      </c>
      <c r="BU3164">
        <v>0</v>
      </c>
      <c r="BV3164">
        <v>0</v>
      </c>
    </row>
    <row r="3165" spans="67:74" x14ac:dyDescent="0.25">
      <c r="BO3165">
        <v>0</v>
      </c>
      <c r="BP3165">
        <v>0</v>
      </c>
      <c r="BQ3165">
        <v>0</v>
      </c>
      <c r="BR3165">
        <v>0</v>
      </c>
      <c r="BS3165">
        <v>0</v>
      </c>
      <c r="BT3165">
        <v>0</v>
      </c>
      <c r="BU3165">
        <v>0</v>
      </c>
      <c r="BV3165">
        <v>0</v>
      </c>
    </row>
    <row r="3166" spans="67:74" x14ac:dyDescent="0.25">
      <c r="BO3166">
        <v>0</v>
      </c>
      <c r="BP3166">
        <v>0</v>
      </c>
      <c r="BQ3166">
        <v>0</v>
      </c>
      <c r="BR3166">
        <v>0</v>
      </c>
      <c r="BS3166">
        <v>0</v>
      </c>
      <c r="BT3166">
        <v>0</v>
      </c>
      <c r="BU3166">
        <v>0</v>
      </c>
      <c r="BV3166">
        <v>0</v>
      </c>
    </row>
    <row r="3167" spans="67:74" x14ac:dyDescent="0.25">
      <c r="BO3167">
        <v>0</v>
      </c>
      <c r="BP3167">
        <v>0</v>
      </c>
      <c r="BQ3167">
        <v>0</v>
      </c>
      <c r="BR3167">
        <v>0</v>
      </c>
      <c r="BS3167">
        <v>0</v>
      </c>
      <c r="BT3167">
        <v>0</v>
      </c>
      <c r="BU3167">
        <v>0</v>
      </c>
      <c r="BV3167">
        <v>0</v>
      </c>
    </row>
    <row r="3168" spans="67:74" x14ac:dyDescent="0.25">
      <c r="BO3168">
        <v>0</v>
      </c>
      <c r="BP3168">
        <v>0</v>
      </c>
      <c r="BQ3168">
        <v>0</v>
      </c>
      <c r="BR3168">
        <v>0</v>
      </c>
      <c r="BS3168">
        <v>0</v>
      </c>
      <c r="BT3168">
        <v>0</v>
      </c>
      <c r="BU3168">
        <v>0</v>
      </c>
      <c r="BV3168">
        <v>0</v>
      </c>
    </row>
    <row r="3169" spans="67:74" x14ac:dyDescent="0.25">
      <c r="BO3169">
        <v>0</v>
      </c>
      <c r="BP3169">
        <v>0</v>
      </c>
      <c r="BQ3169">
        <v>0</v>
      </c>
      <c r="BR3169">
        <v>0</v>
      </c>
      <c r="BS3169">
        <v>0</v>
      </c>
      <c r="BT3169">
        <v>0</v>
      </c>
      <c r="BU3169">
        <v>0</v>
      </c>
      <c r="BV3169">
        <v>0</v>
      </c>
    </row>
    <row r="3170" spans="67:74" x14ac:dyDescent="0.25">
      <c r="BO3170">
        <v>0</v>
      </c>
      <c r="BP3170">
        <v>0</v>
      </c>
      <c r="BQ3170">
        <v>0</v>
      </c>
      <c r="BR3170">
        <v>0</v>
      </c>
      <c r="BS3170">
        <v>0</v>
      </c>
      <c r="BT3170">
        <v>0</v>
      </c>
      <c r="BU3170">
        <v>0</v>
      </c>
      <c r="BV3170">
        <v>0</v>
      </c>
    </row>
    <row r="3171" spans="67:74" x14ac:dyDescent="0.25">
      <c r="BO3171">
        <v>0</v>
      </c>
      <c r="BP3171">
        <v>0</v>
      </c>
      <c r="BQ3171">
        <v>0</v>
      </c>
      <c r="BR3171">
        <v>0</v>
      </c>
      <c r="BS3171">
        <v>0</v>
      </c>
      <c r="BT3171">
        <v>0</v>
      </c>
      <c r="BU3171">
        <v>0</v>
      </c>
      <c r="BV3171">
        <v>0</v>
      </c>
    </row>
    <row r="3172" spans="67:74" x14ac:dyDescent="0.25">
      <c r="BO3172">
        <v>0</v>
      </c>
      <c r="BP3172">
        <v>0</v>
      </c>
      <c r="BQ3172">
        <v>0</v>
      </c>
      <c r="BR3172">
        <v>0</v>
      </c>
      <c r="BS3172">
        <v>0</v>
      </c>
      <c r="BT3172">
        <v>0</v>
      </c>
      <c r="BU3172">
        <v>0</v>
      </c>
      <c r="BV3172">
        <v>0</v>
      </c>
    </row>
    <row r="3173" spans="67:74" x14ac:dyDescent="0.25">
      <c r="BO3173">
        <v>0</v>
      </c>
      <c r="BP3173">
        <v>0</v>
      </c>
      <c r="BQ3173">
        <v>0</v>
      </c>
      <c r="BR3173">
        <v>0</v>
      </c>
      <c r="BS3173">
        <v>0</v>
      </c>
      <c r="BT3173">
        <v>0</v>
      </c>
      <c r="BU3173">
        <v>0</v>
      </c>
      <c r="BV3173">
        <v>0</v>
      </c>
    </row>
    <row r="3174" spans="67:74" x14ac:dyDescent="0.25">
      <c r="BO3174">
        <v>0</v>
      </c>
      <c r="BP3174">
        <v>0</v>
      </c>
      <c r="BQ3174">
        <v>0</v>
      </c>
      <c r="BR3174">
        <v>0</v>
      </c>
      <c r="BS3174">
        <v>0</v>
      </c>
      <c r="BT3174">
        <v>0</v>
      </c>
      <c r="BU3174">
        <v>0</v>
      </c>
      <c r="BV3174">
        <v>0</v>
      </c>
    </row>
    <row r="3175" spans="67:74" x14ac:dyDescent="0.25">
      <c r="BO3175">
        <v>0</v>
      </c>
      <c r="BP3175">
        <v>0</v>
      </c>
      <c r="BQ3175">
        <v>0</v>
      </c>
      <c r="BR3175">
        <v>0</v>
      </c>
      <c r="BS3175">
        <v>0</v>
      </c>
      <c r="BT3175">
        <v>0</v>
      </c>
      <c r="BU3175">
        <v>0</v>
      </c>
      <c r="BV3175">
        <v>0</v>
      </c>
    </row>
    <row r="3176" spans="67:74" x14ac:dyDescent="0.25">
      <c r="BO3176">
        <v>0</v>
      </c>
      <c r="BP3176">
        <v>0</v>
      </c>
      <c r="BQ3176">
        <v>0</v>
      </c>
      <c r="BR3176">
        <v>0</v>
      </c>
      <c r="BS3176">
        <v>0</v>
      </c>
      <c r="BT3176">
        <v>0</v>
      </c>
      <c r="BU3176">
        <v>0</v>
      </c>
      <c r="BV3176">
        <v>0</v>
      </c>
    </row>
    <row r="3177" spans="67:74" x14ac:dyDescent="0.25">
      <c r="BO3177">
        <v>0</v>
      </c>
      <c r="BP3177">
        <v>0</v>
      </c>
      <c r="BQ3177">
        <v>0</v>
      </c>
      <c r="BR3177">
        <v>0</v>
      </c>
      <c r="BS3177">
        <v>0</v>
      </c>
      <c r="BT3177">
        <v>0</v>
      </c>
      <c r="BU3177">
        <v>0</v>
      </c>
      <c r="BV3177">
        <v>0</v>
      </c>
    </row>
    <row r="3178" spans="67:74" x14ac:dyDescent="0.25">
      <c r="BO3178">
        <v>0</v>
      </c>
      <c r="BP3178">
        <v>0</v>
      </c>
      <c r="BQ3178">
        <v>0</v>
      </c>
      <c r="BR3178">
        <v>0</v>
      </c>
      <c r="BS3178">
        <v>0</v>
      </c>
      <c r="BT3178">
        <v>0</v>
      </c>
      <c r="BU3178">
        <v>0</v>
      </c>
      <c r="BV3178">
        <v>0</v>
      </c>
    </row>
    <row r="3179" spans="67:74" x14ac:dyDescent="0.25">
      <c r="BO3179">
        <v>0</v>
      </c>
      <c r="BP3179">
        <v>0</v>
      </c>
      <c r="BQ3179">
        <v>0</v>
      </c>
      <c r="BR3179">
        <v>0</v>
      </c>
      <c r="BS3179">
        <v>0</v>
      </c>
      <c r="BT3179">
        <v>0</v>
      </c>
      <c r="BU3179">
        <v>0</v>
      </c>
      <c r="BV3179">
        <v>0</v>
      </c>
    </row>
    <row r="3180" spans="67:74" x14ac:dyDescent="0.25">
      <c r="BO3180">
        <v>0</v>
      </c>
      <c r="BP3180">
        <v>0</v>
      </c>
      <c r="BQ3180">
        <v>0</v>
      </c>
      <c r="BR3180">
        <v>0</v>
      </c>
      <c r="BS3180">
        <v>0</v>
      </c>
      <c r="BT3180">
        <v>0</v>
      </c>
      <c r="BU3180">
        <v>0</v>
      </c>
      <c r="BV3180">
        <v>0</v>
      </c>
    </row>
    <row r="3181" spans="67:74" x14ac:dyDescent="0.25">
      <c r="BO3181">
        <v>0</v>
      </c>
      <c r="BP3181">
        <v>0</v>
      </c>
      <c r="BQ3181">
        <v>0</v>
      </c>
      <c r="BR3181">
        <v>0</v>
      </c>
      <c r="BS3181">
        <v>0</v>
      </c>
      <c r="BT3181">
        <v>0</v>
      </c>
      <c r="BU3181">
        <v>0</v>
      </c>
      <c r="BV3181">
        <v>0</v>
      </c>
    </row>
    <row r="3182" spans="67:74" x14ac:dyDescent="0.25">
      <c r="BO3182">
        <v>0</v>
      </c>
      <c r="BP3182">
        <v>0</v>
      </c>
      <c r="BQ3182">
        <v>0</v>
      </c>
      <c r="BR3182">
        <v>0</v>
      </c>
      <c r="BS3182">
        <v>0</v>
      </c>
      <c r="BT3182">
        <v>0</v>
      </c>
      <c r="BU3182">
        <v>0</v>
      </c>
      <c r="BV3182">
        <v>0</v>
      </c>
    </row>
    <row r="3183" spans="67:74" x14ac:dyDescent="0.25">
      <c r="BO3183">
        <v>0</v>
      </c>
      <c r="BP3183">
        <v>0</v>
      </c>
      <c r="BQ3183">
        <v>0</v>
      </c>
      <c r="BR3183">
        <v>0</v>
      </c>
      <c r="BS3183">
        <v>0</v>
      </c>
      <c r="BT3183">
        <v>0</v>
      </c>
      <c r="BU3183">
        <v>0</v>
      </c>
      <c r="BV3183">
        <v>0</v>
      </c>
    </row>
    <row r="3184" spans="67:74" x14ac:dyDescent="0.25">
      <c r="BO3184">
        <v>0</v>
      </c>
      <c r="BP3184">
        <v>0</v>
      </c>
      <c r="BQ3184">
        <v>0</v>
      </c>
      <c r="BR3184">
        <v>0</v>
      </c>
      <c r="BS3184">
        <v>0</v>
      </c>
      <c r="BT3184">
        <v>0</v>
      </c>
      <c r="BU3184">
        <v>0</v>
      </c>
      <c r="BV3184">
        <v>0</v>
      </c>
    </row>
    <row r="3185" spans="67:74" x14ac:dyDescent="0.25">
      <c r="BO3185">
        <v>0</v>
      </c>
      <c r="BP3185">
        <v>0</v>
      </c>
      <c r="BQ3185">
        <v>0</v>
      </c>
      <c r="BR3185">
        <v>0</v>
      </c>
      <c r="BS3185">
        <v>0</v>
      </c>
      <c r="BT3185">
        <v>0</v>
      </c>
      <c r="BU3185">
        <v>0</v>
      </c>
      <c r="BV3185">
        <v>0</v>
      </c>
    </row>
    <row r="3186" spans="67:74" x14ac:dyDescent="0.25">
      <c r="BO3186">
        <v>0</v>
      </c>
      <c r="BP3186">
        <v>0</v>
      </c>
      <c r="BQ3186">
        <v>0</v>
      </c>
      <c r="BR3186">
        <v>0</v>
      </c>
      <c r="BS3186">
        <v>0</v>
      </c>
      <c r="BT3186">
        <v>0</v>
      </c>
      <c r="BU3186">
        <v>0</v>
      </c>
      <c r="BV3186">
        <v>0</v>
      </c>
    </row>
    <row r="3187" spans="67:74" x14ac:dyDescent="0.25">
      <c r="BO3187">
        <v>0</v>
      </c>
      <c r="BP3187">
        <v>0</v>
      </c>
      <c r="BQ3187">
        <v>0</v>
      </c>
      <c r="BR3187">
        <v>0</v>
      </c>
      <c r="BS3187">
        <v>0</v>
      </c>
      <c r="BT3187">
        <v>0</v>
      </c>
      <c r="BU3187">
        <v>0</v>
      </c>
      <c r="BV3187">
        <v>0</v>
      </c>
    </row>
    <row r="3188" spans="67:74" x14ac:dyDescent="0.25">
      <c r="BO3188">
        <v>0</v>
      </c>
      <c r="BP3188">
        <v>0</v>
      </c>
      <c r="BQ3188">
        <v>0</v>
      </c>
      <c r="BR3188">
        <v>0</v>
      </c>
      <c r="BS3188">
        <v>0</v>
      </c>
      <c r="BT3188">
        <v>0</v>
      </c>
      <c r="BU3188">
        <v>0</v>
      </c>
      <c r="BV3188">
        <v>0</v>
      </c>
    </row>
    <row r="3189" spans="67:74" x14ac:dyDescent="0.25">
      <c r="BO3189">
        <v>0</v>
      </c>
      <c r="BP3189">
        <v>0</v>
      </c>
      <c r="BQ3189">
        <v>0</v>
      </c>
      <c r="BR3189">
        <v>0</v>
      </c>
      <c r="BS3189">
        <v>0</v>
      </c>
      <c r="BT3189">
        <v>0</v>
      </c>
      <c r="BU3189">
        <v>0</v>
      </c>
      <c r="BV3189">
        <v>0</v>
      </c>
    </row>
    <row r="3190" spans="67:74" x14ac:dyDescent="0.25">
      <c r="BO3190">
        <v>0</v>
      </c>
      <c r="BP3190">
        <v>0</v>
      </c>
      <c r="BQ3190">
        <v>0</v>
      </c>
      <c r="BR3190">
        <v>0</v>
      </c>
      <c r="BS3190">
        <v>0</v>
      </c>
      <c r="BT3190">
        <v>0</v>
      </c>
      <c r="BU3190">
        <v>0</v>
      </c>
      <c r="BV3190">
        <v>0</v>
      </c>
    </row>
    <row r="3191" spans="67:74" x14ac:dyDescent="0.25">
      <c r="BO3191">
        <v>0</v>
      </c>
      <c r="BP3191">
        <v>0</v>
      </c>
      <c r="BQ3191">
        <v>0</v>
      </c>
      <c r="BR3191">
        <v>0</v>
      </c>
      <c r="BS3191">
        <v>0</v>
      </c>
      <c r="BT3191">
        <v>0</v>
      </c>
      <c r="BU3191">
        <v>0</v>
      </c>
      <c r="BV3191">
        <v>0</v>
      </c>
    </row>
    <row r="3192" spans="67:74" x14ac:dyDescent="0.25">
      <c r="BO3192">
        <v>0</v>
      </c>
      <c r="BP3192">
        <v>0</v>
      </c>
      <c r="BQ3192">
        <v>0</v>
      </c>
      <c r="BR3192">
        <v>0</v>
      </c>
      <c r="BS3192">
        <v>0</v>
      </c>
      <c r="BT3192">
        <v>0</v>
      </c>
      <c r="BU3192">
        <v>0</v>
      </c>
      <c r="BV3192">
        <v>0</v>
      </c>
    </row>
    <row r="3193" spans="67:74" x14ac:dyDescent="0.25">
      <c r="BO3193">
        <v>0</v>
      </c>
      <c r="BP3193">
        <v>0</v>
      </c>
      <c r="BQ3193">
        <v>0</v>
      </c>
      <c r="BR3193">
        <v>0</v>
      </c>
      <c r="BS3193">
        <v>0</v>
      </c>
      <c r="BT3193">
        <v>0</v>
      </c>
      <c r="BU3193">
        <v>0</v>
      </c>
      <c r="BV3193">
        <v>0</v>
      </c>
    </row>
    <row r="3194" spans="67:74" x14ac:dyDescent="0.25">
      <c r="BO3194">
        <v>0</v>
      </c>
      <c r="BP3194">
        <v>0</v>
      </c>
      <c r="BQ3194">
        <v>0</v>
      </c>
      <c r="BR3194">
        <v>0</v>
      </c>
      <c r="BS3194">
        <v>0</v>
      </c>
      <c r="BT3194">
        <v>0</v>
      </c>
      <c r="BU3194">
        <v>0</v>
      </c>
      <c r="BV3194">
        <v>0</v>
      </c>
    </row>
    <row r="3195" spans="67:74" x14ac:dyDescent="0.25">
      <c r="BO3195">
        <v>0</v>
      </c>
      <c r="BP3195">
        <v>0</v>
      </c>
      <c r="BQ3195">
        <v>0</v>
      </c>
      <c r="BR3195">
        <v>0</v>
      </c>
      <c r="BS3195">
        <v>0</v>
      </c>
      <c r="BT3195">
        <v>0</v>
      </c>
      <c r="BU3195">
        <v>0</v>
      </c>
      <c r="BV3195">
        <v>0</v>
      </c>
    </row>
    <row r="3196" spans="67:74" x14ac:dyDescent="0.25">
      <c r="BO3196">
        <v>0</v>
      </c>
      <c r="BP3196">
        <v>0</v>
      </c>
      <c r="BQ3196">
        <v>0</v>
      </c>
      <c r="BR3196">
        <v>0</v>
      </c>
      <c r="BS3196">
        <v>0</v>
      </c>
      <c r="BT3196">
        <v>0</v>
      </c>
      <c r="BU3196">
        <v>0</v>
      </c>
      <c r="BV3196">
        <v>0</v>
      </c>
    </row>
    <row r="3197" spans="67:74" x14ac:dyDescent="0.25">
      <c r="BO3197">
        <v>0</v>
      </c>
      <c r="BP3197">
        <v>0</v>
      </c>
      <c r="BQ3197">
        <v>0</v>
      </c>
      <c r="BR3197">
        <v>0</v>
      </c>
      <c r="BS3197">
        <v>0</v>
      </c>
      <c r="BT3197">
        <v>0</v>
      </c>
      <c r="BU3197">
        <v>0</v>
      </c>
      <c r="BV3197">
        <v>0</v>
      </c>
    </row>
    <row r="3198" spans="67:74" x14ac:dyDescent="0.25">
      <c r="BO3198">
        <v>0</v>
      </c>
      <c r="BP3198">
        <v>0</v>
      </c>
      <c r="BQ3198">
        <v>0</v>
      </c>
      <c r="BR3198">
        <v>0</v>
      </c>
      <c r="BS3198">
        <v>0</v>
      </c>
      <c r="BT3198">
        <v>0</v>
      </c>
      <c r="BU3198">
        <v>0</v>
      </c>
      <c r="BV3198">
        <v>0</v>
      </c>
    </row>
    <row r="3199" spans="67:74" x14ac:dyDescent="0.25">
      <c r="BO3199">
        <v>0</v>
      </c>
      <c r="BP3199">
        <v>0</v>
      </c>
      <c r="BQ3199">
        <v>0</v>
      </c>
      <c r="BR3199">
        <v>0</v>
      </c>
      <c r="BS3199">
        <v>0</v>
      </c>
      <c r="BT3199">
        <v>0</v>
      </c>
      <c r="BU3199">
        <v>0</v>
      </c>
      <c r="BV3199">
        <v>0</v>
      </c>
    </row>
    <row r="3200" spans="67:74" x14ac:dyDescent="0.25">
      <c r="BO3200">
        <v>0</v>
      </c>
      <c r="BP3200">
        <v>0</v>
      </c>
      <c r="BQ3200">
        <v>0</v>
      </c>
      <c r="BR3200">
        <v>0</v>
      </c>
      <c r="BS3200">
        <v>0</v>
      </c>
      <c r="BT3200">
        <v>0</v>
      </c>
      <c r="BU3200">
        <v>0</v>
      </c>
      <c r="BV3200">
        <v>0</v>
      </c>
    </row>
    <row r="3201" spans="11:74" x14ac:dyDescent="0.25">
      <c r="BO3201">
        <v>0</v>
      </c>
      <c r="BP3201">
        <v>0</v>
      </c>
      <c r="BQ3201">
        <v>0</v>
      </c>
      <c r="BR3201">
        <v>0</v>
      </c>
      <c r="BS3201">
        <v>0</v>
      </c>
      <c r="BT3201">
        <v>0</v>
      </c>
      <c r="BU3201">
        <v>0</v>
      </c>
      <c r="BV3201">
        <v>0</v>
      </c>
    </row>
    <row r="3202" spans="11:74" x14ac:dyDescent="0.25">
      <c r="BO3202">
        <v>0</v>
      </c>
      <c r="BP3202">
        <v>0</v>
      </c>
      <c r="BQ3202">
        <v>0</v>
      </c>
      <c r="BR3202">
        <v>0</v>
      </c>
      <c r="BS3202">
        <v>0</v>
      </c>
      <c r="BT3202">
        <v>0</v>
      </c>
      <c r="BU3202">
        <v>0</v>
      </c>
      <c r="BV3202">
        <v>0</v>
      </c>
    </row>
    <row r="3203" spans="11:74" x14ac:dyDescent="0.25">
      <c r="BO3203">
        <v>0</v>
      </c>
      <c r="BP3203">
        <v>0</v>
      </c>
      <c r="BQ3203">
        <v>0</v>
      </c>
      <c r="BR3203">
        <v>0</v>
      </c>
      <c r="BS3203">
        <v>0</v>
      </c>
      <c r="BT3203">
        <v>0</v>
      </c>
      <c r="BU3203">
        <v>0</v>
      </c>
      <c r="BV3203">
        <v>0</v>
      </c>
    </row>
    <row r="3204" spans="11:74" x14ac:dyDescent="0.25">
      <c r="BO3204">
        <v>0</v>
      </c>
      <c r="BP3204">
        <v>0</v>
      </c>
      <c r="BQ3204">
        <v>0</v>
      </c>
      <c r="BR3204">
        <v>0</v>
      </c>
      <c r="BS3204">
        <v>0</v>
      </c>
      <c r="BT3204">
        <v>0</v>
      </c>
      <c r="BU3204">
        <v>0</v>
      </c>
      <c r="BV3204">
        <v>0</v>
      </c>
    </row>
    <row r="3205" spans="11:74" x14ac:dyDescent="0.25">
      <c r="BO3205">
        <v>0</v>
      </c>
      <c r="BP3205">
        <v>0</v>
      </c>
      <c r="BQ3205">
        <v>0</v>
      </c>
      <c r="BR3205">
        <v>0</v>
      </c>
      <c r="BS3205">
        <v>0</v>
      </c>
      <c r="BT3205">
        <v>0</v>
      </c>
      <c r="BU3205">
        <v>0</v>
      </c>
      <c r="BV3205">
        <v>0</v>
      </c>
    </row>
    <row r="3206" spans="11:74" x14ac:dyDescent="0.25">
      <c r="BO3206">
        <v>0</v>
      </c>
      <c r="BP3206">
        <v>0</v>
      </c>
      <c r="BQ3206">
        <v>0</v>
      </c>
      <c r="BR3206">
        <v>0</v>
      </c>
      <c r="BS3206">
        <v>0</v>
      </c>
      <c r="BT3206">
        <v>0</v>
      </c>
      <c r="BU3206">
        <v>0</v>
      </c>
      <c r="BV3206">
        <v>0</v>
      </c>
    </row>
    <row r="3207" spans="11:74" x14ac:dyDescent="0.25">
      <c r="BO3207">
        <v>0</v>
      </c>
      <c r="BP3207">
        <v>0</v>
      </c>
      <c r="BQ3207">
        <v>0</v>
      </c>
      <c r="BR3207">
        <v>0</v>
      </c>
      <c r="BS3207">
        <v>0</v>
      </c>
      <c r="BT3207">
        <v>0</v>
      </c>
      <c r="BU3207">
        <v>0</v>
      </c>
      <c r="BV3207">
        <v>0</v>
      </c>
    </row>
    <row r="3208" spans="11:74" x14ac:dyDescent="0.25">
      <c r="BO3208">
        <v>0</v>
      </c>
      <c r="BP3208">
        <v>0</v>
      </c>
      <c r="BQ3208">
        <v>0</v>
      </c>
      <c r="BR3208">
        <v>0</v>
      </c>
      <c r="BS3208">
        <v>0</v>
      </c>
      <c r="BT3208">
        <v>0</v>
      </c>
      <c r="BU3208">
        <v>0</v>
      </c>
      <c r="BV3208">
        <v>0</v>
      </c>
    </row>
    <row r="3209" spans="11:74" x14ac:dyDescent="0.25">
      <c r="BO3209">
        <v>0</v>
      </c>
      <c r="BP3209">
        <v>0</v>
      </c>
      <c r="BQ3209">
        <v>0</v>
      </c>
      <c r="BR3209">
        <v>0</v>
      </c>
      <c r="BS3209">
        <v>0</v>
      </c>
      <c r="BT3209">
        <v>0</v>
      </c>
      <c r="BU3209">
        <v>0</v>
      </c>
      <c r="BV3209">
        <v>0</v>
      </c>
    </row>
    <row r="3210" spans="11:74" x14ac:dyDescent="0.25">
      <c r="BO3210">
        <v>0</v>
      </c>
      <c r="BP3210">
        <v>0</v>
      </c>
      <c r="BQ3210">
        <v>0</v>
      </c>
      <c r="BR3210">
        <v>0</v>
      </c>
      <c r="BS3210">
        <v>0</v>
      </c>
      <c r="BT3210">
        <v>0</v>
      </c>
      <c r="BU3210">
        <v>0</v>
      </c>
      <c r="BV3210">
        <v>0</v>
      </c>
    </row>
    <row r="3211" spans="11:74" x14ac:dyDescent="0.25">
      <c r="BO3211">
        <v>0</v>
      </c>
      <c r="BP3211">
        <v>0</v>
      </c>
      <c r="BQ3211">
        <v>0</v>
      </c>
      <c r="BR3211">
        <v>0</v>
      </c>
      <c r="BS3211">
        <v>0</v>
      </c>
      <c r="BT3211">
        <v>0</v>
      </c>
      <c r="BU3211">
        <v>0</v>
      </c>
      <c r="BV3211">
        <v>0</v>
      </c>
    </row>
    <row r="3212" spans="11:74" x14ac:dyDescent="0.25">
      <c r="BO3212">
        <v>0</v>
      </c>
      <c r="BP3212">
        <v>0</v>
      </c>
      <c r="BQ3212">
        <v>0</v>
      </c>
      <c r="BR3212">
        <v>0</v>
      </c>
      <c r="BS3212">
        <v>0</v>
      </c>
      <c r="BT3212">
        <v>0</v>
      </c>
      <c r="BU3212">
        <v>0</v>
      </c>
      <c r="BV3212">
        <v>0</v>
      </c>
    </row>
    <row r="3213" spans="11:74" x14ac:dyDescent="0.25">
      <c r="BO3213">
        <v>0</v>
      </c>
      <c r="BP3213">
        <v>0</v>
      </c>
      <c r="BQ3213">
        <v>0</v>
      </c>
      <c r="BR3213">
        <v>0</v>
      </c>
      <c r="BS3213">
        <v>0</v>
      </c>
      <c r="BT3213">
        <v>0</v>
      </c>
      <c r="BU3213">
        <v>0</v>
      </c>
      <c r="BV3213">
        <v>0</v>
      </c>
    </row>
    <row r="3214" spans="11:74" x14ac:dyDescent="0.25">
      <c r="BO3214">
        <v>0</v>
      </c>
      <c r="BP3214">
        <v>0</v>
      </c>
      <c r="BQ3214">
        <v>0</v>
      </c>
      <c r="BR3214">
        <v>0</v>
      </c>
      <c r="BS3214">
        <v>0</v>
      </c>
      <c r="BT3214">
        <v>0</v>
      </c>
      <c r="BU3214">
        <v>0</v>
      </c>
      <c r="BV3214">
        <v>0</v>
      </c>
    </row>
    <row r="3215" spans="11:74" x14ac:dyDescent="0.25">
      <c r="BO3215">
        <v>0</v>
      </c>
      <c r="BP3215">
        <v>0</v>
      </c>
      <c r="BQ3215">
        <v>0</v>
      </c>
      <c r="BR3215">
        <v>0</v>
      </c>
      <c r="BS3215">
        <v>0</v>
      </c>
      <c r="BT3215">
        <v>0</v>
      </c>
      <c r="BU3215">
        <v>0</v>
      </c>
      <c r="BV3215">
        <v>0</v>
      </c>
    </row>
    <row r="3216" spans="11:74" x14ac:dyDescent="0.25">
      <c r="K3216" s="3"/>
      <c r="BO3216">
        <v>0</v>
      </c>
      <c r="BP3216">
        <v>0</v>
      </c>
      <c r="BQ3216">
        <v>0</v>
      </c>
      <c r="BR3216">
        <v>0</v>
      </c>
      <c r="BS3216">
        <v>0</v>
      </c>
      <c r="BT3216">
        <v>0</v>
      </c>
      <c r="BU3216">
        <v>0</v>
      </c>
      <c r="BV3216">
        <v>0</v>
      </c>
    </row>
    <row r="3217" spans="11:74" x14ac:dyDescent="0.25">
      <c r="K3217" s="3"/>
      <c r="BO3217">
        <v>0</v>
      </c>
      <c r="BP3217">
        <v>0</v>
      </c>
      <c r="BQ3217">
        <v>0</v>
      </c>
      <c r="BR3217">
        <v>0</v>
      </c>
      <c r="BS3217">
        <v>0</v>
      </c>
      <c r="BT3217">
        <v>0</v>
      </c>
      <c r="BU3217">
        <v>0</v>
      </c>
      <c r="BV3217">
        <v>0</v>
      </c>
    </row>
    <row r="3218" spans="11:74" x14ac:dyDescent="0.25">
      <c r="K3218" s="3"/>
      <c r="BO3218">
        <v>0</v>
      </c>
      <c r="BP3218">
        <v>0</v>
      </c>
      <c r="BQ3218">
        <v>0</v>
      </c>
      <c r="BR3218">
        <v>0</v>
      </c>
      <c r="BS3218">
        <v>0</v>
      </c>
      <c r="BT3218">
        <v>0</v>
      </c>
      <c r="BU3218">
        <v>0</v>
      </c>
      <c r="BV3218">
        <v>0</v>
      </c>
    </row>
    <row r="3219" spans="11:74" x14ac:dyDescent="0.25">
      <c r="K3219" s="3"/>
      <c r="BO3219">
        <v>0</v>
      </c>
      <c r="BP3219">
        <v>0</v>
      </c>
      <c r="BQ3219">
        <v>0</v>
      </c>
      <c r="BR3219">
        <v>0</v>
      </c>
      <c r="BS3219">
        <v>0</v>
      </c>
      <c r="BT3219">
        <v>0</v>
      </c>
      <c r="BU3219">
        <v>0</v>
      </c>
      <c r="BV3219">
        <v>0</v>
      </c>
    </row>
    <row r="3220" spans="11:74" x14ac:dyDescent="0.25">
      <c r="K3220" s="3"/>
      <c r="BO3220">
        <v>0</v>
      </c>
      <c r="BP3220">
        <v>0</v>
      </c>
      <c r="BQ3220">
        <v>0</v>
      </c>
      <c r="BR3220">
        <v>0</v>
      </c>
      <c r="BS3220">
        <v>0</v>
      </c>
      <c r="BT3220">
        <v>0</v>
      </c>
      <c r="BU3220">
        <v>0</v>
      </c>
      <c r="BV3220">
        <v>0</v>
      </c>
    </row>
    <row r="3221" spans="11:74" x14ac:dyDescent="0.25">
      <c r="K3221" s="3"/>
      <c r="BO3221">
        <v>0</v>
      </c>
      <c r="BP3221">
        <v>0</v>
      </c>
      <c r="BQ3221">
        <v>0</v>
      </c>
      <c r="BR3221">
        <v>0</v>
      </c>
      <c r="BS3221">
        <v>0</v>
      </c>
      <c r="BT3221">
        <v>0</v>
      </c>
      <c r="BU3221">
        <v>0</v>
      </c>
      <c r="BV3221">
        <v>0</v>
      </c>
    </row>
    <row r="3222" spans="11:74" x14ac:dyDescent="0.25">
      <c r="K3222" s="3"/>
      <c r="BO3222">
        <v>0</v>
      </c>
      <c r="BP3222">
        <v>0</v>
      </c>
      <c r="BQ3222">
        <v>0</v>
      </c>
      <c r="BR3222">
        <v>0</v>
      </c>
      <c r="BS3222">
        <v>0</v>
      </c>
      <c r="BT3222">
        <v>0</v>
      </c>
      <c r="BU3222">
        <v>0</v>
      </c>
      <c r="BV3222">
        <v>0</v>
      </c>
    </row>
    <row r="3223" spans="11:74" x14ac:dyDescent="0.25">
      <c r="K3223" s="3"/>
      <c r="BO3223">
        <v>0</v>
      </c>
      <c r="BP3223">
        <v>0</v>
      </c>
      <c r="BQ3223">
        <v>0</v>
      </c>
      <c r="BR3223">
        <v>0</v>
      </c>
      <c r="BS3223">
        <v>0</v>
      </c>
      <c r="BT3223">
        <v>0</v>
      </c>
      <c r="BU3223">
        <v>0</v>
      </c>
      <c r="BV3223">
        <v>0</v>
      </c>
    </row>
    <row r="3224" spans="11:74" x14ac:dyDescent="0.25">
      <c r="K3224" s="3"/>
      <c r="BO3224">
        <v>0</v>
      </c>
      <c r="BP3224">
        <v>0</v>
      </c>
      <c r="BQ3224">
        <v>0</v>
      </c>
      <c r="BR3224">
        <v>0</v>
      </c>
      <c r="BS3224">
        <v>0</v>
      </c>
      <c r="BT3224">
        <v>0</v>
      </c>
      <c r="BU3224">
        <v>0</v>
      </c>
      <c r="BV3224">
        <v>0</v>
      </c>
    </row>
    <row r="3225" spans="11:74" x14ac:dyDescent="0.25">
      <c r="K3225" s="3"/>
      <c r="BO3225">
        <v>0</v>
      </c>
      <c r="BP3225">
        <v>0</v>
      </c>
      <c r="BQ3225">
        <v>0</v>
      </c>
      <c r="BR3225">
        <v>0</v>
      </c>
      <c r="BS3225">
        <v>0</v>
      </c>
      <c r="BT3225">
        <v>0</v>
      </c>
      <c r="BU3225">
        <v>0</v>
      </c>
      <c r="BV3225">
        <v>0</v>
      </c>
    </row>
    <row r="3226" spans="11:74" x14ac:dyDescent="0.25">
      <c r="K3226" s="3"/>
      <c r="BO3226">
        <v>0</v>
      </c>
      <c r="BP3226">
        <v>0</v>
      </c>
      <c r="BQ3226">
        <v>0</v>
      </c>
      <c r="BR3226">
        <v>0</v>
      </c>
      <c r="BS3226">
        <v>0</v>
      </c>
      <c r="BT3226">
        <v>0</v>
      </c>
      <c r="BU3226">
        <v>0</v>
      </c>
      <c r="BV3226">
        <v>0</v>
      </c>
    </row>
    <row r="3227" spans="11:74" x14ac:dyDescent="0.25">
      <c r="K3227" s="3"/>
      <c r="BO3227">
        <v>0</v>
      </c>
      <c r="BP3227">
        <v>0</v>
      </c>
      <c r="BQ3227">
        <v>0</v>
      </c>
      <c r="BR3227">
        <v>0</v>
      </c>
      <c r="BS3227">
        <v>0</v>
      </c>
      <c r="BT3227">
        <v>0</v>
      </c>
      <c r="BU3227">
        <v>0</v>
      </c>
      <c r="BV3227">
        <v>0</v>
      </c>
    </row>
    <row r="3228" spans="11:74" x14ac:dyDescent="0.25">
      <c r="K3228" s="3"/>
      <c r="BO3228">
        <v>0</v>
      </c>
      <c r="BP3228">
        <v>0</v>
      </c>
      <c r="BQ3228">
        <v>0</v>
      </c>
      <c r="BR3228">
        <v>0</v>
      </c>
      <c r="BS3228">
        <v>0</v>
      </c>
      <c r="BT3228">
        <v>0</v>
      </c>
      <c r="BU3228">
        <v>0</v>
      </c>
      <c r="BV3228">
        <v>0</v>
      </c>
    </row>
    <row r="3229" spans="11:74" x14ac:dyDescent="0.25">
      <c r="K3229" s="3"/>
      <c r="BO3229">
        <v>0</v>
      </c>
      <c r="BP3229">
        <v>0</v>
      </c>
      <c r="BQ3229">
        <v>0</v>
      </c>
      <c r="BR3229">
        <v>0</v>
      </c>
      <c r="BS3229">
        <v>0</v>
      </c>
      <c r="BT3229">
        <v>0</v>
      </c>
      <c r="BU3229">
        <v>0</v>
      </c>
      <c r="BV3229">
        <v>0</v>
      </c>
    </row>
    <row r="3230" spans="11:74" x14ac:dyDescent="0.25">
      <c r="K3230" s="3"/>
      <c r="BO3230">
        <v>0</v>
      </c>
      <c r="BP3230">
        <v>0</v>
      </c>
      <c r="BQ3230">
        <v>0</v>
      </c>
      <c r="BR3230">
        <v>0</v>
      </c>
      <c r="BS3230">
        <v>0</v>
      </c>
      <c r="BT3230">
        <v>0</v>
      </c>
      <c r="BU3230">
        <v>0</v>
      </c>
      <c r="BV3230">
        <v>0</v>
      </c>
    </row>
    <row r="3231" spans="11:74" x14ac:dyDescent="0.25">
      <c r="K3231" s="3"/>
      <c r="BO3231">
        <v>0</v>
      </c>
      <c r="BP3231">
        <v>0</v>
      </c>
      <c r="BQ3231">
        <v>0</v>
      </c>
      <c r="BR3231">
        <v>0</v>
      </c>
      <c r="BS3231">
        <v>0</v>
      </c>
      <c r="BT3231">
        <v>0</v>
      </c>
      <c r="BU3231">
        <v>0</v>
      </c>
      <c r="BV3231">
        <v>0</v>
      </c>
    </row>
    <row r="3232" spans="11:74" x14ac:dyDescent="0.25">
      <c r="K3232" s="3"/>
      <c r="BO3232">
        <v>0</v>
      </c>
      <c r="BP3232">
        <v>0</v>
      </c>
      <c r="BQ3232">
        <v>0</v>
      </c>
      <c r="BR3232">
        <v>0</v>
      </c>
      <c r="BS3232">
        <v>0</v>
      </c>
      <c r="BT3232">
        <v>0</v>
      </c>
      <c r="BU3232">
        <v>0</v>
      </c>
      <c r="BV3232">
        <v>0</v>
      </c>
    </row>
    <row r="3233" spans="11:74" x14ac:dyDescent="0.25">
      <c r="K3233" s="3"/>
      <c r="BO3233">
        <v>0</v>
      </c>
      <c r="BP3233">
        <v>0</v>
      </c>
      <c r="BQ3233">
        <v>0</v>
      </c>
      <c r="BR3233">
        <v>0</v>
      </c>
      <c r="BS3233">
        <v>0</v>
      </c>
      <c r="BT3233">
        <v>0</v>
      </c>
      <c r="BU3233">
        <v>0</v>
      </c>
      <c r="BV3233">
        <v>0</v>
      </c>
    </row>
    <row r="3234" spans="11:74" x14ac:dyDescent="0.25">
      <c r="K3234" s="3"/>
      <c r="BO3234">
        <v>0</v>
      </c>
      <c r="BP3234">
        <v>0</v>
      </c>
      <c r="BQ3234">
        <v>0</v>
      </c>
      <c r="BR3234">
        <v>0</v>
      </c>
      <c r="BS3234">
        <v>0</v>
      </c>
      <c r="BT3234">
        <v>0</v>
      </c>
      <c r="BU3234">
        <v>0</v>
      </c>
      <c r="BV3234">
        <v>0</v>
      </c>
    </row>
    <row r="3235" spans="11:74" x14ac:dyDescent="0.25">
      <c r="K3235" s="3"/>
      <c r="BO3235">
        <v>0</v>
      </c>
      <c r="BP3235">
        <v>0</v>
      </c>
      <c r="BQ3235">
        <v>0</v>
      </c>
      <c r="BR3235">
        <v>0</v>
      </c>
      <c r="BS3235">
        <v>0</v>
      </c>
      <c r="BT3235">
        <v>0</v>
      </c>
      <c r="BU3235">
        <v>0</v>
      </c>
      <c r="BV3235">
        <v>0</v>
      </c>
    </row>
    <row r="3236" spans="11:74" x14ac:dyDescent="0.25">
      <c r="K3236" s="3"/>
      <c r="BO3236">
        <v>0</v>
      </c>
      <c r="BP3236">
        <v>0</v>
      </c>
      <c r="BQ3236">
        <v>0</v>
      </c>
      <c r="BR3236">
        <v>0</v>
      </c>
      <c r="BS3236">
        <v>0</v>
      </c>
      <c r="BT3236">
        <v>0</v>
      </c>
      <c r="BU3236">
        <v>0</v>
      </c>
      <c r="BV3236">
        <v>0</v>
      </c>
    </row>
    <row r="3237" spans="11:74" x14ac:dyDescent="0.25">
      <c r="K3237" s="3"/>
      <c r="BO3237">
        <v>0</v>
      </c>
      <c r="BP3237">
        <v>0</v>
      </c>
      <c r="BQ3237">
        <v>0</v>
      </c>
      <c r="BR3237">
        <v>0</v>
      </c>
      <c r="BS3237">
        <v>0</v>
      </c>
      <c r="BT3237">
        <v>0</v>
      </c>
      <c r="BU3237">
        <v>0</v>
      </c>
      <c r="BV3237">
        <v>0</v>
      </c>
    </row>
    <row r="3238" spans="11:74" x14ac:dyDescent="0.25">
      <c r="K3238" s="3"/>
      <c r="BO3238">
        <v>0</v>
      </c>
      <c r="BP3238">
        <v>0</v>
      </c>
      <c r="BQ3238">
        <v>0</v>
      </c>
      <c r="BR3238">
        <v>0</v>
      </c>
      <c r="BS3238">
        <v>0</v>
      </c>
      <c r="BT3238">
        <v>0</v>
      </c>
      <c r="BU3238">
        <v>0</v>
      </c>
      <c r="BV3238">
        <v>0</v>
      </c>
    </row>
    <row r="3239" spans="11:74" x14ac:dyDescent="0.25">
      <c r="K3239" s="3"/>
      <c r="BO3239">
        <v>0</v>
      </c>
      <c r="BP3239">
        <v>0</v>
      </c>
      <c r="BQ3239">
        <v>0</v>
      </c>
      <c r="BR3239">
        <v>0</v>
      </c>
      <c r="BS3239">
        <v>0</v>
      </c>
      <c r="BT3239">
        <v>0</v>
      </c>
      <c r="BU3239">
        <v>0</v>
      </c>
      <c r="BV3239">
        <v>0</v>
      </c>
    </row>
    <row r="3240" spans="11:74" x14ac:dyDescent="0.25">
      <c r="K3240" s="3"/>
      <c r="BO3240">
        <v>0</v>
      </c>
      <c r="BP3240">
        <v>0</v>
      </c>
      <c r="BQ3240">
        <v>0</v>
      </c>
      <c r="BR3240">
        <v>0</v>
      </c>
      <c r="BS3240">
        <v>0</v>
      </c>
      <c r="BT3240">
        <v>0</v>
      </c>
      <c r="BU3240">
        <v>0</v>
      </c>
      <c r="BV3240">
        <v>0</v>
      </c>
    </row>
    <row r="3241" spans="11:74" x14ac:dyDescent="0.25">
      <c r="K3241" s="3"/>
      <c r="BO3241">
        <v>0</v>
      </c>
      <c r="BP3241">
        <v>0</v>
      </c>
      <c r="BQ3241">
        <v>0</v>
      </c>
      <c r="BR3241">
        <v>0</v>
      </c>
      <c r="BS3241">
        <v>0</v>
      </c>
      <c r="BT3241">
        <v>0</v>
      </c>
      <c r="BU3241">
        <v>0</v>
      </c>
      <c r="BV3241">
        <v>0</v>
      </c>
    </row>
    <row r="3242" spans="11:74" x14ac:dyDescent="0.25">
      <c r="K3242" s="3"/>
      <c r="BO3242">
        <v>0</v>
      </c>
      <c r="BP3242">
        <v>0</v>
      </c>
      <c r="BQ3242">
        <v>0</v>
      </c>
      <c r="BR3242">
        <v>0</v>
      </c>
      <c r="BS3242">
        <v>0</v>
      </c>
      <c r="BT3242">
        <v>0</v>
      </c>
      <c r="BU3242">
        <v>0</v>
      </c>
      <c r="BV3242">
        <v>0</v>
      </c>
    </row>
    <row r="3243" spans="11:74" x14ac:dyDescent="0.25">
      <c r="K3243" s="3"/>
      <c r="BO3243">
        <v>0</v>
      </c>
      <c r="BP3243">
        <v>0</v>
      </c>
      <c r="BQ3243">
        <v>0</v>
      </c>
      <c r="BR3243">
        <v>0</v>
      </c>
      <c r="BS3243">
        <v>0</v>
      </c>
      <c r="BT3243">
        <v>0</v>
      </c>
      <c r="BU3243">
        <v>0</v>
      </c>
      <c r="BV3243">
        <v>0</v>
      </c>
    </row>
    <row r="3244" spans="11:74" x14ac:dyDescent="0.25">
      <c r="K3244" s="3"/>
      <c r="BO3244">
        <v>0</v>
      </c>
      <c r="BP3244">
        <v>0</v>
      </c>
      <c r="BQ3244">
        <v>0</v>
      </c>
      <c r="BR3244">
        <v>0</v>
      </c>
      <c r="BS3244">
        <v>0</v>
      </c>
      <c r="BT3244">
        <v>0</v>
      </c>
      <c r="BU3244">
        <v>0</v>
      </c>
      <c r="BV3244">
        <v>0</v>
      </c>
    </row>
    <row r="3245" spans="11:74" x14ac:dyDescent="0.25">
      <c r="K3245" s="3"/>
      <c r="BO3245">
        <v>0</v>
      </c>
      <c r="BP3245">
        <v>0</v>
      </c>
      <c r="BQ3245">
        <v>0</v>
      </c>
      <c r="BR3245">
        <v>0</v>
      </c>
      <c r="BS3245">
        <v>0</v>
      </c>
      <c r="BT3245">
        <v>0</v>
      </c>
      <c r="BU3245">
        <v>0</v>
      </c>
      <c r="BV3245">
        <v>0</v>
      </c>
    </row>
    <row r="3246" spans="11:74" x14ac:dyDescent="0.25">
      <c r="K3246" s="3"/>
      <c r="BO3246">
        <v>0</v>
      </c>
      <c r="BP3246">
        <v>0</v>
      </c>
      <c r="BQ3246">
        <v>0</v>
      </c>
      <c r="BR3246">
        <v>0</v>
      </c>
      <c r="BS3246">
        <v>0</v>
      </c>
      <c r="BT3246">
        <v>0</v>
      </c>
      <c r="BU3246">
        <v>0</v>
      </c>
      <c r="BV3246">
        <v>0</v>
      </c>
    </row>
    <row r="3247" spans="11:74" x14ac:dyDescent="0.25">
      <c r="K3247" s="3"/>
      <c r="BO3247">
        <v>0</v>
      </c>
      <c r="BP3247">
        <v>0</v>
      </c>
      <c r="BQ3247">
        <v>0</v>
      </c>
      <c r="BR3247">
        <v>0</v>
      </c>
      <c r="BS3247">
        <v>0</v>
      </c>
      <c r="BT3247">
        <v>0</v>
      </c>
      <c r="BU3247">
        <v>0</v>
      </c>
      <c r="BV3247">
        <v>0</v>
      </c>
    </row>
    <row r="3248" spans="11:74" x14ac:dyDescent="0.25">
      <c r="BO3248">
        <v>0</v>
      </c>
      <c r="BP3248">
        <v>0</v>
      </c>
      <c r="BQ3248">
        <v>0</v>
      </c>
      <c r="BR3248">
        <v>0</v>
      </c>
      <c r="BS3248">
        <v>0</v>
      </c>
      <c r="BT3248">
        <v>0</v>
      </c>
      <c r="BU3248">
        <v>0</v>
      </c>
      <c r="BV3248">
        <v>0</v>
      </c>
    </row>
    <row r="3249" spans="11:74" x14ac:dyDescent="0.25">
      <c r="K3249" s="3"/>
      <c r="BO3249">
        <v>0</v>
      </c>
      <c r="BP3249">
        <v>0</v>
      </c>
      <c r="BQ3249">
        <v>0</v>
      </c>
      <c r="BR3249">
        <v>0</v>
      </c>
      <c r="BS3249">
        <v>0</v>
      </c>
      <c r="BT3249">
        <v>0</v>
      </c>
      <c r="BU3249">
        <v>0</v>
      </c>
      <c r="BV3249">
        <v>0</v>
      </c>
    </row>
    <row r="3250" spans="11:74" x14ac:dyDescent="0.25">
      <c r="K3250" s="3"/>
      <c r="BO3250">
        <v>0</v>
      </c>
      <c r="BP3250">
        <v>0</v>
      </c>
      <c r="BQ3250">
        <v>0</v>
      </c>
      <c r="BR3250">
        <v>0</v>
      </c>
      <c r="BS3250">
        <v>0</v>
      </c>
      <c r="BT3250">
        <v>0</v>
      </c>
      <c r="BU3250">
        <v>0</v>
      </c>
      <c r="BV3250">
        <v>0</v>
      </c>
    </row>
    <row r="3251" spans="11:74" x14ac:dyDescent="0.25">
      <c r="K3251" s="3"/>
      <c r="BO3251">
        <v>0</v>
      </c>
      <c r="BP3251">
        <v>0</v>
      </c>
      <c r="BQ3251">
        <v>0</v>
      </c>
      <c r="BR3251">
        <v>0</v>
      </c>
      <c r="BS3251">
        <v>0</v>
      </c>
      <c r="BT3251">
        <v>0</v>
      </c>
      <c r="BU3251">
        <v>0</v>
      </c>
      <c r="BV3251">
        <v>0</v>
      </c>
    </row>
    <row r="3252" spans="11:74" x14ac:dyDescent="0.25">
      <c r="K3252" s="3"/>
      <c r="BO3252">
        <v>0</v>
      </c>
      <c r="BP3252">
        <v>0</v>
      </c>
      <c r="BQ3252">
        <v>0</v>
      </c>
      <c r="BR3252">
        <v>0</v>
      </c>
      <c r="BS3252">
        <v>0</v>
      </c>
      <c r="BT3252">
        <v>0</v>
      </c>
      <c r="BU3252">
        <v>0</v>
      </c>
      <c r="BV3252">
        <v>0</v>
      </c>
    </row>
    <row r="3253" spans="11:74" x14ac:dyDescent="0.25">
      <c r="K3253" s="3"/>
      <c r="BO3253">
        <v>0</v>
      </c>
      <c r="BP3253">
        <v>0</v>
      </c>
      <c r="BQ3253">
        <v>0</v>
      </c>
      <c r="BR3253">
        <v>0</v>
      </c>
      <c r="BS3253">
        <v>0</v>
      </c>
      <c r="BT3253">
        <v>0</v>
      </c>
      <c r="BU3253">
        <v>0</v>
      </c>
      <c r="BV3253">
        <v>0</v>
      </c>
    </row>
    <row r="3254" spans="11:74" x14ac:dyDescent="0.25">
      <c r="K3254" s="3"/>
      <c r="BO3254">
        <v>0</v>
      </c>
      <c r="BP3254">
        <v>0</v>
      </c>
      <c r="BQ3254">
        <v>0</v>
      </c>
      <c r="BR3254">
        <v>0</v>
      </c>
      <c r="BS3254">
        <v>0</v>
      </c>
      <c r="BT3254">
        <v>0</v>
      </c>
      <c r="BU3254">
        <v>0</v>
      </c>
      <c r="BV3254">
        <v>0</v>
      </c>
    </row>
    <row r="3255" spans="11:74" x14ac:dyDescent="0.25">
      <c r="K3255" s="3"/>
      <c r="BO3255">
        <v>0</v>
      </c>
      <c r="BP3255">
        <v>0</v>
      </c>
      <c r="BQ3255">
        <v>0</v>
      </c>
      <c r="BR3255">
        <v>0</v>
      </c>
      <c r="BS3255">
        <v>0</v>
      </c>
      <c r="BT3255">
        <v>0</v>
      </c>
      <c r="BU3255">
        <v>0</v>
      </c>
      <c r="BV3255">
        <v>0</v>
      </c>
    </row>
    <row r="3256" spans="11:74" x14ac:dyDescent="0.25">
      <c r="BO3256">
        <v>0</v>
      </c>
      <c r="BP3256">
        <v>0</v>
      </c>
      <c r="BQ3256">
        <v>0</v>
      </c>
      <c r="BR3256">
        <v>0</v>
      </c>
      <c r="BS3256">
        <v>0</v>
      </c>
      <c r="BT3256">
        <v>0</v>
      </c>
      <c r="BU3256">
        <v>0</v>
      </c>
      <c r="BV3256">
        <v>0</v>
      </c>
    </row>
    <row r="3257" spans="11:74" x14ac:dyDescent="0.25">
      <c r="BO3257">
        <v>0</v>
      </c>
      <c r="BP3257">
        <v>0</v>
      </c>
      <c r="BQ3257">
        <v>0</v>
      </c>
      <c r="BR3257">
        <v>0</v>
      </c>
      <c r="BS3257">
        <v>0</v>
      </c>
      <c r="BT3257">
        <v>0</v>
      </c>
      <c r="BU3257">
        <v>0</v>
      </c>
      <c r="BV3257">
        <v>0</v>
      </c>
    </row>
    <row r="3258" spans="11:74" x14ac:dyDescent="0.25">
      <c r="BO3258">
        <v>0</v>
      </c>
      <c r="BP3258">
        <v>0</v>
      </c>
      <c r="BQ3258">
        <v>0</v>
      </c>
      <c r="BR3258">
        <v>0</v>
      </c>
      <c r="BS3258">
        <v>0</v>
      </c>
      <c r="BT3258">
        <v>0</v>
      </c>
      <c r="BU3258">
        <v>0</v>
      </c>
      <c r="BV3258">
        <v>0</v>
      </c>
    </row>
    <row r="3259" spans="11:74" x14ac:dyDescent="0.25">
      <c r="BO3259">
        <v>0</v>
      </c>
      <c r="BP3259">
        <v>0</v>
      </c>
      <c r="BQ3259">
        <v>0</v>
      </c>
      <c r="BR3259">
        <v>0</v>
      </c>
      <c r="BS3259">
        <v>0</v>
      </c>
      <c r="BT3259">
        <v>0</v>
      </c>
      <c r="BU3259">
        <v>0</v>
      </c>
      <c r="BV3259">
        <v>0</v>
      </c>
    </row>
    <row r="3260" spans="11:74" x14ac:dyDescent="0.25">
      <c r="BO3260">
        <v>0</v>
      </c>
      <c r="BP3260">
        <v>0</v>
      </c>
      <c r="BQ3260">
        <v>0</v>
      </c>
      <c r="BR3260">
        <v>0</v>
      </c>
      <c r="BS3260">
        <v>0</v>
      </c>
      <c r="BT3260">
        <v>0</v>
      </c>
      <c r="BU3260">
        <v>0</v>
      </c>
      <c r="BV3260">
        <v>0</v>
      </c>
    </row>
    <row r="3261" spans="11:74" x14ac:dyDescent="0.25">
      <c r="BO3261">
        <v>0</v>
      </c>
      <c r="BP3261">
        <v>0</v>
      </c>
      <c r="BQ3261">
        <v>0</v>
      </c>
      <c r="BR3261">
        <v>0</v>
      </c>
      <c r="BS3261">
        <v>0</v>
      </c>
      <c r="BT3261">
        <v>0</v>
      </c>
      <c r="BU3261">
        <v>0</v>
      </c>
      <c r="BV3261">
        <v>0</v>
      </c>
    </row>
    <row r="3262" spans="11:74" x14ac:dyDescent="0.25">
      <c r="BO3262">
        <v>0</v>
      </c>
      <c r="BP3262">
        <v>0</v>
      </c>
      <c r="BQ3262">
        <v>0</v>
      </c>
      <c r="BR3262">
        <v>0</v>
      </c>
      <c r="BS3262">
        <v>0</v>
      </c>
      <c r="BT3262">
        <v>0</v>
      </c>
      <c r="BU3262">
        <v>0</v>
      </c>
      <c r="BV3262">
        <v>0</v>
      </c>
    </row>
    <row r="3263" spans="11:74" x14ac:dyDescent="0.25">
      <c r="BO3263">
        <v>0</v>
      </c>
      <c r="BP3263">
        <v>0</v>
      </c>
      <c r="BQ3263">
        <v>0</v>
      </c>
      <c r="BR3263">
        <v>0</v>
      </c>
      <c r="BS3263">
        <v>0</v>
      </c>
      <c r="BT3263">
        <v>0</v>
      </c>
      <c r="BU3263">
        <v>0</v>
      </c>
      <c r="BV3263">
        <v>0</v>
      </c>
    </row>
    <row r="3264" spans="11:74" x14ac:dyDescent="0.25">
      <c r="BO3264">
        <v>0</v>
      </c>
      <c r="BP3264">
        <v>0</v>
      </c>
      <c r="BQ3264">
        <v>0</v>
      </c>
      <c r="BR3264">
        <v>0</v>
      </c>
      <c r="BS3264">
        <v>0</v>
      </c>
      <c r="BT3264">
        <v>0</v>
      </c>
      <c r="BU3264">
        <v>0</v>
      </c>
      <c r="BV3264">
        <v>0</v>
      </c>
    </row>
    <row r="3265" spans="67:74" x14ac:dyDescent="0.25">
      <c r="BO3265">
        <v>0</v>
      </c>
      <c r="BP3265">
        <v>0</v>
      </c>
      <c r="BQ3265">
        <v>0</v>
      </c>
      <c r="BR3265">
        <v>0</v>
      </c>
      <c r="BS3265">
        <v>0</v>
      </c>
      <c r="BT3265">
        <v>0</v>
      </c>
      <c r="BU3265">
        <v>0</v>
      </c>
      <c r="BV3265">
        <v>0</v>
      </c>
    </row>
    <row r="3266" spans="67:74" x14ac:dyDescent="0.25">
      <c r="BO3266">
        <v>0</v>
      </c>
      <c r="BP3266">
        <v>0</v>
      </c>
      <c r="BQ3266">
        <v>0</v>
      </c>
      <c r="BR3266">
        <v>0</v>
      </c>
      <c r="BS3266">
        <v>0</v>
      </c>
      <c r="BT3266">
        <v>0</v>
      </c>
      <c r="BU3266">
        <v>0</v>
      </c>
      <c r="BV3266">
        <v>0</v>
      </c>
    </row>
    <row r="3267" spans="67:74" x14ac:dyDescent="0.25">
      <c r="BO3267">
        <v>0</v>
      </c>
      <c r="BP3267">
        <v>0</v>
      </c>
      <c r="BQ3267">
        <v>0</v>
      </c>
      <c r="BR3267">
        <v>0</v>
      </c>
      <c r="BS3267">
        <v>0</v>
      </c>
      <c r="BT3267">
        <v>0</v>
      </c>
      <c r="BU3267">
        <v>0</v>
      </c>
      <c r="BV3267">
        <v>0</v>
      </c>
    </row>
    <row r="3268" spans="67:74" x14ac:dyDescent="0.25">
      <c r="BO3268">
        <v>0</v>
      </c>
      <c r="BP3268">
        <v>0</v>
      </c>
      <c r="BQ3268">
        <v>0</v>
      </c>
      <c r="BR3268">
        <v>0</v>
      </c>
      <c r="BS3268">
        <v>0</v>
      </c>
      <c r="BT3268">
        <v>0</v>
      </c>
      <c r="BU3268">
        <v>0</v>
      </c>
      <c r="BV3268">
        <v>0</v>
      </c>
    </row>
    <row r="3269" spans="67:74" x14ac:dyDescent="0.25">
      <c r="BO3269">
        <v>0</v>
      </c>
      <c r="BP3269">
        <v>0</v>
      </c>
      <c r="BQ3269">
        <v>0</v>
      </c>
      <c r="BR3269">
        <v>0</v>
      </c>
      <c r="BS3269">
        <v>0</v>
      </c>
      <c r="BT3269">
        <v>0</v>
      </c>
      <c r="BU3269">
        <v>0</v>
      </c>
      <c r="BV3269">
        <v>0</v>
      </c>
    </row>
    <row r="3270" spans="67:74" x14ac:dyDescent="0.25">
      <c r="BO3270">
        <v>0</v>
      </c>
      <c r="BP3270">
        <v>0</v>
      </c>
      <c r="BQ3270">
        <v>0</v>
      </c>
      <c r="BR3270">
        <v>0</v>
      </c>
      <c r="BS3270">
        <v>0</v>
      </c>
      <c r="BT3270">
        <v>0</v>
      </c>
      <c r="BU3270">
        <v>0</v>
      </c>
      <c r="BV3270">
        <v>0</v>
      </c>
    </row>
    <row r="3271" spans="67:74" x14ac:dyDescent="0.25">
      <c r="BO3271">
        <v>0</v>
      </c>
      <c r="BP3271">
        <v>0</v>
      </c>
      <c r="BQ3271">
        <v>0</v>
      </c>
      <c r="BR3271">
        <v>0</v>
      </c>
      <c r="BS3271">
        <v>0</v>
      </c>
      <c r="BT3271">
        <v>0</v>
      </c>
      <c r="BU3271">
        <v>0</v>
      </c>
      <c r="BV3271">
        <v>0</v>
      </c>
    </row>
    <row r="3272" spans="67:74" x14ac:dyDescent="0.25">
      <c r="BO3272">
        <v>0</v>
      </c>
      <c r="BP3272">
        <v>0</v>
      </c>
      <c r="BQ3272">
        <v>0</v>
      </c>
      <c r="BR3272">
        <v>0</v>
      </c>
      <c r="BS3272">
        <v>0</v>
      </c>
      <c r="BT3272">
        <v>0</v>
      </c>
      <c r="BU3272">
        <v>0</v>
      </c>
      <c r="BV3272">
        <v>0</v>
      </c>
    </row>
    <row r="3273" spans="67:74" x14ac:dyDescent="0.25">
      <c r="BO3273">
        <v>0</v>
      </c>
      <c r="BP3273">
        <v>0</v>
      </c>
      <c r="BQ3273">
        <v>0</v>
      </c>
      <c r="BR3273">
        <v>0</v>
      </c>
      <c r="BS3273">
        <v>0</v>
      </c>
      <c r="BT3273">
        <v>0</v>
      </c>
      <c r="BU3273">
        <v>0</v>
      </c>
      <c r="BV3273">
        <v>0</v>
      </c>
    </row>
    <row r="3274" spans="67:74" x14ac:dyDescent="0.25">
      <c r="BO3274">
        <v>0</v>
      </c>
      <c r="BP3274">
        <v>0</v>
      </c>
      <c r="BQ3274">
        <v>0</v>
      </c>
      <c r="BR3274">
        <v>0</v>
      </c>
      <c r="BS3274">
        <v>0</v>
      </c>
      <c r="BT3274">
        <v>0</v>
      </c>
      <c r="BU3274">
        <v>0</v>
      </c>
      <c r="BV3274">
        <v>0</v>
      </c>
    </row>
    <row r="3275" spans="67:74" x14ac:dyDescent="0.25">
      <c r="BO3275">
        <v>0</v>
      </c>
      <c r="BP3275">
        <v>0</v>
      </c>
      <c r="BQ3275">
        <v>0</v>
      </c>
      <c r="BR3275">
        <v>0</v>
      </c>
      <c r="BS3275">
        <v>0</v>
      </c>
      <c r="BT3275">
        <v>0</v>
      </c>
      <c r="BU3275">
        <v>0</v>
      </c>
      <c r="BV3275">
        <v>0</v>
      </c>
    </row>
    <row r="3276" spans="67:74" x14ac:dyDescent="0.25">
      <c r="BO3276">
        <v>0</v>
      </c>
      <c r="BP3276">
        <v>0</v>
      </c>
      <c r="BQ3276">
        <v>0</v>
      </c>
      <c r="BR3276">
        <v>0</v>
      </c>
      <c r="BS3276">
        <v>0</v>
      </c>
      <c r="BT3276">
        <v>0</v>
      </c>
      <c r="BU3276">
        <v>0</v>
      </c>
      <c r="BV3276">
        <v>0</v>
      </c>
    </row>
    <row r="3277" spans="67:74" x14ac:dyDescent="0.25">
      <c r="BO3277">
        <v>0</v>
      </c>
      <c r="BP3277">
        <v>0</v>
      </c>
      <c r="BQ3277">
        <v>0</v>
      </c>
      <c r="BR3277">
        <v>0</v>
      </c>
      <c r="BS3277">
        <v>0</v>
      </c>
      <c r="BT3277">
        <v>0</v>
      </c>
      <c r="BU3277">
        <v>0</v>
      </c>
      <c r="BV3277">
        <v>0</v>
      </c>
    </row>
    <row r="3278" spans="67:74" x14ac:dyDescent="0.25">
      <c r="BO3278">
        <v>0</v>
      </c>
      <c r="BP3278">
        <v>0</v>
      </c>
      <c r="BQ3278">
        <v>0</v>
      </c>
      <c r="BR3278">
        <v>0</v>
      </c>
      <c r="BS3278">
        <v>0</v>
      </c>
      <c r="BT3278">
        <v>0</v>
      </c>
      <c r="BU3278">
        <v>0</v>
      </c>
      <c r="BV3278">
        <v>0</v>
      </c>
    </row>
    <row r="3279" spans="67:74" x14ac:dyDescent="0.25">
      <c r="BO3279">
        <v>0</v>
      </c>
      <c r="BP3279">
        <v>0</v>
      </c>
      <c r="BQ3279">
        <v>0</v>
      </c>
      <c r="BR3279">
        <v>0</v>
      </c>
      <c r="BS3279">
        <v>0</v>
      </c>
      <c r="BT3279">
        <v>0</v>
      </c>
      <c r="BU3279">
        <v>0</v>
      </c>
      <c r="BV3279">
        <v>0</v>
      </c>
    </row>
    <row r="3280" spans="67:74" x14ac:dyDescent="0.25">
      <c r="BO3280">
        <v>0</v>
      </c>
      <c r="BP3280">
        <v>0</v>
      </c>
      <c r="BQ3280">
        <v>0</v>
      </c>
      <c r="BR3280">
        <v>0</v>
      </c>
      <c r="BS3280">
        <v>0</v>
      </c>
      <c r="BT3280">
        <v>0</v>
      </c>
      <c r="BU3280">
        <v>0</v>
      </c>
      <c r="BV3280">
        <v>0</v>
      </c>
    </row>
    <row r="3281" spans="67:74" x14ac:dyDescent="0.25">
      <c r="BO3281">
        <v>0</v>
      </c>
      <c r="BP3281">
        <v>0</v>
      </c>
      <c r="BQ3281">
        <v>0</v>
      </c>
      <c r="BR3281">
        <v>0</v>
      </c>
      <c r="BS3281">
        <v>0</v>
      </c>
      <c r="BT3281">
        <v>0</v>
      </c>
      <c r="BU3281">
        <v>0</v>
      </c>
      <c r="BV3281">
        <v>0</v>
      </c>
    </row>
    <row r="3282" spans="67:74" x14ac:dyDescent="0.25">
      <c r="BO3282">
        <v>0</v>
      </c>
      <c r="BP3282">
        <v>0</v>
      </c>
      <c r="BQ3282">
        <v>0</v>
      </c>
      <c r="BR3282">
        <v>0</v>
      </c>
      <c r="BS3282">
        <v>0</v>
      </c>
      <c r="BT3282">
        <v>0</v>
      </c>
      <c r="BU3282">
        <v>0</v>
      </c>
      <c r="BV3282">
        <v>0</v>
      </c>
    </row>
    <row r="3283" spans="67:74" x14ac:dyDescent="0.25">
      <c r="BO3283">
        <v>0</v>
      </c>
      <c r="BP3283">
        <v>0</v>
      </c>
      <c r="BQ3283">
        <v>0</v>
      </c>
      <c r="BR3283">
        <v>0</v>
      </c>
      <c r="BS3283">
        <v>0</v>
      </c>
      <c r="BT3283">
        <v>0</v>
      </c>
      <c r="BU3283">
        <v>0</v>
      </c>
      <c r="BV3283">
        <v>0</v>
      </c>
    </row>
    <row r="3284" spans="67:74" x14ac:dyDescent="0.25">
      <c r="BO3284">
        <v>0</v>
      </c>
      <c r="BP3284">
        <v>0</v>
      </c>
      <c r="BQ3284">
        <v>0</v>
      </c>
      <c r="BR3284">
        <v>0</v>
      </c>
      <c r="BS3284">
        <v>0</v>
      </c>
      <c r="BT3284">
        <v>0</v>
      </c>
      <c r="BU3284">
        <v>0</v>
      </c>
      <c r="BV3284">
        <v>0</v>
      </c>
    </row>
    <row r="3285" spans="67:74" x14ac:dyDescent="0.25">
      <c r="BO3285">
        <v>0</v>
      </c>
      <c r="BP3285">
        <v>0</v>
      </c>
      <c r="BQ3285">
        <v>0</v>
      </c>
      <c r="BR3285">
        <v>0</v>
      </c>
      <c r="BS3285">
        <v>0</v>
      </c>
      <c r="BT3285">
        <v>0</v>
      </c>
      <c r="BU3285">
        <v>0</v>
      </c>
      <c r="BV3285">
        <v>0</v>
      </c>
    </row>
    <row r="3286" spans="67:74" x14ac:dyDescent="0.25">
      <c r="BO3286">
        <v>0</v>
      </c>
      <c r="BP3286">
        <v>0</v>
      </c>
      <c r="BQ3286">
        <v>0</v>
      </c>
      <c r="BR3286">
        <v>0</v>
      </c>
      <c r="BS3286">
        <v>0</v>
      </c>
      <c r="BT3286">
        <v>0</v>
      </c>
      <c r="BU3286">
        <v>0</v>
      </c>
      <c r="BV3286">
        <v>0</v>
      </c>
    </row>
    <row r="3287" spans="67:74" x14ac:dyDescent="0.25">
      <c r="BO3287">
        <v>0</v>
      </c>
      <c r="BP3287">
        <v>0</v>
      </c>
      <c r="BQ3287">
        <v>0</v>
      </c>
      <c r="BR3287">
        <v>0</v>
      </c>
      <c r="BS3287">
        <v>0</v>
      </c>
      <c r="BT3287">
        <v>0</v>
      </c>
      <c r="BU3287">
        <v>0</v>
      </c>
      <c r="BV3287">
        <v>0</v>
      </c>
    </row>
    <row r="3288" spans="67:74" x14ac:dyDescent="0.25">
      <c r="BO3288">
        <v>0</v>
      </c>
      <c r="BP3288">
        <v>0</v>
      </c>
      <c r="BQ3288">
        <v>0</v>
      </c>
      <c r="BR3288">
        <v>0</v>
      </c>
      <c r="BS3288">
        <v>0</v>
      </c>
      <c r="BT3288">
        <v>0</v>
      </c>
      <c r="BU3288">
        <v>0</v>
      </c>
      <c r="BV3288">
        <v>0</v>
      </c>
    </row>
    <row r="3289" spans="67:74" x14ac:dyDescent="0.25">
      <c r="BO3289">
        <v>0</v>
      </c>
      <c r="BP3289">
        <v>0</v>
      </c>
      <c r="BQ3289">
        <v>0</v>
      </c>
      <c r="BR3289">
        <v>0</v>
      </c>
      <c r="BS3289">
        <v>0</v>
      </c>
      <c r="BT3289">
        <v>0</v>
      </c>
      <c r="BU3289">
        <v>0</v>
      </c>
      <c r="BV3289">
        <v>0</v>
      </c>
    </row>
    <row r="3290" spans="67:74" x14ac:dyDescent="0.25">
      <c r="BO3290">
        <v>0</v>
      </c>
      <c r="BP3290">
        <v>0</v>
      </c>
      <c r="BQ3290">
        <v>0</v>
      </c>
      <c r="BR3290">
        <v>0</v>
      </c>
      <c r="BS3290">
        <v>0</v>
      </c>
      <c r="BT3290">
        <v>0</v>
      </c>
      <c r="BU3290">
        <v>0</v>
      </c>
      <c r="BV3290">
        <v>0</v>
      </c>
    </row>
    <row r="3291" spans="67:74" x14ac:dyDescent="0.25">
      <c r="BO3291">
        <v>0</v>
      </c>
      <c r="BP3291">
        <v>0</v>
      </c>
      <c r="BQ3291">
        <v>0</v>
      </c>
      <c r="BR3291">
        <v>0</v>
      </c>
      <c r="BS3291">
        <v>0</v>
      </c>
      <c r="BT3291">
        <v>0</v>
      </c>
      <c r="BU3291">
        <v>0</v>
      </c>
      <c r="BV3291">
        <v>0</v>
      </c>
    </row>
    <row r="3292" spans="67:74" x14ac:dyDescent="0.25">
      <c r="BO3292">
        <v>0</v>
      </c>
      <c r="BP3292">
        <v>0</v>
      </c>
      <c r="BQ3292">
        <v>0</v>
      </c>
      <c r="BR3292">
        <v>0</v>
      </c>
      <c r="BS3292">
        <v>0</v>
      </c>
      <c r="BT3292">
        <v>0</v>
      </c>
      <c r="BU3292">
        <v>0</v>
      </c>
      <c r="BV3292">
        <v>0</v>
      </c>
    </row>
    <row r="3293" spans="67:74" x14ac:dyDescent="0.25">
      <c r="BO3293">
        <v>0</v>
      </c>
      <c r="BP3293">
        <v>0</v>
      </c>
      <c r="BQ3293">
        <v>0</v>
      </c>
      <c r="BR3293">
        <v>0</v>
      </c>
      <c r="BS3293">
        <v>0</v>
      </c>
      <c r="BT3293">
        <v>0</v>
      </c>
      <c r="BU3293">
        <v>0</v>
      </c>
      <c r="BV3293">
        <v>0</v>
      </c>
    </row>
    <row r="3294" spans="67:74" x14ac:dyDescent="0.25">
      <c r="BO3294">
        <v>0</v>
      </c>
      <c r="BP3294">
        <v>0</v>
      </c>
      <c r="BQ3294">
        <v>0</v>
      </c>
      <c r="BR3294">
        <v>0</v>
      </c>
      <c r="BS3294">
        <v>0</v>
      </c>
      <c r="BT3294">
        <v>0</v>
      </c>
      <c r="BU3294">
        <v>0</v>
      </c>
      <c r="BV3294">
        <v>0</v>
      </c>
    </row>
    <row r="3295" spans="67:74" x14ac:dyDescent="0.25">
      <c r="BO3295">
        <v>0</v>
      </c>
      <c r="BP3295">
        <v>0</v>
      </c>
      <c r="BQ3295">
        <v>0</v>
      </c>
      <c r="BR3295">
        <v>0</v>
      </c>
      <c r="BS3295">
        <v>0</v>
      </c>
      <c r="BT3295">
        <v>0</v>
      </c>
      <c r="BU3295">
        <v>0</v>
      </c>
      <c r="BV3295">
        <v>0</v>
      </c>
    </row>
    <row r="3296" spans="67:74" x14ac:dyDescent="0.25">
      <c r="BO3296">
        <v>0</v>
      </c>
      <c r="BP3296">
        <v>0</v>
      </c>
      <c r="BQ3296">
        <v>0</v>
      </c>
      <c r="BR3296">
        <v>0</v>
      </c>
      <c r="BS3296">
        <v>0</v>
      </c>
      <c r="BT3296">
        <v>0</v>
      </c>
      <c r="BU3296">
        <v>0</v>
      </c>
      <c r="BV3296">
        <v>0</v>
      </c>
    </row>
    <row r="3297" spans="67:74" x14ac:dyDescent="0.25">
      <c r="BO3297">
        <v>0</v>
      </c>
      <c r="BP3297">
        <v>0</v>
      </c>
      <c r="BQ3297">
        <v>0</v>
      </c>
      <c r="BR3297">
        <v>0</v>
      </c>
      <c r="BS3297">
        <v>0</v>
      </c>
      <c r="BT3297">
        <v>0</v>
      </c>
      <c r="BU3297">
        <v>0</v>
      </c>
      <c r="BV3297">
        <v>0</v>
      </c>
    </row>
    <row r="3298" spans="67:74" x14ac:dyDescent="0.25">
      <c r="BO3298">
        <v>0</v>
      </c>
      <c r="BP3298">
        <v>0</v>
      </c>
      <c r="BQ3298">
        <v>0</v>
      </c>
      <c r="BR3298">
        <v>0</v>
      </c>
      <c r="BS3298">
        <v>0</v>
      </c>
      <c r="BT3298">
        <v>0</v>
      </c>
      <c r="BU3298">
        <v>0</v>
      </c>
      <c r="BV3298">
        <v>0</v>
      </c>
    </row>
    <row r="3299" spans="67:74" x14ac:dyDescent="0.25">
      <c r="BO3299">
        <v>0</v>
      </c>
      <c r="BP3299">
        <v>0</v>
      </c>
      <c r="BQ3299">
        <v>0</v>
      </c>
      <c r="BR3299">
        <v>0</v>
      </c>
      <c r="BS3299">
        <v>0</v>
      </c>
      <c r="BT3299">
        <v>0</v>
      </c>
      <c r="BU3299">
        <v>0</v>
      </c>
      <c r="BV3299">
        <v>0</v>
      </c>
    </row>
    <row r="3300" spans="67:74" x14ac:dyDescent="0.25">
      <c r="BO3300">
        <v>0</v>
      </c>
      <c r="BP3300">
        <v>0</v>
      </c>
      <c r="BQ3300">
        <v>0</v>
      </c>
      <c r="BR3300">
        <v>0</v>
      </c>
      <c r="BS3300">
        <v>0</v>
      </c>
      <c r="BT3300">
        <v>0</v>
      </c>
      <c r="BU3300">
        <v>0</v>
      </c>
      <c r="BV3300">
        <v>0</v>
      </c>
    </row>
    <row r="3301" spans="67:74" x14ac:dyDescent="0.25">
      <c r="BO3301">
        <v>0</v>
      </c>
      <c r="BP3301">
        <v>0</v>
      </c>
      <c r="BQ3301">
        <v>0</v>
      </c>
      <c r="BR3301">
        <v>0</v>
      </c>
      <c r="BS3301">
        <v>0</v>
      </c>
      <c r="BT3301">
        <v>0</v>
      </c>
      <c r="BU3301">
        <v>0</v>
      </c>
      <c r="BV3301">
        <v>0</v>
      </c>
    </row>
    <row r="3302" spans="67:74" x14ac:dyDescent="0.25">
      <c r="BO3302">
        <v>0</v>
      </c>
      <c r="BP3302">
        <v>0</v>
      </c>
      <c r="BQ3302">
        <v>0</v>
      </c>
      <c r="BR3302">
        <v>0</v>
      </c>
      <c r="BS3302">
        <v>0</v>
      </c>
      <c r="BT3302">
        <v>0</v>
      </c>
      <c r="BU3302">
        <v>0</v>
      </c>
      <c r="BV3302">
        <v>0</v>
      </c>
    </row>
    <row r="3303" spans="67:74" x14ac:dyDescent="0.25">
      <c r="BO3303">
        <v>0</v>
      </c>
      <c r="BP3303">
        <v>0</v>
      </c>
      <c r="BQ3303">
        <v>0</v>
      </c>
      <c r="BR3303">
        <v>0</v>
      </c>
      <c r="BS3303">
        <v>0</v>
      </c>
      <c r="BT3303">
        <v>0</v>
      </c>
      <c r="BU3303">
        <v>0</v>
      </c>
      <c r="BV3303">
        <v>0</v>
      </c>
    </row>
    <row r="3304" spans="67:74" x14ac:dyDescent="0.25">
      <c r="BO3304">
        <v>0</v>
      </c>
      <c r="BP3304">
        <v>0</v>
      </c>
      <c r="BQ3304">
        <v>0</v>
      </c>
      <c r="BR3304">
        <v>0</v>
      </c>
      <c r="BS3304">
        <v>0</v>
      </c>
      <c r="BT3304">
        <v>0</v>
      </c>
      <c r="BU3304">
        <v>0</v>
      </c>
      <c r="BV3304">
        <v>0</v>
      </c>
    </row>
    <row r="3305" spans="67:74" x14ac:dyDescent="0.25">
      <c r="BO3305">
        <v>0</v>
      </c>
      <c r="BP3305">
        <v>0</v>
      </c>
      <c r="BQ3305">
        <v>0</v>
      </c>
      <c r="BR3305">
        <v>0</v>
      </c>
      <c r="BS3305">
        <v>0</v>
      </c>
      <c r="BT3305">
        <v>0</v>
      </c>
      <c r="BU3305">
        <v>0</v>
      </c>
      <c r="BV3305">
        <v>0</v>
      </c>
    </row>
    <row r="3306" spans="67:74" x14ac:dyDescent="0.25">
      <c r="BO3306">
        <v>0</v>
      </c>
      <c r="BP3306">
        <v>0</v>
      </c>
      <c r="BQ3306">
        <v>0</v>
      </c>
      <c r="BR3306">
        <v>0</v>
      </c>
      <c r="BS3306">
        <v>0</v>
      </c>
      <c r="BT3306">
        <v>0</v>
      </c>
      <c r="BU3306">
        <v>0</v>
      </c>
      <c r="BV3306">
        <v>0</v>
      </c>
    </row>
    <row r="3307" spans="67:74" x14ac:dyDescent="0.25">
      <c r="BO3307">
        <v>0</v>
      </c>
      <c r="BP3307">
        <v>0</v>
      </c>
      <c r="BQ3307">
        <v>0</v>
      </c>
      <c r="BR3307">
        <v>0</v>
      </c>
      <c r="BS3307">
        <v>0</v>
      </c>
      <c r="BT3307">
        <v>0</v>
      </c>
      <c r="BU3307">
        <v>0</v>
      </c>
      <c r="BV3307">
        <v>0</v>
      </c>
    </row>
    <row r="3308" spans="67:74" x14ac:dyDescent="0.25">
      <c r="BO3308">
        <v>0</v>
      </c>
      <c r="BP3308">
        <v>0</v>
      </c>
      <c r="BQ3308">
        <v>0</v>
      </c>
      <c r="BR3308">
        <v>0</v>
      </c>
      <c r="BS3308">
        <v>0</v>
      </c>
      <c r="BT3308">
        <v>0</v>
      </c>
      <c r="BU3308">
        <v>0</v>
      </c>
      <c r="BV3308">
        <v>0</v>
      </c>
    </row>
    <row r="3309" spans="67:74" x14ac:dyDescent="0.25">
      <c r="BO3309">
        <v>0</v>
      </c>
      <c r="BP3309">
        <v>0</v>
      </c>
      <c r="BQ3309">
        <v>0</v>
      </c>
      <c r="BR3309">
        <v>0</v>
      </c>
      <c r="BS3309">
        <v>0</v>
      </c>
      <c r="BT3309">
        <v>0</v>
      </c>
      <c r="BU3309">
        <v>0</v>
      </c>
      <c r="BV3309">
        <v>0</v>
      </c>
    </row>
    <row r="3310" spans="67:74" x14ac:dyDescent="0.25">
      <c r="BO3310">
        <v>0</v>
      </c>
      <c r="BP3310">
        <v>0</v>
      </c>
      <c r="BQ3310">
        <v>0</v>
      </c>
      <c r="BR3310">
        <v>0</v>
      </c>
      <c r="BS3310">
        <v>0</v>
      </c>
      <c r="BT3310">
        <v>0</v>
      </c>
      <c r="BU3310">
        <v>0</v>
      </c>
      <c r="BV3310">
        <v>0</v>
      </c>
    </row>
    <row r="3311" spans="67:74" x14ac:dyDescent="0.25">
      <c r="BO3311">
        <v>0</v>
      </c>
      <c r="BP3311">
        <v>0</v>
      </c>
      <c r="BQ3311">
        <v>0</v>
      </c>
      <c r="BR3311">
        <v>0</v>
      </c>
      <c r="BS3311">
        <v>0</v>
      </c>
      <c r="BT3311">
        <v>0</v>
      </c>
      <c r="BU3311">
        <v>0</v>
      </c>
      <c r="BV3311">
        <v>0</v>
      </c>
    </row>
    <row r="3312" spans="67:74" x14ac:dyDescent="0.25">
      <c r="BO3312">
        <v>0</v>
      </c>
      <c r="BP3312">
        <v>0</v>
      </c>
      <c r="BQ3312">
        <v>0</v>
      </c>
      <c r="BR3312">
        <v>0</v>
      </c>
      <c r="BS3312">
        <v>0</v>
      </c>
      <c r="BT3312">
        <v>0</v>
      </c>
      <c r="BU3312">
        <v>0</v>
      </c>
      <c r="BV3312">
        <v>0</v>
      </c>
    </row>
    <row r="3313" spans="67:74" x14ac:dyDescent="0.25">
      <c r="BO3313">
        <v>0</v>
      </c>
      <c r="BP3313">
        <v>0</v>
      </c>
      <c r="BQ3313">
        <v>0</v>
      </c>
      <c r="BR3313">
        <v>0</v>
      </c>
      <c r="BS3313">
        <v>0</v>
      </c>
      <c r="BT3313">
        <v>0</v>
      </c>
      <c r="BU3313">
        <v>0</v>
      </c>
      <c r="BV3313">
        <v>0</v>
      </c>
    </row>
    <row r="3314" spans="67:74" x14ac:dyDescent="0.25">
      <c r="BO3314">
        <v>0</v>
      </c>
      <c r="BP3314">
        <v>0</v>
      </c>
      <c r="BQ3314">
        <v>0</v>
      </c>
      <c r="BR3314">
        <v>0</v>
      </c>
      <c r="BS3314">
        <v>0</v>
      </c>
      <c r="BT3314">
        <v>0</v>
      </c>
      <c r="BU3314">
        <v>0</v>
      </c>
      <c r="BV3314">
        <v>0</v>
      </c>
    </row>
    <row r="3315" spans="67:74" x14ac:dyDescent="0.25">
      <c r="BO3315">
        <v>0</v>
      </c>
      <c r="BP3315">
        <v>0</v>
      </c>
      <c r="BQ3315">
        <v>0</v>
      </c>
      <c r="BR3315">
        <v>0</v>
      </c>
      <c r="BS3315">
        <v>0</v>
      </c>
      <c r="BT3315">
        <v>0</v>
      </c>
      <c r="BU3315">
        <v>0</v>
      </c>
      <c r="BV3315">
        <v>0</v>
      </c>
    </row>
    <row r="3316" spans="67:74" x14ac:dyDescent="0.25">
      <c r="BO3316">
        <v>0</v>
      </c>
      <c r="BP3316">
        <v>0</v>
      </c>
      <c r="BQ3316">
        <v>0</v>
      </c>
      <c r="BR3316">
        <v>0</v>
      </c>
      <c r="BS3316">
        <v>0</v>
      </c>
      <c r="BT3316">
        <v>0</v>
      </c>
      <c r="BU3316">
        <v>0</v>
      </c>
      <c r="BV3316">
        <v>0</v>
      </c>
    </row>
    <row r="3317" spans="67:74" x14ac:dyDescent="0.25">
      <c r="BO3317">
        <v>0</v>
      </c>
      <c r="BP3317">
        <v>0</v>
      </c>
      <c r="BQ3317">
        <v>0</v>
      </c>
      <c r="BR3317">
        <v>0</v>
      </c>
      <c r="BS3317">
        <v>0</v>
      </c>
      <c r="BT3317">
        <v>0</v>
      </c>
      <c r="BU3317">
        <v>0</v>
      </c>
      <c r="BV3317">
        <v>0</v>
      </c>
    </row>
    <row r="3318" spans="67:74" x14ac:dyDescent="0.25">
      <c r="BO3318">
        <v>0</v>
      </c>
      <c r="BP3318">
        <v>0</v>
      </c>
      <c r="BQ3318">
        <v>0</v>
      </c>
      <c r="BR3318">
        <v>0</v>
      </c>
      <c r="BS3318">
        <v>0</v>
      </c>
      <c r="BT3318">
        <v>0</v>
      </c>
      <c r="BU3318">
        <v>0</v>
      </c>
      <c r="BV3318">
        <v>0</v>
      </c>
    </row>
    <row r="3319" spans="67:74" x14ac:dyDescent="0.25">
      <c r="BO3319">
        <v>0</v>
      </c>
      <c r="BP3319">
        <v>0</v>
      </c>
      <c r="BQ3319">
        <v>0</v>
      </c>
      <c r="BR3319">
        <v>0</v>
      </c>
      <c r="BS3319">
        <v>0</v>
      </c>
      <c r="BT3319">
        <v>0</v>
      </c>
      <c r="BU3319">
        <v>0</v>
      </c>
      <c r="BV3319">
        <v>0</v>
      </c>
    </row>
    <row r="3320" spans="67:74" x14ac:dyDescent="0.25">
      <c r="BO3320">
        <v>0</v>
      </c>
      <c r="BP3320">
        <v>0</v>
      </c>
      <c r="BQ3320">
        <v>0</v>
      </c>
      <c r="BR3320">
        <v>0</v>
      </c>
      <c r="BS3320">
        <v>0</v>
      </c>
      <c r="BT3320">
        <v>0</v>
      </c>
      <c r="BU3320">
        <v>0</v>
      </c>
      <c r="BV3320">
        <v>0</v>
      </c>
    </row>
    <row r="3321" spans="67:74" x14ac:dyDescent="0.25">
      <c r="BO3321">
        <v>0</v>
      </c>
      <c r="BP3321">
        <v>0</v>
      </c>
      <c r="BQ3321">
        <v>0</v>
      </c>
      <c r="BR3321">
        <v>0</v>
      </c>
      <c r="BS3321">
        <v>0</v>
      </c>
      <c r="BT3321">
        <v>0</v>
      </c>
      <c r="BU3321">
        <v>0</v>
      </c>
      <c r="BV3321">
        <v>0</v>
      </c>
    </row>
    <row r="3322" spans="67:74" x14ac:dyDescent="0.25">
      <c r="BO3322">
        <v>0</v>
      </c>
      <c r="BP3322">
        <v>0</v>
      </c>
      <c r="BQ3322">
        <v>0</v>
      </c>
      <c r="BR3322">
        <v>0</v>
      </c>
      <c r="BS3322">
        <v>0</v>
      </c>
      <c r="BT3322">
        <v>0</v>
      </c>
      <c r="BU3322">
        <v>0</v>
      </c>
      <c r="BV3322">
        <v>0</v>
      </c>
    </row>
    <row r="3323" spans="67:74" x14ac:dyDescent="0.25">
      <c r="BO3323">
        <v>0</v>
      </c>
      <c r="BP3323">
        <v>0</v>
      </c>
      <c r="BQ3323">
        <v>0</v>
      </c>
      <c r="BR3323">
        <v>0</v>
      </c>
      <c r="BS3323">
        <v>0</v>
      </c>
      <c r="BT3323">
        <v>0</v>
      </c>
      <c r="BU3323">
        <v>0</v>
      </c>
      <c r="BV3323">
        <v>0</v>
      </c>
    </row>
    <row r="3324" spans="67:74" x14ac:dyDescent="0.25">
      <c r="BO3324">
        <v>0</v>
      </c>
      <c r="BP3324">
        <v>0</v>
      </c>
      <c r="BQ3324">
        <v>0</v>
      </c>
      <c r="BR3324">
        <v>0</v>
      </c>
      <c r="BS3324">
        <v>0</v>
      </c>
      <c r="BT3324">
        <v>0</v>
      </c>
      <c r="BU3324">
        <v>0</v>
      </c>
      <c r="BV3324">
        <v>0</v>
      </c>
    </row>
    <row r="3325" spans="67:74" x14ac:dyDescent="0.25">
      <c r="BO3325">
        <v>0</v>
      </c>
      <c r="BP3325">
        <v>0</v>
      </c>
      <c r="BQ3325">
        <v>0</v>
      </c>
      <c r="BR3325">
        <v>0</v>
      </c>
      <c r="BS3325">
        <v>0</v>
      </c>
      <c r="BT3325">
        <v>0</v>
      </c>
      <c r="BU3325">
        <v>0</v>
      </c>
      <c r="BV3325">
        <v>0</v>
      </c>
    </row>
    <row r="3326" spans="67:74" x14ac:dyDescent="0.25">
      <c r="BO3326">
        <v>0</v>
      </c>
      <c r="BP3326">
        <v>0</v>
      </c>
      <c r="BQ3326">
        <v>0</v>
      </c>
      <c r="BR3326">
        <v>0</v>
      </c>
      <c r="BS3326">
        <v>0</v>
      </c>
      <c r="BT3326">
        <v>0</v>
      </c>
      <c r="BU3326">
        <v>0</v>
      </c>
      <c r="BV3326">
        <v>0</v>
      </c>
    </row>
    <row r="3327" spans="67:74" x14ac:dyDescent="0.25">
      <c r="BO3327">
        <v>0</v>
      </c>
      <c r="BP3327">
        <v>0</v>
      </c>
      <c r="BQ3327">
        <v>0</v>
      </c>
      <c r="BR3327">
        <v>0</v>
      </c>
      <c r="BS3327">
        <v>0</v>
      </c>
      <c r="BT3327">
        <v>0</v>
      </c>
      <c r="BU3327">
        <v>0</v>
      </c>
      <c r="BV3327">
        <v>0</v>
      </c>
    </row>
    <row r="3328" spans="67:74" x14ac:dyDescent="0.25">
      <c r="BO3328">
        <v>0</v>
      </c>
      <c r="BP3328">
        <v>0</v>
      </c>
      <c r="BQ3328">
        <v>0</v>
      </c>
      <c r="BR3328">
        <v>0</v>
      </c>
      <c r="BS3328">
        <v>0</v>
      </c>
      <c r="BT3328">
        <v>0</v>
      </c>
      <c r="BU3328">
        <v>0</v>
      </c>
      <c r="BV3328">
        <v>0</v>
      </c>
    </row>
    <row r="3329" spans="67:74" x14ac:dyDescent="0.25">
      <c r="BO3329">
        <v>0</v>
      </c>
      <c r="BP3329">
        <v>0</v>
      </c>
      <c r="BQ3329">
        <v>0</v>
      </c>
      <c r="BR3329">
        <v>0</v>
      </c>
      <c r="BS3329">
        <v>0</v>
      </c>
      <c r="BT3329">
        <v>0</v>
      </c>
      <c r="BU3329">
        <v>0</v>
      </c>
      <c r="BV3329">
        <v>0</v>
      </c>
    </row>
    <row r="3330" spans="67:74" x14ac:dyDescent="0.25">
      <c r="BO3330">
        <v>0</v>
      </c>
      <c r="BP3330">
        <v>0</v>
      </c>
      <c r="BQ3330">
        <v>0</v>
      </c>
      <c r="BR3330">
        <v>0</v>
      </c>
      <c r="BS3330">
        <v>0</v>
      </c>
      <c r="BT3330">
        <v>0</v>
      </c>
      <c r="BU3330">
        <v>0</v>
      </c>
      <c r="BV3330">
        <v>0</v>
      </c>
    </row>
    <row r="3331" spans="67:74" x14ac:dyDescent="0.25">
      <c r="BO3331">
        <v>0</v>
      </c>
      <c r="BP3331">
        <v>0</v>
      </c>
      <c r="BQ3331">
        <v>0</v>
      </c>
      <c r="BR3331">
        <v>0</v>
      </c>
      <c r="BS3331">
        <v>0</v>
      </c>
      <c r="BT3331">
        <v>0</v>
      </c>
      <c r="BU3331">
        <v>0</v>
      </c>
      <c r="BV3331">
        <v>0</v>
      </c>
    </row>
    <row r="3332" spans="67:74" x14ac:dyDescent="0.25">
      <c r="BO3332">
        <v>0</v>
      </c>
      <c r="BP3332">
        <v>0</v>
      </c>
      <c r="BQ3332">
        <v>0</v>
      </c>
      <c r="BR3332">
        <v>0</v>
      </c>
      <c r="BS3332">
        <v>0</v>
      </c>
      <c r="BT3332">
        <v>0</v>
      </c>
      <c r="BU3332">
        <v>0</v>
      </c>
      <c r="BV3332">
        <v>0</v>
      </c>
    </row>
    <row r="3333" spans="67:74" x14ac:dyDescent="0.25">
      <c r="BO3333">
        <v>0</v>
      </c>
      <c r="BP3333">
        <v>0</v>
      </c>
      <c r="BQ3333">
        <v>0</v>
      </c>
      <c r="BR3333">
        <v>0</v>
      </c>
      <c r="BS3333">
        <v>0</v>
      </c>
      <c r="BT3333">
        <v>0</v>
      </c>
      <c r="BU3333">
        <v>0</v>
      </c>
      <c r="BV3333">
        <v>0</v>
      </c>
    </row>
    <row r="3334" spans="67:74" x14ac:dyDescent="0.25">
      <c r="BO3334">
        <v>0</v>
      </c>
      <c r="BP3334">
        <v>0</v>
      </c>
      <c r="BQ3334">
        <v>0</v>
      </c>
      <c r="BR3334">
        <v>0</v>
      </c>
      <c r="BS3334">
        <v>0</v>
      </c>
      <c r="BT3334">
        <v>0</v>
      </c>
      <c r="BU3334">
        <v>0</v>
      </c>
      <c r="BV3334">
        <v>0</v>
      </c>
    </row>
    <row r="3335" spans="67:74" x14ac:dyDescent="0.25">
      <c r="BO3335">
        <v>0</v>
      </c>
      <c r="BP3335">
        <v>0</v>
      </c>
      <c r="BQ3335">
        <v>0</v>
      </c>
      <c r="BR3335">
        <v>0</v>
      </c>
      <c r="BS3335">
        <v>0</v>
      </c>
      <c r="BT3335">
        <v>0</v>
      </c>
      <c r="BU3335">
        <v>0</v>
      </c>
      <c r="BV3335">
        <v>0</v>
      </c>
    </row>
    <row r="3336" spans="67:74" x14ac:dyDescent="0.25">
      <c r="BO3336">
        <v>0</v>
      </c>
      <c r="BP3336">
        <v>0</v>
      </c>
      <c r="BQ3336">
        <v>0</v>
      </c>
      <c r="BR3336">
        <v>0</v>
      </c>
      <c r="BS3336">
        <v>0</v>
      </c>
      <c r="BT3336">
        <v>0</v>
      </c>
      <c r="BU3336">
        <v>0</v>
      </c>
      <c r="BV3336">
        <v>0</v>
      </c>
    </row>
    <row r="3337" spans="67:74" x14ac:dyDescent="0.25">
      <c r="BO3337">
        <v>0</v>
      </c>
      <c r="BP3337">
        <v>0</v>
      </c>
      <c r="BQ3337">
        <v>0</v>
      </c>
      <c r="BR3337">
        <v>0</v>
      </c>
      <c r="BS3337">
        <v>0</v>
      </c>
      <c r="BT3337">
        <v>0</v>
      </c>
      <c r="BU3337">
        <v>0</v>
      </c>
      <c r="BV3337">
        <v>0</v>
      </c>
    </row>
    <row r="3338" spans="67:74" x14ac:dyDescent="0.25">
      <c r="BO3338">
        <v>0</v>
      </c>
      <c r="BP3338">
        <v>0</v>
      </c>
      <c r="BQ3338">
        <v>0</v>
      </c>
      <c r="BR3338">
        <v>0</v>
      </c>
      <c r="BS3338">
        <v>0</v>
      </c>
      <c r="BT3338">
        <v>0</v>
      </c>
      <c r="BU3338">
        <v>0</v>
      </c>
      <c r="BV3338">
        <v>0</v>
      </c>
    </row>
    <row r="3339" spans="67:74" x14ac:dyDescent="0.25">
      <c r="BO3339">
        <v>0</v>
      </c>
      <c r="BP3339">
        <v>0</v>
      </c>
      <c r="BQ3339">
        <v>0</v>
      </c>
      <c r="BR3339">
        <v>0</v>
      </c>
      <c r="BS3339">
        <v>0</v>
      </c>
      <c r="BT3339">
        <v>0</v>
      </c>
      <c r="BU3339">
        <v>0</v>
      </c>
      <c r="BV3339">
        <v>0</v>
      </c>
    </row>
    <row r="3340" spans="67:74" x14ac:dyDescent="0.25">
      <c r="BO3340">
        <v>0</v>
      </c>
      <c r="BP3340">
        <v>0</v>
      </c>
      <c r="BQ3340">
        <v>0</v>
      </c>
      <c r="BR3340">
        <v>0</v>
      </c>
      <c r="BS3340">
        <v>0</v>
      </c>
      <c r="BT3340">
        <v>0</v>
      </c>
      <c r="BU3340">
        <v>0</v>
      </c>
      <c r="BV3340">
        <v>0</v>
      </c>
    </row>
    <row r="3341" spans="67:74" x14ac:dyDescent="0.25">
      <c r="BO3341">
        <v>0</v>
      </c>
      <c r="BP3341">
        <v>0</v>
      </c>
      <c r="BQ3341">
        <v>0</v>
      </c>
      <c r="BR3341">
        <v>0</v>
      </c>
      <c r="BS3341">
        <v>0</v>
      </c>
      <c r="BT3341">
        <v>0</v>
      </c>
      <c r="BU3341">
        <v>0</v>
      </c>
      <c r="BV3341">
        <v>0</v>
      </c>
    </row>
    <row r="3342" spans="67:74" x14ac:dyDescent="0.25">
      <c r="BO3342">
        <v>0</v>
      </c>
      <c r="BP3342">
        <v>0</v>
      </c>
      <c r="BQ3342">
        <v>0</v>
      </c>
      <c r="BR3342">
        <v>0</v>
      </c>
      <c r="BS3342">
        <v>0</v>
      </c>
      <c r="BT3342">
        <v>0</v>
      </c>
      <c r="BU3342">
        <v>0</v>
      </c>
      <c r="BV3342">
        <v>0</v>
      </c>
    </row>
    <row r="3343" spans="67:74" x14ac:dyDescent="0.25">
      <c r="BO3343">
        <v>0</v>
      </c>
      <c r="BP3343">
        <v>0</v>
      </c>
      <c r="BQ3343">
        <v>0</v>
      </c>
      <c r="BR3343">
        <v>0</v>
      </c>
      <c r="BS3343">
        <v>0</v>
      </c>
      <c r="BT3343">
        <v>0</v>
      </c>
      <c r="BU3343">
        <v>0</v>
      </c>
      <c r="BV3343">
        <v>0</v>
      </c>
    </row>
    <row r="3344" spans="67:74" x14ac:dyDescent="0.25">
      <c r="BO3344">
        <v>0</v>
      </c>
      <c r="BP3344">
        <v>0</v>
      </c>
      <c r="BQ3344">
        <v>0</v>
      </c>
      <c r="BR3344">
        <v>0</v>
      </c>
      <c r="BS3344">
        <v>0</v>
      </c>
      <c r="BT3344">
        <v>0</v>
      </c>
      <c r="BU3344">
        <v>0</v>
      </c>
      <c r="BV3344">
        <v>0</v>
      </c>
    </row>
    <row r="3345" spans="67:74" x14ac:dyDescent="0.25">
      <c r="BO3345">
        <v>0</v>
      </c>
      <c r="BP3345">
        <v>0</v>
      </c>
      <c r="BQ3345">
        <v>0</v>
      </c>
      <c r="BR3345">
        <v>0</v>
      </c>
      <c r="BS3345">
        <v>0</v>
      </c>
      <c r="BT3345">
        <v>0</v>
      </c>
      <c r="BU3345">
        <v>0</v>
      </c>
      <c r="BV3345">
        <v>0</v>
      </c>
    </row>
    <row r="3346" spans="67:74" x14ac:dyDescent="0.25">
      <c r="BO3346">
        <v>0</v>
      </c>
      <c r="BP3346">
        <v>0</v>
      </c>
      <c r="BQ3346">
        <v>0</v>
      </c>
      <c r="BR3346">
        <v>0</v>
      </c>
      <c r="BS3346">
        <v>0</v>
      </c>
      <c r="BT3346">
        <v>0</v>
      </c>
      <c r="BU3346">
        <v>0</v>
      </c>
      <c r="BV3346">
        <v>0</v>
      </c>
    </row>
    <row r="3347" spans="67:74" x14ac:dyDescent="0.25">
      <c r="BO3347">
        <v>0</v>
      </c>
      <c r="BP3347">
        <v>0</v>
      </c>
      <c r="BQ3347">
        <v>0</v>
      </c>
      <c r="BR3347">
        <v>0</v>
      </c>
      <c r="BS3347">
        <v>0</v>
      </c>
      <c r="BT3347">
        <v>0</v>
      </c>
      <c r="BU3347">
        <v>0</v>
      </c>
      <c r="BV3347">
        <v>0</v>
      </c>
    </row>
    <row r="3348" spans="67:74" x14ac:dyDescent="0.25">
      <c r="BO3348">
        <v>0</v>
      </c>
      <c r="BP3348">
        <v>0</v>
      </c>
      <c r="BQ3348">
        <v>0</v>
      </c>
      <c r="BR3348">
        <v>0</v>
      </c>
      <c r="BS3348">
        <v>0</v>
      </c>
      <c r="BT3348">
        <v>0</v>
      </c>
      <c r="BU3348">
        <v>0</v>
      </c>
      <c r="BV3348">
        <v>0</v>
      </c>
    </row>
    <row r="3349" spans="67:74" x14ac:dyDescent="0.25">
      <c r="BO3349">
        <v>0</v>
      </c>
      <c r="BP3349">
        <v>0</v>
      </c>
      <c r="BQ3349">
        <v>0</v>
      </c>
      <c r="BR3349">
        <v>0</v>
      </c>
      <c r="BS3349">
        <v>0</v>
      </c>
      <c r="BT3349">
        <v>0</v>
      </c>
      <c r="BU3349">
        <v>0</v>
      </c>
      <c r="BV3349">
        <v>0</v>
      </c>
    </row>
    <row r="3350" spans="67:74" x14ac:dyDescent="0.25">
      <c r="BO3350">
        <v>0</v>
      </c>
      <c r="BP3350">
        <v>0</v>
      </c>
      <c r="BQ3350">
        <v>0</v>
      </c>
      <c r="BR3350">
        <v>0</v>
      </c>
      <c r="BS3350">
        <v>0</v>
      </c>
      <c r="BT3350">
        <v>0</v>
      </c>
      <c r="BU3350">
        <v>0</v>
      </c>
      <c r="BV3350">
        <v>0</v>
      </c>
    </row>
    <row r="3351" spans="67:74" x14ac:dyDescent="0.25">
      <c r="BO3351">
        <v>0</v>
      </c>
      <c r="BP3351">
        <v>0</v>
      </c>
      <c r="BQ3351">
        <v>0</v>
      </c>
      <c r="BR3351">
        <v>0</v>
      </c>
      <c r="BS3351">
        <v>0</v>
      </c>
      <c r="BT3351">
        <v>0</v>
      </c>
      <c r="BU3351">
        <v>0</v>
      </c>
      <c r="BV3351">
        <v>0</v>
      </c>
    </row>
    <row r="3352" spans="67:74" x14ac:dyDescent="0.25">
      <c r="BO3352">
        <v>0</v>
      </c>
      <c r="BP3352">
        <v>0</v>
      </c>
      <c r="BQ3352">
        <v>0</v>
      </c>
      <c r="BR3352">
        <v>0</v>
      </c>
      <c r="BS3352">
        <v>0</v>
      </c>
      <c r="BT3352">
        <v>0</v>
      </c>
      <c r="BU3352">
        <v>0</v>
      </c>
      <c r="BV3352">
        <v>0</v>
      </c>
    </row>
    <row r="3353" spans="67:74" x14ac:dyDescent="0.25">
      <c r="BO3353">
        <v>0</v>
      </c>
      <c r="BP3353">
        <v>0</v>
      </c>
      <c r="BQ3353">
        <v>0</v>
      </c>
      <c r="BR3353">
        <v>0</v>
      </c>
      <c r="BS3353">
        <v>0</v>
      </c>
      <c r="BT3353">
        <v>0</v>
      </c>
      <c r="BU3353">
        <v>0</v>
      </c>
      <c r="BV3353">
        <v>0</v>
      </c>
    </row>
    <row r="3354" spans="67:74" x14ac:dyDescent="0.25">
      <c r="BO3354">
        <v>0</v>
      </c>
      <c r="BP3354">
        <v>0</v>
      </c>
      <c r="BQ3354">
        <v>0</v>
      </c>
      <c r="BR3354">
        <v>0</v>
      </c>
      <c r="BS3354">
        <v>0</v>
      </c>
      <c r="BT3354">
        <v>0</v>
      </c>
      <c r="BU3354">
        <v>0</v>
      </c>
      <c r="BV3354">
        <v>0</v>
      </c>
    </row>
    <row r="3355" spans="67:74" x14ac:dyDescent="0.25">
      <c r="BO3355">
        <v>0</v>
      </c>
      <c r="BP3355">
        <v>0</v>
      </c>
      <c r="BQ3355">
        <v>0</v>
      </c>
      <c r="BR3355">
        <v>0</v>
      </c>
      <c r="BS3355">
        <v>0</v>
      </c>
      <c r="BT3355">
        <v>0</v>
      </c>
      <c r="BU3355">
        <v>0</v>
      </c>
      <c r="BV3355">
        <v>0</v>
      </c>
    </row>
    <row r="3356" spans="67:74" x14ac:dyDescent="0.25">
      <c r="BO3356">
        <v>0</v>
      </c>
      <c r="BP3356">
        <v>0</v>
      </c>
      <c r="BQ3356">
        <v>0</v>
      </c>
      <c r="BR3356">
        <v>0</v>
      </c>
      <c r="BS3356">
        <v>0</v>
      </c>
      <c r="BT3356">
        <v>0</v>
      </c>
      <c r="BU3356">
        <v>0</v>
      </c>
      <c r="BV3356">
        <v>0</v>
      </c>
    </row>
    <row r="3357" spans="67:74" x14ac:dyDescent="0.25">
      <c r="BO3357">
        <v>0</v>
      </c>
      <c r="BP3357">
        <v>0</v>
      </c>
      <c r="BQ3357">
        <v>0</v>
      </c>
      <c r="BR3357">
        <v>0</v>
      </c>
      <c r="BS3357">
        <v>0</v>
      </c>
      <c r="BT3357">
        <v>0</v>
      </c>
      <c r="BU3357">
        <v>0</v>
      </c>
      <c r="BV3357">
        <v>0</v>
      </c>
    </row>
    <row r="3358" spans="67:74" x14ac:dyDescent="0.25">
      <c r="BO3358">
        <v>0</v>
      </c>
      <c r="BP3358">
        <v>0</v>
      </c>
      <c r="BQ3358">
        <v>0</v>
      </c>
      <c r="BR3358">
        <v>0</v>
      </c>
      <c r="BS3358">
        <v>0</v>
      </c>
      <c r="BT3358">
        <v>0</v>
      </c>
      <c r="BU3358">
        <v>0</v>
      </c>
      <c r="BV3358">
        <v>0</v>
      </c>
    </row>
    <row r="3359" spans="67:74" x14ac:dyDescent="0.25">
      <c r="BO3359">
        <v>0</v>
      </c>
      <c r="BP3359">
        <v>0</v>
      </c>
      <c r="BQ3359">
        <v>0</v>
      </c>
      <c r="BR3359">
        <v>0</v>
      </c>
      <c r="BS3359">
        <v>0</v>
      </c>
      <c r="BT3359">
        <v>0</v>
      </c>
      <c r="BU3359">
        <v>0</v>
      </c>
      <c r="BV3359">
        <v>0</v>
      </c>
    </row>
    <row r="3360" spans="67:74" x14ac:dyDescent="0.25">
      <c r="BO3360">
        <v>0</v>
      </c>
      <c r="BP3360">
        <v>0</v>
      </c>
      <c r="BQ3360">
        <v>0</v>
      </c>
      <c r="BR3360">
        <v>0</v>
      </c>
      <c r="BS3360">
        <v>0</v>
      </c>
      <c r="BT3360">
        <v>0</v>
      </c>
      <c r="BU3360">
        <v>0</v>
      </c>
      <c r="BV3360">
        <v>0</v>
      </c>
    </row>
    <row r="3361" spans="67:74" x14ac:dyDescent="0.25">
      <c r="BO3361">
        <v>0</v>
      </c>
      <c r="BP3361">
        <v>0</v>
      </c>
      <c r="BQ3361">
        <v>0</v>
      </c>
      <c r="BR3361">
        <v>0</v>
      </c>
      <c r="BS3361">
        <v>0</v>
      </c>
      <c r="BT3361">
        <v>0</v>
      </c>
      <c r="BU3361">
        <v>0</v>
      </c>
      <c r="BV3361">
        <v>0</v>
      </c>
    </row>
    <row r="3362" spans="67:74" x14ac:dyDescent="0.25">
      <c r="BO3362">
        <v>0</v>
      </c>
      <c r="BP3362">
        <v>0</v>
      </c>
      <c r="BQ3362">
        <v>0</v>
      </c>
      <c r="BR3362">
        <v>0</v>
      </c>
      <c r="BS3362">
        <v>0</v>
      </c>
      <c r="BT3362">
        <v>0</v>
      </c>
      <c r="BU3362">
        <v>0</v>
      </c>
      <c r="BV3362">
        <v>0</v>
      </c>
    </row>
    <row r="3363" spans="67:74" x14ac:dyDescent="0.25">
      <c r="BO3363">
        <v>0</v>
      </c>
      <c r="BP3363">
        <v>0</v>
      </c>
      <c r="BQ3363">
        <v>0</v>
      </c>
      <c r="BR3363">
        <v>0</v>
      </c>
      <c r="BS3363">
        <v>0</v>
      </c>
      <c r="BT3363">
        <v>0</v>
      </c>
      <c r="BU3363">
        <v>0</v>
      </c>
      <c r="BV3363">
        <v>0</v>
      </c>
    </row>
    <row r="3364" spans="67:74" x14ac:dyDescent="0.25">
      <c r="BO3364">
        <v>0</v>
      </c>
      <c r="BP3364">
        <v>0</v>
      </c>
      <c r="BQ3364">
        <v>0</v>
      </c>
      <c r="BR3364">
        <v>0</v>
      </c>
      <c r="BS3364">
        <v>0</v>
      </c>
      <c r="BT3364">
        <v>0</v>
      </c>
      <c r="BU3364">
        <v>0</v>
      </c>
      <c r="BV3364">
        <v>0</v>
      </c>
    </row>
    <row r="3365" spans="67:74" x14ac:dyDescent="0.25">
      <c r="BO3365">
        <v>0</v>
      </c>
      <c r="BP3365">
        <v>0</v>
      </c>
      <c r="BQ3365">
        <v>0</v>
      </c>
      <c r="BR3365">
        <v>0</v>
      </c>
      <c r="BS3365">
        <v>0</v>
      </c>
      <c r="BT3365">
        <v>0</v>
      </c>
      <c r="BU3365">
        <v>0</v>
      </c>
      <c r="BV3365">
        <v>0</v>
      </c>
    </row>
    <row r="3366" spans="67:74" x14ac:dyDescent="0.25">
      <c r="BO3366">
        <v>0</v>
      </c>
      <c r="BP3366">
        <v>0</v>
      </c>
      <c r="BQ3366">
        <v>0</v>
      </c>
      <c r="BR3366">
        <v>0</v>
      </c>
      <c r="BS3366">
        <v>0</v>
      </c>
      <c r="BT3366">
        <v>0</v>
      </c>
      <c r="BU3366">
        <v>0</v>
      </c>
      <c r="BV3366">
        <v>0</v>
      </c>
    </row>
    <row r="3367" spans="67:74" x14ac:dyDescent="0.25">
      <c r="BO3367">
        <v>0</v>
      </c>
      <c r="BP3367">
        <v>0</v>
      </c>
      <c r="BQ3367">
        <v>0</v>
      </c>
      <c r="BR3367">
        <v>0</v>
      </c>
      <c r="BS3367">
        <v>0</v>
      </c>
      <c r="BT3367">
        <v>0</v>
      </c>
      <c r="BU3367">
        <v>0</v>
      </c>
      <c r="BV3367">
        <v>0</v>
      </c>
    </row>
    <row r="3368" spans="67:74" x14ac:dyDescent="0.25">
      <c r="BO3368">
        <v>0</v>
      </c>
      <c r="BP3368">
        <v>0</v>
      </c>
      <c r="BQ3368">
        <v>0</v>
      </c>
      <c r="BR3368">
        <v>0</v>
      </c>
      <c r="BS3368">
        <v>0</v>
      </c>
      <c r="BT3368">
        <v>0</v>
      </c>
      <c r="BU3368">
        <v>0</v>
      </c>
      <c r="BV3368">
        <v>0</v>
      </c>
    </row>
    <row r="3369" spans="67:74" x14ac:dyDescent="0.25">
      <c r="BO3369">
        <v>0</v>
      </c>
      <c r="BP3369">
        <v>0</v>
      </c>
      <c r="BQ3369">
        <v>0</v>
      </c>
      <c r="BR3369">
        <v>0</v>
      </c>
      <c r="BS3369">
        <v>0</v>
      </c>
      <c r="BT3369">
        <v>0</v>
      </c>
      <c r="BU3369">
        <v>0</v>
      </c>
      <c r="BV3369">
        <v>0</v>
      </c>
    </row>
    <row r="3370" spans="67:74" x14ac:dyDescent="0.25">
      <c r="BO3370">
        <v>0</v>
      </c>
      <c r="BP3370">
        <v>0</v>
      </c>
      <c r="BQ3370">
        <v>0</v>
      </c>
      <c r="BR3370">
        <v>0</v>
      </c>
      <c r="BS3370">
        <v>0</v>
      </c>
      <c r="BT3370">
        <v>0</v>
      </c>
      <c r="BU3370">
        <v>0</v>
      </c>
      <c r="BV3370">
        <v>0</v>
      </c>
    </row>
    <row r="3371" spans="67:74" x14ac:dyDescent="0.25">
      <c r="BO3371">
        <v>0</v>
      </c>
      <c r="BP3371">
        <v>0</v>
      </c>
      <c r="BQ3371">
        <v>0</v>
      </c>
      <c r="BR3371">
        <v>0</v>
      </c>
      <c r="BS3371">
        <v>0</v>
      </c>
      <c r="BT3371">
        <v>0</v>
      </c>
      <c r="BU3371">
        <v>0</v>
      </c>
      <c r="BV3371">
        <v>0</v>
      </c>
    </row>
    <row r="3372" spans="67:74" x14ac:dyDescent="0.25">
      <c r="BO3372">
        <v>0</v>
      </c>
      <c r="BP3372">
        <v>0</v>
      </c>
      <c r="BQ3372">
        <v>0</v>
      </c>
      <c r="BR3372">
        <v>0</v>
      </c>
      <c r="BS3372">
        <v>0</v>
      </c>
      <c r="BT3372">
        <v>0</v>
      </c>
      <c r="BU3372">
        <v>0</v>
      </c>
      <c r="BV3372">
        <v>0</v>
      </c>
    </row>
    <row r="3373" spans="67:74" x14ac:dyDescent="0.25">
      <c r="BO3373">
        <v>0</v>
      </c>
      <c r="BP3373">
        <v>0</v>
      </c>
      <c r="BQ3373">
        <v>0</v>
      </c>
      <c r="BR3373">
        <v>0</v>
      </c>
      <c r="BS3373">
        <v>0</v>
      </c>
      <c r="BT3373">
        <v>0</v>
      </c>
      <c r="BU3373">
        <v>0</v>
      </c>
      <c r="BV3373">
        <v>0</v>
      </c>
    </row>
    <row r="3374" spans="67:74" x14ac:dyDescent="0.25">
      <c r="BO3374">
        <v>0</v>
      </c>
      <c r="BP3374">
        <v>0</v>
      </c>
      <c r="BQ3374">
        <v>0</v>
      </c>
      <c r="BR3374">
        <v>0</v>
      </c>
      <c r="BS3374">
        <v>0</v>
      </c>
      <c r="BT3374">
        <v>0</v>
      </c>
      <c r="BU3374">
        <v>0</v>
      </c>
      <c r="BV3374">
        <v>0</v>
      </c>
    </row>
    <row r="3375" spans="67:74" x14ac:dyDescent="0.25">
      <c r="BO3375">
        <v>0</v>
      </c>
      <c r="BP3375">
        <v>0</v>
      </c>
      <c r="BQ3375">
        <v>0</v>
      </c>
      <c r="BR3375">
        <v>0</v>
      </c>
      <c r="BS3375">
        <v>0</v>
      </c>
      <c r="BT3375">
        <v>0</v>
      </c>
      <c r="BU3375">
        <v>0</v>
      </c>
      <c r="BV3375">
        <v>0</v>
      </c>
    </row>
    <row r="3376" spans="67:74" x14ac:dyDescent="0.25">
      <c r="BO3376">
        <v>0</v>
      </c>
      <c r="BP3376">
        <v>0</v>
      </c>
      <c r="BQ3376">
        <v>0</v>
      </c>
      <c r="BR3376">
        <v>0</v>
      </c>
      <c r="BS3376">
        <v>0</v>
      </c>
      <c r="BT3376">
        <v>0</v>
      </c>
      <c r="BU3376">
        <v>0</v>
      </c>
      <c r="BV3376">
        <v>0</v>
      </c>
    </row>
    <row r="3377" spans="67:74" x14ac:dyDescent="0.25">
      <c r="BO3377">
        <v>0</v>
      </c>
      <c r="BP3377">
        <v>0</v>
      </c>
      <c r="BQ3377">
        <v>0</v>
      </c>
      <c r="BR3377">
        <v>0</v>
      </c>
      <c r="BS3377">
        <v>0</v>
      </c>
      <c r="BT3377">
        <v>0</v>
      </c>
      <c r="BU3377">
        <v>0</v>
      </c>
      <c r="BV3377">
        <v>0</v>
      </c>
    </row>
    <row r="3378" spans="67:74" x14ac:dyDescent="0.25">
      <c r="BO3378">
        <v>0</v>
      </c>
      <c r="BP3378">
        <v>0</v>
      </c>
      <c r="BQ3378">
        <v>0</v>
      </c>
      <c r="BR3378">
        <v>0</v>
      </c>
      <c r="BS3378">
        <v>0</v>
      </c>
      <c r="BT3378">
        <v>0</v>
      </c>
      <c r="BU3378">
        <v>0</v>
      </c>
      <c r="BV3378">
        <v>0</v>
      </c>
    </row>
    <row r="3379" spans="67:74" x14ac:dyDescent="0.25">
      <c r="BO3379">
        <v>0</v>
      </c>
      <c r="BP3379">
        <v>0</v>
      </c>
      <c r="BQ3379">
        <v>0</v>
      </c>
      <c r="BR3379">
        <v>0</v>
      </c>
      <c r="BS3379">
        <v>0</v>
      </c>
      <c r="BT3379">
        <v>0</v>
      </c>
      <c r="BU3379">
        <v>0</v>
      </c>
      <c r="BV3379">
        <v>0</v>
      </c>
    </row>
    <row r="3380" spans="67:74" x14ac:dyDescent="0.25">
      <c r="BO3380">
        <v>0</v>
      </c>
      <c r="BP3380">
        <v>0</v>
      </c>
      <c r="BQ3380">
        <v>0</v>
      </c>
      <c r="BR3380">
        <v>0</v>
      </c>
      <c r="BS3380">
        <v>0</v>
      </c>
      <c r="BT3380">
        <v>0</v>
      </c>
      <c r="BU3380">
        <v>0</v>
      </c>
      <c r="BV3380">
        <v>0</v>
      </c>
    </row>
    <row r="3381" spans="67:74" x14ac:dyDescent="0.25">
      <c r="BO3381">
        <v>0</v>
      </c>
      <c r="BP3381">
        <v>0</v>
      </c>
      <c r="BQ3381">
        <v>0</v>
      </c>
      <c r="BR3381">
        <v>0</v>
      </c>
      <c r="BS3381">
        <v>0</v>
      </c>
      <c r="BT3381">
        <v>0</v>
      </c>
      <c r="BU3381">
        <v>0</v>
      </c>
      <c r="BV3381">
        <v>0</v>
      </c>
    </row>
    <row r="3382" spans="67:74" x14ac:dyDescent="0.25">
      <c r="BO3382">
        <v>0</v>
      </c>
      <c r="BP3382">
        <v>0</v>
      </c>
      <c r="BQ3382">
        <v>0</v>
      </c>
      <c r="BR3382">
        <v>0</v>
      </c>
      <c r="BS3382">
        <v>0</v>
      </c>
      <c r="BT3382">
        <v>0</v>
      </c>
      <c r="BU3382">
        <v>0</v>
      </c>
      <c r="BV3382">
        <v>0</v>
      </c>
    </row>
    <row r="3383" spans="67:74" x14ac:dyDescent="0.25">
      <c r="BO3383">
        <v>0</v>
      </c>
      <c r="BP3383">
        <v>0</v>
      </c>
      <c r="BQ3383">
        <v>0</v>
      </c>
      <c r="BR3383">
        <v>0</v>
      </c>
      <c r="BS3383">
        <v>0</v>
      </c>
      <c r="BT3383">
        <v>0</v>
      </c>
      <c r="BU3383">
        <v>0</v>
      </c>
      <c r="BV3383">
        <v>0</v>
      </c>
    </row>
    <row r="3384" spans="67:74" x14ac:dyDescent="0.25">
      <c r="BO3384">
        <v>0</v>
      </c>
      <c r="BP3384">
        <v>0</v>
      </c>
      <c r="BQ3384">
        <v>0</v>
      </c>
      <c r="BR3384">
        <v>0</v>
      </c>
      <c r="BS3384">
        <v>0</v>
      </c>
      <c r="BT3384">
        <v>0</v>
      </c>
      <c r="BU3384">
        <v>0</v>
      </c>
      <c r="BV3384">
        <v>0</v>
      </c>
    </row>
    <row r="3385" spans="67:74" x14ac:dyDescent="0.25">
      <c r="BO3385">
        <v>0</v>
      </c>
      <c r="BP3385">
        <v>0</v>
      </c>
      <c r="BQ3385">
        <v>0</v>
      </c>
      <c r="BR3385">
        <v>0</v>
      </c>
      <c r="BS3385">
        <v>0</v>
      </c>
      <c r="BT3385">
        <v>0</v>
      </c>
      <c r="BU3385">
        <v>0</v>
      </c>
      <c r="BV3385">
        <v>0</v>
      </c>
    </row>
    <row r="3386" spans="67:74" x14ac:dyDescent="0.25">
      <c r="BO3386">
        <v>0</v>
      </c>
      <c r="BP3386">
        <v>0</v>
      </c>
      <c r="BQ3386">
        <v>0</v>
      </c>
      <c r="BR3386">
        <v>0</v>
      </c>
      <c r="BS3386">
        <v>0</v>
      </c>
      <c r="BT3386">
        <v>0</v>
      </c>
      <c r="BU3386">
        <v>0</v>
      </c>
      <c r="BV3386">
        <v>0</v>
      </c>
    </row>
    <row r="3387" spans="67:74" x14ac:dyDescent="0.25">
      <c r="BO3387">
        <v>0</v>
      </c>
      <c r="BP3387">
        <v>0</v>
      </c>
      <c r="BQ3387">
        <v>0</v>
      </c>
      <c r="BR3387">
        <v>0</v>
      </c>
      <c r="BS3387">
        <v>0</v>
      </c>
      <c r="BT3387">
        <v>0</v>
      </c>
      <c r="BU3387">
        <v>0</v>
      </c>
      <c r="BV3387">
        <v>0</v>
      </c>
    </row>
    <row r="3388" spans="67:74" x14ac:dyDescent="0.25">
      <c r="BO3388">
        <v>0</v>
      </c>
      <c r="BP3388">
        <v>0</v>
      </c>
      <c r="BQ3388">
        <v>0</v>
      </c>
      <c r="BR3388">
        <v>0</v>
      </c>
      <c r="BS3388">
        <v>0</v>
      </c>
      <c r="BT3388">
        <v>0</v>
      </c>
      <c r="BU3388">
        <v>0</v>
      </c>
      <c r="BV3388">
        <v>0</v>
      </c>
    </row>
    <row r="3389" spans="67:74" x14ac:dyDescent="0.25">
      <c r="BO3389">
        <v>0</v>
      </c>
      <c r="BP3389">
        <v>0</v>
      </c>
      <c r="BQ3389">
        <v>0</v>
      </c>
      <c r="BR3389">
        <v>0</v>
      </c>
      <c r="BS3389">
        <v>0</v>
      </c>
      <c r="BT3389">
        <v>0</v>
      </c>
      <c r="BU3389">
        <v>0</v>
      </c>
      <c r="BV3389">
        <v>0</v>
      </c>
    </row>
    <row r="3390" spans="67:74" x14ac:dyDescent="0.25">
      <c r="BO3390">
        <v>0</v>
      </c>
      <c r="BP3390">
        <v>0</v>
      </c>
      <c r="BQ3390">
        <v>0</v>
      </c>
      <c r="BR3390">
        <v>0</v>
      </c>
      <c r="BS3390">
        <v>0</v>
      </c>
      <c r="BT3390">
        <v>0</v>
      </c>
      <c r="BU3390">
        <v>0</v>
      </c>
      <c r="BV3390">
        <v>0</v>
      </c>
    </row>
    <row r="3391" spans="67:74" x14ac:dyDescent="0.25">
      <c r="BO3391">
        <v>0</v>
      </c>
      <c r="BP3391">
        <v>0</v>
      </c>
      <c r="BQ3391">
        <v>0</v>
      </c>
      <c r="BR3391">
        <v>0</v>
      </c>
      <c r="BS3391">
        <v>0</v>
      </c>
      <c r="BT3391">
        <v>0</v>
      </c>
      <c r="BU3391">
        <v>0</v>
      </c>
      <c r="BV3391">
        <v>0</v>
      </c>
    </row>
    <row r="3392" spans="67:74" x14ac:dyDescent="0.25">
      <c r="BO3392">
        <v>0</v>
      </c>
      <c r="BP3392">
        <v>0</v>
      </c>
      <c r="BQ3392">
        <v>0</v>
      </c>
      <c r="BR3392">
        <v>0</v>
      </c>
      <c r="BS3392">
        <v>0</v>
      </c>
      <c r="BT3392">
        <v>0</v>
      </c>
      <c r="BU3392">
        <v>0</v>
      </c>
      <c r="BV3392">
        <v>0</v>
      </c>
    </row>
    <row r="3393" spans="67:74" x14ac:dyDescent="0.25">
      <c r="BO3393">
        <v>0</v>
      </c>
      <c r="BP3393">
        <v>0</v>
      </c>
      <c r="BQ3393">
        <v>0</v>
      </c>
      <c r="BR3393">
        <v>0</v>
      </c>
      <c r="BS3393">
        <v>0</v>
      </c>
      <c r="BT3393">
        <v>0</v>
      </c>
      <c r="BU3393">
        <v>0</v>
      </c>
      <c r="BV3393">
        <v>0</v>
      </c>
    </row>
    <row r="3394" spans="67:74" x14ac:dyDescent="0.25">
      <c r="BO3394">
        <v>0</v>
      </c>
      <c r="BP3394">
        <v>0</v>
      </c>
      <c r="BQ3394">
        <v>0</v>
      </c>
      <c r="BR3394">
        <v>0</v>
      </c>
      <c r="BS3394">
        <v>0</v>
      </c>
      <c r="BT3394">
        <v>0</v>
      </c>
      <c r="BU3394">
        <v>0</v>
      </c>
      <c r="BV3394">
        <v>0</v>
      </c>
    </row>
    <row r="3395" spans="67:74" x14ac:dyDescent="0.25">
      <c r="BO3395">
        <v>0</v>
      </c>
      <c r="BP3395">
        <v>0</v>
      </c>
      <c r="BQ3395">
        <v>0</v>
      </c>
      <c r="BR3395">
        <v>0</v>
      </c>
      <c r="BS3395">
        <v>0</v>
      </c>
      <c r="BT3395">
        <v>0</v>
      </c>
      <c r="BU3395">
        <v>0</v>
      </c>
      <c r="BV3395">
        <v>0</v>
      </c>
    </row>
    <row r="3396" spans="67:74" x14ac:dyDescent="0.25">
      <c r="BO3396">
        <v>0</v>
      </c>
      <c r="BP3396">
        <v>0</v>
      </c>
      <c r="BQ3396">
        <v>0</v>
      </c>
      <c r="BR3396">
        <v>0</v>
      </c>
      <c r="BS3396">
        <v>0</v>
      </c>
      <c r="BT3396">
        <v>0</v>
      </c>
      <c r="BU3396">
        <v>0</v>
      </c>
      <c r="BV3396">
        <v>0</v>
      </c>
    </row>
    <row r="3397" spans="67:74" x14ac:dyDescent="0.25">
      <c r="BO3397">
        <v>0</v>
      </c>
      <c r="BP3397">
        <v>0</v>
      </c>
      <c r="BQ3397">
        <v>0</v>
      </c>
      <c r="BR3397">
        <v>0</v>
      </c>
      <c r="BS3397">
        <v>0</v>
      </c>
      <c r="BT3397">
        <v>0</v>
      </c>
      <c r="BU3397">
        <v>0</v>
      </c>
      <c r="BV3397">
        <v>0</v>
      </c>
    </row>
    <row r="3398" spans="67:74" x14ac:dyDescent="0.25">
      <c r="BO3398">
        <v>0</v>
      </c>
      <c r="BP3398">
        <v>0</v>
      </c>
      <c r="BQ3398">
        <v>0</v>
      </c>
      <c r="BR3398">
        <v>0</v>
      </c>
      <c r="BS3398">
        <v>0</v>
      </c>
      <c r="BT3398">
        <v>0</v>
      </c>
      <c r="BU3398">
        <v>0</v>
      </c>
      <c r="BV3398">
        <v>0</v>
      </c>
    </row>
    <row r="3399" spans="67:74" x14ac:dyDescent="0.25">
      <c r="BO3399">
        <v>0</v>
      </c>
      <c r="BP3399">
        <v>0</v>
      </c>
      <c r="BQ3399">
        <v>0</v>
      </c>
      <c r="BR3399">
        <v>0</v>
      </c>
      <c r="BS3399">
        <v>0</v>
      </c>
      <c r="BT3399">
        <v>0</v>
      </c>
      <c r="BU3399">
        <v>0</v>
      </c>
      <c r="BV3399">
        <v>0</v>
      </c>
    </row>
    <row r="3400" spans="67:74" x14ac:dyDescent="0.25">
      <c r="BO3400">
        <v>0</v>
      </c>
      <c r="BP3400">
        <v>0</v>
      </c>
      <c r="BQ3400">
        <v>0</v>
      </c>
      <c r="BR3400">
        <v>0</v>
      </c>
      <c r="BS3400">
        <v>0</v>
      </c>
      <c r="BT3400">
        <v>0</v>
      </c>
      <c r="BU3400">
        <v>0</v>
      </c>
      <c r="BV3400">
        <v>0</v>
      </c>
    </row>
    <row r="3401" spans="67:74" x14ac:dyDescent="0.25">
      <c r="BO3401">
        <v>0</v>
      </c>
      <c r="BP3401">
        <v>0</v>
      </c>
      <c r="BQ3401">
        <v>0</v>
      </c>
      <c r="BR3401">
        <v>0</v>
      </c>
      <c r="BS3401">
        <v>0</v>
      </c>
      <c r="BT3401">
        <v>0</v>
      </c>
      <c r="BU3401">
        <v>0</v>
      </c>
      <c r="BV3401">
        <v>0</v>
      </c>
    </row>
    <row r="3402" spans="67:74" x14ac:dyDescent="0.25">
      <c r="BO3402">
        <v>0</v>
      </c>
      <c r="BP3402">
        <v>0</v>
      </c>
      <c r="BQ3402">
        <v>0</v>
      </c>
      <c r="BR3402">
        <v>0</v>
      </c>
      <c r="BS3402">
        <v>0</v>
      </c>
      <c r="BT3402">
        <v>0</v>
      </c>
      <c r="BU3402">
        <v>0</v>
      </c>
      <c r="BV3402">
        <v>0</v>
      </c>
    </row>
    <row r="3403" spans="67:74" x14ac:dyDescent="0.25">
      <c r="BO3403">
        <v>0</v>
      </c>
      <c r="BP3403">
        <v>0</v>
      </c>
      <c r="BQ3403">
        <v>0</v>
      </c>
      <c r="BR3403">
        <v>0</v>
      </c>
      <c r="BS3403">
        <v>0</v>
      </c>
      <c r="BT3403">
        <v>0</v>
      </c>
      <c r="BU3403">
        <v>0</v>
      </c>
      <c r="BV3403">
        <v>0</v>
      </c>
    </row>
    <row r="3404" spans="67:74" x14ac:dyDescent="0.25">
      <c r="BO3404">
        <v>0</v>
      </c>
      <c r="BP3404">
        <v>0</v>
      </c>
      <c r="BQ3404">
        <v>0</v>
      </c>
      <c r="BR3404">
        <v>0</v>
      </c>
      <c r="BS3404">
        <v>0</v>
      </c>
      <c r="BT3404">
        <v>0</v>
      </c>
      <c r="BU3404">
        <v>0</v>
      </c>
      <c r="BV3404">
        <v>0</v>
      </c>
    </row>
    <row r="3405" spans="67:74" x14ac:dyDescent="0.25">
      <c r="BO3405">
        <v>0</v>
      </c>
      <c r="BP3405">
        <v>0</v>
      </c>
      <c r="BQ3405">
        <v>0</v>
      </c>
      <c r="BR3405">
        <v>0</v>
      </c>
      <c r="BS3405">
        <v>0</v>
      </c>
      <c r="BT3405">
        <v>0</v>
      </c>
      <c r="BU3405">
        <v>0</v>
      </c>
      <c r="BV3405">
        <v>0</v>
      </c>
    </row>
    <row r="3406" spans="67:74" x14ac:dyDescent="0.25">
      <c r="BO3406">
        <v>0</v>
      </c>
      <c r="BP3406">
        <v>0</v>
      </c>
      <c r="BQ3406">
        <v>0</v>
      </c>
      <c r="BR3406">
        <v>0</v>
      </c>
      <c r="BS3406">
        <v>0</v>
      </c>
      <c r="BT3406">
        <v>0</v>
      </c>
      <c r="BU3406">
        <v>0</v>
      </c>
      <c r="BV3406">
        <v>0</v>
      </c>
    </row>
    <row r="3407" spans="67:74" x14ac:dyDescent="0.25">
      <c r="BO3407">
        <v>0</v>
      </c>
      <c r="BP3407">
        <v>0</v>
      </c>
      <c r="BQ3407">
        <v>0</v>
      </c>
      <c r="BR3407">
        <v>0</v>
      </c>
      <c r="BS3407">
        <v>0</v>
      </c>
      <c r="BT3407">
        <v>0</v>
      </c>
      <c r="BU3407">
        <v>0</v>
      </c>
      <c r="BV3407">
        <v>0</v>
      </c>
    </row>
    <row r="3408" spans="67:74" x14ac:dyDescent="0.25">
      <c r="BO3408">
        <v>0</v>
      </c>
      <c r="BP3408">
        <v>0</v>
      </c>
      <c r="BQ3408">
        <v>0</v>
      </c>
      <c r="BR3408">
        <v>0</v>
      </c>
      <c r="BS3408">
        <v>0</v>
      </c>
      <c r="BT3408">
        <v>0</v>
      </c>
      <c r="BU3408">
        <v>0</v>
      </c>
      <c r="BV3408">
        <v>0</v>
      </c>
    </row>
    <row r="3409" spans="67:74" x14ac:dyDescent="0.25">
      <c r="BO3409">
        <v>0</v>
      </c>
      <c r="BP3409">
        <v>0</v>
      </c>
      <c r="BQ3409">
        <v>0</v>
      </c>
      <c r="BR3409">
        <v>0</v>
      </c>
      <c r="BS3409">
        <v>0</v>
      </c>
      <c r="BT3409">
        <v>0</v>
      </c>
      <c r="BU3409">
        <v>0</v>
      </c>
      <c r="BV3409">
        <v>0</v>
      </c>
    </row>
    <row r="3410" spans="67:74" x14ac:dyDescent="0.25">
      <c r="BO3410">
        <v>0</v>
      </c>
      <c r="BP3410">
        <v>0</v>
      </c>
      <c r="BQ3410">
        <v>0</v>
      </c>
      <c r="BR3410">
        <v>0</v>
      </c>
      <c r="BS3410">
        <v>0</v>
      </c>
      <c r="BT3410">
        <v>0</v>
      </c>
      <c r="BU3410">
        <v>0</v>
      </c>
      <c r="BV3410">
        <v>0</v>
      </c>
    </row>
    <row r="3411" spans="67:74" x14ac:dyDescent="0.25">
      <c r="BO3411">
        <v>0</v>
      </c>
      <c r="BP3411">
        <v>0</v>
      </c>
      <c r="BQ3411">
        <v>0</v>
      </c>
      <c r="BR3411">
        <v>0</v>
      </c>
      <c r="BS3411">
        <v>0</v>
      </c>
      <c r="BT3411">
        <v>0</v>
      </c>
      <c r="BU3411">
        <v>0</v>
      </c>
      <c r="BV3411">
        <v>0</v>
      </c>
    </row>
    <row r="3412" spans="67:74" x14ac:dyDescent="0.25">
      <c r="BO3412">
        <v>0</v>
      </c>
      <c r="BP3412">
        <v>0</v>
      </c>
      <c r="BQ3412">
        <v>0</v>
      </c>
      <c r="BR3412">
        <v>0</v>
      </c>
      <c r="BS3412">
        <v>0</v>
      </c>
      <c r="BT3412">
        <v>0</v>
      </c>
      <c r="BU3412">
        <v>0</v>
      </c>
      <c r="BV3412">
        <v>0</v>
      </c>
    </row>
    <row r="3413" spans="67:74" x14ac:dyDescent="0.25">
      <c r="BO3413">
        <v>0</v>
      </c>
      <c r="BP3413">
        <v>0</v>
      </c>
      <c r="BQ3413">
        <v>0</v>
      </c>
      <c r="BR3413">
        <v>0</v>
      </c>
      <c r="BS3413">
        <v>0</v>
      </c>
      <c r="BT3413">
        <v>0</v>
      </c>
      <c r="BU3413">
        <v>0</v>
      </c>
      <c r="BV3413">
        <v>0</v>
      </c>
    </row>
    <row r="3414" spans="67:74" x14ac:dyDescent="0.25">
      <c r="BO3414">
        <v>0</v>
      </c>
      <c r="BP3414">
        <v>0</v>
      </c>
      <c r="BQ3414">
        <v>0</v>
      </c>
      <c r="BR3414">
        <v>0</v>
      </c>
      <c r="BS3414">
        <v>0</v>
      </c>
      <c r="BT3414">
        <v>0</v>
      </c>
      <c r="BU3414">
        <v>0</v>
      </c>
      <c r="BV3414">
        <v>0</v>
      </c>
    </row>
    <row r="3415" spans="67:74" x14ac:dyDescent="0.25">
      <c r="BO3415">
        <v>0</v>
      </c>
      <c r="BP3415">
        <v>0</v>
      </c>
      <c r="BQ3415">
        <v>0</v>
      </c>
      <c r="BR3415">
        <v>0</v>
      </c>
      <c r="BS3415">
        <v>0</v>
      </c>
      <c r="BT3415">
        <v>0</v>
      </c>
      <c r="BU3415">
        <v>0</v>
      </c>
      <c r="BV3415">
        <v>0</v>
      </c>
    </row>
    <row r="3416" spans="67:74" x14ac:dyDescent="0.25">
      <c r="BO3416">
        <v>0</v>
      </c>
      <c r="BP3416">
        <v>0</v>
      </c>
      <c r="BQ3416">
        <v>0</v>
      </c>
      <c r="BR3416">
        <v>0</v>
      </c>
      <c r="BS3416">
        <v>0</v>
      </c>
      <c r="BT3416">
        <v>0</v>
      </c>
      <c r="BU3416">
        <v>0</v>
      </c>
      <c r="BV3416">
        <v>0</v>
      </c>
    </row>
    <row r="3417" spans="67:74" x14ac:dyDescent="0.25">
      <c r="BO3417">
        <v>0</v>
      </c>
      <c r="BP3417">
        <v>0</v>
      </c>
      <c r="BQ3417">
        <v>0</v>
      </c>
      <c r="BR3417">
        <v>0</v>
      </c>
      <c r="BS3417">
        <v>0</v>
      </c>
      <c r="BT3417">
        <v>0</v>
      </c>
      <c r="BU3417">
        <v>0</v>
      </c>
      <c r="BV3417">
        <v>0</v>
      </c>
    </row>
    <row r="3418" spans="67:74" x14ac:dyDescent="0.25">
      <c r="BO3418">
        <v>0</v>
      </c>
      <c r="BP3418">
        <v>0</v>
      </c>
      <c r="BQ3418">
        <v>0</v>
      </c>
      <c r="BR3418">
        <v>0</v>
      </c>
      <c r="BS3418">
        <v>0</v>
      </c>
      <c r="BT3418">
        <v>0</v>
      </c>
      <c r="BU3418">
        <v>0</v>
      </c>
      <c r="BV3418">
        <v>0</v>
      </c>
    </row>
    <row r="3419" spans="67:74" x14ac:dyDescent="0.25">
      <c r="BO3419">
        <v>0</v>
      </c>
      <c r="BP3419">
        <v>0</v>
      </c>
      <c r="BQ3419">
        <v>0</v>
      </c>
      <c r="BR3419">
        <v>0</v>
      </c>
      <c r="BS3419">
        <v>0</v>
      </c>
      <c r="BT3419">
        <v>0</v>
      </c>
      <c r="BU3419">
        <v>0</v>
      </c>
      <c r="BV3419">
        <v>0</v>
      </c>
    </row>
    <row r="3420" spans="67:74" x14ac:dyDescent="0.25">
      <c r="BO3420">
        <v>0</v>
      </c>
      <c r="BP3420">
        <v>0</v>
      </c>
      <c r="BQ3420">
        <v>0</v>
      </c>
      <c r="BR3420">
        <v>0</v>
      </c>
      <c r="BS3420">
        <v>0</v>
      </c>
      <c r="BT3420">
        <v>0</v>
      </c>
      <c r="BU3420">
        <v>0</v>
      </c>
      <c r="BV3420">
        <v>0</v>
      </c>
    </row>
    <row r="3421" spans="67:74" x14ac:dyDescent="0.25">
      <c r="BO3421">
        <v>0</v>
      </c>
      <c r="BP3421">
        <v>0</v>
      </c>
      <c r="BQ3421">
        <v>0</v>
      </c>
      <c r="BR3421">
        <v>0</v>
      </c>
      <c r="BS3421">
        <v>0</v>
      </c>
      <c r="BT3421">
        <v>0</v>
      </c>
      <c r="BU3421">
        <v>0</v>
      </c>
      <c r="BV3421">
        <v>0</v>
      </c>
    </row>
    <row r="3422" spans="67:74" x14ac:dyDescent="0.25">
      <c r="BO3422">
        <v>0</v>
      </c>
      <c r="BP3422">
        <v>0</v>
      </c>
      <c r="BQ3422">
        <v>0</v>
      </c>
      <c r="BR3422">
        <v>0</v>
      </c>
      <c r="BS3422">
        <v>0</v>
      </c>
      <c r="BT3422">
        <v>0</v>
      </c>
      <c r="BU3422">
        <v>0</v>
      </c>
      <c r="BV3422">
        <v>0</v>
      </c>
    </row>
    <row r="3423" spans="67:74" x14ac:dyDescent="0.25">
      <c r="BO3423">
        <v>0</v>
      </c>
      <c r="BP3423">
        <v>0</v>
      </c>
      <c r="BQ3423">
        <v>0</v>
      </c>
      <c r="BR3423">
        <v>0</v>
      </c>
      <c r="BS3423">
        <v>0</v>
      </c>
      <c r="BT3423">
        <v>0</v>
      </c>
      <c r="BU3423">
        <v>0</v>
      </c>
      <c r="BV3423">
        <v>0</v>
      </c>
    </row>
    <row r="3424" spans="67:74" x14ac:dyDescent="0.25">
      <c r="BO3424">
        <v>0</v>
      </c>
      <c r="BP3424">
        <v>0</v>
      </c>
      <c r="BQ3424">
        <v>0</v>
      </c>
      <c r="BR3424">
        <v>0</v>
      </c>
      <c r="BS3424">
        <v>0</v>
      </c>
      <c r="BT3424">
        <v>0</v>
      </c>
      <c r="BU3424">
        <v>0</v>
      </c>
      <c r="BV3424">
        <v>0</v>
      </c>
    </row>
    <row r="3425" spans="67:74" x14ac:dyDescent="0.25">
      <c r="BO3425">
        <v>0</v>
      </c>
      <c r="BP3425">
        <v>0</v>
      </c>
      <c r="BQ3425">
        <v>0</v>
      </c>
      <c r="BR3425">
        <v>0</v>
      </c>
      <c r="BS3425">
        <v>0</v>
      </c>
      <c r="BT3425">
        <v>0</v>
      </c>
      <c r="BU3425">
        <v>0</v>
      </c>
      <c r="BV3425">
        <v>0</v>
      </c>
    </row>
    <row r="3426" spans="67:74" x14ac:dyDescent="0.25">
      <c r="BO3426">
        <v>0</v>
      </c>
      <c r="BP3426">
        <v>0</v>
      </c>
      <c r="BQ3426">
        <v>0</v>
      </c>
      <c r="BR3426">
        <v>0</v>
      </c>
      <c r="BS3426">
        <v>0</v>
      </c>
      <c r="BT3426">
        <v>0</v>
      </c>
      <c r="BU3426">
        <v>0</v>
      </c>
      <c r="BV3426">
        <v>0</v>
      </c>
    </row>
    <row r="3427" spans="67:74" x14ac:dyDescent="0.25">
      <c r="BO3427">
        <v>0</v>
      </c>
      <c r="BP3427">
        <v>0</v>
      </c>
      <c r="BQ3427">
        <v>0</v>
      </c>
      <c r="BR3427">
        <v>0</v>
      </c>
      <c r="BS3427">
        <v>0</v>
      </c>
      <c r="BT3427">
        <v>0</v>
      </c>
      <c r="BU3427">
        <v>0</v>
      </c>
      <c r="BV3427">
        <v>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rojas</dc:creator>
  <cp:lastModifiedBy>daniel rojas</cp:lastModifiedBy>
  <dcterms:created xsi:type="dcterms:W3CDTF">2021-09-21T01:16:34Z</dcterms:created>
  <dcterms:modified xsi:type="dcterms:W3CDTF">2022-03-17T17:20:43Z</dcterms:modified>
</cp:coreProperties>
</file>
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9\"/>
    </mc:Choice>
  </mc:AlternateContent>
  <xr:revisionPtr revIDLastSave="0" documentId="13_ncr:1_{F6ED551F-5F4A-46F2-AF0F-3D68824493FD}" xr6:coauthVersionLast="47" xr6:coauthVersionMax="47" xr10:uidLastSave="{00000000-0000-0000-0000-000000000000}"/>
  <bookViews>
    <workbookView xWindow="-120" yWindow="-120" windowWidth="24240" windowHeight="13290" xr2:uid="{C4629C50-221B-412B-BAA9-4276A71C39D7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Y5" i="1" s="1"/>
  <c r="Z5" i="1" s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C2" i="1"/>
  <c r="CD10" i="1" a="1"/>
  <c r="CD14" i="1" a="1"/>
  <c r="CD18" i="1" a="1"/>
  <c r="CD22" i="1" a="1"/>
  <c r="CD26" i="1" a="1"/>
  <c r="CD30" i="1" a="1"/>
  <c r="CD34" i="1" a="1"/>
  <c r="CD38" i="1" a="1"/>
  <c r="CD42" i="1" a="1"/>
  <c r="CD46" i="1" a="1"/>
  <c r="CD50" i="1" a="1"/>
  <c r="CD54" i="1" a="1"/>
  <c r="CD58" i="1" a="1"/>
  <c r="CD62" i="1" a="1"/>
  <c r="CD66" i="1" a="1"/>
  <c r="CD70" i="1" a="1"/>
  <c r="CD11" i="1" a="1"/>
  <c r="CD15" i="1" a="1"/>
  <c r="CD19" i="1" a="1"/>
  <c r="CD23" i="1" a="1"/>
  <c r="CD27" i="1" a="1"/>
  <c r="CD31" i="1" a="1"/>
  <c r="CD35" i="1" a="1"/>
  <c r="CD39" i="1" a="1"/>
  <c r="CD43" i="1" a="1"/>
  <c r="CD47" i="1" a="1"/>
  <c r="CD51" i="1" a="1"/>
  <c r="CD55" i="1" a="1"/>
  <c r="CD59" i="1" a="1"/>
  <c r="CD63" i="1" a="1"/>
  <c r="CD67" i="1" a="1"/>
  <c r="CD71" i="1" a="1"/>
  <c r="CD75" i="1" a="1"/>
  <c r="CD13" i="1" a="1"/>
  <c r="CD17" i="1" a="1"/>
  <c r="CD21" i="1" a="1"/>
  <c r="CD25" i="1" a="1"/>
  <c r="CD29" i="1" a="1"/>
  <c r="CD33" i="1" a="1"/>
  <c r="CD37" i="1" a="1"/>
  <c r="CD41" i="1" a="1"/>
  <c r="CD45" i="1" a="1"/>
  <c r="CD49" i="1" a="1"/>
  <c r="CD53" i="1" a="1"/>
  <c r="CD57" i="1" a="1"/>
  <c r="CD61" i="1" a="1"/>
  <c r="CD65" i="1" a="1"/>
  <c r="CD69" i="1" a="1"/>
  <c r="CD73" i="1" a="1"/>
  <c r="CD77" i="1" a="1"/>
  <c r="CD12" i="1" a="1"/>
  <c r="CD28" i="1" a="1"/>
  <c r="CD44" i="1" a="1"/>
  <c r="CD60" i="1" a="1"/>
  <c r="CD74" i="1" a="1"/>
  <c r="CD82" i="1" a="1"/>
  <c r="CD95" i="1" a="1"/>
  <c r="CD101" i="1" a="1"/>
  <c r="CD108" i="1" a="1"/>
  <c r="CD114" i="1" a="1"/>
  <c r="CD127" i="1" a="1"/>
  <c r="CD133" i="1" a="1"/>
  <c r="CD140" i="1" a="1"/>
  <c r="CD146" i="1" a="1"/>
  <c r="CD159" i="1" a="1"/>
  <c r="CD165" i="1" a="1"/>
  <c r="CD172" i="1" a="1"/>
  <c r="CD178" i="1" a="1"/>
  <c r="CD191" i="1" a="1"/>
  <c r="CD197" i="1" a="1"/>
  <c r="CD204" i="1" a="1"/>
  <c r="CD210" i="1" a="1"/>
  <c r="CD223" i="1" a="1"/>
  <c r="CD229" i="1" a="1"/>
  <c r="CD236" i="1" a="1"/>
  <c r="CD242" i="1" a="1"/>
  <c r="CD255" i="1" a="1"/>
  <c r="CD261" i="1" a="1"/>
  <c r="CD268" i="1" a="1"/>
  <c r="CD274" i="1" a="1"/>
  <c r="CD287" i="1" a="1"/>
  <c r="CD293" i="1" a="1"/>
  <c r="CD300" i="1" a="1"/>
  <c r="CD306" i="1" a="1"/>
  <c r="CD319" i="1" a="1"/>
  <c r="CD325" i="1" a="1"/>
  <c r="CD332" i="1" a="1"/>
  <c r="CD338" i="1" a="1"/>
  <c r="CD367" i="1" a="1"/>
  <c r="CD375" i="1" a="1"/>
  <c r="CD383" i="1" a="1"/>
  <c r="CD391" i="1" a="1"/>
  <c r="CD399" i="1" a="1"/>
  <c r="CD407" i="1" a="1"/>
  <c r="CD415" i="1" a="1"/>
  <c r="CD423" i="1" a="1"/>
  <c r="CD431" i="1" a="1"/>
  <c r="CD156" i="1" a="1"/>
  <c r="CD226" i="1" a="1"/>
  <c r="CD271" i="1" a="1"/>
  <c r="CD316" i="1" a="1"/>
  <c r="CD348" i="1" a="1"/>
  <c r="CD99" i="1" a="1"/>
  <c r="CD76" i="1" a="1"/>
  <c r="CD83" i="1" a="1"/>
  <c r="CD89" i="1" a="1"/>
  <c r="CD96" i="1" a="1"/>
  <c r="CD102" i="1" a="1"/>
  <c r="CD115" i="1" a="1"/>
  <c r="CD121" i="1" a="1"/>
  <c r="CD128" i="1" a="1"/>
  <c r="CD134" i="1" a="1"/>
  <c r="CD147" i="1" a="1"/>
  <c r="CD153" i="1" a="1"/>
  <c r="CD160" i="1" a="1"/>
  <c r="CD166" i="1" a="1"/>
  <c r="CD179" i="1" a="1"/>
  <c r="CD185" i="1" a="1"/>
  <c r="CD192" i="1" a="1"/>
  <c r="CD198" i="1" a="1"/>
  <c r="CD211" i="1" a="1"/>
  <c r="CD217" i="1" a="1"/>
  <c r="CD224" i="1" a="1"/>
  <c r="CD230" i="1" a="1"/>
  <c r="CD243" i="1" a="1"/>
  <c r="CD249" i="1" a="1"/>
  <c r="CD256" i="1" a="1"/>
  <c r="CD262" i="1" a="1"/>
  <c r="CD275" i="1" a="1"/>
  <c r="CD281" i="1" a="1"/>
  <c r="CD288" i="1" a="1"/>
  <c r="CD294" i="1" a="1"/>
  <c r="CD307" i="1" a="1"/>
  <c r="CD313" i="1" a="1"/>
  <c r="CD320" i="1" a="1"/>
  <c r="CD326" i="1" a="1"/>
  <c r="CD339" i="1" a="1"/>
  <c r="CD345" i="1" a="1"/>
  <c r="CD351" i="1" a="1"/>
  <c r="CD355" i="1" a="1"/>
  <c r="CD359" i="1" a="1"/>
  <c r="CD363" i="1" a="1"/>
  <c r="CD371" i="1" a="1"/>
  <c r="CD379" i="1" a="1"/>
  <c r="CD387" i="1" a="1"/>
  <c r="CD395" i="1" a="1"/>
  <c r="CD403" i="1" a="1"/>
  <c r="CD411" i="1" a="1"/>
  <c r="CD419" i="1" a="1"/>
  <c r="CD427" i="1" a="1"/>
  <c r="CD175" i="1" a="1"/>
  <c r="CD252" i="1" a="1"/>
  <c r="CD290" i="1" a="1"/>
  <c r="CD322" i="1" a="1"/>
  <c r="CD105" i="1" a="1"/>
  <c r="CD16" i="1" a="1"/>
  <c r="CD32" i="1" a="1"/>
  <c r="CD48" i="1" a="1"/>
  <c r="CD64" i="1" a="1"/>
  <c r="CD84" i="1" a="1"/>
  <c r="CD90" i="1" a="1"/>
  <c r="CD103" i="1" a="1"/>
  <c r="CD109" i="1" a="1"/>
  <c r="CD116" i="1" a="1"/>
  <c r="CD122" i="1" a="1"/>
  <c r="CD135" i="1" a="1"/>
  <c r="CD141" i="1" a="1"/>
  <c r="CD148" i="1" a="1"/>
  <c r="CD154" i="1" a="1"/>
  <c r="CD167" i="1" a="1"/>
  <c r="CD173" i="1" a="1"/>
  <c r="CD180" i="1" a="1"/>
  <c r="CD186" i="1" a="1"/>
  <c r="CD199" i="1" a="1"/>
  <c r="CD205" i="1" a="1"/>
  <c r="CD212" i="1" a="1"/>
  <c r="CD218" i="1" a="1"/>
  <c r="CD231" i="1" a="1"/>
  <c r="CD237" i="1" a="1"/>
  <c r="CD244" i="1" a="1"/>
  <c r="CD250" i="1" a="1"/>
  <c r="CD263" i="1" a="1"/>
  <c r="CD269" i="1" a="1"/>
  <c r="CD276" i="1" a="1"/>
  <c r="CD282" i="1" a="1"/>
  <c r="CD295" i="1" a="1"/>
  <c r="CD301" i="1" a="1"/>
  <c r="CD308" i="1" a="1"/>
  <c r="CD314" i="1" a="1"/>
  <c r="CD327" i="1" a="1"/>
  <c r="CD333" i="1" a="1"/>
  <c r="CD340" i="1" a="1"/>
  <c r="CD346" i="1" a="1"/>
  <c r="CD392" i="1" a="1"/>
  <c r="CD400" i="1" a="1"/>
  <c r="CD408" i="1" a="1"/>
  <c r="CD416" i="1" a="1"/>
  <c r="CD424" i="1" a="1"/>
  <c r="CD432" i="1" a="1"/>
  <c r="CD36" i="1" a="1"/>
  <c r="CD68" i="1" a="1"/>
  <c r="CD85" i="1" a="1"/>
  <c r="CD92" i="1" a="1"/>
  <c r="CD117" i="1" a="1"/>
  <c r="CD130" i="1" a="1"/>
  <c r="CD143" i="1" a="1"/>
  <c r="CD162" i="1" a="1"/>
  <c r="CD188" i="1" a="1"/>
  <c r="CD213" i="1" a="1"/>
  <c r="CD239" i="1" a="1"/>
  <c r="CD258" i="1" a="1"/>
  <c r="CD284" i="1" a="1"/>
  <c r="CD309" i="1" a="1"/>
  <c r="CD341" i="1" a="1"/>
  <c r="CD80" i="1" a="1"/>
  <c r="CD112" i="1" a="1"/>
  <c r="CD78" i="1" a="1"/>
  <c r="CD91" i="1" a="1"/>
  <c r="CD97" i="1" a="1"/>
  <c r="CD104" i="1" a="1"/>
  <c r="CD110" i="1" a="1"/>
  <c r="CD123" i="1" a="1"/>
  <c r="CD129" i="1" a="1"/>
  <c r="CD136" i="1" a="1"/>
  <c r="CD142" i="1" a="1"/>
  <c r="CD155" i="1" a="1"/>
  <c r="CD161" i="1" a="1"/>
  <c r="CD168" i="1" a="1"/>
  <c r="CD174" i="1" a="1"/>
  <c r="CD187" i="1" a="1"/>
  <c r="CD193" i="1" a="1"/>
  <c r="CD200" i="1" a="1"/>
  <c r="CD206" i="1" a="1"/>
  <c r="CD219" i="1" a="1"/>
  <c r="CD225" i="1" a="1"/>
  <c r="CD232" i="1" a="1"/>
  <c r="CD238" i="1" a="1"/>
  <c r="CD251" i="1" a="1"/>
  <c r="CD257" i="1" a="1"/>
  <c r="CD264" i="1" a="1"/>
  <c r="CD270" i="1" a="1"/>
  <c r="CD283" i="1" a="1"/>
  <c r="CD289" i="1" a="1"/>
  <c r="CD296" i="1" a="1"/>
  <c r="CD302" i="1" a="1"/>
  <c r="CD315" i="1" a="1"/>
  <c r="CD321" i="1" a="1"/>
  <c r="CD328" i="1" a="1"/>
  <c r="CD334" i="1" a="1"/>
  <c r="CD347" i="1" a="1"/>
  <c r="CD352" i="1" a="1"/>
  <c r="CD356" i="1" a="1"/>
  <c r="CD360" i="1" a="1"/>
  <c r="CD364" i="1" a="1"/>
  <c r="CD368" i="1" a="1"/>
  <c r="CD372" i="1" a="1"/>
  <c r="CD376" i="1" a="1"/>
  <c r="CD380" i="1" a="1"/>
  <c r="CD384" i="1" a="1"/>
  <c r="CD388" i="1" a="1"/>
  <c r="CD396" i="1" a="1"/>
  <c r="CD404" i="1" a="1"/>
  <c r="CD412" i="1" a="1"/>
  <c r="CD420" i="1" a="1"/>
  <c r="CD428" i="1" a="1"/>
  <c r="CD20" i="1" a="1"/>
  <c r="CD52" i="1" a="1"/>
  <c r="CD79" i="1" a="1"/>
  <c r="CD98" i="1" a="1"/>
  <c r="CD111" i="1" a="1"/>
  <c r="CD124" i="1" a="1"/>
  <c r="CD149" i="1" a="1"/>
  <c r="CD181" i="1" a="1"/>
  <c r="CD194" i="1" a="1"/>
  <c r="CD207" i="1" a="1"/>
  <c r="CD220" i="1" a="1"/>
  <c r="CD245" i="1" a="1"/>
  <c r="CD277" i="1" a="1"/>
  <c r="CD303" i="1" a="1"/>
  <c r="CD335" i="1" a="1"/>
  <c r="CD86" i="1" a="1"/>
  <c r="CD118" i="1" a="1"/>
  <c r="CD131" i="1" a="1"/>
  <c r="CD24" i="1" a="1"/>
  <c r="CD40" i="1" a="1"/>
  <c r="CD56" i="1" a="1"/>
  <c r="CD72" i="1" a="1"/>
  <c r="CD87" i="1" a="1"/>
  <c r="CD93" i="1" a="1"/>
  <c r="CD100" i="1" a="1"/>
  <c r="CD106" i="1" a="1"/>
  <c r="CD119" i="1" a="1"/>
  <c r="CD125" i="1" a="1"/>
  <c r="CD132" i="1" a="1"/>
  <c r="CD138" i="1" a="1"/>
  <c r="CD151" i="1" a="1"/>
  <c r="CD157" i="1" a="1"/>
  <c r="CD164" i="1" a="1"/>
  <c r="CD170" i="1" a="1"/>
  <c r="CD183" i="1" a="1"/>
  <c r="CD189" i="1" a="1"/>
  <c r="CD196" i="1" a="1"/>
  <c r="CD202" i="1" a="1"/>
  <c r="CD215" i="1" a="1"/>
  <c r="CD221" i="1" a="1"/>
  <c r="CD228" i="1" a="1"/>
  <c r="CD234" i="1" a="1"/>
  <c r="CD247" i="1" a="1"/>
  <c r="CD253" i="1" a="1"/>
  <c r="CD260" i="1" a="1"/>
  <c r="CD266" i="1" a="1"/>
  <c r="CD279" i="1" a="1"/>
  <c r="CD285" i="1" a="1"/>
  <c r="CD292" i="1" a="1"/>
  <c r="CD298" i="1" a="1"/>
  <c r="CD311" i="1" a="1"/>
  <c r="CD317" i="1" a="1"/>
  <c r="CD324" i="1" a="1"/>
  <c r="CD330" i="1" a="1"/>
  <c r="CD343" i="1" a="1"/>
  <c r="CD349" i="1" a="1"/>
  <c r="CD88" i="1" a="1"/>
  <c r="CD94" i="1" a="1"/>
  <c r="CD107" i="1" a="1"/>
  <c r="CD113" i="1" a="1"/>
  <c r="CD126" i="1" a="1"/>
  <c r="CD145" i="1" a="1"/>
  <c r="CD158" i="1" a="1"/>
  <c r="CD177" i="1" a="1"/>
  <c r="CD190" i="1" a="1"/>
  <c r="CD203" i="1" a="1"/>
  <c r="CD216" i="1" a="1"/>
  <c r="CD241" i="1" a="1"/>
  <c r="CD248" i="1" a="1"/>
  <c r="CD267" i="1" a="1"/>
  <c r="CD280" i="1" a="1"/>
  <c r="CD299" i="1" a="1"/>
  <c r="CD81" i="1" a="1"/>
  <c r="CD120" i="1" a="1"/>
  <c r="CD139" i="1" a="1"/>
  <c r="CD152" i="1" a="1"/>
  <c r="CD171" i="1" a="1"/>
  <c r="CD184" i="1" a="1"/>
  <c r="CD209" i="1" a="1"/>
  <c r="CD222" i="1" a="1"/>
  <c r="CD235" i="1" a="1"/>
  <c r="CD254" i="1" a="1"/>
  <c r="CD273" i="1" a="1"/>
  <c r="CD286" i="1" a="1"/>
  <c r="CD305" i="1" a="1"/>
  <c r="CD137" i="1" a="1"/>
  <c r="CD240" i="1" a="1"/>
  <c r="CD291" i="1" a="1"/>
  <c r="CD350" i="1" a="1"/>
  <c r="CD366" i="1" a="1"/>
  <c r="CD382" i="1" a="1"/>
  <c r="CD398" i="1" a="1"/>
  <c r="CD414" i="1" a="1"/>
  <c r="CD430" i="1" a="1"/>
  <c r="CD433" i="1" a="1"/>
  <c r="CD312" i="1" a="1"/>
  <c r="CD361" i="1" a="1"/>
  <c r="CD144" i="1" a="1"/>
  <c r="CD195" i="1" a="1"/>
  <c r="CD246" i="1" a="1"/>
  <c r="CD297" i="1" a="1"/>
  <c r="CD329" i="1" a="1"/>
  <c r="CD353" i="1" a="1"/>
  <c r="CD369" i="1" a="1"/>
  <c r="CD385" i="1" a="1"/>
  <c r="CD417" i="1" a="1"/>
  <c r="CD434" i="1" a="1"/>
  <c r="CD406" i="1" a="1"/>
  <c r="CD342" i="1" a="1"/>
  <c r="CD150" i="1" a="1"/>
  <c r="CD201" i="1" a="1"/>
  <c r="CD304" i="1" a="1"/>
  <c r="CD331" i="1" a="1"/>
  <c r="CD354" i="1" a="1"/>
  <c r="CD370" i="1" a="1"/>
  <c r="CD386" i="1" a="1"/>
  <c r="CD402" i="1" a="1"/>
  <c r="CD358" i="1" a="1"/>
  <c r="CD422" i="1" a="1"/>
  <c r="CD377" i="1" a="1"/>
  <c r="CD208" i="1" a="1"/>
  <c r="CD259" i="1" a="1"/>
  <c r="CD310" i="1" a="1"/>
  <c r="CD336" i="1" a="1"/>
  <c r="CD357" i="1" a="1"/>
  <c r="CD373" i="1" a="1"/>
  <c r="CD389" i="1" a="1"/>
  <c r="CD405" i="1" a="1"/>
  <c r="CD421" i="1" a="1"/>
  <c r="CD163" i="1" a="1"/>
  <c r="CD214" i="1" a="1"/>
  <c r="CD265" i="1" a="1"/>
  <c r="CD374" i="1" a="1"/>
  <c r="CD169" i="1" a="1"/>
  <c r="CD393" i="1" a="1"/>
  <c r="CD176" i="1" a="1"/>
  <c r="CD227" i="1" a="1"/>
  <c r="CD278" i="1" a="1"/>
  <c r="CD318" i="1" a="1"/>
  <c r="CD344" i="1" a="1"/>
  <c r="CD362" i="1" a="1"/>
  <c r="CD378" i="1" a="1"/>
  <c r="CD394" i="1" a="1"/>
  <c r="CD410" i="1" a="1"/>
  <c r="CD426" i="1" a="1"/>
  <c r="CD409" i="1" a="1"/>
  <c r="CD182" i="1" a="1"/>
  <c r="CD233" i="1" a="1"/>
  <c r="CD323" i="1" a="1"/>
  <c r="CD365" i="1" a="1"/>
  <c r="CD381" i="1" a="1"/>
  <c r="CD397" i="1" a="1"/>
  <c r="CD413" i="1" a="1"/>
  <c r="CD429" i="1" a="1"/>
  <c r="CD401" i="1" a="1"/>
  <c r="CD418" i="1" a="1"/>
  <c r="CD337" i="1" a="1"/>
  <c r="CD390" i="1" a="1"/>
  <c r="CD272" i="1" a="1"/>
  <c r="CD425" i="1" a="1"/>
  <c r="CD9" i="1" a="1"/>
  <c r="CD6" i="1" a="1"/>
  <c r="CD8" i="1" a="1"/>
  <c r="CD7" i="1" a="1"/>
  <c r="CD425" i="1" l="1"/>
  <c r="CD272" i="1"/>
  <c r="CD390" i="1"/>
  <c r="CD337" i="1"/>
  <c r="CD418" i="1"/>
  <c r="CD401" i="1"/>
  <c r="CD429" i="1"/>
  <c r="CD413" i="1"/>
  <c r="CD397" i="1"/>
  <c r="CD381" i="1"/>
  <c r="CD365" i="1"/>
  <c r="CD323" i="1"/>
  <c r="CD233" i="1"/>
  <c r="CD182" i="1"/>
  <c r="CD409" i="1"/>
  <c r="CD426" i="1"/>
  <c r="CD410" i="1"/>
  <c r="CD394" i="1"/>
  <c r="CD378" i="1"/>
  <c r="CD362" i="1"/>
  <c r="CD344" i="1"/>
  <c r="CD318" i="1"/>
  <c r="CD278" i="1"/>
  <c r="CD227" i="1"/>
  <c r="CD176" i="1"/>
  <c r="CD393" i="1"/>
  <c r="CD169" i="1"/>
  <c r="CD374" i="1"/>
  <c r="CD265" i="1"/>
  <c r="CD214" i="1"/>
  <c r="CD163" i="1"/>
  <c r="CD421" i="1"/>
  <c r="CD405" i="1"/>
  <c r="CD389" i="1"/>
  <c r="CD373" i="1"/>
  <c r="CD357" i="1"/>
  <c r="CD336" i="1"/>
  <c r="CD310" i="1"/>
  <c r="CD259" i="1"/>
  <c r="CD208" i="1"/>
  <c r="CD377" i="1"/>
  <c r="CD422" i="1"/>
  <c r="CD358" i="1"/>
  <c r="CD402" i="1"/>
  <c r="CD386" i="1"/>
  <c r="CD370" i="1"/>
  <c r="CD354" i="1"/>
  <c r="CD331" i="1"/>
  <c r="CD304" i="1"/>
  <c r="CD201" i="1"/>
  <c r="CD150" i="1"/>
  <c r="CD342" i="1"/>
  <c r="CD406" i="1"/>
  <c r="CD434" i="1"/>
  <c r="CD417" i="1"/>
  <c r="CD385" i="1"/>
  <c r="CD369" i="1"/>
  <c r="CD353" i="1"/>
  <c r="CD329" i="1"/>
  <c r="CD297" i="1"/>
  <c r="CD246" i="1"/>
  <c r="CD195" i="1"/>
  <c r="CD144" i="1"/>
  <c r="CD361" i="1"/>
  <c r="CD312" i="1"/>
  <c r="CD433" i="1"/>
  <c r="CD430" i="1"/>
  <c r="CD414" i="1"/>
  <c r="CD398" i="1"/>
  <c r="CD382" i="1"/>
  <c r="CD366" i="1"/>
  <c r="CD350" i="1"/>
  <c r="CD291" i="1"/>
  <c r="CD240" i="1"/>
  <c r="CD137" i="1"/>
  <c r="CD305" i="1"/>
  <c r="CD286" i="1"/>
  <c r="CD273" i="1"/>
  <c r="CD254" i="1"/>
  <c r="CD235" i="1"/>
  <c r="CD222" i="1"/>
  <c r="CD209" i="1"/>
  <c r="CD184" i="1"/>
  <c r="CD171" i="1"/>
  <c r="CD152" i="1"/>
  <c r="CD139" i="1"/>
  <c r="CD120" i="1"/>
  <c r="CD81" i="1"/>
  <c r="CD299" i="1"/>
  <c r="CD280" i="1"/>
  <c r="CD267" i="1"/>
  <c r="CD248" i="1"/>
  <c r="CD241" i="1"/>
  <c r="CD216" i="1"/>
  <c r="CD203" i="1"/>
  <c r="CD190" i="1"/>
  <c r="CD177" i="1"/>
  <c r="CD158" i="1"/>
  <c r="CD145" i="1"/>
  <c r="CD126" i="1"/>
  <c r="CD113" i="1"/>
  <c r="CD107" i="1"/>
  <c r="CD94" i="1"/>
  <c r="CD88" i="1"/>
  <c r="CD349" i="1"/>
  <c r="CD343" i="1"/>
  <c r="CD330" i="1"/>
  <c r="CD324" i="1"/>
  <c r="CD317" i="1"/>
  <c r="CD311" i="1"/>
  <c r="CD298" i="1"/>
  <c r="CD292" i="1"/>
  <c r="CD285" i="1"/>
  <c r="CD279" i="1"/>
  <c r="CD266" i="1"/>
  <c r="CD260" i="1"/>
  <c r="CD253" i="1"/>
  <c r="CD247" i="1"/>
  <c r="CD234" i="1"/>
  <c r="CD228" i="1"/>
  <c r="CD221" i="1"/>
  <c r="CD215" i="1"/>
  <c r="CD202" i="1"/>
  <c r="CD196" i="1"/>
  <c r="CD189" i="1"/>
  <c r="CD183" i="1"/>
  <c r="CD170" i="1"/>
  <c r="CD164" i="1"/>
  <c r="CD157" i="1"/>
  <c r="CD151" i="1"/>
  <c r="CD138" i="1"/>
  <c r="CD132" i="1"/>
  <c r="CD125" i="1"/>
  <c r="CD119" i="1"/>
  <c r="CD106" i="1"/>
  <c r="CD100" i="1"/>
  <c r="CD93" i="1"/>
  <c r="CD87" i="1"/>
  <c r="CD72" i="1"/>
  <c r="CD56" i="1"/>
  <c r="CD40" i="1"/>
  <c r="CD24" i="1"/>
  <c r="CD131" i="1"/>
  <c r="CD118" i="1"/>
  <c r="CD86" i="1"/>
  <c r="CD335" i="1"/>
  <c r="CD303" i="1"/>
  <c r="CD277" i="1"/>
  <c r="CD245" i="1"/>
  <c r="CD220" i="1"/>
  <c r="CD207" i="1"/>
  <c r="CD194" i="1"/>
  <c r="CD181" i="1"/>
  <c r="CD149" i="1"/>
  <c r="CD124" i="1"/>
  <c r="CD111" i="1"/>
  <c r="CD98" i="1"/>
  <c r="CD79" i="1"/>
  <c r="CD52" i="1"/>
  <c r="CD20" i="1"/>
  <c r="CD428" i="1"/>
  <c r="CD420" i="1"/>
  <c r="CD412" i="1"/>
  <c r="CD404" i="1"/>
  <c r="CD396" i="1"/>
  <c r="CD388" i="1"/>
  <c r="CD384" i="1"/>
  <c r="CD380" i="1"/>
  <c r="CD376" i="1"/>
  <c r="CD372" i="1"/>
  <c r="CD368" i="1"/>
  <c r="CD364" i="1"/>
  <c r="CD360" i="1"/>
  <c r="CD356" i="1"/>
  <c r="CD352" i="1"/>
  <c r="CD347" i="1"/>
  <c r="CD334" i="1"/>
  <c r="CD328" i="1"/>
  <c r="CD321" i="1"/>
  <c r="CD315" i="1"/>
  <c r="CD302" i="1"/>
  <c r="CD296" i="1"/>
  <c r="CD289" i="1"/>
  <c r="CD283" i="1"/>
  <c r="CD270" i="1"/>
  <c r="CD264" i="1"/>
  <c r="CD257" i="1"/>
  <c r="CD251" i="1"/>
  <c r="CD238" i="1"/>
  <c r="CD232" i="1"/>
  <c r="CD225" i="1"/>
  <c r="CD219" i="1"/>
  <c r="CD206" i="1"/>
  <c r="CD200" i="1"/>
  <c r="CD193" i="1"/>
  <c r="CD187" i="1"/>
  <c r="CD174" i="1"/>
  <c r="CD168" i="1"/>
  <c r="CD161" i="1"/>
  <c r="CD155" i="1"/>
  <c r="CD142" i="1"/>
  <c r="CD136" i="1"/>
  <c r="CD129" i="1"/>
  <c r="CD123" i="1"/>
  <c r="CD110" i="1"/>
  <c r="CD104" i="1"/>
  <c r="CD97" i="1"/>
  <c r="CD91" i="1"/>
  <c r="CD78" i="1"/>
  <c r="CD112" i="1"/>
  <c r="CD80" i="1"/>
  <c r="CD341" i="1"/>
  <c r="CD309" i="1"/>
  <c r="CD284" i="1"/>
  <c r="CD258" i="1"/>
  <c r="CD239" i="1"/>
  <c r="CD213" i="1"/>
  <c r="CD188" i="1"/>
  <c r="CD162" i="1"/>
  <c r="CD143" i="1"/>
  <c r="CD130" i="1"/>
  <c r="CD117" i="1"/>
  <c r="CD92" i="1"/>
  <c r="CD85" i="1"/>
  <c r="CD68" i="1"/>
  <c r="CD36" i="1"/>
  <c r="CD432" i="1"/>
  <c r="CD424" i="1"/>
  <c r="CD416" i="1"/>
  <c r="CD408" i="1"/>
  <c r="CD400" i="1"/>
  <c r="CD392" i="1"/>
  <c r="CD346" i="1"/>
  <c r="CD340" i="1"/>
  <c r="CD333" i="1"/>
  <c r="CD327" i="1"/>
  <c r="CD314" i="1"/>
  <c r="CD308" i="1"/>
  <c r="CD301" i="1"/>
  <c r="CD295" i="1"/>
  <c r="CD282" i="1"/>
  <c r="CD276" i="1"/>
  <c r="CD269" i="1"/>
  <c r="CD263" i="1"/>
  <c r="CD250" i="1"/>
  <c r="CD244" i="1"/>
  <c r="CD237" i="1"/>
  <c r="CD231" i="1"/>
  <c r="CD218" i="1"/>
  <c r="CD212" i="1"/>
  <c r="CD205" i="1"/>
  <c r="CD199" i="1"/>
  <c r="CD186" i="1"/>
  <c r="CD180" i="1"/>
  <c r="CD173" i="1"/>
  <c r="CD167" i="1"/>
  <c r="CD154" i="1"/>
  <c r="CD148" i="1"/>
  <c r="CD141" i="1"/>
  <c r="CD135" i="1"/>
  <c r="CD122" i="1"/>
  <c r="CD116" i="1"/>
  <c r="CD109" i="1"/>
  <c r="CD103" i="1"/>
  <c r="CD90" i="1"/>
  <c r="CD84" i="1"/>
  <c r="CD64" i="1"/>
  <c r="CD48" i="1"/>
  <c r="CD32" i="1"/>
  <c r="CD16" i="1"/>
  <c r="CD105" i="1"/>
  <c r="CD322" i="1"/>
  <c r="CD290" i="1"/>
  <c r="CD252" i="1"/>
  <c r="CD175" i="1"/>
  <c r="CD427" i="1"/>
  <c r="CD419" i="1"/>
  <c r="CD411" i="1"/>
  <c r="CD403" i="1"/>
  <c r="CD395" i="1"/>
  <c r="CD387" i="1"/>
  <c r="CD379" i="1"/>
  <c r="CD371" i="1"/>
  <c r="CD363" i="1"/>
  <c r="CD359" i="1"/>
  <c r="CD355" i="1"/>
  <c r="CD351" i="1"/>
  <c r="CD345" i="1"/>
  <c r="CD339" i="1"/>
  <c r="CD326" i="1"/>
  <c r="CD320" i="1"/>
  <c r="CD313" i="1"/>
  <c r="CD307" i="1"/>
  <c r="CD294" i="1"/>
  <c r="CD288" i="1"/>
  <c r="CD281" i="1"/>
  <c r="CD275" i="1"/>
  <c r="CD262" i="1"/>
  <c r="CD256" i="1"/>
  <c r="CD249" i="1"/>
  <c r="CD243" i="1"/>
  <c r="CD230" i="1"/>
  <c r="CD224" i="1"/>
  <c r="CD217" i="1"/>
  <c r="CD211" i="1"/>
  <c r="CD198" i="1"/>
  <c r="CD192" i="1"/>
  <c r="CD185" i="1"/>
  <c r="CD179" i="1"/>
  <c r="CD166" i="1"/>
  <c r="CD160" i="1"/>
  <c r="CD153" i="1"/>
  <c r="CD147" i="1"/>
  <c r="CD134" i="1"/>
  <c r="CD128" i="1"/>
  <c r="CD121" i="1"/>
  <c r="CD115" i="1"/>
  <c r="CD102" i="1"/>
  <c r="CD96" i="1"/>
  <c r="CD89" i="1"/>
  <c r="CD83" i="1"/>
  <c r="CD76" i="1"/>
  <c r="CD99" i="1"/>
  <c r="CD348" i="1"/>
  <c r="CD316" i="1"/>
  <c r="CD271" i="1"/>
  <c r="CD226" i="1"/>
  <c r="CD156" i="1"/>
  <c r="CD431" i="1"/>
  <c r="CD423" i="1"/>
  <c r="CD415" i="1"/>
  <c r="CD407" i="1"/>
  <c r="CD399" i="1"/>
  <c r="CD391" i="1"/>
  <c r="CD383" i="1"/>
  <c r="CD375" i="1"/>
  <c r="CD367" i="1"/>
  <c r="CD338" i="1"/>
  <c r="CD332" i="1"/>
  <c r="CD325" i="1"/>
  <c r="CD319" i="1"/>
  <c r="CD306" i="1"/>
  <c r="CD300" i="1"/>
  <c r="CD293" i="1"/>
  <c r="CD287" i="1"/>
  <c r="CD274" i="1"/>
  <c r="CD268" i="1"/>
  <c r="CD261" i="1"/>
  <c r="CD255" i="1"/>
  <c r="CD242" i="1"/>
  <c r="CD236" i="1"/>
  <c r="CD229" i="1"/>
  <c r="CD223" i="1"/>
  <c r="CD210" i="1"/>
  <c r="CD204" i="1"/>
  <c r="CD197" i="1"/>
  <c r="CD191" i="1"/>
  <c r="CD178" i="1"/>
  <c r="CD172" i="1"/>
  <c r="CD165" i="1"/>
  <c r="CD159" i="1"/>
  <c r="CD146" i="1"/>
  <c r="CD140" i="1"/>
  <c r="CD133" i="1"/>
  <c r="CD127" i="1"/>
  <c r="CD114" i="1"/>
  <c r="CD108" i="1"/>
  <c r="CD101" i="1"/>
  <c r="CD95" i="1"/>
  <c r="CD82" i="1"/>
  <c r="CD74" i="1"/>
  <c r="CD60" i="1"/>
  <c r="CD44" i="1"/>
  <c r="CD28" i="1"/>
  <c r="CD12" i="1"/>
  <c r="CD77" i="1"/>
  <c r="CD73" i="1"/>
  <c r="CD69" i="1"/>
  <c r="CD65" i="1"/>
  <c r="CD61" i="1"/>
  <c r="CD57" i="1"/>
  <c r="CD53" i="1"/>
  <c r="CD49" i="1"/>
  <c r="CD45" i="1"/>
  <c r="CD41" i="1"/>
  <c r="CD37" i="1"/>
  <c r="CD33" i="1"/>
  <c r="CD29" i="1"/>
  <c r="CD25" i="1"/>
  <c r="CD21" i="1"/>
  <c r="CD17" i="1"/>
  <c r="CD13" i="1"/>
  <c r="CD75" i="1"/>
  <c r="CD71" i="1"/>
  <c r="CD67" i="1"/>
  <c r="CD63" i="1"/>
  <c r="CD59" i="1"/>
  <c r="CD55" i="1"/>
  <c r="CD51" i="1"/>
  <c r="CD47" i="1"/>
  <c r="CD43" i="1"/>
  <c r="CD39" i="1"/>
  <c r="CD35" i="1"/>
  <c r="CD31" i="1"/>
  <c r="CD27" i="1"/>
  <c r="CD23" i="1"/>
  <c r="CD19" i="1"/>
  <c r="CD15" i="1"/>
  <c r="CD11" i="1"/>
  <c r="CD70" i="1"/>
  <c r="CD66" i="1"/>
  <c r="CD62" i="1"/>
  <c r="CD58" i="1"/>
  <c r="CD54" i="1"/>
  <c r="CD50" i="1"/>
  <c r="CD46" i="1"/>
  <c r="CD42" i="1"/>
  <c r="CD38" i="1"/>
  <c r="CD34" i="1"/>
  <c r="CD30" i="1"/>
  <c r="CD26" i="1"/>
  <c r="CD22" i="1"/>
  <c r="CD18" i="1"/>
  <c r="CD14" i="1"/>
  <c r="CD10" i="1"/>
  <c r="CD9" i="1"/>
  <c r="CD7" i="1"/>
  <c r="CD8" i="1"/>
  <c r="CD6" i="1"/>
  <c r="D2" i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AN5" i="1"/>
  <c r="AO5" i="1" s="1"/>
  <c r="AP5" i="1" s="1"/>
  <c r="AQ5" i="1" s="1"/>
  <c r="AR5" i="1" s="1"/>
  <c r="AS5" i="1" s="1"/>
  <c r="AT5" i="1" s="1"/>
  <c r="AU5" i="1" s="1"/>
  <c r="AV5" i="1" s="1"/>
  <c r="AW5" i="1" s="1"/>
  <c r="AX5" i="1" s="1"/>
  <c r="AY5" i="1" s="1"/>
  <c r="AZ5" i="1" s="1"/>
  <c r="BA5" i="1" s="1"/>
  <c r="BB5" i="1" s="1"/>
  <c r="BC5" i="1" s="1"/>
  <c r="BD5" i="1" s="1"/>
  <c r="BE5" i="1" s="1"/>
  <c r="BF5" i="1" s="1"/>
  <c r="BG5" i="1" s="1"/>
  <c r="BH5" i="1" s="1"/>
  <c r="BI5" i="1" s="1"/>
  <c r="BJ5" i="1" s="1"/>
  <c r="BK5" i="1" s="1"/>
  <c r="BL5" i="1" s="1"/>
  <c r="BM5" i="1" s="1"/>
  <c r="BN5" i="1" s="1"/>
  <c r="BO5" i="1" s="1"/>
  <c r="BP5" i="1" s="1"/>
  <c r="BQ5" i="1" s="1"/>
  <c r="BR5" i="1" s="1"/>
  <c r="BS5" i="1" s="1"/>
  <c r="BT5" i="1" s="1"/>
  <c r="BU5" i="1" s="1"/>
  <c r="BV5" i="1" s="1"/>
  <c r="BW5" i="1" s="1"/>
  <c r="BX5" i="1" s="1"/>
  <c r="BY5" i="1" s="1"/>
  <c r="BZ5" i="1" s="1"/>
  <c r="CA5" i="1" s="1"/>
  <c r="CD1" i="1" a="1"/>
  <c r="CD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<sst xmlns="http://schemas.openxmlformats.org/spreadsheetml/2006/main" count="22199" uniqueCount="3151">
  <si>
    <t>CARDENAS</t>
  </si>
  <si>
    <t>X</t>
  </si>
  <si>
    <t>LUNES</t>
  </si>
  <si>
    <t>x</t>
  </si>
  <si>
    <t>SOLTERO</t>
  </si>
  <si>
    <t>CENTRO</t>
  </si>
  <si>
    <t>CASADO</t>
  </si>
  <si>
    <t>LOPEZ</t>
  </si>
  <si>
    <t>GOMEZ</t>
  </si>
  <si>
    <t>ROBERTO</t>
  </si>
  <si>
    <t xml:space="preserve">CARDENAS </t>
  </si>
  <si>
    <t xml:space="preserve">DOMICILIO </t>
  </si>
  <si>
    <t xml:space="preserve">TABASCO </t>
  </si>
  <si>
    <t>GUTIERREZ</t>
  </si>
  <si>
    <t xml:space="preserve">ECONOLINE </t>
  </si>
  <si>
    <t xml:space="preserve">PEREZ </t>
  </si>
  <si>
    <t>cadenaEs[ecial</t>
  </si>
  <si>
    <t>Folio del contrato</t>
  </si>
  <si>
    <t>Estatus</t>
  </si>
  <si>
    <t>Paquete</t>
  </si>
  <si>
    <t>Estado</t>
  </si>
  <si>
    <t>Municipio</t>
  </si>
  <si>
    <t>Localidad</t>
  </si>
  <si>
    <t>Fecha de inscripcion</t>
  </si>
  <si>
    <t>precio del paquete</t>
  </si>
  <si>
    <t>promocion</t>
  </si>
  <si>
    <t>pago_inicial</t>
  </si>
  <si>
    <t>Abonos_de</t>
  </si>
  <si>
    <t>Plan_de_Pago</t>
  </si>
  <si>
    <t>limite_asignado</t>
  </si>
  <si>
    <t>Funeraria_Procedencia</t>
  </si>
  <si>
    <t>archivo_adjunto</t>
  </si>
  <si>
    <t>Nombre del Vendedor</t>
  </si>
  <si>
    <t>Comision_Vendedor</t>
  </si>
  <si>
    <t>comision de vendedor pagada</t>
  </si>
  <si>
    <t>Comision_Lider</t>
  </si>
  <si>
    <t>comision de lider  pagada</t>
  </si>
  <si>
    <t>Comision_Gerente</t>
  </si>
  <si>
    <t>comision de gerente pagada</t>
  </si>
  <si>
    <t>Bono</t>
  </si>
  <si>
    <t>Bono_Asignado</t>
  </si>
  <si>
    <t>Inscripcion</t>
  </si>
  <si>
    <t>Inscripcion_Asignado</t>
  </si>
  <si>
    <t>Apellido_Paterno</t>
  </si>
  <si>
    <t>Apellido_Materno</t>
  </si>
  <si>
    <t>Nombre</t>
  </si>
  <si>
    <t>Estado_Civil</t>
  </si>
  <si>
    <t>Nacimiento del cliente</t>
  </si>
  <si>
    <t>IFE</t>
  </si>
  <si>
    <t>Domicilio</t>
  </si>
  <si>
    <t>Colonia</t>
  </si>
  <si>
    <t>Entre_Calles</t>
  </si>
  <si>
    <t>Telefono</t>
  </si>
  <si>
    <t>Beneficiario</t>
  </si>
  <si>
    <t>Observaciones</t>
  </si>
  <si>
    <t>archivo_contrato</t>
  </si>
  <si>
    <t>Domicilio2</t>
  </si>
  <si>
    <t>Correo</t>
  </si>
  <si>
    <t>dia_cobro</t>
  </si>
  <si>
    <t>firma1</t>
  </si>
  <si>
    <t>firma2</t>
  </si>
  <si>
    <t>plazo_entrega</t>
  </si>
  <si>
    <t>latitud</t>
  </si>
  <si>
    <t>longitud</t>
  </si>
  <si>
    <t>Tipo_Cobranza</t>
  </si>
  <si>
    <t>Monto_Liquidado a la fecha</t>
  </si>
  <si>
    <t>Saldo_Deudor</t>
  </si>
  <si>
    <t>horario_cobro</t>
  </si>
  <si>
    <t>Estado_Cobro</t>
  </si>
  <si>
    <t>Retrasos dias retrasados</t>
  </si>
  <si>
    <t>ultimo_pago</t>
  </si>
  <si>
    <t>pago_programado</t>
  </si>
  <si>
    <t>fecha_entrega</t>
  </si>
  <si>
    <t>idgrupo</t>
  </si>
  <si>
    <t>idvendedor</t>
  </si>
  <si>
    <t>idlider</t>
  </si>
  <si>
    <t>idgerente</t>
  </si>
  <si>
    <t>Colonia de cobranza</t>
  </si>
  <si>
    <t>edad</t>
  </si>
  <si>
    <t>genero</t>
  </si>
  <si>
    <t>hora_calle</t>
  </si>
  <si>
    <t>precio_paquete</t>
  </si>
  <si>
    <t>NumeroServicio</t>
  </si>
  <si>
    <t>NumeroFactura</t>
  </si>
  <si>
    <t>NumeroTitulo</t>
  </si>
  <si>
    <t>Fecha_Cancelacion</t>
  </si>
  <si>
    <t>Fecha_Pagado</t>
  </si>
  <si>
    <t>Fecha_Utilizado</t>
  </si>
  <si>
    <t>idpaquete_kit</t>
  </si>
  <si>
    <t>deleted</t>
  </si>
  <si>
    <t>idsucursal</t>
  </si>
  <si>
    <t>pagos</t>
  </si>
  <si>
    <t>tipo_comision_vendedor</t>
  </si>
  <si>
    <t>tipo_comision_lider</t>
  </si>
  <si>
    <t>tipo_comision_gerente</t>
  </si>
  <si>
    <t>final</t>
  </si>
  <si>
    <t>idcontrato_individual</t>
  </si>
  <si>
    <t>Folio</t>
  </si>
  <si>
    <t>Fecha</t>
  </si>
  <si>
    <t>precio</t>
  </si>
  <si>
    <t>idusuario</t>
  </si>
  <si>
    <t>Nacimiento</t>
  </si>
  <si>
    <t>Monto_Liquidado</t>
  </si>
  <si>
    <t>Retrasos</t>
  </si>
  <si>
    <t>idcolonia</t>
  </si>
  <si>
    <t>A2002</t>
  </si>
  <si>
    <t>BELGICA</t>
  </si>
  <si>
    <t>JALISCO</t>
  </si>
  <si>
    <t>AMATITAN</t>
  </si>
  <si>
    <t>MARIA ELISA</t>
  </si>
  <si>
    <t>0000-00-00</t>
  </si>
  <si>
    <t>XX</t>
  </si>
  <si>
    <t>HIDALGO # 189</t>
  </si>
  <si>
    <t>LOPEZ MATEOS Y JUAN JOSE FLORES</t>
  </si>
  <si>
    <t xml:space="preserve">MARIA ELISA GOMEZ GUTIERREZ
</t>
  </si>
  <si>
    <t>contratos_registrados/Individual_A2002.docx</t>
  </si>
  <si>
    <t>sin archivo</t>
  </si>
  <si>
    <t>2021-9-7</t>
  </si>
  <si>
    <t>2021-9-27</t>
  </si>
  <si>
    <t xml:space="preserve">ORIENTE PRIMERA SECCION </t>
  </si>
  <si>
    <t xml:space="preserve">COMALCALCO </t>
  </si>
  <si>
    <t xml:space="preserve">IMPERIAL DE LUJO </t>
  </si>
  <si>
    <t xml:space="preserve">LUNES </t>
  </si>
  <si>
    <t xml:space="preserve">LUIS ROBERTO </t>
  </si>
  <si>
    <t xml:space="preserve">CUNDUACAN </t>
  </si>
  <si>
    <t xml:space="preserve">ROMERO </t>
  </si>
  <si>
    <t>sXd3zoQceyNtFnn2</t>
  </si>
  <si>
    <t>COM2019-2501</t>
  </si>
  <si>
    <t>2019-9-3</t>
  </si>
  <si>
    <t xml:space="preserve">CALLEJON DOÑA BENITA SIN NUMERO </t>
  </si>
  <si>
    <t xml:space="preserve">RUTA 4 L </t>
  </si>
  <si>
    <t xml:space="preserve">HOMBRE </t>
  </si>
  <si>
    <t>HOMBRE</t>
  </si>
  <si>
    <t>2021-10-4</t>
  </si>
  <si>
    <t>2020-12-5</t>
  </si>
  <si>
    <t xml:space="preserve">HUIMANGO SEGUNDA SECCION LA MONA </t>
  </si>
  <si>
    <t>094HQJPFKmzvG5Yx</t>
  </si>
  <si>
    <t>CAR 2020-5204</t>
  </si>
  <si>
    <t xml:space="preserve">CUANDUACAN </t>
  </si>
  <si>
    <t>CORTOZA</t>
  </si>
  <si>
    <t>CARRETERA A BENITO JUAREZ</t>
  </si>
  <si>
    <t xml:space="preserve">MARIA DEL ROSARIO CORTAZA GARCIA </t>
  </si>
  <si>
    <t xml:space="preserve">BENEFICIARIO 2: MARISOL CORTAZA GARCIA </t>
  </si>
  <si>
    <t>NL2E7OEHPWYUH7Y</t>
  </si>
  <si>
    <t>o2GPnJEYgErjJtwQ</t>
  </si>
  <si>
    <t>CAR2021-7712</t>
  </si>
  <si>
    <t xml:space="preserve">MEMORIAL </t>
  </si>
  <si>
    <t>2021-12-31</t>
  </si>
  <si>
    <t xml:space="preserve">CORDOVA </t>
  </si>
  <si>
    <t>LEYVA</t>
  </si>
  <si>
    <t>MARIO</t>
  </si>
  <si>
    <t>CALLE NUMERO 10 CASA NUMERO 245</t>
  </si>
  <si>
    <t>C-9 FRANCISCO I MADERO</t>
  </si>
  <si>
    <t>LUCIA CORDOVA HERNANDEZ</t>
  </si>
  <si>
    <t>BENEFICIARIO 2: LUCIO CORDOVA HERNANDEZ</t>
  </si>
  <si>
    <t>2022-02-01</t>
  </si>
  <si>
    <t>D7MKLZTCDQVFP55</t>
  </si>
  <si>
    <t>NJbPqayyH1JeBPcw</t>
  </si>
  <si>
    <t>CAR2021-7710</t>
  </si>
  <si>
    <t>GARCIA</t>
  </si>
  <si>
    <t>ORTIZ</t>
  </si>
  <si>
    <t>MARIA GUADALUPE</t>
  </si>
  <si>
    <t>CALLE NUMERO 10 CASA NUMERO 248</t>
  </si>
  <si>
    <t xml:space="preserve">LUCIA GARCIA ORTIZ </t>
  </si>
  <si>
    <t>BENEFICIARIO 2: DANIELA GARCIA ORTIZ</t>
  </si>
  <si>
    <t>Lkk3IEhj79JP7N2X</t>
  </si>
  <si>
    <t>CAR2021-7715</t>
  </si>
  <si>
    <t>UBULIADO</t>
  </si>
  <si>
    <t xml:space="preserve">CALLE ALFREDO V BONFIL KILOMETRO 19 </t>
  </si>
  <si>
    <t>JUANA CORDOVA GOMEZ</t>
  </si>
  <si>
    <t>BENEFICIARIO 2: VIANEY CORDOVA GOMEZ</t>
  </si>
  <si>
    <t>TGYGIVCAZFPUVXE</t>
  </si>
  <si>
    <t>kgj8JWvv0DLgYTqR</t>
  </si>
  <si>
    <t>CAR2021-7713</t>
  </si>
  <si>
    <t xml:space="preserve">ORTIZ </t>
  </si>
  <si>
    <t>BERASALUCE</t>
  </si>
  <si>
    <t>ANAHAN</t>
  </si>
  <si>
    <t>CALLE NUMERO 10 MIGUEL HIDALGO CASA NUMERO 264</t>
  </si>
  <si>
    <t>SONIA ORTIZ VENTURA</t>
  </si>
  <si>
    <t>BENEFICIARIO 2: GENOVEVA VENTURA LEYVA</t>
  </si>
  <si>
    <t>GKsgSesUgoEmaydq</t>
  </si>
  <si>
    <t>CAR2021-7705</t>
  </si>
  <si>
    <t>MAGAÃ‘A</t>
  </si>
  <si>
    <t xml:space="preserve">MENDEZ </t>
  </si>
  <si>
    <t>ADRIANA CRYSTEL</t>
  </si>
  <si>
    <t>CARRETERA PRINCIPAL SIN NUMERO</t>
  </si>
  <si>
    <t>SANTUARIO TERCERA SECCION PIEDRAS NEGRAS</t>
  </si>
  <si>
    <t>FATIMA KARINA MAGAÃ‘A MENDEZ</t>
  </si>
  <si>
    <t>BENEFICIARIO 2: ABIMAEL RODRIGUEZ MENDEZ</t>
  </si>
  <si>
    <t>0BCrsyxLPuXKgWop</t>
  </si>
  <si>
    <t>CAR2021-7704</t>
  </si>
  <si>
    <t xml:space="preserve">MARTINEZ </t>
  </si>
  <si>
    <t>MANOLO</t>
  </si>
  <si>
    <t>SANTUARIO SEGUNDA SECCION</t>
  </si>
  <si>
    <t>BERTA MIRANDA XICOTENCATL</t>
  </si>
  <si>
    <t>BENEFICIARIO 2: JENRI MARTINEZ MIRANDA</t>
  </si>
  <si>
    <t>7GWtez4RWU1w3nxe</t>
  </si>
  <si>
    <t>CAR2021-7693</t>
  </si>
  <si>
    <t>2021-12-30</t>
  </si>
  <si>
    <t>RAMOS</t>
  </si>
  <si>
    <t xml:space="preserve">GONZALEZ </t>
  </si>
  <si>
    <t>KARINA</t>
  </si>
  <si>
    <t>CALLE MANUEL LEYVA SIN NUMERO</t>
  </si>
  <si>
    <t>PUEBLO NUEVO</t>
  </si>
  <si>
    <t>JOSE GUTIERREZ JIMENEZ</t>
  </si>
  <si>
    <t>BENEFICIARIO 2: KATIA HAICHEL RAMOS GONZALEZ</t>
  </si>
  <si>
    <t>RJC990KJLQSW15E</t>
  </si>
  <si>
    <t>g48ZiXVzylrOVHhm</t>
  </si>
  <si>
    <t>CAR2021-7692</t>
  </si>
  <si>
    <t>SANCHEZ</t>
  </si>
  <si>
    <t>ETELBINA</t>
  </si>
  <si>
    <t>CALLE JESUS GARCIA NUMERO 205</t>
  </si>
  <si>
    <t>CALZADA PRIMERA SECCION</t>
  </si>
  <si>
    <t>NACY RIVON SANCHEZ</t>
  </si>
  <si>
    <t>BENEFICIARIO 2: NELLY RIVON SANCHEZ</t>
  </si>
  <si>
    <t>ImfC5ndGRncFj4Fm</t>
  </si>
  <si>
    <t>CAR2021-7695</t>
  </si>
  <si>
    <t>HERNANDEZ</t>
  </si>
  <si>
    <t>VILLEGAS</t>
  </si>
  <si>
    <t>MARIA DEL CARMEN</t>
  </si>
  <si>
    <t>CERRADA MARIO GARCIA BRITO</t>
  </si>
  <si>
    <t>LIDIA JACIBE ABAD HERNANDEZ</t>
  </si>
  <si>
    <t>BENEFICIARIO 2: ANTONIO ABAD HERNANDEZ</t>
  </si>
  <si>
    <t>QXTXF5PY9KVTQO</t>
  </si>
  <si>
    <t>DcK5aSlRe9Dy3Ufp</t>
  </si>
  <si>
    <t>CAR2021-7701</t>
  </si>
  <si>
    <t>PALMA</t>
  </si>
  <si>
    <t>CORDOVA</t>
  </si>
  <si>
    <t>CELIA</t>
  </si>
  <si>
    <t>CERRADA FRANCISCO VILLA NUMERO 2</t>
  </si>
  <si>
    <t>SANTA MARIA DE GUADALUPE</t>
  </si>
  <si>
    <t>CONCEPCION VIDAL PALMA</t>
  </si>
  <si>
    <t>BENEFICIARIO 2:ADRIAN VIDAL PALMA</t>
  </si>
  <si>
    <t>QWZBUBTG9KVTQO</t>
  </si>
  <si>
    <t>fom8sUfClTMrcniA</t>
  </si>
  <si>
    <t>CAR2021-7696</t>
  </si>
  <si>
    <t>JIMENEZ</t>
  </si>
  <si>
    <t xml:space="preserve">FUENTES </t>
  </si>
  <si>
    <t>RAFAEL</t>
  </si>
  <si>
    <t>CARRETERA AL POBLADO C-17 SIN NOMBRE</t>
  </si>
  <si>
    <t>SANTANA QUINTA SECCION</t>
  </si>
  <si>
    <t xml:space="preserve">DIANA LAURA MAGAÃ‘A JIMENEZ </t>
  </si>
  <si>
    <t>BENEFICIARIO 2: JOSE MARIA TAPIA RAMOS</t>
  </si>
  <si>
    <t>INFHQSH0B2NMACS</t>
  </si>
  <si>
    <t>xtG1E42Ipz9ePmF2</t>
  </si>
  <si>
    <t>CAR2021-7697</t>
  </si>
  <si>
    <t>DIGNITY</t>
  </si>
  <si>
    <t>TRUJILLO</t>
  </si>
  <si>
    <t>MORALES</t>
  </si>
  <si>
    <t>ISAEL</t>
  </si>
  <si>
    <t>CALLE NUMERO 2 ZONA VERDE</t>
  </si>
  <si>
    <t>C-14 PLUTARCO ELIAS CALLES</t>
  </si>
  <si>
    <t>REBECA LOPEZ CORDOVA</t>
  </si>
  <si>
    <t>BENEFICIARIO 2: ANER TRUJILLO LOPEZ</t>
  </si>
  <si>
    <t>XUMGJ9LE8RXKR9U</t>
  </si>
  <si>
    <t>DpBEKsKehAhMYO4G</t>
  </si>
  <si>
    <t>CAR2021-7694</t>
  </si>
  <si>
    <t>DE LA CRUZ</t>
  </si>
  <si>
    <t xml:space="preserve"> CORDOVA</t>
  </si>
  <si>
    <t>JULIA</t>
  </si>
  <si>
    <t>CALLE ENTRE LA 1 Y LA 2 ZONA VERDE</t>
  </si>
  <si>
    <t>JUAN LOPEZ CORTAZAR</t>
  </si>
  <si>
    <t>BENEFICIARIO 2: ELIZABETH LOPEZ DE LA CRUZ</t>
  </si>
  <si>
    <t>iWi6BxGnXdh0LnXS</t>
  </si>
  <si>
    <t>CAR2021-7700</t>
  </si>
  <si>
    <t xml:space="preserve">AVALOS </t>
  </si>
  <si>
    <t>MARIANA</t>
  </si>
  <si>
    <t>CALLE NUMERO 2 CASA NUMERO 20</t>
  </si>
  <si>
    <t>DEYSI AVALOS LOPEZ</t>
  </si>
  <si>
    <t>BENEFICIARIO 2: GUADALUPE AVALOS LOPEZ</t>
  </si>
  <si>
    <t>VAgoUxJoqVBJD2Qk</t>
  </si>
  <si>
    <t>CAR2021-7698</t>
  </si>
  <si>
    <t>BALCAZAR</t>
  </si>
  <si>
    <t>TORRES</t>
  </si>
  <si>
    <t>ABEL</t>
  </si>
  <si>
    <t xml:space="preserve">CALLE ENTRE LA 1 Y KILOMETRO 13 </t>
  </si>
  <si>
    <t>MARIA ELENA DE LA CRUZ MALDONADO</t>
  </si>
  <si>
    <t>BENEFICIARIO 2: ANABEL BALCAZAR DE LA CRUZ</t>
  </si>
  <si>
    <t>4cYeyImpyKOS4UWC</t>
  </si>
  <si>
    <t>CAR2021-7590</t>
  </si>
  <si>
    <t>2021-12-29</t>
  </si>
  <si>
    <t>DOMINGUEZ</t>
  </si>
  <si>
    <t>MIGUELINA</t>
  </si>
  <si>
    <t>CALLE SANTA TERESA</t>
  </si>
  <si>
    <t>ARROYO HONDO PRIMERA SECCION</t>
  </si>
  <si>
    <t>INOCENTE DE DIOS JIMENEZ</t>
  </si>
  <si>
    <t>BENEFICIARIO 2: LUIS MIGUEL DE DIOS DOMINGUEZ</t>
  </si>
  <si>
    <t>2PxjiiebUgPoI2cG</t>
  </si>
  <si>
    <t>CAR2021-7688</t>
  </si>
  <si>
    <t>ESCOBAR</t>
  </si>
  <si>
    <t>JORGE</t>
  </si>
  <si>
    <t>CALLE NARCISO MENDOZA NUMERO 182</t>
  </si>
  <si>
    <t>PORFIRIA RAMOS RAMOS</t>
  </si>
  <si>
    <t>BENEFICIARIO 2: ARELI YAZMIN JIMENEZ RAMOS</t>
  </si>
  <si>
    <t>jZ1pCsHMITWf8i79</t>
  </si>
  <si>
    <t>CAR2021-7699</t>
  </si>
  <si>
    <t>JOSE MANUEL</t>
  </si>
  <si>
    <t>CERRADA 10 COLECTIVO 8-2</t>
  </si>
  <si>
    <t>CAMPAMENTO SARH</t>
  </si>
  <si>
    <t>ROSARIO HERNANDEZ CAMBRALES</t>
  </si>
  <si>
    <t>BENEFICIARIO 2: PAOLA DE LA CRUZ HERNANDEZ</t>
  </si>
  <si>
    <t>OQGRX80BMUHQJ2X</t>
  </si>
  <si>
    <t>etm4uhQ9cIqrwI7u</t>
  </si>
  <si>
    <t>CAR2021-7687</t>
  </si>
  <si>
    <t xml:space="preserve">LUNA </t>
  </si>
  <si>
    <t>SURI SADAY</t>
  </si>
  <si>
    <t>CALLE NARCISO MENDOZA NUMERO 10</t>
  </si>
  <si>
    <t>VALENTIN ARIAS MONDRAGON</t>
  </si>
  <si>
    <t>BENEFICIARIO 2: ALEJANDRO LUNA RAMOS</t>
  </si>
  <si>
    <t>QX002LYO9KVTQO</t>
  </si>
  <si>
    <t>Tb9iCC8UyFAG0Y5o</t>
  </si>
  <si>
    <t>CAR2021-7664</t>
  </si>
  <si>
    <t>2021-12-24</t>
  </si>
  <si>
    <t>VELAZQUE</t>
  </si>
  <si>
    <t>RUBEN</t>
  </si>
  <si>
    <t>CALLE NUMERO 8 ZONA VERDE SIN NOMBRE</t>
  </si>
  <si>
    <t>JOSE GOMEZ VELAZQUEZ</t>
  </si>
  <si>
    <t>BENEFICIARIO 2: ROSA JIMENEZ HERNANDEZ</t>
  </si>
  <si>
    <t>86tWNeDSJ0EKFA27</t>
  </si>
  <si>
    <t>CAR2021-7689</t>
  </si>
  <si>
    <t>ROMERO</t>
  </si>
  <si>
    <t>LANDERO</t>
  </si>
  <si>
    <t>LUIS DONALDO</t>
  </si>
  <si>
    <t>CERRADA MIGUEL HIDALGO NUMERO 12</t>
  </si>
  <si>
    <t>ALIDA JULIETA CORDOVA MARTINEZ</t>
  </si>
  <si>
    <t>BENEFICIARIO 2: CLAUDIA RAMOS ANGLES</t>
  </si>
  <si>
    <t>14A5sNTSM7Y6vwfe</t>
  </si>
  <si>
    <t>CAR2021-7669</t>
  </si>
  <si>
    <t>RAMIREZ</t>
  </si>
  <si>
    <t xml:space="preserve">BARAHONA </t>
  </si>
  <si>
    <t>HERCILIA</t>
  </si>
  <si>
    <t>PROLONGACION DE SANTOS DEGOLLADO</t>
  </si>
  <si>
    <t>ROBERTO CORDOVA RAMIREZ</t>
  </si>
  <si>
    <t>BENEFICIARIO 2: MARIA DEL CARMEN COROVA RAMIREZ</t>
  </si>
  <si>
    <t>eyUvoHJNZRoOlCmI</t>
  </si>
  <si>
    <t>CAR2021-7672</t>
  </si>
  <si>
    <t>2021-12-28</t>
  </si>
  <si>
    <t>MORENO</t>
  </si>
  <si>
    <t>MIGUEL</t>
  </si>
  <si>
    <t>CALLE BUGAMBILIA</t>
  </si>
  <si>
    <t>MIGUEL ARTURO GONZALEZ MORENO</t>
  </si>
  <si>
    <t>BENEFICIARIO 2: FERNANDO GONZALEZ MORENO</t>
  </si>
  <si>
    <t>f5goxIYLIwX9eSoI</t>
  </si>
  <si>
    <t>CAR2021-7674</t>
  </si>
  <si>
    <t>RUIZ</t>
  </si>
  <si>
    <t>JUAN JOSE</t>
  </si>
  <si>
    <t>CALLE EDUVIJES HERNANDEZ NUMERO 9</t>
  </si>
  <si>
    <t>ROGER FALCONI</t>
  </si>
  <si>
    <t>ROSARIO CORTAZAR GONZALEZ</t>
  </si>
  <si>
    <t>BENEFICIARIO 2: CARLOS EDUARDO GARCIA CORTAZA</t>
  </si>
  <si>
    <t>v7xnFhBSb3LIr4Vh</t>
  </si>
  <si>
    <t>CAR2021-7679</t>
  </si>
  <si>
    <t>ROMANA</t>
  </si>
  <si>
    <t>CALLE ADOLFO RUIZ CORTINEZ NUMERO 270 A</t>
  </si>
  <si>
    <t>EL TOLOQUE</t>
  </si>
  <si>
    <t>CRISTOBAL RIOS HERNANDEZ</t>
  </si>
  <si>
    <t>BENEFICIARIO 2: MARIA LUISA RIOS HERNANDEZ</t>
  </si>
  <si>
    <t>rrB7tM2jWHMmPEEb</t>
  </si>
  <si>
    <t>VSA2020-T-0034</t>
  </si>
  <si>
    <t>TABASCO</t>
  </si>
  <si>
    <t xml:space="preserve">VILLAHERMOSA </t>
  </si>
  <si>
    <t>2020-08-21</t>
  </si>
  <si>
    <t xml:space="preserve">ACOSTA </t>
  </si>
  <si>
    <t xml:space="preserve">FELIX </t>
  </si>
  <si>
    <t xml:space="preserve">ROMMEL </t>
  </si>
  <si>
    <t xml:space="preserve">CALLE LAZARO CARDENAS </t>
  </si>
  <si>
    <t xml:space="preserve">COLONIA CENTRO </t>
  </si>
  <si>
    <t>2021-11-15</t>
  </si>
  <si>
    <t>2021-06-12</t>
  </si>
  <si>
    <t>QYD9TF2W9KVTQO</t>
  </si>
  <si>
    <t>vmRmcZ2zbqdcLzWR</t>
  </si>
  <si>
    <t>VSA2020-T-0035</t>
  </si>
  <si>
    <t xml:space="preserve">JUAREZ </t>
  </si>
  <si>
    <t xml:space="preserve">GUADALUPE </t>
  </si>
  <si>
    <t xml:space="preserve">CALLE RORENZO SANTAMARIA SIN NUMERO </t>
  </si>
  <si>
    <t xml:space="preserve">COLONIA PUEBLO NUEVO </t>
  </si>
  <si>
    <t>2021-02-11</t>
  </si>
  <si>
    <t>2021-07-12</t>
  </si>
  <si>
    <t>EuGds4vB8c5cGfjb</t>
  </si>
  <si>
    <t>VSA2020-T-0068</t>
  </si>
  <si>
    <t>2020-04-02</t>
  </si>
  <si>
    <t xml:space="preserve">CARRILLO </t>
  </si>
  <si>
    <t xml:space="preserve">ARMANDO </t>
  </si>
  <si>
    <t>2021-11-16</t>
  </si>
  <si>
    <t>w7KXn0rFroccqC72</t>
  </si>
  <si>
    <t>VSA2020-T-0125</t>
  </si>
  <si>
    <t>2020-09-30</t>
  </si>
  <si>
    <t xml:space="preserve">JULIAN </t>
  </si>
  <si>
    <t xml:space="preserve">DANIEL </t>
  </si>
  <si>
    <t xml:space="preserve">CALLE MANUEL PEREZ MERINO </t>
  </si>
  <si>
    <t xml:space="preserve">COLONIA GRACIELA PINTADO DE MADRAZO </t>
  </si>
  <si>
    <t>nRvjANrast4UZpkk</t>
  </si>
  <si>
    <t>VSA2020-T-0078</t>
  </si>
  <si>
    <t>2020-08-09</t>
  </si>
  <si>
    <t xml:space="preserve">VAZQUEZ </t>
  </si>
  <si>
    <t xml:space="preserve">GARCIA </t>
  </si>
  <si>
    <t xml:space="preserve">MARCIAL </t>
  </si>
  <si>
    <t xml:space="preserve">CALLE SIN NOMBRE </t>
  </si>
  <si>
    <t xml:space="preserve">COLONIA EJIDO REFORMA </t>
  </si>
  <si>
    <t>2021-11-20</t>
  </si>
  <si>
    <t>Z8PQhcG8gWaPPL1J</t>
  </si>
  <si>
    <t>VSA2020-T-0077</t>
  </si>
  <si>
    <t xml:space="preserve">JUAN CARLOS </t>
  </si>
  <si>
    <t xml:space="preserve">CARRETERA A SANTA ROSA </t>
  </si>
  <si>
    <t xml:space="preserve">COLONIA SAN RAMON </t>
  </si>
  <si>
    <t>mkRfPqeHO1i4ptN0</t>
  </si>
  <si>
    <t>VSA2020-T-0075</t>
  </si>
  <si>
    <t xml:space="preserve">LOPEZ </t>
  </si>
  <si>
    <t xml:space="preserve">MARIA </t>
  </si>
  <si>
    <t xml:space="preserve">CALLE DIECISEIS DE SEPTIEMBRE </t>
  </si>
  <si>
    <t xml:space="preserve">EJIDO REFORMA </t>
  </si>
  <si>
    <t>sDRMaqnlmfS1Qsnd</t>
  </si>
  <si>
    <t>VSA2020-T-0067</t>
  </si>
  <si>
    <t>2020-08-29</t>
  </si>
  <si>
    <t xml:space="preserve">FRANK </t>
  </si>
  <si>
    <t>ROYDER</t>
  </si>
  <si>
    <t xml:space="preserve">CALLE LINDA VISTA SIN NUMERO </t>
  </si>
  <si>
    <t xml:space="preserve">COLONIA BARRIO SABANILLA </t>
  </si>
  <si>
    <t>hLmaHaobCHnk14sB</t>
  </si>
  <si>
    <t>VSA2020-T-0064</t>
  </si>
  <si>
    <t xml:space="preserve">VELAZQUEZ </t>
  </si>
  <si>
    <t xml:space="preserve">YOVANI DEL CARMEN </t>
  </si>
  <si>
    <t xml:space="preserve">COLONIA ISABEL </t>
  </si>
  <si>
    <t>2021-11-29</t>
  </si>
  <si>
    <t>m5KSXTfAWxBY32KC</t>
  </si>
  <si>
    <t>VSA2020-T-0063</t>
  </si>
  <si>
    <t>2020-12-10</t>
  </si>
  <si>
    <t xml:space="preserve">VILLAREAL </t>
  </si>
  <si>
    <t xml:space="preserve">GOMEZ </t>
  </si>
  <si>
    <t xml:space="preserve">MARIA ESTHER </t>
  </si>
  <si>
    <t xml:space="preserve">CALLE BIENESTAR PARA LA FAMILIA </t>
  </si>
  <si>
    <t>BhM7iBap4J72taBc</t>
  </si>
  <si>
    <t>VSA2020-T-0062</t>
  </si>
  <si>
    <t xml:space="preserve">ZAFIRO </t>
  </si>
  <si>
    <t xml:space="preserve">MIRALDA </t>
  </si>
  <si>
    <t>COLONIA BARRIO SABANILLA VILLA TAPIJULAPA</t>
  </si>
  <si>
    <t>2021-08-11</t>
  </si>
  <si>
    <t>mugQOh4AF1odopXS</t>
  </si>
  <si>
    <t>VSA2020-T-0061</t>
  </si>
  <si>
    <t xml:space="preserve">REYES </t>
  </si>
  <si>
    <t xml:space="preserve">LOZANO </t>
  </si>
  <si>
    <t xml:space="preserve">ORLANDO </t>
  </si>
  <si>
    <t>2021-11-30</t>
  </si>
  <si>
    <t>oGqj9YGLgboqBGUQ</t>
  </si>
  <si>
    <t>VSA2020-T-0060</t>
  </si>
  <si>
    <t xml:space="preserve">PRESIDENCIAL </t>
  </si>
  <si>
    <t xml:space="preserve">OCAÃ‘A </t>
  </si>
  <si>
    <t xml:space="preserve">ALEYDA VAZQUEZ </t>
  </si>
  <si>
    <t xml:space="preserve">CALLE ADOLFO LOPEZ MATEO </t>
  </si>
  <si>
    <t>zRxYJE2ty83wh1Qn</t>
  </si>
  <si>
    <t>VSA2020-T-0055</t>
  </si>
  <si>
    <t xml:space="preserve">RUFINA </t>
  </si>
  <si>
    <t>2021-11-11</t>
  </si>
  <si>
    <t>cZul1hoG6q2mvUTQ</t>
  </si>
  <si>
    <t>VSA2020-T-0054</t>
  </si>
  <si>
    <t xml:space="preserve">CRUZ </t>
  </si>
  <si>
    <t xml:space="preserve">VICTOR MANUEL </t>
  </si>
  <si>
    <t xml:space="preserve">CALLE SANTA CRUZ </t>
  </si>
  <si>
    <t>GPiMch7OG6hDasqW</t>
  </si>
  <si>
    <t>VSA2020-T-0052</t>
  </si>
  <si>
    <t xml:space="preserve">ORALIA </t>
  </si>
  <si>
    <t xml:space="preserve">CALLE NARCISO MENDOZA SIN NUMERO </t>
  </si>
  <si>
    <t>2021-09-11</t>
  </si>
  <si>
    <t>YbVO8QhmTIUTvYjp</t>
  </si>
  <si>
    <t>VSA2020-T-0046</t>
  </si>
  <si>
    <t xml:space="preserve">SUSANA DEL CARMEN </t>
  </si>
  <si>
    <t xml:space="preserve">CALLE PRINCIPAL SIN NUMERO </t>
  </si>
  <si>
    <t xml:space="preserve">EJIDO CABITA PRIMERA SECCION </t>
  </si>
  <si>
    <t>JigvyeKRFWpsU6Ea</t>
  </si>
  <si>
    <t>VSA2020-T-0043</t>
  </si>
  <si>
    <t>2020-08-26</t>
  </si>
  <si>
    <t xml:space="preserve">CORREA </t>
  </si>
  <si>
    <t xml:space="preserve">PALOMEQUE </t>
  </si>
  <si>
    <t xml:space="preserve">FIDELINA </t>
  </si>
  <si>
    <t xml:space="preserve">CALLE SIN NUMERO </t>
  </si>
  <si>
    <t xml:space="preserve">EJIDO SANTA ROSA PRIMERA SECCION </t>
  </si>
  <si>
    <t>2021-11-22</t>
  </si>
  <si>
    <t>SDNI9IlgcFhT98LI</t>
  </si>
  <si>
    <t>VSA2020-T-0042</t>
  </si>
  <si>
    <t xml:space="preserve">SANCHEZ </t>
  </si>
  <si>
    <t xml:space="preserve">IRMA </t>
  </si>
  <si>
    <t xml:space="preserve">EJIDO SANTA ROSALIA PRIMERA SECCION </t>
  </si>
  <si>
    <t>2qfpJRxRbIJAgEwq</t>
  </si>
  <si>
    <t>VSA2020-T-0039</t>
  </si>
  <si>
    <t>2020-08-22</t>
  </si>
  <si>
    <t xml:space="preserve">CALCANEO </t>
  </si>
  <si>
    <t xml:space="preserve">JOEL </t>
  </si>
  <si>
    <t xml:space="preserve">CALLE GRACIELA PINTADO DE MADRAZO </t>
  </si>
  <si>
    <t xml:space="preserve">FRACCIONAMIENTO ORO VERDE </t>
  </si>
  <si>
    <t>g58ZP51HXuwKsVWO</t>
  </si>
  <si>
    <t>VSA2020-T-0036</t>
  </si>
  <si>
    <t xml:space="preserve">JOSE GUADALUPE </t>
  </si>
  <si>
    <t xml:space="preserve">CALLE EUSEBIO CASTILLO </t>
  </si>
  <si>
    <t>99sUhW92KCQwlhJ2</t>
  </si>
  <si>
    <t>VSA2020-T-0045</t>
  </si>
  <si>
    <t>2020-08-27</t>
  </si>
  <si>
    <t xml:space="preserve">SANDRA </t>
  </si>
  <si>
    <t xml:space="preserve">EJIDO CEIBITA PRIMERA SECCION </t>
  </si>
  <si>
    <t>2021-07-09</t>
  </si>
  <si>
    <t>Nfnsxx6bgCEBlGSh</t>
  </si>
  <si>
    <t>VSA2020-T-0174</t>
  </si>
  <si>
    <t>2020-09-12</t>
  </si>
  <si>
    <t xml:space="preserve">COELLO </t>
  </si>
  <si>
    <t>JESUS</t>
  </si>
  <si>
    <t xml:space="preserve">CARRETERA OXOLOTAN </t>
  </si>
  <si>
    <t>BARRIO SABANILLA</t>
  </si>
  <si>
    <t>HuW93X9SYmU6UcBG</t>
  </si>
  <si>
    <t>VSA2020-T-0167</t>
  </si>
  <si>
    <t>2020-07-12</t>
  </si>
  <si>
    <t>LUIS</t>
  </si>
  <si>
    <t xml:space="preserve">ANDADON SIN NUMERO </t>
  </si>
  <si>
    <t xml:space="preserve">EJIDO EMILIANO ZAPATA </t>
  </si>
  <si>
    <t xml:space="preserve">ADRIAN SANCHEZ HERNANDEZ </t>
  </si>
  <si>
    <t xml:space="preserve">BENEFICIARIO 2  LUIS SANCHEZ HERNANDEZ </t>
  </si>
  <si>
    <t>iaNR4aPfTEIsQB5w</t>
  </si>
  <si>
    <t>VSA2020-T-0168</t>
  </si>
  <si>
    <t xml:space="preserve">FRIAS </t>
  </si>
  <si>
    <t xml:space="preserve">JOSE FERNANDO </t>
  </si>
  <si>
    <t xml:space="preserve">ELIZABETH SANCHEZ HERNANDEZ </t>
  </si>
  <si>
    <t>6p38nWJXOXB2BlRY</t>
  </si>
  <si>
    <t>VSA2020-T-0169</t>
  </si>
  <si>
    <t xml:space="preserve">LORENZO </t>
  </si>
  <si>
    <t xml:space="preserve">CARRETERA A TAPIJULAPA </t>
  </si>
  <si>
    <t xml:space="preserve">VIVIANA SANCHEZ CRUZ </t>
  </si>
  <si>
    <t xml:space="preserve">BENEFICIARIO 2 LAZARO LOPEZ SANCHEZ </t>
  </si>
  <si>
    <t>7pCPA3UgSSI6SoiZ</t>
  </si>
  <si>
    <t>VSA2020-T-0117</t>
  </si>
  <si>
    <t>2020-09-23</t>
  </si>
  <si>
    <t xml:space="preserve">RAMIREZ </t>
  </si>
  <si>
    <t xml:space="preserve">DADULBERTO </t>
  </si>
  <si>
    <t xml:space="preserve">CALLE SANTA CRUZ SIN NUMERO </t>
  </si>
  <si>
    <t xml:space="preserve">GLORIA JIMENEZ HERNANDEZ </t>
  </si>
  <si>
    <t xml:space="preserve">BENEFICIARIO 2 VANESA RAMIREZ JIMENEZ </t>
  </si>
  <si>
    <t>LtjBlhrew4i9trcF</t>
  </si>
  <si>
    <t>VSA2020-T-0129</t>
  </si>
  <si>
    <t xml:space="preserve">ELICEO </t>
  </si>
  <si>
    <t xml:space="preserve">CALLE FIDEL VELAZQUEZ SANCHEZ </t>
  </si>
  <si>
    <t xml:space="preserve">REGINA DE LOS ANGELES MENDOZA </t>
  </si>
  <si>
    <t xml:space="preserve">BENEFICIARIO 2 ENEIL CRUZ SANCHEZ </t>
  </si>
  <si>
    <t>H7iVqS0p8tKX5Tac</t>
  </si>
  <si>
    <t>VSA2020-T-0131</t>
  </si>
  <si>
    <t>2020-02-10</t>
  </si>
  <si>
    <t>RIOS</t>
  </si>
  <si>
    <t xml:space="preserve">ARIAS </t>
  </si>
  <si>
    <t xml:space="preserve">JESUS ANTONIO </t>
  </si>
  <si>
    <t xml:space="preserve">CARRETERA PRINCIPAL SIN NUMERO </t>
  </si>
  <si>
    <t xml:space="preserve">EJIDO SAN PABLO TAMBORAL </t>
  </si>
  <si>
    <t xml:space="preserve">MARIA DEL CARMEN HERNANDEZ LOPEZ </t>
  </si>
  <si>
    <t xml:space="preserve">BENEFICIARIO 2 BARDO ALFONSO RIOS ESPINOZA </t>
  </si>
  <si>
    <t>2021-11-23</t>
  </si>
  <si>
    <t>qtR5AemFCjeZFwSq</t>
  </si>
  <si>
    <t>VSA2020-T-0144</t>
  </si>
  <si>
    <t>2020-10-23</t>
  </si>
  <si>
    <t xml:space="preserve">FLORES </t>
  </si>
  <si>
    <t xml:space="preserve">YSABEL </t>
  </si>
  <si>
    <t xml:space="preserve">CARRETERA A JALAPA SIN NUMERO </t>
  </si>
  <si>
    <t xml:space="preserve">ERICK YAZMIN FLORES HERNANDEZ </t>
  </si>
  <si>
    <t xml:space="preserve">BENEFICIARIO 2 ADRIANA FLORES HERNANDEZ </t>
  </si>
  <si>
    <t>2021-08-30</t>
  </si>
  <si>
    <t>BTLRi4Txp9weGBOj</t>
  </si>
  <si>
    <t>VSA2020-T-0147</t>
  </si>
  <si>
    <t>2020-10-26</t>
  </si>
  <si>
    <t>ADRIANA</t>
  </si>
  <si>
    <t xml:space="preserve">EDUARDO DE LA FUENTE FLORES </t>
  </si>
  <si>
    <t xml:space="preserve">BENEFICIARIO 2 YAJAIRA EDITH TORRES HERNANDEZ </t>
  </si>
  <si>
    <t>gPlZroPUJvtvAguH</t>
  </si>
  <si>
    <t>VSA2020-T-0016</t>
  </si>
  <si>
    <t>2021-07-01</t>
  </si>
  <si>
    <t xml:space="preserve">JOSE MANUEL </t>
  </si>
  <si>
    <t>POBLADO XICOTENCATL</t>
  </si>
  <si>
    <t xml:space="preserve">ROSA FLORES HERRERA </t>
  </si>
  <si>
    <t xml:space="preserve">BENEFICIARIO 2 JOSE CALCANEO FLORES </t>
  </si>
  <si>
    <t>ysbpXiDaeNmUkMmT</t>
  </si>
  <si>
    <t>VSA2019-0717</t>
  </si>
  <si>
    <t>2019-12-12</t>
  </si>
  <si>
    <t xml:space="preserve">MORALES </t>
  </si>
  <si>
    <t xml:space="preserve">BAUTISTA </t>
  </si>
  <si>
    <t xml:space="preserve">MARGOT </t>
  </si>
  <si>
    <t xml:space="preserve">CALLE VEINTE DE NOVIEMBRE </t>
  </si>
  <si>
    <t xml:space="preserve">HUMBERTO OSORIO CRUZ </t>
  </si>
  <si>
    <t xml:space="preserve">BENEFICIARIO 2 JUAN CARLOS RODRIGUEZ MORALES </t>
  </si>
  <si>
    <t>jZwPiPBlvjmUk044</t>
  </si>
  <si>
    <t>VSA2021-T-0049</t>
  </si>
  <si>
    <t>2021-02-21</t>
  </si>
  <si>
    <t xml:space="preserve">HERNANDEZ </t>
  </si>
  <si>
    <t xml:space="preserve">PAULINO </t>
  </si>
  <si>
    <t xml:space="preserve">EJIDO LAZARO CARDENAS </t>
  </si>
  <si>
    <t xml:space="preserve">ANDREA GARCIA MONTERO </t>
  </si>
  <si>
    <t>BENEFICIARIO 2 IRENE HERNANDEZ ASCENCIO</t>
  </si>
  <si>
    <t>d1uzCvPWbVgTQxBc</t>
  </si>
  <si>
    <t>VSA2021-T-0041</t>
  </si>
  <si>
    <t>2021-01-20</t>
  </si>
  <si>
    <t xml:space="preserve">BALDEMAR </t>
  </si>
  <si>
    <t>BELLANIRA REYES VELOZ</t>
  </si>
  <si>
    <t xml:space="preserve">BENEFICIARIO 2 IGNACIO GALICIA PEREZ </t>
  </si>
  <si>
    <t>jtkrZiiwyEuCVmoL</t>
  </si>
  <si>
    <t>VSA2021-T-0036</t>
  </si>
  <si>
    <t>2021-01-18</t>
  </si>
  <si>
    <t xml:space="preserve">JIMENEZ </t>
  </si>
  <si>
    <t xml:space="preserve">EVELYN </t>
  </si>
  <si>
    <t xml:space="preserve">ANDADOR CARLOS A MADRAZO </t>
  </si>
  <si>
    <t xml:space="preserve">BARRIO LA CURVA VILLA TAPIJULAPA </t>
  </si>
  <si>
    <t xml:space="preserve">ALFREDO MENDOZA MAYORGA </t>
  </si>
  <si>
    <t xml:space="preserve">BENEFICIARIO 2 ALDO FABRICIO MENDOZA GONZALEZ </t>
  </si>
  <si>
    <t>5Suvm66TjPRw26Au</t>
  </si>
  <si>
    <t>VSA2021-T-0032</t>
  </si>
  <si>
    <t>2021-01-14</t>
  </si>
  <si>
    <t xml:space="preserve">EUDOCIA </t>
  </si>
  <si>
    <t xml:space="preserve">ANDADOR SIN NOMBRE </t>
  </si>
  <si>
    <t xml:space="preserve">INES MURILLO EVITIA </t>
  </si>
  <si>
    <t xml:space="preserve">BENEFICIARIO 2 ELIZABETH BERENICE MURILLO PEREZ </t>
  </si>
  <si>
    <t>bzSFbsCPSWuMARCd</t>
  </si>
  <si>
    <t>VSA2021-T-0030</t>
  </si>
  <si>
    <t>CORZO</t>
  </si>
  <si>
    <t xml:space="preserve">LEONOR </t>
  </si>
  <si>
    <t xml:space="preserve">CALLEJON AMANTA </t>
  </si>
  <si>
    <t xml:space="preserve">VILLA TAPIJULAPA </t>
  </si>
  <si>
    <t xml:space="preserve">JESUS MANUEL PEREZ MORALES </t>
  </si>
  <si>
    <t xml:space="preserve">BENEFICIARIO 2 JUDITH PEREZ MORALES </t>
  </si>
  <si>
    <t>uQ21JRlnnYOtaVuT</t>
  </si>
  <si>
    <t>VSA2021-T-0035</t>
  </si>
  <si>
    <t xml:space="preserve">ORDOÃ‘EZ </t>
  </si>
  <si>
    <t xml:space="preserve">CARLOS </t>
  </si>
  <si>
    <t xml:space="preserve">YULMA DEL CARMEN PEREZ PAZ </t>
  </si>
  <si>
    <t xml:space="preserve">BENEFICIARIO 2 ESTEPHANI GUADALUPE ORDOÃ‘EZ PEREZ </t>
  </si>
  <si>
    <t>lYqWopeJmUXnh49l</t>
  </si>
  <si>
    <t>VSA2021-T-0034</t>
  </si>
  <si>
    <t xml:space="preserve">OVANDO </t>
  </si>
  <si>
    <t xml:space="preserve">ALVAREZ </t>
  </si>
  <si>
    <t xml:space="preserve">BELLANIRA </t>
  </si>
  <si>
    <t xml:space="preserve">RANCHERIA MADRIGAL QUINTA SECCION </t>
  </si>
  <si>
    <t xml:space="preserve">GUILLERMO MALDONADO SANCHEZ </t>
  </si>
  <si>
    <t xml:space="preserve">BENEFICIARIO 2 MARIA ALVAREZ LOPEZ </t>
  </si>
  <si>
    <t>NQEs0UXnvTKfIwYj</t>
  </si>
  <si>
    <t>VSA2021-T-0025</t>
  </si>
  <si>
    <t>2021-08-01</t>
  </si>
  <si>
    <t xml:space="preserve">MENDOZA </t>
  </si>
  <si>
    <t xml:space="preserve">FATIMA GUADALUPE </t>
  </si>
  <si>
    <t xml:space="preserve">JOSE CARLOS HUCHIN CRUZ </t>
  </si>
  <si>
    <t xml:space="preserve">BENEFICIARIO 2 JESUS CARMEN MENDEZ MENDOZA </t>
  </si>
  <si>
    <t>Go5ynVLyq8NcHtaZ</t>
  </si>
  <si>
    <t>VSA2020-T-0024</t>
  </si>
  <si>
    <t xml:space="preserve">URBINA </t>
  </si>
  <si>
    <t xml:space="preserve">ONDINA </t>
  </si>
  <si>
    <t xml:space="preserve">FATIMA GUADALUPE MENDEZ MENDOZA </t>
  </si>
  <si>
    <t xml:space="preserve">BENEFICIARIO 2 JESUS OANNEZ MENDEZ MENDOZA </t>
  </si>
  <si>
    <t>2021-11-19</t>
  </si>
  <si>
    <t>mzhJR5urxKbaigk3</t>
  </si>
  <si>
    <t>VSA2020-0721</t>
  </si>
  <si>
    <t xml:space="preserve">POTENCIANO </t>
  </si>
  <si>
    <t xml:space="preserve">CALLE LORENZO SANTA MARIA </t>
  </si>
  <si>
    <t xml:space="preserve">PUEBLO NUEVO TACOTALPA </t>
  </si>
  <si>
    <t xml:space="preserve">FELIX RAMIRO REYES SANTOS </t>
  </si>
  <si>
    <t xml:space="preserve">BENEFICIARIO 2 MAGALY REYES SANTOS </t>
  </si>
  <si>
    <t>8gZwrdg5J8PGyrhr</t>
  </si>
  <si>
    <t>VSA2019-0074</t>
  </si>
  <si>
    <t>2019-12-13</t>
  </si>
  <si>
    <t xml:space="preserve">FOCIL </t>
  </si>
  <si>
    <t xml:space="preserve">MANUEL </t>
  </si>
  <si>
    <t xml:space="preserve">CALLE BENITO JUAREZ </t>
  </si>
  <si>
    <t xml:space="preserve">GUADALUPE FOCIL ZUTITA </t>
  </si>
  <si>
    <t>lgsYxov0aVScGGpy</t>
  </si>
  <si>
    <t>VSA2021-T-0009</t>
  </si>
  <si>
    <t>2021-06-01</t>
  </si>
  <si>
    <t xml:space="preserve">SAMUEL </t>
  </si>
  <si>
    <t xml:space="preserve">ANDADOR AMADO NERVO </t>
  </si>
  <si>
    <t xml:space="preserve">MARGARITA MARTINEZ MARTINEZ </t>
  </si>
  <si>
    <t xml:space="preserve">BENEFICIARIO 2 YESSENIA LOPEZ MARTRINEZ </t>
  </si>
  <si>
    <t>2saq92TrH4AUMNlM</t>
  </si>
  <si>
    <t>VSA2021-T-0010</t>
  </si>
  <si>
    <t xml:space="preserve">CONTRERAS </t>
  </si>
  <si>
    <t xml:space="preserve">MARTHA </t>
  </si>
  <si>
    <t xml:space="preserve">CALLE NIÃ‘OS HEROES MANZANA DOS </t>
  </si>
  <si>
    <t xml:space="preserve">JESUS CUSTODIO REYES </t>
  </si>
  <si>
    <t xml:space="preserve">BENEFICIARIO 2 MALENI AMAIRANI CUSTODIO CONTRERAS </t>
  </si>
  <si>
    <t>7K6FL3d9Zsr0bVe8</t>
  </si>
  <si>
    <t>VSA2019-0755</t>
  </si>
  <si>
    <t>2021-12-21</t>
  </si>
  <si>
    <t xml:space="preserve">FRANCISCO </t>
  </si>
  <si>
    <t xml:space="preserve">EJIDO POANA  </t>
  </si>
  <si>
    <t xml:space="preserve">GUADALUPE DOMINGUES CARCIA </t>
  </si>
  <si>
    <t>S35D6D3Y9KVTQO</t>
  </si>
  <si>
    <t>e6L4CQ7iMddKF0bI</t>
  </si>
  <si>
    <t>VSA2019-0752</t>
  </si>
  <si>
    <t>2019-12-14</t>
  </si>
  <si>
    <t xml:space="preserve">CUSTODIO </t>
  </si>
  <si>
    <t xml:space="preserve">GLORIA </t>
  </si>
  <si>
    <t xml:space="preserve">CARRETERA XICOTENCATL </t>
  </si>
  <si>
    <t xml:space="preserve">ALMA YURIDIA REYES CUSTODIO </t>
  </si>
  <si>
    <t xml:space="preserve">BENEFICIARIO 2 WILBERT REYES CUSTODIO </t>
  </si>
  <si>
    <t>XNPNcQMT4Cmjww6Q</t>
  </si>
  <si>
    <t>VSA2019-0731</t>
  </si>
  <si>
    <t xml:space="preserve">NARVAEZ </t>
  </si>
  <si>
    <t xml:space="preserve">MARIA MARTHA </t>
  </si>
  <si>
    <t xml:space="preserve">CALLE CLEMENTE FIGUEROA </t>
  </si>
  <si>
    <t xml:space="preserve">COLONIA CENTRON </t>
  </si>
  <si>
    <t xml:space="preserve">YANI DELCARMEN GARCIA NARVAEZ </t>
  </si>
  <si>
    <t xml:space="preserve">BENEFICIARIO 2 FRADNCISCO GARCIA NARVAEZ </t>
  </si>
  <si>
    <t>qUVjQfFcBmYVyCW8</t>
  </si>
  <si>
    <t>VSA2019-0736</t>
  </si>
  <si>
    <t>2019-12-17</t>
  </si>
  <si>
    <t xml:space="preserve">MIGUELINA </t>
  </si>
  <si>
    <t xml:space="preserve">ANDADOR SAN PEDRO </t>
  </si>
  <si>
    <t xml:space="preserve">SAN ROMAN </t>
  </si>
  <si>
    <t xml:space="preserve">YESENIA SANCHEZ HERNANDEZ </t>
  </si>
  <si>
    <t xml:space="preserve">BENEFICIARIO 2 APOLINAR SANCHEZ ALAMILLA </t>
  </si>
  <si>
    <t>ytSqQYtvsQWUzE0i</t>
  </si>
  <si>
    <t>VSA2019-0737</t>
  </si>
  <si>
    <t xml:space="preserve">ACOSSTA </t>
  </si>
  <si>
    <t xml:space="preserve">MARIA ELENA </t>
  </si>
  <si>
    <t xml:space="preserve">EJIDO SAN ROMAN </t>
  </si>
  <si>
    <t xml:space="preserve">ESTRELLA GUADALUPE SANCHEZ ACOSTA </t>
  </si>
  <si>
    <t xml:space="preserve">BENEFICIARIO 2 OCTAVIO SANCHEZ ACOSTA </t>
  </si>
  <si>
    <t>jtvz1p9InJ5Rx7xd</t>
  </si>
  <si>
    <t>VSA2020-1040</t>
  </si>
  <si>
    <t>IMPERIAL DE LUJO</t>
  </si>
  <si>
    <t>2020-11-13</t>
  </si>
  <si>
    <t>VELASQUES</t>
  </si>
  <si>
    <t xml:space="preserve">HOLGA LIRA </t>
  </si>
  <si>
    <t xml:space="preserve">RANCHERIA ANACLETO CANABAL TERCERA SECCION </t>
  </si>
  <si>
    <t>2021-07-21</t>
  </si>
  <si>
    <t>2021-04-08</t>
  </si>
  <si>
    <t>S35D6D3Y9KVTQ1</t>
  </si>
  <si>
    <t>IgVUxRuEXhdxaKVm</t>
  </si>
  <si>
    <t>VSA2020-0798</t>
  </si>
  <si>
    <t>2020-10-16</t>
  </si>
  <si>
    <t>CRUZ</t>
  </si>
  <si>
    <t xml:space="preserve">CALLE PRINCIPAL OCHOCIENTOS ONCE </t>
  </si>
  <si>
    <t xml:space="preserve">RANCHERIA ANACLETO CANABAL SEGUNDA SECCION </t>
  </si>
  <si>
    <t>2021-09-12</t>
  </si>
  <si>
    <t>2021-12-16</t>
  </si>
  <si>
    <t>q2pYtLjrDzVWttP8</t>
  </si>
  <si>
    <t>VSA202-1330</t>
  </si>
  <si>
    <t>2020-12-16</t>
  </si>
  <si>
    <t>OLAN</t>
  </si>
  <si>
    <t>URSULA</t>
  </si>
  <si>
    <t>RANCHERIA GONZALEZ PRIMERA SECCION</t>
  </si>
  <si>
    <t>2021-08-12</t>
  </si>
  <si>
    <t>2022-08-01</t>
  </si>
  <si>
    <t>Hw5ZRMgrWJ8WcpFZ</t>
  </si>
  <si>
    <t>VSA2021-1463</t>
  </si>
  <si>
    <t>MEMORIAL</t>
  </si>
  <si>
    <t>2021-03-09</t>
  </si>
  <si>
    <t>VIDAL</t>
  </si>
  <si>
    <t>ARENAS</t>
  </si>
  <si>
    <t>MARGARITA</t>
  </si>
  <si>
    <t xml:space="preserve">RANCHERIA MARIN </t>
  </si>
  <si>
    <t xml:space="preserve">CRISTOBAL COLON CASA REPELLADA </t>
  </si>
  <si>
    <t>2021-02-12</t>
  </si>
  <si>
    <t>JUmK1Mrtxfc6hUzf</t>
  </si>
  <si>
    <t>VSA2021-1818</t>
  </si>
  <si>
    <t>2021-07-11</t>
  </si>
  <si>
    <t>IZQUIERDO</t>
  </si>
  <si>
    <t>OVANDO</t>
  </si>
  <si>
    <t>GRACIELA</t>
  </si>
  <si>
    <t>CALLE PRINCIPAL SIN NUMERO</t>
  </si>
  <si>
    <t xml:space="preserve">RANCHERIA EMILIANO ZAPATA </t>
  </si>
  <si>
    <t>2021-01-12</t>
  </si>
  <si>
    <t>2021-12-15</t>
  </si>
  <si>
    <t>SucaCvwAZHnwzch1</t>
  </si>
  <si>
    <t>VSA2021-7086</t>
  </si>
  <si>
    <t xml:space="preserve">TORRES </t>
  </si>
  <si>
    <t>OSORIO</t>
  </si>
  <si>
    <t>CONCEPCION</t>
  </si>
  <si>
    <t>POLADO CUCUYULAPA</t>
  </si>
  <si>
    <t>2022-12-20</t>
  </si>
  <si>
    <t>yEfswi9BnBRSVsob</t>
  </si>
  <si>
    <t>VSA2021-7088</t>
  </si>
  <si>
    <t xml:space="preserve">MARIA MAGDALENA </t>
  </si>
  <si>
    <t xml:space="preserve">CALLE HERMINIO LUNA </t>
  </si>
  <si>
    <t xml:space="preserve">CARRETERA DEL CAMELLON </t>
  </si>
  <si>
    <t>GQT94A7ToSABtNNS</t>
  </si>
  <si>
    <t>VSA2021-4437</t>
  </si>
  <si>
    <t>2021-10-08</t>
  </si>
  <si>
    <t>FUENTES</t>
  </si>
  <si>
    <t>ORALIA</t>
  </si>
  <si>
    <t>FRACCIONAMIENTO VALLE DEL JAGUAR</t>
  </si>
  <si>
    <t xml:space="preserve">VALLE DEL JAGUAR </t>
  </si>
  <si>
    <t>2021-08-25</t>
  </si>
  <si>
    <t>7xXPbav3bjGkWOyT</t>
  </si>
  <si>
    <t>VSA2020-1263</t>
  </si>
  <si>
    <t>2020-11-30</t>
  </si>
  <si>
    <t>DIAZ</t>
  </si>
  <si>
    <t>MARTHA</t>
  </si>
  <si>
    <t xml:space="preserve">CALLEJON LOS GONZALEZ </t>
  </si>
  <si>
    <t>RANCHERIA LOA GONZALEZ PRIMERA SECCION</t>
  </si>
  <si>
    <t>LETICIA CORTAZAR ROMERO</t>
  </si>
  <si>
    <t>GAMALIEL GONZALEZ CORTAZAR</t>
  </si>
  <si>
    <t>7LB4yuRwoYSFk1kZ</t>
  </si>
  <si>
    <t>VSA2020-1233</t>
  </si>
  <si>
    <t>2020-11-27</t>
  </si>
  <si>
    <t>DE LOS SANTOS</t>
  </si>
  <si>
    <t xml:space="preserve">MIGUEL ANGEL </t>
  </si>
  <si>
    <t xml:space="preserve">RANCHERIA PLATANO Y CACAO  SEGUNDA SECCCION </t>
  </si>
  <si>
    <t>VERONICA TORRES VASCONCELOS</t>
  </si>
  <si>
    <t>MARIA LOURDES DE LOS SANTOS TORRES</t>
  </si>
  <si>
    <t>2021-04-11</t>
  </si>
  <si>
    <t>2021-11-18</t>
  </si>
  <si>
    <t>craHTa1cWzJAYqtj</t>
  </si>
  <si>
    <t>VSA2020-1232</t>
  </si>
  <si>
    <t>SOBERANO</t>
  </si>
  <si>
    <t>MARIA JESUS</t>
  </si>
  <si>
    <t xml:space="preserve">SIN NUMERO ENTRADA DE LA GLORIA </t>
  </si>
  <si>
    <t>RANCHERIA LAZARO CARDENAS SEGUNDA SECCION</t>
  </si>
  <si>
    <t>GUADALUPE LAZARO ZAPATA</t>
  </si>
  <si>
    <t>LEONARDDO DE LA CRUZ SOBERANO</t>
  </si>
  <si>
    <t>KDC5yECoyctgJqd6</t>
  </si>
  <si>
    <t>VSA2021-1108</t>
  </si>
  <si>
    <t>2021-07-16</t>
  </si>
  <si>
    <t>GONZALEZ</t>
  </si>
  <si>
    <t>CAMPOS</t>
  </si>
  <si>
    <t>VICTOR ARIEL</t>
  </si>
  <si>
    <t xml:space="preserve">CALLE PRINCIPAL </t>
  </si>
  <si>
    <t>ERICKA LIGIA RESENDIZ</t>
  </si>
  <si>
    <t>ARIEL YOSAFAT GONZALEZ RESENDIZ</t>
  </si>
  <si>
    <t>2022-01-01</t>
  </si>
  <si>
    <t>OktrxHYm31lD1Qqd</t>
  </si>
  <si>
    <t>VSA2021-1251</t>
  </si>
  <si>
    <t>2021-12-08</t>
  </si>
  <si>
    <t>VASCONCELOS</t>
  </si>
  <si>
    <t>LAZARO</t>
  </si>
  <si>
    <t>MATILDE</t>
  </si>
  <si>
    <t>RANCHERIA CUMUAPAN PRIMERA SECCION</t>
  </si>
  <si>
    <t xml:space="preserve">JOSE NELSO VASCONCELOS LAZARO </t>
  </si>
  <si>
    <t>THANIA SUGEY VASCONCELOS LAZARO</t>
  </si>
  <si>
    <t>Ak1ZEuDiKtTwZhhU</t>
  </si>
  <si>
    <t>VSA2021-1306</t>
  </si>
  <si>
    <t>DELUX</t>
  </si>
  <si>
    <t>2021-08-17</t>
  </si>
  <si>
    <t>PEREZ</t>
  </si>
  <si>
    <t>BAUTISTA</t>
  </si>
  <si>
    <t>JOSEFINA</t>
  </si>
  <si>
    <t>CARRETERA  VILLAHERMOSA A CARDENAS KILOMETRO CIENTO CINCUENT</t>
  </si>
  <si>
    <t>BAUDEL PEREZ BAUTISTA</t>
  </si>
  <si>
    <t xml:space="preserve">ARANELLY PEREZ BAUTISTA </t>
  </si>
  <si>
    <t>FGTkDMh8hOVm1tu3</t>
  </si>
  <si>
    <t>VSA2021-1324</t>
  </si>
  <si>
    <t>2021-08-19</t>
  </si>
  <si>
    <t>VENTURA</t>
  </si>
  <si>
    <t>VERNADITA DE LOURDEZ</t>
  </si>
  <si>
    <t xml:space="preserve">CALLE DEL PANTEON SIN NUMERO </t>
  </si>
  <si>
    <t xml:space="preserve">POBLADO CUCUYULAPA </t>
  </si>
  <si>
    <t>JOSE MARIA VELAZQUEZ RIVERA</t>
  </si>
  <si>
    <t>GEMA YANERI VELAZQUEZ VENTURA</t>
  </si>
  <si>
    <t>kFxnQ4Yv53lizLVL</t>
  </si>
  <si>
    <t>VSA2021-1343</t>
  </si>
  <si>
    <t>2021-08-20</t>
  </si>
  <si>
    <t>OCHO</t>
  </si>
  <si>
    <t>LETICIA</t>
  </si>
  <si>
    <t>ENTRADA LA FLECHA SIN NUMERO</t>
  </si>
  <si>
    <t>MARICELA OCHOA MAGAÃ‘A</t>
  </si>
  <si>
    <t xml:space="preserve">SILVIA DE LOS SANTOS OCHOA </t>
  </si>
  <si>
    <t>7tjG2aKCeasrZH44</t>
  </si>
  <si>
    <t>VSA2021-1371</t>
  </si>
  <si>
    <t>2021-08-23</t>
  </si>
  <si>
    <t>VELAZQUEZ</t>
  </si>
  <si>
    <t>RIVERA</t>
  </si>
  <si>
    <t>ANASTASIA</t>
  </si>
  <si>
    <t xml:space="preserve">CALLE PABLO RAMOS SIN NUMERO </t>
  </si>
  <si>
    <t>POBLADO  CUCUYULAPA</t>
  </si>
  <si>
    <t>MARIA SILVIA GOMEZ VELAZQUEZ</t>
  </si>
  <si>
    <t>RIGOBERTO GOMEZ RAMIREZ</t>
  </si>
  <si>
    <t>2021-03-11</t>
  </si>
  <si>
    <t>2021-03-12</t>
  </si>
  <si>
    <t>92Z8eKDfzCsjLVio</t>
  </si>
  <si>
    <t>VSA2021-1373</t>
  </si>
  <si>
    <t>GAMAS</t>
  </si>
  <si>
    <t>RUBEN DARIO</t>
  </si>
  <si>
    <t>CALLE DE LA IGLESIA CATOLICAS SIN NUMERO</t>
  </si>
  <si>
    <t xml:space="preserve">MARIA DE JESUS RAMOS ESCOBAR </t>
  </si>
  <si>
    <t>DANIEL HERNANDEZ RAMOS</t>
  </si>
  <si>
    <t>0ffrS9RAo8YcLTeW</t>
  </si>
  <si>
    <t>VSA2021-1375</t>
  </si>
  <si>
    <t>PALM A</t>
  </si>
  <si>
    <t>FLORES</t>
  </si>
  <si>
    <t>RONI</t>
  </si>
  <si>
    <t>ENTRE CALLE TRES Y SIES</t>
  </si>
  <si>
    <t xml:space="preserve">POBLADO C-VEINTINUEVE VICENTE GUERRERO </t>
  </si>
  <si>
    <t>KEVIN PALMA ANGULO</t>
  </si>
  <si>
    <t>SARAI PALMA ANGULO</t>
  </si>
  <si>
    <t>Lii4BcaPOHq5LlPY</t>
  </si>
  <si>
    <t>VSA2021-.1388</t>
  </si>
  <si>
    <t>2021-08-24</t>
  </si>
  <si>
    <t>BRITO</t>
  </si>
  <si>
    <t>VICENTE</t>
  </si>
  <si>
    <t>SECTOR SAN ANTONIO SIN NUMERO</t>
  </si>
  <si>
    <t xml:space="preserve">RANCHERIA GONZALEZ TERCERA SECCION </t>
  </si>
  <si>
    <t xml:space="preserve">LAURA LOPEZ LEON </t>
  </si>
  <si>
    <t>JATZYRI DARELI LOPEZ LOPEZ</t>
  </si>
  <si>
    <t>lBnhEVxfLzLdIbt7</t>
  </si>
  <si>
    <t>VSA2019-0239</t>
  </si>
  <si>
    <t>ECONOLINE</t>
  </si>
  <si>
    <t>2019-05-14</t>
  </si>
  <si>
    <t>SOLIS</t>
  </si>
  <si>
    <t>MARIA DE LOS SANTOS</t>
  </si>
  <si>
    <t>RANCHERIA LAZARO CARDENAS PRIMERA SECCION</t>
  </si>
  <si>
    <t>CALLEJON LOS REYES SIN NUMERO</t>
  </si>
  <si>
    <t>FERNANDO JOSE HERNANDEZ SOLIS</t>
  </si>
  <si>
    <t>CARMELA POTENCIANO RAMOS</t>
  </si>
  <si>
    <t>YCjp0SuBYwiJftEL</t>
  </si>
  <si>
    <t>VSA2019-0335</t>
  </si>
  <si>
    <t>2019-06-28</t>
  </si>
  <si>
    <t>AURORA</t>
  </si>
  <si>
    <t xml:space="preserve">RANCHERIA ANACLETO CANABAL PRIMERA </t>
  </si>
  <si>
    <t>CARRETERA PRINCIPAL ALADO DE UN SIX</t>
  </si>
  <si>
    <t>ROSARIO BAUTISTA HERNANDEZ</t>
  </si>
  <si>
    <t>MARIA TERESABAUTISTA GONZALEZ</t>
  </si>
  <si>
    <t>2021-06-10</t>
  </si>
  <si>
    <t>2021-10-20</t>
  </si>
  <si>
    <t>sVSNWuopEWXiTalL</t>
  </si>
  <si>
    <t>VSA2020-0359</t>
  </si>
  <si>
    <t>2020-04-09</t>
  </si>
  <si>
    <t>ISMAEL</t>
  </si>
  <si>
    <t xml:space="preserve">ENTRADA GALVAN SIN NUMERO </t>
  </si>
  <si>
    <t xml:space="preserve">RANCHERIA GONZALEZ PRIMERA SECCION </t>
  </si>
  <si>
    <t xml:space="preserve">ERIKA SANCHEZ GARCIA </t>
  </si>
  <si>
    <t xml:space="preserve">MARIA DEL CARMEN LOPEZ DE LOS SANTOS </t>
  </si>
  <si>
    <t>2021-12-14</t>
  </si>
  <si>
    <t>jP1Uzjng1HwQ8pvC</t>
  </si>
  <si>
    <t>VSA2020-0410</t>
  </si>
  <si>
    <t>2020-08-25</t>
  </si>
  <si>
    <t xml:space="preserve">RODRIGUEZ </t>
  </si>
  <si>
    <t>CUPIL</t>
  </si>
  <si>
    <t xml:space="preserve">JUANA </t>
  </si>
  <si>
    <t xml:space="preserve">CALLEJON SIN NOMBRE </t>
  </si>
  <si>
    <t xml:space="preserve">ERIKA SIERRA RODRIGUEZ </t>
  </si>
  <si>
    <t>ANA MARGARITA GORDILLO SIERRA</t>
  </si>
  <si>
    <t>N8CSbBx2RwCpoGaH</t>
  </si>
  <si>
    <t>VSA2020-0411</t>
  </si>
  <si>
    <t>SANTIAGO</t>
  </si>
  <si>
    <t xml:space="preserve">MARIA CONCEPCION </t>
  </si>
  <si>
    <t>CALLEJON BLANCAS MARIPOSAS CASA 12</t>
  </si>
  <si>
    <t>PABLO COOPER LARIO</t>
  </si>
  <si>
    <t>TERESA DEL CARMEN COOPER SANTIAGO</t>
  </si>
  <si>
    <t>2021-07-28</t>
  </si>
  <si>
    <t>2021-05-08</t>
  </si>
  <si>
    <t>IIRjsCIIIyrF8Yy4</t>
  </si>
  <si>
    <t>VSA2020-0436</t>
  </si>
  <si>
    <t>ALDEMAR</t>
  </si>
  <si>
    <t>CALLEJON LOS CEDROS 111</t>
  </si>
  <si>
    <t>DENNYS MARTINEZ IZQUIERDO</t>
  </si>
  <si>
    <t>MARGARITA IZQUIERDO OVANDO</t>
  </si>
  <si>
    <t>2021-10-11</t>
  </si>
  <si>
    <t>pFHX2Y6s08OJAhNV</t>
  </si>
  <si>
    <t>VSA2020-0445</t>
  </si>
  <si>
    <t>2020-08-28</t>
  </si>
  <si>
    <t>MARCO ANTONIO</t>
  </si>
  <si>
    <t xml:space="preserve">CARRETERA PRINNCIPAL SIN NUMERO </t>
  </si>
  <si>
    <t xml:space="preserve">LORENA PEREZ GARCIA </t>
  </si>
  <si>
    <t xml:space="preserve">IGNACIA LOPEZ PALMA </t>
  </si>
  <si>
    <t>2021-10-13</t>
  </si>
  <si>
    <t>2021-11-13</t>
  </si>
  <si>
    <t>samZZFofM1a06LNK</t>
  </si>
  <si>
    <t>VSA2020-0483</t>
  </si>
  <si>
    <t>2020-02-09</t>
  </si>
  <si>
    <t>ROBLES</t>
  </si>
  <si>
    <t>VIOLETA</t>
  </si>
  <si>
    <t xml:space="preserve">SECTOR LA GLORIA </t>
  </si>
  <si>
    <t>RANCHERIA LAZARO CARDENAS</t>
  </si>
  <si>
    <t>PEDRO ROBLE SANCHEZ</t>
  </si>
  <si>
    <t xml:space="preserve">ROBERTO DE JESUS GOMEZ ROBLES </t>
  </si>
  <si>
    <t>m9R6iXYsR9KgkVT8</t>
  </si>
  <si>
    <t>VSA2020-0496</t>
  </si>
  <si>
    <t>2020-03-09</t>
  </si>
  <si>
    <t>TOSCA</t>
  </si>
  <si>
    <t>CARRETERA VILLAHERMOSA A CARDENAS</t>
  </si>
  <si>
    <t xml:space="preserve">LUZ DEL ALBA VALIER CRUZ </t>
  </si>
  <si>
    <t>JUAN  MANUEL TOSCA VALIER</t>
  </si>
  <si>
    <t>GHNz1765yg1kSlK9</t>
  </si>
  <si>
    <t>VSA2020-0508</t>
  </si>
  <si>
    <t>2020-05-09</t>
  </si>
  <si>
    <t>MARTINEZ</t>
  </si>
  <si>
    <t>CALLE SECTOR PUNTA BRAVA SIN NUMERO</t>
  </si>
  <si>
    <t>FELIPA VENTURA ALEJANDRO</t>
  </si>
  <si>
    <t>JESUS BERBABE GUTIERREZ GARRIDO</t>
  </si>
  <si>
    <t>2022-02-09</t>
  </si>
  <si>
    <t>4zUctCEXvAgGpwy7</t>
  </si>
  <si>
    <t>VSA2020-0520</t>
  </si>
  <si>
    <t xml:space="preserve">ALEJANDRO </t>
  </si>
  <si>
    <t>CHABLE</t>
  </si>
  <si>
    <t>MARCELA PATRICIA</t>
  </si>
  <si>
    <t>CALLE PRINCIPAL</t>
  </si>
  <si>
    <t>ANACLETO CANABAL PRIMERA SECCCION</t>
  </si>
  <si>
    <t>MARCELA PATRICIA CHABLE ALEJANDRO</t>
  </si>
  <si>
    <t>CARLOTA ROMERO RODRIGUEZ</t>
  </si>
  <si>
    <t>5EEuHICWeDjGPTSC</t>
  </si>
  <si>
    <t>VSA2020-0522</t>
  </si>
  <si>
    <t>PABLO</t>
  </si>
  <si>
    <t>ENTRADA A CAMPO CARRIZO</t>
  </si>
  <si>
    <t xml:space="preserve">SEBASTIAN LEYVA DE LOS SANTOS </t>
  </si>
  <si>
    <t xml:space="preserve">PAULA CUPIL DE LOS SANTOS </t>
  </si>
  <si>
    <t>pOr1uwGZP1nIZ1it</t>
  </si>
  <si>
    <t>VSA2020-0523</t>
  </si>
  <si>
    <t>CONTRERAS</t>
  </si>
  <si>
    <t xml:space="preserve">RANCHERIA LAZARO CARDENAS PRIMERA SECCION </t>
  </si>
  <si>
    <t>BARTOLA DEL CARMEN LOPEZ CONTRERAS</t>
  </si>
  <si>
    <t xml:space="preserve">ALEJANDRA DEL CARMEN SANCHEZ LOPEZ </t>
  </si>
  <si>
    <t>AXJPwY5RUpN6AfFz</t>
  </si>
  <si>
    <t>VSA2020-0540</t>
  </si>
  <si>
    <t>2020-09-09</t>
  </si>
  <si>
    <t>CAMACHO</t>
  </si>
  <si>
    <t>ELISABTH SANCHEZ LANDERO</t>
  </si>
  <si>
    <t xml:space="preserve">ISABEL CAMACHO SANCHEZ </t>
  </si>
  <si>
    <t>2021-01-09</t>
  </si>
  <si>
    <t>2021-05-10</t>
  </si>
  <si>
    <t>r1YmJc5LWy1BFqWp</t>
  </si>
  <si>
    <t>VSA2020-0549</t>
  </si>
  <si>
    <t>2020-10-09</t>
  </si>
  <si>
    <t>MAYO</t>
  </si>
  <si>
    <t>PEÃ‘A</t>
  </si>
  <si>
    <t>MAYRA JANET</t>
  </si>
  <si>
    <t>CARRETERA PRINCIPAL 02</t>
  </si>
  <si>
    <t>AGUSTIN MARIO GALLEGOS CARRILLO</t>
  </si>
  <si>
    <t>ANGEL MARIO GALLEGOS MAYO</t>
  </si>
  <si>
    <t>2021-06-16</t>
  </si>
  <si>
    <t>2021-11-07</t>
  </si>
  <si>
    <t>nrcXBNuta1uXCCcZ</t>
  </si>
  <si>
    <t>VSA2020-0551</t>
  </si>
  <si>
    <t>CREMACION</t>
  </si>
  <si>
    <t>2020-11-09</t>
  </si>
  <si>
    <t>MAZA</t>
  </si>
  <si>
    <t>ISABEL</t>
  </si>
  <si>
    <t>CALLEJON EMIR CASTRO SIN NUMERO</t>
  </si>
  <si>
    <t>RANCHERIA ANACLETO CANABAL PRIMERA SECCION.</t>
  </si>
  <si>
    <t>DAVID EDUARDO SANCHEZ RIVERA</t>
  </si>
  <si>
    <t>FELIPE DE JESUS GARCIA MATA</t>
  </si>
  <si>
    <t>zE3OqWsKKb47ryux</t>
  </si>
  <si>
    <t>VSA2020-0598</t>
  </si>
  <si>
    <t>2020-09-18</t>
  </si>
  <si>
    <t>LEON</t>
  </si>
  <si>
    <t>CARMEN</t>
  </si>
  <si>
    <t xml:space="preserve">SECTOR  PUNTA BRAVA SIN NUMERO </t>
  </si>
  <si>
    <t xml:space="preserve">RANCHERIA GONZALEZ PRIMERA </t>
  </si>
  <si>
    <t>JORGE CERINO BAUTISTA</t>
  </si>
  <si>
    <t xml:space="preserve">FRANCISCA CERINO BAUTISTA </t>
  </si>
  <si>
    <t>2022-07-01</t>
  </si>
  <si>
    <t>NUln5Y7BYGqPufLL</t>
  </si>
  <si>
    <t>VSA2020-0599</t>
  </si>
  <si>
    <t>LLERGO</t>
  </si>
  <si>
    <t xml:space="preserve">SECTOR PUNTA BRAVA SIN NUMERO </t>
  </si>
  <si>
    <t>RANCHERIA GONZALEZ PRIMERA SECCION.</t>
  </si>
  <si>
    <t>ALFREDO BAUTISTA LEON</t>
  </si>
  <si>
    <t>nbhnFZVxK3Mn8ayh</t>
  </si>
  <si>
    <t>VSA2020-0601</t>
  </si>
  <si>
    <t>GERONIMO</t>
  </si>
  <si>
    <t>CARRETERA VILLAHERMOSA A CARDENAS SIN NUMERO</t>
  </si>
  <si>
    <t>SHEYLA IVETH DE LA CRUZ GERONIMO</t>
  </si>
  <si>
    <t>ISABEL DEL CARMEN DE LA CRUZ GERONIMO</t>
  </si>
  <si>
    <t>OGV0GrCvWcii4zUc</t>
  </si>
  <si>
    <t>VSA2020-0606</t>
  </si>
  <si>
    <t>DOMINGA</t>
  </si>
  <si>
    <t xml:space="preserve">CALLE LUIS DONALDO COLOSIO SIN NUMERO </t>
  </si>
  <si>
    <t xml:space="preserve">JOSE  CHABLE MENDOZA </t>
  </si>
  <si>
    <t>MARIA DE LOS ANGELES CHABLE VIDAL</t>
  </si>
  <si>
    <t>nT34A8XOGn0KU9ds</t>
  </si>
  <si>
    <t>VSA2020-0611</t>
  </si>
  <si>
    <t>2020-09-19</t>
  </si>
  <si>
    <t>ESTEBAN</t>
  </si>
  <si>
    <t xml:space="preserve">CALLEJON  LAS MANDARINAS SIN NUMERO </t>
  </si>
  <si>
    <t>FRANCISCA JESUS HERNANDEZ ESTEBAN</t>
  </si>
  <si>
    <t>MARIA DE LA CRUZ HERNANDEZ ESTEBAN</t>
  </si>
  <si>
    <t>2021-06-11</t>
  </si>
  <si>
    <t>yGs44dvCl95ZWvEi</t>
  </si>
  <si>
    <t>VSA2020-0679</t>
  </si>
  <si>
    <t>2020-09-26</t>
  </si>
  <si>
    <t xml:space="preserve">SOBERANES </t>
  </si>
  <si>
    <t>SEBASTIAN</t>
  </si>
  <si>
    <t xml:space="preserve">SECTOR MENDEZ </t>
  </si>
  <si>
    <t xml:space="preserve">RANCHERIA LAZARO CARDENAS </t>
  </si>
  <si>
    <t>GUILLERMINA JIMENEZ HERNANDEZ</t>
  </si>
  <si>
    <t>MARIA JESUS CRUZ SOBERANO</t>
  </si>
  <si>
    <t>W2vRJMwrZjRj52Wh</t>
  </si>
  <si>
    <t>VSA2020-0767</t>
  </si>
  <si>
    <t>ZAFIRO</t>
  </si>
  <si>
    <t>2020-10-10</t>
  </si>
  <si>
    <t>ALEJANDRO</t>
  </si>
  <si>
    <t>CARRETERA VILLAHERMOSA A CARDENAS KILOMETRO ONCE</t>
  </si>
  <si>
    <t xml:space="preserve">GUADALUPE GARCIA GARCIA </t>
  </si>
  <si>
    <t xml:space="preserve">MARIA DEL CARMEN GARCIA GARCIA </t>
  </si>
  <si>
    <t>kZmvabiITdcpsAou</t>
  </si>
  <si>
    <t>VSA2020-0783</t>
  </si>
  <si>
    <t>2020-10-14</t>
  </si>
  <si>
    <t>CALLE PRINCIPAL SECTOR PUNTA BRAVA</t>
  </si>
  <si>
    <t>EZEQUIEL GOMEZ ROMERO</t>
  </si>
  <si>
    <t>MIDRET DEL CARMEN DOMINGUEZ SERRA</t>
  </si>
  <si>
    <t>BqaPZhQRca9MuNwn</t>
  </si>
  <si>
    <t>VSA2020-0860</t>
  </si>
  <si>
    <t>2020-10-28</t>
  </si>
  <si>
    <t>LEYDI CRISTEL</t>
  </si>
  <si>
    <t>CARRETERA A REFORMA SIN NUMERO</t>
  </si>
  <si>
    <t>ADRIAN TOSCA RIVERA</t>
  </si>
  <si>
    <t>ANGELA SANCHEZ PEREZ</t>
  </si>
  <si>
    <t>2021-11-24</t>
  </si>
  <si>
    <t>4ky6kRZPpP6AtNC7</t>
  </si>
  <si>
    <t>VSA2020-0863</t>
  </si>
  <si>
    <t>CUSTODIO</t>
  </si>
  <si>
    <t>NATIVIDAD</t>
  </si>
  <si>
    <t xml:space="preserve">ENTRADA A LA ISLA SIN NUMERO </t>
  </si>
  <si>
    <t>SULEYMA HERNANEZ CUSTODIO</t>
  </si>
  <si>
    <t xml:space="preserve">JOSEFA HERNANDEZ CUSTODIO </t>
  </si>
  <si>
    <t>0rxRwhYjNGEoJKHf</t>
  </si>
  <si>
    <t>VSA2020-0865</t>
  </si>
  <si>
    <t>CIPRIANO</t>
  </si>
  <si>
    <t xml:space="preserve">GUADALUPE HERNANDEZ ZAPATA </t>
  </si>
  <si>
    <t>YULIANA ALVAREZ GONZALEZ</t>
  </si>
  <si>
    <t>2021-12-22</t>
  </si>
  <si>
    <t>NdbXyYqKAN1ohCix</t>
  </si>
  <si>
    <t>VSA2020-0874</t>
  </si>
  <si>
    <t>RANCHERIAPLATANO Y CACAO SEGUNDA SECCION</t>
  </si>
  <si>
    <t>b4C0RwZlhooAa1yH</t>
  </si>
  <si>
    <t>VSA2020-0878</t>
  </si>
  <si>
    <t>SUAREZ</t>
  </si>
  <si>
    <t>RANCHERIA GONZALEZ SEGUNDA SECCION</t>
  </si>
  <si>
    <t xml:space="preserve">DIANA MARIN HERNANDEZ </t>
  </si>
  <si>
    <t>JEREMIAS MARIN HERNANDEZ</t>
  </si>
  <si>
    <t>J9WS1WqNY8Rv81Kz</t>
  </si>
  <si>
    <t>VSA2020-0911</t>
  </si>
  <si>
    <t>2020-10-31</t>
  </si>
  <si>
    <t>GIL</t>
  </si>
  <si>
    <t>VERONICA</t>
  </si>
  <si>
    <t>CARRETERA CARDENAS VILLAHERMOSA SIN NUMERO</t>
  </si>
  <si>
    <t>LUZ ANTONIA GARCIA GIL</t>
  </si>
  <si>
    <t>ANA KRISTHEL GARCIA GIL</t>
  </si>
  <si>
    <t>riyCJRGFyGSqKW9l</t>
  </si>
  <si>
    <t>VSA2020-1198</t>
  </si>
  <si>
    <t>2020-11-23</t>
  </si>
  <si>
    <t>AGUILERA</t>
  </si>
  <si>
    <t>MARIA DE LOURDES</t>
  </si>
  <si>
    <t>CARRETERA A CAMPOS SAMARIA SIN NUMERO</t>
  </si>
  <si>
    <t>RANCHERIA CUMUAPA SEGUNDA SECCCION</t>
  </si>
  <si>
    <t>NATIVIDAD GARCIA AGUILERA</t>
  </si>
  <si>
    <t>JESUS GARCIA AGUILERA</t>
  </si>
  <si>
    <t>2BhJRq1qBdhoaiSJ</t>
  </si>
  <si>
    <t>VSA2021-1633</t>
  </si>
  <si>
    <t>2021-09-29</t>
  </si>
  <si>
    <t>ELSY</t>
  </si>
  <si>
    <t>CARRETERA VILLAHERMOSA SIN NUMERO</t>
  </si>
  <si>
    <t xml:space="preserve">RANCHERIA MARIN KILOMETRO 140 </t>
  </si>
  <si>
    <t>MUJER</t>
  </si>
  <si>
    <t>neuhGpfxdi9i3LzJ</t>
  </si>
  <si>
    <t>VSA2021-1728</t>
  </si>
  <si>
    <t>2021-10-18</t>
  </si>
  <si>
    <t xml:space="preserve">FELIPA </t>
  </si>
  <si>
    <t xml:space="preserve">OCHOA </t>
  </si>
  <si>
    <t xml:space="preserve">VASCONCELOS </t>
  </si>
  <si>
    <t>RANCHERIA PLATANO Y CACAO SEGUNDA SECO</t>
  </si>
  <si>
    <t xml:space="preserve">ENTRADA LA FLECHA SIN NUMERO </t>
  </si>
  <si>
    <t>e6jJL2WmawWkxe7T</t>
  </si>
  <si>
    <t>VSA2021-1537</t>
  </si>
  <si>
    <t>2021-09-15</t>
  </si>
  <si>
    <t>ADELIT</t>
  </si>
  <si>
    <t xml:space="preserve">ENTRADA LA RATONERA </t>
  </si>
  <si>
    <t xml:space="preserve">RANCHERIA PLATANO Y CACAO  CUARTA  SECCCION </t>
  </si>
  <si>
    <t>tvxFKpXuogssfrxB</t>
  </si>
  <si>
    <t>VSA2021-1904</t>
  </si>
  <si>
    <t>VAZCONCELOS</t>
  </si>
  <si>
    <t xml:space="preserve">LORENA </t>
  </si>
  <si>
    <t xml:space="preserve">CALLE PRINCIPAL ENTRADA </t>
  </si>
  <si>
    <t xml:space="preserve">COLONIA LAZARO CARDENAS PRIMERA SECCION </t>
  </si>
  <si>
    <t>2021-12-23</t>
  </si>
  <si>
    <t>gHyMIZKUhorNUygy</t>
  </si>
  <si>
    <t>VSA2021-1420</t>
  </si>
  <si>
    <t>ALBERTO</t>
  </si>
  <si>
    <t>CARRETERA FEDERAL VILLAHERMOSA A CARDENAS KILOMETRO 135</t>
  </si>
  <si>
    <t xml:space="preserve">POBLADO CUCUYULAPA CUNDUACAN </t>
  </si>
  <si>
    <t>LILI LOPEZ QUINTANA</t>
  </si>
  <si>
    <t>LIDIA MORALES RIVERA</t>
  </si>
  <si>
    <t>0YToWUZ3n8wBqv68</t>
  </si>
  <si>
    <t>VSA2021-1325</t>
  </si>
  <si>
    <t>IGNACIO</t>
  </si>
  <si>
    <t xml:space="preserve">BULEVARD HERMINIO LUNA MORALES </t>
  </si>
  <si>
    <t xml:space="preserve">IGNACIO JAVIER RAMOS HERNANDEZ </t>
  </si>
  <si>
    <t>KARINA RAMOS HERNANDEZ</t>
  </si>
  <si>
    <t>rlej6vHEkoiDe8fS</t>
  </si>
  <si>
    <t>VSA2021-1296</t>
  </si>
  <si>
    <t>CALIX</t>
  </si>
  <si>
    <t>PEDRO</t>
  </si>
  <si>
    <t>VIRGINIA CALIX HERNANDEZ</t>
  </si>
  <si>
    <t>Sw7PEYVdrJXdRXDS</t>
  </si>
  <si>
    <t>VSA2021-1321</t>
  </si>
  <si>
    <t>2021-08-18</t>
  </si>
  <si>
    <t xml:space="preserve">DIAZ </t>
  </si>
  <si>
    <t>ARGELIA</t>
  </si>
  <si>
    <t>SECTOR LOS LEONES SIN NUMERO</t>
  </si>
  <si>
    <t xml:space="preserve">RANCHERIA PLATANO Y CACAO PRIMERA SECCION </t>
  </si>
  <si>
    <t>MONICA PEREZ DIAZ</t>
  </si>
  <si>
    <t>ELEAZAR PEREZ SUAREZ</t>
  </si>
  <si>
    <t>4wAAUECGPIqglDuz</t>
  </si>
  <si>
    <t>VSA2021-1362</t>
  </si>
  <si>
    <t>JESSICA LIZBETH</t>
  </si>
  <si>
    <t>ENTRADA DE LA TORTILLERIA BETHEL SIN NUMERO</t>
  </si>
  <si>
    <t>POBLADO CUCUYULAPA</t>
  </si>
  <si>
    <t xml:space="preserve">MIGUEL ANGELARELLANO JACOME </t>
  </si>
  <si>
    <t>JOSE GERMAN HERNANDEZ SANCHEZ</t>
  </si>
  <si>
    <t>jRpWMaWdOrwpJAow</t>
  </si>
  <si>
    <t>VSA2021-1170</t>
  </si>
  <si>
    <t>FELIX</t>
  </si>
  <si>
    <t>ANTONIO</t>
  </si>
  <si>
    <t xml:space="preserve">CALLE CICUNVALACION NORTE SIN NUMERO MACUSPANA </t>
  </si>
  <si>
    <t xml:space="preserve">MARIO  FELIX VELAZQUEZ </t>
  </si>
  <si>
    <t xml:space="preserve">GUADALUPE ANTONIO FERIA </t>
  </si>
  <si>
    <t>rgDIq8Cf7sQT6cTc</t>
  </si>
  <si>
    <t>VSA2021-1257</t>
  </si>
  <si>
    <t xml:space="preserve">DE LA ROSA </t>
  </si>
  <si>
    <t xml:space="preserve">DE DIOS </t>
  </si>
  <si>
    <t xml:space="preserve">ENTRADA PANUNCIO SIN NUMERO </t>
  </si>
  <si>
    <t>VANESA GUADALUPE HERNANDEZ DE LA ROSA</t>
  </si>
  <si>
    <t xml:space="preserve">SANDRA DE LA ROSA DE DIOS </t>
  </si>
  <si>
    <t>BBCiak5YoP2RjiKB</t>
  </si>
  <si>
    <t>VSA2021-0594</t>
  </si>
  <si>
    <t>2021-03-26</t>
  </si>
  <si>
    <t xml:space="preserve">DE LA CRUZ </t>
  </si>
  <si>
    <t>FELIPE</t>
  </si>
  <si>
    <t xml:space="preserve">CALLEJON CONSTITUCION SIN NUMERO </t>
  </si>
  <si>
    <t xml:space="preserve">RANCHERIA ANACLETO CANABALTERCERA SECCION </t>
  </si>
  <si>
    <t xml:space="preserve">PATRICIA FLORES VEGA </t>
  </si>
  <si>
    <t xml:space="preserve">NICOLASA FLORES VEGA </t>
  </si>
  <si>
    <t>0NTwwWzHWdiZlnPL</t>
  </si>
  <si>
    <t>VSA2021-0609</t>
  </si>
  <si>
    <t>2021-03-30</t>
  </si>
  <si>
    <t>GUZMAN</t>
  </si>
  <si>
    <t xml:space="preserve">PRINCIPAL SIN NUMERO </t>
  </si>
  <si>
    <t xml:space="preserve">EJIDO CONSTITUCION CENTRO </t>
  </si>
  <si>
    <t>CARLOS ARTURO MELENDEZ GUZMAN</t>
  </si>
  <si>
    <t>DIANA LAURA GARCIA JERONIMO</t>
  </si>
  <si>
    <t>FXm30slPnDJeOdi6</t>
  </si>
  <si>
    <t>VSA2021-1394</t>
  </si>
  <si>
    <t xml:space="preserve">VILLEGAS </t>
  </si>
  <si>
    <t xml:space="preserve">HUGO ARTURO </t>
  </si>
  <si>
    <t>POBLADO CUCUYULAPA CODIGO POSTAL 86690</t>
  </si>
  <si>
    <t>COLONIA OSCAR GOMEZ SAUZ SIN NUMERO</t>
  </si>
  <si>
    <t xml:space="preserve">ARACELY LOPEZ LOPEZ </t>
  </si>
  <si>
    <t xml:space="preserve">HUGO ALBERTO HERNANDEZ LOPEZ </t>
  </si>
  <si>
    <t>dXJzFEDjxYj7grNx</t>
  </si>
  <si>
    <t>VSA2021-1450</t>
  </si>
  <si>
    <t>2021-02-09</t>
  </si>
  <si>
    <t>ANA MARIA</t>
  </si>
  <si>
    <t xml:space="preserve">CALLEJON SIN NUMERO </t>
  </si>
  <si>
    <t xml:space="preserve">ROCIO DIAZ PEREZ </t>
  </si>
  <si>
    <t>THOMAS DIAZ PEREZ</t>
  </si>
  <si>
    <t>x41TGSX6SplA8cyb</t>
  </si>
  <si>
    <t>VSA2021-1489</t>
  </si>
  <si>
    <t>2021-08-09</t>
  </si>
  <si>
    <t>ALMA ROSA</t>
  </si>
  <si>
    <t xml:space="preserve">CARRETERA FEDERAL CARDENAS VILLAHERMOSA </t>
  </si>
  <si>
    <t>ELSI SUAREZ MORALES</t>
  </si>
  <si>
    <t>FQpDhbQ0AnxDn8kx</t>
  </si>
  <si>
    <t>VSA2021-1102</t>
  </si>
  <si>
    <t>2021-07-15</t>
  </si>
  <si>
    <t xml:space="preserve">CARRETERA A VILLAHERMOSA KILOMETRO 15 </t>
  </si>
  <si>
    <t>LORENA ZAVALA HERNANDEZ</t>
  </si>
  <si>
    <t xml:space="preserve">JUANA HERNANDEZ LOPEZ </t>
  </si>
  <si>
    <t>S56YNCWvBwu5CaVZ</t>
  </si>
  <si>
    <t>VSA2021-1323</t>
  </si>
  <si>
    <t>RANCHERIA PLATANO Y CACAO SEGUNDA SECCION</t>
  </si>
  <si>
    <t>NOE AQUINO RICARDEZ</t>
  </si>
  <si>
    <t>GUADALUPE ALEJO  SANCHEZ</t>
  </si>
  <si>
    <t>Z44hutrl46C9NXKy</t>
  </si>
  <si>
    <t>CARRETERA A CAMPO SAMARIA SIN NUMERO</t>
  </si>
  <si>
    <t>HeJTJwfUFQJk3M2j</t>
  </si>
  <si>
    <t>VSA2020-1254</t>
  </si>
  <si>
    <t>2020-11-28</t>
  </si>
  <si>
    <t xml:space="preserve">RIVERA </t>
  </si>
  <si>
    <t xml:space="preserve">PEDRAZA </t>
  </si>
  <si>
    <t>YESICA</t>
  </si>
  <si>
    <t xml:space="preserve">RANCHERIA GONZALEZ CUARTA SECCION </t>
  </si>
  <si>
    <t>JOSE DE LA CRUZ ALEJO HERNANDEZ</t>
  </si>
  <si>
    <t xml:space="preserve">ARELI PEDRAZA DE LOS SANTOS </t>
  </si>
  <si>
    <t>2021-08-26</t>
  </si>
  <si>
    <t>MnmdYcBcrPzQ8N8E</t>
  </si>
  <si>
    <t>VSA2020-1260</t>
  </si>
  <si>
    <t>USCANGA</t>
  </si>
  <si>
    <t xml:space="preserve">SANTOS </t>
  </si>
  <si>
    <t xml:space="preserve">ROSITA </t>
  </si>
  <si>
    <t xml:space="preserve">RANCHERIA CUARTA SECCION </t>
  </si>
  <si>
    <t xml:space="preserve">HUGO ALBERTO ALEJO USCANGA </t>
  </si>
  <si>
    <t xml:space="preserve">MODESTA USCANGA DE LOS SANTOS </t>
  </si>
  <si>
    <t>oxC8iT4Vl9b6fLws</t>
  </si>
  <si>
    <t>VSA2020-0570</t>
  </si>
  <si>
    <t>2020-12-09</t>
  </si>
  <si>
    <t xml:space="preserve">MARIA NERY </t>
  </si>
  <si>
    <t xml:space="preserve">CALLEJON LA MANGA SIN NUMERO </t>
  </si>
  <si>
    <t xml:space="preserve">RANCHERIA ANANCLETO CANABAL SEGUNDA SECCION </t>
  </si>
  <si>
    <t xml:space="preserve">MARIO TORRES HERNANDEZ </t>
  </si>
  <si>
    <t xml:space="preserve">LIZBETH ANTONIA TORRES HERNANDEZ </t>
  </si>
  <si>
    <t>yegSNN7S1JRXps6M</t>
  </si>
  <si>
    <t>VSA2020-0568</t>
  </si>
  <si>
    <t xml:space="preserve">JOSE </t>
  </si>
  <si>
    <t xml:space="preserve">CALLE LOS MANGOS SIN NUMERO </t>
  </si>
  <si>
    <t xml:space="preserve">LAURA TORRES HERNANDEZ </t>
  </si>
  <si>
    <t>MARIO TORRES HERNANDEZ</t>
  </si>
  <si>
    <t>PvWIKul0lFB1lOTA</t>
  </si>
  <si>
    <t>VSA2020-0541</t>
  </si>
  <si>
    <t xml:space="preserve">GONGORA </t>
  </si>
  <si>
    <t>ANDRES</t>
  </si>
  <si>
    <t xml:space="preserve">MARIA CRUZ GARCIA GONGORA </t>
  </si>
  <si>
    <t xml:space="preserve">KARLA FERNANDA CORNELIO GARCIA </t>
  </si>
  <si>
    <t>yxGpjttuY5Gg4Nuo</t>
  </si>
  <si>
    <t>VSA2020-0484</t>
  </si>
  <si>
    <t xml:space="preserve">VIDAL </t>
  </si>
  <si>
    <t>MARITZA ISABEL</t>
  </si>
  <si>
    <t xml:space="preserve">SECTOR LA GLORIA  KILOMETRO 8.5 </t>
  </si>
  <si>
    <t xml:space="preserve">RANCHERIA LAZARO CARDENAS SEGUNDA SECCION </t>
  </si>
  <si>
    <t xml:space="preserve">JESUS JIMENEZ LOPEZ </t>
  </si>
  <si>
    <t>JUAN CARLOS VIDAL PEREZ</t>
  </si>
  <si>
    <t>PuG96BHZHY7zy4bd</t>
  </si>
  <si>
    <t>VSA2020-0482</t>
  </si>
  <si>
    <t>ANA RUTH</t>
  </si>
  <si>
    <t xml:space="preserve">CALLE LA GLORIA SIN NUMERO SECTOR LA GLORIA </t>
  </si>
  <si>
    <t xml:space="preserve">SAUL VILLEGAS OLAN </t>
  </si>
  <si>
    <t xml:space="preserve">SAUL VILLEGAS ARIAS </t>
  </si>
  <si>
    <t>bb0cVtZ8rKxUW9xz</t>
  </si>
  <si>
    <t>VSA2020-0457</t>
  </si>
  <si>
    <t>2020-08-24</t>
  </si>
  <si>
    <t xml:space="preserve">CALLE OLVIDADOS CALLEJON EL MANGO </t>
  </si>
  <si>
    <t xml:space="preserve">JAZMIN PEREZ FELIX </t>
  </si>
  <si>
    <t xml:space="preserve">DULCE MARIA PEREZ FELIX </t>
  </si>
  <si>
    <t>X7YWjQf4DCyKtVQM</t>
  </si>
  <si>
    <t>VSA2020-0452</t>
  </si>
  <si>
    <t xml:space="preserve">SILVIA DEL CARMEN </t>
  </si>
  <si>
    <t>RANCHERIA ANACLETO CANABAL</t>
  </si>
  <si>
    <t xml:space="preserve">PABLO CONTRERA  SANCHEZ </t>
  </si>
  <si>
    <t xml:space="preserve">JUAN RUSBEL CAMPOS ESCOBAR </t>
  </si>
  <si>
    <t>t9OqhxWLEHWoZYQi</t>
  </si>
  <si>
    <t>VSA2020-0447</t>
  </si>
  <si>
    <t>2021-08-28</t>
  </si>
  <si>
    <t xml:space="preserve">IZQUIERDO </t>
  </si>
  <si>
    <t>JUAN</t>
  </si>
  <si>
    <t xml:space="preserve">ANDADOR EL TIGRE </t>
  </si>
  <si>
    <t>EDUARDA PEREZ DIAZ</t>
  </si>
  <si>
    <t xml:space="preserve">ESTEBAN DARWIN CENTENO PEREZ </t>
  </si>
  <si>
    <t>P5W2TTJrmqQ4HAeU</t>
  </si>
  <si>
    <t>VSA2020-0421</t>
  </si>
  <si>
    <t xml:space="preserve">JOSE DE LA CRUZ </t>
  </si>
  <si>
    <t>CARRETERA A BOSQUE DE SALOYA KILOMETRO 1.3</t>
  </si>
  <si>
    <t>ROMANA LEON GERONIMO</t>
  </si>
  <si>
    <t>JOHANA FRANCISCA DE LA CRUZ ARELLANO</t>
  </si>
  <si>
    <t>nVKqEuBbceCs5Pdi</t>
  </si>
  <si>
    <t>VSA2020-0420</t>
  </si>
  <si>
    <t xml:space="preserve">PALMA </t>
  </si>
  <si>
    <t xml:space="preserve">CANDELARIA </t>
  </si>
  <si>
    <t xml:space="preserve">CALLEJON EL MANGO SIN NUMERO </t>
  </si>
  <si>
    <t>CARRETERA A BOSQUE DE SALOYA A UN  KILOMETR0</t>
  </si>
  <si>
    <t xml:space="preserve">GERARDO DIAZ PALMA </t>
  </si>
  <si>
    <t xml:space="preserve">OTILIA DIAZ PALMA </t>
  </si>
  <si>
    <t>5nIwDIsOjrvhIh6k</t>
  </si>
  <si>
    <t>VSA2020-0544</t>
  </si>
  <si>
    <t xml:space="preserve">LANGUREN </t>
  </si>
  <si>
    <t xml:space="preserve">RAFAEL </t>
  </si>
  <si>
    <t>CALLE LA COLSA</t>
  </si>
  <si>
    <t xml:space="preserve">EN EL CALLEJON DEL PANADERO CASA AZUL </t>
  </si>
  <si>
    <t xml:space="preserve">VIRGINIA CAMACHO AREVALO </t>
  </si>
  <si>
    <t xml:space="preserve">RAFAEL LAGUREN CAMACHO </t>
  </si>
  <si>
    <t>RY1KJj8hevakt7Po</t>
  </si>
  <si>
    <t>VSA2020-0526</t>
  </si>
  <si>
    <t xml:space="preserve">MAGAÃ‘A </t>
  </si>
  <si>
    <t>JOSE ANGEL</t>
  </si>
  <si>
    <t xml:space="preserve">CARRETERA PRINCIPAL </t>
  </si>
  <si>
    <t xml:space="preserve">CONSUELO FRIAS MAGAÃ‘A </t>
  </si>
  <si>
    <t xml:space="preserve">NAYELI DEL CARMEN SANCHEZ FRIAS </t>
  </si>
  <si>
    <t>2021-11-17</t>
  </si>
  <si>
    <t>RKQvcDXFQeB0EocN</t>
  </si>
  <si>
    <t>VSA2020-0587</t>
  </si>
  <si>
    <t>PRESIDENCIAL</t>
  </si>
  <si>
    <t>2020-09-16</t>
  </si>
  <si>
    <t>GUTIEERREZ</t>
  </si>
  <si>
    <t>CALLEJON LOS MORALES 5</t>
  </si>
  <si>
    <t xml:space="preserve">ALIPIO GOMEZ SANTIAGO </t>
  </si>
  <si>
    <t>JESUS GOMEZ MORALES</t>
  </si>
  <si>
    <t>CZduCH8XqRhOBOD4</t>
  </si>
  <si>
    <t>VSA2020-0621</t>
  </si>
  <si>
    <t>2020-09-21</t>
  </si>
  <si>
    <t xml:space="preserve">CERINO </t>
  </si>
  <si>
    <t xml:space="preserve">RANCHERIA GONZALEZ SECTOR PUNTA BRAVA </t>
  </si>
  <si>
    <t xml:space="preserve">ISIDRO CERINO HERNANDEZ </t>
  </si>
  <si>
    <t>EHACIT CERINO TOSCA</t>
  </si>
  <si>
    <t>RhAjEr4zbjFaD6Ya</t>
  </si>
  <si>
    <t>VSA2020-0652</t>
  </si>
  <si>
    <t>2020-09-24</t>
  </si>
  <si>
    <t xml:space="preserve">CALLEJON TULIPANES SIN NUMERO </t>
  </si>
  <si>
    <t xml:space="preserve">LILI RODRIGUEZ MORALES </t>
  </si>
  <si>
    <t xml:space="preserve">PATRICIA RODRIGUEZ </t>
  </si>
  <si>
    <t>HzXHO6Ec7UbCaARU</t>
  </si>
  <si>
    <t>VSA2020-0658</t>
  </si>
  <si>
    <t>2020-09-25</t>
  </si>
  <si>
    <t xml:space="preserve">CADENA </t>
  </si>
  <si>
    <t>CAMARA</t>
  </si>
  <si>
    <t xml:space="preserve">CARRETERA PRINCIPAL INDUSTRA MORELET </t>
  </si>
  <si>
    <t xml:space="preserve">MARIA DEL ROSARIO DE LA CRUZ CADENA </t>
  </si>
  <si>
    <t xml:space="preserve">DORA ISELA CADENA CAMARA </t>
  </si>
  <si>
    <t>1eE1pWgsbaYBYeaj</t>
  </si>
  <si>
    <t>VSA2020-1189</t>
  </si>
  <si>
    <t xml:space="preserve">OSCAR </t>
  </si>
  <si>
    <t xml:space="preserve">ENTRADA LA GLORIA CALLEJON LA LAGUNA </t>
  </si>
  <si>
    <t xml:space="preserve">RANCHERIA ANACLETO SEGUNDA SECCION </t>
  </si>
  <si>
    <t xml:space="preserve">ALONDRA PEREZ RODRIGUEZ </t>
  </si>
  <si>
    <t>MARCOS OVANDO ALVAREZ</t>
  </si>
  <si>
    <t>2022-05-01</t>
  </si>
  <si>
    <t>QgVe2WBR36N2WBIR</t>
  </si>
  <si>
    <t>VSA2020-0770</t>
  </si>
  <si>
    <t>CORNEL</t>
  </si>
  <si>
    <t xml:space="preserve">PATRICIA </t>
  </si>
  <si>
    <t xml:space="preserve">SECTOR ALEJO CALLE PRINCIPAL </t>
  </si>
  <si>
    <t>JORGE LUIS ROMERO ALEJO</t>
  </si>
  <si>
    <t xml:space="preserve">URSULA ALVAREZ VIDAL </t>
  </si>
  <si>
    <t>ZqLf5hKim2fM8sLh</t>
  </si>
  <si>
    <t>VSA2021-1298</t>
  </si>
  <si>
    <t xml:space="preserve">RAMOS </t>
  </si>
  <si>
    <t>RUBI ELISABETH</t>
  </si>
  <si>
    <t xml:space="preserve">COLONIA LOS RAMOS POBLADO CUCUYULAPA </t>
  </si>
  <si>
    <t xml:space="preserve">MARIA DEL CARMEN DE DIOS HERNANDEZ </t>
  </si>
  <si>
    <t xml:space="preserve">JAIRO ALBERTO RAMOS DE DIOS </t>
  </si>
  <si>
    <t>TCDSDb0DrL9AIyRf</t>
  </si>
  <si>
    <t>VSA2021-1294</t>
  </si>
  <si>
    <t>BADAL</t>
  </si>
  <si>
    <t>JOSE REYES</t>
  </si>
  <si>
    <t xml:space="preserve">CARRETERA VILLAHERMOSA A CARDENAS SIN NUMERO KILOMETRO 136 CUNDUACAN </t>
  </si>
  <si>
    <t xml:space="preserve">ENTRADA DE LOS RAMOS ENFRENTE DE LA VULCANIZADORA </t>
  </si>
  <si>
    <t xml:space="preserve">LILIA HERNANDEZ GOMEZ </t>
  </si>
  <si>
    <t xml:space="preserve">LEYDI MARIA DE DIOS HERNANDEZ </t>
  </si>
  <si>
    <t>mptVfIauN6sEWipj</t>
  </si>
  <si>
    <t>VSA2021-1316</t>
  </si>
  <si>
    <t xml:space="preserve">MANUELA DE JESUS </t>
  </si>
  <si>
    <t xml:space="preserve">CARRETERA AL PANTEON SIN NUMERO </t>
  </si>
  <si>
    <t xml:space="preserve">JAVIT MARTINEZ LOPEZ </t>
  </si>
  <si>
    <t xml:space="preserve">JESUS RAMOS HERNANDEZ </t>
  </si>
  <si>
    <t>c0Ohc6AqswXt9EqV</t>
  </si>
  <si>
    <t>VSA2021-1286</t>
  </si>
  <si>
    <t>2021-08-14</t>
  </si>
  <si>
    <t xml:space="preserve">ANEL </t>
  </si>
  <si>
    <t xml:space="preserve">ISIDRO SANCHEZ SANCHEZ </t>
  </si>
  <si>
    <t xml:space="preserve">ALMA RUBI GARCIA CONTRERAS </t>
  </si>
  <si>
    <t>XFZYY9H3Gv2rRsLf</t>
  </si>
  <si>
    <t>VSA2021-1342</t>
  </si>
  <si>
    <t xml:space="preserve">ALEJO </t>
  </si>
  <si>
    <t xml:space="preserve">JESUS MANUEL </t>
  </si>
  <si>
    <t xml:space="preserve">SECTOR EL PASO SIN NUMERO </t>
  </si>
  <si>
    <t xml:space="preserve">JENNY GARCIA BAUTISTA </t>
  </si>
  <si>
    <t xml:space="preserve">MARTHA LORENA BAUTISTA VASCONCELOS </t>
  </si>
  <si>
    <t>EvMZCJQXZ5hJ6oxc</t>
  </si>
  <si>
    <t>VSA2020-1129</t>
  </si>
  <si>
    <t>2020-11-18</t>
  </si>
  <si>
    <t xml:space="preserve">CARRETERA A TULIPAN SIN NUMERO </t>
  </si>
  <si>
    <t xml:space="preserve">EL PORVENIR SANTA ROSALIA CARDENAS </t>
  </si>
  <si>
    <t xml:space="preserve">RODOLFO RODRIGUEZ ALVAREZ </t>
  </si>
  <si>
    <t xml:space="preserve">DAMARIS SANCHEZ SILVA </t>
  </si>
  <si>
    <t>cD6qB4XJzsarS0r1</t>
  </si>
  <si>
    <t>VSA202I-1338</t>
  </si>
  <si>
    <t>LITZY CRISTELL</t>
  </si>
  <si>
    <t xml:space="preserve">VICENTE OCHOA MAGAÃ‘A </t>
  </si>
  <si>
    <t>CRISTOBAL DIAZ JIMENEZ</t>
  </si>
  <si>
    <t>2021-05-01</t>
  </si>
  <si>
    <t>NXRrPhxXqiH6hGeV</t>
  </si>
  <si>
    <t>VSA2020-1249</t>
  </si>
  <si>
    <t>ZAPATA</t>
  </si>
  <si>
    <t xml:space="preserve">MARIA ANITA </t>
  </si>
  <si>
    <t xml:space="preserve">CARRETERA A LA ISLA 5 </t>
  </si>
  <si>
    <t xml:space="preserve">CARLOS ALEXIS MORENO RODRIGUEZ </t>
  </si>
  <si>
    <t>ALEX GABRIEL MORENO RODRIGUEZ</t>
  </si>
  <si>
    <t>KcZ5BZMFOUWohaXM</t>
  </si>
  <si>
    <t>VSA2020-0628</t>
  </si>
  <si>
    <t xml:space="preserve">MARIA DEL CARMEN </t>
  </si>
  <si>
    <t>ELIAS LOPEZ GERONIMO</t>
  </si>
  <si>
    <t>SANDRA LOPEZ PEREZ</t>
  </si>
  <si>
    <t>8rqlybMfJ7wrVnoA</t>
  </si>
  <si>
    <t>VSA2020-0624</t>
  </si>
  <si>
    <t xml:space="preserve">CARLOS MADRAZO SIN NUMERO </t>
  </si>
  <si>
    <t>ADALBERTO DEL C.CLEMENTE ARPAIZ</t>
  </si>
  <si>
    <t>VERONICA LEON SOBERANO</t>
  </si>
  <si>
    <t>LCYkYMiZcOmgTYmX</t>
  </si>
  <si>
    <t>VSA2020-0641</t>
  </si>
  <si>
    <t>VALENCIA</t>
  </si>
  <si>
    <t xml:space="preserve">CALLEJON EL TAMARINDO SIN NUMERO </t>
  </si>
  <si>
    <t xml:space="preserve">ANTONIA JIMENEZ GONZALEZ </t>
  </si>
  <si>
    <t xml:space="preserve">ANA LINDA VALENCIA JIMENEZ </t>
  </si>
  <si>
    <t>eYNv68oRTNDDNRYB</t>
  </si>
  <si>
    <t>VSA2020-0584BIS</t>
  </si>
  <si>
    <t>2020-07-10</t>
  </si>
  <si>
    <t xml:space="preserve">CALLE EL GUACIMO </t>
  </si>
  <si>
    <t>100 METROS DEL SEÃ‘OR DE TILA</t>
  </si>
  <si>
    <t xml:space="preserve">MANUEL ALBERTO SANCHEZ LEON </t>
  </si>
  <si>
    <t xml:space="preserve">SUSANA ELISABETH SANCHEZ LEON </t>
  </si>
  <si>
    <t>CoH4dLoAFqPv8V2H</t>
  </si>
  <si>
    <t>VSA2020-0617</t>
  </si>
  <si>
    <t>ALMEIDA</t>
  </si>
  <si>
    <t>BARTOLO</t>
  </si>
  <si>
    <t xml:space="preserve">MARIA GUADALUPE CERINO ZAPATA </t>
  </si>
  <si>
    <t xml:space="preserve">LUCIA CERINO ZAPATA </t>
  </si>
  <si>
    <t>XPNGxHp4XUjJ4c8X</t>
  </si>
  <si>
    <t>VSA2020-1173</t>
  </si>
  <si>
    <t>2020-11-21</t>
  </si>
  <si>
    <t>FRANCISCA</t>
  </si>
  <si>
    <t>CALLE PRINCIPAL SAN ELEGIO</t>
  </si>
  <si>
    <t xml:space="preserve">SAN ELEGIO CENTRO </t>
  </si>
  <si>
    <t xml:space="preserve">GUADALUPE MENDOZA DE LOS SANTOS </t>
  </si>
  <si>
    <t xml:space="preserve">CECILIA MENDOZA DE LOS SANTOS </t>
  </si>
  <si>
    <t>lIjK7JD0H5d42pIb</t>
  </si>
  <si>
    <t>VSA2020-0494</t>
  </si>
  <si>
    <t>FRIAS</t>
  </si>
  <si>
    <t>LEYDI</t>
  </si>
  <si>
    <t xml:space="preserve">JESUS MANUEL PEREZ BRITO </t>
  </si>
  <si>
    <t>GERARDO FRIAS LOPEZ</t>
  </si>
  <si>
    <t>M4N0wZQ4xCKLi9oE</t>
  </si>
  <si>
    <t>VSA2020-0659</t>
  </si>
  <si>
    <t xml:space="preserve">LLERGO </t>
  </si>
  <si>
    <t xml:space="preserve">YSIDRO </t>
  </si>
  <si>
    <t xml:space="preserve">RANCHERIA ANACLETO CANABAL PRIMERA SECCION </t>
  </si>
  <si>
    <t xml:space="preserve">CANDELARIA CADENA CAMARA </t>
  </si>
  <si>
    <t xml:space="preserve">ISIDRO DE LA CRUZ CADENA </t>
  </si>
  <si>
    <t>38wpLNLKhF2LoJsV</t>
  </si>
  <si>
    <t>VSA2020-0680</t>
  </si>
  <si>
    <t>CARRETERA VILLAHERMOSA A CARDENAS KILOMETRO 8/5</t>
  </si>
  <si>
    <t xml:space="preserve">CALLEJON DOMINGUEZ A UN COSTADO DE DEPOSITO DE CORONA </t>
  </si>
  <si>
    <t xml:space="preserve">LETICIA CRUZ SOBERANO </t>
  </si>
  <si>
    <t>TvhLtrwKYJZCLqRh</t>
  </si>
  <si>
    <t>VSA2020-0711</t>
  </si>
  <si>
    <t>2020-01-10</t>
  </si>
  <si>
    <t>ORDOÃ‘EZ</t>
  </si>
  <si>
    <t xml:space="preserve">KARLA MARIA </t>
  </si>
  <si>
    <t xml:space="preserve">CARRETERA FEDERAL LAZARO CARDENAS </t>
  </si>
  <si>
    <t xml:space="preserve">COLONIA LAZARO CARDENAS </t>
  </si>
  <si>
    <t>ISABEL TORRES SANCHEZ</t>
  </si>
  <si>
    <t>CARLOS EMMANUEL J.A.</t>
  </si>
  <si>
    <t>2021-11-25</t>
  </si>
  <si>
    <t>Udtn2Pf5kHg3dNIl</t>
  </si>
  <si>
    <t>VSA2020-0772</t>
  </si>
  <si>
    <t xml:space="preserve">MARLENE </t>
  </si>
  <si>
    <t xml:space="preserve">SECTOR LOS SANTOS </t>
  </si>
  <si>
    <t xml:space="preserve">FREDY SOLIS TORRES </t>
  </si>
  <si>
    <t xml:space="preserve">LORENZA TORRES PEREZ </t>
  </si>
  <si>
    <t>yY5tDOOQdQ4bvDBm</t>
  </si>
  <si>
    <t>VSA2020-0928</t>
  </si>
  <si>
    <t>2020-03-11</t>
  </si>
  <si>
    <t xml:space="preserve">ZAPATA </t>
  </si>
  <si>
    <t xml:space="preserve">ADAN </t>
  </si>
  <si>
    <t xml:space="preserve">ENTRADA LOS ZAPATAS SIN NUMERO </t>
  </si>
  <si>
    <t xml:space="preserve">EJIDO SAN ELEGIDO CUNDUACAN </t>
  </si>
  <si>
    <t xml:space="preserve">ELSY MARIN AQUINO </t>
  </si>
  <si>
    <t xml:space="preserve">ARLETH OSIRIS ZAPATA MARIN </t>
  </si>
  <si>
    <t>dcWDG5aq2NwAFT0d</t>
  </si>
  <si>
    <t>VSA2020-0511</t>
  </si>
  <si>
    <t>HILDA</t>
  </si>
  <si>
    <t xml:space="preserve">VICTORIO JERONIMO CHABLE </t>
  </si>
  <si>
    <t xml:space="preserve">ROMAN JERONIMO MORALES </t>
  </si>
  <si>
    <t>dI2BDJoIA6VKqE5l</t>
  </si>
  <si>
    <t>VSA2020-0515</t>
  </si>
  <si>
    <t>2020-07-09</t>
  </si>
  <si>
    <t xml:space="preserve">ANGELA </t>
  </si>
  <si>
    <t xml:space="preserve">RUBEN IGNACIO GONZALEZ ESTRADA </t>
  </si>
  <si>
    <t xml:space="preserve">LEYDI GONZALEZ RAMOS </t>
  </si>
  <si>
    <t>27QFfFVBRFS2MFaV</t>
  </si>
  <si>
    <t>VSA2020-0524</t>
  </si>
  <si>
    <t xml:space="preserve">CINTHIA MARTINEZ  ARIAS </t>
  </si>
  <si>
    <t xml:space="preserve">PRISCILA LOPEZ REYES </t>
  </si>
  <si>
    <t>FjZCJRzXVVW8DUqt</t>
  </si>
  <si>
    <t>VSA2020-1158BIS</t>
  </si>
  <si>
    <t>2020-03-12</t>
  </si>
  <si>
    <t xml:space="preserve">AVENIDA PRINCIPAL SINN NUMERO </t>
  </si>
  <si>
    <t xml:space="preserve">FERNANDO ARIIAS GARCIA </t>
  </si>
  <si>
    <t xml:space="preserve">YULY DEL CARMEN ARIAS GARCIA </t>
  </si>
  <si>
    <t>L9mtGvhuMdxrCpI2</t>
  </si>
  <si>
    <t>VSA2020-1190</t>
  </si>
  <si>
    <t xml:space="preserve">MARIN </t>
  </si>
  <si>
    <t xml:space="preserve">ALICIA </t>
  </si>
  <si>
    <t xml:space="preserve">PRINCIPAL  SIN NUMERO GONZALEZ TERCERA SECCION  CENTRO </t>
  </si>
  <si>
    <t xml:space="preserve">ENTRADA A LA BASCULA A 30 METROS DE LA IGLESIA CATOLICA </t>
  </si>
  <si>
    <t xml:space="preserve">JUAN GARCIA ALEJO  </t>
  </si>
  <si>
    <t xml:space="preserve">BLANCA ESTELA GARCIA ROMERO </t>
  </si>
  <si>
    <t>1aJ8DRsxInCpQScP</t>
  </si>
  <si>
    <t>VSA2020-1049</t>
  </si>
  <si>
    <t xml:space="preserve">SOBERANO </t>
  </si>
  <si>
    <t>CASTILLO</t>
  </si>
  <si>
    <t xml:space="preserve">CALLE LAS GARZAS SIN NUMERO </t>
  </si>
  <si>
    <t xml:space="preserve">COLONIA ISABEL DE LA PARRA CENTRO </t>
  </si>
  <si>
    <t>MARIA FELIX REYES MENDEZ</t>
  </si>
  <si>
    <t xml:space="preserve">MARTHA ELENA MENDOZA REYES </t>
  </si>
  <si>
    <t>2021-10-23</t>
  </si>
  <si>
    <t>2021-10-30</t>
  </si>
  <si>
    <t>66YrqEm2n90yJ6aE</t>
  </si>
  <si>
    <t>VSA2020-1192BIS</t>
  </si>
  <si>
    <t>2020-02-12</t>
  </si>
  <si>
    <t>OLIVA</t>
  </si>
  <si>
    <t xml:space="preserve">AURELIA </t>
  </si>
  <si>
    <t xml:space="preserve">JAVIER ARTURO OLIVA DE LA CRUZ </t>
  </si>
  <si>
    <t xml:space="preserve">YANET OLIVA DE LA CRUZ </t>
  </si>
  <si>
    <t>YozF46muL754xvgK</t>
  </si>
  <si>
    <t>VSA202O-1195</t>
  </si>
  <si>
    <t>IGNACIA</t>
  </si>
  <si>
    <t xml:space="preserve">CARRETERA A SAMARIA SIN NUMERO </t>
  </si>
  <si>
    <t xml:space="preserve">EJIDO CUMUAPA SEGUNDA SECCION </t>
  </si>
  <si>
    <t xml:space="preserve">LAURA RIVERA DE DIOS </t>
  </si>
  <si>
    <t xml:space="preserve">IDELFONSO RIVERA DE DIOS </t>
  </si>
  <si>
    <t>0kRWPPjHu3INjNEK</t>
  </si>
  <si>
    <t>VSA2020-1283</t>
  </si>
  <si>
    <t>2020-04-12</t>
  </si>
  <si>
    <t xml:space="preserve">OLIVA </t>
  </si>
  <si>
    <t xml:space="preserve">LEON </t>
  </si>
  <si>
    <t xml:space="preserve">GERVACIO </t>
  </si>
  <si>
    <t xml:space="preserve">CARRETERA PRINCIPAL 237 </t>
  </si>
  <si>
    <t xml:space="preserve">GUSTAVO OLIVA LOPEZ </t>
  </si>
  <si>
    <t xml:space="preserve">OMAR OLIVA LOPEZ </t>
  </si>
  <si>
    <t>D99BgN4wlhD1El2E</t>
  </si>
  <si>
    <t>VSA2020-1329</t>
  </si>
  <si>
    <t>2020-12-15</t>
  </si>
  <si>
    <t xml:space="preserve">CALLEJON LOS RODRIGUEZ </t>
  </si>
  <si>
    <t xml:space="preserve">MATILDE BAUTISTA SANCHEZ </t>
  </si>
  <si>
    <t xml:space="preserve">OSVALDO RODRIGUEZ BAUTISTA </t>
  </si>
  <si>
    <t>QgnS6n5XEtrK81jP</t>
  </si>
  <si>
    <t>VSA2021-1300</t>
  </si>
  <si>
    <t>RUBALCABA</t>
  </si>
  <si>
    <t xml:space="preserve">MARIA REMEDIOS </t>
  </si>
  <si>
    <t xml:space="preserve">CARRETERA VILLAHERMOSA CARDENAS SIN NUMERO </t>
  </si>
  <si>
    <t>UQOB1tdQ0H8souRg</t>
  </si>
  <si>
    <t>VSA2021-1412</t>
  </si>
  <si>
    <t>AINERIS</t>
  </si>
  <si>
    <t xml:space="preserve">CARRETERA AL CAMELLON SIN NUMERO </t>
  </si>
  <si>
    <t xml:space="preserve">RANCHERIA PLATANO SEGUNDA SECCION </t>
  </si>
  <si>
    <t>70GF5ebxM6dsjeqQ</t>
  </si>
  <si>
    <t>VSA2021-1358</t>
  </si>
  <si>
    <t>2021-08-21</t>
  </si>
  <si>
    <t xml:space="preserve">SILBAN </t>
  </si>
  <si>
    <t xml:space="preserve">MORENO </t>
  </si>
  <si>
    <t xml:space="preserve">MARISELA </t>
  </si>
  <si>
    <t>wmUulxKwhyl72bKR</t>
  </si>
  <si>
    <t>VSA2021-1386</t>
  </si>
  <si>
    <t>TORREZ</t>
  </si>
  <si>
    <t xml:space="preserve">COLORADO </t>
  </si>
  <si>
    <t xml:space="preserve">ANTONIA </t>
  </si>
  <si>
    <t xml:space="preserve">POBLADO CUCUYULAPA CASA DE CARNITAS </t>
  </si>
  <si>
    <t>COLONIA OSCAR GOMEZ SAUL</t>
  </si>
  <si>
    <t>xkRewEGLLAsdYW2D</t>
  </si>
  <si>
    <t>VSA2021-7083</t>
  </si>
  <si>
    <t xml:space="preserve">VENTURA </t>
  </si>
  <si>
    <t xml:space="preserve">GERMAN </t>
  </si>
  <si>
    <t xml:space="preserve">RANCHERIA CUCUYULAPA </t>
  </si>
  <si>
    <t xml:space="preserve">ENTRADA POR TORTILLERIA BETHEL COMO A 150 METROS DE LA IGLESIA CATOLICA </t>
  </si>
  <si>
    <t>2022-06-01</t>
  </si>
  <si>
    <t>MHzwzgW2cTqrud1M</t>
  </si>
  <si>
    <t>VSA2020-0417</t>
  </si>
  <si>
    <t xml:space="preserve">VALENCIA </t>
  </si>
  <si>
    <t xml:space="preserve">BOSQUE DE SALOYA </t>
  </si>
  <si>
    <t xml:space="preserve">NORMA AGUILAR RUIZ </t>
  </si>
  <si>
    <t xml:space="preserve">MANUELA DIAZ HERNANDEZ </t>
  </si>
  <si>
    <t>2FgGmTe3u0N61x73</t>
  </si>
  <si>
    <t>VSA2020-0438</t>
  </si>
  <si>
    <t xml:space="preserve">DE LOS SANTOS </t>
  </si>
  <si>
    <t xml:space="preserve">CAMPOS </t>
  </si>
  <si>
    <t xml:space="preserve">JESUS CONTRERAS DE LOS SANTOS </t>
  </si>
  <si>
    <t xml:space="preserve">LUIS ANGEL CONTRERAS DE LOS SANTOS </t>
  </si>
  <si>
    <t>LzUsne7XX7w6xtkF</t>
  </si>
  <si>
    <t>VSA2020-0554</t>
  </si>
  <si>
    <t xml:space="preserve">ESTRADA </t>
  </si>
  <si>
    <t xml:space="preserve">SUSANA </t>
  </si>
  <si>
    <t xml:space="preserve">CALLE ESTRADA LOS COCOS SIN NUMERO </t>
  </si>
  <si>
    <t xml:space="preserve">MARLENE ESTRADA PEREZ </t>
  </si>
  <si>
    <t xml:space="preserve">ERIKA SANCHEZ ESTRADA </t>
  </si>
  <si>
    <t>DgSPpsy34G0ZP8wP</t>
  </si>
  <si>
    <t>VSA2020-0495</t>
  </si>
  <si>
    <t>VALIER</t>
  </si>
  <si>
    <t>LUZ DEL ALBA</t>
  </si>
  <si>
    <t xml:space="preserve">SECTOR LOS FRIAS </t>
  </si>
  <si>
    <t xml:space="preserve">JUAN TOSCA VENTURA </t>
  </si>
  <si>
    <t xml:space="preserve">JUAN MANUEL TOSCA VALIER </t>
  </si>
  <si>
    <t>wQuTLtwU54DK1OpJ</t>
  </si>
  <si>
    <t>VSA2021-1302</t>
  </si>
  <si>
    <t xml:space="preserve">LOCALIDAD MARIN SIN NUMERO </t>
  </si>
  <si>
    <t xml:space="preserve">RANCHERIA MARIN KILOMETRO 142 </t>
  </si>
  <si>
    <t>VICTORIA DE DIOS JIMENEZ</t>
  </si>
  <si>
    <t xml:space="preserve">MANUEL DE DIOS JIMENEZ </t>
  </si>
  <si>
    <t>08x1HK1VSuuDmu3Q</t>
  </si>
  <si>
    <t>VSA2021-1293</t>
  </si>
  <si>
    <t xml:space="preserve">AMALIA </t>
  </si>
  <si>
    <t xml:space="preserve">CARRETERA FEDERAL VILLAHERMOSA CARDENAS SIN NUMERO </t>
  </si>
  <si>
    <t>RANCHERIA MARIN CENTRO</t>
  </si>
  <si>
    <t xml:space="preserve">ARACELY HERNANDEZ HERNANDEZ </t>
  </si>
  <si>
    <t>57TiiiErINADRPnI</t>
  </si>
  <si>
    <t>VSA2021-1299</t>
  </si>
  <si>
    <t xml:space="preserve">ETELVINA </t>
  </si>
  <si>
    <t xml:space="preserve">MARIA PEREZ ESCOBAR </t>
  </si>
  <si>
    <t>EDUARDO PEREZ SANCHEZ</t>
  </si>
  <si>
    <t>I7C63fc129F21OYp</t>
  </si>
  <si>
    <t>VSA2020-0579</t>
  </si>
  <si>
    <t>2020-09-15</t>
  </si>
  <si>
    <t xml:space="preserve">CARRASCO </t>
  </si>
  <si>
    <t xml:space="preserve">MARTELIS </t>
  </si>
  <si>
    <t xml:space="preserve">CALLEJON ESPERANZA SIN NUMERO </t>
  </si>
  <si>
    <t xml:space="preserve">RICARDO CARRASCO REYES </t>
  </si>
  <si>
    <t xml:space="preserve">LUISA JANET RODRIGUEZ REYES </t>
  </si>
  <si>
    <t>y2SiFLXJJHR6Oz8X</t>
  </si>
  <si>
    <t>VSA2020-0615</t>
  </si>
  <si>
    <t>LAURA</t>
  </si>
  <si>
    <t xml:space="preserve">ENTRADA EL GUASIMO SIN NUMERO </t>
  </si>
  <si>
    <t>JOSE FRANCISCO ALEJO TORRES</t>
  </si>
  <si>
    <t>MIGUEL GARCIA JIMENEZ</t>
  </si>
  <si>
    <t>5qmyriVoINLnvyKv</t>
  </si>
  <si>
    <t>VSA2020-0779</t>
  </si>
  <si>
    <t>ZUAREZ</t>
  </si>
  <si>
    <t xml:space="preserve">DORA MARIA </t>
  </si>
  <si>
    <t xml:space="preserve">FABIOLA SUAREZ ZAPATA </t>
  </si>
  <si>
    <t>B.MIGUEL CONTRERAS SUAREZ</t>
  </si>
  <si>
    <t>lDtHetY5vvRStLuN</t>
  </si>
  <si>
    <t>VSA2020-0929</t>
  </si>
  <si>
    <t>ALEJO</t>
  </si>
  <si>
    <t>ENTRADA SAN ANTONIO SIN NUMERO</t>
  </si>
  <si>
    <t xml:space="preserve">CLARO LUNA ALEJO </t>
  </si>
  <si>
    <t>ANTONIO LUNA ALEJO</t>
  </si>
  <si>
    <t>w0sJlQfTS1lKZXHh</t>
  </si>
  <si>
    <t>VSA2020-0972</t>
  </si>
  <si>
    <t>2020-07-11</t>
  </si>
  <si>
    <t>CELFIDA</t>
  </si>
  <si>
    <t xml:space="preserve">ENTRADA A ZABALA SIN NUMERO </t>
  </si>
  <si>
    <t xml:space="preserve">RANCHERIA PLATANO Y CACAO SEGUNDA SECCION </t>
  </si>
  <si>
    <t xml:space="preserve">LUIS JESUS MARTINEZ SANCHEZ </t>
  </si>
  <si>
    <t>AMAIRANI MARTINEZ SANCHEZ</t>
  </si>
  <si>
    <t>WsnKchVWeEUi69dH</t>
  </si>
  <si>
    <t>VSA2020-1196</t>
  </si>
  <si>
    <t>SANDOVAL</t>
  </si>
  <si>
    <t xml:space="preserve">SECTOR LA GLORIA SIN NUMERO </t>
  </si>
  <si>
    <t xml:space="preserve">SAMUEL LOPEZ LOPEZ </t>
  </si>
  <si>
    <t xml:space="preserve">MARIA MAGDALENA LOPEZ LOPEZ </t>
  </si>
  <si>
    <t>GuIwmh3sLOHRuIVn</t>
  </si>
  <si>
    <t>VSA2020-1251</t>
  </si>
  <si>
    <t xml:space="preserve">NATIVIDAD </t>
  </si>
  <si>
    <t xml:space="preserve">ERIKA CARRASCO GARCIA </t>
  </si>
  <si>
    <t>JOSE ISABEL CARRASCO SUAREZ</t>
  </si>
  <si>
    <t>Fhh0ycIJmxabzhIb</t>
  </si>
  <si>
    <t>VSA2020-1273</t>
  </si>
  <si>
    <t xml:space="preserve">ESTEBAN </t>
  </si>
  <si>
    <t xml:space="preserve">ASUNCION HERNANDEZ JIMENEZ </t>
  </si>
  <si>
    <t xml:space="preserve">NINIVE HERNANDEZ ZAPATA </t>
  </si>
  <si>
    <t>MoVSPYGkcnW5dAXB</t>
  </si>
  <si>
    <t>VSA2021-1346</t>
  </si>
  <si>
    <t xml:space="preserve">ROSA DEL CARMEN </t>
  </si>
  <si>
    <t>FRANCISCA CUSTODIO VELAZQUEZ</t>
  </si>
  <si>
    <t xml:space="preserve">JOSUE CUSTODIO VELAZQUEZ </t>
  </si>
  <si>
    <t>MnB2DnPhweOWsbqf</t>
  </si>
  <si>
    <t>VSA2021-1357</t>
  </si>
  <si>
    <t xml:space="preserve">IRMA YOLANDA </t>
  </si>
  <si>
    <t xml:space="preserve">ENTRADA DE LA TORTILLERIA SIN NUMERO </t>
  </si>
  <si>
    <t xml:space="preserve">GERMAN HERNANDEZ VENTURA </t>
  </si>
  <si>
    <t>ELSA PATRICIA HERNANDEZ SANCHEZ</t>
  </si>
  <si>
    <t>WJLoo9k54zdjRz9e</t>
  </si>
  <si>
    <t>VSA2021-1384</t>
  </si>
  <si>
    <t xml:space="preserve">ARNNULFO </t>
  </si>
  <si>
    <t>CARRETERA CARDENAS VILLAHERMOSA KILOMETRO 139</t>
  </si>
  <si>
    <t xml:space="preserve">AURA MERODO HERNANDEZ </t>
  </si>
  <si>
    <t>YTPErp6ZiMWSKV08</t>
  </si>
  <si>
    <t>VSA2021-1426</t>
  </si>
  <si>
    <t xml:space="preserve">ESCOBAR </t>
  </si>
  <si>
    <t>BAHENA</t>
  </si>
  <si>
    <t xml:space="preserve">ENTRADA LA RATONERA SIN NUMERO </t>
  </si>
  <si>
    <t xml:space="preserve">RANCHERIA PLATANO Y CACAO CUARTA </t>
  </si>
  <si>
    <t xml:space="preserve">JOSE MANUEL DE DIOS SANCHEZ </t>
  </si>
  <si>
    <t xml:space="preserve">JOSE MANUEL DE DIOS ESCOBAR </t>
  </si>
  <si>
    <t>T4ZnQzK9H04bEYfS</t>
  </si>
  <si>
    <t>VSA2021-1345</t>
  </si>
  <si>
    <t>MAGALI</t>
  </si>
  <si>
    <t xml:space="preserve">ANA GABRIEL PERALTA RIVERA </t>
  </si>
  <si>
    <t>VERONICA RIVERA RAMOS</t>
  </si>
  <si>
    <t>Tx8of3eakAwXIb0z</t>
  </si>
  <si>
    <t>VSA2021-1398</t>
  </si>
  <si>
    <t>RAUL</t>
  </si>
  <si>
    <t xml:space="preserve">ENTRADA LA FLECHA 2 </t>
  </si>
  <si>
    <t xml:space="preserve">JOSEFINA DE LOS SANTOS ALEJO </t>
  </si>
  <si>
    <t xml:space="preserve">NELLY SANCHEZ HERNANDEZ </t>
  </si>
  <si>
    <t>rpm8I365enu9yLfI</t>
  </si>
  <si>
    <t>VSA2021-1405</t>
  </si>
  <si>
    <t>2021-08-27</t>
  </si>
  <si>
    <t xml:space="preserve">EJIDO LAGUNA DE CUCUYULAPA </t>
  </si>
  <si>
    <t xml:space="preserve">ERICK DEL CARMEN CALIX BOLAINA </t>
  </si>
  <si>
    <t xml:space="preserve">SUCELY YALITH CALIX RODRIGUEZ </t>
  </si>
  <si>
    <t>EjCq5QUuvc8VCF60</t>
  </si>
  <si>
    <t>VSA2021-1380</t>
  </si>
  <si>
    <t xml:space="preserve">OLAN </t>
  </si>
  <si>
    <t xml:space="preserve">PAULA </t>
  </si>
  <si>
    <t xml:space="preserve">COLONIA MARIO BARRUETA GARCIA </t>
  </si>
  <si>
    <t xml:space="preserve">ROSARIO PEREZ VENTURA </t>
  </si>
  <si>
    <t>RICARDO PEREZ PEREZ</t>
  </si>
  <si>
    <t>yq6XKQugCTFwmQaJ</t>
  </si>
  <si>
    <t>VSA2021-1301</t>
  </si>
  <si>
    <t>LEONOR</t>
  </si>
  <si>
    <t xml:space="preserve">RANCHERIA PLATANO Y CACAO </t>
  </si>
  <si>
    <t xml:space="preserve">ELMER TORRES SUAREZ </t>
  </si>
  <si>
    <t xml:space="preserve">JOSE ANGEL TORRES LEON </t>
  </si>
  <si>
    <t>VhPBX86GE1lZNwYi</t>
  </si>
  <si>
    <t>RANCHERIA GONZALEZ CUARTA SECCION .</t>
  </si>
  <si>
    <t>sxrMpqm0Sml8qxKD</t>
  </si>
  <si>
    <t>VSA2020-0498</t>
  </si>
  <si>
    <t>PERERA</t>
  </si>
  <si>
    <t xml:space="preserve">IRIS CRISTINA </t>
  </si>
  <si>
    <t xml:space="preserve">EJIDO CONSTITUCION </t>
  </si>
  <si>
    <t xml:space="preserve">CALLE LA FLORIDA SIN NUMERO </t>
  </si>
  <si>
    <t>QWA2O36LQHFMHsPL</t>
  </si>
  <si>
    <t>VSA2020-0431</t>
  </si>
  <si>
    <t xml:space="preserve">MARGARITA </t>
  </si>
  <si>
    <t xml:space="preserve">CARRETERA VILLAHERMOSA A BOSQUE DE SALOYA </t>
  </si>
  <si>
    <t>PwGPZQDBuo3Qqpm8</t>
  </si>
  <si>
    <t>VSA2020-0485</t>
  </si>
  <si>
    <t xml:space="preserve">ROBLES </t>
  </si>
  <si>
    <t xml:space="preserve">MARIA DEL CIELO </t>
  </si>
  <si>
    <t xml:space="preserve">ENTRADA LA GURIA </t>
  </si>
  <si>
    <t>SBE8lEqJ8sniiRqh</t>
  </si>
  <si>
    <t>VSA2020-2061</t>
  </si>
  <si>
    <t xml:space="preserve">JORGE </t>
  </si>
  <si>
    <t>AiqmGIEJRzPGN6BY</t>
  </si>
  <si>
    <t>CALLE PRINCIPAL 811</t>
  </si>
  <si>
    <t xml:space="preserve">RANCHERIA ANACLETO CANABAL SEGUNDA </t>
  </si>
  <si>
    <t>Sxdj3RjzQZ7OycLI</t>
  </si>
  <si>
    <t>VSA2020-0644</t>
  </si>
  <si>
    <t xml:space="preserve">DE LA O </t>
  </si>
  <si>
    <t xml:space="preserve">CALLEJON MIRANDA SIN NUMERO </t>
  </si>
  <si>
    <t xml:space="preserve">RANCHERIA ANACLETO CANABAL PRIMERA SECCION  CENTRO </t>
  </si>
  <si>
    <t xml:space="preserve">YESSICA MIRANDA MORALES </t>
  </si>
  <si>
    <t>LETICIA MORALES DE LA O</t>
  </si>
  <si>
    <t>Htuo7Yo3rQAmpb0t</t>
  </si>
  <si>
    <t>VSA2020-0650</t>
  </si>
  <si>
    <t xml:space="preserve">CALLEJON LOS TULIPANES SIN NUMERO </t>
  </si>
  <si>
    <t xml:space="preserve">JOSE ARTURO DIAZ RAMOS </t>
  </si>
  <si>
    <t xml:space="preserve">HILARIO DIAZ RAMOS </t>
  </si>
  <si>
    <t>zsx41NwIHJUbQ56A</t>
  </si>
  <si>
    <t>VSA2020-0649</t>
  </si>
  <si>
    <t>2ejRu5KLXEIOntNz</t>
  </si>
  <si>
    <t>VSA2020-0678</t>
  </si>
  <si>
    <t>NARVAEZ</t>
  </si>
  <si>
    <t xml:space="preserve">JOSE ANDRES </t>
  </si>
  <si>
    <t xml:space="preserve">CALLEJON MORALES </t>
  </si>
  <si>
    <t>CALLEJON ENFRENTE DEL PUSTO DE EMPANADAS CASA DE TIENDITAS</t>
  </si>
  <si>
    <t xml:space="preserve">MARIA ISABEL GOMEZ A </t>
  </si>
  <si>
    <t xml:space="preserve">CRUZ ANDRES VALENCIA GOMEZ </t>
  </si>
  <si>
    <t>BkPEZI1b786Sq8Ld</t>
  </si>
  <si>
    <t>VSA2020-0677</t>
  </si>
  <si>
    <t xml:space="preserve">CALLEJON LOS MORALES SIN NUMERO </t>
  </si>
  <si>
    <t>CALLEJON ENFRENTE DEL PUESTO DE EMPANADAS.</t>
  </si>
  <si>
    <t>MARIA ISABEL GOMEZ A.</t>
  </si>
  <si>
    <t>MARIA DEL CARMEN ACOSTA N.</t>
  </si>
  <si>
    <t>LUJqmUTpper2wPmI</t>
  </si>
  <si>
    <t>VSA2020-0627</t>
  </si>
  <si>
    <t xml:space="preserve">VERONICA </t>
  </si>
  <si>
    <t xml:space="preserve">CALLE CARLOS A MADRAZO 153 </t>
  </si>
  <si>
    <t xml:space="preserve">JUAN CARLOS HERNANDEZ GALMICHE </t>
  </si>
  <si>
    <t xml:space="preserve">KIANDA SOBERANO DE LA CRUZ </t>
  </si>
  <si>
    <t>spl5yWy3ulcJ2SfL</t>
  </si>
  <si>
    <t>VSA2020-0620</t>
  </si>
  <si>
    <t>BAUSTISTA</t>
  </si>
  <si>
    <t xml:space="preserve">FRANCISCA </t>
  </si>
  <si>
    <t xml:space="preserve">ABEL JIMENEZ MORALES </t>
  </si>
  <si>
    <t xml:space="preserve">CARMEN  BAUTISTA LEON </t>
  </si>
  <si>
    <t>OGqvsjGot7vwu3QS</t>
  </si>
  <si>
    <t>VSA2020-0660</t>
  </si>
  <si>
    <t xml:space="preserve">ZALETA </t>
  </si>
  <si>
    <t xml:space="preserve">MARIA GUADALUPE BERENICE </t>
  </si>
  <si>
    <t xml:space="preserve">FRACCIONAMIENTO MARGARITAS MODULO 9C-CASA C-HASTA EL FINAL DEL FRACCIONAMIENTO </t>
  </si>
  <si>
    <t xml:space="preserve">FILIBERTO RAUL JIMENEZ GONZALEZ </t>
  </si>
  <si>
    <t xml:space="preserve">CARLOS JIMENEZ TORRES </t>
  </si>
  <si>
    <t>skpN1QvxHqQU4hFe</t>
  </si>
  <si>
    <t>VSA2020-0688</t>
  </si>
  <si>
    <t>2020-09-28</t>
  </si>
  <si>
    <t xml:space="preserve">TELESFORO </t>
  </si>
  <si>
    <t xml:space="preserve">ALVARO MARTINEZ VAZQUEZ </t>
  </si>
  <si>
    <t xml:space="preserve">ANSELVA VAZQUEZ PEREZ </t>
  </si>
  <si>
    <t>QCSgRu2v2m55a8r0</t>
  </si>
  <si>
    <t>VSA2020-0629</t>
  </si>
  <si>
    <t xml:space="preserve">CRISTINA </t>
  </si>
  <si>
    <t xml:space="preserve">CALEJON LAS MARIPOSAS SIN NUMERO </t>
  </si>
  <si>
    <t>NORMA ALICIA GONGORA PEREZ</t>
  </si>
  <si>
    <t xml:space="preserve">JEMIMA PEREZ NORMALES </t>
  </si>
  <si>
    <t>CWuDByLJtmVjYLwe</t>
  </si>
  <si>
    <t>VSA2020-0637</t>
  </si>
  <si>
    <t>2020-09-22</t>
  </si>
  <si>
    <t xml:space="preserve">JOSE ANTONIO </t>
  </si>
  <si>
    <t xml:space="preserve">CALLEJON LA SALUD SIN NUMERO </t>
  </si>
  <si>
    <t xml:space="preserve">GEORGINA CAYETANO MORALES </t>
  </si>
  <si>
    <t xml:space="preserve">LUIS ANGEL ZAPATA TOVAR </t>
  </si>
  <si>
    <t>VdSqknjp5kmlsVsK</t>
  </si>
  <si>
    <t>VSA2019-0161</t>
  </si>
  <si>
    <t>2019-04-15</t>
  </si>
  <si>
    <t xml:space="preserve">MARIA OBDULIA TERESA VILLA GARCIA </t>
  </si>
  <si>
    <t>BUxhHmarzvlyg9SG</t>
  </si>
  <si>
    <t>VSA2020-0490</t>
  </si>
  <si>
    <t>YURIBIA</t>
  </si>
  <si>
    <t xml:space="preserve">CALLE INDEPENDENCIA ENTRANDO CALLEJON </t>
  </si>
  <si>
    <t xml:space="preserve">CARLOS CAAMAÃ‘O PEREZ </t>
  </si>
  <si>
    <t>JENNIFER CAAMAÃ‘O PEREZ</t>
  </si>
  <si>
    <t>GTxZFj3P4rRgzQiX</t>
  </si>
  <si>
    <t>VSA2020-0710</t>
  </si>
  <si>
    <t xml:space="preserve">ANACLETO CANABAL SIN NUMERO </t>
  </si>
  <si>
    <t xml:space="preserve">RANCHERIA ANACLETO CANABAL SIN NUMERO </t>
  </si>
  <si>
    <t xml:space="preserve">PATRICIA DE LA CRUZ TORRES </t>
  </si>
  <si>
    <t>MAYRA JANETH LOPEZ CASTILLO</t>
  </si>
  <si>
    <t>fvE7aXPhlWKh2MUk</t>
  </si>
  <si>
    <t>VSA2020-0838</t>
  </si>
  <si>
    <t xml:space="preserve">ESTRELLA MARIA </t>
  </si>
  <si>
    <t xml:space="preserve">ROBERTO CARLOS LOPEZ </t>
  </si>
  <si>
    <t xml:space="preserve">MANUEL LOPEZ VAZQUEZ </t>
  </si>
  <si>
    <t>0RIqUnmjeFK251lW</t>
  </si>
  <si>
    <t>VSA2020-0876</t>
  </si>
  <si>
    <t>2020-10-29</t>
  </si>
  <si>
    <t>YUDITH</t>
  </si>
  <si>
    <t xml:space="preserve">CARRETERA CARDENAS A VILLAHERMOSA SIN NUMERO </t>
  </si>
  <si>
    <t xml:space="preserve">MIGUEL PEREZ ALMEIDA </t>
  </si>
  <si>
    <t>IfDCa4zhrHb0flaQ</t>
  </si>
  <si>
    <t>VSA2020-0940</t>
  </si>
  <si>
    <t>2020-04-11</t>
  </si>
  <si>
    <t xml:space="preserve">GALMICHE </t>
  </si>
  <si>
    <t>LLURIS</t>
  </si>
  <si>
    <t xml:space="preserve">CALLEJON EMIR GUZMAN SIN NUMERO </t>
  </si>
  <si>
    <t xml:space="preserve">HOMERO HERNANDEZ DE DIOS </t>
  </si>
  <si>
    <t xml:space="preserve">DAVID HERNANDEZ GALMICHE </t>
  </si>
  <si>
    <t>SElsRlvbyYQOKxLf</t>
  </si>
  <si>
    <t>VSA2021-1067</t>
  </si>
  <si>
    <t>2021-12-07</t>
  </si>
  <si>
    <t xml:space="preserve">CARRETA </t>
  </si>
  <si>
    <t xml:space="preserve">OCEAN GONZALEZ GARCIA </t>
  </si>
  <si>
    <t xml:space="preserve">MIGUEL RIVERA GONZALEZ </t>
  </si>
  <si>
    <t>gmqDTPbOM8WW0cPJ</t>
  </si>
  <si>
    <t>VSA2019-0291</t>
  </si>
  <si>
    <t>2019-06-20</t>
  </si>
  <si>
    <t>VAZQUEZ</t>
  </si>
  <si>
    <t xml:space="preserve">CECILIA DEL CARMEN </t>
  </si>
  <si>
    <t xml:space="preserve">FRACCIONAMIENTO BICENTENARIO </t>
  </si>
  <si>
    <t>CARRETERA HUACTA MAANZANA 9 C.54</t>
  </si>
  <si>
    <t>xgjmCk8GT1zRUMY0</t>
  </si>
  <si>
    <t>VSA2021-1042</t>
  </si>
  <si>
    <t>2021-05-06</t>
  </si>
  <si>
    <t>ANATOLIA</t>
  </si>
  <si>
    <t xml:space="preserve">CERRADA LA CUARTA </t>
  </si>
  <si>
    <t xml:space="preserve">RANCHERIA BOQUERON CUARTA SECCION </t>
  </si>
  <si>
    <t xml:space="preserve">ENTRADA GALEANA </t>
  </si>
  <si>
    <t xml:space="preserve">JOSEFINA DE LA CRUZ TORRES </t>
  </si>
  <si>
    <t xml:space="preserve">BENEFICIARIO 2 AMADO DE LA CRUZ TORRES </t>
  </si>
  <si>
    <t>S35D6D3Y9KVTQ2</t>
  </si>
  <si>
    <t xml:space="preserve">MUJER </t>
  </si>
  <si>
    <t>MjkgUDxLriPHIke1</t>
  </si>
  <si>
    <t>VSA2021-1010</t>
  </si>
  <si>
    <t>2021-06-28</t>
  </si>
  <si>
    <t xml:space="preserve">AGUILAR </t>
  </si>
  <si>
    <t xml:space="preserve">MONTEJO </t>
  </si>
  <si>
    <t xml:space="preserve">ANDREA </t>
  </si>
  <si>
    <t xml:space="preserve">CALLE MACUILIS </t>
  </si>
  <si>
    <t xml:space="preserve">FRACCIONAMIENTO LOMAS DEL DORADO </t>
  </si>
  <si>
    <t xml:space="preserve">PROLONGACION IGNACIO ALLENDE </t>
  </si>
  <si>
    <t xml:space="preserve">MARIO ORTIZ SANTIAGO </t>
  </si>
  <si>
    <t xml:space="preserve">BENEFICIARIO 2 PAULA AGUILAR MONTEJO </t>
  </si>
  <si>
    <t>VIjWq77Zd5e4qc2Q</t>
  </si>
  <si>
    <t>VSA2021-0909</t>
  </si>
  <si>
    <t xml:space="preserve">DELUX </t>
  </si>
  <si>
    <t>2021-06-22</t>
  </si>
  <si>
    <t xml:space="preserve">ALPUIN </t>
  </si>
  <si>
    <t xml:space="preserve">ACUÃ‘A </t>
  </si>
  <si>
    <t xml:space="preserve">JUAN ANTONIO </t>
  </si>
  <si>
    <t xml:space="preserve">CALLE JOSEFA ORTIZ DE DOMINGUEZ </t>
  </si>
  <si>
    <t xml:space="preserve">COLONIA MIGUEL HIDALGO </t>
  </si>
  <si>
    <t xml:space="preserve">JULIETA ANGUIANO SUAREZ </t>
  </si>
  <si>
    <t xml:space="preserve">BENEFICIARIO 2 ADDI GUADALUPE ALPUIN ACUÃ‘A </t>
  </si>
  <si>
    <t>2021-12-17</t>
  </si>
  <si>
    <t>1ktuuUdogfoWWy5s</t>
  </si>
  <si>
    <t>VSA2021-0830</t>
  </si>
  <si>
    <t>2021-03-06</t>
  </si>
  <si>
    <t xml:space="preserve">MARIA CRUZ </t>
  </si>
  <si>
    <t>CALLE DEL COSTCO</t>
  </si>
  <si>
    <t xml:space="preserve">CERRADA NATIVIDAD VAZQUEZ </t>
  </si>
  <si>
    <t xml:space="preserve">FREDY VAZQUEZ PERAZA </t>
  </si>
  <si>
    <t xml:space="preserve">BENEFICIARIO 2 FREDY VAZQUEZ ALVAREZ </t>
  </si>
  <si>
    <t>7dkaFeg71CN7r5Nv</t>
  </si>
  <si>
    <t>VSA2021-0829</t>
  </si>
  <si>
    <t xml:space="preserve">PERAZA </t>
  </si>
  <si>
    <t xml:space="preserve">BAÃ‘UELOS </t>
  </si>
  <si>
    <t xml:space="preserve">MARIA DE LOS ANGELES </t>
  </si>
  <si>
    <t xml:space="preserve">PERIFERICO CARLOS PELLICER </t>
  </si>
  <si>
    <t xml:space="preserve">CERRADA CURAHUESO </t>
  </si>
  <si>
    <t xml:space="preserve">SEBASTIAN VAZQUEZ ESTRADA </t>
  </si>
  <si>
    <t xml:space="preserve">BENEFICIARIO 2 JUAN CARLOS VAZQUEZ PERAZA </t>
  </si>
  <si>
    <t>p4YQgvreSqhQeKgw</t>
  </si>
  <si>
    <t>VSA2021-0793</t>
  </si>
  <si>
    <t>2021-08-05</t>
  </si>
  <si>
    <t xml:space="preserve">ALARCON </t>
  </si>
  <si>
    <t xml:space="preserve">MARTIN </t>
  </si>
  <si>
    <t xml:space="preserve">CALLE AZUCENA </t>
  </si>
  <si>
    <t xml:space="preserve">FRACCIONAMIENTO BLANCAS MARIPOSAS </t>
  </si>
  <si>
    <t xml:space="preserve">ANA MARIA GOMEZ GARCIA </t>
  </si>
  <si>
    <t xml:space="preserve">BENEFICIARIO 2 CESAR AUGUSTO ALARCON GOMEZ </t>
  </si>
  <si>
    <t>GzP1ECr6aENCnTji</t>
  </si>
  <si>
    <t>VSA2021-0788</t>
  </si>
  <si>
    <t xml:space="preserve">CALLE ABRAHAM BANDALA </t>
  </si>
  <si>
    <t xml:space="preserve">COLONIA TAMULTE DE LAS BARRANCAS </t>
  </si>
  <si>
    <t xml:space="preserve">ALEJANDRO GONGORA GARCIA </t>
  </si>
  <si>
    <t xml:space="preserve">BENEFICIARIO 2 JULIA GONGORA GARCIA </t>
  </si>
  <si>
    <t>Dcg02O0w9T0sZ5VR</t>
  </si>
  <si>
    <t>VSA2021-0776</t>
  </si>
  <si>
    <t>2021-01-05</t>
  </si>
  <si>
    <t xml:space="preserve">MONDRAGON </t>
  </si>
  <si>
    <t xml:space="preserve">LUCIA </t>
  </si>
  <si>
    <t xml:space="preserve">RANCHERIA IXTACOMITAN </t>
  </si>
  <si>
    <t xml:space="preserve">JUDITH SILVA PEREZ </t>
  </si>
  <si>
    <t xml:space="preserve">BENEFICIARIO 2 JOEL SILVA PEREZ </t>
  </si>
  <si>
    <t>2021-12-18</t>
  </si>
  <si>
    <t>MypvMnkL3qWN6HwZ</t>
  </si>
  <si>
    <t>VSA2021-0774</t>
  </si>
  <si>
    <t xml:space="preserve">MARIA ISABEL </t>
  </si>
  <si>
    <t xml:space="preserve">COLONIA PLUTARCO ELIAS CALLES </t>
  </si>
  <si>
    <t xml:space="preserve">GABRIEL ANTONIO ESCAMILLA LEON </t>
  </si>
  <si>
    <t xml:space="preserve">BENEFICIARIO 2 MARIA ANTONIA LEON VIDAL </t>
  </si>
  <si>
    <t>8jElokLKFpAz7PSh</t>
  </si>
  <si>
    <t>VSA2021-0755</t>
  </si>
  <si>
    <t>2021-04-27</t>
  </si>
  <si>
    <t xml:space="preserve">CALLE UXMAL SIN NUMERO </t>
  </si>
  <si>
    <t xml:space="preserve">BOQUERON PRIMERA SECCION </t>
  </si>
  <si>
    <t xml:space="preserve">ARLETH MORALES GONZALEZ </t>
  </si>
  <si>
    <t xml:space="preserve">BENEFICIARIO 2 JUAN CARLOS GONZALEZ MORALES </t>
  </si>
  <si>
    <t>PnI466xBrJrMCpcy</t>
  </si>
  <si>
    <t>VSA2021-0746</t>
  </si>
  <si>
    <t>2021-04-24</t>
  </si>
  <si>
    <t xml:space="preserve">VALCAZAR </t>
  </si>
  <si>
    <t xml:space="preserve">DOMITILO </t>
  </si>
  <si>
    <t xml:space="preserve">ENTRADA AL COCOHITE SIN NUMERO </t>
  </si>
  <si>
    <t xml:space="preserve">CARMITA VILLEGAS LEON </t>
  </si>
  <si>
    <t xml:space="preserve">BENEFICIARIO 2 GUADALUPE VILLEGAS LEON </t>
  </si>
  <si>
    <t>dL3dCrDqdlYlmMuU</t>
  </si>
  <si>
    <t>VSA2021-0744</t>
  </si>
  <si>
    <t xml:space="preserve">ALCAZAR </t>
  </si>
  <si>
    <t xml:space="preserve">ISABEL </t>
  </si>
  <si>
    <t>ENTRADA AL JOBO</t>
  </si>
  <si>
    <t xml:space="preserve">RANCHERIA BOQUERON PRIMERA SECCION </t>
  </si>
  <si>
    <t xml:space="preserve">JOSE DE LOURDES JIMENEZ VILLEGAS </t>
  </si>
  <si>
    <t xml:space="preserve">BENEFICIARIO 2 ROMANA JIMENEZ ALCAZAR </t>
  </si>
  <si>
    <t>QX2qbF05mT5v9PKk</t>
  </si>
  <si>
    <t>VSA2021-0736</t>
  </si>
  <si>
    <t xml:space="preserve">EMMA DEL CARMEN </t>
  </si>
  <si>
    <t xml:space="preserve">CALLE DIANA LAURA ROJAS SIN NUMERO </t>
  </si>
  <si>
    <t xml:space="preserve">RANCHERIA IXTACOMITAN SEGUNDA SECCION </t>
  </si>
  <si>
    <t xml:space="preserve">MIGUEL ANGEL VILLAMIL LEON </t>
  </si>
  <si>
    <t xml:space="preserve">BENEFICIARIO 2 TRINIDAD CASTRO PEREZ </t>
  </si>
  <si>
    <t>G8GoSk5PzHbq99zZ</t>
  </si>
  <si>
    <t>VSA2021-0731</t>
  </si>
  <si>
    <t>2021-04-23</t>
  </si>
  <si>
    <t xml:space="preserve">OSORIO </t>
  </si>
  <si>
    <t xml:space="preserve">LUIS ALBERTO </t>
  </si>
  <si>
    <t xml:space="preserve">CALLE GALEANA PRINMERA SIN NUMERO </t>
  </si>
  <si>
    <t xml:space="preserve">RANCHERIA BOQUERON TERCERA SECCION </t>
  </si>
  <si>
    <t xml:space="preserve">LEONORA ALEJANDRA GONZALEZ RIVERA </t>
  </si>
  <si>
    <t xml:space="preserve">BENEFICIARIO 2 CECILIA OSORIO REYES </t>
  </si>
  <si>
    <t>2022-03-01</t>
  </si>
  <si>
    <t>RxTWWCnRQqAFguWn</t>
  </si>
  <si>
    <t>VSA2021-0721</t>
  </si>
  <si>
    <t>2021-04-21</t>
  </si>
  <si>
    <t xml:space="preserve">DELGADO </t>
  </si>
  <si>
    <t xml:space="preserve">VALLE </t>
  </si>
  <si>
    <t xml:space="preserve">MATILDE </t>
  </si>
  <si>
    <t xml:space="preserve">ENTRADA GUANAL SIN NUMERO </t>
  </si>
  <si>
    <t xml:space="preserve">MATILDE VALLE RUEDA </t>
  </si>
  <si>
    <t xml:space="preserve">BENEFICIARIO 2 ABEL DELGADO VALLE </t>
  </si>
  <si>
    <t>RHR5W9o4s3nxdiZa</t>
  </si>
  <si>
    <t>VSA2021-0720</t>
  </si>
  <si>
    <t xml:space="preserve">MONTES </t>
  </si>
  <si>
    <t xml:space="preserve">CALLEJON LOS MEDIDORES </t>
  </si>
  <si>
    <t xml:space="preserve">FRANCISCO CORDOVA CORDOVA </t>
  </si>
  <si>
    <t xml:space="preserve">BENEFICIARIO 2 JOSE FRANCISCO CORDOVA MONTES </t>
  </si>
  <si>
    <t>AIfDzEe2goIQLxdg</t>
  </si>
  <si>
    <t>VSA2021-0713</t>
  </si>
  <si>
    <t>2021-04-20</t>
  </si>
  <si>
    <t xml:space="preserve">CHABLE </t>
  </si>
  <si>
    <t xml:space="preserve">ESTRELLA LEONOR </t>
  </si>
  <si>
    <t xml:space="preserve">CALLE ENTOMOLOGOS </t>
  </si>
  <si>
    <t xml:space="preserve">COLONIA GAVIOTAS SUR </t>
  </si>
  <si>
    <t xml:space="preserve">SERGIO DIAZ CHABLE </t>
  </si>
  <si>
    <t xml:space="preserve">BENEFICIARIO 2 ROSA AURORA CRUZ DIAZ </t>
  </si>
  <si>
    <t>p5PoKPoYmSP43O6t</t>
  </si>
  <si>
    <t>VSA2021-0683</t>
  </si>
  <si>
    <t>2021-04-14</t>
  </si>
  <si>
    <t xml:space="preserve">VILLAMIL </t>
  </si>
  <si>
    <t xml:space="preserve">MARI ANTONIA </t>
  </si>
  <si>
    <t xml:space="preserve">RANCHERIA IXTACOMITAN PRIMERA SECCION </t>
  </si>
  <si>
    <t>ANTONIO DOMINGUEZ LANESTOSA</t>
  </si>
  <si>
    <t xml:space="preserve">BENEFICIARIO 2 MARIA CRUZ DOMINGUEZ VILLAMIL </t>
  </si>
  <si>
    <t>2021-05-15</t>
  </si>
  <si>
    <t>SwnDaZAeigYRwe39</t>
  </si>
  <si>
    <t>VSA2021-0668</t>
  </si>
  <si>
    <t>2021-08-04</t>
  </si>
  <si>
    <t xml:space="preserve">GRACIELA DEL CARMEN </t>
  </si>
  <si>
    <t xml:space="preserve">CALLE CAMPESINO </t>
  </si>
  <si>
    <t xml:space="preserve">COLONIA ATASTA </t>
  </si>
  <si>
    <t xml:space="preserve">AMPARO DE LA ROSA LEON </t>
  </si>
  <si>
    <t xml:space="preserve">BENEFICIARIO 2 JORGE RAUL LOPEZ VILLEGAS </t>
  </si>
  <si>
    <t>YhxmUmEE7yjjliI4</t>
  </si>
  <si>
    <t>VSA2021-0593</t>
  </si>
  <si>
    <t xml:space="preserve">ROCIO </t>
  </si>
  <si>
    <t xml:space="preserve">RANCHERIA MEDELLIN Y MADERO CUARTA SECCION </t>
  </si>
  <si>
    <t xml:space="preserve">JOSE ANGEL PEREYRA PEREYRA </t>
  </si>
  <si>
    <t xml:space="preserve">BENEFICIARIO 2 AKETZALLI PEREYRA ZAPATA </t>
  </si>
  <si>
    <t>2021-12-19</t>
  </si>
  <si>
    <t>PosISTLWLpXwafiE</t>
  </si>
  <si>
    <t>VSA2021-0567</t>
  </si>
  <si>
    <t>2021-03-22</t>
  </si>
  <si>
    <t>CONTRERA S</t>
  </si>
  <si>
    <t xml:space="preserve">JOSELITO </t>
  </si>
  <si>
    <t xml:space="preserve">CALLE FAISAN </t>
  </si>
  <si>
    <t xml:space="preserve">COLONIA JOSE MARIA PINO SUAREZ </t>
  </si>
  <si>
    <t xml:space="preserve">AMELIA GUZMAN LUNA </t>
  </si>
  <si>
    <t xml:space="preserve">BENEFICIARIO 2 JULIO CESAR VILLEGAS GUZMAN </t>
  </si>
  <si>
    <t>iHRmll8PH2wdMU7v</t>
  </si>
  <si>
    <t>VSA2021-0505</t>
  </si>
  <si>
    <t>2021-09-03</t>
  </si>
  <si>
    <t>CUPIDO</t>
  </si>
  <si>
    <t xml:space="preserve">ALVARO </t>
  </si>
  <si>
    <t xml:space="preserve">CALLE ESCRITORES </t>
  </si>
  <si>
    <t xml:space="preserve">MARIA VICTORIA ARIAS VIDAL </t>
  </si>
  <si>
    <t xml:space="preserve">BENEFICIARIO 2 VANESA CRISTINA CUPIDO ARIAS </t>
  </si>
  <si>
    <t>6BnjneYihDmVdtpR</t>
  </si>
  <si>
    <t>VSA2021-0359</t>
  </si>
  <si>
    <t>2021-02-18</t>
  </si>
  <si>
    <t xml:space="preserve">MARIA ALICIA </t>
  </si>
  <si>
    <t xml:space="preserve">CALLE BARQUILLO </t>
  </si>
  <si>
    <t xml:space="preserve">RANCHERIA BOQUERON SEGUNDA SECCION </t>
  </si>
  <si>
    <t xml:space="preserve">JOSE FRANCISCO TORRES LOPEZ </t>
  </si>
  <si>
    <t xml:space="preserve">BENEFICIARIO 2 LUIS ENRIQUE TORRES LOPEZ </t>
  </si>
  <si>
    <t>JvCU0IMfjOOcB6mR</t>
  </si>
  <si>
    <t>VSA2021-0341</t>
  </si>
  <si>
    <t>2021-02-16</t>
  </si>
  <si>
    <t xml:space="preserve">GUZMAN </t>
  </si>
  <si>
    <t xml:space="preserve">ESTEFANIA DE JESUS </t>
  </si>
  <si>
    <t xml:space="preserve">CALLE JESUS REYES HEROLES </t>
  </si>
  <si>
    <t xml:space="preserve">COLONIA SABINA </t>
  </si>
  <si>
    <t xml:space="preserve">RAQUEL ITZOYANA MORALES GUZMAN </t>
  </si>
  <si>
    <t xml:space="preserve">BENEFICIARIO 2 MARLY ARELY GUZMAN GARCIA </t>
  </si>
  <si>
    <t>2021-04-12</t>
  </si>
  <si>
    <t>gZnVkn1qJGmiP1HP</t>
  </si>
  <si>
    <t>VSA2021-0340</t>
  </si>
  <si>
    <t xml:space="preserve">MARLY ARELI GUZMAN GARCIQ </t>
  </si>
  <si>
    <t xml:space="preserve">BENEFICIARIO 2 RAQUEL ITZOYANA MORALES GUZMAN </t>
  </si>
  <si>
    <t>7lvIFxC8xS5mDtPM</t>
  </si>
  <si>
    <t>VSA2021-0325</t>
  </si>
  <si>
    <t>2021-02-13</t>
  </si>
  <si>
    <t xml:space="preserve">LILIANA </t>
  </si>
  <si>
    <t xml:space="preserve">CALLE ALVARO OBREGON </t>
  </si>
  <si>
    <t>COLONIA INSURGENTES</t>
  </si>
  <si>
    <t xml:space="preserve">ALEJANDRA DOMINGUEZ DIAZ </t>
  </si>
  <si>
    <t xml:space="preserve">BENEFICIARIO 2 LUZ DEL ALBA DIAZ DIAZ </t>
  </si>
  <si>
    <t>Q1YUlk68eLduRO06</t>
  </si>
  <si>
    <t>VSA2021-0497</t>
  </si>
  <si>
    <t>2021-05-03</t>
  </si>
  <si>
    <t xml:space="preserve">MUÃ‘OZ </t>
  </si>
  <si>
    <t xml:space="preserve">MARQUEZA </t>
  </si>
  <si>
    <t xml:space="preserve">ROSA ISELA TOSCA ALVAREZ </t>
  </si>
  <si>
    <t xml:space="preserve">BENEFICIARIO 2 ANGEL CASTILLO GARCIA </t>
  </si>
  <si>
    <t>2021-05-11</t>
  </si>
  <si>
    <t>SccudFZsiTjvubV1</t>
  </si>
  <si>
    <t>VSA2021-0288</t>
  </si>
  <si>
    <t>2021-10-02</t>
  </si>
  <si>
    <t xml:space="preserve">BALLINA </t>
  </si>
  <si>
    <t xml:space="preserve">AIDA </t>
  </si>
  <si>
    <t xml:space="preserve">CALLE AQUILES SERDAN </t>
  </si>
  <si>
    <t xml:space="preserve">COLONIA GIL Y SAENZ </t>
  </si>
  <si>
    <t xml:space="preserve">LEAZAR HERNANDEZ LOPEZ </t>
  </si>
  <si>
    <t xml:space="preserve">BENEFICIARIO 2 AIDA VIANET HERNANDEZ LOPEZ </t>
  </si>
  <si>
    <t>2021-11-09</t>
  </si>
  <si>
    <t>12elQjFFpLsAJLGV</t>
  </si>
  <si>
    <t>VSA2021-0306</t>
  </si>
  <si>
    <t>2021-11-02</t>
  </si>
  <si>
    <t xml:space="preserve">OSACR </t>
  </si>
  <si>
    <t xml:space="preserve">AVENIDA INSURGENTES </t>
  </si>
  <si>
    <t xml:space="preserve">COLONIA CARLOS A MADRAZO </t>
  </si>
  <si>
    <t xml:space="preserve">LUIS ALFONSO GARCIA ROMAN </t>
  </si>
  <si>
    <t xml:space="preserve">BENEFICIARIO 2 JENNI ELIZABETH GARCIA RAMON </t>
  </si>
  <si>
    <t>vnvNZcGoZbRLazhJ</t>
  </si>
  <si>
    <t>VSA2021-0311</t>
  </si>
  <si>
    <t>2021-12-02</t>
  </si>
  <si>
    <t>LENIN</t>
  </si>
  <si>
    <t xml:space="preserve">CALLE TAMPICO </t>
  </si>
  <si>
    <t xml:space="preserve">COLONIA GUADALUPE BORJA </t>
  </si>
  <si>
    <t xml:space="preserve">PATRICIA PEREZ GARCIA </t>
  </si>
  <si>
    <t xml:space="preserve">BENEFICIARIO 2 CINDI GUADALUPE PEREZ AGUILAR </t>
  </si>
  <si>
    <t>u5SsQ5LxHW3mlhmT</t>
  </si>
  <si>
    <t>VSA2021-0323</t>
  </si>
  <si>
    <t>AANTONIA</t>
  </si>
  <si>
    <t xml:space="preserve">CALLE CERRADA DE LAS FLORES </t>
  </si>
  <si>
    <t xml:space="preserve">MAYTE DIAZ DE LA CRUZ </t>
  </si>
  <si>
    <t xml:space="preserve">BENEFICIARIO 2 DANIEL GARCIA PEREZ </t>
  </si>
  <si>
    <t>2021-10-29</t>
  </si>
  <si>
    <t>poOR8p8cG2D0JaPa</t>
  </si>
  <si>
    <t>VSA2021-0727</t>
  </si>
  <si>
    <t xml:space="preserve">CARMONA </t>
  </si>
  <si>
    <t xml:space="preserve">HUY </t>
  </si>
  <si>
    <t xml:space="preserve">WILIBAALDO </t>
  </si>
  <si>
    <t xml:space="preserve">CALLE ADMINISTRACION </t>
  </si>
  <si>
    <t xml:space="preserve">ROGELIO CARMON AGARCIA </t>
  </si>
  <si>
    <t>BENEFICIARIO 2 TERESA CARMONA GARCIA</t>
  </si>
  <si>
    <t>MyYuCEzPrez2SC9M</t>
  </si>
  <si>
    <t>VSA2020-0899</t>
  </si>
  <si>
    <t xml:space="preserve">VAQUEZ </t>
  </si>
  <si>
    <t xml:space="preserve">LAURA </t>
  </si>
  <si>
    <t xml:space="preserve">CALLE PLUTARCO ELIAS CALLES </t>
  </si>
  <si>
    <t xml:space="preserve">COLONIA CURA HUESO </t>
  </si>
  <si>
    <t xml:space="preserve">MARIA LEON VAZQUEZ </t>
  </si>
  <si>
    <t xml:space="preserve">BENEFICIARIO 2 ANA ISABEL LEON VAZQUEZ </t>
  </si>
  <si>
    <t>4eW5OB8woHfKTGMU</t>
  </si>
  <si>
    <t>VSA2020-0901</t>
  </si>
  <si>
    <t xml:space="preserve">CHICO </t>
  </si>
  <si>
    <t xml:space="preserve">BEATRIZ </t>
  </si>
  <si>
    <t xml:space="preserve">JOSE DOMINGO VIDAL PEREZ </t>
  </si>
  <si>
    <t xml:space="preserve">BENEFICIARIO 2 INGRID GUADALUPE GUTIERREZ CHICO </t>
  </si>
  <si>
    <t>HYr1Nb0wXxsZEh0R</t>
  </si>
  <si>
    <t>VSA2020-0905</t>
  </si>
  <si>
    <t xml:space="preserve">DE LA SOTA </t>
  </si>
  <si>
    <t xml:space="preserve">ROSA LUZ </t>
  </si>
  <si>
    <t xml:space="preserve">CALLE QUILES SERDAN </t>
  </si>
  <si>
    <t xml:space="preserve">COLONIA ROVIROSA </t>
  </si>
  <si>
    <t xml:space="preserve">MARIA DEL SOCORRO TORRES PEREZ </t>
  </si>
  <si>
    <t xml:space="preserve">BENEFICIARIO 2 ALAN ARMANDO RINCON DE LA SOTA </t>
  </si>
  <si>
    <t>2021-12-13</t>
  </si>
  <si>
    <t>Zz2hmocf5wnKloWM</t>
  </si>
  <si>
    <t>VSA2020-0917</t>
  </si>
  <si>
    <t>2020-02-11</t>
  </si>
  <si>
    <t xml:space="preserve">CARBALLO </t>
  </si>
  <si>
    <t xml:space="preserve">JULIETA </t>
  </si>
  <si>
    <t xml:space="preserve">CALLE CURA HUESO </t>
  </si>
  <si>
    <t xml:space="preserve">JOSE ALBERTO MARIN RUIZ </t>
  </si>
  <si>
    <t xml:space="preserve">BENEFICIARIO 2 LUCI LOPEZ SANCHEZ </t>
  </si>
  <si>
    <t>TDcxhbTJmBSlaPEo</t>
  </si>
  <si>
    <t>VSA2020-0918</t>
  </si>
  <si>
    <t xml:space="preserve">SEGURA </t>
  </si>
  <si>
    <t xml:space="preserve">JESUS DE2L CARMEN </t>
  </si>
  <si>
    <t xml:space="preserve">AVENIDA DIECISEIS DE SEPTIEMBRE </t>
  </si>
  <si>
    <t xml:space="preserve">COLONIA PRIMERO DE MAYO </t>
  </si>
  <si>
    <t xml:space="preserve">JAIME ANGEL SEGURA MARIN </t>
  </si>
  <si>
    <t xml:space="preserve">BENEFICIARIO 2  JOSE ALBERTO MARIN RUIZ </t>
  </si>
  <si>
    <t>2021-12-20</t>
  </si>
  <si>
    <t>RPQVI3wrn0B47pey</t>
  </si>
  <si>
    <t>VSA2020-0926</t>
  </si>
  <si>
    <t xml:space="preserve">FERNANDO </t>
  </si>
  <si>
    <t xml:space="preserve">CALLE AGAPITO DOMINGUEZ </t>
  </si>
  <si>
    <t xml:space="preserve">COLONIA GUAYABAL </t>
  </si>
  <si>
    <t xml:space="preserve">PAOLA IVETTE RAMIREZ LOPOEZ </t>
  </si>
  <si>
    <t xml:space="preserve">BENEFICIARIO 2 DELVI NAZARIO RAMIREZ LOPEZ </t>
  </si>
  <si>
    <t>2021-10-12</t>
  </si>
  <si>
    <t>2KeLTsAeMxaSIyit</t>
  </si>
  <si>
    <t>VSA2020-0952</t>
  </si>
  <si>
    <t>2020-11-14</t>
  </si>
  <si>
    <t>EUNICES</t>
  </si>
  <si>
    <t xml:space="preserve">AVENIDA AZUCENAS SECTOR COMPUERTA </t>
  </si>
  <si>
    <t xml:space="preserve">RAUL CAMARA RAYMUNDO </t>
  </si>
  <si>
    <t xml:space="preserve">BENEFICIARIO 2 SANDRA PATRICIA GONMZALEZ MAGAÃ‘A </t>
  </si>
  <si>
    <t>HCEE5xOqm643K20F</t>
  </si>
  <si>
    <t>VSA2020-0955</t>
  </si>
  <si>
    <t>2020-06-11</t>
  </si>
  <si>
    <t xml:space="preserve">ANDADOR FAUSTO MENDEZ JIMENEZ </t>
  </si>
  <si>
    <t xml:space="preserve">COLONIA ATASTA INFONAVIT </t>
  </si>
  <si>
    <t xml:space="preserve">JULIO CESAR PEREZ LEON </t>
  </si>
  <si>
    <t xml:space="preserve">BENEFICIARIO 2 FREDY PERE Z LEON </t>
  </si>
  <si>
    <t>dM8sWtlmt00BmAc0</t>
  </si>
  <si>
    <t>VSA2020-0957</t>
  </si>
  <si>
    <t xml:space="preserve">PECH </t>
  </si>
  <si>
    <t xml:space="preserve">RUIZ </t>
  </si>
  <si>
    <t xml:space="preserve">SONIA IBELICE </t>
  </si>
  <si>
    <t>NORMA ISABEL LOPEZ PÃ‰CH</t>
  </si>
  <si>
    <t xml:space="preserve">BENEFICIARIO 2 CRISTOBAL DE JESUS LOPEZ PECH </t>
  </si>
  <si>
    <t>Tu9EFokRDMQSNelQ</t>
  </si>
  <si>
    <t>VSA2020-0977</t>
  </si>
  <si>
    <t>2020-09-11</t>
  </si>
  <si>
    <t xml:space="preserve">CALLE DE LA JUVENTUD </t>
  </si>
  <si>
    <t xml:space="preserve">COLONIA LAS DELICIAS </t>
  </si>
  <si>
    <t>JOSE GERARDO GARCIA RODRIGUEZ</t>
  </si>
  <si>
    <t xml:space="preserve">BENEFICIARIO 2 ELEVER BAUTISTA LOPEZ </t>
  </si>
  <si>
    <t>RVDMz2xRpZLorJWq</t>
  </si>
  <si>
    <t>VSA2020-0978</t>
  </si>
  <si>
    <t xml:space="preserve">HIDALGO </t>
  </si>
  <si>
    <t>CALLE IGNACIO CONMONFORT</t>
  </si>
  <si>
    <t xml:space="preserve">LETICIA HIDALGO RODRIGUEZ </t>
  </si>
  <si>
    <t>BENEFICIARIO 2 PABLO DE JESUS GARCIA VILLAPORTO</t>
  </si>
  <si>
    <t>uu79dWX7BcsGFUfx</t>
  </si>
  <si>
    <t>VSA2020-0980</t>
  </si>
  <si>
    <t xml:space="preserve">PRESENDA </t>
  </si>
  <si>
    <t xml:space="preserve">MARIA LUISA </t>
  </si>
  <si>
    <t xml:space="preserve">FRACCIONAMIENTO BALNCA MARIPOSAS </t>
  </si>
  <si>
    <t xml:space="preserve">FRACCIONAMIENTO BALNCAS MARIPOSAS </t>
  </si>
  <si>
    <t xml:space="preserve">ROSA GISELLE BALLEJO CARMONA </t>
  </si>
  <si>
    <t xml:space="preserve">BENEFICIARIO 2 MARIA EXPECTACION CRUZ CONDE </t>
  </si>
  <si>
    <t>qqBVkxvR73Su3wfr</t>
  </si>
  <si>
    <t>VSA2020-0981</t>
  </si>
  <si>
    <t>2020-10-11</t>
  </si>
  <si>
    <t xml:space="preserve">GRACIAN </t>
  </si>
  <si>
    <t xml:space="preserve">PRIEGO </t>
  </si>
  <si>
    <t xml:space="preserve">DAVID </t>
  </si>
  <si>
    <t xml:space="preserve">AVENIDA MONTE CEIBA </t>
  </si>
  <si>
    <t xml:space="preserve">RANCHERIA ESTANZUELA </t>
  </si>
  <si>
    <t xml:space="preserve">TRINIDAD GARCIAN PRIEGO </t>
  </si>
  <si>
    <t xml:space="preserve">BENEFICIARIO 2 VICTORIA GUADALUPE GARCIAN PRIEGO </t>
  </si>
  <si>
    <t>rEyprVeomz95CY2M</t>
  </si>
  <si>
    <t>VSA2020-1007</t>
  </si>
  <si>
    <t>2020-11-11</t>
  </si>
  <si>
    <t xml:space="preserve">DOMITILA </t>
  </si>
  <si>
    <t xml:space="preserve">SECCION JULIAN SANCHEZ </t>
  </si>
  <si>
    <t xml:space="preserve">JUANA MARIA GARCIA RAMIREZ </t>
  </si>
  <si>
    <t xml:space="preserve">BENEFICIARIO 2 CARLOS MARIO JIMENEZ GALLEGOS </t>
  </si>
  <si>
    <t>9HA6cEsaleyofs6D</t>
  </si>
  <si>
    <t>VSA2020-1027</t>
  </si>
  <si>
    <t>OROPEZA</t>
  </si>
  <si>
    <t xml:space="preserve">HECTOR </t>
  </si>
  <si>
    <t xml:space="preserve">CALLE MAXIMO A CAMACHO </t>
  </si>
  <si>
    <t xml:space="preserve">JOSE OROPEZA JIMENEZ </t>
  </si>
  <si>
    <t xml:space="preserve">BENEFICIARIO 2 EDUARDO ORORPEZA JIMENEZ </t>
  </si>
  <si>
    <t>2021-11-14</t>
  </si>
  <si>
    <t>kXORwXVYip64OcGH</t>
  </si>
  <si>
    <t>VSA2020-1028</t>
  </si>
  <si>
    <t>2020-12-11</t>
  </si>
  <si>
    <t xml:space="preserve">TANIA DEL CARMEN </t>
  </si>
  <si>
    <t xml:space="preserve">CALLE MAGNOLIA </t>
  </si>
  <si>
    <t xml:space="preserve">COLONIA NUEVA PENSIONES </t>
  </si>
  <si>
    <t xml:space="preserve">ORFA JIMENEZ HERNANDEZ </t>
  </si>
  <si>
    <t xml:space="preserve">BENEFICIARIO 2 MARIA DEL ROSARIO DE LA CRUZ JIMENEZ </t>
  </si>
  <si>
    <t>2022-10-01</t>
  </si>
  <si>
    <t>39aBMtySYnEXEtwR</t>
  </si>
  <si>
    <t>VSA2020-1041</t>
  </si>
  <si>
    <t xml:space="preserve">CALLE JOSE MARISCAL </t>
  </si>
  <si>
    <t xml:space="preserve">FRANCIS GUADALUPE JERONIMO PEREZ </t>
  </si>
  <si>
    <t xml:space="preserve">BENEFICIARIO 2 JUANAN PEREZ DE LA CRUZ </t>
  </si>
  <si>
    <t>u9588VrXcpqxCyt6</t>
  </si>
  <si>
    <t>VSA2020-1043</t>
  </si>
  <si>
    <t xml:space="preserve">JERONIMO </t>
  </si>
  <si>
    <t xml:space="preserve">JOSE ATILO </t>
  </si>
  <si>
    <t xml:space="preserve">BENEFICIARIO 2 CRISTHELL JERONIMO LOPEZ </t>
  </si>
  <si>
    <t>ZndHawHJUGtsboE4</t>
  </si>
  <si>
    <t>VSA2021-0088</t>
  </si>
  <si>
    <t xml:space="preserve">GERONIMO </t>
  </si>
  <si>
    <t xml:space="preserve">GALLEGOS </t>
  </si>
  <si>
    <t xml:space="preserve">COLONIA REFORMA </t>
  </si>
  <si>
    <t xml:space="preserve">VICTOR MANUEL CORREA GERONIMO </t>
  </si>
  <si>
    <t xml:space="preserve">BENEFICIARIO 2 ALFREDO CORREA GARCIA </t>
  </si>
  <si>
    <t>0uVJRK1FUE46eScG</t>
  </si>
  <si>
    <t>VSA2021-0186</t>
  </si>
  <si>
    <t>2021-01-30</t>
  </si>
  <si>
    <t>PARDO</t>
  </si>
  <si>
    <t xml:space="preserve">MURILLO </t>
  </si>
  <si>
    <t xml:space="preserve">CALLE GUSTAVO HERNANDEZ </t>
  </si>
  <si>
    <t xml:space="preserve">PEDRO COLLADO PARDO </t>
  </si>
  <si>
    <t xml:space="preserve">BENEFICIARIO 2 MARIA LENA COLLADO PARDO </t>
  </si>
  <si>
    <t>inRM2VgRMVE0a5PS</t>
  </si>
  <si>
    <t>VSA2021-0210</t>
  </si>
  <si>
    <t>2021-03-02</t>
  </si>
  <si>
    <t xml:space="preserve">ROSA MARIA </t>
  </si>
  <si>
    <t xml:space="preserve">AVENIDA CESAR AUGUSTO SANDINO </t>
  </si>
  <si>
    <t xml:space="preserve">JESUS ALEJANDRO GARCIA MARTINEZ </t>
  </si>
  <si>
    <t xml:space="preserve">BENEFICIARIO 2 FANY MORALES MORALES </t>
  </si>
  <si>
    <t>2021-07-30</t>
  </si>
  <si>
    <t>vVCHvifzdYFIRj7C</t>
  </si>
  <si>
    <t>VSA2021-0229</t>
  </si>
  <si>
    <t>2021-04-02</t>
  </si>
  <si>
    <t xml:space="preserve">SONIA </t>
  </si>
  <si>
    <t xml:space="preserve">CALLE REVOLUCION </t>
  </si>
  <si>
    <t xml:space="preserve">CESAR LAZARO TORRES </t>
  </si>
  <si>
    <t xml:space="preserve">BENEFICIARIO 2 CESAR LAZARO JIMENENEZ </t>
  </si>
  <si>
    <t>Z8Q6iQSFCpSVEP8X</t>
  </si>
  <si>
    <t>VSA2021-0414</t>
  </si>
  <si>
    <t>2021-02-24</t>
  </si>
  <si>
    <t xml:space="preserve">CALARA GUZMAN DE LA CRUZ </t>
  </si>
  <si>
    <t>BENEFICIARIO 2 BEATRIZ HERNANDEZ DOMINGUEZ</t>
  </si>
  <si>
    <t>2021-11-10</t>
  </si>
  <si>
    <t>ur5lfibQ9xnjt05T</t>
  </si>
  <si>
    <t>VSA2021-0504</t>
  </si>
  <si>
    <t xml:space="preserve">MARIA VICTORIA </t>
  </si>
  <si>
    <t xml:space="preserve">CALLE ESCRITORES MANZANA CINCO </t>
  </si>
  <si>
    <t xml:space="preserve">VANESSA CRISTINA ARIAS CUPIDO </t>
  </si>
  <si>
    <t xml:space="preserve">BENEFICIARIO 2 ALVARO CUPIDO SANCHEZ </t>
  </si>
  <si>
    <t>KmUr8nFNge40SAjJ</t>
  </si>
  <si>
    <t>VSA2021-0904</t>
  </si>
  <si>
    <t>2021-06-23</t>
  </si>
  <si>
    <t xml:space="preserve">ANGELICA MARIA </t>
  </si>
  <si>
    <t xml:space="preserve">CALLE INDEPENDENCIA </t>
  </si>
  <si>
    <t xml:space="preserve">MANUELA PEREZ MORALES </t>
  </si>
  <si>
    <t xml:space="preserve">BENEFICIARIO 2 JESUS PEREZ MORALES </t>
  </si>
  <si>
    <t>oBUg1sVJ3t0aLHld</t>
  </si>
  <si>
    <t>VSA2021-1031</t>
  </si>
  <si>
    <t>2021-02-07</t>
  </si>
  <si>
    <t xml:space="preserve">BOLON </t>
  </si>
  <si>
    <t xml:space="preserve">GOROSICA </t>
  </si>
  <si>
    <t xml:space="preserve">DIANA </t>
  </si>
  <si>
    <t xml:space="preserve">CALLE CARLOS GREEN </t>
  </si>
  <si>
    <t>COLONIA TASTA</t>
  </si>
  <si>
    <t xml:space="preserve">MIGEUL ALEXANDER </t>
  </si>
  <si>
    <t xml:space="preserve">BENEFICIARIO 2 MARIA BEATRIZ GEROSICA ESTEBAN </t>
  </si>
  <si>
    <t>lLLLBEN3HBBUvTq0</t>
  </si>
  <si>
    <t>VSA2021-1040</t>
  </si>
  <si>
    <t>2021-05-07</t>
  </si>
  <si>
    <t xml:space="preserve">JESUS </t>
  </si>
  <si>
    <t xml:space="preserve">TOSCA </t>
  </si>
  <si>
    <t>THANIA YANET</t>
  </si>
  <si>
    <t xml:space="preserve">AVENIDA INDEPENDENCIA </t>
  </si>
  <si>
    <t xml:space="preserve">CARLOS ANTONIO JESUS TOSCA </t>
  </si>
  <si>
    <t xml:space="preserve">BENEFICIARIO 2 CARMITA TOSCA PIEDRA </t>
  </si>
  <si>
    <t>ctCzD9MKz3udR2a4</t>
  </si>
  <si>
    <t>VSA2021-1041</t>
  </si>
  <si>
    <t xml:space="preserve">CALLE DOS SIN NUMERO </t>
  </si>
  <si>
    <t xml:space="preserve">ANA PATRICIA ANCONA </t>
  </si>
  <si>
    <t xml:space="preserve">BENEFICIARIO 2 ARTURO HERNANDEZ SANCHEZ </t>
  </si>
  <si>
    <t>9T03wRLo8Y0qss5l</t>
  </si>
  <si>
    <t>VSA2021-1045</t>
  </si>
  <si>
    <t>2021-06-07</t>
  </si>
  <si>
    <t xml:space="preserve">PRUDENCIO </t>
  </si>
  <si>
    <t xml:space="preserve">VICTOR MANUEL MORALES HERNADEZ </t>
  </si>
  <si>
    <t xml:space="preserve">BENEFICIARIO 2 CRISTIAN MORALES HERNANDEZ </t>
  </si>
  <si>
    <t>2021-07-18</t>
  </si>
  <si>
    <t>kYEXtb4u3LXtfCzV</t>
  </si>
  <si>
    <t>VSA2021-1382</t>
  </si>
  <si>
    <t xml:space="preserve">FRANKLIN MANUEL </t>
  </si>
  <si>
    <t xml:space="preserve">CALLE FRANCISCO I MADERO </t>
  </si>
  <si>
    <t xml:space="preserve">MANUEL ALBERTO DE LA CRUZ MOSCOSO </t>
  </si>
  <si>
    <t xml:space="preserve">BENEFICIARIO 2 EVA MARIA DE LA CRUZ MOSCOSO </t>
  </si>
  <si>
    <t>dmpmTr0GB95hxnHm</t>
  </si>
  <si>
    <t>VSA2021-1408</t>
  </si>
  <si>
    <t xml:space="preserve">ESPECIAL ANGELES </t>
  </si>
  <si>
    <t xml:space="preserve">NEGRIN </t>
  </si>
  <si>
    <t xml:space="preserve">MARIA JESUS </t>
  </si>
  <si>
    <t xml:space="preserve">CALLE CHOLULU SIN NUMERO </t>
  </si>
  <si>
    <t xml:space="preserve">FRACCIONAMIENTO POMOCA </t>
  </si>
  <si>
    <t xml:space="preserve">REGINO IGNACIO CHABLE PRIEGO </t>
  </si>
  <si>
    <t xml:space="preserve">BENEFICIARIO 2 PLACIDO PRIEGO NEGRIN </t>
  </si>
  <si>
    <t>M2ef3KjUIMvdjDVJ</t>
  </si>
  <si>
    <t>VSA2021-1437</t>
  </si>
  <si>
    <t xml:space="preserve">CALLE TALISMAN </t>
  </si>
  <si>
    <t xml:space="preserve">GLORIA VALIER ALVAREZ </t>
  </si>
  <si>
    <t xml:space="preserve">BENEFICIARIO 2 JATZITY JUDITH GARCIA VALIER </t>
  </si>
  <si>
    <t>W2iwT2TplE0PRoAJ</t>
  </si>
  <si>
    <t>VSA2021-1490</t>
  </si>
  <si>
    <t xml:space="preserve">VARGAS </t>
  </si>
  <si>
    <t xml:space="preserve">ALAN EPIGMENIO </t>
  </si>
  <si>
    <t xml:space="preserve">CALLE ASTROLOGOS </t>
  </si>
  <si>
    <t xml:space="preserve">OLIVIUA GUADALUPE HERNADEZ </t>
  </si>
  <si>
    <t xml:space="preserve">BENEFICIARIO 2 ALAN GUADALUPE </t>
  </si>
  <si>
    <t>2021-06-09</t>
  </si>
  <si>
    <t>V0rAvQYGpg1qq652</t>
  </si>
  <si>
    <t>VSA2021-0440</t>
  </si>
  <si>
    <t>2021-02-27</t>
  </si>
  <si>
    <t xml:space="preserve">ULISES </t>
  </si>
  <si>
    <t xml:space="preserve">CERRADA FLAMINGOS </t>
  </si>
  <si>
    <t xml:space="preserve">MARIA RODRIGUEZ CRUZ </t>
  </si>
  <si>
    <t>BENEFICIARIO 2 GABRIEL SANTIAGO MARTINEZ RODRIGUEZ</t>
  </si>
  <si>
    <t>w18vEJDORhsvPK3T</t>
  </si>
  <si>
    <t>VSA2021-0431</t>
  </si>
  <si>
    <t>2021-02-26</t>
  </si>
  <si>
    <t xml:space="preserve">ELMA </t>
  </si>
  <si>
    <t xml:space="preserve">COLONIA LA PALMA </t>
  </si>
  <si>
    <t xml:space="preserve">CARLOS ALBERTO ACUÃ‘A </t>
  </si>
  <si>
    <t xml:space="preserve">BENEFICIARIO 2 ANA CECILIA LOPEZ ACUÃ‘A </t>
  </si>
  <si>
    <t>EoutqPUFGIlb18ow</t>
  </si>
  <si>
    <t>VSA2021-0277</t>
  </si>
  <si>
    <t>2021-09-02</t>
  </si>
  <si>
    <t xml:space="preserve">MARTHA DEL CARMEN </t>
  </si>
  <si>
    <t xml:space="preserve">VERONICA JIMENEZ HERNANDEZ </t>
  </si>
  <si>
    <t xml:space="preserve">BENEFICIARIO 2 EVELIO JIMENENZ HERNANDEZ </t>
  </si>
  <si>
    <t>nSr7TN0kqqZDqewm</t>
  </si>
  <si>
    <t>VSA2021-0429</t>
  </si>
  <si>
    <t xml:space="preserve">OROPEZA </t>
  </si>
  <si>
    <t xml:space="preserve">GRACIELA </t>
  </si>
  <si>
    <t>AVENIDA VALLE REAL</t>
  </si>
  <si>
    <t xml:space="preserve">ANA LUISA PEREZ CALCANEO </t>
  </si>
  <si>
    <t xml:space="preserve">BENEFICIARIO 2 CARLOS ANDRES PEREZ CALCANEO </t>
  </si>
  <si>
    <t>ZOhbvUw1HcTCxGf5</t>
  </si>
  <si>
    <t>VSA2021-0437</t>
  </si>
  <si>
    <t xml:space="preserve">RICARDO </t>
  </si>
  <si>
    <t xml:space="preserve">JOSE JUAM PEREZ MAGAÃ‘A </t>
  </si>
  <si>
    <t xml:space="preserve">BENEFICIARIO 2 LEONARDA DEL CARMEN PEREZ MAGAÃ‘A </t>
  </si>
  <si>
    <t>y5YBuLKJaYAGMuzU</t>
  </si>
  <si>
    <t>VSA2021-0452</t>
  </si>
  <si>
    <t>2021-01-03</t>
  </si>
  <si>
    <t xml:space="preserve">IBETH </t>
  </si>
  <si>
    <t xml:space="preserve">AVENIDA LUIS DONALDO COLOSIO </t>
  </si>
  <si>
    <t xml:space="preserve">COLONIA GAVIOTAS NORTE </t>
  </si>
  <si>
    <t xml:space="preserve">CANDY GUADALUPE MORALES VIDAL </t>
  </si>
  <si>
    <t xml:space="preserve">BENEFICIARIO 2 KENIA CRISTHEL MORALES VIDAL </t>
  </si>
  <si>
    <t>WVyZQoURpcAh2DxF</t>
  </si>
  <si>
    <t>VSA2021-0453</t>
  </si>
  <si>
    <t xml:space="preserve">GERARDO </t>
  </si>
  <si>
    <t xml:space="preserve">CALLE ALTAMIRANO </t>
  </si>
  <si>
    <t xml:space="preserve">CONCEPCION MENDOZA ALCUDIA </t>
  </si>
  <si>
    <t xml:space="preserve">BENEFICIARIO 2 GERARDO MENDOZA ALCUDIA </t>
  </si>
  <si>
    <t>hYnthpAZtiMcMfc9</t>
  </si>
  <si>
    <t>VSA2021-0455</t>
  </si>
  <si>
    <t>2021-02-03</t>
  </si>
  <si>
    <t xml:space="preserve">ISIDRO </t>
  </si>
  <si>
    <t>CALLE JOSED MARIA GHONZALEZ</t>
  </si>
  <si>
    <t xml:space="preserve">RODE MARIZA SANCHEZ DE LA CRUZ </t>
  </si>
  <si>
    <t xml:space="preserve">BENEFICIARIO 2 IRIS VIVIANA HERNANDEZ SANCHEZ </t>
  </si>
  <si>
    <t>m2zFDgmmFBuWx5n2</t>
  </si>
  <si>
    <t>VSA2021-0468</t>
  </si>
  <si>
    <t>2021-04-03</t>
  </si>
  <si>
    <t xml:space="preserve">KENIA CRISTHELL </t>
  </si>
  <si>
    <t xml:space="preserve">CANDI GUADALUPE MORALES VIDAL </t>
  </si>
  <si>
    <t xml:space="preserve">BENEFICIARIO 2 IVAN DE JESUS RAMON RIVERA </t>
  </si>
  <si>
    <t>b9nJoYeF7AZH0EF0</t>
  </si>
  <si>
    <t>VSA2021-0469</t>
  </si>
  <si>
    <t xml:space="preserve">JESUS LUIS </t>
  </si>
  <si>
    <t xml:space="preserve">CERRADA ASUNCION CASTELLANOS </t>
  </si>
  <si>
    <t xml:space="preserve">CANDY CRISTHEL PEREZ JIMENEZ </t>
  </si>
  <si>
    <t xml:space="preserve">BENEFICIARIO 2 ULISES MARTINEZ CRUZ </t>
  </si>
  <si>
    <t>1XikiBxEYxJsLM5r</t>
  </si>
  <si>
    <t>VSA2021-0474</t>
  </si>
  <si>
    <t xml:space="preserve">LAZARO </t>
  </si>
  <si>
    <t xml:space="preserve">MADRIGAL </t>
  </si>
  <si>
    <t xml:space="preserve">CALLE JOSE MARIA PINOSUAREZ </t>
  </si>
  <si>
    <t xml:space="preserve">ROSA DE LA CRUZ LAZARO </t>
  </si>
  <si>
    <t xml:space="preserve">BENEFICIARIO 2 JOSE DEL CARMEN DE LA CRUZ LAZARO </t>
  </si>
  <si>
    <t>w9m6etb7UNp4oO4i</t>
  </si>
  <si>
    <t>VSA2021-0476</t>
  </si>
  <si>
    <t xml:space="preserve">PIEGO </t>
  </si>
  <si>
    <t xml:space="preserve">MARIO ANTONIO </t>
  </si>
  <si>
    <t xml:space="preserve">CALLE REFORMA </t>
  </si>
  <si>
    <t>DAVID BENJAMIN GUZMAN RAMIREZ</t>
  </si>
  <si>
    <t xml:space="preserve">BENEFICIARIO 2 KARLA IVETTE PRIEGO VILLAMIL </t>
  </si>
  <si>
    <t>Eef675OclHoMcG3c</t>
  </si>
  <si>
    <t>VSA2020-0897</t>
  </si>
  <si>
    <t xml:space="preserve">FANNY </t>
  </si>
  <si>
    <t>RANCHERIA IXTACOMITAN TERCERA SECCION</t>
  </si>
  <si>
    <t>Ez5DU7vRrtEW5i6s</t>
  </si>
  <si>
    <t>VSA2018-0943</t>
  </si>
  <si>
    <t>2018-09-28</t>
  </si>
  <si>
    <t xml:space="preserve">ROJANO </t>
  </si>
  <si>
    <t>MAGDALENA</t>
  </si>
  <si>
    <t xml:space="preserve">CALLE LAUREL SIN NUMERO </t>
  </si>
  <si>
    <t>eWnDleNH9NH5NF5Y</t>
  </si>
  <si>
    <t>VSA2020-0105</t>
  </si>
  <si>
    <t xml:space="preserve">AVENIDA MALECONES </t>
  </si>
  <si>
    <t>COLONIA ISABEL DE LA PARRA</t>
  </si>
  <si>
    <t>WFnN1ihoQGfTkyLE</t>
  </si>
  <si>
    <t>VSA2019-0455</t>
  </si>
  <si>
    <t>2019-08-22</t>
  </si>
  <si>
    <t>SERRA</t>
  </si>
  <si>
    <t>AURA DEL ROSARIO</t>
  </si>
  <si>
    <t xml:space="preserve">FRACCIONAMIENTO VALLE REAL </t>
  </si>
  <si>
    <t>JUAN IGNACIO ALDAMA MANZANA TREINTA LOTE OCHO DEPARTAMENTO 26</t>
  </si>
  <si>
    <t>EMANUEL ANTONIO SERRA</t>
  </si>
  <si>
    <t>ISAI ANTONIO SERRA</t>
  </si>
  <si>
    <t>9LkUizTz9AmXq2Vn</t>
  </si>
  <si>
    <t>VSA2020-1072</t>
  </si>
  <si>
    <t>EUGENIO</t>
  </si>
  <si>
    <t>CURBANO CASTAÃ‘EDA 42 INTERIOR SIN NUMERO</t>
  </si>
  <si>
    <t xml:space="preserve">SABINA CENTRO </t>
  </si>
  <si>
    <t>AL COSTADO DE TV AZTECA POR LA TERMINAL DE COMBIS MINA</t>
  </si>
  <si>
    <t xml:space="preserve">MARIA TILA CASTILLO JIMENEZ </t>
  </si>
  <si>
    <t>MARIA DOLORES BAUTISTA CASTILLO</t>
  </si>
  <si>
    <t>2021-05-28</t>
  </si>
  <si>
    <t>2021-12-06</t>
  </si>
  <si>
    <t>KIkKw0ryJyRWZIsC</t>
  </si>
  <si>
    <t>VSA2020-0475</t>
  </si>
  <si>
    <t>MANUELA</t>
  </si>
  <si>
    <t>CARRETERA PRINCIPAL VEINTITRES</t>
  </si>
  <si>
    <t xml:space="preserve">RANCHERIA IXTACOMITAN CUARTA SECCION </t>
  </si>
  <si>
    <t>JAVIER RODRIGUEZ ESCOBAR</t>
  </si>
  <si>
    <t>JESUS ANTONIO DIAZ LOPEZ</t>
  </si>
  <si>
    <t>2021-11-26</t>
  </si>
  <si>
    <t>X2y0InbiMkxQDsNn</t>
  </si>
  <si>
    <t>VSA2020-0512</t>
  </si>
  <si>
    <t>2020-10-21</t>
  </si>
  <si>
    <t xml:space="preserve">NOE </t>
  </si>
  <si>
    <t xml:space="preserve">RANCHERIA TORNO LARGO TERCERA SECCION </t>
  </si>
  <si>
    <t>NANCY KARINA CETINO DE MORALES</t>
  </si>
  <si>
    <t>LUIS JOSE MORALES CETINO</t>
  </si>
  <si>
    <t>P0KDLNwZUigZCVfI</t>
  </si>
  <si>
    <t>VSA2020-0603</t>
  </si>
  <si>
    <t>DURANTE</t>
  </si>
  <si>
    <t>NELLY</t>
  </si>
  <si>
    <t xml:space="preserve">CALLE CRISTOBAL COLON </t>
  </si>
  <si>
    <t>COLONIA TAMULTE</t>
  </si>
  <si>
    <t xml:space="preserve">JUAN JESUS LOPEZ MENDEZ </t>
  </si>
  <si>
    <t>A.AGUSTINA MENA VAZQUEZ</t>
  </si>
  <si>
    <t>2020-10-12</t>
  </si>
  <si>
    <t>2020-12-17</t>
  </si>
  <si>
    <t>tFszNHHJXxnvJd3f</t>
  </si>
  <si>
    <t>VSA2020-0661</t>
  </si>
  <si>
    <t>MANUEL</t>
  </si>
  <si>
    <t>RANCHERIA RIVERADE LAS RAICES  PRIMERA SECCION</t>
  </si>
  <si>
    <t>PANFIVILA VALENCIA CARRETERA</t>
  </si>
  <si>
    <t>MARIA CRISTINA RAMOS VALENCIA</t>
  </si>
  <si>
    <t>81aw7uaM915wpgF6</t>
  </si>
  <si>
    <t>VSA2020-0781</t>
  </si>
  <si>
    <t>2020-05-11</t>
  </si>
  <si>
    <t>PROLONGACION DE AVENIA MEXICO 90</t>
  </si>
  <si>
    <t>COLONIA SABINA CENTRO</t>
  </si>
  <si>
    <t>MARINA CHAVEZ MARTINEZ</t>
  </si>
  <si>
    <t>LOURDES DE LA CRUZ CHAVEZ</t>
  </si>
  <si>
    <t>CFOm86NeFbB1sgmt</t>
  </si>
  <si>
    <t>VSA2020-0818</t>
  </si>
  <si>
    <t>2020-10-22</t>
  </si>
  <si>
    <t>LUNA</t>
  </si>
  <si>
    <t>ROGELIO</t>
  </si>
  <si>
    <t xml:space="preserve">CARRETERA TORNO LARGO A CACAO </t>
  </si>
  <si>
    <t>SEVERO LOPEZ PEREZ</t>
  </si>
  <si>
    <t>RAQUEL LOPEZ PEREZ</t>
  </si>
  <si>
    <t>igZTaYoaRaSaScae</t>
  </si>
  <si>
    <t>VSA2020-0820</t>
  </si>
  <si>
    <t>CASTRO</t>
  </si>
  <si>
    <t xml:space="preserve">MARIA DE ATOCHA </t>
  </si>
  <si>
    <t xml:space="preserve">RANCHERIA TORNO LARGO SEGUNDA SECCION </t>
  </si>
  <si>
    <t>ACOSTA CASTRO</t>
  </si>
  <si>
    <t xml:space="preserve">GUSTAVO ACOSTA CASTRO </t>
  </si>
  <si>
    <t>2021-12-25</t>
  </si>
  <si>
    <t>0AhfODv59GoBVNq7</t>
  </si>
  <si>
    <t>VSA2020-0823</t>
  </si>
  <si>
    <t>ALVARADO</t>
  </si>
  <si>
    <t>NANCY</t>
  </si>
  <si>
    <t xml:space="preserve">RANCHERIA TORNOLARGA SEGUNDA SECCION </t>
  </si>
  <si>
    <t>JESUS MANUEL DIAZ ALVARADO</t>
  </si>
  <si>
    <t>MARCELINO DIAZ GOMEZ</t>
  </si>
  <si>
    <t>Fz7S4y7Pn0JtXMo8</t>
  </si>
  <si>
    <t>VSA2020-0824</t>
  </si>
  <si>
    <t>CHICO</t>
  </si>
  <si>
    <t xml:space="preserve">ADRIANA </t>
  </si>
  <si>
    <t>NOE CORDOVA MAYO</t>
  </si>
  <si>
    <t>MARIO DEL S.CHICO SANCHEZ</t>
  </si>
  <si>
    <t>LcSbKAE0Em1IudHV</t>
  </si>
  <si>
    <t>VSA2020-0825</t>
  </si>
  <si>
    <t>AGUILAR</t>
  </si>
  <si>
    <t>AGUIRRE</t>
  </si>
  <si>
    <t>MARIA DEL ROSARIO</t>
  </si>
  <si>
    <t>CARRETERA PRINCIPAL 101</t>
  </si>
  <si>
    <t>RANCHERIA TORNO LARGO PRIMERA SECCION</t>
  </si>
  <si>
    <t>GUADALUPE MORALES AGUILAR</t>
  </si>
  <si>
    <t>ZULEYMA ZENTENO MORALES</t>
  </si>
  <si>
    <t>xQU8nulI0mCD2TtH</t>
  </si>
  <si>
    <t>VSA2020-0829</t>
  </si>
  <si>
    <t>ALCUDIA</t>
  </si>
  <si>
    <t>ROSA JUDIT</t>
  </si>
  <si>
    <t xml:space="preserve">RANCHERIA TORNO LARGO PRIMERA SECCION </t>
  </si>
  <si>
    <t xml:space="preserve">TOMASA CEFERINO ALCUDIA </t>
  </si>
  <si>
    <t>DOMINGO GUZMAN MORALES</t>
  </si>
  <si>
    <t>HN2Znf6ktHeXuubD</t>
  </si>
  <si>
    <t>VSA2020-0833</t>
  </si>
  <si>
    <t>2020-10-24</t>
  </si>
  <si>
    <t>DAVID</t>
  </si>
  <si>
    <t xml:space="preserve">CARRETERA A TORNO LARGO KILOMETRO SEIS </t>
  </si>
  <si>
    <t>MARIA ELENA AGREGADA CORDOVA</t>
  </si>
  <si>
    <t>DANIEL ALBERTO AGUILAR AGREGADA</t>
  </si>
  <si>
    <t>58s2nbesM4r3Z8Kb</t>
  </si>
  <si>
    <t>VSA2020-0834</t>
  </si>
  <si>
    <t>RODRIGUEZ</t>
  </si>
  <si>
    <t xml:space="preserve">ROCIO DEL CARMEN MARIN MENDEZ </t>
  </si>
  <si>
    <t>RAQUEL RODRIGUEZ BAUTISTA</t>
  </si>
  <si>
    <t>woM36oNDmTzufSdM</t>
  </si>
  <si>
    <t>VSA2020-0841</t>
  </si>
  <si>
    <t xml:space="preserve">CUREÃ‘O </t>
  </si>
  <si>
    <t>PORTER</t>
  </si>
  <si>
    <t xml:space="preserve">DISTRITO MINATITLAN </t>
  </si>
  <si>
    <t xml:space="preserve">FRACCIONAMIENTO JOSE PAGES LLERGO </t>
  </si>
  <si>
    <t>LILIANA DENISSE CUREÃ‘O PORTER</t>
  </si>
  <si>
    <t>SILVIA PATRICIA PORTER SUAREZ</t>
  </si>
  <si>
    <t>mxf4ibQQazgg8dQX</t>
  </si>
  <si>
    <t>VSA2020-0867</t>
  </si>
  <si>
    <t>SEGOVIA</t>
  </si>
  <si>
    <t>AGUSTIN</t>
  </si>
  <si>
    <t>RANCHERIA GONZALEZ CUARTA SECCION 86280</t>
  </si>
  <si>
    <t xml:space="preserve">AGUSTIN SEGOVIA ARIAS </t>
  </si>
  <si>
    <t>ANA MARIA GERONIMO GERONIMO</t>
  </si>
  <si>
    <t>0EWzqGTOw7wytYvo</t>
  </si>
  <si>
    <t>VSA2020-0873</t>
  </si>
  <si>
    <t>TERENSIO</t>
  </si>
  <si>
    <t xml:space="preserve">CALLE VICENTE GUERRERO 821 </t>
  </si>
  <si>
    <t xml:space="preserve">MARIA CRUZ LOPEZ CRUZ </t>
  </si>
  <si>
    <t>PATRICIA PEREZ CAMACHO</t>
  </si>
  <si>
    <t>KZidBwVzSkWxlcvS</t>
  </si>
  <si>
    <t>VSA2020-0881</t>
  </si>
  <si>
    <t>RAMON</t>
  </si>
  <si>
    <t>TEOFILO</t>
  </si>
  <si>
    <t>MARIA DEL ROSARIO SANCHEZ CASTRO</t>
  </si>
  <si>
    <t>HERMINIA ARIAS SANCHEZ</t>
  </si>
  <si>
    <t>rLSnCjuyp8eP6rlD</t>
  </si>
  <si>
    <t>VSA2020-0882</t>
  </si>
  <si>
    <t xml:space="preserve">SILVIA </t>
  </si>
  <si>
    <t>MARIA SUSANA</t>
  </si>
  <si>
    <t>CALLEJON LA CURVA SIN NUMERO</t>
  </si>
  <si>
    <t>DAVID GONGORA FLORES</t>
  </si>
  <si>
    <t>HERIBERTO GONGORA SILVA</t>
  </si>
  <si>
    <t>YMVYiXI8KVvMD3pU</t>
  </si>
  <si>
    <t>VSA2020-0896</t>
  </si>
  <si>
    <t>ARELI BETH</t>
  </si>
  <si>
    <t>CALLE ROSARIO CASTELLANOS MANZANA CINCO</t>
  </si>
  <si>
    <t>FRACCIONAMIENTO LAS MARGARITAS</t>
  </si>
  <si>
    <t>JOSE DOMINGO FRIAS PEREZ</t>
  </si>
  <si>
    <t>MARIA MAGDALENA PEREZ MONDRAGON</t>
  </si>
  <si>
    <t>N1iT3A6GxtSDh3mN</t>
  </si>
  <si>
    <t>VSA2021-116</t>
  </si>
  <si>
    <t>2021-07-19</t>
  </si>
  <si>
    <t>ALICIA</t>
  </si>
  <si>
    <t>CALLE LOPEZ OBRADOR SIN NUMERO</t>
  </si>
  <si>
    <t>COLONIA EL MANGO VILLA BENITO JUAREZ</t>
  </si>
  <si>
    <t>iww0D58TvrS7vxAx</t>
  </si>
  <si>
    <t>VSA2021-0278</t>
  </si>
  <si>
    <t>ASCENCIO</t>
  </si>
  <si>
    <t>CALLE ABRAHAM BANDALA</t>
  </si>
  <si>
    <t>oZ7RYNqVqSKGWfkr</t>
  </si>
  <si>
    <t>VSA2021-0787</t>
  </si>
  <si>
    <t>FAUSTO</t>
  </si>
  <si>
    <t>CALLE AQUILES SERDAN 113</t>
  </si>
  <si>
    <t>COLONIA EL AGUILA ,GIL Y ZAENS</t>
  </si>
  <si>
    <t>B1BYvuhTxmDKPwao</t>
  </si>
  <si>
    <t>VSA2021-1516</t>
  </si>
  <si>
    <t>LUCECITA</t>
  </si>
  <si>
    <t xml:space="preserve">CALLE ROBERTO ROSADO SASTRE 127 </t>
  </si>
  <si>
    <t xml:space="preserve">COLONIA PUNTA BRAVA CENTRO </t>
  </si>
  <si>
    <t>ENTRE CALLE MENDEZ ESQUINA PASCUAL BELLISIA Y PROGRESO</t>
  </si>
  <si>
    <t>IGlJl0ei5vvinx2s</t>
  </si>
  <si>
    <t>VSA2021-1560</t>
  </si>
  <si>
    <t>2021-09-19</t>
  </si>
  <si>
    <t>PADILLA</t>
  </si>
  <si>
    <t>ROJAS</t>
  </si>
  <si>
    <t xml:space="preserve">MAGALI DEL CARMEN </t>
  </si>
  <si>
    <t>CALLE MIGUEL HIDALGO 737</t>
  </si>
  <si>
    <t>wvfNLTvDFA6pe2II</t>
  </si>
  <si>
    <t>VSA2021-1836</t>
  </si>
  <si>
    <t>MONTEJO</t>
  </si>
  <si>
    <t>JUDITH MINERVA</t>
  </si>
  <si>
    <t xml:space="preserve">CALLE ACAPULCO 116 INTERIOR 1 </t>
  </si>
  <si>
    <t>XUOBOZ5QD7kDtWtV</t>
  </si>
  <si>
    <t>VSA2021-1607</t>
  </si>
  <si>
    <t>2021-09-28</t>
  </si>
  <si>
    <t>TIEL</t>
  </si>
  <si>
    <t>DAMIAN</t>
  </si>
  <si>
    <t>CALLE ESPAÃ‘A 213 CENTRO</t>
  </si>
  <si>
    <t>ENTRE CALLE AFRICA Y MEXICO EN LA ESQUINA HAY UNA PANADERIA.</t>
  </si>
  <si>
    <t>lfoYiCHKvLR5dbVv</t>
  </si>
  <si>
    <t>VSA2021-1678</t>
  </si>
  <si>
    <t>2021-07-10</t>
  </si>
  <si>
    <t>CHANONA</t>
  </si>
  <si>
    <t>MENDEZ</t>
  </si>
  <si>
    <t>RANCHERIANTORNO LARGO PRIMERA SECCION</t>
  </si>
  <si>
    <t xml:space="preserve">CALLEJON LOS AGUILARES KILOMETRO 6 </t>
  </si>
  <si>
    <t>ksGStCzTnS4i9beT</t>
  </si>
  <si>
    <t>VSA2021-1686</t>
  </si>
  <si>
    <t>2021-08-10</t>
  </si>
  <si>
    <t>MARIELA</t>
  </si>
  <si>
    <t>CALLE EDUCADORES 200</t>
  </si>
  <si>
    <t xml:space="preserve">COLONIA GAVIOTAS SUR SECTOR SAN JOSE </t>
  </si>
  <si>
    <t xml:space="preserve">ENTRE MEDICOS Y ENFERMEROS </t>
  </si>
  <si>
    <t>nzS0LtgcTk1Tljr6</t>
  </si>
  <si>
    <t>VSA2021-1662</t>
  </si>
  <si>
    <t>2021-04-10</t>
  </si>
  <si>
    <t>VERTIZ</t>
  </si>
  <si>
    <t>RAUL ALEJANDRO</t>
  </si>
  <si>
    <t xml:space="preserve">RANCHERIA PLUTARCO ELIAS CALLES </t>
  </si>
  <si>
    <t xml:space="preserve"> CALLE PRINCIPAL 120 NEGOCIO RYR.</t>
  </si>
  <si>
    <t>1M3toIHibILHwfpN</t>
  </si>
  <si>
    <t>VSA2021-1798</t>
  </si>
  <si>
    <t>BAEZA</t>
  </si>
  <si>
    <t>SELENA ANABELLA</t>
  </si>
  <si>
    <t>FRACCIONAMIENTO POMOCA SECTOR 4</t>
  </si>
  <si>
    <t xml:space="preserve">PRIVADA VALLE DE BRAVO MANZANA 23 LOTE 13 </t>
  </si>
  <si>
    <t>ihaCYtH0YXK2dbTk</t>
  </si>
  <si>
    <t>VSA2021-1714</t>
  </si>
  <si>
    <t>2021-10-15</t>
  </si>
  <si>
    <t xml:space="preserve">VIRIDIANA </t>
  </si>
  <si>
    <t xml:space="preserve">CALLE MIGUEL HIDALGO 601 </t>
  </si>
  <si>
    <t xml:space="preserve">COLONIA TAMULTE </t>
  </si>
  <si>
    <t>kIKOvieiKnZALSDM</t>
  </si>
  <si>
    <t>VSA2021-1658</t>
  </si>
  <si>
    <t xml:space="preserve">JOSE DOMINGO </t>
  </si>
  <si>
    <t xml:space="preserve">CALLE EGIDO SIN NUMERO </t>
  </si>
  <si>
    <t xml:space="preserve">RANCHERIA MANGA 3 ABANICO </t>
  </si>
  <si>
    <t>Eyix5edHLXgHJErb</t>
  </si>
  <si>
    <t>VSA2021-1815</t>
  </si>
  <si>
    <t>CALLE BRASIL 208</t>
  </si>
  <si>
    <t>ENTRE AFRICA Y MEXICO</t>
  </si>
  <si>
    <t>lCTbMn5Qx4Xs7rgx</t>
  </si>
  <si>
    <t>VSA2021-1703</t>
  </si>
  <si>
    <t>OLGA CECILIA</t>
  </si>
  <si>
    <t>CALLE LAUREL SIN NUMERO</t>
  </si>
  <si>
    <t>NMBA407dSBBFJURa</t>
  </si>
  <si>
    <t>VSA2021-1765</t>
  </si>
  <si>
    <t>2021-10-26</t>
  </si>
  <si>
    <t>AMALIA JUDITH</t>
  </si>
  <si>
    <t xml:space="preserve">ENTRE CALLE JOSE CLARO GARCIA </t>
  </si>
  <si>
    <t xml:space="preserve">COLONIA 18 DE MARZO  </t>
  </si>
  <si>
    <t>827y6kvtdA87mNq8</t>
  </si>
  <si>
    <t>VSA2021-1631</t>
  </si>
  <si>
    <t>OLVERA</t>
  </si>
  <si>
    <t>BECERRA</t>
  </si>
  <si>
    <t>CALLE LIMBANO BLANDIN 503</t>
  </si>
  <si>
    <t>EL GARAGE ES UNA POZOLERIA ALADO DE PANADERIA NAHISITH</t>
  </si>
  <si>
    <t>Q6w251FdhYCanE9L</t>
  </si>
  <si>
    <t>VSA2021-1688</t>
  </si>
  <si>
    <t xml:space="preserve">CALLE DIBUJANTES 103 </t>
  </si>
  <si>
    <t xml:space="preserve">ENTRE CALLE MEDICO Y CONSTRUCTORES CERCA DE UNA ESCULA </t>
  </si>
  <si>
    <t>dTFM4iib9cElqnRX</t>
  </si>
  <si>
    <t>VSA2021-2594</t>
  </si>
  <si>
    <t>2021-08-16</t>
  </si>
  <si>
    <t>PEREGRINO</t>
  </si>
  <si>
    <t>MARIA ESPERANZA</t>
  </si>
  <si>
    <t>ANDADOR RIO GRIJALBA 382</t>
  </si>
  <si>
    <t>b0SQm5pa4aisDMF2</t>
  </si>
  <si>
    <t>VSA2021-1702</t>
  </si>
  <si>
    <t xml:space="preserve">LUZ DEL ALBA </t>
  </si>
  <si>
    <t xml:space="preserve">CALLE LAUREL SIN NUNMERO </t>
  </si>
  <si>
    <t>FjZt3keZfVAW2QFO</t>
  </si>
  <si>
    <t>VSA2021-1729</t>
  </si>
  <si>
    <t xml:space="preserve">SOSA </t>
  </si>
  <si>
    <t xml:space="preserve">DORA  MARIA </t>
  </si>
  <si>
    <t>CALLE JERUSALEN 8</t>
  </si>
  <si>
    <t>FRACCIONAMIENTO REAL DEL ANGEL (PALESTINA)</t>
  </si>
  <si>
    <t>AoFdFSlX7saJ4vrv</t>
  </si>
  <si>
    <t>VSA2021-1758</t>
  </si>
  <si>
    <t xml:space="preserve">CALLE PEDRO GUTIERREZ CORTEZ </t>
  </si>
  <si>
    <t xml:space="preserve">ENTRE MANUEL PEREZ MERINO </t>
  </si>
  <si>
    <t>2022-04-01</t>
  </si>
  <si>
    <t>10bHWh1d5938eisD</t>
  </si>
  <si>
    <t>VSA2021-1885</t>
  </si>
  <si>
    <t>DARWIN</t>
  </si>
  <si>
    <t xml:space="preserve">FRACCION TRINFO LA MANGA 2 </t>
  </si>
  <si>
    <t xml:space="preserve">CIRCUITO MUNICIPAL MANZANA A LOTE 4 </t>
  </si>
  <si>
    <t>f7oq3LK7iJWIbTvi</t>
  </si>
  <si>
    <t>VSA2021-1881</t>
  </si>
  <si>
    <t>BARRIOS</t>
  </si>
  <si>
    <t>DEISY</t>
  </si>
  <si>
    <t xml:space="preserve">AVENIDA MEXICO SIN NUMERO </t>
  </si>
  <si>
    <t xml:space="preserve">CALLE PRINCIPAL PROLONGACION ALADO DEL PANTEON </t>
  </si>
  <si>
    <t>0xnFD4XJyPZoYj31</t>
  </si>
  <si>
    <t>VSA2021-1912</t>
  </si>
  <si>
    <t>REYES</t>
  </si>
  <si>
    <t>MARCOS</t>
  </si>
  <si>
    <t>CERRADA INDEPENDENCIA 204</t>
  </si>
  <si>
    <t xml:space="preserve">COLONIA PRIMERA DE MAYO </t>
  </si>
  <si>
    <t>DJ1LekEHOWCExB89</t>
  </si>
  <si>
    <t>VSA2021-1705</t>
  </si>
  <si>
    <t>2021-10-14</t>
  </si>
  <si>
    <t xml:space="preserve">VIVIANA </t>
  </si>
  <si>
    <t xml:space="preserve">CERRADA VALLE ALEGRE B MANZANA 19 </t>
  </si>
  <si>
    <t xml:space="preserve">FRACCIONAMIENTO POMOCA NACAJUCA </t>
  </si>
  <si>
    <t>2021-12-11</t>
  </si>
  <si>
    <t>2021-12-12</t>
  </si>
  <si>
    <t>bNe5ROW1vl4DDLyu</t>
  </si>
  <si>
    <t>VSA2021-1697</t>
  </si>
  <si>
    <t>MARIA TERESA</t>
  </si>
  <si>
    <t xml:space="preserve">AVENIDA DE LAS TORRES NUMERO 132 </t>
  </si>
  <si>
    <t>9BtUmiomJ5QHnTU0</t>
  </si>
  <si>
    <t>VSA2021-1668</t>
  </si>
  <si>
    <t xml:space="preserve">CALLE PRINCIPAL 2 </t>
  </si>
  <si>
    <t>COLONIA PLUTARCO ELIAS CALLES</t>
  </si>
  <si>
    <t>Rh2XN36whS4pUMY5</t>
  </si>
  <si>
    <t>VSA2021-1793</t>
  </si>
  <si>
    <t>2021-01-11</t>
  </si>
  <si>
    <t xml:space="preserve">AVILA </t>
  </si>
  <si>
    <t>ANA NOHEMI</t>
  </si>
  <si>
    <t>CALLE JOSE MARIA PINOSUAREZ 322 DEPARTAMENTO 103</t>
  </si>
  <si>
    <t>ZWumNtZ09xHhQalV</t>
  </si>
  <si>
    <t>VSA2021-1646</t>
  </si>
  <si>
    <t>2021-01-10</t>
  </si>
  <si>
    <t xml:space="preserve">VILLALOBOS </t>
  </si>
  <si>
    <t>ALFONSO VICENS SALDIVAR 2021</t>
  </si>
  <si>
    <t>COLONIA TRIUNFO LA MANGA 2</t>
  </si>
  <si>
    <t>2021-09-30</t>
  </si>
  <si>
    <t>Do9KKgYV3muSkca7</t>
  </si>
  <si>
    <t>VSA2021-1695</t>
  </si>
  <si>
    <t xml:space="preserve">SILVAN </t>
  </si>
  <si>
    <t>ESPEJO</t>
  </si>
  <si>
    <t xml:space="preserve">ENRIQUE </t>
  </si>
  <si>
    <t>CALLE PEPE DEL RIVERO NUMERO 1006</t>
  </si>
  <si>
    <t>2021-09-10</t>
  </si>
  <si>
    <t>EBJ2YevOZWafC0k6</t>
  </si>
  <si>
    <t>VSA2021-1659</t>
  </si>
  <si>
    <t xml:space="preserve">LIDIA </t>
  </si>
  <si>
    <t xml:space="preserve">CALLE REFORMA AGRARIA MANZANA 20 LOTE 4 </t>
  </si>
  <si>
    <t>FRACCIONAMIENTO TRIUNFO LA MANGA 3</t>
  </si>
  <si>
    <t>uAKN7uFXjhAehG8l</t>
  </si>
  <si>
    <t>VSA2021-1923</t>
  </si>
  <si>
    <t>2021-11-27</t>
  </si>
  <si>
    <t>CALLE CHICHENITZA DEPARTAMENTO 4 MANZANA 1 LOTE 2</t>
  </si>
  <si>
    <t xml:space="preserve">FRACIONAMIENTO POMOCA </t>
  </si>
  <si>
    <t>2022-01-14</t>
  </si>
  <si>
    <t>oqRbakl8rcEeMxwZ</t>
  </si>
  <si>
    <t>VSA2020-1044</t>
  </si>
  <si>
    <t xml:space="preserve">VICTORIA </t>
  </si>
  <si>
    <t xml:space="preserve">MAXILIANO AVILA CAMACHO </t>
  </si>
  <si>
    <t>JOSE MARIA PINOSUAREZ CENTRO</t>
  </si>
  <si>
    <t>GUADALUPE SANCHEZ GONZALEZ</t>
  </si>
  <si>
    <t xml:space="preserve">ALEJANDRO SANCHEZ GONZALEZ </t>
  </si>
  <si>
    <t>HsK6KZicw49Baq67</t>
  </si>
  <si>
    <t>VSA2020-1063</t>
  </si>
  <si>
    <t>ROSARIO IVONNE</t>
  </si>
  <si>
    <t xml:space="preserve">CALLEJON SANTIAGO ACOPA </t>
  </si>
  <si>
    <t>RANCHERIA SALOYA SEGUNDA SECCION .</t>
  </si>
  <si>
    <t xml:space="preserve">MIRIAM ARIAS ALVAREZ </t>
  </si>
  <si>
    <t xml:space="preserve">REINA OFELIA GOMEZ LOPEZ </t>
  </si>
  <si>
    <t>BHx3KZmb5xC6fj1h</t>
  </si>
  <si>
    <t>VSA2020-1109</t>
  </si>
  <si>
    <t>POUS</t>
  </si>
  <si>
    <t xml:space="preserve">AVENIDA PAGUES LLERGO 319 </t>
  </si>
  <si>
    <t>NUEVA VILLAHERMOSA CENTRO</t>
  </si>
  <si>
    <t xml:space="preserve">SENAIDA DE LA 0 GARCIA </t>
  </si>
  <si>
    <t>SILVIA PEREZ POUS</t>
  </si>
  <si>
    <t>wAsFRZnmhbMXCOpF</t>
  </si>
  <si>
    <t>VSA2020-1114</t>
  </si>
  <si>
    <t>SARAO</t>
  </si>
  <si>
    <t>MORALEZ</t>
  </si>
  <si>
    <t>BRIGIDA</t>
  </si>
  <si>
    <t>LA VENTA MANZANA 2 EDIFICIO 6 CASA 1</t>
  </si>
  <si>
    <t>DAVID DE LA CRUZ SARAO</t>
  </si>
  <si>
    <t>LILIANA DE LA CRUZ SARAO</t>
  </si>
  <si>
    <t>SKAEMTykyyufkcO3</t>
  </si>
  <si>
    <t>VSA2020-1115</t>
  </si>
  <si>
    <t xml:space="preserve">JOVA </t>
  </si>
  <si>
    <t>ANDADOR SIMON ZARLAT MANZANA 12 LOTE 7</t>
  </si>
  <si>
    <t>ARMANDO HEREDIA ARIAS</t>
  </si>
  <si>
    <t xml:space="preserve">SARAY HEREDIA ARIAS </t>
  </si>
  <si>
    <t>2021-02-10</t>
  </si>
  <si>
    <t>2021-10-16</t>
  </si>
  <si>
    <t>zMeTcsTHXwAjIQEo</t>
  </si>
  <si>
    <t>VSA2020-1120</t>
  </si>
  <si>
    <t>MIRANDA</t>
  </si>
  <si>
    <t>ZARRAZAGA</t>
  </si>
  <si>
    <t>ANDADOR GUADALUPE VICTORIA MANZANA 1 LOTE 22.</t>
  </si>
  <si>
    <t>CARLOS  A MADRAZO</t>
  </si>
  <si>
    <t xml:space="preserve">ISELA DE LA CRUZ MIRANDA </t>
  </si>
  <si>
    <t xml:space="preserve">GRISELDA DE LA CRUZ MIRANDA </t>
  </si>
  <si>
    <t>NhNOXGmIlmiOLu0s</t>
  </si>
  <si>
    <t>VSA2020-1134</t>
  </si>
  <si>
    <t>2020-11-19</t>
  </si>
  <si>
    <t>ALFREDO</t>
  </si>
  <si>
    <t xml:space="preserve">CARRETERA PRINCIPAL 4 </t>
  </si>
  <si>
    <t xml:space="preserve">IRMA CASTILLO GOMEZ </t>
  </si>
  <si>
    <t>DAVID LLERGO CASTILLO</t>
  </si>
  <si>
    <t>HtYjfmytrvZRyPdB</t>
  </si>
  <si>
    <t>VSA2020-1136</t>
  </si>
  <si>
    <t>ANDADOR DE LOS TRABAJADORES MANZANA 10 LOTE 3</t>
  </si>
  <si>
    <t xml:space="preserve">KARINA REYES LOPEZ </t>
  </si>
  <si>
    <t xml:space="preserve">EFREN GONZALEZ </t>
  </si>
  <si>
    <t>8zzjRgTTU65GS6mQ</t>
  </si>
  <si>
    <t>VSA2020-1142</t>
  </si>
  <si>
    <t>GARDUZA</t>
  </si>
  <si>
    <t xml:space="preserve">IGNACIO COMONFORD 210 INTERIOR 5 </t>
  </si>
  <si>
    <t xml:space="preserve">SEBASTIAN GARCIA RODRIGUEZ </t>
  </si>
  <si>
    <t xml:space="preserve">JORGE ESQUIVEL GARDUZA </t>
  </si>
  <si>
    <t>dG5IZVohFf1pQI2D</t>
  </si>
  <si>
    <t>VSA2020-1146</t>
  </si>
  <si>
    <t>2020-11-20</t>
  </si>
  <si>
    <t xml:space="preserve">MARIA DE LA CRUZ </t>
  </si>
  <si>
    <t>CARRETERA A LUIS GIL PEREZ KILOMETRO 45</t>
  </si>
  <si>
    <t>JULIO ANTONIO CHULIN MARFIL</t>
  </si>
  <si>
    <t>GUSTAVO ALBERTO CHULIN LLERGO</t>
  </si>
  <si>
    <t>MGsdONl3FXt37LFw</t>
  </si>
  <si>
    <t>VSA2020-1149</t>
  </si>
  <si>
    <t>ASUNCION</t>
  </si>
  <si>
    <t>CERRADA EL ACERO KILOMETRO 4/700</t>
  </si>
  <si>
    <t xml:space="preserve">RICARDA REYES DE LA CRUZ </t>
  </si>
  <si>
    <t xml:space="preserve">INOCENTA REYES CRUZ </t>
  </si>
  <si>
    <t>7bqt8Qjmlv5GO8EG</t>
  </si>
  <si>
    <t>VSA2020-1153</t>
  </si>
  <si>
    <t xml:space="preserve">CARRETERA VILLAHERMOSA A LUIS GIL PEREZ KILOMETRO 4.5 </t>
  </si>
  <si>
    <t>BEATRIZ GUZMAN LLERGO</t>
  </si>
  <si>
    <t>MARIA ELIDE LLERGO LEON</t>
  </si>
  <si>
    <t>68zZtkTBlzsJKQR9</t>
  </si>
  <si>
    <t>VSA2020-1154</t>
  </si>
  <si>
    <t xml:space="preserve">PINZON </t>
  </si>
  <si>
    <t xml:space="preserve">LETICIA </t>
  </si>
  <si>
    <t xml:space="preserve">CARRETRA VILLAHERMOSA A LUIS GIL PEREZ KILOMETRO 4.5 </t>
  </si>
  <si>
    <t>NAYELI QUIROZ PINTON</t>
  </si>
  <si>
    <t>MAYRA TILA DE LA CRUZ VIDAL</t>
  </si>
  <si>
    <t>2021-10-10</t>
  </si>
  <si>
    <t>1EMg1U1cpM1gnzxr</t>
  </si>
  <si>
    <t>VSA2020-1164</t>
  </si>
  <si>
    <t>FREDDY</t>
  </si>
  <si>
    <t xml:space="preserve">CARRETERA A LUIS GIL PEREZ </t>
  </si>
  <si>
    <t>MARIELA DEL CARMEN COLORADO ROCA</t>
  </si>
  <si>
    <t>BRUNO LUNA LAYNE</t>
  </si>
  <si>
    <t>95tQCKq0Au5Z9J1k</t>
  </si>
  <si>
    <t>VSA2020-1180</t>
  </si>
  <si>
    <t>ARIAS</t>
  </si>
  <si>
    <t>IVETTE</t>
  </si>
  <si>
    <t xml:space="preserve">CARRETERA A LUIS GIL PEREZ KILOMETRO 3 </t>
  </si>
  <si>
    <t xml:space="preserve">ASVINIA ARIAS GARCIA </t>
  </si>
  <si>
    <t>CALISTO VIDAL GUTIERREZ</t>
  </si>
  <si>
    <t>kOu0EjVT6B2QLePm</t>
  </si>
  <si>
    <t>VSA2020-1181</t>
  </si>
  <si>
    <t>ABRAHAM</t>
  </si>
  <si>
    <t xml:space="preserve">CARRETERA VILLAHERMOSA A LUIS GIL PEREZ KILOMETRO 3 </t>
  </si>
  <si>
    <t xml:space="preserve">GILBERTO ARIAS VIDAL </t>
  </si>
  <si>
    <t xml:space="preserve">YDELFIA DEL CARMEN VIDAL GUTIERREZ </t>
  </si>
  <si>
    <t>7KRSrKITD8XCH9sv</t>
  </si>
  <si>
    <t>VSA2020-1193</t>
  </si>
  <si>
    <t>ANDADOR VICENTE GUERRERO MANZANA 22 LOTE 41</t>
  </si>
  <si>
    <t>ENTRE LUIS DONALDO COLOSIO Y AVENIDAS LAS TORRES</t>
  </si>
  <si>
    <t xml:space="preserve">MARIO GILBERTO COSTA RICARDE </t>
  </si>
  <si>
    <t xml:space="preserve">CANDELARIA DE LA CRUZ CHABLE </t>
  </si>
  <si>
    <t>XiUULPc2JipJFSRt</t>
  </si>
  <si>
    <t>VSA2020-1194</t>
  </si>
  <si>
    <t>MARIA DEL ROCIO</t>
  </si>
  <si>
    <t xml:space="preserve">CERRADA TLITEPEC MANZANA 09 DEPARTAMENTO 105 </t>
  </si>
  <si>
    <t xml:space="preserve">NATIVIDAD MIRANDA LOPEZ </t>
  </si>
  <si>
    <t>RICARDO MIRANDA LOPEZ</t>
  </si>
  <si>
    <t>iw4wlGoMqzA3eQQs</t>
  </si>
  <si>
    <t>VSA2020-1204</t>
  </si>
  <si>
    <t>2020-11-24</t>
  </si>
  <si>
    <t>JAVIER</t>
  </si>
  <si>
    <t xml:space="preserve">PASEO DEL JAGUAR MANZANA 1 LOTE 2 </t>
  </si>
  <si>
    <t>DARVELIA PEREZ ZARRACINO</t>
  </si>
  <si>
    <t xml:space="preserve">RUBEN RODRIGUEZ LOPEZ </t>
  </si>
  <si>
    <t>lXpg1Th6N0nGv99M</t>
  </si>
  <si>
    <t>VSA2020-1210</t>
  </si>
  <si>
    <t xml:space="preserve">SECTOR 4 CIRCUITO VALLE </t>
  </si>
  <si>
    <t xml:space="preserve">FRACCIONAMIENTO VALLE REAL POMOCA </t>
  </si>
  <si>
    <t xml:space="preserve">JUAN ANTONIO ARZAT PEREZ </t>
  </si>
  <si>
    <t xml:space="preserve">CARMITA CRUZ PEREZ </t>
  </si>
  <si>
    <t>S3j7ZEejTDSOL0vl</t>
  </si>
  <si>
    <t>VSA2020-1231</t>
  </si>
  <si>
    <t>2020-11-26</t>
  </si>
  <si>
    <t xml:space="preserve">RUBEN </t>
  </si>
  <si>
    <t>CALLE QUETZALES MANZANA 34 LOTE 10</t>
  </si>
  <si>
    <t xml:space="preserve">COLONIA ISABEL DE LA PARRA </t>
  </si>
  <si>
    <t>AMELIA PEREZ SARRACINO</t>
  </si>
  <si>
    <t xml:space="preserve">JAVIER RODRIGUEZ LOPEZ </t>
  </si>
  <si>
    <t>1DZQVl7FfvHGT2f4</t>
  </si>
  <si>
    <t>VSA2020-1244</t>
  </si>
  <si>
    <t xml:space="preserve">KARINA </t>
  </si>
  <si>
    <t xml:space="preserve">CIRCUITO VALLE DE TOLUCA MANZANA 18 MODULO 10CASA 3 </t>
  </si>
  <si>
    <t xml:space="preserve">FELIZ E.MARTINEZ DE LOS SANTOS </t>
  </si>
  <si>
    <t>ELSY LEON CONTRERAS</t>
  </si>
  <si>
    <t>P5mTjzeeeQUVBd8f</t>
  </si>
  <si>
    <t>VSA2020-1248</t>
  </si>
  <si>
    <t>CHAVEZ</t>
  </si>
  <si>
    <t xml:space="preserve">ANDADOR EL GARROBO MANZANA 82 LOTE 9 </t>
  </si>
  <si>
    <t xml:space="preserve">FRACCIONAMIENTO LA SELVA </t>
  </si>
  <si>
    <t>MARTHA LOZANO CHAVEZ</t>
  </si>
  <si>
    <t xml:space="preserve">PABLO LOZANO CHAVEZ </t>
  </si>
  <si>
    <t>wFV051UPCqXhxb2T</t>
  </si>
  <si>
    <t>VSA2020-1267</t>
  </si>
  <si>
    <t xml:space="preserve">ROJAS </t>
  </si>
  <si>
    <t xml:space="preserve">PERLA GUADALUPE </t>
  </si>
  <si>
    <t>CERRADA VICTORIA B DEPARTAMENTO 1.5  SECTOR 3 MANZANA 23</t>
  </si>
  <si>
    <t xml:space="preserve">NORMA HERNANDEZ ROJAS </t>
  </si>
  <si>
    <t xml:space="preserve">LETICIA HERNANDEZ ROJAS </t>
  </si>
  <si>
    <t>sMh0LHI6pfk8QEks</t>
  </si>
  <si>
    <t>VSA2020-1277</t>
  </si>
  <si>
    <t>2020-01-12</t>
  </si>
  <si>
    <t>ELIANA</t>
  </si>
  <si>
    <t>CARRETERA PRINCIPAL VILLAHERMOSA</t>
  </si>
  <si>
    <t xml:space="preserve">SALOYA SEGUNDA NACAJUCA </t>
  </si>
  <si>
    <t>GABRIEL OVANDO MARTINEZ</t>
  </si>
  <si>
    <t>DIANA LISBET DE LA CRUZ CUPIL</t>
  </si>
  <si>
    <t>aVj9U8buy5svWn4N</t>
  </si>
  <si>
    <t>VSA2020-1299</t>
  </si>
  <si>
    <t>2020-05-12</t>
  </si>
  <si>
    <t xml:space="preserve">MARTHA ELENA </t>
  </si>
  <si>
    <t xml:space="preserve">CALLE 25 MANZANA 42 LOTE 38 </t>
  </si>
  <si>
    <t xml:space="preserve">FRACCIONAMIENTO SANTA ELENA </t>
  </si>
  <si>
    <t xml:space="preserve">NATIVIDAD ORTIZ AGUILAR </t>
  </si>
  <si>
    <t xml:space="preserve">NATIVIDAD ORTIZ MONTEJO </t>
  </si>
  <si>
    <t>cwLw9VpI7yqsCB9w</t>
  </si>
  <si>
    <t>VSA2020-1321</t>
  </si>
  <si>
    <t xml:space="preserve">FLOR DE LIZ </t>
  </si>
  <si>
    <t xml:space="preserve">SECTOR  JIMENEZ SIN NUMERIO </t>
  </si>
  <si>
    <t xml:space="preserve">RANCHERIA SALOYA PRIMERA </t>
  </si>
  <si>
    <t xml:space="preserve">GLADIS YULIANA CARRERA JIMENEZ </t>
  </si>
  <si>
    <t xml:space="preserve">WENDI LUCIA CARRERA JIMENEZ </t>
  </si>
  <si>
    <t>nnE2s5WSBDpS2kyU</t>
  </si>
  <si>
    <t>VSA2020-1323</t>
  </si>
  <si>
    <t xml:space="preserve">ALEJANDRA </t>
  </si>
  <si>
    <t xml:space="preserve">CARRETERA PRINCIPAL VILLAHERMOSA </t>
  </si>
  <si>
    <t xml:space="preserve">RANCHERIA SALOYA PRIMER SECCION </t>
  </si>
  <si>
    <t xml:space="preserve">GREGORIA OLAN DE LA CRUZ </t>
  </si>
  <si>
    <t>MARIA RAQUEL DOMINGUEZ BELTRUY</t>
  </si>
  <si>
    <t>g5gPso3pFuEgPlmo</t>
  </si>
  <si>
    <t>VSA2020-1327</t>
  </si>
  <si>
    <t>2020-11-12</t>
  </si>
  <si>
    <t xml:space="preserve">REVOLUCION 611 INTERIOR 1 </t>
  </si>
  <si>
    <t>COLONIA TAMULTE CENTRO</t>
  </si>
  <si>
    <t>ANALLELI RUIZ RODRIGUEZ</t>
  </si>
  <si>
    <t>JESUS MANUEL RUIZ RODRIGUEZ</t>
  </si>
  <si>
    <t>NY9Y5PC1uxeA91oM</t>
  </si>
  <si>
    <t>VSA2020-1332</t>
  </si>
  <si>
    <t xml:space="preserve">NARCISO </t>
  </si>
  <si>
    <t xml:space="preserve">VARELA </t>
  </si>
  <si>
    <t xml:space="preserve">JAIME </t>
  </si>
  <si>
    <t xml:space="preserve">PLUTARCO ELIAS CALLES SINNNUMERO </t>
  </si>
  <si>
    <t>COLONIA CURAHUESO</t>
  </si>
  <si>
    <t xml:space="preserve">MARIA ESTRELLA SILVA VALENCIA </t>
  </si>
  <si>
    <t xml:space="preserve">YESENIA VARELA SILVA </t>
  </si>
  <si>
    <t>rNaNXwE6XAuowuOk</t>
  </si>
  <si>
    <t>VSA2020-1333</t>
  </si>
  <si>
    <t xml:space="preserve">SILVA </t>
  </si>
  <si>
    <t xml:space="preserve">MARIA ESTRELLA </t>
  </si>
  <si>
    <t>COLONIA PLUTARCO ELIAS CALLES CAMINO A CURAHUESO</t>
  </si>
  <si>
    <t xml:space="preserve">JAIME NARCISO VARELA VILLASIS </t>
  </si>
  <si>
    <t xml:space="preserve">RICARDO VARELA SILVA </t>
  </si>
  <si>
    <t>IIthPccCsRXO3HZ2</t>
  </si>
  <si>
    <t>VSA2020-1337</t>
  </si>
  <si>
    <t>RODAS</t>
  </si>
  <si>
    <t>DANIEL</t>
  </si>
  <si>
    <t xml:space="preserve">CALLE GALEANA SIN NUMERO </t>
  </si>
  <si>
    <t xml:space="preserve">ANGELICA PEREZ VAZQUEZ </t>
  </si>
  <si>
    <t>ESTHER SUAREZ RODAS</t>
  </si>
  <si>
    <t>W3eLSLzTq8NcDoDf</t>
  </si>
  <si>
    <t>VSA2020-1347</t>
  </si>
  <si>
    <t>2020-12-23</t>
  </si>
  <si>
    <t>MARIA LOURDES</t>
  </si>
  <si>
    <t xml:space="preserve">CALLE PRINCIPAL TORNO LARGO SEGUNDA SECCION </t>
  </si>
  <si>
    <t>SANTIAGO CORDOVA CASTILLO</t>
  </si>
  <si>
    <t>MARIA SILVESTRE CORDOVA MAYO</t>
  </si>
  <si>
    <t>6dDweI160ZWwUfAZ</t>
  </si>
  <si>
    <t>VSA2021-1064</t>
  </si>
  <si>
    <t>2021-09-07</t>
  </si>
  <si>
    <t xml:space="preserve">IVAN ALEXIS </t>
  </si>
  <si>
    <t xml:space="preserve">CERRADA INDEPENDENCIA  204 INTERIOR 1 </t>
  </si>
  <si>
    <t>MARIELA ISABEL GOMEZ SANTOS</t>
  </si>
  <si>
    <t>MANUEL ALEJANDRO GAMAS GOMEZ</t>
  </si>
  <si>
    <t>2021-10-24</t>
  </si>
  <si>
    <t>eqDezWigBIOCILwu</t>
  </si>
  <si>
    <t>VSA2021-1096</t>
  </si>
  <si>
    <t>2021-07-14</t>
  </si>
  <si>
    <t>MALO</t>
  </si>
  <si>
    <t xml:space="preserve">MARIA DE JESUS </t>
  </si>
  <si>
    <t xml:space="preserve">SEGUNDA CERRADA DE GUACIMO 24 </t>
  </si>
  <si>
    <t xml:space="preserve">COLONIA18 DE MARZO </t>
  </si>
  <si>
    <t>KARLA LILI GIL MALO</t>
  </si>
  <si>
    <t>MIGUEL ALEXANDER GIL MALO</t>
  </si>
  <si>
    <t>0y7qZbftANY3TNGy</t>
  </si>
  <si>
    <t>VSA2021-1100</t>
  </si>
  <si>
    <t>HIDALGO</t>
  </si>
  <si>
    <t xml:space="preserve">CALLE PROFESORA ROSA MIGUEL 410 </t>
  </si>
  <si>
    <t>FERNANDO PEREZ DOMINGUEZ</t>
  </si>
  <si>
    <t>EDISON FERNANDO PEREZ GUTIERREZ</t>
  </si>
  <si>
    <t>kSADEZJgVOLqMByE</t>
  </si>
  <si>
    <t>VSA2021-1117</t>
  </si>
  <si>
    <t>ALONSO</t>
  </si>
  <si>
    <t>CALLE 20 DE NOVIEMBRE 82 INTERIOR 5</t>
  </si>
  <si>
    <t xml:space="preserve">ROSA MARIA CASTILLO RODRIGUEZ </t>
  </si>
  <si>
    <t>ANA RUTH MAY GOMEZ</t>
  </si>
  <si>
    <t>Ca6yNZx3zGZ5uJKD</t>
  </si>
  <si>
    <t>VSA2021-1246</t>
  </si>
  <si>
    <t>2021-11-08</t>
  </si>
  <si>
    <t>ARNULFO</t>
  </si>
  <si>
    <t>ANDADOR EL ROBALO 312</t>
  </si>
  <si>
    <t>ROSA MARIA MADRIGAL MENESES</t>
  </si>
  <si>
    <t xml:space="preserve">ALAN DENIS DE LA CRUZ MADRIGAL </t>
  </si>
  <si>
    <t>fPQYGiIG4YaJioIm</t>
  </si>
  <si>
    <t>VSA2021-1284</t>
  </si>
  <si>
    <t>PINTO</t>
  </si>
  <si>
    <t xml:space="preserve">CARLOS MARIO </t>
  </si>
  <si>
    <t xml:space="preserve">ANDADOR DEL MACAYO MANZANA 47 LOTE 12 </t>
  </si>
  <si>
    <t xml:space="preserve">FRACCIONAMIENTO BOSQUE DE SALOYA </t>
  </si>
  <si>
    <t xml:space="preserve">ORALIA PINTO HERNANDEZ </t>
  </si>
  <si>
    <t>BEATRIZ ADRIANA DE LA CRUZ PINTO</t>
  </si>
  <si>
    <t>cS1dUZYRVjTxx9jz</t>
  </si>
  <si>
    <t>VSA2021-1381</t>
  </si>
  <si>
    <t>MOSCOSO</t>
  </si>
  <si>
    <t xml:space="preserve">ZURITA </t>
  </si>
  <si>
    <t xml:space="preserve">TEUTILA </t>
  </si>
  <si>
    <t>CALLE FRANCISCO I MADERO 120</t>
  </si>
  <si>
    <t xml:space="preserve">EVA MARIA DE LA CRUZ MOSCOSO </t>
  </si>
  <si>
    <t>JPreD6nhkwoBYMLU</t>
  </si>
  <si>
    <t>VSA2020-1031</t>
  </si>
  <si>
    <t xml:space="preserve">CONDE </t>
  </si>
  <si>
    <t xml:space="preserve">JAVIER </t>
  </si>
  <si>
    <t xml:space="preserve">RIO MEZCALAPA SIN NUMERO </t>
  </si>
  <si>
    <t xml:space="preserve">CASA BLANCA CENTRO </t>
  </si>
  <si>
    <t xml:space="preserve">YENI CONDE GARCIA </t>
  </si>
  <si>
    <t>LIZUR CONDE PEREZ</t>
  </si>
  <si>
    <t>2021-11-12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</si>
</sst>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\-&quot;$&quot;#,##0"/>
    <numFmt numFmtId="44" formatCode="_-&quot;$&quot;* #,##0.00_-;\-&quot;$&quot;* #,##0.00_-;_-&quot;$&quot;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7">
    <xf numFmtId="0" fontId="0" fillId="0" borderId="0" xfId="0"/>
    <xf numFmtId="14" fontId="0" fillId="0" borderId="0" xfId="0" applyNumberFormat="1"/>
    <xf numFmtId="21" fontId="0" fillId="0" borderId="0" xfId="0" applyNumberFormat="1"/>
    <xf numFmtId="6" fontId="0" fillId="0" borderId="0" xfId="0" applyNumberFormat="1"/>
    <xf numFmtId="0" fontId="0" fillId="0" borderId="0" xfId="0" applyAlignment="1">
      <alignment wrapText="1"/>
    </xf>
    <xf numFmtId="0" fontId="0" fillId="2" borderId="0" xfId="0" applyFill="1"/>
    <xf numFmtId="0" fontId="0" fillId="3" borderId="0" xfId="0" applyFill="1"/>
    <xf numFmtId="0" fontId="0" fillId="0" borderId="0" xfId="0" applyAlignment="1">
      <alignment horizontal="right"/>
    </xf>
    <xf numFmtId="2" fontId="0" fillId="0" borderId="0" xfId="0" applyNumberFormat="1"/>
    <xf numFmtId="17" fontId="0" fillId="0" borderId="0" xfId="0" applyNumberFormat="1"/>
    <xf numFmtId="0" fontId="0" fillId="4" borderId="0" xfId="0" applyFill="1"/>
    <xf numFmtId="12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0" fillId="5" borderId="0" xfId="0" applyFill="1"/>
    <xf numFmtId="14" fontId="0" fillId="5" borderId="0" xfId="0" applyNumberFormat="1" applyFill="1"/>
    <xf numFmtId="21" fontId="0" fillId="5" borderId="0" xfId="0" applyNumberFormat="1" applyFill="1"/>
    <xf numFmtId="0" fontId="0" fillId="0" borderId="1" xfId="0" applyBorder="1"/>
  </cellXfs>
  <cellStyles count="2">
    <cellStyle name="Moneda 2" xfId="1" xr:uid="{65286637-67D4-41F9-854F-EBC87CB06439}"/>
    <cellStyle name="Normal" xfId="0" builtinId="0"/>
  </cellStyles>
  <dxfs count="3"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A7A67-4D60-4300-AE16-AF4C5E2D204F}" name="Tabla1" displayName="Tabla1" ref="A1:CB3427" totalsRowShown="0">
  <autoFilter ref="A1:CB3427" xr:uid="{EB8A7A67-4D60-4300-AE16-AF4C5E2D204F}"/>
  <tableColumns count="80">
    <tableColumn id="1" xr3:uid="{6EE81817-A61A-403F-AAE3-A487DFCCEC28}" name="cadenaEs[ecial"/>
    <tableColumn id="2" xr3:uid="{42C2E691-B014-4583-8795-1A33EA59A4C7}" name="Folio del contrato"/>
    <tableColumn id="3" xr3:uid="{71575AC9-404E-4FE5-9655-6E205B699685}" name="Estatus"/>
    <tableColumn id="4" xr3:uid="{092EB295-61F0-4C61-BC9A-4956887BF0D4}" name="Paquete"/>
    <tableColumn id="5" xr3:uid="{73C601FB-9837-41A2-8E44-45956C457C7C}" name="Estado"/>
    <tableColumn id="6" xr3:uid="{30EF9166-54D9-4401-BF9E-F445FACDBC3F}" name="Municipio"/>
    <tableColumn id="7" xr3:uid="{E93B23F5-4B32-42F6-B548-533E3D561776}" name="Localidad"/>
    <tableColumn id="8" xr3:uid="{916F836D-694A-44ED-90F5-2D4C1DD9CE4F}" name="Fecha de inscripcion" dataDxfId="2"/>
    <tableColumn id="9" xr3:uid="{81C5E4DE-57F1-4BD3-A991-9999A97BEFC8}" name="precio del paquete"/>
    <tableColumn id="10" xr3:uid="{6575B13A-F5A9-4741-83D0-F6F8F417BA29}" name="promocion"/>
    <tableColumn id="11" xr3:uid="{80E65003-D644-47BA-97C6-D0A8B2470176}" name="pago_inicial"/>
    <tableColumn id="12" xr3:uid="{E4D8B8D0-E52A-46F9-A3F7-F9AFF26AC815}" name="Abonos_de"/>
    <tableColumn id="13" xr3:uid="{706EECC0-BD0E-47BC-BFD2-2999BD1BB823}" name="Plan_de_Pago"/>
    <tableColumn id="14" xr3:uid="{D4A50245-FA7A-46A7-90FF-729C877644CB}" name="limite_asignado"/>
    <tableColumn id="15" xr3:uid="{6225B735-3D04-449A-BABF-A5BB13DC9E22}" name="Funeraria_Procedencia"/>
    <tableColumn id="16" xr3:uid="{E25C1ED6-0BCE-46C1-88E4-1C2989F0C7C4}" name="archivo_adjunto"/>
    <tableColumn id="17" xr3:uid="{E513EFE9-426A-450E-975E-5FB5C29257B8}" name="Nombre del Vendedor"/>
    <tableColumn id="18" xr3:uid="{245236BA-25F6-42DF-B763-9F4AB93F4F63}" name="Comision_Vendedor"/>
    <tableColumn id="19" xr3:uid="{4693254F-FC9C-4B2B-818D-82235FCDACF2}" name="comision de vendedor pagada"/>
    <tableColumn id="20" xr3:uid="{AF9FA43A-F4D8-4E74-AE4B-E046EFBE21AC}" name="Comision_Lider"/>
    <tableColumn id="21" xr3:uid="{3D21CCEB-C1A4-4F38-8D2D-1987F081D5DA}" name="comision de lider  pagada"/>
    <tableColumn id="22" xr3:uid="{964F0C02-184A-4B24-96AB-83665349A0D3}" name="Comision_Gerente"/>
    <tableColumn id="23" xr3:uid="{48BBDC26-2F37-46E1-9976-63F1D98844C6}" name="comision de gerente pagada"/>
    <tableColumn id="24" xr3:uid="{6165E166-D577-47B2-86C2-381BED6E7837}" name="Bono"/>
    <tableColumn id="25" xr3:uid="{BE85C255-6D33-455A-90FE-97F0C9FC8EBF}" name="Bono_Asignado"/>
    <tableColumn id="26" xr3:uid="{20EBA629-4AE1-45AE-90B7-A9F0077E4C95}" name="Inscripcion"/>
    <tableColumn id="27" xr3:uid="{6F1EA1DD-843E-47E2-A0B3-C3D0CF98E235}" name="Inscripcion_Asignado"/>
    <tableColumn id="28" xr3:uid="{0B837D0E-7859-470A-99A3-2F4E11E2CD8F}" name="Apellido_Paterno"/>
    <tableColumn id="29" xr3:uid="{DB7335C3-0B2B-4561-8ABC-A7F39C974C09}" name="Apellido_Materno"/>
    <tableColumn id="30" xr3:uid="{B45A1019-564D-4495-A048-80C5F7BE85E5}" name="Nombre"/>
    <tableColumn id="31" xr3:uid="{4B038F1B-1E9E-4653-88DE-79887CE2F9F3}" name="Estado_Civil"/>
    <tableColumn id="32" xr3:uid="{D47D5AB7-05AF-4E41-A063-EA309D5FF18E}" name="Nacimiento del cliente"/>
    <tableColumn id="33" xr3:uid="{2295DEDA-ADCF-420B-924C-E00D36191D76}" name="IFE"/>
    <tableColumn id="34" xr3:uid="{CA5356FA-2864-4EB7-9E79-4E57F54F9F38}" name="Domicilio"/>
    <tableColumn id="35" xr3:uid="{9785B3DB-5F4D-4337-AFD8-67942F24C9DB}" name="Colonia"/>
    <tableColumn id="36" xr3:uid="{E8651F6D-2BF0-417D-A091-0A9E0226926F}" name="Entre_Calles"/>
    <tableColumn id="37" xr3:uid="{D88E29A1-901C-4457-B3CB-CB3A21ECCE95}" name="Telefono"/>
    <tableColumn id="38" xr3:uid="{081E94E4-A487-439D-9924-C2FF97F8A240}" name="Beneficiario"/>
    <tableColumn id="39" xr3:uid="{D2F0460C-CC41-4E57-813C-D2DCC934CB2E}" name="Observaciones"/>
    <tableColumn id="40" xr3:uid="{F6AA92C0-9338-491B-9236-56DD54E3D660}" name="archivo_contrato"/>
    <tableColumn id="41" xr3:uid="{2F815C2C-3B6E-4802-9CE6-26C9BDA2CF0E}" name="Domicilio2"/>
    <tableColumn id="42" xr3:uid="{C6997930-4E69-462B-A41D-8378D88EBDAC}" name="Correo"/>
    <tableColumn id="43" xr3:uid="{A1B3E9DD-AA9F-41CD-BB5C-DBCC23475F29}" name="dia_cobro"/>
    <tableColumn id="44" xr3:uid="{4B89E7AB-36AE-4352-B9EF-3BB4E0194786}" name="firma1"/>
    <tableColumn id="45" xr3:uid="{DE8BD210-3ACA-4506-BE9E-1522246490EF}" name="firma2"/>
    <tableColumn id="46" xr3:uid="{51FD87F5-E9DD-4487-B4A8-DA4FA12EA401}" name="plazo_entrega"/>
    <tableColumn id="47" xr3:uid="{9268935F-B07B-46C3-8E45-DE58C527E713}" name="latitud"/>
    <tableColumn id="48" xr3:uid="{CD0A5782-7449-4248-AF59-0C9E617617C0}" name="longitud"/>
    <tableColumn id="49" xr3:uid="{93178ECF-BACF-41AA-A62B-FFEC34B400A1}" name="Tipo_Cobranza"/>
    <tableColumn id="50" xr3:uid="{B52D0D53-0D87-4320-9E10-45CA1F720C08}" name="Monto_Liquidado a la fecha"/>
    <tableColumn id="51" xr3:uid="{9CA59E71-EF13-49E4-99BF-19D7DCD7C7D1}" name="Saldo_Deudor"/>
    <tableColumn id="52" xr3:uid="{A3DD1391-949C-4A51-AA9D-2B1989EBAA9E}" name="horario_cobro"/>
    <tableColumn id="53" xr3:uid="{CFACBDD6-A01C-49D3-8001-F806DB68553A}" name="Estado_Cobro"/>
    <tableColumn id="54" xr3:uid="{7ED8E854-5A18-48C0-912A-0082B578060A}" name="Retrasos dias retrasados"/>
    <tableColumn id="55" xr3:uid="{61A3AEC9-0FAC-4AC3-B5E1-27B9F8ADC8A6}" name="ultimo_pago" dataDxfId="1"/>
    <tableColumn id="56" xr3:uid="{7D644F3F-0303-4573-97DD-1DA9F4FDD082}" name="pago_programado" dataDxfId="0"/>
    <tableColumn id="57" xr3:uid="{C51F63DB-CFF7-47FF-A919-67C30A7F68F1}" name="fecha_entrega"/>
    <tableColumn id="58" xr3:uid="{8B7D5031-E59B-4832-8D7B-F454F3A2E872}" name="idgrupo"/>
    <tableColumn id="59" xr3:uid="{EA86780A-F672-4942-9206-D39242EF37DA}" name="idvendedor"/>
    <tableColumn id="60" xr3:uid="{C1008E4E-8F1A-4FE9-AE20-E0E8D9118727}" name="idlider"/>
    <tableColumn id="61" xr3:uid="{4EC4357A-2615-481B-A8E8-20317BD5A8EC}" name="idgerente"/>
    <tableColumn id="62" xr3:uid="{C4B90D6F-CFCC-44F7-8D1A-95A49041AE48}" name="Colonia de cobranza"/>
    <tableColumn id="63" xr3:uid="{743AFF1A-9278-4C53-93D7-2F33EFD4FA4A}" name="edad"/>
    <tableColumn id="64" xr3:uid="{8BB2C0A1-4DE7-4ADB-A3FD-1EC4C6D6B107}" name="genero"/>
    <tableColumn id="65" xr3:uid="{73E34992-FDC6-4371-9D6F-BDC83CB2A34E}" name="hora_calle"/>
    <tableColumn id="66" xr3:uid="{1CDF2A3B-7B10-4AF4-9CE8-C92F6D623A79}" name="precio_paquete"/>
    <tableColumn id="67" xr3:uid="{D3FDDDB2-CA57-4BB2-9829-0A9D2D02F040}" name="NumeroServicio"/>
    <tableColumn id="68" xr3:uid="{FBEE1470-37E9-41CC-8737-247C25992B6C}" name="NumeroFactura"/>
    <tableColumn id="69" xr3:uid="{ABDD0D10-5120-4A77-BF0E-84551667F62F}" name="NumeroTitulo"/>
    <tableColumn id="70" xr3:uid="{DB13B7C9-74DA-4565-BE48-DA926F5B619E}" name="Fecha_Cancelacion"/>
    <tableColumn id="71" xr3:uid="{8259198A-E33C-409A-A46E-F3B29CC22E29}" name="Fecha_Pagado"/>
    <tableColumn id="72" xr3:uid="{D0600241-E1D4-4878-B350-50C0496815AE}" name="Fecha_Utilizado"/>
    <tableColumn id="73" xr3:uid="{66C41323-8C88-41B8-9F0F-4CAFACCB3FFE}" name="idpaquete_kit"/>
    <tableColumn id="74" xr3:uid="{EC535FC8-9DB1-41B9-A6C7-B2E7C5309B31}" name="deleted"/>
    <tableColumn id="75" xr3:uid="{AF182406-D79D-4725-ADCD-9B3174A04D31}" name="idsucursal"/>
    <tableColumn id="76" xr3:uid="{C956D5D4-4B9C-4F19-AFBA-CE85A49E51AC}" name="pagos"/>
    <tableColumn id="77" xr3:uid="{DFA2064B-1CAC-4906-8A06-66466ADA4F25}" name="tipo_comision_vendedor"/>
    <tableColumn id="78" xr3:uid="{320F5F5D-4CBF-412F-A9B4-B380CF4FE8FE}" name="tipo_comision_lider"/>
    <tableColumn id="79" xr3:uid="{412A5A90-71D8-4663-847C-15E8B4854718}" name="tipo_comision_gerente"/>
    <tableColumn id="80" xr3:uid="{75ECC750-BAD5-4E3C-B506-1BD3DEA412C7}" name="final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96FF-F4EE-488F-8C8A-E9E0B0499D75}">
  <sheetPr codeName="Hoja1"/>
  <dimension ref="A1:CD3255"/>
  <sheetViews>
    <sheetView tabSelected="1" topLeftCell="CD1" zoomScaleNormal="100" workbookViewId="0">
      <pane ySplit="1" topLeftCell="A407" activePane="bottomLeft" state="frozen"/>
      <selection activeCell="BP1" sqref="BP1"/>
      <selection pane="bottomLeft" activeCell="CD418" sqref="CD418"/>
    </sheetView>
  </sheetViews>
  <sheetFormatPr baseColWidth="10" defaultRowHeight="15" x14ac:dyDescent="0.25"/>
  <cols>
    <col min="1" max="1" width="22.140625" bestFit="1" customWidth="1"/>
    <col min="2" max="2" width="19" bestFit="1" customWidth="1"/>
    <col min="4" max="4" width="17.85546875" bestFit="1" customWidth="1"/>
    <col min="6" max="6" width="12" customWidth="1"/>
    <col min="8" max="8" width="21" customWidth="1"/>
    <col min="9" max="9" width="19.85546875" customWidth="1"/>
    <col min="10" max="10" width="12.7109375" customWidth="1"/>
    <col min="11" max="11" width="13.7109375" customWidth="1"/>
    <col min="12" max="12" width="13.140625" customWidth="1"/>
    <col min="13" max="13" width="15.5703125" customWidth="1"/>
    <col min="14" max="14" width="17.28515625" customWidth="1"/>
    <col min="15" max="15" width="23.42578125" customWidth="1"/>
    <col min="16" max="16" width="17.42578125" customWidth="1"/>
    <col min="17" max="17" width="23" customWidth="1"/>
    <col min="18" max="18" width="21.28515625" customWidth="1"/>
    <col min="19" max="19" width="29.5703125" customWidth="1"/>
    <col min="20" max="20" width="16.85546875" customWidth="1"/>
    <col min="21" max="21" width="25.5703125" customWidth="1"/>
    <col min="22" max="22" width="19.7109375" customWidth="1"/>
    <col min="23" max="23" width="28" customWidth="1"/>
    <col min="25" max="25" width="16.85546875" customWidth="1"/>
    <col min="26" max="26" width="12.7109375" customWidth="1"/>
    <col min="27" max="27" width="21.85546875" customWidth="1"/>
    <col min="28" max="28" width="18.7109375" customWidth="1"/>
    <col min="29" max="29" width="19.28515625" customWidth="1"/>
    <col min="31" max="31" width="13.85546875" customWidth="1"/>
    <col min="32" max="32" width="23.28515625" customWidth="1"/>
    <col min="34" max="34" width="78.7109375" bestFit="1" customWidth="1"/>
    <col min="35" max="35" width="53.140625" bestFit="1" customWidth="1"/>
    <col min="36" max="36" width="14.140625" customWidth="1"/>
    <col min="38" max="38" width="42.140625" bestFit="1" customWidth="1"/>
    <col min="39" max="39" width="56.28515625" bestFit="1" customWidth="1"/>
    <col min="40" max="40" width="43.140625" bestFit="1" customWidth="1"/>
    <col min="41" max="41" width="74.7109375" bestFit="1" customWidth="1"/>
    <col min="43" max="43" width="11.85546875" customWidth="1"/>
    <col min="46" max="46" width="15.7109375" customWidth="1"/>
    <col min="49" max="49" width="16.140625" customWidth="1"/>
    <col min="50" max="50" width="27.42578125" customWidth="1"/>
    <col min="51" max="52" width="15.5703125" customWidth="1"/>
    <col min="53" max="53" width="15.28515625" customWidth="1"/>
    <col min="54" max="54" width="24.42578125" customWidth="1"/>
    <col min="55" max="55" width="14.28515625" customWidth="1"/>
    <col min="56" max="56" width="19.140625" customWidth="1"/>
    <col min="57" max="57" width="15.85546875" customWidth="1"/>
    <col min="59" max="59" width="13.42578125" customWidth="1"/>
    <col min="61" max="61" width="11.85546875" customWidth="1"/>
    <col min="62" max="62" width="20.85546875" customWidth="1"/>
    <col min="65" max="65" width="12.28515625" customWidth="1"/>
    <col min="66" max="66" width="17.140625" customWidth="1"/>
    <col min="67" max="67" width="17.42578125" customWidth="1"/>
    <col min="68" max="68" width="16.85546875" customWidth="1"/>
    <col min="69" max="69" width="15.5703125" customWidth="1"/>
    <col min="70" max="70" width="19.85546875" customWidth="1"/>
    <col min="71" max="71" width="15.7109375" customWidth="1"/>
    <col min="72" max="72" width="17.140625" customWidth="1"/>
    <col min="73" max="73" width="15.5703125" customWidth="1"/>
    <col min="75" max="75" width="12" customWidth="1"/>
    <col min="77" max="77" width="25.28515625" customWidth="1"/>
    <col min="78" max="78" width="20.85546875" customWidth="1"/>
    <col min="79" max="79" width="23.7109375" customWidth="1"/>
    <col min="82" max="82" width="255.7109375" bestFit="1" customWidth="1"/>
  </cols>
  <sheetData>
    <row r="1" spans="1:82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  <c r="O1" t="s">
        <v>30</v>
      </c>
      <c r="P1" t="s">
        <v>31</v>
      </c>
      <c r="Q1" t="s">
        <v>32</v>
      </c>
      <c r="R1" t="s">
        <v>33</v>
      </c>
      <c r="S1" t="s">
        <v>34</v>
      </c>
      <c r="T1" t="s">
        <v>35</v>
      </c>
      <c r="U1" t="s">
        <v>36</v>
      </c>
      <c r="V1" t="s">
        <v>37</v>
      </c>
      <c r="W1" t="s">
        <v>38</v>
      </c>
      <c r="X1" t="s">
        <v>39</v>
      </c>
      <c r="Y1" t="s">
        <v>40</v>
      </c>
      <c r="Z1" t="s">
        <v>41</v>
      </c>
      <c r="AA1" t="s">
        <v>42</v>
      </c>
      <c r="AB1" t="s">
        <v>43</v>
      </c>
      <c r="AC1" t="s">
        <v>44</v>
      </c>
      <c r="AD1" t="s">
        <v>45</v>
      </c>
      <c r="AE1" t="s">
        <v>46</v>
      </c>
      <c r="AF1" t="s">
        <v>47</v>
      </c>
      <c r="AG1" t="s">
        <v>48</v>
      </c>
      <c r="AH1" t="s">
        <v>49</v>
      </c>
      <c r="AI1" t="s">
        <v>50</v>
      </c>
      <c r="AJ1" t="s">
        <v>51</v>
      </c>
      <c r="AK1" t="s">
        <v>52</v>
      </c>
      <c r="AL1" t="s">
        <v>53</v>
      </c>
      <c r="AM1" t="s">
        <v>54</v>
      </c>
      <c r="AN1" t="s">
        <v>55</v>
      </c>
      <c r="AO1" t="s">
        <v>56</v>
      </c>
      <c r="AP1" t="s">
        <v>57</v>
      </c>
      <c r="AQ1" t="s">
        <v>58</v>
      </c>
      <c r="AR1" t="s">
        <v>59</v>
      </c>
      <c r="AS1" t="s">
        <v>60</v>
      </c>
      <c r="AT1" t="s">
        <v>61</v>
      </c>
      <c r="AU1" t="s">
        <v>62</v>
      </c>
      <c r="AV1" t="s">
        <v>63</v>
      </c>
      <c r="AW1" t="s">
        <v>64</v>
      </c>
      <c r="AX1" t="s">
        <v>65</v>
      </c>
      <c r="AY1" t="s">
        <v>66</v>
      </c>
      <c r="AZ1" t="s">
        <v>67</v>
      </c>
      <c r="BA1" t="s">
        <v>68</v>
      </c>
      <c r="BB1" t="s">
        <v>69</v>
      </c>
      <c r="BC1" t="s">
        <v>70</v>
      </c>
      <c r="BD1" t="s">
        <v>71</v>
      </c>
      <c r="BE1" t="s">
        <v>72</v>
      </c>
      <c r="BF1" t="s">
        <v>73</v>
      </c>
      <c r="BG1" t="s">
        <v>74</v>
      </c>
      <c r="BH1" t="s">
        <v>75</v>
      </c>
      <c r="BI1" t="s">
        <v>76</v>
      </c>
      <c r="BJ1" t="s">
        <v>77</v>
      </c>
      <c r="BK1" t="s">
        <v>78</v>
      </c>
      <c r="BL1" t="s">
        <v>79</v>
      </c>
      <c r="BM1" t="s">
        <v>80</v>
      </c>
      <c r="BN1" t="s">
        <v>81</v>
      </c>
      <c r="BO1" t="s">
        <v>82</v>
      </c>
      <c r="BP1" t="s">
        <v>83</v>
      </c>
      <c r="BQ1" t="s">
        <v>84</v>
      </c>
      <c r="BR1" t="s">
        <v>85</v>
      </c>
      <c r="BS1" t="s">
        <v>86</v>
      </c>
      <c r="BT1" t="s">
        <v>87</v>
      </c>
      <c r="BU1" t="s">
        <v>88</v>
      </c>
      <c r="BV1" t="s">
        <v>89</v>
      </c>
      <c r="BW1" t="s">
        <v>90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1</v>
      </c>
      <c r="CD1" t="str" cm="1">
        <f t="array" aca="1" ref="CD1" ca="1">eConcatenar(A1:CB1,"|")</f>
        <v>cadenaEs[ecial|Folio del contrato|Estatus|Paquete|Estado|Municipio|Localidad|Fecha de inscripcion|precio del paquete|promocion|pago_inicial|Abonos_de|Plan_de_Pago|limite_asignado|Funeraria_Procedencia|archivo_adjunto|Nombre del Vendedor|Comision_Vendedor|comision de vendedor pagada|Comision_Lider|comision de lider  pagada|Comision_Gerente|comision de gerente pagada|Bono|Bono_Asignado|Inscripcion|Inscripcion_Asignado|Apellido_Paterno|Apellido_Materno|Nombre|Estado_Civil|Nacimiento del cliente|IFE|Domicilio|Colonia|Entre_Calles|Telefono|Beneficiario|Observaciones|archivo_contrato|Domicilio2|Correo|dia_cobro|firma1|firma2|plazo_entrega|latitud|longitud|Tipo_Cobranza|Monto_Liquidado a la fecha|Saldo_Deudor|horario_cobro|Estado_Cobro|Retrasos dias retrasados|ultimo_pago|pago_programado|fecha_entrega|idgrupo|idvendedor|idlider|idgerente|Colonia de cobranza|edad|genero|hora_calle|precio_paquete|NumeroServicio|NumeroFactura|NumeroTitulo|Fecha_Cancelacion|Fecha_Pagado|Fecha_Utilizado|idpaquete_kit|deleted|idsucursal|pagos|tipo_comision_vendedor|tipo_comision_lider|tipo_comision_gerente|final</v>
      </c>
    </row>
    <row r="2" spans="1:82" x14ac:dyDescent="0.25">
      <c r="A2">
        <v>0</v>
      </c>
      <c r="B2">
        <v>1</v>
      </c>
      <c r="C2">
        <f>Tabla1[[#This Row],[Folio del contrato]]+1</f>
        <v>2</v>
      </c>
      <c r="D2">
        <f>Tabla1[[#This Row],[Estatus]]+1</f>
        <v>3</v>
      </c>
      <c r="E2">
        <f>Tabla1[[#This Row],[Paquete]]+1</f>
        <v>4</v>
      </c>
      <c r="F2">
        <f>Tabla1[[#This Row],[Estado]]+1</f>
        <v>5</v>
      </c>
      <c r="G2">
        <f>Tabla1[[#This Row],[Municipio]]+1</f>
        <v>6</v>
      </c>
      <c r="H2">
        <f>Tabla1[[#This Row],[Localidad]]+1</f>
        <v>7</v>
      </c>
      <c r="I2">
        <f>Tabla1[[#This Row],[Fecha de inscripcion]]+1</f>
        <v>8</v>
      </c>
      <c r="J2">
        <f>Tabla1[[#This Row],[precio del paquete]]+1</f>
        <v>9</v>
      </c>
      <c r="K2">
        <f>Tabla1[[#This Row],[promocion]]+1</f>
        <v>10</v>
      </c>
      <c r="L2">
        <f>Tabla1[[#This Row],[pago_inicial]]+1</f>
        <v>11</v>
      </c>
      <c r="M2">
        <f>Tabla1[[#This Row],[Abonos_de]]+1</f>
        <v>12</v>
      </c>
      <c r="N2">
        <f>Tabla1[[#This Row],[Plan_de_Pago]]+1</f>
        <v>13</v>
      </c>
      <c r="O2">
        <f>Tabla1[[#This Row],[limite_asignado]]+1</f>
        <v>14</v>
      </c>
      <c r="P2">
        <f>Tabla1[[#This Row],[Funeraria_Procedencia]]+1</f>
        <v>15</v>
      </c>
      <c r="Q2">
        <f>Tabla1[[#This Row],[archivo_adjunto]]+1</f>
        <v>16</v>
      </c>
      <c r="R2">
        <f>Tabla1[[#This Row],[Nombre del Vendedor]]+1</f>
        <v>17</v>
      </c>
      <c r="S2">
        <f>Tabla1[[#This Row],[Comision_Vendedor]]+1</f>
        <v>18</v>
      </c>
      <c r="T2">
        <f>Tabla1[[#This Row],[comision de vendedor pagada]]+1</f>
        <v>19</v>
      </c>
      <c r="U2">
        <f>Tabla1[[#This Row],[Comision_Lider]]+1</f>
        <v>20</v>
      </c>
      <c r="V2">
        <f>Tabla1[[#This Row],[comision de lider  pagada]]+1</f>
        <v>21</v>
      </c>
      <c r="W2">
        <f>Tabla1[[#This Row],[Comision_Gerente]]+1</f>
        <v>22</v>
      </c>
      <c r="X2">
        <f>Tabla1[[#This Row],[comision de gerente pagada]]+1</f>
        <v>23</v>
      </c>
      <c r="Y2">
        <f>Tabla1[[#This Row],[Bono]]+1</f>
        <v>24</v>
      </c>
      <c r="Z2">
        <f>Tabla1[[#This Row],[Bono_Asignado]]+1</f>
        <v>25</v>
      </c>
      <c r="AA2">
        <f>Tabla1[[#This Row],[Inscripcion]]+1</f>
        <v>26</v>
      </c>
      <c r="AB2">
        <f>Tabla1[[#This Row],[Inscripcion_Asignado]]+1</f>
        <v>27</v>
      </c>
      <c r="AC2">
        <f>Tabla1[[#This Row],[Apellido_Paterno]]+1</f>
        <v>28</v>
      </c>
      <c r="AD2">
        <f>Tabla1[[#This Row],[Apellido_Materno]]+1</f>
        <v>29</v>
      </c>
      <c r="AE2">
        <f>Tabla1[[#This Row],[Nombre]]+1</f>
        <v>30</v>
      </c>
      <c r="AF2">
        <f>Tabla1[[#This Row],[Estado_Civil]]+1</f>
        <v>31</v>
      </c>
      <c r="AG2">
        <f>Tabla1[[#This Row],[Nacimiento del cliente]]+1</f>
        <v>32</v>
      </c>
      <c r="AH2">
        <f>Tabla1[[#This Row],[IFE]]+1</f>
        <v>33</v>
      </c>
      <c r="AI2">
        <f>Tabla1[[#This Row],[Domicilio]]+1</f>
        <v>34</v>
      </c>
      <c r="AJ2">
        <f>Tabla1[[#This Row],[Colonia]]+1</f>
        <v>35</v>
      </c>
      <c r="AK2">
        <f>Tabla1[[#This Row],[Entre_Calles]]+1</f>
        <v>36</v>
      </c>
      <c r="AL2">
        <f>Tabla1[[#This Row],[Telefono]]+1</f>
        <v>37</v>
      </c>
      <c r="AM2">
        <f>Tabla1[[#This Row],[Beneficiario]]+1</f>
        <v>38</v>
      </c>
      <c r="AN2">
        <f>Tabla1[[#This Row],[Observaciones]]+1</f>
        <v>39</v>
      </c>
      <c r="AO2">
        <f>Tabla1[[#This Row],[archivo_contrato]]+1</f>
        <v>40</v>
      </c>
      <c r="AP2">
        <f>Tabla1[[#This Row],[Domicilio2]]+1</f>
        <v>41</v>
      </c>
      <c r="AQ2">
        <f>Tabla1[[#This Row],[Correo]]+1</f>
        <v>42</v>
      </c>
      <c r="AR2">
        <f>Tabla1[[#This Row],[dia_cobro]]+1</f>
        <v>43</v>
      </c>
      <c r="AS2">
        <f>Tabla1[[#This Row],[firma1]]+1</f>
        <v>44</v>
      </c>
      <c r="AT2">
        <f>Tabla1[[#This Row],[firma2]]+1</f>
        <v>45</v>
      </c>
      <c r="AU2">
        <f>Tabla1[[#This Row],[plazo_entrega]]+1</f>
        <v>46</v>
      </c>
      <c r="AV2">
        <f>Tabla1[[#This Row],[latitud]]+1</f>
        <v>47</v>
      </c>
      <c r="AW2">
        <f>Tabla1[[#This Row],[longitud]]+1</f>
        <v>48</v>
      </c>
      <c r="AX2">
        <f>Tabla1[[#This Row],[Tipo_Cobranza]]+1</f>
        <v>49</v>
      </c>
      <c r="AY2">
        <f>Tabla1[[#This Row],[Monto_Liquidado a la fecha]]+1</f>
        <v>50</v>
      </c>
      <c r="AZ2">
        <f>Tabla1[[#This Row],[Saldo_Deudor]]+1</f>
        <v>51</v>
      </c>
      <c r="BA2">
        <f>Tabla1[[#This Row],[horario_cobro]]+1</f>
        <v>52</v>
      </c>
      <c r="BB2">
        <f>Tabla1[[#This Row],[Estado_Cobro]]+1</f>
        <v>53</v>
      </c>
      <c r="BC2">
        <f>Tabla1[[#This Row],[Retrasos dias retrasados]]+1</f>
        <v>54</v>
      </c>
      <c r="BD2">
        <f>Tabla1[[#This Row],[ultimo_pago]]+1</f>
        <v>55</v>
      </c>
      <c r="BE2">
        <f>Tabla1[[#This Row],[pago_programado]]+1</f>
        <v>56</v>
      </c>
      <c r="BF2">
        <f>Tabla1[[#This Row],[fecha_entrega]]+1</f>
        <v>57</v>
      </c>
      <c r="BG2">
        <f>Tabla1[[#This Row],[idgrupo]]+1</f>
        <v>58</v>
      </c>
      <c r="BH2">
        <f>Tabla1[[#This Row],[idvendedor]]+1</f>
        <v>59</v>
      </c>
      <c r="BI2">
        <f>Tabla1[[#This Row],[idlider]]+1</f>
        <v>60</v>
      </c>
      <c r="BJ2">
        <f>Tabla1[[#This Row],[idgerente]]+1</f>
        <v>61</v>
      </c>
      <c r="BK2">
        <f>Tabla1[[#This Row],[Colonia de cobranza]]+1</f>
        <v>62</v>
      </c>
      <c r="BL2">
        <f>Tabla1[[#This Row],[edad]]+1</f>
        <v>63</v>
      </c>
      <c r="BM2">
        <f>Tabla1[[#This Row],[genero]]+1</f>
        <v>64</v>
      </c>
      <c r="BN2">
        <f>Tabla1[[#This Row],[hora_calle]]+1</f>
        <v>65</v>
      </c>
      <c r="BO2">
        <f>Tabla1[[#This Row],[precio_paquete]]+1</f>
        <v>66</v>
      </c>
      <c r="BP2">
        <f>Tabla1[[#This Row],[NumeroServicio]]+1</f>
        <v>67</v>
      </c>
      <c r="BQ2">
        <f>Tabla1[[#This Row],[NumeroFactura]]+1</f>
        <v>68</v>
      </c>
      <c r="BR2">
        <f>Tabla1[[#This Row],[NumeroTitulo]]+1</f>
        <v>69</v>
      </c>
      <c r="BS2">
        <f>Tabla1[[#This Row],[Fecha_Cancelacion]]+1</f>
        <v>70</v>
      </c>
      <c r="BT2">
        <f>Tabla1[[#This Row],[Fecha_Pagado]]+1</f>
        <v>71</v>
      </c>
      <c r="BU2">
        <f>Tabla1[[#This Row],[Fecha_Utilizado]]+1</f>
        <v>72</v>
      </c>
      <c r="BV2">
        <f>Tabla1[[#This Row],[idpaquete_kit]]+1</f>
        <v>73</v>
      </c>
      <c r="BW2">
        <f>Tabla1[[#This Row],[deleted]]+1</f>
        <v>74</v>
      </c>
      <c r="BX2">
        <f>Tabla1[[#This Row],[idsucursal]]+1</f>
        <v>75</v>
      </c>
      <c r="BY2">
        <f>Tabla1[[#This Row],[pagos]]+1</f>
        <v>76</v>
      </c>
      <c r="BZ2">
        <f>Tabla1[[#This Row],[tipo_comision_vendedor]]+1</f>
        <v>77</v>
      </c>
      <c r="CA2">
        <f>Tabla1[[#This Row],[tipo_comision_lider]]+1</f>
        <v>78</v>
      </c>
      <c r="CB2" t="s">
        <v>95</v>
      </c>
      <c r="CC2" t="s">
        <v>1</v>
      </c>
      <c r="CD2" t="s">
        <v>3</v>
      </c>
    </row>
    <row r="3" spans="1:82" x14ac:dyDescent="0.25">
      <c r="A3" t="s">
        <v>96</v>
      </c>
      <c r="B3" t="s">
        <v>97</v>
      </c>
      <c r="C3" t="s">
        <v>18</v>
      </c>
      <c r="D3" t="s">
        <v>19</v>
      </c>
      <c r="E3" t="s">
        <v>20</v>
      </c>
      <c r="F3" t="s">
        <v>21</v>
      </c>
      <c r="G3" t="s">
        <v>22</v>
      </c>
      <c r="H3" s="1" t="s">
        <v>98</v>
      </c>
      <c r="I3" t="s">
        <v>99</v>
      </c>
      <c r="J3" t="s">
        <v>25</v>
      </c>
      <c r="K3" t="s">
        <v>26</v>
      </c>
      <c r="L3" t="s">
        <v>27</v>
      </c>
      <c r="M3" t="s">
        <v>28</v>
      </c>
      <c r="N3" t="s">
        <v>29</v>
      </c>
      <c r="O3" t="s">
        <v>30</v>
      </c>
      <c r="P3" t="s">
        <v>31</v>
      </c>
      <c r="Q3" t="s">
        <v>100</v>
      </c>
      <c r="R3" t="s">
        <v>33</v>
      </c>
      <c r="S3" t="s">
        <v>3</v>
      </c>
      <c r="T3" t="s">
        <v>35</v>
      </c>
      <c r="U3" t="s">
        <v>3</v>
      </c>
      <c r="V3" t="s">
        <v>37</v>
      </c>
      <c r="W3" t="s">
        <v>3</v>
      </c>
      <c r="X3" t="s">
        <v>39</v>
      </c>
      <c r="Y3" t="s">
        <v>40</v>
      </c>
      <c r="Z3" t="s">
        <v>41</v>
      </c>
      <c r="AA3" t="s">
        <v>42</v>
      </c>
      <c r="AB3" t="s">
        <v>43</v>
      </c>
      <c r="AC3" t="s">
        <v>44</v>
      </c>
      <c r="AD3" t="s">
        <v>45</v>
      </c>
      <c r="AE3" t="s">
        <v>46</v>
      </c>
      <c r="AF3" t="s">
        <v>101</v>
      </c>
      <c r="AG3" t="s">
        <v>48</v>
      </c>
      <c r="AH3" t="s">
        <v>49</v>
      </c>
      <c r="AI3" t="s">
        <v>50</v>
      </c>
      <c r="AJ3" t="s">
        <v>51</v>
      </c>
      <c r="AK3" t="s">
        <v>52</v>
      </c>
      <c r="AL3" t="s">
        <v>53</v>
      </c>
      <c r="AM3" t="s">
        <v>54</v>
      </c>
      <c r="AN3" t="s">
        <v>55</v>
      </c>
      <c r="AO3" t="s">
        <v>56</v>
      </c>
      <c r="AP3" t="s">
        <v>57</v>
      </c>
      <c r="AQ3" t="s">
        <v>58</v>
      </c>
      <c r="AR3" t="s">
        <v>59</v>
      </c>
      <c r="AS3" t="s">
        <v>60</v>
      </c>
      <c r="AT3" t="s">
        <v>61</v>
      </c>
      <c r="AU3" t="s">
        <v>62</v>
      </c>
      <c r="AV3" t="s">
        <v>63</v>
      </c>
      <c r="AW3" t="s">
        <v>64</v>
      </c>
      <c r="AX3" t="s">
        <v>102</v>
      </c>
      <c r="AY3" t="s">
        <v>66</v>
      </c>
      <c r="AZ3" t="s">
        <v>67</v>
      </c>
      <c r="BA3" t="s">
        <v>68</v>
      </c>
      <c r="BB3" t="s">
        <v>103</v>
      </c>
      <c r="BC3" s="1" t="s">
        <v>70</v>
      </c>
      <c r="BD3" s="1" t="s">
        <v>71</v>
      </c>
      <c r="BE3" s="1" t="s">
        <v>72</v>
      </c>
      <c r="BF3" s="1" t="s">
        <v>73</v>
      </c>
      <c r="BG3" s="1" t="s">
        <v>74</v>
      </c>
      <c r="BH3" t="s">
        <v>75</v>
      </c>
      <c r="BI3" t="s">
        <v>76</v>
      </c>
      <c r="BJ3" t="s">
        <v>104</v>
      </c>
      <c r="BK3" t="s">
        <v>78</v>
      </c>
      <c r="BL3" t="s">
        <v>79</v>
      </c>
      <c r="BM3" t="s">
        <v>80</v>
      </c>
      <c r="BN3" t="s">
        <v>81</v>
      </c>
      <c r="BO3" t="s">
        <v>82</v>
      </c>
      <c r="BP3" t="s">
        <v>83</v>
      </c>
      <c r="BQ3" t="s">
        <v>84</v>
      </c>
      <c r="BR3" t="s">
        <v>85</v>
      </c>
      <c r="BS3" t="s">
        <v>86</v>
      </c>
      <c r="BT3" t="s">
        <v>87</v>
      </c>
      <c r="BU3" t="s">
        <v>88</v>
      </c>
      <c r="BV3" t="s">
        <v>89</v>
      </c>
      <c r="BW3" t="s">
        <v>90</v>
      </c>
      <c r="BX3" t="s">
        <v>91</v>
      </c>
      <c r="BY3" t="s">
        <v>92</v>
      </c>
      <c r="BZ3" t="s">
        <v>93</v>
      </c>
      <c r="CA3" t="s">
        <v>94</v>
      </c>
      <c r="CB3" t="s">
        <v>95</v>
      </c>
      <c r="CC3" t="s">
        <v>1</v>
      </c>
      <c r="CD3" t="s">
        <v>3</v>
      </c>
    </row>
    <row r="4" spans="1:82" ht="75" x14ac:dyDescent="0.25">
      <c r="A4">
        <v>1</v>
      </c>
      <c r="B4" t="s">
        <v>105</v>
      </c>
      <c r="C4">
        <v>7</v>
      </c>
      <c r="D4" t="s">
        <v>106</v>
      </c>
      <c r="E4" t="s">
        <v>107</v>
      </c>
      <c r="F4" t="s">
        <v>108</v>
      </c>
      <c r="G4" t="s">
        <v>108</v>
      </c>
      <c r="H4" s="1">
        <v>40745</v>
      </c>
      <c r="I4">
        <v>15600</v>
      </c>
      <c r="J4">
        <v>0</v>
      </c>
      <c r="K4">
        <v>0</v>
      </c>
      <c r="L4">
        <v>50</v>
      </c>
      <c r="M4">
        <v>0</v>
      </c>
      <c r="N4">
        <v>0</v>
      </c>
      <c r="O4" t="s">
        <v>3</v>
      </c>
      <c r="P4" t="s">
        <v>116</v>
      </c>
      <c r="Q4">
        <v>33</v>
      </c>
      <c r="R4">
        <v>0</v>
      </c>
      <c r="S4" t="s">
        <v>3</v>
      </c>
      <c r="T4">
        <v>0</v>
      </c>
      <c r="U4" t="s">
        <v>3</v>
      </c>
      <c r="V4">
        <v>0</v>
      </c>
      <c r="W4" t="s">
        <v>3</v>
      </c>
      <c r="X4">
        <v>0</v>
      </c>
      <c r="Y4">
        <v>0</v>
      </c>
      <c r="Z4">
        <v>0</v>
      </c>
      <c r="AA4">
        <v>0</v>
      </c>
      <c r="AB4" t="s">
        <v>8</v>
      </c>
      <c r="AC4" t="s">
        <v>13</v>
      </c>
      <c r="AD4" t="s">
        <v>109</v>
      </c>
      <c r="AE4">
        <v>0</v>
      </c>
      <c r="AF4" t="s">
        <v>110</v>
      </c>
      <c r="AG4" t="s">
        <v>111</v>
      </c>
      <c r="AH4" t="s">
        <v>112</v>
      </c>
      <c r="AI4" t="s">
        <v>5</v>
      </c>
      <c r="AJ4" t="s">
        <v>113</v>
      </c>
      <c r="AK4">
        <v>3311599272</v>
      </c>
      <c r="AL4" s="4" t="s">
        <v>114</v>
      </c>
      <c r="AM4" t="s">
        <v>3</v>
      </c>
      <c r="AN4" t="s">
        <v>115</v>
      </c>
      <c r="AO4" t="s">
        <v>112</v>
      </c>
      <c r="AP4" t="s">
        <v>3</v>
      </c>
      <c r="AQ4">
        <v>2</v>
      </c>
      <c r="AR4" t="s">
        <v>3</v>
      </c>
      <c r="AS4" t="s">
        <v>3</v>
      </c>
      <c r="AT4">
        <v>15</v>
      </c>
      <c r="AU4">
        <v>20.835594799999999</v>
      </c>
      <c r="AV4">
        <v>-103.73285370000001</v>
      </c>
      <c r="AW4">
        <v>0</v>
      </c>
      <c r="AX4">
        <v>15550</v>
      </c>
      <c r="AY4">
        <v>50</v>
      </c>
      <c r="AZ4">
        <v>4</v>
      </c>
      <c r="BA4">
        <v>0</v>
      </c>
      <c r="BB4">
        <v>74</v>
      </c>
      <c r="BC4" s="1">
        <v>43920</v>
      </c>
      <c r="BD4" s="1">
        <v>43928</v>
      </c>
      <c r="BE4" s="1" t="s">
        <v>110</v>
      </c>
      <c r="BF4" s="1">
        <v>1</v>
      </c>
      <c r="BG4" s="1">
        <v>33</v>
      </c>
      <c r="BH4">
        <v>0</v>
      </c>
      <c r="BI4">
        <v>0</v>
      </c>
      <c r="BJ4">
        <v>65</v>
      </c>
      <c r="BK4">
        <v>0</v>
      </c>
      <c r="BL4">
        <v>0</v>
      </c>
      <c r="BM4" s="2">
        <v>0</v>
      </c>
      <c r="BN4">
        <v>15600</v>
      </c>
      <c r="BO4">
        <v>0</v>
      </c>
      <c r="BP4">
        <v>0</v>
      </c>
      <c r="BQ4">
        <v>0</v>
      </c>
      <c r="BR4" t="s">
        <v>110</v>
      </c>
      <c r="BS4" s="1">
        <v>43920</v>
      </c>
      <c r="BT4" t="s">
        <v>110</v>
      </c>
      <c r="BU4">
        <v>0</v>
      </c>
      <c r="BV4">
        <v>0</v>
      </c>
      <c r="BW4">
        <v>1</v>
      </c>
      <c r="BX4">
        <v>0</v>
      </c>
      <c r="BY4">
        <v>0</v>
      </c>
      <c r="BZ4">
        <v>0</v>
      </c>
      <c r="CA4">
        <v>0</v>
      </c>
      <c r="CB4" t="s">
        <v>95</v>
      </c>
      <c r="CC4" t="s">
        <v>1</v>
      </c>
      <c r="CD4" t="s">
        <v>3</v>
      </c>
    </row>
    <row r="5" spans="1:82" x14ac:dyDescent="0.25">
      <c r="A5">
        <v>0</v>
      </c>
      <c r="B5">
        <f>Tabla1[[#This Row],[cadenaEs'[ecial]]+1</f>
        <v>1</v>
      </c>
      <c r="C5">
        <f>Tabla1[[#This Row],[Folio del contrato]]+1</f>
        <v>2</v>
      </c>
      <c r="D5">
        <f>Tabla1[[#This Row],[Estatus]]+1</f>
        <v>3</v>
      </c>
      <c r="E5">
        <f>Tabla1[[#This Row],[Paquete]]+1</f>
        <v>4</v>
      </c>
      <c r="F5">
        <f>Tabla1[[#This Row],[Estado]]+1</f>
        <v>5</v>
      </c>
      <c r="G5">
        <f>Tabla1[[#This Row],[Municipio]]+1</f>
        <v>6</v>
      </c>
      <c r="H5">
        <f>Tabla1[[#This Row],[Localidad]]+1</f>
        <v>7</v>
      </c>
      <c r="I5">
        <f>Tabla1[[#This Row],[Fecha de inscripcion]]+1</f>
        <v>8</v>
      </c>
      <c r="J5">
        <f>Tabla1[[#This Row],[precio del paquete]]+1</f>
        <v>9</v>
      </c>
      <c r="K5">
        <f>Tabla1[[#This Row],[promocion]]+1</f>
        <v>10</v>
      </c>
      <c r="L5">
        <f>Tabla1[[#This Row],[pago_inicial]]+1</f>
        <v>11</v>
      </c>
      <c r="M5">
        <f>Tabla1[[#This Row],[Abonos_de]]+1</f>
        <v>12</v>
      </c>
      <c r="N5">
        <f>Tabla1[[#This Row],[Plan_de_Pago]]+1</f>
        <v>13</v>
      </c>
      <c r="O5">
        <f>Tabla1[[#This Row],[limite_asignado]]+1</f>
        <v>14</v>
      </c>
      <c r="P5">
        <f>Tabla1[[#This Row],[Funeraria_Procedencia]]+1</f>
        <v>15</v>
      </c>
      <c r="Q5">
        <f>Tabla1[[#This Row],[archivo_adjunto]]+1</f>
        <v>16</v>
      </c>
      <c r="R5">
        <f>Tabla1[[#This Row],[Nombre del Vendedor]]+1</f>
        <v>17</v>
      </c>
      <c r="S5" t="s">
        <v>3</v>
      </c>
      <c r="T5">
        <v>18</v>
      </c>
      <c r="U5" t="s">
        <v>3</v>
      </c>
      <c r="V5">
        <v>19</v>
      </c>
      <c r="W5" t="s">
        <v>3</v>
      </c>
      <c r="X5">
        <v>20</v>
      </c>
      <c r="Y5">
        <f>Tabla1[[#This Row],[Bono]]+1</f>
        <v>21</v>
      </c>
      <c r="Z5">
        <f>Tabla1[[#This Row],[Bono_Asignado]]+1</f>
        <v>22</v>
      </c>
      <c r="AA5">
        <f>Tabla1[[#This Row],[Inscripcion]]+1</f>
        <v>23</v>
      </c>
      <c r="AB5">
        <f>Tabla1[[#This Row],[Inscripcion_Asignado]]+1</f>
        <v>24</v>
      </c>
      <c r="AC5">
        <f>Tabla1[[#This Row],[Apellido_Paterno]]+1</f>
        <v>25</v>
      </c>
      <c r="AD5">
        <f>Tabla1[[#This Row],[Apellido_Materno]]+1</f>
        <v>26</v>
      </c>
      <c r="AE5">
        <f>Tabla1[[#This Row],[Nombre]]+1</f>
        <v>27</v>
      </c>
      <c r="AF5">
        <f>Tabla1[[#This Row],[Estado_Civil]]+1</f>
        <v>28</v>
      </c>
      <c r="AG5">
        <f>Tabla1[[#This Row],[Nacimiento del cliente]]+1</f>
        <v>29</v>
      </c>
      <c r="AH5">
        <f>Tabla1[[#This Row],[IFE]]+1</f>
        <v>30</v>
      </c>
      <c r="AI5">
        <f>Tabla1[[#This Row],[Domicilio]]+1</f>
        <v>31</v>
      </c>
      <c r="AJ5">
        <f>Tabla1[[#This Row],[Colonia]]+1</f>
        <v>32</v>
      </c>
      <c r="AK5">
        <f>Tabla1[[#This Row],[Entre_Calles]]+1</f>
        <v>33</v>
      </c>
      <c r="AL5">
        <f>Tabla1[[#This Row],[Telefono]]+1</f>
        <v>34</v>
      </c>
      <c r="AM5">
        <f>Tabla1[[#This Row],[Beneficiario]]+1</f>
        <v>35</v>
      </c>
      <c r="AN5">
        <f>Tabla1[[#This Row],[Observaciones]]+1</f>
        <v>36</v>
      </c>
      <c r="AO5">
        <f>Tabla1[[#This Row],[archivo_contrato]]+1</f>
        <v>37</v>
      </c>
      <c r="AP5">
        <f>Tabla1[[#This Row],[Domicilio2]]+1</f>
        <v>38</v>
      </c>
      <c r="AQ5">
        <f>Tabla1[[#This Row],[Correo]]+1</f>
        <v>39</v>
      </c>
      <c r="AR5">
        <f>Tabla1[[#This Row],[dia_cobro]]+1</f>
        <v>40</v>
      </c>
      <c r="AS5">
        <f>Tabla1[[#This Row],[firma1]]+1</f>
        <v>41</v>
      </c>
      <c r="AT5">
        <f>Tabla1[[#This Row],[firma2]]+1</f>
        <v>42</v>
      </c>
      <c r="AU5">
        <f>Tabla1[[#This Row],[plazo_entrega]]+1</f>
        <v>43</v>
      </c>
      <c r="AV5">
        <f>Tabla1[[#This Row],[latitud]]+1</f>
        <v>44</v>
      </c>
      <c r="AW5">
        <f>Tabla1[[#This Row],[longitud]]+1</f>
        <v>45</v>
      </c>
      <c r="AX5">
        <f>Tabla1[[#This Row],[Tipo_Cobranza]]+1</f>
        <v>46</v>
      </c>
      <c r="AY5">
        <f>Tabla1[[#This Row],[Monto_Liquidado a la fecha]]+1</f>
        <v>47</v>
      </c>
      <c r="AZ5">
        <f>Tabla1[[#This Row],[Saldo_Deudor]]+1</f>
        <v>48</v>
      </c>
      <c r="BA5">
        <f>Tabla1[[#This Row],[horario_cobro]]+1</f>
        <v>49</v>
      </c>
      <c r="BB5">
        <f>Tabla1[[#This Row],[Estado_Cobro]]+1</f>
        <v>50</v>
      </c>
      <c r="BC5">
        <f>Tabla1[[#This Row],[Retrasos dias retrasados]]+1</f>
        <v>51</v>
      </c>
      <c r="BD5">
        <f>Tabla1[[#This Row],[ultimo_pago]]+1</f>
        <v>52</v>
      </c>
      <c r="BE5">
        <f>Tabla1[[#This Row],[pago_programado]]+1</f>
        <v>53</v>
      </c>
      <c r="BF5">
        <f>Tabla1[[#This Row],[fecha_entrega]]+1</f>
        <v>54</v>
      </c>
      <c r="BG5">
        <f>Tabla1[[#This Row],[idgrupo]]+1</f>
        <v>55</v>
      </c>
      <c r="BH5">
        <f>Tabla1[[#This Row],[idvendedor]]+1</f>
        <v>56</v>
      </c>
      <c r="BI5">
        <f>Tabla1[[#This Row],[idlider]]+1</f>
        <v>57</v>
      </c>
      <c r="BJ5">
        <f>Tabla1[[#This Row],[idgerente]]+1</f>
        <v>58</v>
      </c>
      <c r="BK5">
        <f>Tabla1[[#This Row],[Colonia de cobranza]]+1</f>
        <v>59</v>
      </c>
      <c r="BL5">
        <f>Tabla1[[#This Row],[edad]]+1</f>
        <v>60</v>
      </c>
      <c r="BM5">
        <f>Tabla1[[#This Row],[genero]]+1</f>
        <v>61</v>
      </c>
      <c r="BN5">
        <f>Tabla1[[#This Row],[hora_calle]]+1</f>
        <v>62</v>
      </c>
      <c r="BO5">
        <f>Tabla1[[#This Row],[precio_paquete]]+1</f>
        <v>63</v>
      </c>
      <c r="BP5">
        <f>Tabla1[[#This Row],[NumeroServicio]]+1</f>
        <v>64</v>
      </c>
      <c r="BQ5">
        <f>Tabla1[[#This Row],[NumeroFactura]]+1</f>
        <v>65</v>
      </c>
      <c r="BR5">
        <f>Tabla1[[#This Row],[NumeroTitulo]]+1</f>
        <v>66</v>
      </c>
      <c r="BS5">
        <f>Tabla1[[#This Row],[Fecha_Cancelacion]]+1</f>
        <v>67</v>
      </c>
      <c r="BT5">
        <f>Tabla1[[#This Row],[Fecha_Pagado]]+1</f>
        <v>68</v>
      </c>
      <c r="BU5">
        <f>Tabla1[[#This Row],[Fecha_Utilizado]]+1</f>
        <v>69</v>
      </c>
      <c r="BV5">
        <f>Tabla1[[#This Row],[idpaquete_kit]]+1</f>
        <v>70</v>
      </c>
      <c r="BW5">
        <f>Tabla1[[#This Row],[deleted]]+1</f>
        <v>71</v>
      </c>
      <c r="BX5">
        <f>Tabla1[[#This Row],[idsucursal]]+1</f>
        <v>72</v>
      </c>
      <c r="BY5">
        <f>Tabla1[[#This Row],[pagos]]+1</f>
        <v>73</v>
      </c>
      <c r="BZ5">
        <f>Tabla1[[#This Row],[tipo_comision_vendedor]]+1</f>
        <v>74</v>
      </c>
      <c r="CA5">
        <f>Tabla1[[#This Row],[tipo_comision_lider]]+1</f>
        <v>75</v>
      </c>
      <c r="CB5" t="s">
        <v>95</v>
      </c>
      <c r="CC5" t="s">
        <v>1</v>
      </c>
      <c r="CD5" t="s">
        <v>3</v>
      </c>
    </row>
    <row r="6" spans="1:82" x14ac:dyDescent="0.25">
      <c r="A6" t="s">
        <v>126</v>
      </c>
      <c r="B6" t="s">
        <v>127</v>
      </c>
      <c r="C6">
        <v>3</v>
      </c>
      <c r="D6" t="s">
        <v>14</v>
      </c>
      <c r="E6" t="s">
        <v>12</v>
      </c>
      <c r="F6" t="s">
        <v>120</v>
      </c>
      <c r="G6" t="s">
        <v>120</v>
      </c>
      <c r="H6" t="s">
        <v>128</v>
      </c>
      <c r="I6">
        <v>12900</v>
      </c>
      <c r="J6" t="s">
        <v>1</v>
      </c>
      <c r="K6" t="s">
        <v>1</v>
      </c>
      <c r="L6">
        <v>400</v>
      </c>
      <c r="M6">
        <v>2</v>
      </c>
      <c r="N6" t="s">
        <v>1</v>
      </c>
      <c r="O6" t="s">
        <v>1</v>
      </c>
      <c r="P6" t="s">
        <v>1</v>
      </c>
      <c r="Q6" t="s">
        <v>1</v>
      </c>
      <c r="R6" t="s">
        <v>1</v>
      </c>
      <c r="S6" t="s">
        <v>1</v>
      </c>
      <c r="T6" t="s">
        <v>1</v>
      </c>
      <c r="U6" t="s">
        <v>1</v>
      </c>
      <c r="V6" t="s">
        <v>1</v>
      </c>
      <c r="W6" t="s">
        <v>1</v>
      </c>
      <c r="X6" t="s">
        <v>1</v>
      </c>
      <c r="Y6" t="s">
        <v>1</v>
      </c>
      <c r="Z6" t="s">
        <v>1</v>
      </c>
      <c r="AA6" t="s">
        <v>1</v>
      </c>
      <c r="AB6" t="s">
        <v>15</v>
      </c>
      <c r="AC6" t="s">
        <v>125</v>
      </c>
      <c r="AD6" t="s">
        <v>123</v>
      </c>
      <c r="AE6" t="s">
        <v>4</v>
      </c>
      <c r="AF6" s="1" t="s">
        <v>1</v>
      </c>
      <c r="AG6" t="s">
        <v>1</v>
      </c>
      <c r="AH6" t="s">
        <v>129</v>
      </c>
      <c r="AI6" t="s">
        <v>119</v>
      </c>
      <c r="AJ6" t="s">
        <v>1</v>
      </c>
      <c r="AK6">
        <v>9331169247</v>
      </c>
      <c r="AL6" t="s">
        <v>1</v>
      </c>
      <c r="AM6" t="s">
        <v>1</v>
      </c>
      <c r="AN6" t="s">
        <v>1</v>
      </c>
      <c r="AO6" s="5" t="s">
        <v>130</v>
      </c>
      <c r="AP6" t="s">
        <v>1</v>
      </c>
      <c r="AQ6" t="s">
        <v>122</v>
      </c>
      <c r="AR6" t="s">
        <v>1</v>
      </c>
      <c r="AS6" t="s">
        <v>1</v>
      </c>
      <c r="AT6" t="s">
        <v>1</v>
      </c>
      <c r="AU6" t="s">
        <v>1</v>
      </c>
      <c r="AV6" t="s">
        <v>1</v>
      </c>
      <c r="AW6" t="s">
        <v>11</v>
      </c>
      <c r="AX6">
        <v>9000</v>
      </c>
      <c r="AY6">
        <v>3900</v>
      </c>
      <c r="AZ6" t="s">
        <v>1</v>
      </c>
      <c r="BA6" t="s">
        <v>1</v>
      </c>
      <c r="BB6" t="s">
        <v>1</v>
      </c>
      <c r="BC6" t="s">
        <v>117</v>
      </c>
      <c r="BD6" t="s">
        <v>133</v>
      </c>
      <c r="BE6" s="1" t="s">
        <v>1</v>
      </c>
      <c r="BF6" t="s">
        <v>1</v>
      </c>
      <c r="BG6" s="1" t="s">
        <v>1</v>
      </c>
      <c r="BH6" t="s">
        <v>1</v>
      </c>
      <c r="BI6" t="s">
        <v>1</v>
      </c>
      <c r="BJ6" t="s">
        <v>119</v>
      </c>
      <c r="BK6" t="s">
        <v>1</v>
      </c>
      <c r="BL6" t="s">
        <v>131</v>
      </c>
      <c r="BM6" s="2" t="s">
        <v>1</v>
      </c>
      <c r="BN6">
        <v>12900</v>
      </c>
      <c r="BO6" t="s">
        <v>1</v>
      </c>
      <c r="BP6" t="s">
        <v>1</v>
      </c>
      <c r="BQ6" t="s">
        <v>1</v>
      </c>
      <c r="BR6" t="s">
        <v>1</v>
      </c>
      <c r="BS6" t="s">
        <v>1</v>
      </c>
      <c r="BT6" t="s">
        <v>1</v>
      </c>
      <c r="BU6" t="s">
        <v>1</v>
      </c>
      <c r="BV6" t="s">
        <v>1</v>
      </c>
      <c r="BW6" t="s">
        <v>10</v>
      </c>
      <c r="BX6" t="s">
        <v>1</v>
      </c>
      <c r="BY6" t="s">
        <v>3</v>
      </c>
      <c r="BZ6" t="s">
        <v>3</v>
      </c>
      <c r="CA6" t="s">
        <v>3</v>
      </c>
      <c r="CB6" t="s">
        <v>95</v>
      </c>
      <c r="CC6" t="s">
        <v>1</v>
      </c>
      <c r="CD6" t="str" cm="1">
        <f t="array" aca="1" ref="CD6" ca="1">eConcatenar(A6:CB6,"|")</f>
        <v>sXd3zoQceyNtFnn2|COM2019-2501|3|ECONOLINE |TABASCO |COMALCALCO |COMALCALCO |2019-9-3|12900|X|X|400|2|X|X|X|X|X|X|X|X|X|X|X|X|X|X|PEREZ |ROMERO |LUIS ROBERTO |SOLTERO|X|X|CALLEJON DOÑA BENITA SIN NUMERO |ORIENTE PRIMERA SECCION |X|9331169247|X|X|X|RUTA 4 L |X|LUNES |X|X|X|X|X|DOMICILIO |9000|3900|X|X|X|2021-9-7|2021-10-4|X|X|X|X|X|ORIENTE PRIMERA SECCION |X|HOMBRE |X|12900|X|X|X|X|X|X|X|X|CARDENAS |X|x|x|x|final</v>
      </c>
    </row>
    <row r="7" spans="1:82" x14ac:dyDescent="0.25">
      <c r="AO7" s="5"/>
      <c r="BE7" s="1"/>
      <c r="CC7" t="s">
        <v>1</v>
      </c>
      <c r="CD7" t="str" cm="1">
        <f t="array" aca="1" ref="CD7" ca="1">eConcatenar(A7:CB7,"|")</f>
        <v>|||||||||||||||||||||||||||||||||||||||||||||||||||||||||||||||||||||||||||||||</v>
      </c>
    </row>
    <row r="8" spans="1:82" x14ac:dyDescent="0.25">
      <c r="A8" t="s">
        <v>136</v>
      </c>
      <c r="B8" t="s">
        <v>137</v>
      </c>
      <c r="C8">
        <v>3</v>
      </c>
      <c r="D8" t="s">
        <v>121</v>
      </c>
      <c r="E8" t="s">
        <v>12</v>
      </c>
      <c r="F8" t="s">
        <v>124</v>
      </c>
      <c r="G8" t="s">
        <v>138</v>
      </c>
      <c r="H8" t="s">
        <v>134</v>
      </c>
      <c r="I8">
        <v>12900</v>
      </c>
      <c r="J8" t="s">
        <v>1</v>
      </c>
      <c r="K8" t="s">
        <v>1</v>
      </c>
      <c r="L8">
        <v>100</v>
      </c>
      <c r="M8">
        <v>0</v>
      </c>
      <c r="N8" t="s">
        <v>3</v>
      </c>
      <c r="O8" t="s">
        <v>1</v>
      </c>
      <c r="P8" t="s">
        <v>1</v>
      </c>
      <c r="Q8" t="s">
        <v>1</v>
      </c>
      <c r="R8" t="s">
        <v>1</v>
      </c>
      <c r="S8" t="s">
        <v>1</v>
      </c>
      <c r="T8" t="s">
        <v>1</v>
      </c>
      <c r="U8" t="s">
        <v>1</v>
      </c>
      <c r="V8" t="s">
        <v>1</v>
      </c>
      <c r="W8" t="s">
        <v>1</v>
      </c>
      <c r="X8" t="s">
        <v>1</v>
      </c>
      <c r="Y8" t="s">
        <v>1</v>
      </c>
      <c r="Z8" t="s">
        <v>1</v>
      </c>
      <c r="AA8" t="s">
        <v>3</v>
      </c>
      <c r="AB8" t="s">
        <v>139</v>
      </c>
      <c r="AC8" t="s">
        <v>7</v>
      </c>
      <c r="AD8" t="s">
        <v>9</v>
      </c>
      <c r="AE8" t="s">
        <v>6</v>
      </c>
      <c r="AF8" t="s">
        <v>1</v>
      </c>
      <c r="AG8" t="s">
        <v>1</v>
      </c>
      <c r="AH8" t="s">
        <v>140</v>
      </c>
      <c r="AI8" t="s">
        <v>135</v>
      </c>
      <c r="AJ8" t="s">
        <v>1</v>
      </c>
      <c r="AK8">
        <v>9141372179</v>
      </c>
      <c r="AL8" t="s">
        <v>141</v>
      </c>
      <c r="AM8" t="s">
        <v>142</v>
      </c>
      <c r="AN8" t="s">
        <v>1</v>
      </c>
      <c r="AO8" t="s">
        <v>135</v>
      </c>
      <c r="AP8" t="s">
        <v>1</v>
      </c>
      <c r="AQ8" t="s">
        <v>2</v>
      </c>
      <c r="AR8" t="s">
        <v>3</v>
      </c>
      <c r="AS8" t="s">
        <v>3</v>
      </c>
      <c r="AT8" t="s">
        <v>1</v>
      </c>
      <c r="AU8" t="s">
        <v>1</v>
      </c>
      <c r="AV8" t="s">
        <v>1</v>
      </c>
      <c r="AW8" t="s">
        <v>11</v>
      </c>
      <c r="AX8">
        <v>4450</v>
      </c>
      <c r="AY8">
        <v>8450</v>
      </c>
      <c r="AZ8" t="s">
        <v>3</v>
      </c>
      <c r="BA8" t="s">
        <v>3</v>
      </c>
      <c r="BB8" t="s">
        <v>1</v>
      </c>
      <c r="BC8" t="s">
        <v>118</v>
      </c>
      <c r="BD8" t="s">
        <v>133</v>
      </c>
      <c r="BE8" t="s">
        <v>1</v>
      </c>
      <c r="BF8" t="s">
        <v>3</v>
      </c>
      <c r="BG8" t="s">
        <v>1</v>
      </c>
      <c r="BH8" t="s">
        <v>3</v>
      </c>
      <c r="BI8" t="s">
        <v>3</v>
      </c>
      <c r="BJ8" t="s">
        <v>143</v>
      </c>
      <c r="BK8" t="s">
        <v>1</v>
      </c>
      <c r="BL8" t="s">
        <v>132</v>
      </c>
      <c r="BM8" t="s">
        <v>3</v>
      </c>
      <c r="BN8">
        <v>12900</v>
      </c>
      <c r="BO8" t="s">
        <v>3</v>
      </c>
      <c r="BP8" t="s">
        <v>3</v>
      </c>
      <c r="BQ8" t="s">
        <v>3</v>
      </c>
      <c r="BR8" t="s">
        <v>1</v>
      </c>
      <c r="BS8" t="s">
        <v>1</v>
      </c>
      <c r="BT8" t="s">
        <v>1</v>
      </c>
      <c r="BU8" t="s">
        <v>1</v>
      </c>
      <c r="BV8" t="s">
        <v>1</v>
      </c>
      <c r="BW8" t="s">
        <v>0</v>
      </c>
      <c r="BX8" t="s">
        <v>3</v>
      </c>
      <c r="BY8" t="s">
        <v>3</v>
      </c>
      <c r="BZ8" t="s">
        <v>3</v>
      </c>
      <c r="CA8" t="s">
        <v>3</v>
      </c>
      <c r="CB8" t="s">
        <v>3</v>
      </c>
      <c r="CD8" t="str" cm="1">
        <f t="array" aca="1" ref="CD8" ca="1">eConcatenar(A8:CB8,"|")</f>
        <v>094HQJPFKmzvG5Yx|CAR 2020-5204|3|IMPERIAL DE LUJO |TABASCO |CUNDUACAN |CUANDUACAN |2020-12-5|12900|X|X|100|0|x|X|X|X|X|X|X|X|X|X|X|X|X|x|CORTOZA|LOPEZ|ROBERTO|CASADO|X|X|CARRETERA A BENITO JUAREZ|HUIMANGO SEGUNDA SECCION LA MONA |X|9141372179|MARIA DEL ROSARIO CORTAZA GARCIA |BENEFICIARIO 2: MARISOL CORTAZA GARCIA |X|HUIMANGO SEGUNDA SECCION LA MONA |X|LUNES|x|x|X|X|X|DOMICILIO |4450|8450|x|x|X|2021-9-27|2021-10-4|X|x|X|x|x|NL2E7OEHPWYUH7Y|X|HOMBRE|x|12900|x|x|x|X|X|X|X|X|CARDENAS|x|x|x|x|x</v>
      </c>
    </row>
    <row r="9" spans="1:82" s="5" customFormat="1" x14ac:dyDescent="0.25">
      <c r="CD9" s="5" t="str" cm="1">
        <f t="array" aca="1" ref="CD9" ca="1">eConcatenar(A9:CB9,"|")</f>
        <v>|||||||||||||||||||||||||||||||||||||||||||||||||||||||||||||||||||||||||||||||</v>
      </c>
    </row>
    <row r="10" spans="1:82" x14ac:dyDescent="0.25">
      <c r="A10" t="s">
        <v>144</v>
      </c>
      <c r="B10" t="s">
        <v>145</v>
      </c>
      <c r="C10">
        <v>3</v>
      </c>
      <c r="D10" t="s">
        <v>146</v>
      </c>
      <c r="E10" t="s">
        <v>12</v>
      </c>
      <c r="F10" t="s">
        <v>0</v>
      </c>
      <c r="G10" t="s">
        <v>0</v>
      </c>
      <c r="H10" t="s">
        <v>147</v>
      </c>
      <c r="I10">
        <v>14800</v>
      </c>
      <c r="J10" t="s">
        <v>1</v>
      </c>
      <c r="K10" t="s">
        <v>1</v>
      </c>
      <c r="L10">
        <v>400</v>
      </c>
      <c r="M10" s="5">
        <v>2</v>
      </c>
      <c r="N10">
        <v>0</v>
      </c>
      <c r="O10" t="s">
        <v>1</v>
      </c>
      <c r="P10">
        <v>0</v>
      </c>
      <c r="Q10" t="s">
        <v>1</v>
      </c>
      <c r="R10" t="s">
        <v>1</v>
      </c>
      <c r="S10" t="s">
        <v>1</v>
      </c>
      <c r="T10" t="s">
        <v>1</v>
      </c>
      <c r="U10" t="s">
        <v>1</v>
      </c>
      <c r="V10" t="s">
        <v>1</v>
      </c>
      <c r="W10" t="s">
        <v>1</v>
      </c>
      <c r="X10" t="s">
        <v>1</v>
      </c>
      <c r="Y10">
        <v>0</v>
      </c>
      <c r="Z10" t="s">
        <v>1</v>
      </c>
      <c r="AA10">
        <v>0</v>
      </c>
      <c r="AB10" t="s">
        <v>148</v>
      </c>
      <c r="AC10" t="s">
        <v>149</v>
      </c>
      <c r="AD10" t="s">
        <v>150</v>
      </c>
      <c r="AE10">
        <v>0</v>
      </c>
      <c r="AF10" t="s">
        <v>1</v>
      </c>
      <c r="AG10" t="s">
        <v>1</v>
      </c>
      <c r="AH10" t="s">
        <v>151</v>
      </c>
      <c r="AI10" t="s">
        <v>152</v>
      </c>
      <c r="AJ10" t="s">
        <v>1</v>
      </c>
      <c r="AK10">
        <v>9372281883</v>
      </c>
      <c r="AL10" t="s">
        <v>153</v>
      </c>
      <c r="AM10" t="s">
        <v>154</v>
      </c>
      <c r="AN10">
        <v>0</v>
      </c>
      <c r="AO10" t="s">
        <v>151</v>
      </c>
      <c r="AP10" t="s">
        <v>1</v>
      </c>
      <c r="AQ10" s="5">
        <v>0</v>
      </c>
      <c r="AR10">
        <v>0</v>
      </c>
      <c r="AS10">
        <v>0</v>
      </c>
      <c r="AT10" t="s">
        <v>1</v>
      </c>
      <c r="AU10" t="s">
        <v>1</v>
      </c>
      <c r="AV10" t="s">
        <v>1</v>
      </c>
      <c r="AW10">
        <v>0</v>
      </c>
      <c r="AX10">
        <v>100</v>
      </c>
      <c r="AY10">
        <v>14700</v>
      </c>
      <c r="AZ10">
        <v>0</v>
      </c>
      <c r="BA10">
        <v>0</v>
      </c>
      <c r="BB10" t="s">
        <v>1</v>
      </c>
      <c r="BC10" t="s">
        <v>147</v>
      </c>
      <c r="BD10" t="s">
        <v>155</v>
      </c>
      <c r="BE10" t="s">
        <v>1</v>
      </c>
      <c r="BF10">
        <v>0</v>
      </c>
      <c r="BG10" t="s">
        <v>1</v>
      </c>
      <c r="BH10">
        <v>0</v>
      </c>
      <c r="BI10">
        <v>0</v>
      </c>
      <c r="BJ10" s="5" t="s">
        <v>156</v>
      </c>
      <c r="BK10" t="s">
        <v>1</v>
      </c>
      <c r="BL10" s="5">
        <v>0</v>
      </c>
      <c r="BM10">
        <v>0</v>
      </c>
      <c r="BN10">
        <v>14800</v>
      </c>
      <c r="BO10">
        <v>0</v>
      </c>
      <c r="BP10">
        <v>0</v>
      </c>
      <c r="BQ10">
        <v>0</v>
      </c>
      <c r="BR10" t="s">
        <v>1</v>
      </c>
      <c r="BS10" t="s">
        <v>1</v>
      </c>
      <c r="BT10" t="s">
        <v>1</v>
      </c>
      <c r="BU10">
        <v>0</v>
      </c>
      <c r="BV10" t="s">
        <v>1</v>
      </c>
      <c r="BW10" t="s">
        <v>1</v>
      </c>
      <c r="BX10" t="s">
        <v>1</v>
      </c>
      <c r="BY10">
        <v>0</v>
      </c>
      <c r="BZ10">
        <v>0</v>
      </c>
      <c r="CA10">
        <v>0</v>
      </c>
      <c r="CB10">
        <v>0</v>
      </c>
      <c r="CD10" t="str" cm="1">
        <f t="array" aca="1" ref="CD10" ca="1">eConcatenar(A10:CB10,"|")</f>
        <v>o2GPnJEYgErjJtwQ|CAR2021-7712|3|MEMORIAL |TABASCO |CARDENAS|CARDENAS|2021-12-31|14800|X|X|400|2|0|X|0|X|X|X|X|X|X|X|X|0|X|0|CORDOVA |LEYVA|MARIO|0|X|X|CALLE NUMERO 10 CASA NUMERO 245|C-9 FRANCISCO I MADERO|X|9372281883|LUCIA CORDOVA HERNANDEZ|BENEFICIARIO 2: LUCIO CORDOVA HERNANDEZ|0|CALLE NUMERO 10 CASA NUMERO 245|X|0|0|0|X|X|X|0|100|14700|0|0|X|2021-12-31|2022-02-01|X|0|X|0|0|D7MKLZTCDQVFP55|X|0|0|14800|0|0|0|X|X|X|0|X|X|X|0|0|0|0</v>
      </c>
    </row>
    <row r="11" spans="1:82" x14ac:dyDescent="0.25">
      <c r="A11" t="s">
        <v>157</v>
      </c>
      <c r="B11" t="s">
        <v>158</v>
      </c>
      <c r="C11">
        <v>3</v>
      </c>
      <c r="D11" t="s">
        <v>146</v>
      </c>
      <c r="E11" t="s">
        <v>12</v>
      </c>
      <c r="F11" t="s">
        <v>0</v>
      </c>
      <c r="G11" t="s">
        <v>0</v>
      </c>
      <c r="H11" t="s">
        <v>147</v>
      </c>
      <c r="I11">
        <v>14800</v>
      </c>
      <c r="J11" t="s">
        <v>1</v>
      </c>
      <c r="K11" t="s">
        <v>1</v>
      </c>
      <c r="L11">
        <v>400</v>
      </c>
      <c r="M11">
        <v>2</v>
      </c>
      <c r="N11">
        <v>0</v>
      </c>
      <c r="O11" t="s">
        <v>1</v>
      </c>
      <c r="P11">
        <v>0</v>
      </c>
      <c r="Q11" t="s">
        <v>1</v>
      </c>
      <c r="R11" t="s">
        <v>1</v>
      </c>
      <c r="S11" t="s">
        <v>1</v>
      </c>
      <c r="T11" t="s">
        <v>1</v>
      </c>
      <c r="U11" t="s">
        <v>1</v>
      </c>
      <c r="V11" t="s">
        <v>1</v>
      </c>
      <c r="W11" t="s">
        <v>1</v>
      </c>
      <c r="X11" t="s">
        <v>1</v>
      </c>
      <c r="Y11">
        <v>0</v>
      </c>
      <c r="Z11" t="s">
        <v>1</v>
      </c>
      <c r="AA11">
        <v>0</v>
      </c>
      <c r="AB11" t="s">
        <v>159</v>
      </c>
      <c r="AC11" t="s">
        <v>160</v>
      </c>
      <c r="AD11" t="s">
        <v>161</v>
      </c>
      <c r="AE11">
        <v>0</v>
      </c>
      <c r="AF11" t="s">
        <v>1</v>
      </c>
      <c r="AG11" t="s">
        <v>1</v>
      </c>
      <c r="AH11" t="s">
        <v>162</v>
      </c>
      <c r="AI11" t="s">
        <v>152</v>
      </c>
      <c r="AJ11" t="s">
        <v>1</v>
      </c>
      <c r="AK11">
        <v>9379992067</v>
      </c>
      <c r="AL11" t="s">
        <v>163</v>
      </c>
      <c r="AM11" t="s">
        <v>164</v>
      </c>
      <c r="AN11">
        <v>0</v>
      </c>
      <c r="AO11" t="s">
        <v>162</v>
      </c>
      <c r="AP11" t="s">
        <v>1</v>
      </c>
      <c r="AQ11">
        <v>0</v>
      </c>
      <c r="AR11">
        <v>0</v>
      </c>
      <c r="AS11">
        <v>0</v>
      </c>
      <c r="AT11" t="s">
        <v>1</v>
      </c>
      <c r="AU11" t="s">
        <v>1</v>
      </c>
      <c r="AV11" t="s">
        <v>1</v>
      </c>
      <c r="AW11">
        <v>0</v>
      </c>
      <c r="AX11">
        <v>100</v>
      </c>
      <c r="AY11">
        <v>14700</v>
      </c>
      <c r="AZ11">
        <v>0</v>
      </c>
      <c r="BA11">
        <v>0</v>
      </c>
      <c r="BB11" t="s">
        <v>1</v>
      </c>
      <c r="BC11" t="s">
        <v>147</v>
      </c>
      <c r="BD11" t="s">
        <v>155</v>
      </c>
      <c r="BE11" t="s">
        <v>1</v>
      </c>
      <c r="BF11">
        <v>0</v>
      </c>
      <c r="BG11" t="s">
        <v>1</v>
      </c>
      <c r="BH11">
        <v>0</v>
      </c>
      <c r="BI11">
        <v>0</v>
      </c>
      <c r="BJ11" t="s">
        <v>156</v>
      </c>
      <c r="BK11" t="s">
        <v>1</v>
      </c>
      <c r="BL11">
        <v>1</v>
      </c>
      <c r="BM11">
        <v>0</v>
      </c>
      <c r="BN11">
        <v>14800</v>
      </c>
      <c r="BO11">
        <v>0</v>
      </c>
      <c r="BP11">
        <v>0</v>
      </c>
      <c r="BQ11">
        <v>0</v>
      </c>
      <c r="BR11" t="s">
        <v>1</v>
      </c>
      <c r="BS11" t="s">
        <v>1</v>
      </c>
      <c r="BT11" t="s">
        <v>1</v>
      </c>
      <c r="BU11">
        <v>0</v>
      </c>
      <c r="BV11" t="s">
        <v>1</v>
      </c>
      <c r="BW11" t="s">
        <v>1</v>
      </c>
      <c r="BX11" t="s">
        <v>1</v>
      </c>
      <c r="BY11">
        <v>0</v>
      </c>
      <c r="BZ11">
        <v>0</v>
      </c>
      <c r="CA11">
        <v>0</v>
      </c>
      <c r="CB11">
        <v>0</v>
      </c>
      <c r="CD11" t="str" cm="1">
        <f t="array" aca="1" ref="CD11" ca="1">eConcatenar(A11:CB11,"|")</f>
        <v>NJbPqayyH1JeBPcw|CAR2021-7710|3|MEMORIAL |TABASCO |CARDENAS|CARDENAS|2021-12-31|14800|X|X|400|2|0|X|0|X|X|X|X|X|X|X|X|0|X|0|GARCIA|ORTIZ|MARIA GUADALUPE|0|X|X|CALLE NUMERO 10 CASA NUMERO 248|C-9 FRANCISCO I MADERO|X|9379992067|LUCIA GARCIA ORTIZ |BENEFICIARIO 2: DANIELA GARCIA ORTIZ|0|CALLE NUMERO 10 CASA NUMERO 248|X|0|0|0|X|X|X|0|100|14700|0|0|X|2021-12-31|2022-02-01|X|0|X|0|0|D7MKLZTCDQVFP55|X|1|0|14800|0|0|0|X|X|X|0|X|X|X|0|0|0|0</v>
      </c>
    </row>
    <row r="12" spans="1:82" x14ac:dyDescent="0.25">
      <c r="A12" t="s">
        <v>165</v>
      </c>
      <c r="B12" t="s">
        <v>166</v>
      </c>
      <c r="C12">
        <v>3</v>
      </c>
      <c r="D12" t="s">
        <v>146</v>
      </c>
      <c r="E12" t="s">
        <v>12</v>
      </c>
      <c r="F12" t="s">
        <v>0</v>
      </c>
      <c r="G12" t="s">
        <v>0</v>
      </c>
      <c r="H12" t="s">
        <v>147</v>
      </c>
      <c r="I12">
        <v>14800</v>
      </c>
      <c r="J12" t="s">
        <v>1</v>
      </c>
      <c r="K12" t="s">
        <v>1</v>
      </c>
      <c r="L12">
        <v>200</v>
      </c>
      <c r="M12">
        <v>1</v>
      </c>
      <c r="N12">
        <v>0</v>
      </c>
      <c r="O12" t="s">
        <v>1</v>
      </c>
      <c r="P12">
        <v>0</v>
      </c>
      <c r="Q12" t="s">
        <v>1</v>
      </c>
      <c r="R12" t="s">
        <v>1</v>
      </c>
      <c r="S12" t="s">
        <v>1</v>
      </c>
      <c r="T12" t="s">
        <v>1</v>
      </c>
      <c r="U12" t="s">
        <v>1</v>
      </c>
      <c r="V12" t="s">
        <v>1</v>
      </c>
      <c r="W12" t="s">
        <v>1</v>
      </c>
      <c r="X12" t="s">
        <v>1</v>
      </c>
      <c r="Y12">
        <v>0</v>
      </c>
      <c r="Z12" t="s">
        <v>1</v>
      </c>
      <c r="AA12">
        <v>0</v>
      </c>
      <c r="AB12" t="s">
        <v>148</v>
      </c>
      <c r="AC12" t="s">
        <v>149</v>
      </c>
      <c r="AD12" t="s">
        <v>167</v>
      </c>
      <c r="AE12">
        <v>0</v>
      </c>
      <c r="AF12" t="s">
        <v>1</v>
      </c>
      <c r="AG12" t="s">
        <v>1</v>
      </c>
      <c r="AH12" t="s">
        <v>168</v>
      </c>
      <c r="AI12" t="s">
        <v>152</v>
      </c>
      <c r="AJ12" t="s">
        <v>1</v>
      </c>
      <c r="AK12">
        <v>9371019012</v>
      </c>
      <c r="AL12" t="s">
        <v>169</v>
      </c>
      <c r="AM12" t="s">
        <v>170</v>
      </c>
      <c r="AN12">
        <v>0</v>
      </c>
      <c r="AO12" t="s">
        <v>168</v>
      </c>
      <c r="AP12" t="s">
        <v>1</v>
      </c>
      <c r="AQ12">
        <v>4</v>
      </c>
      <c r="AR12">
        <v>0</v>
      </c>
      <c r="AS12">
        <v>0</v>
      </c>
      <c r="AT12" t="s">
        <v>1</v>
      </c>
      <c r="AU12" t="s">
        <v>1</v>
      </c>
      <c r="AV12" t="s">
        <v>1</v>
      </c>
      <c r="AW12">
        <v>0</v>
      </c>
      <c r="AX12">
        <v>50</v>
      </c>
      <c r="AY12">
        <v>14750</v>
      </c>
      <c r="AZ12">
        <v>0</v>
      </c>
      <c r="BA12">
        <v>0</v>
      </c>
      <c r="BB12" t="s">
        <v>1</v>
      </c>
      <c r="BC12" t="s">
        <v>147</v>
      </c>
      <c r="BD12" t="s">
        <v>155</v>
      </c>
      <c r="BE12" t="s">
        <v>1</v>
      </c>
      <c r="BF12">
        <v>0</v>
      </c>
      <c r="BG12" t="s">
        <v>1</v>
      </c>
      <c r="BH12">
        <v>0</v>
      </c>
      <c r="BI12">
        <v>0</v>
      </c>
      <c r="BJ12" t="s">
        <v>171</v>
      </c>
      <c r="BK12" t="s">
        <v>1</v>
      </c>
      <c r="BL12">
        <v>0</v>
      </c>
      <c r="BM12">
        <v>0</v>
      </c>
      <c r="BN12">
        <v>14800</v>
      </c>
      <c r="BO12">
        <v>0</v>
      </c>
      <c r="BP12">
        <v>0</v>
      </c>
      <c r="BQ12">
        <v>0</v>
      </c>
      <c r="BR12" t="s">
        <v>1</v>
      </c>
      <c r="BS12" t="s">
        <v>1</v>
      </c>
      <c r="BT12" t="s">
        <v>1</v>
      </c>
      <c r="BU12">
        <v>0</v>
      </c>
      <c r="BV12" t="s">
        <v>1</v>
      </c>
      <c r="BW12" t="s">
        <v>1</v>
      </c>
      <c r="BX12" t="s">
        <v>1</v>
      </c>
      <c r="BY12">
        <v>0</v>
      </c>
      <c r="BZ12">
        <v>0</v>
      </c>
      <c r="CA12">
        <v>0</v>
      </c>
      <c r="CB12">
        <v>0</v>
      </c>
      <c r="CD12" t="str" cm="1">
        <f t="array" aca="1" ref="CD12" ca="1">eConcatenar(A12:CB12,"|")</f>
        <v>Lkk3IEhj79JP7N2X|CAR2021-7715|3|MEMORIAL |TABASCO |CARDENAS|CARDENAS|2021-12-31|14800|X|X|200|1|0|X|0|X|X|X|X|X|X|X|X|0|X|0|CORDOVA |LEYVA|UBULIADO|0|X|X|CALLE ALFREDO V BONFIL KILOMETRO 19 |C-9 FRANCISCO I MADERO|X|9371019012|JUANA CORDOVA GOMEZ|BENEFICIARIO 2: VIANEY CORDOVA GOMEZ|0|CALLE ALFREDO V BONFIL KILOMETRO 19 |X|4|0|0|X|X|X|0|50|14750|0|0|X|2021-12-31|2022-02-01|X|0|X|0|0|TGYGIVCAZFPUVXE|X|0|0|14800|0|0|0|X|X|X|0|X|X|X|0|0|0|0</v>
      </c>
    </row>
    <row r="13" spans="1:82" x14ac:dyDescent="0.25">
      <c r="A13" t="s">
        <v>172</v>
      </c>
      <c r="B13" t="s">
        <v>173</v>
      </c>
      <c r="C13">
        <v>3</v>
      </c>
      <c r="D13" t="s">
        <v>146</v>
      </c>
      <c r="E13" t="s">
        <v>12</v>
      </c>
      <c r="F13" t="s">
        <v>0</v>
      </c>
      <c r="G13" t="s">
        <v>0</v>
      </c>
      <c r="H13" t="s">
        <v>147</v>
      </c>
      <c r="I13">
        <v>14800</v>
      </c>
      <c r="J13" t="s">
        <v>1</v>
      </c>
      <c r="K13" t="s">
        <v>1</v>
      </c>
      <c r="L13">
        <v>200</v>
      </c>
      <c r="M13">
        <v>1</v>
      </c>
      <c r="N13">
        <v>0</v>
      </c>
      <c r="O13" t="s">
        <v>1</v>
      </c>
      <c r="P13">
        <v>0</v>
      </c>
      <c r="Q13" t="s">
        <v>1</v>
      </c>
      <c r="R13" t="s">
        <v>1</v>
      </c>
      <c r="S13" t="s">
        <v>1</v>
      </c>
      <c r="T13" t="s">
        <v>1</v>
      </c>
      <c r="U13" t="s">
        <v>1</v>
      </c>
      <c r="V13" t="s">
        <v>1</v>
      </c>
      <c r="W13" t="s">
        <v>1</v>
      </c>
      <c r="X13" t="s">
        <v>1</v>
      </c>
      <c r="Y13">
        <v>0</v>
      </c>
      <c r="Z13" t="s">
        <v>1</v>
      </c>
      <c r="AA13">
        <v>0</v>
      </c>
      <c r="AB13" t="s">
        <v>174</v>
      </c>
      <c r="AC13" t="s">
        <v>175</v>
      </c>
      <c r="AD13" t="s">
        <v>176</v>
      </c>
      <c r="AE13">
        <v>0</v>
      </c>
      <c r="AF13" t="s">
        <v>1</v>
      </c>
      <c r="AG13" t="s">
        <v>1</v>
      </c>
      <c r="AH13" t="s">
        <v>177</v>
      </c>
      <c r="AI13" t="s">
        <v>152</v>
      </c>
      <c r="AJ13" t="s">
        <v>1</v>
      </c>
      <c r="AK13">
        <v>9373746589</v>
      </c>
      <c r="AL13" t="s">
        <v>178</v>
      </c>
      <c r="AM13" t="s">
        <v>179</v>
      </c>
      <c r="AN13">
        <v>0</v>
      </c>
      <c r="AO13" t="s">
        <v>177</v>
      </c>
      <c r="AP13" t="s">
        <v>1</v>
      </c>
      <c r="AQ13">
        <v>0</v>
      </c>
      <c r="AR13">
        <v>0</v>
      </c>
      <c r="AS13">
        <v>0</v>
      </c>
      <c r="AT13" t="s">
        <v>1</v>
      </c>
      <c r="AU13" t="s">
        <v>1</v>
      </c>
      <c r="AV13" t="s">
        <v>1</v>
      </c>
      <c r="AW13">
        <v>0</v>
      </c>
      <c r="AX13">
        <v>200</v>
      </c>
      <c r="AY13">
        <v>14600</v>
      </c>
      <c r="AZ13">
        <v>0</v>
      </c>
      <c r="BA13">
        <v>0</v>
      </c>
      <c r="BB13" t="s">
        <v>1</v>
      </c>
      <c r="BC13" t="s">
        <v>147</v>
      </c>
      <c r="BD13" t="s">
        <v>155</v>
      </c>
      <c r="BE13" t="s">
        <v>1</v>
      </c>
      <c r="BF13">
        <v>0</v>
      </c>
      <c r="BG13" t="s">
        <v>1</v>
      </c>
      <c r="BH13">
        <v>0</v>
      </c>
      <c r="BI13">
        <v>0</v>
      </c>
      <c r="BJ13" t="s">
        <v>156</v>
      </c>
      <c r="BK13" t="s">
        <v>1</v>
      </c>
      <c r="BL13">
        <v>0</v>
      </c>
      <c r="BM13">
        <v>0</v>
      </c>
      <c r="BN13">
        <v>14800</v>
      </c>
      <c r="BO13">
        <v>0</v>
      </c>
      <c r="BP13">
        <v>0</v>
      </c>
      <c r="BQ13">
        <v>0</v>
      </c>
      <c r="BR13" t="s">
        <v>1</v>
      </c>
      <c r="BS13" t="s">
        <v>1</v>
      </c>
      <c r="BT13" t="s">
        <v>1</v>
      </c>
      <c r="BU13">
        <v>0</v>
      </c>
      <c r="BV13" t="s">
        <v>1</v>
      </c>
      <c r="BW13" t="s">
        <v>1</v>
      </c>
      <c r="BX13" t="s">
        <v>1</v>
      </c>
      <c r="BY13">
        <v>0</v>
      </c>
      <c r="BZ13">
        <v>0</v>
      </c>
      <c r="CA13">
        <v>0</v>
      </c>
      <c r="CB13">
        <v>0</v>
      </c>
      <c r="CD13" t="str" cm="1">
        <f t="array" aca="1" ref="CD13" ca="1">eConcatenar(A13:CB13,"|")</f>
        <v>kgj8JWvv0DLgYTqR|CAR2021-7713|3|MEMORIAL |TABASCO |CARDENAS|CARDENAS|2021-12-31|14800|X|X|200|1|0|X|0|X|X|X|X|X|X|X|X|0|X|0|ORTIZ |BERASALUCE|ANAHAN|0|X|X|CALLE NUMERO 10 MIGUEL HIDALGO CASA NUMERO 264|C-9 FRANCISCO I MADERO|X|9373746589|SONIA ORTIZ VENTURA|BENEFICIARIO 2: GENOVEVA VENTURA LEYVA|0|CALLE NUMERO 10 MIGUEL HIDALGO CASA NUMERO 264|X|0|0|0|X|X|X|0|200|14600|0|0|X|2021-12-31|2022-02-01|X|0|X|0|0|D7MKLZTCDQVFP55|X|0|0|14800|0|0|0|X|X|X|0|X|X|X|0|0|0|0</v>
      </c>
    </row>
    <row r="14" spans="1:82" x14ac:dyDescent="0.25">
      <c r="A14" t="s">
        <v>180</v>
      </c>
      <c r="B14" t="s">
        <v>181</v>
      </c>
      <c r="C14">
        <v>3</v>
      </c>
      <c r="D14" t="s">
        <v>146</v>
      </c>
      <c r="E14" t="s">
        <v>12</v>
      </c>
      <c r="F14" t="s">
        <v>0</v>
      </c>
      <c r="G14" t="s">
        <v>0</v>
      </c>
      <c r="H14" t="s">
        <v>147</v>
      </c>
      <c r="I14">
        <v>14800</v>
      </c>
      <c r="J14" t="s">
        <v>1</v>
      </c>
      <c r="K14" t="s">
        <v>1</v>
      </c>
      <c r="L14">
        <v>200</v>
      </c>
      <c r="M14">
        <v>1</v>
      </c>
      <c r="N14">
        <v>0</v>
      </c>
      <c r="O14" t="s">
        <v>1</v>
      </c>
      <c r="P14">
        <v>0</v>
      </c>
      <c r="Q14" t="s">
        <v>1</v>
      </c>
      <c r="R14" t="s">
        <v>1</v>
      </c>
      <c r="S14" t="s">
        <v>1</v>
      </c>
      <c r="T14" t="s">
        <v>1</v>
      </c>
      <c r="U14" t="s">
        <v>1</v>
      </c>
      <c r="V14" t="s">
        <v>1</v>
      </c>
      <c r="W14" t="s">
        <v>1</v>
      </c>
      <c r="X14" t="s">
        <v>1</v>
      </c>
      <c r="Y14">
        <v>0</v>
      </c>
      <c r="Z14" t="s">
        <v>1</v>
      </c>
      <c r="AA14">
        <v>0</v>
      </c>
      <c r="AB14" t="s">
        <v>182</v>
      </c>
      <c r="AC14" t="s">
        <v>183</v>
      </c>
      <c r="AD14" t="s">
        <v>184</v>
      </c>
      <c r="AE14">
        <v>0</v>
      </c>
      <c r="AF14" t="s">
        <v>1</v>
      </c>
      <c r="AG14" t="s">
        <v>1</v>
      </c>
      <c r="AH14" t="s">
        <v>185</v>
      </c>
      <c r="AI14" t="s">
        <v>186</v>
      </c>
      <c r="AJ14" t="s">
        <v>1</v>
      </c>
      <c r="AK14">
        <v>9331566829</v>
      </c>
      <c r="AL14" t="s">
        <v>187</v>
      </c>
      <c r="AM14" t="s">
        <v>188</v>
      </c>
      <c r="AN14">
        <v>0</v>
      </c>
      <c r="AO14" t="s">
        <v>185</v>
      </c>
      <c r="AP14" t="s">
        <v>1</v>
      </c>
      <c r="AQ14">
        <v>4</v>
      </c>
      <c r="AR14">
        <v>0</v>
      </c>
      <c r="AS14">
        <v>0</v>
      </c>
      <c r="AT14" t="s">
        <v>1</v>
      </c>
      <c r="AU14" t="s">
        <v>1</v>
      </c>
      <c r="AV14" t="s">
        <v>1</v>
      </c>
      <c r="AW14">
        <v>0</v>
      </c>
      <c r="AX14">
        <v>200</v>
      </c>
      <c r="AY14">
        <v>14600</v>
      </c>
      <c r="AZ14">
        <v>0</v>
      </c>
      <c r="BA14">
        <v>0</v>
      </c>
      <c r="BB14" t="s">
        <v>1</v>
      </c>
      <c r="BC14" t="s">
        <v>147</v>
      </c>
      <c r="BD14" t="s">
        <v>155</v>
      </c>
      <c r="BE14" t="s">
        <v>1</v>
      </c>
      <c r="BF14">
        <v>0</v>
      </c>
      <c r="BG14" t="s">
        <v>1</v>
      </c>
      <c r="BH14">
        <v>0</v>
      </c>
      <c r="BI14">
        <v>0</v>
      </c>
      <c r="BJ14" t="s">
        <v>171</v>
      </c>
      <c r="BK14" t="s">
        <v>1</v>
      </c>
      <c r="BL14">
        <v>1</v>
      </c>
      <c r="BM14">
        <v>0</v>
      </c>
      <c r="BN14">
        <v>14800</v>
      </c>
      <c r="BO14">
        <v>0</v>
      </c>
      <c r="BP14">
        <v>0</v>
      </c>
      <c r="BQ14">
        <v>0</v>
      </c>
      <c r="BR14" t="s">
        <v>1</v>
      </c>
      <c r="BS14" t="s">
        <v>1</v>
      </c>
      <c r="BT14" t="s">
        <v>1</v>
      </c>
      <c r="BU14">
        <v>0</v>
      </c>
      <c r="BV14" t="s">
        <v>1</v>
      </c>
      <c r="BW14" t="s">
        <v>1</v>
      </c>
      <c r="BX14" t="s">
        <v>1</v>
      </c>
      <c r="BY14">
        <v>0</v>
      </c>
      <c r="BZ14">
        <v>0</v>
      </c>
      <c r="CA14">
        <v>0</v>
      </c>
      <c r="CB14">
        <v>0</v>
      </c>
      <c r="CD14" t="str" cm="1">
        <f t="array" aca="1" ref="CD14" ca="1">eConcatenar(A14:CB14,"|")</f>
        <v>GKsgSesUgoEmaydq|CAR2021-7705|3|MEMORIAL |TABASCO |CARDENAS|CARDENAS|2021-12-31|14800|X|X|200|1|0|X|0|X|X|X|X|X|X|X|X|0|X|0|MAGAÃ‘A|MENDEZ |ADRIANA CRYSTEL|0|X|X|CARRETERA PRINCIPAL SIN NUMERO|SANTUARIO TERCERA SECCION PIEDRAS NEGRAS|X|9331566829|FATIMA KARINA MAGAÃ‘A MENDEZ|BENEFICIARIO 2: ABIMAEL RODRIGUEZ MENDEZ|0|CARRETERA PRINCIPAL SIN NUMERO|X|4|0|0|X|X|X|0|200|14600|0|0|X|2021-12-31|2022-02-01|X|0|X|0|0|TGYGIVCAZFPUVXE|X|1|0|14800|0|0|0|X|X|X|0|X|X|X|0|0|0|0</v>
      </c>
    </row>
    <row r="15" spans="1:82" x14ac:dyDescent="0.25">
      <c r="A15" t="s">
        <v>189</v>
      </c>
      <c r="B15" t="s">
        <v>190</v>
      </c>
      <c r="C15">
        <v>3</v>
      </c>
      <c r="D15" t="s">
        <v>146</v>
      </c>
      <c r="E15" t="s">
        <v>12</v>
      </c>
      <c r="F15" t="s">
        <v>0</v>
      </c>
      <c r="G15" t="s">
        <v>0</v>
      </c>
      <c r="H15" t="s">
        <v>147</v>
      </c>
      <c r="I15">
        <v>14800</v>
      </c>
      <c r="J15" t="s">
        <v>1</v>
      </c>
      <c r="K15" t="s">
        <v>1</v>
      </c>
      <c r="L15">
        <v>100</v>
      </c>
      <c r="M15">
        <v>0</v>
      </c>
      <c r="N15">
        <v>0</v>
      </c>
      <c r="O15" t="s">
        <v>1</v>
      </c>
      <c r="P15">
        <v>0</v>
      </c>
      <c r="Q15" t="s">
        <v>1</v>
      </c>
      <c r="R15" t="s">
        <v>1</v>
      </c>
      <c r="S15" t="s">
        <v>1</v>
      </c>
      <c r="T15" t="s">
        <v>1</v>
      </c>
      <c r="U15" t="s">
        <v>1</v>
      </c>
      <c r="V15" t="s">
        <v>1</v>
      </c>
      <c r="W15" t="s">
        <v>1</v>
      </c>
      <c r="X15" t="s">
        <v>1</v>
      </c>
      <c r="Y15">
        <v>0</v>
      </c>
      <c r="Z15" t="s">
        <v>1</v>
      </c>
      <c r="AA15">
        <v>0</v>
      </c>
      <c r="AB15" t="s">
        <v>191</v>
      </c>
      <c r="AC15" t="s">
        <v>159</v>
      </c>
      <c r="AD15" t="s">
        <v>192</v>
      </c>
      <c r="AE15">
        <v>0</v>
      </c>
      <c r="AF15" t="s">
        <v>1</v>
      </c>
      <c r="AG15" t="s">
        <v>1</v>
      </c>
      <c r="AH15" t="s">
        <v>185</v>
      </c>
      <c r="AI15" t="s">
        <v>193</v>
      </c>
      <c r="AJ15" t="s">
        <v>1</v>
      </c>
      <c r="AK15">
        <v>9371668627</v>
      </c>
      <c r="AL15" t="s">
        <v>194</v>
      </c>
      <c r="AM15" t="s">
        <v>195</v>
      </c>
      <c r="AN15">
        <v>0</v>
      </c>
      <c r="AO15" t="s">
        <v>185</v>
      </c>
      <c r="AP15" t="s">
        <v>1</v>
      </c>
      <c r="AQ15">
        <v>4</v>
      </c>
      <c r="AR15">
        <v>0</v>
      </c>
      <c r="AS15">
        <v>0</v>
      </c>
      <c r="AT15" t="s">
        <v>1</v>
      </c>
      <c r="AU15" t="s">
        <v>1</v>
      </c>
      <c r="AV15" t="s">
        <v>1</v>
      </c>
      <c r="AW15">
        <v>0</v>
      </c>
      <c r="AX15">
        <v>100</v>
      </c>
      <c r="AY15">
        <v>14700</v>
      </c>
      <c r="AZ15">
        <v>0</v>
      </c>
      <c r="BA15">
        <v>0</v>
      </c>
      <c r="BB15" t="s">
        <v>1</v>
      </c>
      <c r="BC15" t="s">
        <v>147</v>
      </c>
      <c r="BD15" t="s">
        <v>155</v>
      </c>
      <c r="BE15" t="s">
        <v>1</v>
      </c>
      <c r="BF15">
        <v>0</v>
      </c>
      <c r="BG15" t="s">
        <v>1</v>
      </c>
      <c r="BH15">
        <v>0</v>
      </c>
      <c r="BI15">
        <v>0</v>
      </c>
      <c r="BJ15" t="s">
        <v>171</v>
      </c>
      <c r="BK15" t="s">
        <v>1</v>
      </c>
      <c r="BL15">
        <v>0</v>
      </c>
      <c r="BM15">
        <v>0</v>
      </c>
      <c r="BN15">
        <v>14800</v>
      </c>
      <c r="BO15">
        <v>0</v>
      </c>
      <c r="BP15">
        <v>0</v>
      </c>
      <c r="BQ15">
        <v>0</v>
      </c>
      <c r="BR15" t="s">
        <v>1</v>
      </c>
      <c r="BS15" t="s">
        <v>1</v>
      </c>
      <c r="BT15" t="s">
        <v>1</v>
      </c>
      <c r="BU15">
        <v>0</v>
      </c>
      <c r="BV15" t="s">
        <v>1</v>
      </c>
      <c r="BW15" t="s">
        <v>1</v>
      </c>
      <c r="BX15" t="s">
        <v>1</v>
      </c>
      <c r="BY15">
        <v>0</v>
      </c>
      <c r="BZ15">
        <v>0</v>
      </c>
      <c r="CA15">
        <v>0</v>
      </c>
      <c r="CB15">
        <v>0</v>
      </c>
      <c r="CD15" t="str" cm="1">
        <f t="array" aca="1" ref="CD15" ca="1">eConcatenar(A15:CB15,"|")</f>
        <v>0BCrsyxLPuXKgWop|CAR2021-7704|3|MEMORIAL |TABASCO |CARDENAS|CARDENAS|2021-12-31|14800|X|X|100|0|0|X|0|X|X|X|X|X|X|X|X|0|X|0|MARTINEZ |GARCIA|MANOLO|0|X|X|CARRETERA PRINCIPAL SIN NUMERO|SANTUARIO SEGUNDA SECCION|X|9371668627|BERTA MIRANDA XICOTENCATL|BENEFICIARIO 2: JENRI MARTINEZ MIRANDA|0|CARRETERA PRINCIPAL SIN NUMERO|X|4|0|0|X|X|X|0|100|14700|0|0|X|2021-12-31|2022-02-01|X|0|X|0|0|TGYGIVCAZFPUVXE|X|0|0|14800|0|0|0|X|X|X|0|X|X|X|0|0|0|0</v>
      </c>
    </row>
    <row r="16" spans="1:82" x14ac:dyDescent="0.25">
      <c r="A16" t="s">
        <v>196</v>
      </c>
      <c r="B16" t="s">
        <v>197</v>
      </c>
      <c r="C16">
        <v>3</v>
      </c>
      <c r="D16" t="s">
        <v>146</v>
      </c>
      <c r="E16" t="s">
        <v>12</v>
      </c>
      <c r="F16" t="s">
        <v>0</v>
      </c>
      <c r="G16" t="s">
        <v>0</v>
      </c>
      <c r="H16" t="s">
        <v>198</v>
      </c>
      <c r="I16">
        <v>14800</v>
      </c>
      <c r="J16" t="s">
        <v>1</v>
      </c>
      <c r="K16" t="s">
        <v>1</v>
      </c>
      <c r="L16">
        <v>100</v>
      </c>
      <c r="M16">
        <v>0</v>
      </c>
      <c r="N16">
        <v>0</v>
      </c>
      <c r="O16" t="s">
        <v>1</v>
      </c>
      <c r="P16">
        <v>0</v>
      </c>
      <c r="Q16" t="s">
        <v>1</v>
      </c>
      <c r="R16" t="s">
        <v>1</v>
      </c>
      <c r="S16" t="s">
        <v>1</v>
      </c>
      <c r="T16" t="s">
        <v>1</v>
      </c>
      <c r="U16" t="s">
        <v>1</v>
      </c>
      <c r="V16" t="s">
        <v>1</v>
      </c>
      <c r="W16" t="s">
        <v>1</v>
      </c>
      <c r="X16" t="s">
        <v>1</v>
      </c>
      <c r="Y16">
        <v>0</v>
      </c>
      <c r="Z16" t="s">
        <v>1</v>
      </c>
      <c r="AA16">
        <v>0</v>
      </c>
      <c r="AB16" t="s">
        <v>199</v>
      </c>
      <c r="AC16" t="s">
        <v>200</v>
      </c>
      <c r="AD16" t="s">
        <v>201</v>
      </c>
      <c r="AE16">
        <v>0</v>
      </c>
      <c r="AF16" t="s">
        <v>1</v>
      </c>
      <c r="AG16" t="s">
        <v>1</v>
      </c>
      <c r="AH16" t="s">
        <v>202</v>
      </c>
      <c r="AI16" t="s">
        <v>203</v>
      </c>
      <c r="AJ16" t="s">
        <v>1</v>
      </c>
      <c r="AK16">
        <v>9932582675</v>
      </c>
      <c r="AL16" t="s">
        <v>204</v>
      </c>
      <c r="AM16" t="s">
        <v>205</v>
      </c>
      <c r="AN16">
        <v>0</v>
      </c>
      <c r="AO16" t="s">
        <v>202</v>
      </c>
      <c r="AP16" t="s">
        <v>1</v>
      </c>
      <c r="AQ16">
        <v>2</v>
      </c>
      <c r="AR16">
        <v>0</v>
      </c>
      <c r="AS16">
        <v>0</v>
      </c>
      <c r="AT16" t="s">
        <v>1</v>
      </c>
      <c r="AU16" t="s">
        <v>1</v>
      </c>
      <c r="AV16" t="s">
        <v>1</v>
      </c>
      <c r="AW16">
        <v>0</v>
      </c>
      <c r="AX16">
        <v>100</v>
      </c>
      <c r="AY16">
        <v>14700</v>
      </c>
      <c r="AZ16">
        <v>0</v>
      </c>
      <c r="BA16">
        <v>0</v>
      </c>
      <c r="BB16" t="s">
        <v>1</v>
      </c>
      <c r="BC16" t="s">
        <v>198</v>
      </c>
      <c r="BD16" t="s">
        <v>155</v>
      </c>
      <c r="BE16" t="s">
        <v>1</v>
      </c>
      <c r="BF16">
        <v>0</v>
      </c>
      <c r="BG16" t="s">
        <v>1</v>
      </c>
      <c r="BH16">
        <v>0</v>
      </c>
      <c r="BI16">
        <v>0</v>
      </c>
      <c r="BJ16" t="s">
        <v>206</v>
      </c>
      <c r="BK16" t="s">
        <v>1</v>
      </c>
      <c r="BL16">
        <v>1</v>
      </c>
      <c r="BM16">
        <v>0</v>
      </c>
      <c r="BN16">
        <v>14800</v>
      </c>
      <c r="BO16">
        <v>0</v>
      </c>
      <c r="BP16">
        <v>0</v>
      </c>
      <c r="BQ16">
        <v>0</v>
      </c>
      <c r="BR16" t="s">
        <v>1</v>
      </c>
      <c r="BS16" t="s">
        <v>1</v>
      </c>
      <c r="BT16" t="s">
        <v>1</v>
      </c>
      <c r="BU16">
        <v>0</v>
      </c>
      <c r="BV16" t="s">
        <v>1</v>
      </c>
      <c r="BW16" t="s">
        <v>1</v>
      </c>
      <c r="BX16" t="s">
        <v>1</v>
      </c>
      <c r="BY16">
        <v>0</v>
      </c>
      <c r="BZ16">
        <v>0</v>
      </c>
      <c r="CA16">
        <v>0</v>
      </c>
      <c r="CB16">
        <v>0</v>
      </c>
      <c r="CD16" t="str" cm="1">
        <f t="array" aca="1" ref="CD16" ca="1">eConcatenar(A16:CB16,"|")</f>
        <v>7GWtez4RWU1w3nxe|CAR2021-7693|3|MEMORIAL |TABASCO |CARDENAS|CARDENAS|2021-12-30|14800|X|X|100|0|0|X|0|X|X|X|X|X|X|X|X|0|X|0|RAMOS|GONZALEZ |KARINA|0|X|X|CALLE MANUEL LEYVA SIN NUMERO|PUEBLO NUEVO|X|9932582675|JOSE GUTIERREZ JIMENEZ|BENEFICIARIO 2: KATIA HAICHEL RAMOS GONZALEZ|0|CALLE MANUEL LEYVA SIN NUMERO|X|2|0|0|X|X|X|0|100|14700|0|0|X|2021-12-30|2022-02-01|X|0|X|0|0|RJC990KJLQSW15E|X|1|0|14800|0|0|0|X|X|X|0|X|X|X|0|0|0|0</v>
      </c>
    </row>
    <row r="17" spans="1:82" x14ac:dyDescent="0.25">
      <c r="A17" t="s">
        <v>207</v>
      </c>
      <c r="B17" t="s">
        <v>208</v>
      </c>
      <c r="C17">
        <v>3</v>
      </c>
      <c r="D17" t="s">
        <v>146</v>
      </c>
      <c r="E17" t="s">
        <v>12</v>
      </c>
      <c r="F17" t="s">
        <v>0</v>
      </c>
      <c r="G17" t="s">
        <v>0</v>
      </c>
      <c r="H17" t="s">
        <v>198</v>
      </c>
      <c r="I17">
        <v>14800</v>
      </c>
      <c r="J17" t="s">
        <v>1</v>
      </c>
      <c r="K17" t="s">
        <v>1</v>
      </c>
      <c r="L17">
        <v>400</v>
      </c>
      <c r="M17">
        <v>2</v>
      </c>
      <c r="N17">
        <v>0</v>
      </c>
      <c r="O17" t="s">
        <v>1</v>
      </c>
      <c r="P17">
        <v>0</v>
      </c>
      <c r="Q17" t="s">
        <v>1</v>
      </c>
      <c r="R17" t="s">
        <v>1</v>
      </c>
      <c r="S17" t="s">
        <v>1</v>
      </c>
      <c r="T17" t="s">
        <v>1</v>
      </c>
      <c r="U17" t="s">
        <v>1</v>
      </c>
      <c r="V17" t="s">
        <v>1</v>
      </c>
      <c r="W17" t="s">
        <v>1</v>
      </c>
      <c r="X17" t="s">
        <v>1</v>
      </c>
      <c r="Y17">
        <v>0</v>
      </c>
      <c r="Z17" t="s">
        <v>1</v>
      </c>
      <c r="AA17">
        <v>0</v>
      </c>
      <c r="AB17" t="s">
        <v>209</v>
      </c>
      <c r="AC17" t="s">
        <v>160</v>
      </c>
      <c r="AD17" t="s">
        <v>210</v>
      </c>
      <c r="AE17">
        <v>0</v>
      </c>
      <c r="AF17" t="s">
        <v>1</v>
      </c>
      <c r="AG17" t="s">
        <v>1</v>
      </c>
      <c r="AH17" t="s">
        <v>211</v>
      </c>
      <c r="AI17" t="s">
        <v>212</v>
      </c>
      <c r="AJ17" t="s">
        <v>1</v>
      </c>
      <c r="AK17">
        <v>9371330636</v>
      </c>
      <c r="AL17" t="s">
        <v>213</v>
      </c>
      <c r="AM17" t="s">
        <v>214</v>
      </c>
      <c r="AN17">
        <v>0</v>
      </c>
      <c r="AO17" t="s">
        <v>211</v>
      </c>
      <c r="AP17" t="s">
        <v>1</v>
      </c>
      <c r="AQ17">
        <v>2</v>
      </c>
      <c r="AR17">
        <v>0</v>
      </c>
      <c r="AS17">
        <v>0</v>
      </c>
      <c r="AT17" t="s">
        <v>1</v>
      </c>
      <c r="AU17" t="s">
        <v>1</v>
      </c>
      <c r="AV17" t="s">
        <v>1</v>
      </c>
      <c r="AW17">
        <v>0</v>
      </c>
      <c r="AX17">
        <v>200</v>
      </c>
      <c r="AY17">
        <v>14600</v>
      </c>
      <c r="AZ17">
        <v>0</v>
      </c>
      <c r="BA17">
        <v>0</v>
      </c>
      <c r="BB17" t="s">
        <v>1</v>
      </c>
      <c r="BC17" t="s">
        <v>198</v>
      </c>
      <c r="BD17" t="s">
        <v>155</v>
      </c>
      <c r="BE17" t="s">
        <v>1</v>
      </c>
      <c r="BF17">
        <v>0</v>
      </c>
      <c r="BG17" t="s">
        <v>1</v>
      </c>
      <c r="BH17">
        <v>0</v>
      </c>
      <c r="BI17">
        <v>0</v>
      </c>
      <c r="BJ17" t="s">
        <v>206</v>
      </c>
      <c r="BK17" t="s">
        <v>1</v>
      </c>
      <c r="BL17">
        <v>1</v>
      </c>
      <c r="BM17">
        <v>0</v>
      </c>
      <c r="BN17">
        <v>14800</v>
      </c>
      <c r="BO17">
        <v>0</v>
      </c>
      <c r="BP17">
        <v>0</v>
      </c>
      <c r="BQ17">
        <v>0</v>
      </c>
      <c r="BR17" t="s">
        <v>1</v>
      </c>
      <c r="BS17" t="s">
        <v>1</v>
      </c>
      <c r="BT17" t="s">
        <v>1</v>
      </c>
      <c r="BU17">
        <v>0</v>
      </c>
      <c r="BV17" t="s">
        <v>1</v>
      </c>
      <c r="BW17" t="s">
        <v>1</v>
      </c>
      <c r="BX17" t="s">
        <v>1</v>
      </c>
      <c r="BY17">
        <v>0</v>
      </c>
      <c r="BZ17">
        <v>0</v>
      </c>
      <c r="CA17">
        <v>0</v>
      </c>
      <c r="CB17">
        <v>0</v>
      </c>
      <c r="CD17" t="str" cm="1">
        <f t="array" aca="1" ref="CD17" ca="1">eConcatenar(A17:CB17,"|")</f>
        <v>g48ZiXVzylrOVHhm|CAR2021-7692|3|MEMORIAL |TABASCO |CARDENAS|CARDENAS|2021-12-30|14800|X|X|400|2|0|X|0|X|X|X|X|X|X|X|X|0|X|0|SANCHEZ|ORTIZ|ETELBINA|0|X|X|CALLE JESUS GARCIA NUMERO 205|CALZADA PRIMERA SECCION|X|9371330636|NACY RIVON SANCHEZ|BENEFICIARIO 2: NELLY RIVON SANCHEZ|0|CALLE JESUS GARCIA NUMERO 205|X|2|0|0|X|X|X|0|200|14600|0|0|X|2021-12-30|2022-02-01|X|0|X|0|0|RJC990KJLQSW15E|X|1|0|14800|0|0|0|X|X|X|0|X|X|X|0|0|0|0</v>
      </c>
    </row>
    <row r="18" spans="1:82" x14ac:dyDescent="0.25">
      <c r="A18" t="s">
        <v>215</v>
      </c>
      <c r="B18" t="s">
        <v>216</v>
      </c>
      <c r="C18">
        <v>3</v>
      </c>
      <c r="D18" t="s">
        <v>146</v>
      </c>
      <c r="E18" t="s">
        <v>12</v>
      </c>
      <c r="F18" t="s">
        <v>0</v>
      </c>
      <c r="G18" t="s">
        <v>0</v>
      </c>
      <c r="H18" t="s">
        <v>198</v>
      </c>
      <c r="I18">
        <v>14800</v>
      </c>
      <c r="J18" t="s">
        <v>1</v>
      </c>
      <c r="K18" t="s">
        <v>1</v>
      </c>
      <c r="L18">
        <v>200</v>
      </c>
      <c r="M18">
        <v>1</v>
      </c>
      <c r="N18">
        <v>0</v>
      </c>
      <c r="O18" t="s">
        <v>1</v>
      </c>
      <c r="P18">
        <v>0</v>
      </c>
      <c r="Q18" t="s">
        <v>1</v>
      </c>
      <c r="R18" t="s">
        <v>1</v>
      </c>
      <c r="S18" t="s">
        <v>1</v>
      </c>
      <c r="T18" t="s">
        <v>1</v>
      </c>
      <c r="U18" t="s">
        <v>1</v>
      </c>
      <c r="V18" t="s">
        <v>1</v>
      </c>
      <c r="W18" t="s">
        <v>1</v>
      </c>
      <c r="X18" t="s">
        <v>1</v>
      </c>
      <c r="Y18">
        <v>0</v>
      </c>
      <c r="Z18" t="s">
        <v>1</v>
      </c>
      <c r="AA18">
        <v>0</v>
      </c>
      <c r="AB18" t="s">
        <v>217</v>
      </c>
      <c r="AC18" t="s">
        <v>218</v>
      </c>
      <c r="AD18" t="s">
        <v>219</v>
      </c>
      <c r="AE18">
        <v>0</v>
      </c>
      <c r="AF18" t="s">
        <v>1</v>
      </c>
      <c r="AG18" t="s">
        <v>1</v>
      </c>
      <c r="AH18" t="s">
        <v>220</v>
      </c>
      <c r="AI18" t="s">
        <v>212</v>
      </c>
      <c r="AJ18" t="s">
        <v>1</v>
      </c>
      <c r="AK18">
        <v>9931890011</v>
      </c>
      <c r="AL18" t="s">
        <v>221</v>
      </c>
      <c r="AM18" t="s">
        <v>222</v>
      </c>
      <c r="AN18">
        <v>0</v>
      </c>
      <c r="AO18" t="s">
        <v>220</v>
      </c>
      <c r="AP18" t="s">
        <v>1</v>
      </c>
      <c r="AQ18">
        <v>4</v>
      </c>
      <c r="AR18">
        <v>0</v>
      </c>
      <c r="AS18">
        <v>0</v>
      </c>
      <c r="AT18" t="s">
        <v>1</v>
      </c>
      <c r="AU18" t="s">
        <v>1</v>
      </c>
      <c r="AV18" t="s">
        <v>1</v>
      </c>
      <c r="AW18">
        <v>0</v>
      </c>
      <c r="AX18">
        <v>100</v>
      </c>
      <c r="AY18">
        <v>14700</v>
      </c>
      <c r="AZ18">
        <v>0</v>
      </c>
      <c r="BA18">
        <v>0</v>
      </c>
      <c r="BB18" t="s">
        <v>1</v>
      </c>
      <c r="BC18" t="s">
        <v>198</v>
      </c>
      <c r="BD18" t="s">
        <v>155</v>
      </c>
      <c r="BE18" t="s">
        <v>1</v>
      </c>
      <c r="BF18">
        <v>0</v>
      </c>
      <c r="BG18" t="s">
        <v>1</v>
      </c>
      <c r="BH18">
        <v>0</v>
      </c>
      <c r="BI18">
        <v>0</v>
      </c>
      <c r="BJ18" t="s">
        <v>223</v>
      </c>
      <c r="BK18" t="s">
        <v>1</v>
      </c>
      <c r="BL18">
        <v>1</v>
      </c>
      <c r="BM18">
        <v>0</v>
      </c>
      <c r="BN18">
        <v>14800</v>
      </c>
      <c r="BO18">
        <v>0</v>
      </c>
      <c r="BP18">
        <v>0</v>
      </c>
      <c r="BQ18">
        <v>0</v>
      </c>
      <c r="BR18" t="s">
        <v>1</v>
      </c>
      <c r="BS18" t="s">
        <v>1</v>
      </c>
      <c r="BT18" t="s">
        <v>1</v>
      </c>
      <c r="BU18">
        <v>0</v>
      </c>
      <c r="BV18" t="s">
        <v>1</v>
      </c>
      <c r="BW18" t="s">
        <v>1</v>
      </c>
      <c r="BX18" t="s">
        <v>1</v>
      </c>
      <c r="BY18">
        <v>0</v>
      </c>
      <c r="BZ18">
        <v>0</v>
      </c>
      <c r="CA18">
        <v>0</v>
      </c>
      <c r="CB18">
        <v>0</v>
      </c>
      <c r="CD18" t="str" cm="1">
        <f t="array" aca="1" ref="CD18" ca="1">eConcatenar(A18:CB18,"|")</f>
        <v>ImfC5ndGRncFj4Fm|CAR2021-7695|3|MEMORIAL |TABASCO |CARDENAS|CARDENAS|2021-12-30|14800|X|X|200|1|0|X|0|X|X|X|X|X|X|X|X|0|X|0|HERNANDEZ|VILLEGAS|MARIA DEL CARMEN|0|X|X|CERRADA MARIO GARCIA BRITO|CALZADA PRIMERA SECCION|X|9931890011|LIDIA JACIBE ABAD HERNANDEZ|BENEFICIARIO 2: ANTONIO ABAD HERNANDEZ|0|CERRADA MARIO GARCIA BRITO|X|4|0|0|X|X|X|0|100|14700|0|0|X|2021-12-30|2022-02-01|X|0|X|0|0|QXTXF5PY9KVTQO|X|1|0|14800|0|0|0|X|X|X|0|X|X|X|0|0|0|0</v>
      </c>
    </row>
    <row r="19" spans="1:82" x14ac:dyDescent="0.25">
      <c r="A19" t="s">
        <v>224</v>
      </c>
      <c r="B19" t="s">
        <v>225</v>
      </c>
      <c r="C19">
        <v>3</v>
      </c>
      <c r="D19" t="s">
        <v>146</v>
      </c>
      <c r="E19" t="s">
        <v>12</v>
      </c>
      <c r="F19" t="s">
        <v>0</v>
      </c>
      <c r="G19" t="s">
        <v>0</v>
      </c>
      <c r="H19" t="s">
        <v>198</v>
      </c>
      <c r="I19">
        <v>14800</v>
      </c>
      <c r="J19" t="s">
        <v>1</v>
      </c>
      <c r="K19" t="s">
        <v>1</v>
      </c>
      <c r="L19">
        <v>100</v>
      </c>
      <c r="M19">
        <v>0</v>
      </c>
      <c r="N19">
        <v>0</v>
      </c>
      <c r="O19" t="s">
        <v>1</v>
      </c>
      <c r="P19">
        <v>0</v>
      </c>
      <c r="Q19" t="s">
        <v>1</v>
      </c>
      <c r="R19" t="s">
        <v>1</v>
      </c>
      <c r="S19" t="s">
        <v>1</v>
      </c>
      <c r="T19" t="s">
        <v>1</v>
      </c>
      <c r="U19" t="s">
        <v>1</v>
      </c>
      <c r="V19" t="s">
        <v>1</v>
      </c>
      <c r="W19" t="s">
        <v>1</v>
      </c>
      <c r="X19" t="s">
        <v>1</v>
      </c>
      <c r="Y19">
        <v>0</v>
      </c>
      <c r="Z19" t="s">
        <v>1</v>
      </c>
      <c r="AA19">
        <v>0</v>
      </c>
      <c r="AB19" t="s">
        <v>226</v>
      </c>
      <c r="AC19" t="s">
        <v>227</v>
      </c>
      <c r="AD19" t="s">
        <v>228</v>
      </c>
      <c r="AE19">
        <v>0</v>
      </c>
      <c r="AF19" t="s">
        <v>1</v>
      </c>
      <c r="AG19" t="s">
        <v>1</v>
      </c>
      <c r="AH19" t="s">
        <v>229</v>
      </c>
      <c r="AI19" t="s">
        <v>230</v>
      </c>
      <c r="AJ19" t="s">
        <v>1</v>
      </c>
      <c r="AK19">
        <v>9373722384</v>
      </c>
      <c r="AL19" t="s">
        <v>231</v>
      </c>
      <c r="AM19" t="s">
        <v>232</v>
      </c>
      <c r="AN19">
        <v>0</v>
      </c>
      <c r="AO19" t="s">
        <v>229</v>
      </c>
      <c r="AP19" t="s">
        <v>1</v>
      </c>
      <c r="AQ19">
        <v>0</v>
      </c>
      <c r="AR19">
        <v>0</v>
      </c>
      <c r="AS19">
        <v>0</v>
      </c>
      <c r="AT19" t="s">
        <v>1</v>
      </c>
      <c r="AU19" t="s">
        <v>1</v>
      </c>
      <c r="AV19" t="s">
        <v>1</v>
      </c>
      <c r="AW19">
        <v>0</v>
      </c>
      <c r="AX19">
        <v>200</v>
      </c>
      <c r="AY19">
        <v>14600</v>
      </c>
      <c r="AZ19">
        <v>0</v>
      </c>
      <c r="BA19">
        <v>0</v>
      </c>
      <c r="BB19" t="s">
        <v>1</v>
      </c>
      <c r="BC19" t="s">
        <v>198</v>
      </c>
      <c r="BD19" t="s">
        <v>155</v>
      </c>
      <c r="BE19" t="s">
        <v>1</v>
      </c>
      <c r="BF19">
        <v>0</v>
      </c>
      <c r="BG19" t="s">
        <v>1</v>
      </c>
      <c r="BH19">
        <v>0</v>
      </c>
      <c r="BI19">
        <v>0</v>
      </c>
      <c r="BJ19" t="s">
        <v>233</v>
      </c>
      <c r="BK19" t="s">
        <v>1</v>
      </c>
      <c r="BL19">
        <v>1</v>
      </c>
      <c r="BM19">
        <v>0</v>
      </c>
      <c r="BN19">
        <v>14800</v>
      </c>
      <c r="BO19">
        <v>0</v>
      </c>
      <c r="BP19">
        <v>0</v>
      </c>
      <c r="BQ19">
        <v>0</v>
      </c>
      <c r="BR19" t="s">
        <v>1</v>
      </c>
      <c r="BS19" t="s">
        <v>1</v>
      </c>
      <c r="BT19" t="s">
        <v>1</v>
      </c>
      <c r="BU19">
        <v>0</v>
      </c>
      <c r="BV19" t="s">
        <v>1</v>
      </c>
      <c r="BW19" t="s">
        <v>1</v>
      </c>
      <c r="BX19" t="s">
        <v>1</v>
      </c>
      <c r="BY19">
        <v>0</v>
      </c>
      <c r="BZ19">
        <v>0</v>
      </c>
      <c r="CA19">
        <v>0</v>
      </c>
      <c r="CB19">
        <v>0</v>
      </c>
      <c r="CD19" t="str" cm="1">
        <f t="array" aca="1" ref="CD19" ca="1">eConcatenar(A19:CB19,"|")</f>
        <v>DcK5aSlRe9Dy3Ufp|CAR2021-7701|3|MEMORIAL |TABASCO |CARDENAS|CARDENAS|2021-12-30|14800|X|X|100|0|0|X|0|X|X|X|X|X|X|X|X|0|X|0|PALMA|CORDOVA|CELIA|0|X|X|CERRADA FRANCISCO VILLA NUMERO 2|SANTA MARIA DE GUADALUPE|X|9373722384|CONCEPCION VIDAL PALMA|BENEFICIARIO 2:ADRIAN VIDAL PALMA|0|CERRADA FRANCISCO VILLA NUMERO 2|X|0|0|0|X|X|X|0|200|14600|0|0|X|2021-12-30|2022-02-01|X|0|X|0|0|QWZBUBTG9KVTQO|X|1|0|14800|0|0|0|X|X|X|0|X|X|X|0|0|0|0</v>
      </c>
    </row>
    <row r="20" spans="1:82" x14ac:dyDescent="0.25">
      <c r="A20" t="s">
        <v>234</v>
      </c>
      <c r="B20" t="s">
        <v>235</v>
      </c>
      <c r="C20">
        <v>3</v>
      </c>
      <c r="D20" t="s">
        <v>146</v>
      </c>
      <c r="E20" t="s">
        <v>12</v>
      </c>
      <c r="F20" t="s">
        <v>0</v>
      </c>
      <c r="G20" t="s">
        <v>0</v>
      </c>
      <c r="H20" t="s">
        <v>198</v>
      </c>
      <c r="I20">
        <v>14800</v>
      </c>
      <c r="J20" t="s">
        <v>1</v>
      </c>
      <c r="K20" t="s">
        <v>1</v>
      </c>
      <c r="L20">
        <v>100</v>
      </c>
      <c r="M20">
        <v>0</v>
      </c>
      <c r="N20">
        <v>0</v>
      </c>
      <c r="O20" t="s">
        <v>1</v>
      </c>
      <c r="P20">
        <v>0</v>
      </c>
      <c r="Q20" t="s">
        <v>1</v>
      </c>
      <c r="R20" t="s">
        <v>1</v>
      </c>
      <c r="S20" t="s">
        <v>1</v>
      </c>
      <c r="T20" t="s">
        <v>1</v>
      </c>
      <c r="U20" t="s">
        <v>1</v>
      </c>
      <c r="V20" t="s">
        <v>1</v>
      </c>
      <c r="W20" t="s">
        <v>1</v>
      </c>
      <c r="X20" t="s">
        <v>1</v>
      </c>
      <c r="Y20">
        <v>0</v>
      </c>
      <c r="Z20" t="s">
        <v>1</v>
      </c>
      <c r="AA20">
        <v>0</v>
      </c>
      <c r="AB20" t="s">
        <v>236</v>
      </c>
      <c r="AC20" t="s">
        <v>237</v>
      </c>
      <c r="AD20" t="s">
        <v>238</v>
      </c>
      <c r="AE20">
        <v>0</v>
      </c>
      <c r="AF20" t="s">
        <v>1</v>
      </c>
      <c r="AG20" t="s">
        <v>1</v>
      </c>
      <c r="AH20" t="s">
        <v>239</v>
      </c>
      <c r="AI20" t="s">
        <v>240</v>
      </c>
      <c r="AJ20" t="s">
        <v>1</v>
      </c>
      <c r="AK20">
        <v>9371639900</v>
      </c>
      <c r="AL20" t="s">
        <v>241</v>
      </c>
      <c r="AM20" t="s">
        <v>242</v>
      </c>
      <c r="AN20">
        <v>0</v>
      </c>
      <c r="AO20" t="s">
        <v>239</v>
      </c>
      <c r="AP20" t="s">
        <v>1</v>
      </c>
      <c r="AQ20">
        <v>4</v>
      </c>
      <c r="AR20">
        <v>0</v>
      </c>
      <c r="AS20">
        <v>0</v>
      </c>
      <c r="AT20" t="s">
        <v>1</v>
      </c>
      <c r="AU20" t="s">
        <v>1</v>
      </c>
      <c r="AV20" t="s">
        <v>1</v>
      </c>
      <c r="AW20">
        <v>0</v>
      </c>
      <c r="AX20">
        <v>100</v>
      </c>
      <c r="AY20">
        <v>14700</v>
      </c>
      <c r="AZ20">
        <v>0</v>
      </c>
      <c r="BA20">
        <v>0</v>
      </c>
      <c r="BB20" t="s">
        <v>1</v>
      </c>
      <c r="BC20" t="s">
        <v>198</v>
      </c>
      <c r="BD20" t="s">
        <v>155</v>
      </c>
      <c r="BE20" t="s">
        <v>1</v>
      </c>
      <c r="BF20">
        <v>0</v>
      </c>
      <c r="BG20" t="s">
        <v>1</v>
      </c>
      <c r="BH20">
        <v>0</v>
      </c>
      <c r="BI20">
        <v>0</v>
      </c>
      <c r="BJ20" t="s">
        <v>243</v>
      </c>
      <c r="BK20" t="s">
        <v>1</v>
      </c>
      <c r="BL20">
        <v>0</v>
      </c>
      <c r="BM20">
        <v>0</v>
      </c>
      <c r="BN20">
        <v>14800</v>
      </c>
      <c r="BO20">
        <v>0</v>
      </c>
      <c r="BP20">
        <v>0</v>
      </c>
      <c r="BQ20">
        <v>0</v>
      </c>
      <c r="BR20" t="s">
        <v>1</v>
      </c>
      <c r="BS20" t="s">
        <v>1</v>
      </c>
      <c r="BT20" t="s">
        <v>1</v>
      </c>
      <c r="BU20">
        <v>0</v>
      </c>
      <c r="BV20" t="s">
        <v>1</v>
      </c>
      <c r="BW20" t="s">
        <v>1</v>
      </c>
      <c r="BX20" t="s">
        <v>1</v>
      </c>
      <c r="BY20">
        <v>0</v>
      </c>
      <c r="BZ20">
        <v>0</v>
      </c>
      <c r="CA20">
        <v>0</v>
      </c>
      <c r="CB20">
        <v>0</v>
      </c>
      <c r="CD20" t="str" cm="1">
        <f t="array" aca="1" ref="CD20" ca="1">eConcatenar(A20:CB20,"|")</f>
        <v>fom8sUfClTMrcniA|CAR2021-7696|3|MEMORIAL |TABASCO |CARDENAS|CARDENAS|2021-12-30|14800|X|X|100|0|0|X|0|X|X|X|X|X|X|X|X|0|X|0|JIMENEZ|FUENTES |RAFAEL|0|X|X|CARRETERA AL POBLADO C-17 SIN NOMBRE|SANTANA QUINTA SECCION|X|9371639900|DIANA LAURA MAGAÃ‘A JIMENEZ |BENEFICIARIO 2: JOSE MARIA TAPIA RAMOS|0|CARRETERA AL POBLADO C-17 SIN NOMBRE|X|4|0|0|X|X|X|0|100|14700|0|0|X|2021-12-30|2022-02-01|X|0|X|0|0|INFHQSH0B2NMACS|X|0|0|14800|0|0|0|X|X|X|0|X|X|X|0|0|0|0</v>
      </c>
    </row>
    <row r="21" spans="1:82" x14ac:dyDescent="0.25">
      <c r="A21" t="s">
        <v>244</v>
      </c>
      <c r="B21" t="s">
        <v>245</v>
      </c>
      <c r="C21">
        <v>3</v>
      </c>
      <c r="D21" t="s">
        <v>246</v>
      </c>
      <c r="E21" t="s">
        <v>12</v>
      </c>
      <c r="F21" t="s">
        <v>0</v>
      </c>
      <c r="G21" t="s">
        <v>0</v>
      </c>
      <c r="H21" t="s">
        <v>198</v>
      </c>
      <c r="I21">
        <v>24500</v>
      </c>
      <c r="J21" t="s">
        <v>1</v>
      </c>
      <c r="K21" t="s">
        <v>1</v>
      </c>
      <c r="L21">
        <v>400</v>
      </c>
      <c r="M21">
        <v>2</v>
      </c>
      <c r="N21">
        <v>0</v>
      </c>
      <c r="O21" t="s">
        <v>1</v>
      </c>
      <c r="P21">
        <v>0</v>
      </c>
      <c r="Q21" t="s">
        <v>1</v>
      </c>
      <c r="R21" t="s">
        <v>1</v>
      </c>
      <c r="S21" t="s">
        <v>1</v>
      </c>
      <c r="T21" t="s">
        <v>1</v>
      </c>
      <c r="U21" t="s">
        <v>1</v>
      </c>
      <c r="V21" t="s">
        <v>1</v>
      </c>
      <c r="W21" t="s">
        <v>1</v>
      </c>
      <c r="X21" t="s">
        <v>1</v>
      </c>
      <c r="Y21">
        <v>0</v>
      </c>
      <c r="Z21" t="s">
        <v>1</v>
      </c>
      <c r="AA21">
        <v>0</v>
      </c>
      <c r="AB21" t="s">
        <v>247</v>
      </c>
      <c r="AC21" t="s">
        <v>248</v>
      </c>
      <c r="AD21" t="s">
        <v>249</v>
      </c>
      <c r="AE21">
        <v>0</v>
      </c>
      <c r="AF21" t="s">
        <v>1</v>
      </c>
      <c r="AG21" t="s">
        <v>1</v>
      </c>
      <c r="AH21" t="s">
        <v>250</v>
      </c>
      <c r="AI21" t="s">
        <v>251</v>
      </c>
      <c r="AJ21" t="s">
        <v>1</v>
      </c>
      <c r="AK21">
        <v>9983077555</v>
      </c>
      <c r="AL21" t="s">
        <v>252</v>
      </c>
      <c r="AM21" t="s">
        <v>253</v>
      </c>
      <c r="AN21">
        <v>0</v>
      </c>
      <c r="AO21" t="s">
        <v>250</v>
      </c>
      <c r="AP21" t="s">
        <v>1</v>
      </c>
      <c r="AQ21">
        <v>2</v>
      </c>
      <c r="AR21">
        <v>0</v>
      </c>
      <c r="AS21">
        <v>0</v>
      </c>
      <c r="AT21" t="s">
        <v>1</v>
      </c>
      <c r="AU21" t="s">
        <v>1</v>
      </c>
      <c r="AV21" t="s">
        <v>1</v>
      </c>
      <c r="AW21">
        <v>0</v>
      </c>
      <c r="AX21">
        <v>3100</v>
      </c>
      <c r="AY21">
        <v>21400</v>
      </c>
      <c r="AZ21">
        <v>0</v>
      </c>
      <c r="BA21">
        <v>0</v>
      </c>
      <c r="BB21" t="s">
        <v>1</v>
      </c>
      <c r="BC21" t="s">
        <v>198</v>
      </c>
      <c r="BD21" t="s">
        <v>155</v>
      </c>
      <c r="BE21" t="s">
        <v>1</v>
      </c>
      <c r="BF21">
        <v>0</v>
      </c>
      <c r="BG21" t="s">
        <v>1</v>
      </c>
      <c r="BH21">
        <v>0</v>
      </c>
      <c r="BI21">
        <v>0</v>
      </c>
      <c r="BJ21" t="s">
        <v>254</v>
      </c>
      <c r="BK21" t="s">
        <v>1</v>
      </c>
      <c r="BL21">
        <v>0</v>
      </c>
      <c r="BM21">
        <v>0</v>
      </c>
      <c r="BN21">
        <v>24500</v>
      </c>
      <c r="BO21">
        <v>0</v>
      </c>
      <c r="BP21">
        <v>0</v>
      </c>
      <c r="BQ21">
        <v>0</v>
      </c>
      <c r="BR21" t="s">
        <v>1</v>
      </c>
      <c r="BS21" t="s">
        <v>1</v>
      </c>
      <c r="BT21" t="s">
        <v>1</v>
      </c>
      <c r="BU21">
        <v>0</v>
      </c>
      <c r="BV21" t="s">
        <v>1</v>
      </c>
      <c r="BW21" t="s">
        <v>1</v>
      </c>
      <c r="BX21" t="s">
        <v>1</v>
      </c>
      <c r="BY21">
        <v>0</v>
      </c>
      <c r="BZ21">
        <v>0</v>
      </c>
      <c r="CA21">
        <v>0</v>
      </c>
      <c r="CB21">
        <v>0</v>
      </c>
      <c r="CD21" t="str" cm="1">
        <f t="array" aca="1" ref="CD21" ca="1">eConcatenar(A21:CB21,"|")</f>
        <v>xtG1E42Ipz9ePmF2|CAR2021-7697|3|DIGNITY|TABASCO |CARDENAS|CARDENAS|2021-12-30|24500|X|X|400|2|0|X|0|X|X|X|X|X|X|X|X|0|X|0|TRUJILLO|MORALES|ISAEL|0|X|X|CALLE NUMERO 2 ZONA VERDE|C-14 PLUTARCO ELIAS CALLES|X|9983077555|REBECA LOPEZ CORDOVA|BENEFICIARIO 2: ANER TRUJILLO LOPEZ|0|CALLE NUMERO 2 ZONA VERDE|X|2|0|0|X|X|X|0|3100|21400|0|0|X|2021-12-30|2022-02-01|X|0|X|0|0|XUMGJ9LE8RXKR9U|X|0|0|24500|0|0|0|X|X|X|0|X|X|X|0|0|0|0</v>
      </c>
    </row>
    <row r="22" spans="1:82" x14ac:dyDescent="0.25">
      <c r="A22" t="s">
        <v>255</v>
      </c>
      <c r="B22" t="s">
        <v>256</v>
      </c>
      <c r="C22">
        <v>3</v>
      </c>
      <c r="D22" t="s">
        <v>146</v>
      </c>
      <c r="E22" t="s">
        <v>12</v>
      </c>
      <c r="F22" t="s">
        <v>0</v>
      </c>
      <c r="G22" t="s">
        <v>0</v>
      </c>
      <c r="H22" t="s">
        <v>198</v>
      </c>
      <c r="I22">
        <v>14800</v>
      </c>
      <c r="J22" t="s">
        <v>1</v>
      </c>
      <c r="K22" t="s">
        <v>1</v>
      </c>
      <c r="L22">
        <v>200</v>
      </c>
      <c r="M22">
        <v>1</v>
      </c>
      <c r="N22">
        <v>0</v>
      </c>
      <c r="O22" t="s">
        <v>1</v>
      </c>
      <c r="P22">
        <v>0</v>
      </c>
      <c r="Q22" t="s">
        <v>1</v>
      </c>
      <c r="R22" t="s">
        <v>1</v>
      </c>
      <c r="S22" t="s">
        <v>1</v>
      </c>
      <c r="T22" t="s">
        <v>1</v>
      </c>
      <c r="U22" t="s">
        <v>1</v>
      </c>
      <c r="V22" t="s">
        <v>1</v>
      </c>
      <c r="W22" t="s">
        <v>1</v>
      </c>
      <c r="X22" t="s">
        <v>1</v>
      </c>
      <c r="Y22">
        <v>0</v>
      </c>
      <c r="Z22" t="s">
        <v>1</v>
      </c>
      <c r="AA22">
        <v>0</v>
      </c>
      <c r="AB22" t="s">
        <v>257</v>
      </c>
      <c r="AC22" t="s">
        <v>258</v>
      </c>
      <c r="AD22" t="s">
        <v>259</v>
      </c>
      <c r="AE22">
        <v>0</v>
      </c>
      <c r="AF22" t="s">
        <v>1</v>
      </c>
      <c r="AG22" t="s">
        <v>1</v>
      </c>
      <c r="AH22" t="s">
        <v>260</v>
      </c>
      <c r="AI22" t="s">
        <v>251</v>
      </c>
      <c r="AJ22" t="s">
        <v>1</v>
      </c>
      <c r="AK22">
        <v>9371636059</v>
      </c>
      <c r="AL22" t="s">
        <v>261</v>
      </c>
      <c r="AM22" t="s">
        <v>262</v>
      </c>
      <c r="AN22">
        <v>0</v>
      </c>
      <c r="AO22" t="s">
        <v>260</v>
      </c>
      <c r="AP22" t="s">
        <v>1</v>
      </c>
      <c r="AQ22">
        <v>2</v>
      </c>
      <c r="AR22">
        <v>0</v>
      </c>
      <c r="AS22">
        <v>0</v>
      </c>
      <c r="AT22" t="s">
        <v>1</v>
      </c>
      <c r="AU22" t="s">
        <v>1</v>
      </c>
      <c r="AV22" t="s">
        <v>1</v>
      </c>
      <c r="AW22">
        <v>0</v>
      </c>
      <c r="AX22">
        <v>100</v>
      </c>
      <c r="AY22">
        <v>14700</v>
      </c>
      <c r="AZ22">
        <v>0</v>
      </c>
      <c r="BA22">
        <v>0</v>
      </c>
      <c r="BB22" t="s">
        <v>1</v>
      </c>
      <c r="BC22" t="s">
        <v>198</v>
      </c>
      <c r="BD22" t="s">
        <v>155</v>
      </c>
      <c r="BE22" t="s">
        <v>1</v>
      </c>
      <c r="BF22">
        <v>0</v>
      </c>
      <c r="BG22" t="s">
        <v>1</v>
      </c>
      <c r="BH22">
        <v>0</v>
      </c>
      <c r="BI22">
        <v>0</v>
      </c>
      <c r="BJ22" t="s">
        <v>254</v>
      </c>
      <c r="BK22" t="s">
        <v>1</v>
      </c>
      <c r="BL22">
        <v>1</v>
      </c>
      <c r="BM22">
        <v>0</v>
      </c>
      <c r="BN22">
        <v>14800</v>
      </c>
      <c r="BO22">
        <v>0</v>
      </c>
      <c r="BP22">
        <v>0</v>
      </c>
      <c r="BQ22">
        <v>0</v>
      </c>
      <c r="BR22" t="s">
        <v>1</v>
      </c>
      <c r="BS22" t="s">
        <v>1</v>
      </c>
      <c r="BT22" t="s">
        <v>1</v>
      </c>
      <c r="BU22">
        <v>0</v>
      </c>
      <c r="BV22" t="s">
        <v>1</v>
      </c>
      <c r="BW22" t="s">
        <v>1</v>
      </c>
      <c r="BX22" t="s">
        <v>1</v>
      </c>
      <c r="BY22">
        <v>0</v>
      </c>
      <c r="BZ22">
        <v>0</v>
      </c>
      <c r="CA22">
        <v>0</v>
      </c>
      <c r="CB22">
        <v>0</v>
      </c>
      <c r="CD22" t="str" cm="1">
        <f t="array" aca="1" ref="CD22" ca="1">eConcatenar(A22:CB22,"|")</f>
        <v>DpBEKsKehAhMYO4G|CAR2021-7694|3|MEMORIAL |TABASCO |CARDENAS|CARDENAS|2021-12-30|14800|X|X|200|1|0|X|0|X|X|X|X|X|X|X|X|0|X|0|DE LA CRUZ| CORDOVA|JULIA|0|X|X|CALLE ENTRE LA 1 Y LA 2 ZONA VERDE|C-14 PLUTARCO ELIAS CALLES|X|9371636059|JUAN LOPEZ CORTAZAR|BENEFICIARIO 2: ELIZABETH LOPEZ DE LA CRUZ|0|CALLE ENTRE LA 1 Y LA 2 ZONA VERDE|X|2|0|0|X|X|X|0|100|14700|0|0|X|2021-12-30|2022-02-01|X|0|X|0|0|XUMGJ9LE8RXKR9U|X|1|0|14800|0|0|0|X|X|X|0|X|X|X|0|0|0|0</v>
      </c>
    </row>
    <row r="23" spans="1:82" x14ac:dyDescent="0.25">
      <c r="A23" t="s">
        <v>263</v>
      </c>
      <c r="B23" t="s">
        <v>264</v>
      </c>
      <c r="C23">
        <v>3</v>
      </c>
      <c r="D23" t="s">
        <v>146</v>
      </c>
      <c r="E23" t="s">
        <v>12</v>
      </c>
      <c r="F23" t="s">
        <v>0</v>
      </c>
      <c r="G23" t="s">
        <v>0</v>
      </c>
      <c r="H23" t="s">
        <v>198</v>
      </c>
      <c r="I23">
        <v>14800</v>
      </c>
      <c r="J23" t="s">
        <v>1</v>
      </c>
      <c r="K23" t="s">
        <v>1</v>
      </c>
      <c r="L23">
        <v>100</v>
      </c>
      <c r="M23">
        <v>0</v>
      </c>
      <c r="N23">
        <v>0</v>
      </c>
      <c r="O23" t="s">
        <v>1</v>
      </c>
      <c r="P23">
        <v>0</v>
      </c>
      <c r="Q23" t="s">
        <v>1</v>
      </c>
      <c r="R23" t="s">
        <v>1</v>
      </c>
      <c r="S23" t="s">
        <v>1</v>
      </c>
      <c r="T23" t="s">
        <v>1</v>
      </c>
      <c r="U23" t="s">
        <v>1</v>
      </c>
      <c r="V23" t="s">
        <v>1</v>
      </c>
      <c r="W23" t="s">
        <v>1</v>
      </c>
      <c r="X23" t="s">
        <v>1</v>
      </c>
      <c r="Y23">
        <v>0</v>
      </c>
      <c r="Z23" t="s">
        <v>1</v>
      </c>
      <c r="AA23">
        <v>0</v>
      </c>
      <c r="AB23" t="s">
        <v>265</v>
      </c>
      <c r="AC23" t="s">
        <v>7</v>
      </c>
      <c r="AD23" t="s">
        <v>266</v>
      </c>
      <c r="AE23">
        <v>0</v>
      </c>
      <c r="AF23" t="s">
        <v>1</v>
      </c>
      <c r="AG23" t="s">
        <v>1</v>
      </c>
      <c r="AH23" t="s">
        <v>267</v>
      </c>
      <c r="AI23" t="s">
        <v>251</v>
      </c>
      <c r="AJ23" t="s">
        <v>1</v>
      </c>
      <c r="AK23">
        <v>9371651664</v>
      </c>
      <c r="AL23" t="s">
        <v>268</v>
      </c>
      <c r="AM23" t="s">
        <v>269</v>
      </c>
      <c r="AN23">
        <v>0</v>
      </c>
      <c r="AO23" t="s">
        <v>267</v>
      </c>
      <c r="AP23" t="s">
        <v>1</v>
      </c>
      <c r="AQ23">
        <v>2</v>
      </c>
      <c r="AR23">
        <v>0</v>
      </c>
      <c r="AS23">
        <v>0</v>
      </c>
      <c r="AT23" t="s">
        <v>1</v>
      </c>
      <c r="AU23" t="s">
        <v>1</v>
      </c>
      <c r="AV23" t="s">
        <v>1</v>
      </c>
      <c r="AW23">
        <v>0</v>
      </c>
      <c r="AX23">
        <v>50</v>
      </c>
      <c r="AY23">
        <v>14750</v>
      </c>
      <c r="AZ23">
        <v>0</v>
      </c>
      <c r="BA23">
        <v>0</v>
      </c>
      <c r="BB23" t="s">
        <v>1</v>
      </c>
      <c r="BC23" t="s">
        <v>198</v>
      </c>
      <c r="BD23" t="s">
        <v>155</v>
      </c>
      <c r="BE23" t="s">
        <v>1</v>
      </c>
      <c r="BF23">
        <v>0</v>
      </c>
      <c r="BG23" t="s">
        <v>1</v>
      </c>
      <c r="BH23">
        <v>0</v>
      </c>
      <c r="BI23">
        <v>0</v>
      </c>
      <c r="BJ23" t="s">
        <v>254</v>
      </c>
      <c r="BK23" t="s">
        <v>1</v>
      </c>
      <c r="BL23">
        <v>1</v>
      </c>
      <c r="BM23">
        <v>0</v>
      </c>
      <c r="BN23">
        <v>14800</v>
      </c>
      <c r="BO23">
        <v>0</v>
      </c>
      <c r="BP23">
        <v>0</v>
      </c>
      <c r="BQ23">
        <v>0</v>
      </c>
      <c r="BR23" t="s">
        <v>1</v>
      </c>
      <c r="BS23" t="s">
        <v>1</v>
      </c>
      <c r="BT23" t="s">
        <v>1</v>
      </c>
      <c r="BU23">
        <v>0</v>
      </c>
      <c r="BV23" t="s">
        <v>1</v>
      </c>
      <c r="BW23" t="s">
        <v>1</v>
      </c>
      <c r="BX23" t="s">
        <v>1</v>
      </c>
      <c r="BY23">
        <v>0</v>
      </c>
      <c r="BZ23">
        <v>0</v>
      </c>
      <c r="CA23">
        <v>0</v>
      </c>
      <c r="CB23">
        <v>0</v>
      </c>
      <c r="CD23" t="str" cm="1">
        <f t="array" aca="1" ref="CD23" ca="1">eConcatenar(A23:CB23,"|")</f>
        <v>iWi6BxGnXdh0LnXS|CAR2021-7700|3|MEMORIAL |TABASCO |CARDENAS|CARDENAS|2021-12-30|14800|X|X|100|0|0|X|0|X|X|X|X|X|X|X|X|0|X|0|AVALOS |LOPEZ|MARIANA|0|X|X|CALLE NUMERO 2 CASA NUMERO 20|C-14 PLUTARCO ELIAS CALLES|X|9371651664|DEYSI AVALOS LOPEZ|BENEFICIARIO 2: GUADALUPE AVALOS LOPEZ|0|CALLE NUMERO 2 CASA NUMERO 20|X|2|0|0|X|X|X|0|50|14750|0|0|X|2021-12-30|2022-02-01|X|0|X|0|0|XUMGJ9LE8RXKR9U|X|1|0|14800|0|0|0|X|X|X|0|X|X|X|0|0|0|0</v>
      </c>
    </row>
    <row r="24" spans="1:82" x14ac:dyDescent="0.25">
      <c r="A24" t="s">
        <v>270</v>
      </c>
      <c r="B24" t="s">
        <v>271</v>
      </c>
      <c r="C24">
        <v>3</v>
      </c>
      <c r="D24" t="s">
        <v>146</v>
      </c>
      <c r="E24" t="s">
        <v>12</v>
      </c>
      <c r="F24" t="s">
        <v>0</v>
      </c>
      <c r="G24" t="s">
        <v>0</v>
      </c>
      <c r="H24" t="s">
        <v>198</v>
      </c>
      <c r="I24">
        <v>14800</v>
      </c>
      <c r="J24" t="s">
        <v>1</v>
      </c>
      <c r="K24" t="s">
        <v>1</v>
      </c>
      <c r="L24">
        <v>200</v>
      </c>
      <c r="M24">
        <v>1</v>
      </c>
      <c r="N24">
        <v>0</v>
      </c>
      <c r="O24" t="s">
        <v>1</v>
      </c>
      <c r="P24">
        <v>0</v>
      </c>
      <c r="Q24" t="s">
        <v>1</v>
      </c>
      <c r="R24" t="s">
        <v>1</v>
      </c>
      <c r="S24" t="s">
        <v>1</v>
      </c>
      <c r="T24" t="s">
        <v>1</v>
      </c>
      <c r="U24" t="s">
        <v>1</v>
      </c>
      <c r="V24" t="s">
        <v>1</v>
      </c>
      <c r="W24" t="s">
        <v>1</v>
      </c>
      <c r="X24" t="s">
        <v>1</v>
      </c>
      <c r="Y24">
        <v>0</v>
      </c>
      <c r="Z24" t="s">
        <v>1</v>
      </c>
      <c r="AA24">
        <v>0</v>
      </c>
      <c r="AB24" t="s">
        <v>272</v>
      </c>
      <c r="AC24" t="s">
        <v>273</v>
      </c>
      <c r="AD24" t="s">
        <v>274</v>
      </c>
      <c r="AE24">
        <v>0</v>
      </c>
      <c r="AF24" t="s">
        <v>1</v>
      </c>
      <c r="AG24" t="s">
        <v>1</v>
      </c>
      <c r="AH24" t="s">
        <v>275</v>
      </c>
      <c r="AI24" t="s">
        <v>251</v>
      </c>
      <c r="AJ24" t="s">
        <v>1</v>
      </c>
      <c r="AK24">
        <v>9372703530</v>
      </c>
      <c r="AL24" t="s">
        <v>276</v>
      </c>
      <c r="AM24" t="s">
        <v>277</v>
      </c>
      <c r="AN24">
        <v>0</v>
      </c>
      <c r="AO24" t="s">
        <v>275</v>
      </c>
      <c r="AP24" t="s">
        <v>1</v>
      </c>
      <c r="AQ24">
        <v>2</v>
      </c>
      <c r="AR24">
        <v>0</v>
      </c>
      <c r="AS24">
        <v>0</v>
      </c>
      <c r="AT24" t="s">
        <v>1</v>
      </c>
      <c r="AU24" t="s">
        <v>1</v>
      </c>
      <c r="AV24" t="s">
        <v>1</v>
      </c>
      <c r="AW24">
        <v>0</v>
      </c>
      <c r="AX24">
        <v>100</v>
      </c>
      <c r="AY24">
        <v>14700</v>
      </c>
      <c r="AZ24">
        <v>0</v>
      </c>
      <c r="BA24">
        <v>0</v>
      </c>
      <c r="BB24" t="s">
        <v>1</v>
      </c>
      <c r="BC24" t="s">
        <v>198</v>
      </c>
      <c r="BD24" t="s">
        <v>155</v>
      </c>
      <c r="BE24" t="s">
        <v>1</v>
      </c>
      <c r="BF24">
        <v>0</v>
      </c>
      <c r="BG24" t="s">
        <v>1</v>
      </c>
      <c r="BH24">
        <v>0</v>
      </c>
      <c r="BI24">
        <v>0</v>
      </c>
      <c r="BJ24" t="s">
        <v>254</v>
      </c>
      <c r="BK24" t="s">
        <v>1</v>
      </c>
      <c r="BL24">
        <v>0</v>
      </c>
      <c r="BM24">
        <v>0</v>
      </c>
      <c r="BN24">
        <v>14800</v>
      </c>
      <c r="BO24">
        <v>0</v>
      </c>
      <c r="BP24">
        <v>0</v>
      </c>
      <c r="BQ24">
        <v>0</v>
      </c>
      <c r="BR24" t="s">
        <v>1</v>
      </c>
      <c r="BS24" t="s">
        <v>1</v>
      </c>
      <c r="BT24" t="s">
        <v>1</v>
      </c>
      <c r="BU24">
        <v>0</v>
      </c>
      <c r="BV24" t="s">
        <v>1</v>
      </c>
      <c r="BW24" t="s">
        <v>1</v>
      </c>
      <c r="BX24" t="s">
        <v>1</v>
      </c>
      <c r="BY24">
        <v>0</v>
      </c>
      <c r="BZ24">
        <v>0</v>
      </c>
      <c r="CA24">
        <v>0</v>
      </c>
      <c r="CB24">
        <v>0</v>
      </c>
      <c r="CD24" t="str" cm="1">
        <f t="array" aca="1" ref="CD24" ca="1">eConcatenar(A24:CB24,"|")</f>
        <v>VAgoUxJoqVBJD2Qk|CAR2021-7698|3|MEMORIAL |TABASCO |CARDENAS|CARDENAS|2021-12-30|14800|X|X|200|1|0|X|0|X|X|X|X|X|X|X|X|0|X|0|BALCAZAR|TORRES|ABEL|0|X|X|CALLE ENTRE LA 1 Y KILOMETRO 13 |C-14 PLUTARCO ELIAS CALLES|X|9372703530|MARIA ELENA DE LA CRUZ MALDONADO|BENEFICIARIO 2: ANABEL BALCAZAR DE LA CRUZ|0|CALLE ENTRE LA 1 Y KILOMETRO 13 |X|2|0|0|X|X|X|0|100|14700|0|0|X|2021-12-30|2022-02-01|X|0|X|0|0|XUMGJ9LE8RXKR9U|X|0|0|14800|0|0|0|X|X|X|0|X|X|X|0|0|0|0</v>
      </c>
    </row>
    <row r="25" spans="1:82" x14ac:dyDescent="0.25">
      <c r="A25" t="s">
        <v>278</v>
      </c>
      <c r="B25" t="s">
        <v>279</v>
      </c>
      <c r="C25">
        <v>3</v>
      </c>
      <c r="D25" t="s">
        <v>146</v>
      </c>
      <c r="E25" t="s">
        <v>12</v>
      </c>
      <c r="F25" t="s">
        <v>0</v>
      </c>
      <c r="G25" t="s">
        <v>0</v>
      </c>
      <c r="H25" t="s">
        <v>280</v>
      </c>
      <c r="I25">
        <v>14800</v>
      </c>
      <c r="J25" t="s">
        <v>1</v>
      </c>
      <c r="K25" t="s">
        <v>1</v>
      </c>
      <c r="L25">
        <v>100</v>
      </c>
      <c r="M25">
        <v>0</v>
      </c>
      <c r="N25">
        <v>0</v>
      </c>
      <c r="O25" t="s">
        <v>1</v>
      </c>
      <c r="P25">
        <v>0</v>
      </c>
      <c r="Q25" t="s">
        <v>1</v>
      </c>
      <c r="R25" t="s">
        <v>1</v>
      </c>
      <c r="S25" t="s">
        <v>1</v>
      </c>
      <c r="T25" t="s">
        <v>1</v>
      </c>
      <c r="U25" t="s">
        <v>1</v>
      </c>
      <c r="V25" t="s">
        <v>1</v>
      </c>
      <c r="W25" t="s">
        <v>1</v>
      </c>
      <c r="X25" t="s">
        <v>1</v>
      </c>
      <c r="Y25">
        <v>0</v>
      </c>
      <c r="Z25" t="s">
        <v>1</v>
      </c>
      <c r="AA25">
        <v>0</v>
      </c>
      <c r="AB25" t="s">
        <v>281</v>
      </c>
      <c r="AC25" t="s">
        <v>7</v>
      </c>
      <c r="AD25" t="s">
        <v>282</v>
      </c>
      <c r="AE25">
        <v>0</v>
      </c>
      <c r="AF25" t="s">
        <v>1</v>
      </c>
      <c r="AG25" t="s">
        <v>1</v>
      </c>
      <c r="AH25" t="s">
        <v>283</v>
      </c>
      <c r="AI25" t="s">
        <v>284</v>
      </c>
      <c r="AJ25" t="s">
        <v>1</v>
      </c>
      <c r="AK25">
        <v>9371010521</v>
      </c>
      <c r="AL25" t="s">
        <v>285</v>
      </c>
      <c r="AM25" t="s">
        <v>286</v>
      </c>
      <c r="AN25">
        <v>0</v>
      </c>
      <c r="AO25" t="s">
        <v>283</v>
      </c>
      <c r="AP25" t="s">
        <v>1</v>
      </c>
      <c r="AQ25">
        <v>2</v>
      </c>
      <c r="AR25">
        <v>0</v>
      </c>
      <c r="AS25">
        <v>0</v>
      </c>
      <c r="AT25" t="s">
        <v>1</v>
      </c>
      <c r="AU25" t="s">
        <v>1</v>
      </c>
      <c r="AV25" t="s">
        <v>1</v>
      </c>
      <c r="AW25">
        <v>0</v>
      </c>
      <c r="AX25">
        <v>300</v>
      </c>
      <c r="AY25">
        <v>14500</v>
      </c>
      <c r="AZ25">
        <v>0</v>
      </c>
      <c r="BA25">
        <v>0</v>
      </c>
      <c r="BB25" t="s">
        <v>1</v>
      </c>
      <c r="BC25" t="s">
        <v>280</v>
      </c>
      <c r="BD25" t="s">
        <v>155</v>
      </c>
      <c r="BE25" t="s">
        <v>1</v>
      </c>
      <c r="BF25">
        <v>0</v>
      </c>
      <c r="BG25" t="s">
        <v>1</v>
      </c>
      <c r="BH25">
        <v>0</v>
      </c>
      <c r="BI25">
        <v>0</v>
      </c>
      <c r="BJ25" t="s">
        <v>254</v>
      </c>
      <c r="BK25" t="s">
        <v>1</v>
      </c>
      <c r="BL25">
        <v>1</v>
      </c>
      <c r="BM25">
        <v>0</v>
      </c>
      <c r="BN25">
        <v>14800</v>
      </c>
      <c r="BO25">
        <v>0</v>
      </c>
      <c r="BP25">
        <v>0</v>
      </c>
      <c r="BQ25">
        <v>0</v>
      </c>
      <c r="BR25" t="s">
        <v>1</v>
      </c>
      <c r="BS25" t="s">
        <v>1</v>
      </c>
      <c r="BT25" t="s">
        <v>1</v>
      </c>
      <c r="BU25">
        <v>0</v>
      </c>
      <c r="BV25" t="s">
        <v>1</v>
      </c>
      <c r="BW25" t="s">
        <v>1</v>
      </c>
      <c r="BX25" t="s">
        <v>1</v>
      </c>
      <c r="BY25">
        <v>0</v>
      </c>
      <c r="BZ25">
        <v>0</v>
      </c>
      <c r="CA25">
        <v>0</v>
      </c>
      <c r="CB25">
        <v>0</v>
      </c>
      <c r="CD25" t="str" cm="1">
        <f t="array" aca="1" ref="CD25" ca="1">eConcatenar(A25:CB25,"|")</f>
        <v>4cYeyImpyKOS4UWC|CAR2021-7590|3|MEMORIAL |TABASCO |CARDENAS|CARDENAS|2021-12-29|14800|X|X|100|0|0|X|0|X|X|X|X|X|X|X|X|0|X|0|DOMINGUEZ|LOPEZ|MIGUELINA|0|X|X|CALLE SANTA TERESA|ARROYO HONDO PRIMERA SECCION|X|9371010521|INOCENTE DE DIOS JIMENEZ|BENEFICIARIO 2: LUIS MIGUEL DE DIOS DOMINGUEZ|0|CALLE SANTA TERESA|X|2|0|0|X|X|X|0|300|14500|0|0|X|2021-12-29|2022-02-01|X|0|X|0|0|XUMGJ9LE8RXKR9U|X|1|0|14800|0|0|0|X|X|X|0|X|X|X|0|0|0|0</v>
      </c>
    </row>
    <row r="26" spans="1:82" x14ac:dyDescent="0.25">
      <c r="A26" t="s">
        <v>287</v>
      </c>
      <c r="B26" t="s">
        <v>288</v>
      </c>
      <c r="C26">
        <v>3</v>
      </c>
      <c r="D26" t="s">
        <v>146</v>
      </c>
      <c r="E26" t="s">
        <v>12</v>
      </c>
      <c r="F26" t="s">
        <v>0</v>
      </c>
      <c r="G26" t="s">
        <v>0</v>
      </c>
      <c r="H26" t="s">
        <v>280</v>
      </c>
      <c r="I26">
        <v>14800</v>
      </c>
      <c r="J26" t="s">
        <v>1</v>
      </c>
      <c r="K26" t="s">
        <v>1</v>
      </c>
      <c r="L26">
        <v>200</v>
      </c>
      <c r="M26">
        <v>1</v>
      </c>
      <c r="N26">
        <v>0</v>
      </c>
      <c r="O26" t="s">
        <v>1</v>
      </c>
      <c r="P26">
        <v>0</v>
      </c>
      <c r="Q26" t="s">
        <v>1</v>
      </c>
      <c r="R26" t="s">
        <v>1</v>
      </c>
      <c r="S26" t="s">
        <v>1</v>
      </c>
      <c r="T26" t="s">
        <v>1</v>
      </c>
      <c r="U26" t="s">
        <v>1</v>
      </c>
      <c r="V26" t="s">
        <v>1</v>
      </c>
      <c r="W26" t="s">
        <v>1</v>
      </c>
      <c r="X26" t="s">
        <v>1</v>
      </c>
      <c r="Y26">
        <v>0</v>
      </c>
      <c r="Z26" t="s">
        <v>1</v>
      </c>
      <c r="AA26">
        <v>0</v>
      </c>
      <c r="AB26" t="s">
        <v>236</v>
      </c>
      <c r="AC26" t="s">
        <v>289</v>
      </c>
      <c r="AD26" t="s">
        <v>290</v>
      </c>
      <c r="AE26">
        <v>0</v>
      </c>
      <c r="AF26" t="s">
        <v>1</v>
      </c>
      <c r="AG26" t="s">
        <v>1</v>
      </c>
      <c r="AH26" t="s">
        <v>291</v>
      </c>
      <c r="AI26" t="s">
        <v>230</v>
      </c>
      <c r="AJ26" t="s">
        <v>1</v>
      </c>
      <c r="AK26">
        <v>9371054112</v>
      </c>
      <c r="AL26" t="s">
        <v>292</v>
      </c>
      <c r="AM26" t="s">
        <v>293</v>
      </c>
      <c r="AN26">
        <v>0</v>
      </c>
      <c r="AO26" t="s">
        <v>291</v>
      </c>
      <c r="AP26" t="s">
        <v>1</v>
      </c>
      <c r="AQ26">
        <v>4</v>
      </c>
      <c r="AR26">
        <v>0</v>
      </c>
      <c r="AS26">
        <v>0</v>
      </c>
      <c r="AT26" t="s">
        <v>1</v>
      </c>
      <c r="AU26" t="s">
        <v>1</v>
      </c>
      <c r="AV26" t="s">
        <v>1</v>
      </c>
      <c r="AW26">
        <v>0</v>
      </c>
      <c r="AX26">
        <v>100</v>
      </c>
      <c r="AY26">
        <v>14700</v>
      </c>
      <c r="AZ26">
        <v>0</v>
      </c>
      <c r="BA26">
        <v>0</v>
      </c>
      <c r="BB26" t="s">
        <v>1</v>
      </c>
      <c r="BC26" t="s">
        <v>280</v>
      </c>
      <c r="BD26" t="s">
        <v>155</v>
      </c>
      <c r="BE26" t="s">
        <v>1</v>
      </c>
      <c r="BF26">
        <v>0</v>
      </c>
      <c r="BG26" t="s">
        <v>1</v>
      </c>
      <c r="BH26">
        <v>0</v>
      </c>
      <c r="BI26">
        <v>0</v>
      </c>
      <c r="BJ26" t="s">
        <v>223</v>
      </c>
      <c r="BK26" t="s">
        <v>1</v>
      </c>
      <c r="BL26">
        <v>0</v>
      </c>
      <c r="BM26">
        <v>0</v>
      </c>
      <c r="BN26">
        <v>14800</v>
      </c>
      <c r="BO26">
        <v>0</v>
      </c>
      <c r="BP26">
        <v>0</v>
      </c>
      <c r="BQ26">
        <v>0</v>
      </c>
      <c r="BR26" t="s">
        <v>1</v>
      </c>
      <c r="BS26" t="s">
        <v>1</v>
      </c>
      <c r="BT26" t="s">
        <v>1</v>
      </c>
      <c r="BU26">
        <v>0</v>
      </c>
      <c r="BV26" t="s">
        <v>1</v>
      </c>
      <c r="BW26" t="s">
        <v>1</v>
      </c>
      <c r="BX26" t="s">
        <v>1</v>
      </c>
      <c r="BY26">
        <v>0</v>
      </c>
      <c r="BZ26">
        <v>0</v>
      </c>
      <c r="CA26">
        <v>0</v>
      </c>
      <c r="CB26">
        <v>0</v>
      </c>
      <c r="CD26" t="str" cm="1">
        <f t="array" aca="1" ref="CD26" ca="1">eConcatenar(A26:CB26,"|")</f>
        <v>2PxjiiebUgPoI2cG|CAR2021-7688|3|MEMORIAL |TABASCO |CARDENAS|CARDENAS|2021-12-29|14800|X|X|200|1|0|X|0|X|X|X|X|X|X|X|X|0|X|0|JIMENEZ|ESCOBAR|JORGE|0|X|X|CALLE NARCISO MENDOZA NUMERO 182|SANTA MARIA DE GUADALUPE|X|9371054112|PORFIRIA RAMOS RAMOS|BENEFICIARIO 2: ARELI YAZMIN JIMENEZ RAMOS|0|CALLE NARCISO MENDOZA NUMERO 182|X|4|0|0|X|X|X|0|100|14700|0|0|X|2021-12-29|2022-02-01|X|0|X|0|0|QXTXF5PY9KVTQO|X|0|0|14800|0|0|0|X|X|X|0|X|X|X|0|0|0|0</v>
      </c>
    </row>
    <row r="27" spans="1:82" x14ac:dyDescent="0.25">
      <c r="A27" t="s">
        <v>294</v>
      </c>
      <c r="B27" t="s">
        <v>295</v>
      </c>
      <c r="C27">
        <v>3</v>
      </c>
      <c r="D27" t="s">
        <v>146</v>
      </c>
      <c r="E27" t="s">
        <v>12</v>
      </c>
      <c r="F27" t="s">
        <v>0</v>
      </c>
      <c r="G27" t="s">
        <v>0</v>
      </c>
      <c r="H27" t="s">
        <v>198</v>
      </c>
      <c r="I27">
        <v>14800</v>
      </c>
      <c r="J27" t="s">
        <v>1</v>
      </c>
      <c r="K27" t="s">
        <v>1</v>
      </c>
      <c r="L27">
        <v>400</v>
      </c>
      <c r="M27">
        <v>2</v>
      </c>
      <c r="N27">
        <v>0</v>
      </c>
      <c r="O27" t="s">
        <v>1</v>
      </c>
      <c r="P27">
        <v>0</v>
      </c>
      <c r="Q27" t="s">
        <v>1</v>
      </c>
      <c r="R27" t="s">
        <v>1</v>
      </c>
      <c r="S27" t="s">
        <v>1</v>
      </c>
      <c r="T27" t="s">
        <v>1</v>
      </c>
      <c r="U27" t="s">
        <v>1</v>
      </c>
      <c r="V27" t="s">
        <v>1</v>
      </c>
      <c r="W27" t="s">
        <v>1</v>
      </c>
      <c r="X27" t="s">
        <v>1</v>
      </c>
      <c r="Y27">
        <v>0</v>
      </c>
      <c r="Z27" t="s">
        <v>1</v>
      </c>
      <c r="AA27">
        <v>0</v>
      </c>
      <c r="AB27" t="s">
        <v>257</v>
      </c>
      <c r="AC27" t="s">
        <v>217</v>
      </c>
      <c r="AD27" t="s">
        <v>296</v>
      </c>
      <c r="AE27">
        <v>0</v>
      </c>
      <c r="AF27" t="s">
        <v>1</v>
      </c>
      <c r="AG27" t="s">
        <v>1</v>
      </c>
      <c r="AH27" t="s">
        <v>297</v>
      </c>
      <c r="AI27" t="s">
        <v>298</v>
      </c>
      <c r="AJ27" t="s">
        <v>1</v>
      </c>
      <c r="AK27">
        <v>9371237643</v>
      </c>
      <c r="AL27" t="s">
        <v>299</v>
      </c>
      <c r="AM27" t="s">
        <v>300</v>
      </c>
      <c r="AN27">
        <v>0</v>
      </c>
      <c r="AO27" t="s">
        <v>297</v>
      </c>
      <c r="AP27" t="s">
        <v>1</v>
      </c>
      <c r="AQ27">
        <v>2</v>
      </c>
      <c r="AR27">
        <v>0</v>
      </c>
      <c r="AS27">
        <v>0</v>
      </c>
      <c r="AT27" t="s">
        <v>1</v>
      </c>
      <c r="AU27" t="s">
        <v>1</v>
      </c>
      <c r="AV27" t="s">
        <v>1</v>
      </c>
      <c r="AW27">
        <v>0</v>
      </c>
      <c r="AX27">
        <v>100</v>
      </c>
      <c r="AY27">
        <v>14700</v>
      </c>
      <c r="AZ27">
        <v>0</v>
      </c>
      <c r="BA27">
        <v>0</v>
      </c>
      <c r="BB27" t="s">
        <v>1</v>
      </c>
      <c r="BC27" t="s">
        <v>198</v>
      </c>
      <c r="BD27" t="s">
        <v>155</v>
      </c>
      <c r="BE27" t="s">
        <v>1</v>
      </c>
      <c r="BF27">
        <v>0</v>
      </c>
      <c r="BG27" t="s">
        <v>1</v>
      </c>
      <c r="BH27">
        <v>0</v>
      </c>
      <c r="BI27">
        <v>0</v>
      </c>
      <c r="BJ27" t="s">
        <v>301</v>
      </c>
      <c r="BK27" t="s">
        <v>1</v>
      </c>
      <c r="BL27">
        <v>0</v>
      </c>
      <c r="BM27">
        <v>0</v>
      </c>
      <c r="BN27">
        <v>14800</v>
      </c>
      <c r="BO27">
        <v>0</v>
      </c>
      <c r="BP27">
        <v>0</v>
      </c>
      <c r="BQ27">
        <v>0</v>
      </c>
      <c r="BR27" t="s">
        <v>1</v>
      </c>
      <c r="BS27" t="s">
        <v>1</v>
      </c>
      <c r="BT27" t="s">
        <v>1</v>
      </c>
      <c r="BU27">
        <v>0</v>
      </c>
      <c r="BV27" t="s">
        <v>1</v>
      </c>
      <c r="BW27" t="s">
        <v>1</v>
      </c>
      <c r="BX27" t="s">
        <v>1</v>
      </c>
      <c r="BY27">
        <v>0</v>
      </c>
      <c r="BZ27">
        <v>0</v>
      </c>
      <c r="CA27">
        <v>0</v>
      </c>
      <c r="CB27">
        <v>0</v>
      </c>
      <c r="CD27" t="str" cm="1">
        <f t="array" aca="1" ref="CD27" ca="1">eConcatenar(A27:CB27,"|")</f>
        <v>jZ1pCsHMITWf8i79|CAR2021-7699|3|MEMORIAL |TABASCO |CARDENAS|CARDENAS|2021-12-30|14800|X|X|400|2|0|X|0|X|X|X|X|X|X|X|X|0|X|0|DE LA CRUZ|HERNANDEZ|JOSE MANUEL|0|X|X|CERRADA 10 COLECTIVO 8-2|CAMPAMENTO SARH|X|9371237643|ROSARIO HERNANDEZ CAMBRALES|BENEFICIARIO 2: PAOLA DE LA CRUZ HERNANDEZ|0|CERRADA 10 COLECTIVO 8-2|X|2|0|0|X|X|X|0|100|14700|0|0|X|2021-12-30|2022-02-01|X|0|X|0|0|OQGRX80BMUHQJ2X|X|0|0|14800|0|0|0|X|X|X|0|X|X|X|0|0|0|0</v>
      </c>
    </row>
    <row r="28" spans="1:82" x14ac:dyDescent="0.25">
      <c r="A28" t="s">
        <v>302</v>
      </c>
      <c r="B28" t="s">
        <v>303</v>
      </c>
      <c r="C28">
        <v>3</v>
      </c>
      <c r="D28" t="s">
        <v>146</v>
      </c>
      <c r="E28" t="s">
        <v>12</v>
      </c>
      <c r="F28" t="s">
        <v>0</v>
      </c>
      <c r="G28" t="s">
        <v>0</v>
      </c>
      <c r="H28" t="s">
        <v>280</v>
      </c>
      <c r="I28">
        <v>14800</v>
      </c>
      <c r="J28" t="s">
        <v>1</v>
      </c>
      <c r="K28" t="s">
        <v>1</v>
      </c>
      <c r="L28">
        <v>100</v>
      </c>
      <c r="M28">
        <v>0</v>
      </c>
      <c r="N28">
        <v>0</v>
      </c>
      <c r="O28" t="s">
        <v>1</v>
      </c>
      <c r="P28">
        <v>0</v>
      </c>
      <c r="Q28" t="s">
        <v>1</v>
      </c>
      <c r="R28" t="s">
        <v>1</v>
      </c>
      <c r="S28" t="s">
        <v>1</v>
      </c>
      <c r="T28" t="s">
        <v>1</v>
      </c>
      <c r="U28" t="s">
        <v>1</v>
      </c>
      <c r="V28" t="s">
        <v>1</v>
      </c>
      <c r="W28" t="s">
        <v>1</v>
      </c>
      <c r="X28" t="s">
        <v>1</v>
      </c>
      <c r="Y28">
        <v>0</v>
      </c>
      <c r="Z28" t="s">
        <v>1</v>
      </c>
      <c r="AA28">
        <v>0</v>
      </c>
      <c r="AB28" t="s">
        <v>304</v>
      </c>
      <c r="AC28" t="s">
        <v>199</v>
      </c>
      <c r="AD28" t="s">
        <v>305</v>
      </c>
      <c r="AE28">
        <v>0</v>
      </c>
      <c r="AF28" t="s">
        <v>1</v>
      </c>
      <c r="AG28" t="s">
        <v>1</v>
      </c>
      <c r="AH28" t="s">
        <v>306</v>
      </c>
      <c r="AI28" t="s">
        <v>230</v>
      </c>
      <c r="AJ28" t="s">
        <v>1</v>
      </c>
      <c r="AK28">
        <v>9371344080</v>
      </c>
      <c r="AL28" t="s">
        <v>307</v>
      </c>
      <c r="AM28" t="s">
        <v>308</v>
      </c>
      <c r="AN28">
        <v>0</v>
      </c>
      <c r="AO28" t="s">
        <v>306</v>
      </c>
      <c r="AP28" t="s">
        <v>1</v>
      </c>
      <c r="AQ28">
        <v>2</v>
      </c>
      <c r="AR28">
        <v>0</v>
      </c>
      <c r="AS28">
        <v>0</v>
      </c>
      <c r="AT28" t="s">
        <v>1</v>
      </c>
      <c r="AU28" t="s">
        <v>1</v>
      </c>
      <c r="AV28" t="s">
        <v>1</v>
      </c>
      <c r="AW28">
        <v>0</v>
      </c>
      <c r="AX28">
        <v>100</v>
      </c>
      <c r="AY28">
        <v>14700</v>
      </c>
      <c r="AZ28">
        <v>0</v>
      </c>
      <c r="BA28">
        <v>0</v>
      </c>
      <c r="BB28" t="s">
        <v>1</v>
      </c>
      <c r="BC28" t="s">
        <v>280</v>
      </c>
      <c r="BD28" t="s">
        <v>155</v>
      </c>
      <c r="BE28" t="s">
        <v>1</v>
      </c>
      <c r="BF28">
        <v>0</v>
      </c>
      <c r="BG28" t="s">
        <v>1</v>
      </c>
      <c r="BH28">
        <v>0</v>
      </c>
      <c r="BI28">
        <v>0</v>
      </c>
      <c r="BJ28" t="s">
        <v>309</v>
      </c>
      <c r="BK28" t="s">
        <v>1</v>
      </c>
      <c r="BL28">
        <v>1</v>
      </c>
      <c r="BM28">
        <v>0</v>
      </c>
      <c r="BN28">
        <v>14800</v>
      </c>
      <c r="BO28">
        <v>0</v>
      </c>
      <c r="BP28">
        <v>0</v>
      </c>
      <c r="BQ28">
        <v>0</v>
      </c>
      <c r="BR28" t="s">
        <v>1</v>
      </c>
      <c r="BS28" t="s">
        <v>1</v>
      </c>
      <c r="BT28" t="s">
        <v>1</v>
      </c>
      <c r="BU28">
        <v>0</v>
      </c>
      <c r="BV28" t="s">
        <v>1</v>
      </c>
      <c r="BW28" t="s">
        <v>1</v>
      </c>
      <c r="BX28" t="s">
        <v>1</v>
      </c>
      <c r="BY28">
        <v>0</v>
      </c>
      <c r="BZ28">
        <v>0</v>
      </c>
      <c r="CA28">
        <v>0</v>
      </c>
      <c r="CB28">
        <v>0</v>
      </c>
      <c r="CD28" t="str" cm="1">
        <f t="array" aca="1" ref="CD28" ca="1">eConcatenar(A28:CB28,"|")</f>
        <v>etm4uhQ9cIqrwI7u|CAR2021-7687|3|MEMORIAL |TABASCO |CARDENAS|CARDENAS|2021-12-29|14800|X|X|100|0|0|X|0|X|X|X|X|X|X|X|X|0|X|0|LUNA |RAMOS|SURI SADAY|0|X|X|CALLE NARCISO MENDOZA NUMERO 10|SANTA MARIA DE GUADALUPE|X|9371344080|VALENTIN ARIAS MONDRAGON|BENEFICIARIO 2: ALEJANDRO LUNA RAMOS|0|CALLE NARCISO MENDOZA NUMERO 10|X|2|0|0|X|X|X|0|100|14700|0|0|X|2021-12-29|2022-02-01|X|0|X|0|0|QX002LYO9KVTQO|X|1|0|14800|0|0|0|X|X|X|0|X|X|X|0|0|0|0</v>
      </c>
    </row>
    <row r="29" spans="1:82" x14ac:dyDescent="0.25">
      <c r="A29" t="s">
        <v>310</v>
      </c>
      <c r="B29" t="s">
        <v>311</v>
      </c>
      <c r="C29">
        <v>3</v>
      </c>
      <c r="D29" t="s">
        <v>146</v>
      </c>
      <c r="E29" t="s">
        <v>12</v>
      </c>
      <c r="F29" t="s">
        <v>0</v>
      </c>
      <c r="G29" t="s">
        <v>0</v>
      </c>
      <c r="H29" t="s">
        <v>312</v>
      </c>
      <c r="I29">
        <v>14800</v>
      </c>
      <c r="J29" t="s">
        <v>1</v>
      </c>
      <c r="K29" t="s">
        <v>1</v>
      </c>
      <c r="L29">
        <v>100</v>
      </c>
      <c r="M29">
        <v>0</v>
      </c>
      <c r="N29">
        <v>0</v>
      </c>
      <c r="O29" t="s">
        <v>1</v>
      </c>
      <c r="P29">
        <v>0</v>
      </c>
      <c r="Q29" t="s">
        <v>1</v>
      </c>
      <c r="R29" t="s">
        <v>1</v>
      </c>
      <c r="S29" t="s">
        <v>1</v>
      </c>
      <c r="T29" t="s">
        <v>1</v>
      </c>
      <c r="U29" t="s">
        <v>1</v>
      </c>
      <c r="V29" t="s">
        <v>1</v>
      </c>
      <c r="W29" t="s">
        <v>1</v>
      </c>
      <c r="X29" t="s">
        <v>1</v>
      </c>
      <c r="Y29">
        <v>0</v>
      </c>
      <c r="Z29" t="s">
        <v>1</v>
      </c>
      <c r="AA29">
        <v>0</v>
      </c>
      <c r="AB29" t="s">
        <v>148</v>
      </c>
      <c r="AC29" t="s">
        <v>313</v>
      </c>
      <c r="AD29" t="s">
        <v>314</v>
      </c>
      <c r="AE29">
        <v>0</v>
      </c>
      <c r="AF29" t="s">
        <v>1</v>
      </c>
      <c r="AG29" t="s">
        <v>1</v>
      </c>
      <c r="AH29" t="s">
        <v>315</v>
      </c>
      <c r="AI29" t="s">
        <v>251</v>
      </c>
      <c r="AJ29" t="s">
        <v>1</v>
      </c>
      <c r="AK29">
        <v>9371023682</v>
      </c>
      <c r="AL29" t="s">
        <v>316</v>
      </c>
      <c r="AM29" t="s">
        <v>317</v>
      </c>
      <c r="AN29">
        <v>0</v>
      </c>
      <c r="AO29" t="s">
        <v>315</v>
      </c>
      <c r="AP29" t="s">
        <v>1</v>
      </c>
      <c r="AQ29">
        <v>2</v>
      </c>
      <c r="AR29">
        <v>0</v>
      </c>
      <c r="AS29">
        <v>0</v>
      </c>
      <c r="AT29" t="s">
        <v>1</v>
      </c>
      <c r="AU29" t="s">
        <v>1</v>
      </c>
      <c r="AV29" t="s">
        <v>1</v>
      </c>
      <c r="AW29">
        <v>0</v>
      </c>
      <c r="AX29">
        <v>100</v>
      </c>
      <c r="AY29">
        <v>14700</v>
      </c>
      <c r="AZ29">
        <v>0</v>
      </c>
      <c r="BA29">
        <v>0</v>
      </c>
      <c r="BB29" t="s">
        <v>1</v>
      </c>
      <c r="BC29" t="s">
        <v>312</v>
      </c>
      <c r="BD29" t="s">
        <v>155</v>
      </c>
      <c r="BE29" t="s">
        <v>1</v>
      </c>
      <c r="BF29">
        <v>0</v>
      </c>
      <c r="BG29" t="s">
        <v>1</v>
      </c>
      <c r="BH29">
        <v>0</v>
      </c>
      <c r="BI29">
        <v>0</v>
      </c>
      <c r="BJ29" t="s">
        <v>254</v>
      </c>
      <c r="BK29" t="s">
        <v>1</v>
      </c>
      <c r="BL29">
        <v>0</v>
      </c>
      <c r="BM29">
        <v>0</v>
      </c>
      <c r="BN29">
        <v>14800</v>
      </c>
      <c r="BO29">
        <v>0</v>
      </c>
      <c r="BP29">
        <v>0</v>
      </c>
      <c r="BQ29">
        <v>0</v>
      </c>
      <c r="BR29" t="s">
        <v>1</v>
      </c>
      <c r="BS29" t="s">
        <v>1</v>
      </c>
      <c r="BT29" t="s">
        <v>1</v>
      </c>
      <c r="BU29">
        <v>0</v>
      </c>
      <c r="BV29" t="s">
        <v>1</v>
      </c>
      <c r="BW29" t="s">
        <v>1</v>
      </c>
      <c r="BX29" t="s">
        <v>1</v>
      </c>
      <c r="BY29">
        <v>0</v>
      </c>
      <c r="BZ29">
        <v>0</v>
      </c>
      <c r="CA29">
        <v>0</v>
      </c>
      <c r="CB29">
        <v>0</v>
      </c>
      <c r="CD29" t="str" cm="1">
        <f t="array" aca="1" ref="CD29" ca="1">eConcatenar(A29:CB29,"|")</f>
        <v>Tb9iCC8UyFAG0Y5o|CAR2021-7664|3|MEMORIAL |TABASCO |CARDENAS|CARDENAS|2021-12-24|14800|X|X|100|0|0|X|0|X|X|X|X|X|X|X|X|0|X|0|CORDOVA |VELAZQUE|RUBEN|0|X|X|CALLE NUMERO 8 ZONA VERDE SIN NOMBRE|C-14 PLUTARCO ELIAS CALLES|X|9371023682|JOSE GOMEZ VELAZQUEZ|BENEFICIARIO 2: ROSA JIMENEZ HERNANDEZ|0|CALLE NUMERO 8 ZONA VERDE SIN NOMBRE|X|2|0|0|X|X|X|0|100|14700|0|0|X|2021-12-24|2022-02-01|X|0|X|0|0|XUMGJ9LE8RXKR9U|X|0|0|14800|0|0|0|X|X|X|0|X|X|X|0|0|0|0</v>
      </c>
    </row>
    <row r="30" spans="1:82" x14ac:dyDescent="0.25">
      <c r="A30" t="s">
        <v>318</v>
      </c>
      <c r="B30" t="s">
        <v>319</v>
      </c>
      <c r="C30">
        <v>3</v>
      </c>
      <c r="D30" t="s">
        <v>146</v>
      </c>
      <c r="E30" t="s">
        <v>12</v>
      </c>
      <c r="F30" t="s">
        <v>0</v>
      </c>
      <c r="G30" t="s">
        <v>0</v>
      </c>
      <c r="H30" t="s">
        <v>280</v>
      </c>
      <c r="I30">
        <v>14800</v>
      </c>
      <c r="J30" t="s">
        <v>1</v>
      </c>
      <c r="K30" t="s">
        <v>1</v>
      </c>
      <c r="L30">
        <v>200</v>
      </c>
      <c r="M30">
        <v>1</v>
      </c>
      <c r="N30">
        <v>0</v>
      </c>
      <c r="O30" t="s">
        <v>1</v>
      </c>
      <c r="P30">
        <v>0</v>
      </c>
      <c r="Q30" t="s">
        <v>1</v>
      </c>
      <c r="R30" t="s">
        <v>1</v>
      </c>
      <c r="S30" t="s">
        <v>1</v>
      </c>
      <c r="T30" t="s">
        <v>1</v>
      </c>
      <c r="U30" t="s">
        <v>1</v>
      </c>
      <c r="V30" t="s">
        <v>1</v>
      </c>
      <c r="W30" t="s">
        <v>1</v>
      </c>
      <c r="X30" t="s">
        <v>1</v>
      </c>
      <c r="Y30">
        <v>0</v>
      </c>
      <c r="Z30" t="s">
        <v>1</v>
      </c>
      <c r="AA30">
        <v>0</v>
      </c>
      <c r="AB30" t="s">
        <v>320</v>
      </c>
      <c r="AC30" t="s">
        <v>321</v>
      </c>
      <c r="AD30" t="s">
        <v>322</v>
      </c>
      <c r="AE30">
        <v>0</v>
      </c>
      <c r="AF30" t="s">
        <v>1</v>
      </c>
      <c r="AG30" t="s">
        <v>1</v>
      </c>
      <c r="AH30" t="s">
        <v>323</v>
      </c>
      <c r="AI30" t="s">
        <v>230</v>
      </c>
      <c r="AJ30" t="s">
        <v>1</v>
      </c>
      <c r="AK30">
        <v>9371013431</v>
      </c>
      <c r="AL30" t="s">
        <v>324</v>
      </c>
      <c r="AM30" t="s">
        <v>325</v>
      </c>
      <c r="AN30">
        <v>0</v>
      </c>
      <c r="AO30" t="s">
        <v>323</v>
      </c>
      <c r="AP30" t="s">
        <v>1</v>
      </c>
      <c r="AQ30">
        <v>2</v>
      </c>
      <c r="AR30">
        <v>0</v>
      </c>
      <c r="AS30">
        <v>0</v>
      </c>
      <c r="AT30" t="s">
        <v>1</v>
      </c>
      <c r="AU30" t="s">
        <v>1</v>
      </c>
      <c r="AV30" t="s">
        <v>1</v>
      </c>
      <c r="AW30">
        <v>0</v>
      </c>
      <c r="AX30">
        <v>100</v>
      </c>
      <c r="AY30">
        <v>14700</v>
      </c>
      <c r="AZ30">
        <v>0</v>
      </c>
      <c r="BA30">
        <v>0</v>
      </c>
      <c r="BB30" t="s">
        <v>1</v>
      </c>
      <c r="BC30" t="s">
        <v>280</v>
      </c>
      <c r="BD30" t="s">
        <v>155</v>
      </c>
      <c r="BE30" t="s">
        <v>1</v>
      </c>
      <c r="BF30">
        <v>0</v>
      </c>
      <c r="BG30" t="s">
        <v>1</v>
      </c>
      <c r="BH30">
        <v>0</v>
      </c>
      <c r="BI30">
        <v>0</v>
      </c>
      <c r="BJ30" t="s">
        <v>301</v>
      </c>
      <c r="BK30" t="s">
        <v>1</v>
      </c>
      <c r="BL30">
        <v>0</v>
      </c>
      <c r="BM30">
        <v>0</v>
      </c>
      <c r="BN30">
        <v>14800</v>
      </c>
      <c r="BO30">
        <v>0</v>
      </c>
      <c r="BP30">
        <v>0</v>
      </c>
      <c r="BQ30">
        <v>0</v>
      </c>
      <c r="BR30" t="s">
        <v>1</v>
      </c>
      <c r="BS30" t="s">
        <v>1</v>
      </c>
      <c r="BT30" t="s">
        <v>1</v>
      </c>
      <c r="BU30">
        <v>0</v>
      </c>
      <c r="BV30" t="s">
        <v>1</v>
      </c>
      <c r="BW30" t="s">
        <v>1</v>
      </c>
      <c r="BX30" t="s">
        <v>1</v>
      </c>
      <c r="BY30">
        <v>0</v>
      </c>
      <c r="BZ30">
        <v>0</v>
      </c>
      <c r="CA30">
        <v>0</v>
      </c>
      <c r="CB30">
        <v>0</v>
      </c>
      <c r="CD30" t="str" cm="1">
        <f t="array" aca="1" ref="CD30" ca="1">eConcatenar(A30:CB30,"|")</f>
        <v>86tWNeDSJ0EKFA27|CAR2021-7689|3|MEMORIAL |TABASCO |CARDENAS|CARDENAS|2021-12-29|14800|X|X|200|1|0|X|0|X|X|X|X|X|X|X|X|0|X|0|ROMERO|LANDERO|LUIS DONALDO|0|X|X|CERRADA MIGUEL HIDALGO NUMERO 12|SANTA MARIA DE GUADALUPE|X|9371013431|ALIDA JULIETA CORDOVA MARTINEZ|BENEFICIARIO 2: CLAUDIA RAMOS ANGLES|0|CERRADA MIGUEL HIDALGO NUMERO 12|X|2|0|0|X|X|X|0|100|14700|0|0|X|2021-12-29|2022-02-01|X|0|X|0|0|OQGRX80BMUHQJ2X|X|0|0|14800|0|0|0|X|X|X|0|X|X|X|0|0|0|0</v>
      </c>
    </row>
    <row r="31" spans="1:82" x14ac:dyDescent="0.25">
      <c r="A31" t="s">
        <v>326</v>
      </c>
      <c r="B31" t="s">
        <v>327</v>
      </c>
      <c r="C31">
        <v>3</v>
      </c>
      <c r="D31" t="s">
        <v>146</v>
      </c>
      <c r="E31" t="s">
        <v>12</v>
      </c>
      <c r="F31" t="s">
        <v>0</v>
      </c>
      <c r="G31" t="s">
        <v>0</v>
      </c>
      <c r="H31" t="s">
        <v>280</v>
      </c>
      <c r="I31">
        <v>14800</v>
      </c>
      <c r="J31" t="s">
        <v>1</v>
      </c>
      <c r="K31" t="s">
        <v>1</v>
      </c>
      <c r="L31">
        <v>100</v>
      </c>
      <c r="M31">
        <v>0</v>
      </c>
      <c r="N31">
        <v>0</v>
      </c>
      <c r="O31" t="s">
        <v>1</v>
      </c>
      <c r="P31">
        <v>0</v>
      </c>
      <c r="Q31" t="s">
        <v>1</v>
      </c>
      <c r="R31" t="s">
        <v>1</v>
      </c>
      <c r="S31" t="s">
        <v>1</v>
      </c>
      <c r="T31" t="s">
        <v>1</v>
      </c>
      <c r="U31" t="s">
        <v>1</v>
      </c>
      <c r="V31" t="s">
        <v>1</v>
      </c>
      <c r="W31" t="s">
        <v>1</v>
      </c>
      <c r="X31" t="s">
        <v>1</v>
      </c>
      <c r="Y31">
        <v>0</v>
      </c>
      <c r="Z31" t="s">
        <v>1</v>
      </c>
      <c r="AA31">
        <v>0</v>
      </c>
      <c r="AB31" t="s">
        <v>328</v>
      </c>
      <c r="AC31" t="s">
        <v>329</v>
      </c>
      <c r="AD31" t="s">
        <v>330</v>
      </c>
      <c r="AE31">
        <v>0</v>
      </c>
      <c r="AF31" t="s">
        <v>1</v>
      </c>
      <c r="AG31" t="s">
        <v>1</v>
      </c>
      <c r="AH31" t="s">
        <v>331</v>
      </c>
      <c r="AI31" t="s">
        <v>230</v>
      </c>
      <c r="AJ31" t="s">
        <v>1</v>
      </c>
      <c r="AK31">
        <v>9371660720</v>
      </c>
      <c r="AL31" t="s">
        <v>332</v>
      </c>
      <c r="AM31" t="s">
        <v>333</v>
      </c>
      <c r="AN31">
        <v>0</v>
      </c>
      <c r="AO31" t="s">
        <v>331</v>
      </c>
      <c r="AP31" t="s">
        <v>1</v>
      </c>
      <c r="AQ31">
        <v>2</v>
      </c>
      <c r="AR31">
        <v>0</v>
      </c>
      <c r="AS31">
        <v>0</v>
      </c>
      <c r="AT31" t="s">
        <v>1</v>
      </c>
      <c r="AU31" t="s">
        <v>1</v>
      </c>
      <c r="AV31" t="s">
        <v>1</v>
      </c>
      <c r="AW31">
        <v>0</v>
      </c>
      <c r="AX31">
        <v>100</v>
      </c>
      <c r="AY31">
        <v>14700</v>
      </c>
      <c r="AZ31">
        <v>0</v>
      </c>
      <c r="BA31">
        <v>0</v>
      </c>
      <c r="BB31" t="s">
        <v>1</v>
      </c>
      <c r="BC31" t="s">
        <v>280</v>
      </c>
      <c r="BD31" t="s">
        <v>155</v>
      </c>
      <c r="BE31" t="s">
        <v>1</v>
      </c>
      <c r="BF31">
        <v>0</v>
      </c>
      <c r="BG31" t="s">
        <v>1</v>
      </c>
      <c r="BH31">
        <v>0</v>
      </c>
      <c r="BI31">
        <v>0</v>
      </c>
      <c r="BJ31" t="s">
        <v>309</v>
      </c>
      <c r="BK31" t="s">
        <v>1</v>
      </c>
      <c r="BL31">
        <v>1</v>
      </c>
      <c r="BM31">
        <v>0</v>
      </c>
      <c r="BN31">
        <v>14800</v>
      </c>
      <c r="BO31">
        <v>0</v>
      </c>
      <c r="BP31">
        <v>0</v>
      </c>
      <c r="BQ31">
        <v>0</v>
      </c>
      <c r="BR31" t="s">
        <v>1</v>
      </c>
      <c r="BS31" t="s">
        <v>1</v>
      </c>
      <c r="BT31" t="s">
        <v>1</v>
      </c>
      <c r="BU31">
        <v>0</v>
      </c>
      <c r="BV31" t="s">
        <v>1</v>
      </c>
      <c r="BW31" t="s">
        <v>1</v>
      </c>
      <c r="BX31" t="s">
        <v>1</v>
      </c>
      <c r="BY31">
        <v>0</v>
      </c>
      <c r="BZ31">
        <v>0</v>
      </c>
      <c r="CA31">
        <v>0</v>
      </c>
      <c r="CB31">
        <v>0</v>
      </c>
      <c r="CD31" t="str" cm="1">
        <f t="array" aca="1" ref="CD31" ca="1">eConcatenar(A31:CB31,"|")</f>
        <v>14A5sNTSM7Y6vwfe|CAR2021-7669|3|MEMORIAL |TABASCO |CARDENAS|CARDENAS|2021-12-29|14800|X|X|100|0|0|X|0|X|X|X|X|X|X|X|X|0|X|0|RAMIREZ|BARAHONA |HERCILIA|0|X|X|PROLONGACION DE SANTOS DEGOLLADO|SANTA MARIA DE GUADALUPE|X|9371660720|ROBERTO CORDOVA RAMIREZ|BENEFICIARIO 2: MARIA DEL CARMEN COROVA RAMIREZ|0|PROLONGACION DE SANTOS DEGOLLADO|X|2|0|0|X|X|X|0|100|14700|0|0|X|2021-12-29|2022-02-01|X|0|X|0|0|QX002LYO9KVTQO|X|1|0|14800|0|0|0|X|X|X|0|X|X|X|0|0|0|0</v>
      </c>
    </row>
    <row r="32" spans="1:82" x14ac:dyDescent="0.25">
      <c r="A32" t="s">
        <v>334</v>
      </c>
      <c r="B32" t="s">
        <v>335</v>
      </c>
      <c r="C32">
        <v>3</v>
      </c>
      <c r="D32" t="s">
        <v>146</v>
      </c>
      <c r="E32" t="s">
        <v>12</v>
      </c>
      <c r="F32" t="s">
        <v>0</v>
      </c>
      <c r="G32" t="s">
        <v>0</v>
      </c>
      <c r="H32" t="s">
        <v>336</v>
      </c>
      <c r="I32">
        <v>14800</v>
      </c>
      <c r="J32" t="s">
        <v>1</v>
      </c>
      <c r="K32" t="s">
        <v>1</v>
      </c>
      <c r="L32">
        <v>100</v>
      </c>
      <c r="M32">
        <v>0</v>
      </c>
      <c r="N32">
        <v>0</v>
      </c>
      <c r="O32" t="s">
        <v>1</v>
      </c>
      <c r="P32">
        <v>0</v>
      </c>
      <c r="Q32" t="s">
        <v>1</v>
      </c>
      <c r="R32" t="s">
        <v>1</v>
      </c>
      <c r="S32" t="s">
        <v>1</v>
      </c>
      <c r="T32" t="s">
        <v>1</v>
      </c>
      <c r="U32" t="s">
        <v>1</v>
      </c>
      <c r="V32" t="s">
        <v>1</v>
      </c>
      <c r="W32" t="s">
        <v>1</v>
      </c>
      <c r="X32" t="s">
        <v>1</v>
      </c>
      <c r="Y32">
        <v>0</v>
      </c>
      <c r="Z32" t="s">
        <v>1</v>
      </c>
      <c r="AA32">
        <v>0</v>
      </c>
      <c r="AB32" t="s">
        <v>200</v>
      </c>
      <c r="AC32" t="s">
        <v>337</v>
      </c>
      <c r="AD32" t="s">
        <v>338</v>
      </c>
      <c r="AE32">
        <v>0</v>
      </c>
      <c r="AF32" t="s">
        <v>1</v>
      </c>
      <c r="AG32" t="s">
        <v>1</v>
      </c>
      <c r="AH32" t="s">
        <v>339</v>
      </c>
      <c r="AI32" t="s">
        <v>230</v>
      </c>
      <c r="AJ32" t="s">
        <v>1</v>
      </c>
      <c r="AK32">
        <v>9371003456</v>
      </c>
      <c r="AL32" t="s">
        <v>340</v>
      </c>
      <c r="AM32" t="s">
        <v>341</v>
      </c>
      <c r="AN32">
        <v>0</v>
      </c>
      <c r="AO32" t="s">
        <v>339</v>
      </c>
      <c r="AP32" t="s">
        <v>1</v>
      </c>
      <c r="AQ32">
        <v>2</v>
      </c>
      <c r="AR32">
        <v>0</v>
      </c>
      <c r="AS32">
        <v>0</v>
      </c>
      <c r="AT32" t="s">
        <v>1</v>
      </c>
      <c r="AU32" t="s">
        <v>1</v>
      </c>
      <c r="AV32" t="s">
        <v>1</v>
      </c>
      <c r="AW32">
        <v>0</v>
      </c>
      <c r="AX32">
        <v>100</v>
      </c>
      <c r="AY32">
        <v>14700</v>
      </c>
      <c r="AZ32">
        <v>0</v>
      </c>
      <c r="BA32">
        <v>0</v>
      </c>
      <c r="BB32" t="s">
        <v>1</v>
      </c>
      <c r="BC32" t="s">
        <v>336</v>
      </c>
      <c r="BD32" t="s">
        <v>155</v>
      </c>
      <c r="BE32" t="s">
        <v>1</v>
      </c>
      <c r="BF32">
        <v>0</v>
      </c>
      <c r="BG32" t="s">
        <v>1</v>
      </c>
      <c r="BH32">
        <v>0</v>
      </c>
      <c r="BI32">
        <v>0</v>
      </c>
      <c r="BJ32" t="s">
        <v>309</v>
      </c>
      <c r="BK32" t="s">
        <v>1</v>
      </c>
      <c r="BL32">
        <v>0</v>
      </c>
      <c r="BM32">
        <v>0</v>
      </c>
      <c r="BN32">
        <v>14800</v>
      </c>
      <c r="BO32">
        <v>0</v>
      </c>
      <c r="BP32">
        <v>0</v>
      </c>
      <c r="BQ32">
        <v>0</v>
      </c>
      <c r="BR32" t="s">
        <v>1</v>
      </c>
      <c r="BS32" t="s">
        <v>1</v>
      </c>
      <c r="BT32" t="s">
        <v>1</v>
      </c>
      <c r="BU32">
        <v>0</v>
      </c>
      <c r="BV32" t="s">
        <v>1</v>
      </c>
      <c r="BW32" t="s">
        <v>1</v>
      </c>
      <c r="BX32" t="s">
        <v>1</v>
      </c>
      <c r="BY32">
        <v>0</v>
      </c>
      <c r="BZ32">
        <v>0</v>
      </c>
      <c r="CA32">
        <v>0</v>
      </c>
      <c r="CB32">
        <v>0</v>
      </c>
      <c r="CD32" t="str" cm="1">
        <f t="array" aca="1" ref="CD32" ca="1">eConcatenar(A32:CB32,"|")</f>
        <v>eyUvoHJNZRoOlCmI|CAR2021-7672|3|MEMORIAL |TABASCO |CARDENAS|CARDENAS|2021-12-28|14800|X|X|100|0|0|X|0|X|X|X|X|X|X|X|X|0|X|0|GONZALEZ |MORENO|MIGUEL|0|X|X|CALLE BUGAMBILIA|SANTA MARIA DE GUADALUPE|X|9371003456|MIGUEL ARTURO GONZALEZ MORENO|BENEFICIARIO 2: FERNANDO GONZALEZ MORENO|0|CALLE BUGAMBILIA|X|2|0|0|X|X|X|0|100|14700|0|0|X|2021-12-28|2022-02-01|X|0|X|0|0|QX002LYO9KVTQO|X|0|0|14800|0|0|0|X|X|X|0|X|X|X|0|0|0|0</v>
      </c>
    </row>
    <row r="33" spans="1:82" x14ac:dyDescent="0.25">
      <c r="A33" t="s">
        <v>342</v>
      </c>
      <c r="B33" t="s">
        <v>343</v>
      </c>
      <c r="C33">
        <v>3</v>
      </c>
      <c r="D33" t="s">
        <v>146</v>
      </c>
      <c r="E33" t="s">
        <v>12</v>
      </c>
      <c r="F33" t="s">
        <v>0</v>
      </c>
      <c r="G33" t="s">
        <v>0</v>
      </c>
      <c r="H33" t="s">
        <v>336</v>
      </c>
      <c r="I33">
        <v>14800</v>
      </c>
      <c r="J33" t="s">
        <v>1</v>
      </c>
      <c r="K33" t="s">
        <v>1</v>
      </c>
      <c r="L33">
        <v>100</v>
      </c>
      <c r="M33">
        <v>0</v>
      </c>
      <c r="N33">
        <v>0</v>
      </c>
      <c r="O33" t="s">
        <v>1</v>
      </c>
      <c r="P33">
        <v>0</v>
      </c>
      <c r="Q33" t="s">
        <v>1</v>
      </c>
      <c r="R33" t="s">
        <v>1</v>
      </c>
      <c r="S33" t="s">
        <v>1</v>
      </c>
      <c r="T33" t="s">
        <v>1</v>
      </c>
      <c r="U33" t="s">
        <v>1</v>
      </c>
      <c r="V33" t="s">
        <v>1</v>
      </c>
      <c r="W33" t="s">
        <v>1</v>
      </c>
      <c r="X33" t="s">
        <v>1</v>
      </c>
      <c r="Y33">
        <v>0</v>
      </c>
      <c r="Z33" t="s">
        <v>1</v>
      </c>
      <c r="AA33">
        <v>0</v>
      </c>
      <c r="AB33" t="s">
        <v>159</v>
      </c>
      <c r="AC33" t="s">
        <v>344</v>
      </c>
      <c r="AD33" t="s">
        <v>345</v>
      </c>
      <c r="AE33">
        <v>0</v>
      </c>
      <c r="AF33" t="s">
        <v>1</v>
      </c>
      <c r="AG33" t="s">
        <v>1</v>
      </c>
      <c r="AH33" t="s">
        <v>346</v>
      </c>
      <c r="AI33" t="s">
        <v>347</v>
      </c>
      <c r="AJ33" t="s">
        <v>1</v>
      </c>
      <c r="AK33">
        <v>9371218015</v>
      </c>
      <c r="AL33" t="s">
        <v>348</v>
      </c>
      <c r="AM33" t="s">
        <v>349</v>
      </c>
      <c r="AN33">
        <v>0</v>
      </c>
      <c r="AO33" t="s">
        <v>346</v>
      </c>
      <c r="AP33" t="s">
        <v>1</v>
      </c>
      <c r="AQ33">
        <v>2</v>
      </c>
      <c r="AR33">
        <v>0</v>
      </c>
      <c r="AS33">
        <v>0</v>
      </c>
      <c r="AT33" t="s">
        <v>1</v>
      </c>
      <c r="AU33" t="s">
        <v>1</v>
      </c>
      <c r="AV33" t="s">
        <v>1</v>
      </c>
      <c r="AW33">
        <v>0</v>
      </c>
      <c r="AX33">
        <v>100</v>
      </c>
      <c r="AY33">
        <v>14700</v>
      </c>
      <c r="AZ33">
        <v>0</v>
      </c>
      <c r="BA33">
        <v>0</v>
      </c>
      <c r="BB33" t="s">
        <v>1</v>
      </c>
      <c r="BC33" t="s">
        <v>336</v>
      </c>
      <c r="BD33" t="s">
        <v>155</v>
      </c>
      <c r="BE33" t="s">
        <v>1</v>
      </c>
      <c r="BF33">
        <v>0</v>
      </c>
      <c r="BG33" t="s">
        <v>1</v>
      </c>
      <c r="BH33">
        <v>0</v>
      </c>
      <c r="BI33">
        <v>0</v>
      </c>
      <c r="BJ33" t="s">
        <v>309</v>
      </c>
      <c r="BK33" t="s">
        <v>1</v>
      </c>
      <c r="BL33">
        <v>0</v>
      </c>
      <c r="BM33">
        <v>0</v>
      </c>
      <c r="BN33">
        <v>14800</v>
      </c>
      <c r="BO33">
        <v>0</v>
      </c>
      <c r="BP33">
        <v>0</v>
      </c>
      <c r="BQ33">
        <v>0</v>
      </c>
      <c r="BR33" t="s">
        <v>1</v>
      </c>
      <c r="BS33" t="s">
        <v>1</v>
      </c>
      <c r="BT33" t="s">
        <v>1</v>
      </c>
      <c r="BU33">
        <v>0</v>
      </c>
      <c r="BV33" t="s">
        <v>1</v>
      </c>
      <c r="BW33" t="s">
        <v>1</v>
      </c>
      <c r="BX33" t="s">
        <v>1</v>
      </c>
      <c r="BY33">
        <v>0</v>
      </c>
      <c r="BZ33">
        <v>0</v>
      </c>
      <c r="CA33">
        <v>0</v>
      </c>
      <c r="CB33">
        <v>0</v>
      </c>
      <c r="CD33" t="str" cm="1">
        <f t="array" aca="1" ref="CD33" ca="1">eConcatenar(A33:CB33,"|")</f>
        <v>f5goxIYLIwX9eSoI|CAR2021-7674|3|MEMORIAL |TABASCO |CARDENAS|CARDENAS|2021-12-28|14800|X|X|100|0|0|X|0|X|X|X|X|X|X|X|X|0|X|0|GARCIA|RUIZ|JUAN JOSE|0|X|X|CALLE EDUVIJES HERNANDEZ NUMERO 9|ROGER FALCONI|X|9371218015|ROSARIO CORTAZAR GONZALEZ|BENEFICIARIO 2: CARLOS EDUARDO GARCIA CORTAZA|0|CALLE EDUVIJES HERNANDEZ NUMERO 9|X|2|0|0|X|X|X|0|100|14700|0|0|X|2021-12-28|2022-02-01|X|0|X|0|0|QX002LYO9KVTQO|X|0|0|14800|0|0|0|X|X|X|0|X|X|X|0|0|0|0</v>
      </c>
    </row>
    <row r="34" spans="1:82" x14ac:dyDescent="0.25">
      <c r="A34" t="s">
        <v>350</v>
      </c>
      <c r="B34" t="s">
        <v>351</v>
      </c>
      <c r="C34">
        <v>3</v>
      </c>
      <c r="D34" t="s">
        <v>146</v>
      </c>
      <c r="E34" t="s">
        <v>12</v>
      </c>
      <c r="F34" t="s">
        <v>0</v>
      </c>
      <c r="G34" t="s">
        <v>0</v>
      </c>
      <c r="H34" t="s">
        <v>336</v>
      </c>
      <c r="I34">
        <v>14800</v>
      </c>
      <c r="J34" t="s">
        <v>1</v>
      </c>
      <c r="K34" t="s">
        <v>1</v>
      </c>
      <c r="L34">
        <v>100</v>
      </c>
      <c r="M34">
        <v>0</v>
      </c>
      <c r="N34">
        <v>0</v>
      </c>
      <c r="O34" t="s">
        <v>1</v>
      </c>
      <c r="P34">
        <v>0</v>
      </c>
      <c r="Q34" t="s">
        <v>1</v>
      </c>
      <c r="R34" t="s">
        <v>1</v>
      </c>
      <c r="S34" t="s">
        <v>1</v>
      </c>
      <c r="T34" t="s">
        <v>1</v>
      </c>
      <c r="U34" t="s">
        <v>1</v>
      </c>
      <c r="V34" t="s">
        <v>1</v>
      </c>
      <c r="W34" t="s">
        <v>1</v>
      </c>
      <c r="X34" t="s">
        <v>1</v>
      </c>
      <c r="Y34">
        <v>0</v>
      </c>
      <c r="Z34" t="s">
        <v>1</v>
      </c>
      <c r="AA34">
        <v>0</v>
      </c>
      <c r="AB34" t="s">
        <v>217</v>
      </c>
      <c r="AC34" t="s">
        <v>217</v>
      </c>
      <c r="AD34" t="s">
        <v>352</v>
      </c>
      <c r="AE34">
        <v>0</v>
      </c>
      <c r="AF34" t="s">
        <v>1</v>
      </c>
      <c r="AG34" t="s">
        <v>1</v>
      </c>
      <c r="AH34" t="s">
        <v>353</v>
      </c>
      <c r="AI34" t="s">
        <v>354</v>
      </c>
      <c r="AJ34" t="s">
        <v>1</v>
      </c>
      <c r="AK34">
        <v>9371200120</v>
      </c>
      <c r="AL34" t="s">
        <v>355</v>
      </c>
      <c r="AM34" t="s">
        <v>356</v>
      </c>
      <c r="AN34">
        <v>0</v>
      </c>
      <c r="AO34" t="s">
        <v>353</v>
      </c>
      <c r="AP34" t="s">
        <v>1</v>
      </c>
      <c r="AQ34">
        <v>2</v>
      </c>
      <c r="AR34">
        <v>0</v>
      </c>
      <c r="AS34">
        <v>0</v>
      </c>
      <c r="AT34" t="s">
        <v>1</v>
      </c>
      <c r="AU34" t="s">
        <v>1</v>
      </c>
      <c r="AV34" t="s">
        <v>1</v>
      </c>
      <c r="AW34">
        <v>0</v>
      </c>
      <c r="AX34">
        <v>50</v>
      </c>
      <c r="AY34">
        <v>14750</v>
      </c>
      <c r="AZ34">
        <v>0</v>
      </c>
      <c r="BA34">
        <v>0</v>
      </c>
      <c r="BB34" t="s">
        <v>1</v>
      </c>
      <c r="BC34" t="s">
        <v>336</v>
      </c>
      <c r="BD34" t="s">
        <v>155</v>
      </c>
      <c r="BE34" t="s">
        <v>1</v>
      </c>
      <c r="BF34">
        <v>0</v>
      </c>
      <c r="BG34" t="s">
        <v>1</v>
      </c>
      <c r="BH34">
        <v>0</v>
      </c>
      <c r="BI34">
        <v>0</v>
      </c>
      <c r="BJ34" t="s">
        <v>309</v>
      </c>
      <c r="BK34" t="s">
        <v>1</v>
      </c>
      <c r="BL34">
        <v>1</v>
      </c>
      <c r="BM34">
        <v>0</v>
      </c>
      <c r="BN34">
        <v>14800</v>
      </c>
      <c r="BO34">
        <v>0</v>
      </c>
      <c r="BP34">
        <v>0</v>
      </c>
      <c r="BQ34">
        <v>0</v>
      </c>
      <c r="BR34" t="s">
        <v>1</v>
      </c>
      <c r="BS34" t="s">
        <v>1</v>
      </c>
      <c r="BT34" t="s">
        <v>1</v>
      </c>
      <c r="BU34">
        <v>0</v>
      </c>
      <c r="BV34" t="s">
        <v>1</v>
      </c>
      <c r="BW34" t="s">
        <v>1</v>
      </c>
      <c r="BX34" t="s">
        <v>1</v>
      </c>
      <c r="BY34">
        <v>0</v>
      </c>
      <c r="BZ34">
        <v>0</v>
      </c>
      <c r="CA34">
        <v>0</v>
      </c>
      <c r="CB34">
        <v>0</v>
      </c>
      <c r="CD34" t="str" cm="1">
        <f t="array" aca="1" ref="CD34" ca="1">eConcatenar(A34:CB34,"|")</f>
        <v>v7xnFhBSb3LIr4Vh|CAR2021-7679|3|MEMORIAL |TABASCO |CARDENAS|CARDENAS|2021-12-28|14800|X|X|100|0|0|X|0|X|X|X|X|X|X|X|X|0|X|0|HERNANDEZ|HERNANDEZ|ROMANA|0|X|X|CALLE ADOLFO RUIZ CORTINEZ NUMERO 270 A|EL TOLOQUE|X|9371200120|CRISTOBAL RIOS HERNANDEZ|BENEFICIARIO 2: MARIA LUISA RIOS HERNANDEZ|0|CALLE ADOLFO RUIZ CORTINEZ NUMERO 270 A|X|2|0|0|X|X|X|0|50|14750|0|0|X|2021-12-28|2022-02-01|X|0|X|0|0|QX002LYO9KVTQO|X|1|0|14800|0|0|0|X|X|X|0|X|X|X|0|0|0|0</v>
      </c>
    </row>
    <row r="35" spans="1:82" x14ac:dyDescent="0.25">
      <c r="A35" t="s">
        <v>357</v>
      </c>
      <c r="B35" t="s">
        <v>358</v>
      </c>
      <c r="C35">
        <v>3</v>
      </c>
      <c r="D35" t="s">
        <v>146</v>
      </c>
      <c r="E35" t="s">
        <v>359</v>
      </c>
      <c r="F35" t="s">
        <v>360</v>
      </c>
      <c r="G35" t="s">
        <v>360</v>
      </c>
      <c r="H35" t="s">
        <v>361</v>
      </c>
      <c r="I35">
        <v>12900</v>
      </c>
      <c r="J35" t="s">
        <v>1</v>
      </c>
      <c r="K35" t="s">
        <v>1</v>
      </c>
      <c r="L35">
        <v>200</v>
      </c>
      <c r="M35">
        <v>1</v>
      </c>
      <c r="N35">
        <v>0</v>
      </c>
      <c r="O35" t="s">
        <v>1</v>
      </c>
      <c r="P35" t="s">
        <v>1</v>
      </c>
      <c r="Q35" t="s">
        <v>1</v>
      </c>
      <c r="R35" t="s">
        <v>1</v>
      </c>
      <c r="S35" t="s">
        <v>1</v>
      </c>
      <c r="T35" t="s">
        <v>1</v>
      </c>
      <c r="U35" t="s">
        <v>1</v>
      </c>
      <c r="V35" t="s">
        <v>1</v>
      </c>
      <c r="W35" t="s">
        <v>1</v>
      </c>
      <c r="X35" t="s">
        <v>1</v>
      </c>
      <c r="Y35" t="s">
        <v>1</v>
      </c>
      <c r="Z35" t="s">
        <v>1</v>
      </c>
      <c r="AA35">
        <v>0</v>
      </c>
      <c r="AB35" t="s">
        <v>362</v>
      </c>
      <c r="AC35" t="s">
        <v>363</v>
      </c>
      <c r="AD35" t="s">
        <v>364</v>
      </c>
      <c r="AE35">
        <v>0</v>
      </c>
      <c r="AF35" t="s">
        <v>1</v>
      </c>
      <c r="AG35" t="s">
        <v>1</v>
      </c>
      <c r="AH35" t="s">
        <v>365</v>
      </c>
      <c r="AI35" t="s">
        <v>366</v>
      </c>
      <c r="AJ35" t="s">
        <v>1</v>
      </c>
      <c r="AK35" t="s">
        <v>1</v>
      </c>
      <c r="AL35" t="s">
        <v>1</v>
      </c>
      <c r="AM35" t="s">
        <v>1</v>
      </c>
      <c r="AN35">
        <v>0</v>
      </c>
      <c r="AO35" t="s">
        <v>365</v>
      </c>
      <c r="AP35" t="s">
        <v>1</v>
      </c>
      <c r="AQ35">
        <v>0</v>
      </c>
      <c r="AR35">
        <v>0</v>
      </c>
      <c r="AS35">
        <v>0</v>
      </c>
      <c r="AT35" t="s">
        <v>1</v>
      </c>
      <c r="AU35" t="s">
        <v>1</v>
      </c>
      <c r="AV35" t="s">
        <v>1</v>
      </c>
      <c r="AW35">
        <v>0</v>
      </c>
      <c r="AX35">
        <v>7190</v>
      </c>
      <c r="AY35">
        <v>5710</v>
      </c>
      <c r="AZ35">
        <v>0</v>
      </c>
      <c r="BA35">
        <v>0</v>
      </c>
      <c r="BB35" t="s">
        <v>1</v>
      </c>
      <c r="BC35" t="s">
        <v>367</v>
      </c>
      <c r="BD35" t="s">
        <v>368</v>
      </c>
      <c r="BE35" t="s">
        <v>1</v>
      </c>
      <c r="BF35" t="s">
        <v>1</v>
      </c>
      <c r="BG35" t="s">
        <v>1</v>
      </c>
      <c r="BH35">
        <v>0</v>
      </c>
      <c r="BI35">
        <v>0</v>
      </c>
      <c r="BJ35" t="s">
        <v>369</v>
      </c>
      <c r="BK35" t="s">
        <v>1</v>
      </c>
      <c r="BL35">
        <v>0</v>
      </c>
      <c r="BM35">
        <v>0</v>
      </c>
      <c r="BN35">
        <v>12900</v>
      </c>
      <c r="BO35">
        <v>0</v>
      </c>
      <c r="BP35">
        <v>0</v>
      </c>
      <c r="BQ35">
        <v>0</v>
      </c>
      <c r="BR35" t="s">
        <v>1</v>
      </c>
      <c r="BS35" t="s">
        <v>1</v>
      </c>
      <c r="BT35" t="s">
        <v>1</v>
      </c>
      <c r="BU35" t="s">
        <v>1</v>
      </c>
      <c r="BV35" t="s">
        <v>1</v>
      </c>
      <c r="BW35" t="s">
        <v>360</v>
      </c>
      <c r="BX35" t="s">
        <v>1</v>
      </c>
      <c r="BY35">
        <v>0</v>
      </c>
      <c r="BZ35">
        <v>0</v>
      </c>
      <c r="CA35">
        <v>0</v>
      </c>
      <c r="CB35">
        <v>0</v>
      </c>
      <c r="CD35" t="str" cm="1">
        <f t="array" aca="1" ref="CD35" ca="1">eConcatenar(A35:CB35,"|")</f>
        <v>rrB7tM2jWHMmPEEb|VSA2020-T-0034|3|MEMORIAL |TABASCO|VILLAHERMOSA |VILLAHERMOSA |2020-08-21|12900|X|X|200|1|0|X|X|X|X|X|X|X|X|X|X|X|X|0|ACOSTA |FELIX |ROMMEL |0|X|X|CALLE LAZARO CARDENAS |COLONIA CENTRO |X|X|X|X|0|CALLE LAZARO CARDENAS |X|0|0|0|X|X|X|0|7190|5710|0|0|X|2021-11-15|2021-06-12|X|X|X|0|0|QYD9TF2W9KVTQO|X|0|0|12900|0|0|0|X|X|X|X|X|VILLAHERMOSA |X|0|0|0|0</v>
      </c>
    </row>
    <row r="36" spans="1:82" x14ac:dyDescent="0.25">
      <c r="A36" t="s">
        <v>370</v>
      </c>
      <c r="B36" t="s">
        <v>371</v>
      </c>
      <c r="C36">
        <v>3</v>
      </c>
      <c r="D36" t="s">
        <v>146</v>
      </c>
      <c r="E36" t="s">
        <v>359</v>
      </c>
      <c r="F36" t="s">
        <v>360</v>
      </c>
      <c r="G36" t="s">
        <v>360</v>
      </c>
      <c r="H36" t="s">
        <v>361</v>
      </c>
      <c r="I36">
        <v>12900</v>
      </c>
      <c r="J36" t="s">
        <v>1</v>
      </c>
      <c r="K36" t="s">
        <v>1</v>
      </c>
      <c r="L36">
        <v>400</v>
      </c>
      <c r="M36">
        <v>2</v>
      </c>
      <c r="N36">
        <v>0</v>
      </c>
      <c r="O36" t="s">
        <v>1</v>
      </c>
      <c r="P36" t="s">
        <v>1</v>
      </c>
      <c r="Q36" t="s">
        <v>1</v>
      </c>
      <c r="R36" t="s">
        <v>1</v>
      </c>
      <c r="S36" t="s">
        <v>1</v>
      </c>
      <c r="T36" t="s">
        <v>1</v>
      </c>
      <c r="U36" t="s">
        <v>1</v>
      </c>
      <c r="V36" t="s">
        <v>1</v>
      </c>
      <c r="W36" t="s">
        <v>1</v>
      </c>
      <c r="X36" t="s">
        <v>1</v>
      </c>
      <c r="Y36" t="s">
        <v>1</v>
      </c>
      <c r="Z36" t="s">
        <v>1</v>
      </c>
      <c r="AA36">
        <v>0</v>
      </c>
      <c r="AB36" t="s">
        <v>372</v>
      </c>
      <c r="AC36" t="s">
        <v>217</v>
      </c>
      <c r="AD36" t="s">
        <v>373</v>
      </c>
      <c r="AE36">
        <v>0</v>
      </c>
      <c r="AF36" t="s">
        <v>1</v>
      </c>
      <c r="AG36" t="s">
        <v>1</v>
      </c>
      <c r="AH36" t="s">
        <v>374</v>
      </c>
      <c r="AI36" t="s">
        <v>375</v>
      </c>
      <c r="AJ36" t="s">
        <v>1</v>
      </c>
      <c r="AK36">
        <v>9321272916</v>
      </c>
      <c r="AL36" t="s">
        <v>1</v>
      </c>
      <c r="AM36" t="s">
        <v>1</v>
      </c>
      <c r="AN36">
        <v>0</v>
      </c>
      <c r="AO36" t="s">
        <v>374</v>
      </c>
      <c r="AP36" t="s">
        <v>1</v>
      </c>
      <c r="AQ36">
        <v>1</v>
      </c>
      <c r="AR36">
        <v>0</v>
      </c>
      <c r="AS36">
        <v>0</v>
      </c>
      <c r="AT36" t="s">
        <v>1</v>
      </c>
      <c r="AU36" t="s">
        <v>1</v>
      </c>
      <c r="AV36" t="s">
        <v>1</v>
      </c>
      <c r="AW36">
        <v>0</v>
      </c>
      <c r="AX36">
        <v>6700</v>
      </c>
      <c r="AY36">
        <v>6200</v>
      </c>
      <c r="AZ36">
        <v>0</v>
      </c>
      <c r="BA36">
        <v>0</v>
      </c>
      <c r="BB36" t="s">
        <v>1</v>
      </c>
      <c r="BC36" t="s">
        <v>376</v>
      </c>
      <c r="BD36" t="s">
        <v>377</v>
      </c>
      <c r="BE36" t="s">
        <v>1</v>
      </c>
      <c r="BF36" t="s">
        <v>1</v>
      </c>
      <c r="BG36" t="s">
        <v>1</v>
      </c>
      <c r="BH36">
        <v>0</v>
      </c>
      <c r="BI36">
        <v>0</v>
      </c>
      <c r="BJ36" t="s">
        <v>369</v>
      </c>
      <c r="BK36" t="s">
        <v>1</v>
      </c>
      <c r="BL36">
        <v>1</v>
      </c>
      <c r="BM36">
        <v>0</v>
      </c>
      <c r="BN36">
        <v>12900</v>
      </c>
      <c r="BO36">
        <v>0</v>
      </c>
      <c r="BP36">
        <v>0</v>
      </c>
      <c r="BQ36">
        <v>0</v>
      </c>
      <c r="BR36" t="s">
        <v>1</v>
      </c>
      <c r="BS36" t="s">
        <v>1</v>
      </c>
      <c r="BT36" t="s">
        <v>1</v>
      </c>
      <c r="BU36" t="s">
        <v>1</v>
      </c>
      <c r="BV36" t="s">
        <v>1</v>
      </c>
      <c r="BW36" t="s">
        <v>360</v>
      </c>
      <c r="BX36" t="s">
        <v>1</v>
      </c>
      <c r="BY36">
        <v>0</v>
      </c>
      <c r="BZ36">
        <v>0</v>
      </c>
      <c r="CA36">
        <v>0</v>
      </c>
      <c r="CB36">
        <v>0</v>
      </c>
      <c r="CD36" t="str" cm="1">
        <f t="array" aca="1" ref="CD36" ca="1">eConcatenar(A36:CB36,"|")</f>
        <v>vmRmcZ2zbqdcLzWR|VSA2020-T-0035|3|MEMORIAL |TABASCO|VILLAHERMOSA |VILLAHERMOSA |2020-08-21|12900|X|X|400|2|0|X|X|X|X|X|X|X|X|X|X|X|X|0|JUAREZ |HERNANDEZ|GUADALUPE |0|X|X|CALLE RORENZO SANTAMARIA SIN NUMERO |COLONIA PUEBLO NUEVO |X|9321272916|X|X|0|CALLE RORENZO SANTAMARIA SIN NUMERO |X|1|0|0|X|X|X|0|6700|6200|0|0|X|2021-02-11|2021-07-12|X|X|X|0|0|QYD9TF2W9KVTQO|X|1|0|12900|0|0|0|X|X|X|X|X|VILLAHERMOSA |X|0|0|0|0</v>
      </c>
    </row>
    <row r="37" spans="1:82" x14ac:dyDescent="0.25">
      <c r="A37" t="s">
        <v>378</v>
      </c>
      <c r="B37" t="s">
        <v>379</v>
      </c>
      <c r="C37">
        <v>3</v>
      </c>
      <c r="D37" t="s">
        <v>146</v>
      </c>
      <c r="E37" t="s">
        <v>359</v>
      </c>
      <c r="F37" t="s">
        <v>360</v>
      </c>
      <c r="G37" t="s">
        <v>360</v>
      </c>
      <c r="H37" t="s">
        <v>380</v>
      </c>
      <c r="I37">
        <v>12900</v>
      </c>
      <c r="J37" t="s">
        <v>1</v>
      </c>
      <c r="K37" t="s">
        <v>1</v>
      </c>
      <c r="L37">
        <v>200</v>
      </c>
      <c r="M37">
        <v>1</v>
      </c>
      <c r="N37">
        <v>0</v>
      </c>
      <c r="O37" t="s">
        <v>1</v>
      </c>
      <c r="P37" t="s">
        <v>1</v>
      </c>
      <c r="Q37" t="s">
        <v>1</v>
      </c>
      <c r="R37" t="s">
        <v>1</v>
      </c>
      <c r="S37" t="s">
        <v>1</v>
      </c>
      <c r="T37" t="s">
        <v>1</v>
      </c>
      <c r="U37" t="s">
        <v>1</v>
      </c>
      <c r="V37" t="s">
        <v>1</v>
      </c>
      <c r="W37" t="s">
        <v>1</v>
      </c>
      <c r="X37" t="s">
        <v>1</v>
      </c>
      <c r="Y37" t="s">
        <v>1</v>
      </c>
      <c r="Z37" t="s">
        <v>1</v>
      </c>
      <c r="AA37">
        <v>0</v>
      </c>
      <c r="AB37" t="s">
        <v>191</v>
      </c>
      <c r="AC37" t="s">
        <v>381</v>
      </c>
      <c r="AD37" t="s">
        <v>382</v>
      </c>
      <c r="AE37">
        <v>0</v>
      </c>
      <c r="AF37" t="s">
        <v>1</v>
      </c>
      <c r="AG37" t="s">
        <v>1</v>
      </c>
      <c r="AH37" t="s">
        <v>365</v>
      </c>
      <c r="AI37" t="s">
        <v>366</v>
      </c>
      <c r="AJ37" t="s">
        <v>1</v>
      </c>
      <c r="AK37">
        <v>9321128395</v>
      </c>
      <c r="AL37" t="s">
        <v>1</v>
      </c>
      <c r="AM37" t="s">
        <v>1</v>
      </c>
      <c r="AN37">
        <v>0</v>
      </c>
      <c r="AO37" t="s">
        <v>365</v>
      </c>
      <c r="AP37" t="s">
        <v>1</v>
      </c>
      <c r="AQ37">
        <v>1</v>
      </c>
      <c r="AR37">
        <v>0</v>
      </c>
      <c r="AS37">
        <v>0</v>
      </c>
      <c r="AT37" t="s">
        <v>1</v>
      </c>
      <c r="AU37" t="s">
        <v>1</v>
      </c>
      <c r="AV37" t="s">
        <v>1</v>
      </c>
      <c r="AW37">
        <v>0</v>
      </c>
      <c r="AX37">
        <v>3600</v>
      </c>
      <c r="AY37">
        <v>9300</v>
      </c>
      <c r="AZ37">
        <v>0</v>
      </c>
      <c r="BA37">
        <v>0</v>
      </c>
      <c r="BB37" t="s">
        <v>1</v>
      </c>
      <c r="BC37" t="s">
        <v>383</v>
      </c>
      <c r="BD37" t="s">
        <v>377</v>
      </c>
      <c r="BE37" t="s">
        <v>1</v>
      </c>
      <c r="BF37" t="s">
        <v>1</v>
      </c>
      <c r="BG37" t="s">
        <v>1</v>
      </c>
      <c r="BH37">
        <v>0</v>
      </c>
      <c r="BI37">
        <v>0</v>
      </c>
      <c r="BJ37" t="s">
        <v>369</v>
      </c>
      <c r="BK37" t="s">
        <v>1</v>
      </c>
      <c r="BL37">
        <v>0</v>
      </c>
      <c r="BM37">
        <v>0</v>
      </c>
      <c r="BN37">
        <v>12900</v>
      </c>
      <c r="BO37">
        <v>0</v>
      </c>
      <c r="BP37">
        <v>0</v>
      </c>
      <c r="BQ37">
        <v>0</v>
      </c>
      <c r="BR37" t="s">
        <v>1</v>
      </c>
      <c r="BS37" t="s">
        <v>1</v>
      </c>
      <c r="BT37" t="s">
        <v>1</v>
      </c>
      <c r="BU37" t="s">
        <v>1</v>
      </c>
      <c r="BV37" t="s">
        <v>1</v>
      </c>
      <c r="BW37" t="s">
        <v>360</v>
      </c>
      <c r="BX37" t="s">
        <v>1</v>
      </c>
      <c r="BY37">
        <v>0</v>
      </c>
      <c r="BZ37">
        <v>0</v>
      </c>
      <c r="CA37">
        <v>0</v>
      </c>
      <c r="CB37">
        <v>0</v>
      </c>
      <c r="CD37" t="str" cm="1">
        <f t="array" aca="1" ref="CD37" ca="1">eConcatenar(A37:CB37,"|")</f>
        <v>EuGds4vB8c5cGfjb|VSA2020-T-0068|3|MEMORIAL |TABASCO|VILLAHERMOSA |VILLAHERMOSA |2020-04-02|12900|X|X|200|1|0|X|X|X|X|X|X|X|X|X|X|X|X|0|MARTINEZ |CARRILLO |ARMANDO |0|X|X|CALLE LAZARO CARDENAS |COLONIA CENTRO |X|9321128395|X|X|0|CALLE LAZARO CARDENAS |X|1|0|0|X|X|X|0|3600|9300|0|0|X|2021-11-16|2021-07-12|X|X|X|0|0|QYD9TF2W9KVTQO|X|0|0|12900|0|0|0|X|X|X|X|X|VILLAHERMOSA |X|0|0|0|0</v>
      </c>
    </row>
    <row r="38" spans="1:82" x14ac:dyDescent="0.25">
      <c r="A38" t="s">
        <v>384</v>
      </c>
      <c r="B38" t="s">
        <v>385</v>
      </c>
      <c r="C38">
        <v>3</v>
      </c>
      <c r="D38" t="s">
        <v>146</v>
      </c>
      <c r="E38" t="s">
        <v>359</v>
      </c>
      <c r="F38" t="s">
        <v>360</v>
      </c>
      <c r="G38" t="s">
        <v>360</v>
      </c>
      <c r="H38" t="s">
        <v>386</v>
      </c>
      <c r="I38">
        <v>12900</v>
      </c>
      <c r="J38" t="s">
        <v>1</v>
      </c>
      <c r="K38" t="s">
        <v>1</v>
      </c>
      <c r="L38">
        <v>200</v>
      </c>
      <c r="M38">
        <v>1</v>
      </c>
      <c r="N38">
        <v>0</v>
      </c>
      <c r="O38" t="s">
        <v>1</v>
      </c>
      <c r="P38" t="s">
        <v>1</v>
      </c>
      <c r="Q38" t="s">
        <v>1</v>
      </c>
      <c r="R38" t="s">
        <v>1</v>
      </c>
      <c r="S38" t="s">
        <v>1</v>
      </c>
      <c r="T38" t="s">
        <v>1</v>
      </c>
      <c r="U38" t="s">
        <v>1</v>
      </c>
      <c r="V38" t="s">
        <v>1</v>
      </c>
      <c r="W38" t="s">
        <v>1</v>
      </c>
      <c r="X38" t="s">
        <v>1</v>
      </c>
      <c r="Y38" t="s">
        <v>1</v>
      </c>
      <c r="Z38" t="s">
        <v>1</v>
      </c>
      <c r="AA38">
        <v>0</v>
      </c>
      <c r="AB38" t="s">
        <v>387</v>
      </c>
      <c r="AC38" t="s">
        <v>217</v>
      </c>
      <c r="AD38" t="s">
        <v>388</v>
      </c>
      <c r="AE38">
        <v>0</v>
      </c>
      <c r="AF38" t="s">
        <v>1</v>
      </c>
      <c r="AG38" t="s">
        <v>1</v>
      </c>
      <c r="AH38" t="s">
        <v>389</v>
      </c>
      <c r="AI38" t="s">
        <v>390</v>
      </c>
      <c r="AJ38" t="s">
        <v>1</v>
      </c>
      <c r="AK38">
        <v>9933735088</v>
      </c>
      <c r="AL38" t="s">
        <v>1</v>
      </c>
      <c r="AM38" t="s">
        <v>1</v>
      </c>
      <c r="AN38">
        <v>0</v>
      </c>
      <c r="AO38" t="s">
        <v>389</v>
      </c>
      <c r="AP38" t="s">
        <v>1</v>
      </c>
      <c r="AQ38">
        <v>0</v>
      </c>
      <c r="AR38">
        <v>0</v>
      </c>
      <c r="AS38">
        <v>0</v>
      </c>
      <c r="AT38" t="s">
        <v>1</v>
      </c>
      <c r="AU38" t="s">
        <v>1</v>
      </c>
      <c r="AV38" t="s">
        <v>1</v>
      </c>
      <c r="AW38">
        <v>0</v>
      </c>
      <c r="AX38">
        <v>5300</v>
      </c>
      <c r="AY38">
        <v>7600</v>
      </c>
      <c r="AZ38">
        <v>0</v>
      </c>
      <c r="BA38">
        <v>0</v>
      </c>
      <c r="BB38" t="s">
        <v>1</v>
      </c>
      <c r="BC38" t="s">
        <v>367</v>
      </c>
      <c r="BD38" t="s">
        <v>368</v>
      </c>
      <c r="BE38" t="s">
        <v>1</v>
      </c>
      <c r="BF38" t="s">
        <v>1</v>
      </c>
      <c r="BG38" t="s">
        <v>1</v>
      </c>
      <c r="BH38">
        <v>0</v>
      </c>
      <c r="BI38">
        <v>0</v>
      </c>
      <c r="BJ38" t="s">
        <v>369</v>
      </c>
      <c r="BK38" t="s">
        <v>1</v>
      </c>
      <c r="BL38">
        <v>0</v>
      </c>
      <c r="BM38">
        <v>0</v>
      </c>
      <c r="BN38">
        <v>12900</v>
      </c>
      <c r="BO38">
        <v>0</v>
      </c>
      <c r="BP38">
        <v>0</v>
      </c>
      <c r="BQ38">
        <v>0</v>
      </c>
      <c r="BR38" t="s">
        <v>1</v>
      </c>
      <c r="BS38" t="s">
        <v>1</v>
      </c>
      <c r="BT38" t="s">
        <v>1</v>
      </c>
      <c r="BU38" t="s">
        <v>1</v>
      </c>
      <c r="BV38" t="s">
        <v>1</v>
      </c>
      <c r="BW38" t="s">
        <v>360</v>
      </c>
      <c r="BX38" t="s">
        <v>1</v>
      </c>
      <c r="BY38">
        <v>0</v>
      </c>
      <c r="BZ38">
        <v>0</v>
      </c>
      <c r="CA38">
        <v>0</v>
      </c>
      <c r="CB38">
        <v>0</v>
      </c>
      <c r="CD38" t="str" cm="1">
        <f t="array" aca="1" ref="CD38" ca="1">eConcatenar(A38:CB38,"|")</f>
        <v>w7KXn0rFroccqC72|VSA2020-T-0125|3|MEMORIAL |TABASCO|VILLAHERMOSA |VILLAHERMOSA |2020-09-30|12900|X|X|200|1|0|X|X|X|X|X|X|X|X|X|X|X|X|0|JULIAN |HERNANDEZ|DANIEL |0|X|X|CALLE MANUEL PEREZ MERINO |COLONIA GRACIELA PINTADO DE MADRAZO |X|9933735088|X|X|0|CALLE MANUEL PEREZ MERINO |X|0|0|0|X|X|X|0|5300|7600|0|0|X|2021-11-15|2021-06-12|X|X|X|0|0|QYD9TF2W9KVTQO|X|0|0|12900|0|0|0|X|X|X|X|X|VILLAHERMOSA |X|0|0|0|0</v>
      </c>
    </row>
    <row r="39" spans="1:82" x14ac:dyDescent="0.25">
      <c r="A39" t="s">
        <v>391</v>
      </c>
      <c r="B39" t="s">
        <v>392</v>
      </c>
      <c r="C39">
        <v>3</v>
      </c>
      <c r="D39" t="s">
        <v>146</v>
      </c>
      <c r="E39" t="s">
        <v>359</v>
      </c>
      <c r="F39" t="s">
        <v>360</v>
      </c>
      <c r="G39" t="s">
        <v>360</v>
      </c>
      <c r="H39" t="s">
        <v>393</v>
      </c>
      <c r="I39">
        <v>12900</v>
      </c>
      <c r="J39" t="s">
        <v>1</v>
      </c>
      <c r="K39" t="s">
        <v>1</v>
      </c>
      <c r="L39">
        <v>100</v>
      </c>
      <c r="M39">
        <v>0</v>
      </c>
      <c r="N39">
        <v>0</v>
      </c>
      <c r="O39" t="s">
        <v>1</v>
      </c>
      <c r="P39" t="s">
        <v>1</v>
      </c>
      <c r="Q39" t="s">
        <v>1</v>
      </c>
      <c r="R39" t="s">
        <v>1</v>
      </c>
      <c r="S39" t="s">
        <v>1</v>
      </c>
      <c r="T39" t="s">
        <v>1</v>
      </c>
      <c r="U39" t="s">
        <v>1</v>
      </c>
      <c r="V39" t="s">
        <v>1</v>
      </c>
      <c r="W39" t="s">
        <v>1</v>
      </c>
      <c r="X39" t="s">
        <v>1</v>
      </c>
      <c r="Y39" t="s">
        <v>1</v>
      </c>
      <c r="Z39" t="s">
        <v>1</v>
      </c>
      <c r="AA39">
        <v>0</v>
      </c>
      <c r="AB39" t="s">
        <v>394</v>
      </c>
      <c r="AC39" t="s">
        <v>395</v>
      </c>
      <c r="AD39" t="s">
        <v>396</v>
      </c>
      <c r="AE39">
        <v>0</v>
      </c>
      <c r="AF39" t="s">
        <v>1</v>
      </c>
      <c r="AG39" t="s">
        <v>1</v>
      </c>
      <c r="AH39" t="s">
        <v>397</v>
      </c>
      <c r="AI39" t="s">
        <v>398</v>
      </c>
      <c r="AJ39" t="s">
        <v>1</v>
      </c>
      <c r="AK39">
        <v>9321090406</v>
      </c>
      <c r="AL39" t="s">
        <v>1</v>
      </c>
      <c r="AM39" t="s">
        <v>1</v>
      </c>
      <c r="AN39">
        <v>0</v>
      </c>
      <c r="AO39" t="s">
        <v>397</v>
      </c>
      <c r="AP39" t="s">
        <v>1</v>
      </c>
      <c r="AQ39">
        <v>0</v>
      </c>
      <c r="AR39">
        <v>0</v>
      </c>
      <c r="AS39">
        <v>0</v>
      </c>
      <c r="AT39" t="s">
        <v>1</v>
      </c>
      <c r="AU39" t="s">
        <v>1</v>
      </c>
      <c r="AV39" t="s">
        <v>1</v>
      </c>
      <c r="AW39">
        <v>0</v>
      </c>
      <c r="AX39">
        <v>3250</v>
      </c>
      <c r="AY39">
        <v>9650</v>
      </c>
      <c r="AZ39">
        <v>0</v>
      </c>
      <c r="BA39">
        <v>0</v>
      </c>
      <c r="BB39" t="s">
        <v>1</v>
      </c>
      <c r="BC39" t="s">
        <v>399</v>
      </c>
      <c r="BD39" t="s">
        <v>368</v>
      </c>
      <c r="BE39" t="s">
        <v>1</v>
      </c>
      <c r="BF39" t="s">
        <v>1</v>
      </c>
      <c r="BG39" t="s">
        <v>1</v>
      </c>
      <c r="BH39">
        <v>0</v>
      </c>
      <c r="BI39">
        <v>0</v>
      </c>
      <c r="BJ39" t="s">
        <v>369</v>
      </c>
      <c r="BK39" t="s">
        <v>1</v>
      </c>
      <c r="BL39">
        <v>0</v>
      </c>
      <c r="BM39">
        <v>0</v>
      </c>
      <c r="BN39">
        <v>12900</v>
      </c>
      <c r="BO39">
        <v>0</v>
      </c>
      <c r="BP39">
        <v>0</v>
      </c>
      <c r="BQ39">
        <v>0</v>
      </c>
      <c r="BR39" t="s">
        <v>1</v>
      </c>
      <c r="BS39" t="s">
        <v>1</v>
      </c>
      <c r="BT39" t="s">
        <v>1</v>
      </c>
      <c r="BU39" t="s">
        <v>1</v>
      </c>
      <c r="BV39" t="s">
        <v>1</v>
      </c>
      <c r="BW39" t="s">
        <v>360</v>
      </c>
      <c r="BX39" t="s">
        <v>1</v>
      </c>
      <c r="BY39">
        <v>0</v>
      </c>
      <c r="BZ39">
        <v>0</v>
      </c>
      <c r="CA39">
        <v>0</v>
      </c>
      <c r="CB39">
        <v>0</v>
      </c>
      <c r="CD39" t="str" cm="1">
        <f t="array" aca="1" ref="CD39" ca="1">eConcatenar(A39:CB39,"|")</f>
        <v>nRvjANrast4UZpkk|VSA2020-T-0078|3|MEMORIAL |TABASCO|VILLAHERMOSA |VILLAHERMOSA |2020-08-09|12900|X|X|100|0|0|X|X|X|X|X|X|X|X|X|X|X|X|0|VAZQUEZ |GARCIA |MARCIAL |0|X|X|CALLE SIN NOMBRE |COLONIA EJIDO REFORMA |X|9321090406|X|X|0|CALLE SIN NOMBRE |X|0|0|0|X|X|X|0|3250|9650|0|0|X|2021-11-20|2021-06-12|X|X|X|0|0|QYD9TF2W9KVTQO|X|0|0|12900|0|0|0|X|X|X|X|X|VILLAHERMOSA |X|0|0|0|0</v>
      </c>
    </row>
    <row r="40" spans="1:82" x14ac:dyDescent="0.25">
      <c r="A40" t="s">
        <v>400</v>
      </c>
      <c r="B40" t="s">
        <v>401</v>
      </c>
      <c r="C40">
        <v>3</v>
      </c>
      <c r="D40" t="s">
        <v>146</v>
      </c>
      <c r="E40" t="s">
        <v>359</v>
      </c>
      <c r="F40" t="s">
        <v>360</v>
      </c>
      <c r="G40" t="s">
        <v>360</v>
      </c>
      <c r="H40" t="s">
        <v>393</v>
      </c>
      <c r="I40">
        <v>12900</v>
      </c>
      <c r="J40" t="s">
        <v>1</v>
      </c>
      <c r="K40" t="s">
        <v>1</v>
      </c>
      <c r="L40">
        <v>200</v>
      </c>
      <c r="M40">
        <v>1</v>
      </c>
      <c r="N40">
        <v>0</v>
      </c>
      <c r="O40" t="s">
        <v>1</v>
      </c>
      <c r="P40" t="s">
        <v>1</v>
      </c>
      <c r="Q40" t="s">
        <v>1</v>
      </c>
      <c r="R40" t="s">
        <v>1</v>
      </c>
      <c r="S40" t="s">
        <v>1</v>
      </c>
      <c r="T40" t="s">
        <v>1</v>
      </c>
      <c r="U40" t="s">
        <v>1</v>
      </c>
      <c r="V40" t="s">
        <v>1</v>
      </c>
      <c r="W40" t="s">
        <v>1</v>
      </c>
      <c r="X40" t="s">
        <v>1</v>
      </c>
      <c r="Y40" t="s">
        <v>1</v>
      </c>
      <c r="Z40" t="s">
        <v>1</v>
      </c>
      <c r="AA40">
        <v>0</v>
      </c>
      <c r="AB40" t="s">
        <v>395</v>
      </c>
      <c r="AC40" t="s">
        <v>200</v>
      </c>
      <c r="AD40" t="s">
        <v>402</v>
      </c>
      <c r="AE40">
        <v>0</v>
      </c>
      <c r="AF40" t="s">
        <v>1</v>
      </c>
      <c r="AG40" t="s">
        <v>1</v>
      </c>
      <c r="AH40" t="s">
        <v>403</v>
      </c>
      <c r="AI40" t="s">
        <v>404</v>
      </c>
      <c r="AJ40" t="s">
        <v>1</v>
      </c>
      <c r="AK40" t="s">
        <v>1</v>
      </c>
      <c r="AL40" t="s">
        <v>1</v>
      </c>
      <c r="AM40" t="s">
        <v>1</v>
      </c>
      <c r="AN40">
        <v>0</v>
      </c>
      <c r="AO40" t="s">
        <v>403</v>
      </c>
      <c r="AP40" t="s">
        <v>1</v>
      </c>
      <c r="AQ40">
        <v>0</v>
      </c>
      <c r="AR40">
        <v>0</v>
      </c>
      <c r="AS40">
        <v>0</v>
      </c>
      <c r="AT40" t="s">
        <v>1</v>
      </c>
      <c r="AU40" t="s">
        <v>1</v>
      </c>
      <c r="AV40" t="s">
        <v>1</v>
      </c>
      <c r="AW40">
        <v>0</v>
      </c>
      <c r="AX40">
        <v>4400</v>
      </c>
      <c r="AY40">
        <v>8500</v>
      </c>
      <c r="AZ40">
        <v>0</v>
      </c>
      <c r="BA40">
        <v>0</v>
      </c>
      <c r="BB40" t="s">
        <v>1</v>
      </c>
      <c r="BC40" t="s">
        <v>367</v>
      </c>
      <c r="BD40" t="s">
        <v>368</v>
      </c>
      <c r="BE40" t="s">
        <v>1</v>
      </c>
      <c r="BF40" t="s">
        <v>1</v>
      </c>
      <c r="BG40" t="s">
        <v>1</v>
      </c>
      <c r="BH40">
        <v>0</v>
      </c>
      <c r="BI40">
        <v>0</v>
      </c>
      <c r="BJ40" t="s">
        <v>369</v>
      </c>
      <c r="BK40" t="s">
        <v>1</v>
      </c>
      <c r="BL40">
        <v>0</v>
      </c>
      <c r="BM40">
        <v>0</v>
      </c>
      <c r="BN40">
        <v>12900</v>
      </c>
      <c r="BO40">
        <v>0</v>
      </c>
      <c r="BP40">
        <v>0</v>
      </c>
      <c r="BQ40">
        <v>0</v>
      </c>
      <c r="BR40" t="s">
        <v>1</v>
      </c>
      <c r="BS40" t="s">
        <v>1</v>
      </c>
      <c r="BT40" t="s">
        <v>1</v>
      </c>
      <c r="BU40" t="s">
        <v>1</v>
      </c>
      <c r="BV40" t="s">
        <v>1</v>
      </c>
      <c r="BW40" t="s">
        <v>360</v>
      </c>
      <c r="BX40" t="s">
        <v>1</v>
      </c>
      <c r="BY40">
        <v>0</v>
      </c>
      <c r="BZ40">
        <v>0</v>
      </c>
      <c r="CA40">
        <v>0</v>
      </c>
      <c r="CB40">
        <v>0</v>
      </c>
      <c r="CD40" t="str" cm="1">
        <f t="array" aca="1" ref="CD40" ca="1">eConcatenar(A40:CB40,"|")</f>
        <v>Z8PQhcG8gWaPPL1J|VSA2020-T-0077|3|MEMORIAL |TABASCO|VILLAHERMOSA |VILLAHERMOSA |2020-08-09|12900|X|X|200|1|0|X|X|X|X|X|X|X|X|X|X|X|X|0|GARCIA |GONZALEZ |JUAN CARLOS |0|X|X|CARRETERA A SANTA ROSA |COLONIA SAN RAMON |X|X|X|X|0|CARRETERA A SANTA ROSA |X|0|0|0|X|X|X|0|4400|8500|0|0|X|2021-11-15|2021-06-12|X|X|X|0|0|QYD9TF2W9KVTQO|X|0|0|12900|0|0|0|X|X|X|X|X|VILLAHERMOSA |X|0|0|0|0</v>
      </c>
    </row>
    <row r="41" spans="1:82" x14ac:dyDescent="0.25">
      <c r="A41" t="s">
        <v>405</v>
      </c>
      <c r="B41" t="s">
        <v>406</v>
      </c>
      <c r="C41">
        <v>3</v>
      </c>
      <c r="D41" t="s">
        <v>146</v>
      </c>
      <c r="E41" t="s">
        <v>359</v>
      </c>
      <c r="F41" t="s">
        <v>360</v>
      </c>
      <c r="G41" t="s">
        <v>360</v>
      </c>
      <c r="H41" t="s">
        <v>393</v>
      </c>
      <c r="I41">
        <v>12900</v>
      </c>
      <c r="J41" t="s">
        <v>1</v>
      </c>
      <c r="K41" t="s">
        <v>1</v>
      </c>
      <c r="L41">
        <v>200</v>
      </c>
      <c r="M41">
        <v>1</v>
      </c>
      <c r="N41">
        <v>0</v>
      </c>
      <c r="O41" t="s">
        <v>1</v>
      </c>
      <c r="P41" t="s">
        <v>1</v>
      </c>
      <c r="Q41" t="s">
        <v>1</v>
      </c>
      <c r="R41" t="s">
        <v>1</v>
      </c>
      <c r="S41" t="s">
        <v>1</v>
      </c>
      <c r="T41" t="s">
        <v>1</v>
      </c>
      <c r="U41" t="s">
        <v>1</v>
      </c>
      <c r="V41" t="s">
        <v>1</v>
      </c>
      <c r="W41" t="s">
        <v>1</v>
      </c>
      <c r="X41" t="s">
        <v>1</v>
      </c>
      <c r="Y41" t="s">
        <v>1</v>
      </c>
      <c r="Z41" t="s">
        <v>1</v>
      </c>
      <c r="AA41">
        <v>0</v>
      </c>
      <c r="AB41" t="s">
        <v>15</v>
      </c>
      <c r="AC41" t="s">
        <v>407</v>
      </c>
      <c r="AD41" t="s">
        <v>408</v>
      </c>
      <c r="AE41">
        <v>0</v>
      </c>
      <c r="AF41" t="s">
        <v>1</v>
      </c>
      <c r="AG41" t="s">
        <v>1</v>
      </c>
      <c r="AH41" t="s">
        <v>409</v>
      </c>
      <c r="AI41" t="s">
        <v>410</v>
      </c>
      <c r="AJ41" t="s">
        <v>1</v>
      </c>
      <c r="AK41">
        <v>9321183407</v>
      </c>
      <c r="AL41" t="s">
        <v>1</v>
      </c>
      <c r="AM41" t="s">
        <v>1</v>
      </c>
      <c r="AN41">
        <v>0</v>
      </c>
      <c r="AO41" t="s">
        <v>409</v>
      </c>
      <c r="AP41" t="s">
        <v>1</v>
      </c>
      <c r="AQ41">
        <v>0</v>
      </c>
      <c r="AR41">
        <v>0</v>
      </c>
      <c r="AS41">
        <v>0</v>
      </c>
      <c r="AT41" t="s">
        <v>1</v>
      </c>
      <c r="AU41" t="s">
        <v>1</v>
      </c>
      <c r="AV41" t="s">
        <v>1</v>
      </c>
      <c r="AW41">
        <v>0</v>
      </c>
      <c r="AX41">
        <v>5000</v>
      </c>
      <c r="AY41">
        <v>7900</v>
      </c>
      <c r="AZ41">
        <v>0</v>
      </c>
      <c r="BA41">
        <v>0</v>
      </c>
      <c r="BB41" t="s">
        <v>1</v>
      </c>
      <c r="BC41" t="s">
        <v>367</v>
      </c>
      <c r="BD41" t="s">
        <v>368</v>
      </c>
      <c r="BE41" t="s">
        <v>1</v>
      </c>
      <c r="BF41" t="s">
        <v>1</v>
      </c>
      <c r="BG41" t="s">
        <v>1</v>
      </c>
      <c r="BH41">
        <v>0</v>
      </c>
      <c r="BI41">
        <v>0</v>
      </c>
      <c r="BJ41" t="s">
        <v>369</v>
      </c>
      <c r="BK41" t="s">
        <v>1</v>
      </c>
      <c r="BL41">
        <v>1</v>
      </c>
      <c r="BM41">
        <v>0</v>
      </c>
      <c r="BN41">
        <v>12900</v>
      </c>
      <c r="BO41">
        <v>0</v>
      </c>
      <c r="BP41">
        <v>0</v>
      </c>
      <c r="BQ41">
        <v>0</v>
      </c>
      <c r="BR41" t="s">
        <v>1</v>
      </c>
      <c r="BS41" t="s">
        <v>1</v>
      </c>
      <c r="BT41" t="s">
        <v>1</v>
      </c>
      <c r="BU41" t="s">
        <v>1</v>
      </c>
      <c r="BV41" t="s">
        <v>1</v>
      </c>
      <c r="BW41" t="s">
        <v>360</v>
      </c>
      <c r="BX41" t="s">
        <v>1</v>
      </c>
      <c r="BY41">
        <v>0</v>
      </c>
      <c r="BZ41">
        <v>0</v>
      </c>
      <c r="CA41">
        <v>0</v>
      </c>
      <c r="CB41">
        <v>0</v>
      </c>
      <c r="CD41" t="str" cm="1">
        <f t="array" aca="1" ref="CD41" ca="1">eConcatenar(A41:CB41,"|")</f>
        <v>mkRfPqeHO1i4ptN0|VSA2020-T-0075|3|MEMORIAL |TABASCO|VILLAHERMOSA |VILLAHERMOSA |2020-08-09|12900|X|X|200|1|0|X|X|X|X|X|X|X|X|X|X|X|X|0|PEREZ |LOPEZ |MARIA |0|X|X|CALLE DIECISEIS DE SEPTIEMBRE |EJIDO REFORMA |X|9321183407|X|X|0|CALLE DIECISEIS DE SEPTIEMBRE |X|0|0|0|X|X|X|0|5000|7900|0|0|X|2021-11-15|2021-06-12|X|X|X|0|0|QYD9TF2W9KVTQO|X|1|0|12900|0|0|0|X|X|X|X|X|VILLAHERMOSA |X|0|0|0|0</v>
      </c>
    </row>
    <row r="42" spans="1:82" x14ac:dyDescent="0.25">
      <c r="A42" t="s">
        <v>411</v>
      </c>
      <c r="B42" t="s">
        <v>412</v>
      </c>
      <c r="C42">
        <v>3</v>
      </c>
      <c r="D42" t="s">
        <v>146</v>
      </c>
      <c r="E42" t="s">
        <v>359</v>
      </c>
      <c r="F42" t="s">
        <v>360</v>
      </c>
      <c r="G42" t="s">
        <v>360</v>
      </c>
      <c r="H42" t="s">
        <v>413</v>
      </c>
      <c r="I42">
        <v>12900</v>
      </c>
      <c r="J42" t="s">
        <v>1</v>
      </c>
      <c r="K42" t="s">
        <v>1</v>
      </c>
      <c r="L42">
        <v>200</v>
      </c>
      <c r="M42">
        <v>1</v>
      </c>
      <c r="N42">
        <v>0</v>
      </c>
      <c r="O42" t="s">
        <v>1</v>
      </c>
      <c r="P42" t="s">
        <v>1</v>
      </c>
      <c r="Q42" t="s">
        <v>1</v>
      </c>
      <c r="R42" t="s">
        <v>1</v>
      </c>
      <c r="S42" t="s">
        <v>1</v>
      </c>
      <c r="T42" t="s">
        <v>1</v>
      </c>
      <c r="U42" t="s">
        <v>1</v>
      </c>
      <c r="V42" t="s">
        <v>1</v>
      </c>
      <c r="W42" t="s">
        <v>1</v>
      </c>
      <c r="X42" t="s">
        <v>1</v>
      </c>
      <c r="Y42" t="s">
        <v>1</v>
      </c>
      <c r="Z42" t="s">
        <v>1</v>
      </c>
      <c r="AA42">
        <v>0</v>
      </c>
      <c r="AB42" t="s">
        <v>183</v>
      </c>
      <c r="AC42" t="s">
        <v>414</v>
      </c>
      <c r="AD42" t="s">
        <v>415</v>
      </c>
      <c r="AE42">
        <v>0</v>
      </c>
      <c r="AF42" t="s">
        <v>1</v>
      </c>
      <c r="AG42" t="s">
        <v>1</v>
      </c>
      <c r="AH42" t="s">
        <v>416</v>
      </c>
      <c r="AI42" t="s">
        <v>417</v>
      </c>
      <c r="AJ42" t="s">
        <v>1</v>
      </c>
      <c r="AK42">
        <v>9321255376</v>
      </c>
      <c r="AL42" t="s">
        <v>1</v>
      </c>
      <c r="AM42" t="s">
        <v>1</v>
      </c>
      <c r="AN42">
        <v>0</v>
      </c>
      <c r="AO42" t="s">
        <v>416</v>
      </c>
      <c r="AP42" t="s">
        <v>1</v>
      </c>
      <c r="AQ42">
        <v>1</v>
      </c>
      <c r="AR42">
        <v>0</v>
      </c>
      <c r="AS42">
        <v>0</v>
      </c>
      <c r="AT42" t="s">
        <v>1</v>
      </c>
      <c r="AU42" t="s">
        <v>1</v>
      </c>
      <c r="AV42" t="s">
        <v>1</v>
      </c>
      <c r="AW42">
        <v>0</v>
      </c>
      <c r="AX42">
        <v>6140</v>
      </c>
      <c r="AY42">
        <v>6760</v>
      </c>
      <c r="AZ42">
        <v>0</v>
      </c>
      <c r="BA42">
        <v>0</v>
      </c>
      <c r="BB42" t="s">
        <v>1</v>
      </c>
      <c r="BC42" t="s">
        <v>383</v>
      </c>
      <c r="BD42" t="s">
        <v>377</v>
      </c>
      <c r="BE42" t="s">
        <v>1</v>
      </c>
      <c r="BF42" t="s">
        <v>1</v>
      </c>
      <c r="BG42" t="s">
        <v>1</v>
      </c>
      <c r="BH42">
        <v>0</v>
      </c>
      <c r="BI42">
        <v>0</v>
      </c>
      <c r="BJ42" t="s">
        <v>369</v>
      </c>
      <c r="BK42" t="s">
        <v>1</v>
      </c>
      <c r="BL42">
        <v>0</v>
      </c>
      <c r="BM42">
        <v>0</v>
      </c>
      <c r="BN42">
        <v>12900</v>
      </c>
      <c r="BO42">
        <v>0</v>
      </c>
      <c r="BP42">
        <v>0</v>
      </c>
      <c r="BQ42">
        <v>0</v>
      </c>
      <c r="BR42" t="s">
        <v>1</v>
      </c>
      <c r="BS42" t="s">
        <v>1</v>
      </c>
      <c r="BT42" t="s">
        <v>1</v>
      </c>
      <c r="BU42" t="s">
        <v>1</v>
      </c>
      <c r="BV42" t="s">
        <v>1</v>
      </c>
      <c r="BW42" t="s">
        <v>360</v>
      </c>
      <c r="BX42" t="s">
        <v>1</v>
      </c>
      <c r="BY42">
        <v>0</v>
      </c>
      <c r="BZ42">
        <v>0</v>
      </c>
      <c r="CA42">
        <v>0</v>
      </c>
      <c r="CB42">
        <v>0</v>
      </c>
      <c r="CD42" t="str" cm="1">
        <f t="array" aca="1" ref="CD42" ca="1">eConcatenar(A42:CB42,"|")</f>
        <v>sDRMaqnlmfS1Qsnd|VSA2020-T-0067|3|MEMORIAL |TABASCO|VILLAHERMOSA |VILLAHERMOSA |2020-08-29|12900|X|X|200|1|0|X|X|X|X|X|X|X|X|X|X|X|X|0|MENDEZ |FRANK |ROYDER|0|X|X|CALLE LINDA VISTA SIN NUMERO |COLONIA BARRIO SABANILLA |X|9321255376|X|X|0|CALLE LINDA VISTA SIN NUMERO |X|1|0|0|X|X|X|0|6140|6760|0|0|X|2021-11-16|2021-07-12|X|X|X|0|0|QYD9TF2W9KVTQO|X|0|0|12900|0|0|0|X|X|X|X|X|VILLAHERMOSA |X|0|0|0|0</v>
      </c>
    </row>
    <row r="43" spans="1:82" x14ac:dyDescent="0.25">
      <c r="A43" t="s">
        <v>418</v>
      </c>
      <c r="B43" t="s">
        <v>419</v>
      </c>
      <c r="C43">
        <v>3</v>
      </c>
      <c r="D43" t="s">
        <v>146</v>
      </c>
      <c r="E43" t="s">
        <v>359</v>
      </c>
      <c r="F43" t="s">
        <v>360</v>
      </c>
      <c r="G43" t="s">
        <v>360</v>
      </c>
      <c r="H43" t="s">
        <v>413</v>
      </c>
      <c r="I43">
        <v>12900</v>
      </c>
      <c r="J43" t="s">
        <v>1</v>
      </c>
      <c r="K43" t="s">
        <v>1</v>
      </c>
      <c r="L43">
        <v>200</v>
      </c>
      <c r="M43">
        <v>1</v>
      </c>
      <c r="N43">
        <v>0</v>
      </c>
      <c r="O43" t="s">
        <v>1</v>
      </c>
      <c r="P43" t="s">
        <v>1</v>
      </c>
      <c r="Q43" t="s">
        <v>1</v>
      </c>
      <c r="R43" t="s">
        <v>1</v>
      </c>
      <c r="S43" t="s">
        <v>1</v>
      </c>
      <c r="T43" t="s">
        <v>1</v>
      </c>
      <c r="U43" t="s">
        <v>1</v>
      </c>
      <c r="V43" t="s">
        <v>1</v>
      </c>
      <c r="W43" t="s">
        <v>1</v>
      </c>
      <c r="X43" t="s">
        <v>1</v>
      </c>
      <c r="Y43" t="s">
        <v>1</v>
      </c>
      <c r="Z43" t="s">
        <v>1</v>
      </c>
      <c r="AA43">
        <v>0</v>
      </c>
      <c r="AB43" t="s">
        <v>420</v>
      </c>
      <c r="AC43" t="s">
        <v>191</v>
      </c>
      <c r="AD43" t="s">
        <v>421</v>
      </c>
      <c r="AE43">
        <v>0</v>
      </c>
      <c r="AF43" t="s">
        <v>1</v>
      </c>
      <c r="AG43" t="s">
        <v>1</v>
      </c>
      <c r="AH43" t="s">
        <v>397</v>
      </c>
      <c r="AI43" t="s">
        <v>422</v>
      </c>
      <c r="AJ43" t="s">
        <v>1</v>
      </c>
      <c r="AK43">
        <v>9321110567</v>
      </c>
      <c r="AL43" t="s">
        <v>1</v>
      </c>
      <c r="AM43" t="s">
        <v>1</v>
      </c>
      <c r="AN43">
        <v>0</v>
      </c>
      <c r="AO43" t="s">
        <v>397</v>
      </c>
      <c r="AP43" t="s">
        <v>1</v>
      </c>
      <c r="AQ43">
        <v>0</v>
      </c>
      <c r="AR43">
        <v>0</v>
      </c>
      <c r="AS43">
        <v>0</v>
      </c>
      <c r="AT43" t="s">
        <v>1</v>
      </c>
      <c r="AU43" t="s">
        <v>1</v>
      </c>
      <c r="AV43" t="s">
        <v>1</v>
      </c>
      <c r="AW43">
        <v>0</v>
      </c>
      <c r="AX43">
        <v>8050</v>
      </c>
      <c r="AY43">
        <v>4850</v>
      </c>
      <c r="AZ43">
        <v>0</v>
      </c>
      <c r="BA43">
        <v>0</v>
      </c>
      <c r="BB43" t="s">
        <v>1</v>
      </c>
      <c r="BC43" t="s">
        <v>423</v>
      </c>
      <c r="BD43" t="s">
        <v>377</v>
      </c>
      <c r="BE43" t="s">
        <v>1</v>
      </c>
      <c r="BF43" t="s">
        <v>1</v>
      </c>
      <c r="BG43" t="s">
        <v>1</v>
      </c>
      <c r="BH43">
        <v>0</v>
      </c>
      <c r="BI43">
        <v>0</v>
      </c>
      <c r="BJ43" t="s">
        <v>369</v>
      </c>
      <c r="BK43" t="s">
        <v>1</v>
      </c>
      <c r="BL43">
        <v>0</v>
      </c>
      <c r="BM43">
        <v>0</v>
      </c>
      <c r="BN43">
        <v>12900</v>
      </c>
      <c r="BO43">
        <v>0</v>
      </c>
      <c r="BP43">
        <v>0</v>
      </c>
      <c r="BQ43">
        <v>0</v>
      </c>
      <c r="BR43" t="s">
        <v>1</v>
      </c>
      <c r="BS43" t="s">
        <v>1</v>
      </c>
      <c r="BT43" t="s">
        <v>1</v>
      </c>
      <c r="BU43" t="s">
        <v>1</v>
      </c>
      <c r="BV43" t="s">
        <v>1</v>
      </c>
      <c r="BW43" t="s">
        <v>360</v>
      </c>
      <c r="BX43" t="s">
        <v>1</v>
      </c>
      <c r="BY43">
        <v>0</v>
      </c>
      <c r="BZ43">
        <v>0</v>
      </c>
      <c r="CA43">
        <v>0</v>
      </c>
      <c r="CB43">
        <v>0</v>
      </c>
      <c r="CD43" t="str" cm="1">
        <f t="array" aca="1" ref="CD43" ca="1">eConcatenar(A43:CB43,"|")</f>
        <v>hLmaHaobCHnk14sB|VSA2020-T-0064|3|MEMORIAL |TABASCO|VILLAHERMOSA |VILLAHERMOSA |2020-08-29|12900|X|X|200|1|0|X|X|X|X|X|X|X|X|X|X|X|X|0|VELAZQUEZ |MARTINEZ |YOVANI DEL CARMEN |0|X|X|CALLE SIN NOMBRE |COLONIA ISABEL |X|9321110567|X|X|0|CALLE SIN NOMBRE |X|0|0|0|X|X|X|0|8050|4850|0|0|X|2021-11-29|2021-07-12|X|X|X|0|0|QYD9TF2W9KVTQO|X|0|0|12900|0|0|0|X|X|X|X|X|VILLAHERMOSA |X|0|0|0|0</v>
      </c>
    </row>
    <row r="44" spans="1:82" x14ac:dyDescent="0.25">
      <c r="A44" t="s">
        <v>424</v>
      </c>
      <c r="B44" t="s">
        <v>425</v>
      </c>
      <c r="C44">
        <v>3</v>
      </c>
      <c r="D44" t="s">
        <v>146</v>
      </c>
      <c r="E44" t="s">
        <v>359</v>
      </c>
      <c r="F44" t="s">
        <v>360</v>
      </c>
      <c r="G44" t="s">
        <v>360</v>
      </c>
      <c r="H44" t="s">
        <v>426</v>
      </c>
      <c r="I44">
        <v>12900</v>
      </c>
      <c r="J44" t="s">
        <v>1</v>
      </c>
      <c r="K44" t="s">
        <v>1</v>
      </c>
      <c r="L44">
        <v>200</v>
      </c>
      <c r="M44">
        <v>0</v>
      </c>
      <c r="N44">
        <v>0</v>
      </c>
      <c r="O44" t="s">
        <v>1</v>
      </c>
      <c r="P44" t="s">
        <v>1</v>
      </c>
      <c r="Q44" t="s">
        <v>1</v>
      </c>
      <c r="R44" t="s">
        <v>1</v>
      </c>
      <c r="S44" t="s">
        <v>1</v>
      </c>
      <c r="T44" t="s">
        <v>1</v>
      </c>
      <c r="U44" t="s">
        <v>1</v>
      </c>
      <c r="V44" t="s">
        <v>1</v>
      </c>
      <c r="W44" t="s">
        <v>1</v>
      </c>
      <c r="X44" t="s">
        <v>1</v>
      </c>
      <c r="Y44" t="s">
        <v>1</v>
      </c>
      <c r="Z44" t="s">
        <v>1</v>
      </c>
      <c r="AA44">
        <v>0</v>
      </c>
      <c r="AB44" t="s">
        <v>427</v>
      </c>
      <c r="AC44" t="s">
        <v>428</v>
      </c>
      <c r="AD44" t="s">
        <v>429</v>
      </c>
      <c r="AE44">
        <v>0</v>
      </c>
      <c r="AF44" t="s">
        <v>1</v>
      </c>
      <c r="AG44" t="s">
        <v>1</v>
      </c>
      <c r="AH44" t="s">
        <v>430</v>
      </c>
      <c r="AI44" t="s">
        <v>390</v>
      </c>
      <c r="AJ44" t="s">
        <v>1</v>
      </c>
      <c r="AK44">
        <v>9934253400</v>
      </c>
      <c r="AL44" t="s">
        <v>1</v>
      </c>
      <c r="AM44" t="s">
        <v>1</v>
      </c>
      <c r="AN44">
        <v>0</v>
      </c>
      <c r="AO44" t="s">
        <v>430</v>
      </c>
      <c r="AP44" t="s">
        <v>1</v>
      </c>
      <c r="AQ44">
        <v>1</v>
      </c>
      <c r="AR44">
        <v>0</v>
      </c>
      <c r="AS44">
        <v>0</v>
      </c>
      <c r="AT44" t="s">
        <v>1</v>
      </c>
      <c r="AU44" t="s">
        <v>1</v>
      </c>
      <c r="AV44" t="s">
        <v>1</v>
      </c>
      <c r="AW44">
        <v>0</v>
      </c>
      <c r="AX44">
        <v>6900</v>
      </c>
      <c r="AY44">
        <v>6000</v>
      </c>
      <c r="AZ44">
        <v>0</v>
      </c>
      <c r="BA44">
        <v>0</v>
      </c>
      <c r="BB44" t="s">
        <v>1</v>
      </c>
      <c r="BC44" t="s">
        <v>383</v>
      </c>
      <c r="BD44" t="s">
        <v>377</v>
      </c>
      <c r="BE44" t="s">
        <v>1</v>
      </c>
      <c r="BF44" t="s">
        <v>1</v>
      </c>
      <c r="BG44" t="s">
        <v>1</v>
      </c>
      <c r="BH44">
        <v>0</v>
      </c>
      <c r="BI44">
        <v>0</v>
      </c>
      <c r="BJ44" t="s">
        <v>369</v>
      </c>
      <c r="BK44" t="s">
        <v>1</v>
      </c>
      <c r="BL44">
        <v>1</v>
      </c>
      <c r="BM44">
        <v>0</v>
      </c>
      <c r="BN44">
        <v>12900</v>
      </c>
      <c r="BO44">
        <v>0</v>
      </c>
      <c r="BP44">
        <v>0</v>
      </c>
      <c r="BQ44">
        <v>0</v>
      </c>
      <c r="BR44" t="s">
        <v>1</v>
      </c>
      <c r="BS44" t="s">
        <v>1</v>
      </c>
      <c r="BT44" t="s">
        <v>1</v>
      </c>
      <c r="BU44" t="s">
        <v>1</v>
      </c>
      <c r="BV44" t="s">
        <v>1</v>
      </c>
      <c r="BW44" t="s">
        <v>360</v>
      </c>
      <c r="BX44" t="s">
        <v>1</v>
      </c>
      <c r="BY44">
        <v>0</v>
      </c>
      <c r="BZ44">
        <v>0</v>
      </c>
      <c r="CA44">
        <v>0</v>
      </c>
      <c r="CB44">
        <v>0</v>
      </c>
      <c r="CD44" t="str" cm="1">
        <f t="array" aca="1" ref="CD44" ca="1">eConcatenar(A44:CB44,"|")</f>
        <v>m5KSXTfAWxBY32KC|VSA2020-T-0063|3|MEMORIAL |TABASCO|VILLAHERMOSA |VILLAHERMOSA |2020-12-10|12900|X|X|200|0|0|X|X|X|X|X|X|X|X|X|X|X|X|0|VILLAREAL |GOMEZ |MARIA ESTHER |0|X|X|CALLE BIENESTAR PARA LA FAMILIA |COLONIA GRACIELA PINTADO DE MADRAZO |X|9934253400|X|X|0|CALLE BIENESTAR PARA LA FAMILIA |X|1|0|0|X|X|X|0|6900|6000|0|0|X|2021-11-16|2021-07-12|X|X|X|0|0|QYD9TF2W9KVTQO|X|1|0|12900|0|0|0|X|X|X|X|X|VILLAHERMOSA |X|0|0|0|0</v>
      </c>
    </row>
    <row r="45" spans="1:82" x14ac:dyDescent="0.25">
      <c r="A45" t="s">
        <v>431</v>
      </c>
      <c r="B45" t="s">
        <v>432</v>
      </c>
      <c r="C45">
        <v>3</v>
      </c>
      <c r="D45" t="s">
        <v>433</v>
      </c>
      <c r="E45" t="s">
        <v>359</v>
      </c>
      <c r="F45" t="s">
        <v>360</v>
      </c>
      <c r="G45" t="s">
        <v>360</v>
      </c>
      <c r="H45" t="s">
        <v>413</v>
      </c>
      <c r="I45">
        <v>19800</v>
      </c>
      <c r="J45" t="s">
        <v>1</v>
      </c>
      <c r="K45" t="s">
        <v>1</v>
      </c>
      <c r="L45">
        <v>200</v>
      </c>
      <c r="M45">
        <v>1</v>
      </c>
      <c r="N45">
        <v>0</v>
      </c>
      <c r="O45" t="s">
        <v>1</v>
      </c>
      <c r="P45" t="s">
        <v>1</v>
      </c>
      <c r="Q45" t="s">
        <v>1</v>
      </c>
      <c r="R45" t="s">
        <v>1</v>
      </c>
      <c r="S45" t="s">
        <v>1</v>
      </c>
      <c r="T45" t="s">
        <v>1</v>
      </c>
      <c r="U45" t="s">
        <v>1</v>
      </c>
      <c r="V45" t="s">
        <v>1</v>
      </c>
      <c r="W45" t="s">
        <v>1</v>
      </c>
      <c r="X45" t="s">
        <v>1</v>
      </c>
      <c r="Y45" t="s">
        <v>1</v>
      </c>
      <c r="Z45" t="s">
        <v>1</v>
      </c>
      <c r="AA45">
        <v>0</v>
      </c>
      <c r="AB45" t="s">
        <v>407</v>
      </c>
      <c r="AC45" t="s">
        <v>15</v>
      </c>
      <c r="AD45" t="s">
        <v>434</v>
      </c>
      <c r="AE45">
        <v>0</v>
      </c>
      <c r="AF45" t="s">
        <v>1</v>
      </c>
      <c r="AG45" t="s">
        <v>1</v>
      </c>
      <c r="AH45" t="s">
        <v>416</v>
      </c>
      <c r="AI45" t="s">
        <v>435</v>
      </c>
      <c r="AJ45" t="s">
        <v>1</v>
      </c>
      <c r="AK45">
        <v>9327184845</v>
      </c>
      <c r="AL45" t="s">
        <v>1</v>
      </c>
      <c r="AM45" t="s">
        <v>1</v>
      </c>
      <c r="AN45">
        <v>0</v>
      </c>
      <c r="AO45" t="s">
        <v>416</v>
      </c>
      <c r="AP45" t="s">
        <v>1</v>
      </c>
      <c r="AQ45">
        <v>0</v>
      </c>
      <c r="AR45">
        <v>0</v>
      </c>
      <c r="AS45">
        <v>0</v>
      </c>
      <c r="AT45" t="s">
        <v>1</v>
      </c>
      <c r="AU45" t="s">
        <v>1</v>
      </c>
      <c r="AV45" t="s">
        <v>1</v>
      </c>
      <c r="AW45">
        <v>0</v>
      </c>
      <c r="AX45">
        <v>10900</v>
      </c>
      <c r="AY45">
        <v>2000</v>
      </c>
      <c r="AZ45">
        <v>0</v>
      </c>
      <c r="BA45">
        <v>0</v>
      </c>
      <c r="BB45" t="s">
        <v>1</v>
      </c>
      <c r="BC45" t="s">
        <v>436</v>
      </c>
      <c r="BD45" t="s">
        <v>377</v>
      </c>
      <c r="BE45" t="s">
        <v>1</v>
      </c>
      <c r="BF45" t="s">
        <v>1</v>
      </c>
      <c r="BG45" t="s">
        <v>1</v>
      </c>
      <c r="BH45">
        <v>0</v>
      </c>
      <c r="BI45">
        <v>0</v>
      </c>
      <c r="BJ45" t="s">
        <v>369</v>
      </c>
      <c r="BK45" t="s">
        <v>1</v>
      </c>
      <c r="BL45">
        <v>1</v>
      </c>
      <c r="BM45">
        <v>0</v>
      </c>
      <c r="BN45">
        <v>12900</v>
      </c>
      <c r="BO45">
        <v>0</v>
      </c>
      <c r="BP45">
        <v>0</v>
      </c>
      <c r="BQ45">
        <v>0</v>
      </c>
      <c r="BR45" t="s">
        <v>1</v>
      </c>
      <c r="BS45" t="s">
        <v>1</v>
      </c>
      <c r="BT45" t="s">
        <v>1</v>
      </c>
      <c r="BU45" t="s">
        <v>1</v>
      </c>
      <c r="BV45" t="s">
        <v>1</v>
      </c>
      <c r="BW45" t="s">
        <v>360</v>
      </c>
      <c r="BX45" t="s">
        <v>1</v>
      </c>
      <c r="BY45">
        <v>0</v>
      </c>
      <c r="BZ45">
        <v>0</v>
      </c>
      <c r="CA45">
        <v>0</v>
      </c>
      <c r="CB45">
        <v>0</v>
      </c>
      <c r="CD45" t="str" cm="1">
        <f t="array" aca="1" ref="CD45" ca="1">eConcatenar(A45:CB45,"|")</f>
        <v>BhM7iBap4J72taBc|VSA2020-T-0062|3|ZAFIRO |TABASCO|VILLAHERMOSA |VILLAHERMOSA |2020-08-29|19800|X|X|200|1|0|X|X|X|X|X|X|X|X|X|X|X|X|0|LOPEZ |PEREZ |MIRALDA |0|X|X|CALLE LINDA VISTA SIN NUMERO |COLONIA BARRIO SABANILLA VILLA TAPIJULAPA|X|9327184845|X|X|0|CALLE LINDA VISTA SIN NUMERO |X|0|0|0|X|X|X|0|10900|2000|0|0|X|2021-08-11|2021-07-12|X|X|X|0|0|QYD9TF2W9KVTQO|X|1|0|12900|0|0|0|X|X|X|X|X|VILLAHERMOSA |X|0|0|0|0</v>
      </c>
    </row>
    <row r="46" spans="1:82" x14ac:dyDescent="0.25">
      <c r="A46" t="s">
        <v>437</v>
      </c>
      <c r="B46" t="s">
        <v>438</v>
      </c>
      <c r="C46">
        <v>3</v>
      </c>
      <c r="D46" t="s">
        <v>146</v>
      </c>
      <c r="E46" t="s">
        <v>359</v>
      </c>
      <c r="F46" t="s">
        <v>360</v>
      </c>
      <c r="G46" t="s">
        <v>360</v>
      </c>
      <c r="H46" t="s">
        <v>413</v>
      </c>
      <c r="I46">
        <v>12900</v>
      </c>
      <c r="J46" t="s">
        <v>1</v>
      </c>
      <c r="K46" t="s">
        <v>1</v>
      </c>
      <c r="L46">
        <v>200</v>
      </c>
      <c r="M46">
        <v>1</v>
      </c>
      <c r="N46">
        <v>0</v>
      </c>
      <c r="O46" t="s">
        <v>1</v>
      </c>
      <c r="P46" t="s">
        <v>1</v>
      </c>
      <c r="Q46" t="s">
        <v>1</v>
      </c>
      <c r="R46" t="s">
        <v>1</v>
      </c>
      <c r="S46" t="s">
        <v>1</v>
      </c>
      <c r="T46" t="s">
        <v>1</v>
      </c>
      <c r="U46" t="s">
        <v>1</v>
      </c>
      <c r="V46" t="s">
        <v>1</v>
      </c>
      <c r="W46" t="s">
        <v>1</v>
      </c>
      <c r="X46" t="s">
        <v>1</v>
      </c>
      <c r="Y46" t="s">
        <v>1</v>
      </c>
      <c r="Z46" t="s">
        <v>1</v>
      </c>
      <c r="AA46">
        <v>0</v>
      </c>
      <c r="AB46" t="s">
        <v>439</v>
      </c>
      <c r="AC46" t="s">
        <v>440</v>
      </c>
      <c r="AD46" t="s">
        <v>441</v>
      </c>
      <c r="AE46">
        <v>0</v>
      </c>
      <c r="AF46" t="s">
        <v>1</v>
      </c>
      <c r="AG46" t="s">
        <v>1</v>
      </c>
      <c r="AH46" t="s">
        <v>416</v>
      </c>
      <c r="AI46" t="s">
        <v>435</v>
      </c>
      <c r="AJ46" t="s">
        <v>1</v>
      </c>
      <c r="AK46">
        <v>9321070555</v>
      </c>
      <c r="AL46" t="s">
        <v>1</v>
      </c>
      <c r="AM46" t="s">
        <v>1</v>
      </c>
      <c r="AN46">
        <v>0</v>
      </c>
      <c r="AO46" t="s">
        <v>416</v>
      </c>
      <c r="AP46" t="s">
        <v>1</v>
      </c>
      <c r="AQ46">
        <v>1</v>
      </c>
      <c r="AR46">
        <v>0</v>
      </c>
      <c r="AS46">
        <v>0</v>
      </c>
      <c r="AT46" t="s">
        <v>1</v>
      </c>
      <c r="AU46" t="s">
        <v>1</v>
      </c>
      <c r="AV46" t="s">
        <v>1</v>
      </c>
      <c r="AW46">
        <v>0</v>
      </c>
      <c r="AX46">
        <v>4090</v>
      </c>
      <c r="AY46">
        <v>8810</v>
      </c>
      <c r="AZ46">
        <v>0</v>
      </c>
      <c r="BA46">
        <v>0</v>
      </c>
      <c r="BB46" t="s">
        <v>1</v>
      </c>
      <c r="BC46" t="s">
        <v>442</v>
      </c>
      <c r="BD46" t="s">
        <v>377</v>
      </c>
      <c r="BE46" t="s">
        <v>1</v>
      </c>
      <c r="BF46" t="s">
        <v>1</v>
      </c>
      <c r="BG46" t="s">
        <v>1</v>
      </c>
      <c r="BH46">
        <v>0</v>
      </c>
      <c r="BI46">
        <v>0</v>
      </c>
      <c r="BJ46" t="s">
        <v>369</v>
      </c>
      <c r="BK46" t="s">
        <v>1</v>
      </c>
      <c r="BL46">
        <v>0</v>
      </c>
      <c r="BM46">
        <v>0</v>
      </c>
      <c r="BN46">
        <v>12900</v>
      </c>
      <c r="BO46">
        <v>0</v>
      </c>
      <c r="BP46">
        <v>0</v>
      </c>
      <c r="BQ46">
        <v>0</v>
      </c>
      <c r="BR46" t="s">
        <v>1</v>
      </c>
      <c r="BS46" t="s">
        <v>1</v>
      </c>
      <c r="BT46" t="s">
        <v>1</v>
      </c>
      <c r="BU46" t="s">
        <v>1</v>
      </c>
      <c r="BV46" t="s">
        <v>1</v>
      </c>
      <c r="BW46" t="s">
        <v>360</v>
      </c>
      <c r="BX46" t="s">
        <v>1</v>
      </c>
      <c r="BY46">
        <v>0</v>
      </c>
      <c r="BZ46">
        <v>0</v>
      </c>
      <c r="CA46">
        <v>0</v>
      </c>
      <c r="CB46">
        <v>0</v>
      </c>
      <c r="CD46" t="str" cm="1">
        <f t="array" aca="1" ref="CD46" ca="1">eConcatenar(A46:CB46,"|")</f>
        <v>mugQOh4AF1odopXS|VSA2020-T-0061|3|MEMORIAL |TABASCO|VILLAHERMOSA |VILLAHERMOSA |2020-08-29|12900|X|X|200|1|0|X|X|X|X|X|X|X|X|X|X|X|X|0|REYES |LOZANO |ORLANDO |0|X|X|CALLE LINDA VISTA SIN NUMERO |COLONIA BARRIO SABANILLA VILLA TAPIJULAPA|X|9321070555|X|X|0|CALLE LINDA VISTA SIN NUMERO |X|1|0|0|X|X|X|0|4090|8810|0|0|X|2021-11-30|2021-07-12|X|X|X|0|0|QYD9TF2W9KVTQO|X|0|0|12900|0|0|0|X|X|X|X|X|VILLAHERMOSA |X|0|0|0|0</v>
      </c>
    </row>
    <row r="47" spans="1:82" x14ac:dyDescent="0.25">
      <c r="A47" t="s">
        <v>443</v>
      </c>
      <c r="B47" t="s">
        <v>444</v>
      </c>
      <c r="C47">
        <v>3</v>
      </c>
      <c r="D47" t="s">
        <v>445</v>
      </c>
      <c r="E47" t="s">
        <v>359</v>
      </c>
      <c r="F47" t="s">
        <v>360</v>
      </c>
      <c r="G47" t="s">
        <v>360</v>
      </c>
      <c r="H47" t="s">
        <v>413</v>
      </c>
      <c r="I47">
        <v>12900</v>
      </c>
      <c r="J47" t="s">
        <v>1</v>
      </c>
      <c r="K47" t="s">
        <v>1</v>
      </c>
      <c r="L47">
        <v>200</v>
      </c>
      <c r="M47">
        <v>1</v>
      </c>
      <c r="N47">
        <v>0</v>
      </c>
      <c r="O47" t="s">
        <v>1</v>
      </c>
      <c r="P47" t="s">
        <v>1</v>
      </c>
      <c r="Q47" t="s">
        <v>1</v>
      </c>
      <c r="R47" t="s">
        <v>1</v>
      </c>
      <c r="S47" t="s">
        <v>1</v>
      </c>
      <c r="T47" t="s">
        <v>1</v>
      </c>
      <c r="U47" t="s">
        <v>1</v>
      </c>
      <c r="V47" t="s">
        <v>1</v>
      </c>
      <c r="W47" t="s">
        <v>1</v>
      </c>
      <c r="X47" t="s">
        <v>1</v>
      </c>
      <c r="Y47" t="s">
        <v>1</v>
      </c>
      <c r="Z47" t="s">
        <v>1</v>
      </c>
      <c r="AA47">
        <v>0</v>
      </c>
      <c r="AB47" t="s">
        <v>394</v>
      </c>
      <c r="AC47" t="s">
        <v>446</v>
      </c>
      <c r="AD47" t="s">
        <v>447</v>
      </c>
      <c r="AE47">
        <v>0</v>
      </c>
      <c r="AF47" t="s">
        <v>1</v>
      </c>
      <c r="AG47" t="s">
        <v>1</v>
      </c>
      <c r="AH47" t="s">
        <v>448</v>
      </c>
      <c r="AI47" t="s">
        <v>435</v>
      </c>
      <c r="AJ47" t="s">
        <v>1</v>
      </c>
      <c r="AK47">
        <v>9321018134</v>
      </c>
      <c r="AL47" t="s">
        <v>1</v>
      </c>
      <c r="AM47" t="s">
        <v>1</v>
      </c>
      <c r="AN47">
        <v>0</v>
      </c>
      <c r="AO47" t="s">
        <v>448</v>
      </c>
      <c r="AP47" t="s">
        <v>1</v>
      </c>
      <c r="AQ47">
        <v>0</v>
      </c>
      <c r="AR47">
        <v>0</v>
      </c>
      <c r="AS47">
        <v>0</v>
      </c>
      <c r="AT47" t="s">
        <v>1</v>
      </c>
      <c r="AU47" t="s">
        <v>1</v>
      </c>
      <c r="AV47" t="s">
        <v>1</v>
      </c>
      <c r="AW47">
        <v>0</v>
      </c>
      <c r="AX47">
        <v>6300</v>
      </c>
      <c r="AY47">
        <v>25200</v>
      </c>
      <c r="AZ47">
        <v>0</v>
      </c>
      <c r="BA47">
        <v>0</v>
      </c>
      <c r="BB47" t="s">
        <v>1</v>
      </c>
      <c r="BC47" t="s">
        <v>423</v>
      </c>
      <c r="BD47" t="s">
        <v>377</v>
      </c>
      <c r="BE47" t="s">
        <v>1</v>
      </c>
      <c r="BF47" t="s">
        <v>1</v>
      </c>
      <c r="BG47" t="s">
        <v>1</v>
      </c>
      <c r="BH47">
        <v>0</v>
      </c>
      <c r="BI47">
        <v>0</v>
      </c>
      <c r="BJ47" t="s">
        <v>369</v>
      </c>
      <c r="BK47" t="s">
        <v>1</v>
      </c>
      <c r="BL47">
        <v>1</v>
      </c>
      <c r="BM47">
        <v>0</v>
      </c>
      <c r="BN47">
        <v>31500</v>
      </c>
      <c r="BO47">
        <v>0</v>
      </c>
      <c r="BP47">
        <v>0</v>
      </c>
      <c r="BQ47">
        <v>0</v>
      </c>
      <c r="BR47" t="s">
        <v>1</v>
      </c>
      <c r="BS47" t="s">
        <v>1</v>
      </c>
      <c r="BT47" t="s">
        <v>1</v>
      </c>
      <c r="BU47" t="s">
        <v>1</v>
      </c>
      <c r="BV47" t="s">
        <v>1</v>
      </c>
      <c r="BW47" t="s">
        <v>360</v>
      </c>
      <c r="BX47" t="s">
        <v>1</v>
      </c>
      <c r="BY47">
        <v>0</v>
      </c>
      <c r="BZ47">
        <v>0</v>
      </c>
      <c r="CA47">
        <v>0</v>
      </c>
      <c r="CB47">
        <v>0</v>
      </c>
      <c r="CD47" t="str" cm="1">
        <f t="array" aca="1" ref="CD47" ca="1">eConcatenar(A47:CB47,"|")</f>
        <v>oGqj9YGLgboqBGUQ|VSA2020-T-0060|3|PRESIDENCIAL |TABASCO|VILLAHERMOSA |VILLAHERMOSA |2020-08-29|12900|X|X|200|1|0|X|X|X|X|X|X|X|X|X|X|X|X|0|VAZQUEZ |OCAÃ‘A |ALEYDA VAZQUEZ |0|X|X|CALLE ADOLFO LOPEZ MATEO |COLONIA BARRIO SABANILLA VILLA TAPIJULAPA|X|9321018134|X|X|0|CALLE ADOLFO LOPEZ MATEO |X|0|0|0|X|X|X|0|6300|25200|0|0|X|2021-11-29|2021-07-12|X|X|X|0|0|QYD9TF2W9KVTQO|X|1|0|31500|0|0|0|X|X|X|X|X|VILLAHERMOSA |X|0|0|0|0</v>
      </c>
    </row>
    <row r="48" spans="1:82" x14ac:dyDescent="0.25">
      <c r="A48" t="s">
        <v>449</v>
      </c>
      <c r="B48" t="s">
        <v>450</v>
      </c>
      <c r="C48">
        <v>3</v>
      </c>
      <c r="D48" t="s">
        <v>146</v>
      </c>
      <c r="E48" t="s">
        <v>359</v>
      </c>
      <c r="F48" t="s">
        <v>360</v>
      </c>
      <c r="G48" t="s">
        <v>360</v>
      </c>
      <c r="H48" t="s">
        <v>413</v>
      </c>
      <c r="I48">
        <v>12900</v>
      </c>
      <c r="J48" t="s">
        <v>1</v>
      </c>
      <c r="K48" t="s">
        <v>1</v>
      </c>
      <c r="L48">
        <v>400</v>
      </c>
      <c r="M48">
        <v>2</v>
      </c>
      <c r="N48">
        <v>0</v>
      </c>
      <c r="O48" t="s">
        <v>1</v>
      </c>
      <c r="P48" t="s">
        <v>1</v>
      </c>
      <c r="Q48" t="s">
        <v>1</v>
      </c>
      <c r="R48" t="s">
        <v>1</v>
      </c>
      <c r="S48" t="s">
        <v>1</v>
      </c>
      <c r="T48" t="s">
        <v>1</v>
      </c>
      <c r="U48" t="s">
        <v>1</v>
      </c>
      <c r="V48" t="s">
        <v>1</v>
      </c>
      <c r="W48" t="s">
        <v>1</v>
      </c>
      <c r="X48" t="s">
        <v>1</v>
      </c>
      <c r="Y48" t="s">
        <v>1</v>
      </c>
      <c r="Z48" t="s">
        <v>1</v>
      </c>
      <c r="AA48">
        <v>0</v>
      </c>
      <c r="AB48" t="s">
        <v>407</v>
      </c>
      <c r="AC48" t="s">
        <v>15</v>
      </c>
      <c r="AD48" t="s">
        <v>451</v>
      </c>
      <c r="AE48">
        <v>0</v>
      </c>
      <c r="AF48" t="s">
        <v>1</v>
      </c>
      <c r="AG48" t="s">
        <v>1</v>
      </c>
      <c r="AH48" t="s">
        <v>416</v>
      </c>
      <c r="AI48" t="s">
        <v>435</v>
      </c>
      <c r="AJ48" t="s">
        <v>1</v>
      </c>
      <c r="AK48">
        <v>9321189184</v>
      </c>
      <c r="AL48" t="s">
        <v>1</v>
      </c>
      <c r="AM48" t="s">
        <v>1</v>
      </c>
      <c r="AN48">
        <v>0</v>
      </c>
      <c r="AO48" t="s">
        <v>416</v>
      </c>
      <c r="AP48" t="s">
        <v>1</v>
      </c>
      <c r="AQ48">
        <v>0</v>
      </c>
      <c r="AR48">
        <v>0</v>
      </c>
      <c r="AS48">
        <v>0</v>
      </c>
      <c r="AT48" t="s">
        <v>1</v>
      </c>
      <c r="AU48" t="s">
        <v>1</v>
      </c>
      <c r="AV48" t="s">
        <v>1</v>
      </c>
      <c r="AW48">
        <v>0</v>
      </c>
      <c r="AX48">
        <v>6200</v>
      </c>
      <c r="AY48">
        <v>6700</v>
      </c>
      <c r="AZ48">
        <v>0</v>
      </c>
      <c r="BA48">
        <v>0</v>
      </c>
      <c r="BB48" t="s">
        <v>1</v>
      </c>
      <c r="BC48" t="s">
        <v>452</v>
      </c>
      <c r="BD48" t="s">
        <v>377</v>
      </c>
      <c r="BE48" t="s">
        <v>1</v>
      </c>
      <c r="BF48" t="s">
        <v>1</v>
      </c>
      <c r="BG48" t="s">
        <v>1</v>
      </c>
      <c r="BH48">
        <v>0</v>
      </c>
      <c r="BI48">
        <v>0</v>
      </c>
      <c r="BJ48" t="s">
        <v>369</v>
      </c>
      <c r="BK48" t="s">
        <v>1</v>
      </c>
      <c r="BL48">
        <v>1</v>
      </c>
      <c r="BM48">
        <v>0</v>
      </c>
      <c r="BN48">
        <v>12900</v>
      </c>
      <c r="BO48">
        <v>0</v>
      </c>
      <c r="BP48">
        <v>0</v>
      </c>
      <c r="BQ48">
        <v>0</v>
      </c>
      <c r="BR48" t="s">
        <v>1</v>
      </c>
      <c r="BS48" t="s">
        <v>1</v>
      </c>
      <c r="BT48" t="s">
        <v>1</v>
      </c>
      <c r="BU48" t="s">
        <v>1</v>
      </c>
      <c r="BV48" t="s">
        <v>1</v>
      </c>
      <c r="BW48" t="s">
        <v>360</v>
      </c>
      <c r="BX48" t="s">
        <v>1</v>
      </c>
      <c r="BY48">
        <v>0</v>
      </c>
      <c r="BZ48">
        <v>0</v>
      </c>
      <c r="CA48">
        <v>0</v>
      </c>
      <c r="CB48">
        <v>0</v>
      </c>
      <c r="CD48" t="str" cm="1">
        <f t="array" aca="1" ref="CD48" ca="1">eConcatenar(A48:CB48,"|")</f>
        <v>zRxYJE2ty83wh1Qn|VSA2020-T-0055|3|MEMORIAL |TABASCO|VILLAHERMOSA |VILLAHERMOSA |2020-08-29|12900|X|X|400|2|0|X|X|X|X|X|X|X|X|X|X|X|X|0|LOPEZ |PEREZ |RUFINA |0|X|X|CALLE LINDA VISTA SIN NUMERO |COLONIA BARRIO SABANILLA VILLA TAPIJULAPA|X|9321189184|X|X|0|CALLE LINDA VISTA SIN NUMERO |X|0|0|0|X|X|X|0|6200|6700|0|0|X|2021-11-11|2021-07-12|X|X|X|0|0|QYD9TF2W9KVTQO|X|1|0|12900|0|0|0|X|X|X|X|X|VILLAHERMOSA |X|0|0|0|0</v>
      </c>
    </row>
    <row r="49" spans="1:82" x14ac:dyDescent="0.25">
      <c r="A49" t="s">
        <v>453</v>
      </c>
      <c r="B49" t="s">
        <v>454</v>
      </c>
      <c r="C49">
        <v>3</v>
      </c>
      <c r="D49" t="s">
        <v>146</v>
      </c>
      <c r="E49" t="s">
        <v>359</v>
      </c>
      <c r="F49" t="s">
        <v>360</v>
      </c>
      <c r="G49" t="s">
        <v>360</v>
      </c>
      <c r="H49" t="s">
        <v>413</v>
      </c>
      <c r="I49">
        <v>12900</v>
      </c>
      <c r="J49" t="s">
        <v>1</v>
      </c>
      <c r="K49" t="s">
        <v>1</v>
      </c>
      <c r="L49">
        <v>200</v>
      </c>
      <c r="M49">
        <v>1</v>
      </c>
      <c r="N49">
        <v>0</v>
      </c>
      <c r="O49" t="s">
        <v>1</v>
      </c>
      <c r="P49" t="s">
        <v>1</v>
      </c>
      <c r="Q49" t="s">
        <v>1</v>
      </c>
      <c r="R49" t="s">
        <v>1</v>
      </c>
      <c r="S49" t="s">
        <v>1</v>
      </c>
      <c r="T49" t="s">
        <v>1</v>
      </c>
      <c r="U49" t="s">
        <v>1</v>
      </c>
      <c r="V49" t="s">
        <v>1</v>
      </c>
      <c r="W49" t="s">
        <v>1</v>
      </c>
      <c r="X49" t="s">
        <v>1</v>
      </c>
      <c r="Y49" t="s">
        <v>1</v>
      </c>
      <c r="Z49" t="s">
        <v>1</v>
      </c>
      <c r="AA49">
        <v>0</v>
      </c>
      <c r="AB49" t="s">
        <v>395</v>
      </c>
      <c r="AC49" t="s">
        <v>455</v>
      </c>
      <c r="AD49" t="s">
        <v>456</v>
      </c>
      <c r="AE49">
        <v>0</v>
      </c>
      <c r="AF49" t="s">
        <v>1</v>
      </c>
      <c r="AG49" t="s">
        <v>1</v>
      </c>
      <c r="AH49" t="s">
        <v>457</v>
      </c>
      <c r="AI49" t="s">
        <v>435</v>
      </c>
      <c r="AJ49" t="s">
        <v>1</v>
      </c>
      <c r="AK49">
        <v>9321696919</v>
      </c>
      <c r="AL49" t="s">
        <v>1</v>
      </c>
      <c r="AM49" t="s">
        <v>1</v>
      </c>
      <c r="AN49">
        <v>0</v>
      </c>
      <c r="AO49" t="s">
        <v>457</v>
      </c>
      <c r="AP49" t="s">
        <v>1</v>
      </c>
      <c r="AQ49">
        <v>1</v>
      </c>
      <c r="AR49">
        <v>0</v>
      </c>
      <c r="AS49">
        <v>0</v>
      </c>
      <c r="AT49" t="s">
        <v>1</v>
      </c>
      <c r="AU49" t="s">
        <v>1</v>
      </c>
      <c r="AV49" t="s">
        <v>1</v>
      </c>
      <c r="AW49">
        <v>0</v>
      </c>
      <c r="AX49">
        <v>7100</v>
      </c>
      <c r="AY49">
        <v>5800</v>
      </c>
      <c r="AZ49">
        <v>0</v>
      </c>
      <c r="BA49">
        <v>0</v>
      </c>
      <c r="BB49" t="s">
        <v>1</v>
      </c>
      <c r="BC49" t="s">
        <v>442</v>
      </c>
      <c r="BD49" t="s">
        <v>377</v>
      </c>
      <c r="BE49" t="s">
        <v>1</v>
      </c>
      <c r="BF49" t="s">
        <v>1</v>
      </c>
      <c r="BG49" t="s">
        <v>1</v>
      </c>
      <c r="BH49">
        <v>0</v>
      </c>
      <c r="BI49">
        <v>0</v>
      </c>
      <c r="BJ49" t="s">
        <v>369</v>
      </c>
      <c r="BK49" t="s">
        <v>1</v>
      </c>
      <c r="BL49">
        <v>0</v>
      </c>
      <c r="BM49">
        <v>0</v>
      </c>
      <c r="BN49">
        <v>12900</v>
      </c>
      <c r="BO49">
        <v>0</v>
      </c>
      <c r="BP49">
        <v>0</v>
      </c>
      <c r="BQ49">
        <v>0</v>
      </c>
      <c r="BR49" t="s">
        <v>1</v>
      </c>
      <c r="BS49" t="s">
        <v>1</v>
      </c>
      <c r="BT49" t="s">
        <v>1</v>
      </c>
      <c r="BU49" t="s">
        <v>1</v>
      </c>
      <c r="BV49" t="s">
        <v>1</v>
      </c>
      <c r="BW49" t="s">
        <v>360</v>
      </c>
      <c r="BX49" t="s">
        <v>1</v>
      </c>
      <c r="BY49">
        <v>0</v>
      </c>
      <c r="BZ49">
        <v>0</v>
      </c>
      <c r="CA49">
        <v>0</v>
      </c>
      <c r="CB49">
        <v>0</v>
      </c>
      <c r="CD49" t="str" cm="1">
        <f t="array" aca="1" ref="CD49" ca="1">eConcatenar(A49:CB49,"|")</f>
        <v>cZul1hoG6q2mvUTQ|VSA2020-T-0054|3|MEMORIAL |TABASCO|VILLAHERMOSA |VILLAHERMOSA |2020-08-29|12900|X|X|200|1|0|X|X|X|X|X|X|X|X|X|X|X|X|0|GARCIA |CRUZ |VICTOR MANUEL |0|X|X|CALLE SANTA CRUZ |COLONIA BARRIO SABANILLA VILLA TAPIJULAPA|X|9321696919|X|X|0|CALLE SANTA CRUZ |X|1|0|0|X|X|X|0|7100|5800|0|0|X|2021-11-30|2021-07-12|X|X|X|0|0|QYD9TF2W9KVTQO|X|0|0|12900|0|0|0|X|X|X|X|X|VILLAHERMOSA |X|0|0|0|0</v>
      </c>
    </row>
    <row r="50" spans="1:82" x14ac:dyDescent="0.25">
      <c r="A50" t="s">
        <v>458</v>
      </c>
      <c r="B50" t="s">
        <v>459</v>
      </c>
      <c r="C50">
        <v>3</v>
      </c>
      <c r="D50" t="s">
        <v>146</v>
      </c>
      <c r="E50" t="s">
        <v>359</v>
      </c>
      <c r="F50" t="s">
        <v>360</v>
      </c>
      <c r="G50" t="s">
        <v>360</v>
      </c>
      <c r="H50" t="s">
        <v>413</v>
      </c>
      <c r="I50">
        <v>12900</v>
      </c>
      <c r="J50" t="s">
        <v>1</v>
      </c>
      <c r="K50" t="s">
        <v>1</v>
      </c>
      <c r="L50">
        <v>400</v>
      </c>
      <c r="M50">
        <v>2</v>
      </c>
      <c r="N50">
        <v>0</v>
      </c>
      <c r="O50" t="s">
        <v>1</v>
      </c>
      <c r="P50" t="s">
        <v>1</v>
      </c>
      <c r="Q50" t="s">
        <v>1</v>
      </c>
      <c r="R50" t="s">
        <v>1</v>
      </c>
      <c r="S50" t="s">
        <v>1</v>
      </c>
      <c r="T50" t="s">
        <v>1</v>
      </c>
      <c r="U50" t="s">
        <v>1</v>
      </c>
      <c r="V50" t="s">
        <v>1</v>
      </c>
      <c r="W50" t="s">
        <v>1</v>
      </c>
      <c r="X50" t="s">
        <v>1</v>
      </c>
      <c r="Y50" t="s">
        <v>1</v>
      </c>
      <c r="Z50" t="s">
        <v>1</v>
      </c>
      <c r="AA50">
        <v>0</v>
      </c>
      <c r="AB50" t="s">
        <v>15</v>
      </c>
      <c r="AC50" t="s">
        <v>191</v>
      </c>
      <c r="AD50" t="s">
        <v>460</v>
      </c>
      <c r="AE50">
        <v>0</v>
      </c>
      <c r="AF50" t="s">
        <v>1</v>
      </c>
      <c r="AG50" t="s">
        <v>1</v>
      </c>
      <c r="AH50" t="s">
        <v>461</v>
      </c>
      <c r="AI50" t="s">
        <v>435</v>
      </c>
      <c r="AJ50" t="s">
        <v>1</v>
      </c>
      <c r="AK50">
        <v>9321026628</v>
      </c>
      <c r="AL50" t="s">
        <v>1</v>
      </c>
      <c r="AM50" t="s">
        <v>1</v>
      </c>
      <c r="AN50">
        <v>0</v>
      </c>
      <c r="AO50" t="s">
        <v>461</v>
      </c>
      <c r="AP50" t="s">
        <v>1</v>
      </c>
      <c r="AQ50">
        <v>0</v>
      </c>
      <c r="AR50">
        <v>0</v>
      </c>
      <c r="AS50">
        <v>0</v>
      </c>
      <c r="AT50" t="s">
        <v>1</v>
      </c>
      <c r="AU50" t="s">
        <v>1</v>
      </c>
      <c r="AV50" t="s">
        <v>1</v>
      </c>
      <c r="AW50">
        <v>0</v>
      </c>
      <c r="AX50">
        <v>7400</v>
      </c>
      <c r="AY50">
        <v>5500</v>
      </c>
      <c r="AZ50">
        <v>0</v>
      </c>
      <c r="BA50">
        <v>0</v>
      </c>
      <c r="BB50" t="s">
        <v>1</v>
      </c>
      <c r="BC50" t="s">
        <v>462</v>
      </c>
      <c r="BD50" t="s">
        <v>377</v>
      </c>
      <c r="BE50" t="s">
        <v>1</v>
      </c>
      <c r="BF50" t="s">
        <v>1</v>
      </c>
      <c r="BG50" t="s">
        <v>1</v>
      </c>
      <c r="BH50">
        <v>0</v>
      </c>
      <c r="BI50">
        <v>0</v>
      </c>
      <c r="BJ50" t="s">
        <v>369</v>
      </c>
      <c r="BK50" t="s">
        <v>1</v>
      </c>
      <c r="BL50">
        <v>1</v>
      </c>
      <c r="BM50">
        <v>0</v>
      </c>
      <c r="BN50">
        <v>12900</v>
      </c>
      <c r="BO50">
        <v>0</v>
      </c>
      <c r="BP50">
        <v>0</v>
      </c>
      <c r="BQ50">
        <v>0</v>
      </c>
      <c r="BR50" t="s">
        <v>1</v>
      </c>
      <c r="BS50" t="s">
        <v>1</v>
      </c>
      <c r="BT50" t="s">
        <v>1</v>
      </c>
      <c r="BU50" t="s">
        <v>1</v>
      </c>
      <c r="BV50" t="s">
        <v>1</v>
      </c>
      <c r="BW50" t="s">
        <v>360</v>
      </c>
      <c r="BX50" t="s">
        <v>1</v>
      </c>
      <c r="BY50">
        <v>0</v>
      </c>
      <c r="BZ50">
        <v>0</v>
      </c>
      <c r="CA50">
        <v>0</v>
      </c>
      <c r="CB50">
        <v>0</v>
      </c>
      <c r="CD50" t="str" cm="1">
        <f t="array" aca="1" ref="CD50" ca="1">eConcatenar(A50:CB50,"|")</f>
        <v>GPiMch7OG6hDasqW|VSA2020-T-0052|3|MEMORIAL |TABASCO|VILLAHERMOSA |VILLAHERMOSA |2020-08-29|12900|X|X|400|2|0|X|X|X|X|X|X|X|X|X|X|X|X|0|PEREZ |MARTINEZ |ORALIA |0|X|X|CALLE NARCISO MENDOZA SIN NUMERO |COLONIA BARRIO SABANILLA VILLA TAPIJULAPA|X|9321026628|X|X|0|CALLE NARCISO MENDOZA SIN NUMERO |X|0|0|0|X|X|X|0|7400|5500|0|0|X|2021-09-11|2021-07-12|X|X|X|0|0|QYD9TF2W9KVTQO|X|1|0|12900|0|0|0|X|X|X|X|X|VILLAHERMOSA |X|0|0|0|0</v>
      </c>
    </row>
    <row r="51" spans="1:82" x14ac:dyDescent="0.25">
      <c r="A51" t="s">
        <v>463</v>
      </c>
      <c r="B51" t="s">
        <v>464</v>
      </c>
      <c r="C51">
        <v>3</v>
      </c>
      <c r="D51" t="s">
        <v>146</v>
      </c>
      <c r="E51" t="s">
        <v>359</v>
      </c>
      <c r="F51" t="s">
        <v>360</v>
      </c>
      <c r="G51" t="s">
        <v>360</v>
      </c>
      <c r="H51" t="s">
        <v>413</v>
      </c>
      <c r="I51">
        <v>12900</v>
      </c>
      <c r="J51" t="s">
        <v>1</v>
      </c>
      <c r="K51" t="s">
        <v>1</v>
      </c>
      <c r="L51">
        <v>200</v>
      </c>
      <c r="M51">
        <v>1</v>
      </c>
      <c r="N51">
        <v>0</v>
      </c>
      <c r="O51" t="s">
        <v>1</v>
      </c>
      <c r="P51" t="s">
        <v>1</v>
      </c>
      <c r="Q51" t="s">
        <v>1</v>
      </c>
      <c r="R51" t="s">
        <v>1</v>
      </c>
      <c r="S51" t="s">
        <v>1</v>
      </c>
      <c r="T51" t="s">
        <v>1</v>
      </c>
      <c r="U51" t="s">
        <v>1</v>
      </c>
      <c r="V51" t="s">
        <v>1</v>
      </c>
      <c r="W51" t="s">
        <v>1</v>
      </c>
      <c r="X51" t="s">
        <v>1</v>
      </c>
      <c r="Y51" t="s">
        <v>1</v>
      </c>
      <c r="Z51" t="s">
        <v>1</v>
      </c>
      <c r="AA51">
        <v>0</v>
      </c>
      <c r="AB51" t="s">
        <v>439</v>
      </c>
      <c r="AC51" t="s">
        <v>200</v>
      </c>
      <c r="AD51" t="s">
        <v>465</v>
      </c>
      <c r="AE51">
        <v>0</v>
      </c>
      <c r="AF51" t="s">
        <v>1</v>
      </c>
      <c r="AG51" t="s">
        <v>1</v>
      </c>
      <c r="AH51" t="s">
        <v>466</v>
      </c>
      <c r="AI51" t="s">
        <v>467</v>
      </c>
      <c r="AJ51" t="s">
        <v>1</v>
      </c>
      <c r="AK51">
        <v>9321189031</v>
      </c>
      <c r="AL51" t="s">
        <v>1</v>
      </c>
      <c r="AM51" t="s">
        <v>1</v>
      </c>
      <c r="AN51">
        <v>0</v>
      </c>
      <c r="AO51" t="s">
        <v>466</v>
      </c>
      <c r="AP51" t="s">
        <v>1</v>
      </c>
      <c r="AQ51">
        <v>1</v>
      </c>
      <c r="AR51">
        <v>0</v>
      </c>
      <c r="AS51">
        <v>0</v>
      </c>
      <c r="AT51" t="s">
        <v>1</v>
      </c>
      <c r="AU51" t="s">
        <v>1</v>
      </c>
      <c r="AV51" t="s">
        <v>1</v>
      </c>
      <c r="AW51">
        <v>0</v>
      </c>
      <c r="AX51">
        <v>5890</v>
      </c>
      <c r="AY51">
        <v>7010</v>
      </c>
      <c r="AZ51">
        <v>0</v>
      </c>
      <c r="BA51">
        <v>0</v>
      </c>
      <c r="BB51" t="s">
        <v>1</v>
      </c>
      <c r="BC51" t="s">
        <v>383</v>
      </c>
      <c r="BD51" t="s">
        <v>377</v>
      </c>
      <c r="BE51" t="s">
        <v>1</v>
      </c>
      <c r="BF51" t="s">
        <v>1</v>
      </c>
      <c r="BG51" t="s">
        <v>1</v>
      </c>
      <c r="BH51">
        <v>0</v>
      </c>
      <c r="BI51">
        <v>0</v>
      </c>
      <c r="BJ51" t="s">
        <v>369</v>
      </c>
      <c r="BK51" t="s">
        <v>1</v>
      </c>
      <c r="BL51">
        <v>1</v>
      </c>
      <c r="BM51">
        <v>0</v>
      </c>
      <c r="BN51">
        <v>12900</v>
      </c>
      <c r="BO51">
        <v>0</v>
      </c>
      <c r="BP51">
        <v>0</v>
      </c>
      <c r="BQ51">
        <v>0</v>
      </c>
      <c r="BR51" t="s">
        <v>1</v>
      </c>
      <c r="BS51" t="s">
        <v>1</v>
      </c>
      <c r="BT51" t="s">
        <v>1</v>
      </c>
      <c r="BU51" t="s">
        <v>1</v>
      </c>
      <c r="BV51" t="s">
        <v>1</v>
      </c>
      <c r="BW51" t="s">
        <v>360</v>
      </c>
      <c r="BX51" t="s">
        <v>1</v>
      </c>
      <c r="BY51">
        <v>0</v>
      </c>
      <c r="BZ51">
        <v>0</v>
      </c>
      <c r="CA51">
        <v>0</v>
      </c>
      <c r="CB51">
        <v>0</v>
      </c>
      <c r="CD51" t="str" cm="1">
        <f t="array" aca="1" ref="CD51" ca="1">eConcatenar(A51:CB51,"|")</f>
        <v>YbVO8QhmTIUTvYjp|VSA2020-T-0046|3|MEMORIAL |TABASCO|VILLAHERMOSA |VILLAHERMOSA |2020-08-29|12900|X|X|200|1|0|X|X|X|X|X|X|X|X|X|X|X|X|0|REYES |GONZALEZ |SUSANA DEL CARMEN |0|X|X|CALLE PRINCIPAL SIN NUMERO |EJIDO CABITA PRIMERA SECCION |X|9321189031|X|X|0|CALLE PRINCIPAL SIN NUMERO |X|1|0|0|X|X|X|0|5890|7010|0|0|X|2021-11-16|2021-07-12|X|X|X|0|0|QYD9TF2W9KVTQO|X|1|0|12900|0|0|0|X|X|X|X|X|VILLAHERMOSA |X|0|0|0|0</v>
      </c>
    </row>
    <row r="52" spans="1:82" x14ac:dyDescent="0.25">
      <c r="A52" t="s">
        <v>468</v>
      </c>
      <c r="B52" t="s">
        <v>469</v>
      </c>
      <c r="C52">
        <v>3</v>
      </c>
      <c r="D52" t="s">
        <v>146</v>
      </c>
      <c r="E52" t="s">
        <v>359</v>
      </c>
      <c r="F52" t="s">
        <v>360</v>
      </c>
      <c r="G52" t="s">
        <v>360</v>
      </c>
      <c r="H52" t="s">
        <v>470</v>
      </c>
      <c r="I52">
        <v>12900</v>
      </c>
      <c r="J52" t="s">
        <v>1</v>
      </c>
      <c r="K52" t="s">
        <v>1</v>
      </c>
      <c r="L52">
        <v>200</v>
      </c>
      <c r="M52">
        <v>1</v>
      </c>
      <c r="N52">
        <v>0</v>
      </c>
      <c r="O52" t="s">
        <v>1</v>
      </c>
      <c r="P52" t="s">
        <v>1</v>
      </c>
      <c r="Q52" t="s">
        <v>1</v>
      </c>
      <c r="R52" t="s">
        <v>1</v>
      </c>
      <c r="S52" t="s">
        <v>1</v>
      </c>
      <c r="T52" t="s">
        <v>1</v>
      </c>
      <c r="U52" t="s">
        <v>1</v>
      </c>
      <c r="V52" t="s">
        <v>1</v>
      </c>
      <c r="W52" t="s">
        <v>1</v>
      </c>
      <c r="X52" t="s">
        <v>1</v>
      </c>
      <c r="Y52" t="s">
        <v>1</v>
      </c>
      <c r="Z52" t="s">
        <v>1</v>
      </c>
      <c r="AA52">
        <v>0</v>
      </c>
      <c r="AB52" t="s">
        <v>471</v>
      </c>
      <c r="AC52" t="s">
        <v>472</v>
      </c>
      <c r="AD52" t="s">
        <v>473</v>
      </c>
      <c r="AE52">
        <v>0</v>
      </c>
      <c r="AF52" t="s">
        <v>1</v>
      </c>
      <c r="AG52" t="s">
        <v>1</v>
      </c>
      <c r="AH52" t="s">
        <v>474</v>
      </c>
      <c r="AI52" t="s">
        <v>475</v>
      </c>
      <c r="AJ52" t="s">
        <v>1</v>
      </c>
      <c r="AK52">
        <v>9321094345</v>
      </c>
      <c r="AL52" t="s">
        <v>1</v>
      </c>
      <c r="AM52" t="s">
        <v>1</v>
      </c>
      <c r="AN52">
        <v>0</v>
      </c>
      <c r="AO52" t="s">
        <v>474</v>
      </c>
      <c r="AP52" t="s">
        <v>1</v>
      </c>
      <c r="AQ52">
        <v>0</v>
      </c>
      <c r="AR52">
        <v>0</v>
      </c>
      <c r="AS52">
        <v>0</v>
      </c>
      <c r="AT52" t="s">
        <v>1</v>
      </c>
      <c r="AU52" t="s">
        <v>1</v>
      </c>
      <c r="AV52" t="s">
        <v>1</v>
      </c>
      <c r="AW52">
        <v>0</v>
      </c>
      <c r="AX52">
        <v>3990</v>
      </c>
      <c r="AY52">
        <v>8910</v>
      </c>
      <c r="AZ52">
        <v>0</v>
      </c>
      <c r="BA52">
        <v>0</v>
      </c>
      <c r="BB52" t="s">
        <v>1</v>
      </c>
      <c r="BC52" t="s">
        <v>476</v>
      </c>
      <c r="BD52" t="s">
        <v>368</v>
      </c>
      <c r="BE52" t="s">
        <v>1</v>
      </c>
      <c r="BF52" t="s">
        <v>1</v>
      </c>
      <c r="BG52" t="s">
        <v>1</v>
      </c>
      <c r="BH52">
        <v>0</v>
      </c>
      <c r="BI52">
        <v>0</v>
      </c>
      <c r="BJ52" t="s">
        <v>369</v>
      </c>
      <c r="BK52" t="s">
        <v>1</v>
      </c>
      <c r="BL52">
        <v>1</v>
      </c>
      <c r="BM52">
        <v>0</v>
      </c>
      <c r="BN52">
        <v>12900</v>
      </c>
      <c r="BO52">
        <v>0</v>
      </c>
      <c r="BP52">
        <v>0</v>
      </c>
      <c r="BQ52">
        <v>0</v>
      </c>
      <c r="BR52" t="s">
        <v>1</v>
      </c>
      <c r="BS52" t="s">
        <v>1</v>
      </c>
      <c r="BT52" t="s">
        <v>1</v>
      </c>
      <c r="BU52" t="s">
        <v>1</v>
      </c>
      <c r="BV52" t="s">
        <v>1</v>
      </c>
      <c r="BW52" t="s">
        <v>360</v>
      </c>
      <c r="BX52" t="s">
        <v>1</v>
      </c>
      <c r="BY52">
        <v>0</v>
      </c>
      <c r="BZ52">
        <v>0</v>
      </c>
      <c r="CA52">
        <v>0</v>
      </c>
      <c r="CB52">
        <v>0</v>
      </c>
      <c r="CD52" t="str" cm="1">
        <f t="array" aca="1" ref="CD52" ca="1">eConcatenar(A52:CB52,"|")</f>
        <v>JigvyeKRFWpsU6Ea|VSA2020-T-0043|3|MEMORIAL |TABASCO|VILLAHERMOSA |VILLAHERMOSA |2020-08-26|12900|X|X|200|1|0|X|X|X|X|X|X|X|X|X|X|X|X|0|CORREA |PALOMEQUE |FIDELINA |0|X|X|CALLE SIN NUMERO |EJIDO SANTA ROSA PRIMERA SECCION |X|9321094345|X|X|0|CALLE SIN NUMERO |X|0|0|0|X|X|X|0|3990|8910|0|0|X|2021-11-22|2021-06-12|X|X|X|0|0|QYD9TF2W9KVTQO|X|1|0|12900|0|0|0|X|X|X|X|X|VILLAHERMOSA |X|0|0|0|0</v>
      </c>
    </row>
    <row r="53" spans="1:82" x14ac:dyDescent="0.25">
      <c r="A53" t="s">
        <v>477</v>
      </c>
      <c r="B53" t="s">
        <v>478</v>
      </c>
      <c r="C53">
        <v>3</v>
      </c>
      <c r="D53" t="s">
        <v>146</v>
      </c>
      <c r="E53" t="s">
        <v>359</v>
      </c>
      <c r="F53" t="s">
        <v>360</v>
      </c>
      <c r="G53" t="s">
        <v>360</v>
      </c>
      <c r="H53" t="s">
        <v>470</v>
      </c>
      <c r="I53">
        <v>12900</v>
      </c>
      <c r="J53" t="s">
        <v>1</v>
      </c>
      <c r="K53" t="s">
        <v>1</v>
      </c>
      <c r="L53">
        <v>200</v>
      </c>
      <c r="M53">
        <v>1</v>
      </c>
      <c r="N53">
        <v>0</v>
      </c>
      <c r="O53" t="s">
        <v>1</v>
      </c>
      <c r="P53" t="s">
        <v>1</v>
      </c>
      <c r="Q53" t="s">
        <v>1</v>
      </c>
      <c r="R53" t="s">
        <v>1</v>
      </c>
      <c r="S53" t="s">
        <v>1</v>
      </c>
      <c r="T53" t="s">
        <v>1</v>
      </c>
      <c r="U53" t="s">
        <v>1</v>
      </c>
      <c r="V53" t="s">
        <v>1</v>
      </c>
      <c r="W53" t="s">
        <v>1</v>
      </c>
      <c r="X53" t="s">
        <v>1</v>
      </c>
      <c r="Y53" t="s">
        <v>1</v>
      </c>
      <c r="Z53" t="s">
        <v>1</v>
      </c>
      <c r="AA53">
        <v>0</v>
      </c>
      <c r="AB53" t="s">
        <v>472</v>
      </c>
      <c r="AC53" t="s">
        <v>479</v>
      </c>
      <c r="AD53" t="s">
        <v>480</v>
      </c>
      <c r="AE53">
        <v>0</v>
      </c>
      <c r="AF53" t="s">
        <v>1</v>
      </c>
      <c r="AG53" t="s">
        <v>1</v>
      </c>
      <c r="AH53" t="s">
        <v>397</v>
      </c>
      <c r="AI53" t="s">
        <v>481</v>
      </c>
      <c r="AJ53" t="s">
        <v>1</v>
      </c>
      <c r="AK53">
        <v>9931098570</v>
      </c>
      <c r="AL53" t="s">
        <v>1</v>
      </c>
      <c r="AM53" t="s">
        <v>1</v>
      </c>
      <c r="AN53">
        <v>0</v>
      </c>
      <c r="AO53" t="s">
        <v>397</v>
      </c>
      <c r="AP53" t="s">
        <v>1</v>
      </c>
      <c r="AQ53">
        <v>1</v>
      </c>
      <c r="AR53">
        <v>0</v>
      </c>
      <c r="AS53">
        <v>0</v>
      </c>
      <c r="AT53" t="s">
        <v>1</v>
      </c>
      <c r="AU53" t="s">
        <v>1</v>
      </c>
      <c r="AV53" t="s">
        <v>1</v>
      </c>
      <c r="AW53">
        <v>0</v>
      </c>
      <c r="AX53">
        <v>7700</v>
      </c>
      <c r="AY53">
        <v>5200</v>
      </c>
      <c r="AZ53">
        <v>0</v>
      </c>
      <c r="BA53">
        <v>0</v>
      </c>
      <c r="BB53" t="s">
        <v>1</v>
      </c>
      <c r="BC53" t="s">
        <v>442</v>
      </c>
      <c r="BD53" t="s">
        <v>377</v>
      </c>
      <c r="BE53" t="s">
        <v>1</v>
      </c>
      <c r="BF53" t="s">
        <v>1</v>
      </c>
      <c r="BG53" t="s">
        <v>1</v>
      </c>
      <c r="BH53">
        <v>0</v>
      </c>
      <c r="BI53">
        <v>0</v>
      </c>
      <c r="BJ53" t="s">
        <v>369</v>
      </c>
      <c r="BK53" t="s">
        <v>1</v>
      </c>
      <c r="BL53">
        <v>1</v>
      </c>
      <c r="BM53">
        <v>0</v>
      </c>
      <c r="BN53">
        <v>12900</v>
      </c>
      <c r="BO53">
        <v>0</v>
      </c>
      <c r="BP53">
        <v>0</v>
      </c>
      <c r="BQ53">
        <v>0</v>
      </c>
      <c r="BR53" t="s">
        <v>1</v>
      </c>
      <c r="BS53" t="s">
        <v>1</v>
      </c>
      <c r="BT53" t="s">
        <v>1</v>
      </c>
      <c r="BU53" t="s">
        <v>1</v>
      </c>
      <c r="BV53" t="s">
        <v>1</v>
      </c>
      <c r="BW53" t="s">
        <v>360</v>
      </c>
      <c r="BX53" t="s">
        <v>1</v>
      </c>
      <c r="BY53">
        <v>0</v>
      </c>
      <c r="BZ53">
        <v>0</v>
      </c>
      <c r="CA53">
        <v>0</v>
      </c>
      <c r="CB53">
        <v>0</v>
      </c>
      <c r="CD53" t="str" cm="1">
        <f t="array" aca="1" ref="CD53" ca="1">eConcatenar(A53:CB53,"|")</f>
        <v>SDNI9IlgcFhT98LI|VSA2020-T-0042|3|MEMORIAL |TABASCO|VILLAHERMOSA |VILLAHERMOSA |2020-08-26|12900|X|X|200|1|0|X|X|X|X|X|X|X|X|X|X|X|X|0|PALOMEQUE |SANCHEZ |IRMA |0|X|X|CALLE SIN NOMBRE |EJIDO SANTA ROSALIA PRIMERA SECCION |X|9931098570|X|X|0|CALLE SIN NOMBRE |X|1|0|0|X|X|X|0|7700|5200|0|0|X|2021-11-30|2021-07-12|X|X|X|0|0|QYD9TF2W9KVTQO|X|1|0|12900|0|0|0|X|X|X|X|X|VILLAHERMOSA |X|0|0|0|0</v>
      </c>
    </row>
    <row r="54" spans="1:82" x14ac:dyDescent="0.25">
      <c r="A54" t="s">
        <v>482</v>
      </c>
      <c r="B54" t="s">
        <v>483</v>
      </c>
      <c r="C54">
        <v>3</v>
      </c>
      <c r="D54" t="s">
        <v>14</v>
      </c>
      <c r="E54" t="s">
        <v>359</v>
      </c>
      <c r="F54" t="s">
        <v>360</v>
      </c>
      <c r="G54" t="s">
        <v>360</v>
      </c>
      <c r="H54" t="s">
        <v>484</v>
      </c>
      <c r="I54">
        <v>12900</v>
      </c>
      <c r="J54" t="s">
        <v>1</v>
      </c>
      <c r="K54" t="s">
        <v>1</v>
      </c>
      <c r="L54">
        <v>100</v>
      </c>
      <c r="M54">
        <v>0</v>
      </c>
      <c r="N54">
        <v>0</v>
      </c>
      <c r="O54" t="s">
        <v>1</v>
      </c>
      <c r="P54" t="s">
        <v>1</v>
      </c>
      <c r="Q54" t="s">
        <v>1</v>
      </c>
      <c r="R54" t="s">
        <v>1</v>
      </c>
      <c r="S54" t="s">
        <v>1</v>
      </c>
      <c r="T54" t="s">
        <v>1</v>
      </c>
      <c r="U54" t="s">
        <v>1</v>
      </c>
      <c r="V54" t="s">
        <v>1</v>
      </c>
      <c r="W54" t="s">
        <v>1</v>
      </c>
      <c r="X54" t="s">
        <v>1</v>
      </c>
      <c r="Y54" t="s">
        <v>1</v>
      </c>
      <c r="Z54" t="s">
        <v>1</v>
      </c>
      <c r="AA54">
        <v>0</v>
      </c>
      <c r="AB54" t="s">
        <v>485</v>
      </c>
      <c r="AC54" t="s">
        <v>15</v>
      </c>
      <c r="AD54" t="s">
        <v>486</v>
      </c>
      <c r="AE54">
        <v>0</v>
      </c>
      <c r="AF54" t="s">
        <v>1</v>
      </c>
      <c r="AG54" t="s">
        <v>1</v>
      </c>
      <c r="AH54" t="s">
        <v>487</v>
      </c>
      <c r="AI54" t="s">
        <v>488</v>
      </c>
      <c r="AJ54" t="s">
        <v>1</v>
      </c>
      <c r="AK54">
        <v>9321228905</v>
      </c>
      <c r="AL54" t="s">
        <v>1</v>
      </c>
      <c r="AM54" t="s">
        <v>1</v>
      </c>
      <c r="AN54">
        <v>0</v>
      </c>
      <c r="AO54" t="s">
        <v>487</v>
      </c>
      <c r="AP54" t="s">
        <v>1</v>
      </c>
      <c r="AQ54">
        <v>1</v>
      </c>
      <c r="AR54">
        <v>0</v>
      </c>
      <c r="AS54">
        <v>0</v>
      </c>
      <c r="AT54" t="s">
        <v>1</v>
      </c>
      <c r="AU54" t="s">
        <v>1</v>
      </c>
      <c r="AV54" t="s">
        <v>1</v>
      </c>
      <c r="AW54">
        <v>0</v>
      </c>
      <c r="AX54">
        <v>7000</v>
      </c>
      <c r="AY54">
        <v>5900</v>
      </c>
      <c r="AZ54">
        <v>0</v>
      </c>
      <c r="BA54">
        <v>0</v>
      </c>
      <c r="BB54" t="s">
        <v>1</v>
      </c>
      <c r="BC54" t="s">
        <v>442</v>
      </c>
      <c r="BD54" t="s">
        <v>377</v>
      </c>
      <c r="BE54" t="s">
        <v>1</v>
      </c>
      <c r="BF54" t="s">
        <v>1</v>
      </c>
      <c r="BG54" t="s">
        <v>1</v>
      </c>
      <c r="BH54">
        <v>0</v>
      </c>
      <c r="BI54">
        <v>0</v>
      </c>
      <c r="BJ54" t="s">
        <v>369</v>
      </c>
      <c r="BK54" t="s">
        <v>1</v>
      </c>
      <c r="BL54">
        <v>0</v>
      </c>
      <c r="BM54">
        <v>0</v>
      </c>
      <c r="BN54">
        <v>12900</v>
      </c>
      <c r="BO54">
        <v>0</v>
      </c>
      <c r="BP54">
        <v>0</v>
      </c>
      <c r="BQ54">
        <v>0</v>
      </c>
      <c r="BR54" t="s">
        <v>1</v>
      </c>
      <c r="BS54" t="s">
        <v>1</v>
      </c>
      <c r="BT54" t="s">
        <v>1</v>
      </c>
      <c r="BU54" t="s">
        <v>1</v>
      </c>
      <c r="BV54" t="s">
        <v>1</v>
      </c>
      <c r="BW54" t="s">
        <v>360</v>
      </c>
      <c r="BX54" t="s">
        <v>1</v>
      </c>
      <c r="BY54">
        <v>0</v>
      </c>
      <c r="BZ54">
        <v>0</v>
      </c>
      <c r="CA54">
        <v>0</v>
      </c>
      <c r="CB54">
        <v>0</v>
      </c>
      <c r="CD54" t="str" cm="1">
        <f t="array" aca="1" ref="CD54" ca="1">eConcatenar(A54:CB54,"|")</f>
        <v>2qfpJRxRbIJAgEwq|VSA2020-T-0039|3|ECONOLINE |TABASCO|VILLAHERMOSA |VILLAHERMOSA |2020-08-22|12900|X|X|100|0|0|X|X|X|X|X|X|X|X|X|X|X|X|0|CALCANEO |PEREZ |JOEL |0|X|X|CALLE GRACIELA PINTADO DE MADRAZO |FRACCIONAMIENTO ORO VERDE |X|9321228905|X|X|0|CALLE GRACIELA PINTADO DE MADRAZO |X|1|0|0|X|X|X|0|7000|5900|0|0|X|2021-11-30|2021-07-12|X|X|X|0|0|QYD9TF2W9KVTQO|X|0|0|12900|0|0|0|X|X|X|X|X|VILLAHERMOSA |X|0|0|0|0</v>
      </c>
    </row>
    <row r="55" spans="1:82" x14ac:dyDescent="0.25">
      <c r="A55" t="s">
        <v>489</v>
      </c>
      <c r="B55" t="s">
        <v>490</v>
      </c>
      <c r="C55">
        <v>3</v>
      </c>
      <c r="D55" t="s">
        <v>14</v>
      </c>
      <c r="E55" t="s">
        <v>359</v>
      </c>
      <c r="F55" t="s">
        <v>360</v>
      </c>
      <c r="G55" t="s">
        <v>360</v>
      </c>
      <c r="H55" t="s">
        <v>361</v>
      </c>
      <c r="I55">
        <v>12900</v>
      </c>
      <c r="J55" t="s">
        <v>1</v>
      </c>
      <c r="K55" t="s">
        <v>1</v>
      </c>
      <c r="L55">
        <v>100</v>
      </c>
      <c r="M55">
        <v>0</v>
      </c>
      <c r="N55">
        <v>0</v>
      </c>
      <c r="O55" t="s">
        <v>1</v>
      </c>
      <c r="P55" t="s">
        <v>1</v>
      </c>
      <c r="Q55" t="s">
        <v>1</v>
      </c>
      <c r="R55" t="s">
        <v>1</v>
      </c>
      <c r="S55" t="s">
        <v>1</v>
      </c>
      <c r="T55" t="s">
        <v>1</v>
      </c>
      <c r="U55" t="s">
        <v>1</v>
      </c>
      <c r="V55" t="s">
        <v>1</v>
      </c>
      <c r="W55" t="s">
        <v>1</v>
      </c>
      <c r="X55" t="s">
        <v>1</v>
      </c>
      <c r="Y55" t="s">
        <v>1</v>
      </c>
      <c r="Z55" t="s">
        <v>1</v>
      </c>
      <c r="AA55">
        <v>0</v>
      </c>
      <c r="AB55" t="s">
        <v>439</v>
      </c>
      <c r="AC55" t="s">
        <v>381</v>
      </c>
      <c r="AD55" t="s">
        <v>491</v>
      </c>
      <c r="AE55">
        <v>0</v>
      </c>
      <c r="AF55" t="s">
        <v>1</v>
      </c>
      <c r="AG55" t="s">
        <v>1</v>
      </c>
      <c r="AH55" t="s">
        <v>492</v>
      </c>
      <c r="AI55" t="s">
        <v>366</v>
      </c>
      <c r="AJ55" t="s">
        <v>1</v>
      </c>
      <c r="AK55">
        <v>9321120257</v>
      </c>
      <c r="AL55" t="s">
        <v>1</v>
      </c>
      <c r="AM55" t="s">
        <v>1</v>
      </c>
      <c r="AN55">
        <v>0</v>
      </c>
      <c r="AO55" t="s">
        <v>492</v>
      </c>
      <c r="AP55" t="s">
        <v>1</v>
      </c>
      <c r="AQ55">
        <v>0</v>
      </c>
      <c r="AR55">
        <v>0</v>
      </c>
      <c r="AS55">
        <v>0</v>
      </c>
      <c r="AT55" t="s">
        <v>1</v>
      </c>
      <c r="AU55" t="s">
        <v>1</v>
      </c>
      <c r="AV55" t="s">
        <v>1</v>
      </c>
      <c r="AW55">
        <v>0</v>
      </c>
      <c r="AX55">
        <v>8200</v>
      </c>
      <c r="AY55">
        <v>4700</v>
      </c>
      <c r="AZ55">
        <v>0</v>
      </c>
      <c r="BA55">
        <v>0</v>
      </c>
      <c r="BB55" t="s">
        <v>1</v>
      </c>
      <c r="BC55" t="s">
        <v>423</v>
      </c>
      <c r="BD55" t="s">
        <v>368</v>
      </c>
      <c r="BE55" t="s">
        <v>1</v>
      </c>
      <c r="BF55" t="s">
        <v>1</v>
      </c>
      <c r="BG55" t="s">
        <v>1</v>
      </c>
      <c r="BH55">
        <v>0</v>
      </c>
      <c r="BI55">
        <v>0</v>
      </c>
      <c r="BJ55" t="s">
        <v>369</v>
      </c>
      <c r="BK55" t="s">
        <v>1</v>
      </c>
      <c r="BL55">
        <v>0</v>
      </c>
      <c r="BM55">
        <v>0</v>
      </c>
      <c r="BN55">
        <v>12900</v>
      </c>
      <c r="BO55">
        <v>0</v>
      </c>
      <c r="BP55">
        <v>0</v>
      </c>
      <c r="BQ55">
        <v>0</v>
      </c>
      <c r="BR55" t="s">
        <v>1</v>
      </c>
      <c r="BS55" t="s">
        <v>1</v>
      </c>
      <c r="BT55" t="s">
        <v>1</v>
      </c>
      <c r="BU55" t="s">
        <v>1</v>
      </c>
      <c r="BV55" t="s">
        <v>1</v>
      </c>
      <c r="BW55" t="s">
        <v>360</v>
      </c>
      <c r="BX55" t="s">
        <v>1</v>
      </c>
      <c r="BY55">
        <v>0</v>
      </c>
      <c r="BZ55">
        <v>0</v>
      </c>
      <c r="CA55">
        <v>0</v>
      </c>
      <c r="CB55">
        <v>0</v>
      </c>
      <c r="CD55" t="str" cm="1">
        <f t="array" aca="1" ref="CD55" ca="1">eConcatenar(A55:CB55,"|")</f>
        <v>g58ZP51HXuwKsVWO|VSA2020-T-0036|3|ECONOLINE |TABASCO|VILLAHERMOSA |VILLAHERMOSA |2020-08-21|12900|X|X|100|0|0|X|X|X|X|X|X|X|X|X|X|X|X|0|REYES |CARRILLO |JOSE GUADALUPE |0|X|X|CALLE EUSEBIO CASTILLO |COLONIA CENTRO |X|9321120257|X|X|0|CALLE EUSEBIO CASTILLO |X|0|0|0|X|X|X|0|8200|4700|0|0|X|2021-11-29|2021-06-12|X|X|X|0|0|QYD9TF2W9KVTQO|X|0|0|12900|0|0|0|X|X|X|X|X|VILLAHERMOSA |X|0|0|0|0</v>
      </c>
    </row>
    <row r="56" spans="1:82" x14ac:dyDescent="0.25">
      <c r="A56" t="s">
        <v>493</v>
      </c>
      <c r="B56" t="s">
        <v>494</v>
      </c>
      <c r="C56">
        <v>3</v>
      </c>
      <c r="D56" t="s">
        <v>14</v>
      </c>
      <c r="E56" t="s">
        <v>359</v>
      </c>
      <c r="F56" t="s">
        <v>360</v>
      </c>
      <c r="G56" t="s">
        <v>360</v>
      </c>
      <c r="H56" t="s">
        <v>495</v>
      </c>
      <c r="I56">
        <v>12900</v>
      </c>
      <c r="J56" t="s">
        <v>1</v>
      </c>
      <c r="K56" t="s">
        <v>1</v>
      </c>
      <c r="L56">
        <v>100</v>
      </c>
      <c r="M56">
        <v>0</v>
      </c>
      <c r="N56">
        <v>0</v>
      </c>
      <c r="O56" t="s">
        <v>1</v>
      </c>
      <c r="P56" t="s">
        <v>1</v>
      </c>
      <c r="Q56" t="s">
        <v>1</v>
      </c>
      <c r="R56" t="s">
        <v>1</v>
      </c>
      <c r="S56" t="s">
        <v>1</v>
      </c>
      <c r="T56" t="s">
        <v>1</v>
      </c>
      <c r="U56" t="s">
        <v>1</v>
      </c>
      <c r="V56" t="s">
        <v>1</v>
      </c>
      <c r="W56" t="s">
        <v>1</v>
      </c>
      <c r="X56" t="s">
        <v>1</v>
      </c>
      <c r="Y56" t="s">
        <v>1</v>
      </c>
      <c r="Z56" t="s">
        <v>1</v>
      </c>
      <c r="AA56">
        <v>0</v>
      </c>
      <c r="AB56" t="s">
        <v>428</v>
      </c>
      <c r="AC56" t="s">
        <v>439</v>
      </c>
      <c r="AD56" t="s">
        <v>496</v>
      </c>
      <c r="AE56">
        <v>0</v>
      </c>
      <c r="AF56" t="s">
        <v>1</v>
      </c>
      <c r="AG56" t="s">
        <v>1</v>
      </c>
      <c r="AH56" t="s">
        <v>397</v>
      </c>
      <c r="AI56" t="s">
        <v>497</v>
      </c>
      <c r="AJ56" t="s">
        <v>1</v>
      </c>
      <c r="AK56">
        <v>9321089291</v>
      </c>
      <c r="AL56" t="s">
        <v>1</v>
      </c>
      <c r="AM56" t="s">
        <v>1</v>
      </c>
      <c r="AN56">
        <v>0</v>
      </c>
      <c r="AO56" t="s">
        <v>397</v>
      </c>
      <c r="AP56" t="s">
        <v>1</v>
      </c>
      <c r="AQ56">
        <v>0</v>
      </c>
      <c r="AR56">
        <v>0</v>
      </c>
      <c r="AS56">
        <v>0</v>
      </c>
      <c r="AT56" t="s">
        <v>1</v>
      </c>
      <c r="AU56" t="s">
        <v>1</v>
      </c>
      <c r="AV56" t="s">
        <v>1</v>
      </c>
      <c r="AW56">
        <v>0</v>
      </c>
      <c r="AX56">
        <v>3890</v>
      </c>
      <c r="AY56">
        <v>9010</v>
      </c>
      <c r="AZ56">
        <v>0</v>
      </c>
      <c r="BA56">
        <v>0</v>
      </c>
      <c r="BB56" t="s">
        <v>1</v>
      </c>
      <c r="BC56" t="s">
        <v>498</v>
      </c>
      <c r="BD56" t="s">
        <v>368</v>
      </c>
      <c r="BE56" t="s">
        <v>1</v>
      </c>
      <c r="BF56" t="s">
        <v>1</v>
      </c>
      <c r="BG56" t="s">
        <v>1</v>
      </c>
      <c r="BH56">
        <v>0</v>
      </c>
      <c r="BI56">
        <v>0</v>
      </c>
      <c r="BJ56" t="s">
        <v>369</v>
      </c>
      <c r="BK56" t="s">
        <v>1</v>
      </c>
      <c r="BL56">
        <v>1</v>
      </c>
      <c r="BM56">
        <v>0</v>
      </c>
      <c r="BN56">
        <v>12900</v>
      </c>
      <c r="BO56">
        <v>0</v>
      </c>
      <c r="BP56">
        <v>0</v>
      </c>
      <c r="BQ56">
        <v>0</v>
      </c>
      <c r="BR56" t="s">
        <v>1</v>
      </c>
      <c r="BS56" t="s">
        <v>1</v>
      </c>
      <c r="BT56" t="s">
        <v>1</v>
      </c>
      <c r="BU56" t="s">
        <v>1</v>
      </c>
      <c r="BV56" t="s">
        <v>1</v>
      </c>
      <c r="BW56" t="s">
        <v>360</v>
      </c>
      <c r="BX56" t="s">
        <v>1</v>
      </c>
      <c r="BY56">
        <v>0</v>
      </c>
      <c r="BZ56">
        <v>0</v>
      </c>
      <c r="CA56">
        <v>0</v>
      </c>
      <c r="CB56">
        <v>0</v>
      </c>
      <c r="CD56" t="str" cm="1">
        <f t="array" aca="1" ref="CD56" ca="1">eConcatenar(A56:CB56,"|")</f>
        <v>99sUhW92KCQwlhJ2|VSA2020-T-0045|3|ECONOLINE |TABASCO|VILLAHERMOSA |VILLAHERMOSA |2020-08-27|12900|X|X|100|0|0|X|X|X|X|X|X|X|X|X|X|X|X|0|GOMEZ |REYES |SANDRA |0|X|X|CALLE SIN NOMBRE |EJIDO CEIBITA PRIMERA SECCION |X|9321089291|X|X|0|CALLE SIN NOMBRE |X|0|0|0|X|X|X|0|3890|9010|0|0|X|2021-07-09|2021-06-12|X|X|X|0|0|QYD9TF2W9KVTQO|X|1|0|12900|0|0|0|X|X|X|X|X|VILLAHERMOSA |X|0|0|0|0</v>
      </c>
    </row>
    <row r="57" spans="1:82" x14ac:dyDescent="0.25">
      <c r="A57" t="s">
        <v>499</v>
      </c>
      <c r="B57" t="s">
        <v>500</v>
      </c>
      <c r="C57">
        <v>3</v>
      </c>
      <c r="D57" t="s">
        <v>121</v>
      </c>
      <c r="E57" t="s">
        <v>359</v>
      </c>
      <c r="F57" t="s">
        <v>360</v>
      </c>
      <c r="G57" t="s">
        <v>360</v>
      </c>
      <c r="H57" t="s">
        <v>501</v>
      </c>
      <c r="I57">
        <v>12900</v>
      </c>
      <c r="J57" t="s">
        <v>1</v>
      </c>
      <c r="K57" t="s">
        <v>1</v>
      </c>
      <c r="L57">
        <v>100</v>
      </c>
      <c r="M57">
        <v>0</v>
      </c>
      <c r="N57">
        <v>0</v>
      </c>
      <c r="O57" t="s">
        <v>1</v>
      </c>
      <c r="P57" t="s">
        <v>1</v>
      </c>
      <c r="Q57" t="s">
        <v>1</v>
      </c>
      <c r="R57" t="s">
        <v>1</v>
      </c>
      <c r="S57" t="s">
        <v>1</v>
      </c>
      <c r="T57" t="s">
        <v>1</v>
      </c>
      <c r="U57" t="s">
        <v>1</v>
      </c>
      <c r="V57" t="s">
        <v>1</v>
      </c>
      <c r="W57" t="s">
        <v>1</v>
      </c>
      <c r="X57" t="s">
        <v>1</v>
      </c>
      <c r="Y57" t="s">
        <v>1</v>
      </c>
      <c r="Z57" t="s">
        <v>1</v>
      </c>
      <c r="AA57">
        <v>0</v>
      </c>
      <c r="AB57" t="s">
        <v>191</v>
      </c>
      <c r="AC57" t="s">
        <v>502</v>
      </c>
      <c r="AD57" t="s">
        <v>503</v>
      </c>
      <c r="AE57">
        <v>0</v>
      </c>
      <c r="AF57" t="s">
        <v>1</v>
      </c>
      <c r="AG57" t="s">
        <v>1</v>
      </c>
      <c r="AH57" t="s">
        <v>504</v>
      </c>
      <c r="AI57" t="s">
        <v>505</v>
      </c>
      <c r="AJ57" t="s">
        <v>1</v>
      </c>
      <c r="AK57">
        <v>9321192486</v>
      </c>
      <c r="AL57" t="s">
        <v>1</v>
      </c>
      <c r="AM57" t="s">
        <v>1</v>
      </c>
      <c r="AN57">
        <v>0</v>
      </c>
      <c r="AO57" t="s">
        <v>504</v>
      </c>
      <c r="AP57" t="s">
        <v>1</v>
      </c>
      <c r="AQ57">
        <v>1</v>
      </c>
      <c r="AR57">
        <v>0</v>
      </c>
      <c r="AS57">
        <v>0</v>
      </c>
      <c r="AT57" t="s">
        <v>1</v>
      </c>
      <c r="AU57" t="s">
        <v>1</v>
      </c>
      <c r="AV57" t="s">
        <v>1</v>
      </c>
      <c r="AW57">
        <v>0</v>
      </c>
      <c r="AX57">
        <v>4900</v>
      </c>
      <c r="AY57">
        <v>8000</v>
      </c>
      <c r="AZ57">
        <v>0</v>
      </c>
      <c r="BA57">
        <v>0</v>
      </c>
      <c r="BB57" t="s">
        <v>1</v>
      </c>
      <c r="BC57" t="s">
        <v>423</v>
      </c>
      <c r="BD57" t="s">
        <v>368</v>
      </c>
      <c r="BE57" t="s">
        <v>1</v>
      </c>
      <c r="BF57" t="s">
        <v>1</v>
      </c>
      <c r="BG57" t="s">
        <v>1</v>
      </c>
      <c r="BH57">
        <v>0</v>
      </c>
      <c r="BI57">
        <v>0</v>
      </c>
      <c r="BJ57" t="s">
        <v>369</v>
      </c>
      <c r="BK57" t="s">
        <v>1</v>
      </c>
      <c r="BL57">
        <v>0</v>
      </c>
      <c r="BM57">
        <v>0</v>
      </c>
      <c r="BN57">
        <v>12900</v>
      </c>
      <c r="BO57">
        <v>0</v>
      </c>
      <c r="BP57">
        <v>0</v>
      </c>
      <c r="BQ57">
        <v>0</v>
      </c>
      <c r="BR57" t="s">
        <v>1</v>
      </c>
      <c r="BS57" t="s">
        <v>1</v>
      </c>
      <c r="BT57" t="s">
        <v>1</v>
      </c>
      <c r="BU57" t="s">
        <v>1</v>
      </c>
      <c r="BV57" t="s">
        <v>1</v>
      </c>
      <c r="BW57" t="s">
        <v>360</v>
      </c>
      <c r="BX57" t="s">
        <v>1</v>
      </c>
      <c r="BY57">
        <v>0</v>
      </c>
      <c r="BZ57">
        <v>0</v>
      </c>
      <c r="CA57">
        <v>0</v>
      </c>
      <c r="CB57">
        <v>0</v>
      </c>
      <c r="CD57" t="str" cm="1">
        <f t="array" aca="1" ref="CD57" ca="1">eConcatenar(A57:CB57,"|")</f>
        <v>Nfnsxx6bgCEBlGSh|VSA2020-T-0174|3|IMPERIAL DE LUJO |TABASCO|VILLAHERMOSA |VILLAHERMOSA |2020-09-12|12900|X|X|100|0|0|X|X|X|X|X|X|X|X|X|X|X|X|0|MARTINEZ |COELLO |JESUS|0|X|X|CARRETERA OXOLOTAN |BARRIO SABANILLA|X|9321192486|X|X|0|CARRETERA OXOLOTAN |X|1|0|0|X|X|X|0|4900|8000|0|0|X|2021-11-29|2021-06-12|X|X|X|0|0|QYD9TF2W9KVTQO|X|0|0|12900|0|0|0|X|X|X|X|X|VILLAHERMOSA |X|0|0|0|0</v>
      </c>
    </row>
    <row r="58" spans="1:82" x14ac:dyDescent="0.25">
      <c r="A58" t="s">
        <v>506</v>
      </c>
      <c r="B58" t="s">
        <v>507</v>
      </c>
      <c r="C58">
        <v>3</v>
      </c>
      <c r="D58" t="s">
        <v>121</v>
      </c>
      <c r="E58" t="s">
        <v>359</v>
      </c>
      <c r="F58" t="s">
        <v>360</v>
      </c>
      <c r="G58" t="s">
        <v>360</v>
      </c>
      <c r="H58" t="s">
        <v>508</v>
      </c>
      <c r="I58">
        <v>12900</v>
      </c>
      <c r="J58" t="s">
        <v>1</v>
      </c>
      <c r="K58" t="s">
        <v>1</v>
      </c>
      <c r="L58">
        <v>200</v>
      </c>
      <c r="M58">
        <v>1</v>
      </c>
      <c r="N58">
        <v>0</v>
      </c>
      <c r="O58" t="s">
        <v>1</v>
      </c>
      <c r="P58" t="s">
        <v>1</v>
      </c>
      <c r="Q58" t="s">
        <v>1</v>
      </c>
      <c r="R58" t="s">
        <v>1</v>
      </c>
      <c r="S58" t="s">
        <v>1</v>
      </c>
      <c r="T58" t="s">
        <v>1</v>
      </c>
      <c r="U58" t="s">
        <v>1</v>
      </c>
      <c r="V58" t="s">
        <v>1</v>
      </c>
      <c r="W58" t="s">
        <v>1</v>
      </c>
      <c r="X58" t="s">
        <v>1</v>
      </c>
      <c r="Y58" t="s">
        <v>1</v>
      </c>
      <c r="Z58" t="s">
        <v>1</v>
      </c>
      <c r="AA58">
        <v>0</v>
      </c>
      <c r="AB58" t="s">
        <v>479</v>
      </c>
      <c r="AC58" t="s">
        <v>15</v>
      </c>
      <c r="AD58" t="s">
        <v>509</v>
      </c>
      <c r="AE58">
        <v>0</v>
      </c>
      <c r="AF58" t="s">
        <v>1</v>
      </c>
      <c r="AG58" t="s">
        <v>1</v>
      </c>
      <c r="AH58" t="s">
        <v>510</v>
      </c>
      <c r="AI58" t="s">
        <v>511</v>
      </c>
      <c r="AJ58" t="s">
        <v>1</v>
      </c>
      <c r="AK58">
        <v>9321000910</v>
      </c>
      <c r="AL58" t="s">
        <v>512</v>
      </c>
      <c r="AM58" t="s">
        <v>513</v>
      </c>
      <c r="AN58">
        <v>0</v>
      </c>
      <c r="AO58" t="s">
        <v>510</v>
      </c>
      <c r="AP58" t="s">
        <v>1</v>
      </c>
      <c r="AQ58">
        <v>1</v>
      </c>
      <c r="AR58">
        <v>0</v>
      </c>
      <c r="AS58">
        <v>0</v>
      </c>
      <c r="AT58" t="s">
        <v>1</v>
      </c>
      <c r="AU58" t="s">
        <v>1</v>
      </c>
      <c r="AV58" t="s">
        <v>1</v>
      </c>
      <c r="AW58">
        <v>0</v>
      </c>
      <c r="AX58">
        <v>5000</v>
      </c>
      <c r="AY58">
        <v>7900</v>
      </c>
      <c r="AZ58">
        <v>0</v>
      </c>
      <c r="BA58">
        <v>0</v>
      </c>
      <c r="BB58" t="s">
        <v>1</v>
      </c>
      <c r="BC58" t="s">
        <v>442</v>
      </c>
      <c r="BD58" t="s">
        <v>377</v>
      </c>
      <c r="BE58" t="s">
        <v>1</v>
      </c>
      <c r="BF58" t="s">
        <v>1</v>
      </c>
      <c r="BG58" t="s">
        <v>1</v>
      </c>
      <c r="BH58">
        <v>0</v>
      </c>
      <c r="BI58">
        <v>0</v>
      </c>
      <c r="BJ58" t="s">
        <v>369</v>
      </c>
      <c r="BK58" t="s">
        <v>1</v>
      </c>
      <c r="BL58">
        <v>0</v>
      </c>
      <c r="BM58">
        <v>0</v>
      </c>
      <c r="BN58">
        <v>12900</v>
      </c>
      <c r="BO58">
        <v>0</v>
      </c>
      <c r="BP58">
        <v>0</v>
      </c>
      <c r="BQ58">
        <v>0</v>
      </c>
      <c r="BR58" t="s">
        <v>1</v>
      </c>
      <c r="BS58" t="s">
        <v>1</v>
      </c>
      <c r="BT58" t="s">
        <v>1</v>
      </c>
      <c r="BU58" t="s">
        <v>1</v>
      </c>
      <c r="BV58" t="s">
        <v>1</v>
      </c>
      <c r="BW58" t="s">
        <v>360</v>
      </c>
      <c r="BX58" t="s">
        <v>1</v>
      </c>
      <c r="BY58">
        <v>0</v>
      </c>
      <c r="BZ58">
        <v>0</v>
      </c>
      <c r="CA58">
        <v>0</v>
      </c>
      <c r="CB58">
        <v>0</v>
      </c>
      <c r="CD58" t="str" cm="1">
        <f t="array" aca="1" ref="CD58" ca="1">eConcatenar(A58:CB58,"|")</f>
        <v>HuW93X9SYmU6UcBG|VSA2020-T-0167|3|IMPERIAL DE LUJO |TABASCO|VILLAHERMOSA |VILLAHERMOSA |2020-07-12|12900|X|X|200|1|0|X|X|X|X|X|X|X|X|X|X|X|X|0|SANCHEZ |PEREZ |LUIS|0|X|X|ANDADON SIN NUMERO |EJIDO EMILIANO ZAPATA |X|9321000910|ADRIAN SANCHEZ HERNANDEZ |BENEFICIARIO 2  LUIS SANCHEZ HERNANDEZ |0|ANDADON SIN NUMERO |X|1|0|0|X|X|X|0|5000|7900|0|0|X|2021-11-30|2021-07-12|X|X|X|0|0|QYD9TF2W9KVTQO|X|0|0|12900|0|0|0|X|X|X|X|X|VILLAHERMOSA |X|0|0|0|0</v>
      </c>
    </row>
    <row r="59" spans="1:82" x14ac:dyDescent="0.25">
      <c r="A59" t="s">
        <v>514</v>
      </c>
      <c r="B59" t="s">
        <v>515</v>
      </c>
      <c r="C59">
        <v>3</v>
      </c>
      <c r="D59" t="s">
        <v>121</v>
      </c>
      <c r="E59" t="s">
        <v>359</v>
      </c>
      <c r="F59" t="s">
        <v>360</v>
      </c>
      <c r="G59" t="s">
        <v>360</v>
      </c>
      <c r="H59" t="s">
        <v>508</v>
      </c>
      <c r="I59">
        <v>12900</v>
      </c>
      <c r="J59" t="s">
        <v>1</v>
      </c>
      <c r="K59" t="s">
        <v>1</v>
      </c>
      <c r="L59">
        <v>200</v>
      </c>
      <c r="M59">
        <v>1</v>
      </c>
      <c r="N59">
        <v>0</v>
      </c>
      <c r="O59" t="s">
        <v>1</v>
      </c>
      <c r="P59" t="s">
        <v>1</v>
      </c>
      <c r="Q59" t="s">
        <v>1</v>
      </c>
      <c r="R59" t="s">
        <v>1</v>
      </c>
      <c r="S59" t="s">
        <v>1</v>
      </c>
      <c r="T59" t="s">
        <v>1</v>
      </c>
      <c r="U59" t="s">
        <v>1</v>
      </c>
      <c r="V59" t="s">
        <v>1</v>
      </c>
      <c r="W59" t="s">
        <v>1</v>
      </c>
      <c r="X59" t="s">
        <v>1</v>
      </c>
      <c r="Y59" t="s">
        <v>1</v>
      </c>
      <c r="Z59" t="s">
        <v>1</v>
      </c>
      <c r="AA59">
        <v>0</v>
      </c>
      <c r="AB59" t="s">
        <v>516</v>
      </c>
      <c r="AC59" t="s">
        <v>217</v>
      </c>
      <c r="AD59" t="s">
        <v>517</v>
      </c>
      <c r="AE59">
        <v>0</v>
      </c>
      <c r="AF59" t="s">
        <v>1</v>
      </c>
      <c r="AG59" t="s">
        <v>1</v>
      </c>
      <c r="AH59" t="s">
        <v>510</v>
      </c>
      <c r="AI59" t="s">
        <v>511</v>
      </c>
      <c r="AJ59" t="s">
        <v>1</v>
      </c>
      <c r="AK59">
        <v>9321292712</v>
      </c>
      <c r="AL59" t="s">
        <v>518</v>
      </c>
      <c r="AM59" t="s">
        <v>1</v>
      </c>
      <c r="AN59">
        <v>0</v>
      </c>
      <c r="AO59" t="s">
        <v>510</v>
      </c>
      <c r="AP59" t="s">
        <v>1</v>
      </c>
      <c r="AQ59">
        <v>1</v>
      </c>
      <c r="AR59">
        <v>0</v>
      </c>
      <c r="AS59">
        <v>0</v>
      </c>
      <c r="AT59" t="s">
        <v>1</v>
      </c>
      <c r="AU59" t="s">
        <v>1</v>
      </c>
      <c r="AV59" t="s">
        <v>1</v>
      </c>
      <c r="AW59">
        <v>0</v>
      </c>
      <c r="AX59">
        <v>5000</v>
      </c>
      <c r="AY59">
        <v>7900</v>
      </c>
      <c r="AZ59">
        <v>0</v>
      </c>
      <c r="BA59">
        <v>0</v>
      </c>
      <c r="BB59" t="s">
        <v>1</v>
      </c>
      <c r="BC59" t="s">
        <v>442</v>
      </c>
      <c r="BD59" t="s">
        <v>377</v>
      </c>
      <c r="BE59" t="s">
        <v>1</v>
      </c>
      <c r="BF59" t="s">
        <v>1</v>
      </c>
      <c r="BG59" t="s">
        <v>1</v>
      </c>
      <c r="BH59">
        <v>0</v>
      </c>
      <c r="BI59">
        <v>0</v>
      </c>
      <c r="BJ59" t="s">
        <v>369</v>
      </c>
      <c r="BK59" t="s">
        <v>1</v>
      </c>
      <c r="BL59">
        <v>0</v>
      </c>
      <c r="BM59">
        <v>0</v>
      </c>
      <c r="BN59">
        <v>12900</v>
      </c>
      <c r="BO59">
        <v>0</v>
      </c>
      <c r="BP59">
        <v>0</v>
      </c>
      <c r="BQ59">
        <v>0</v>
      </c>
      <c r="BR59" t="s">
        <v>1</v>
      </c>
      <c r="BS59" t="s">
        <v>1</v>
      </c>
      <c r="BT59" t="s">
        <v>1</v>
      </c>
      <c r="BU59" t="s">
        <v>1</v>
      </c>
      <c r="BV59" t="s">
        <v>1</v>
      </c>
      <c r="BW59" t="s">
        <v>360</v>
      </c>
      <c r="BX59" t="s">
        <v>1</v>
      </c>
      <c r="BY59">
        <v>0</v>
      </c>
      <c r="BZ59">
        <v>0</v>
      </c>
      <c r="CA59">
        <v>0</v>
      </c>
      <c r="CB59">
        <v>0</v>
      </c>
      <c r="CD59" t="str" cm="1">
        <f t="array" aca="1" ref="CD59" ca="1">eConcatenar(A59:CB59,"|")</f>
        <v>iaNR4aPfTEIsQB5w|VSA2020-T-0168|3|IMPERIAL DE LUJO |TABASCO|VILLAHERMOSA |VILLAHERMOSA |2020-07-12|12900|X|X|200|1|0|X|X|X|X|X|X|X|X|X|X|X|X|0|FRIAS |HERNANDEZ|JOSE FERNANDO |0|X|X|ANDADON SIN NUMERO |EJIDO EMILIANO ZAPATA |X|9321292712|ELIZABETH SANCHEZ HERNANDEZ |X|0|ANDADON SIN NUMERO |X|1|0|0|X|X|X|0|5000|7900|0|0|X|2021-11-30|2021-07-12|X|X|X|0|0|QYD9TF2W9KVTQO|X|0|0|12900|0|0|0|X|X|X|X|X|VILLAHERMOSA |X|0|0|0|0</v>
      </c>
    </row>
    <row r="60" spans="1:82" x14ac:dyDescent="0.25">
      <c r="A60" t="s">
        <v>519</v>
      </c>
      <c r="B60" t="s">
        <v>520</v>
      </c>
      <c r="C60">
        <v>3</v>
      </c>
      <c r="D60" t="s">
        <v>121</v>
      </c>
      <c r="E60" t="s">
        <v>359</v>
      </c>
      <c r="F60" t="s">
        <v>360</v>
      </c>
      <c r="G60" t="s">
        <v>360</v>
      </c>
      <c r="H60" t="s">
        <v>508</v>
      </c>
      <c r="I60">
        <v>12900</v>
      </c>
      <c r="J60" t="s">
        <v>1</v>
      </c>
      <c r="K60" t="s">
        <v>1</v>
      </c>
      <c r="L60">
        <v>200</v>
      </c>
      <c r="M60">
        <v>1</v>
      </c>
      <c r="N60">
        <v>0</v>
      </c>
      <c r="O60" t="s">
        <v>1</v>
      </c>
      <c r="P60" t="s">
        <v>1</v>
      </c>
      <c r="Q60" t="s">
        <v>1</v>
      </c>
      <c r="R60" t="s">
        <v>1</v>
      </c>
      <c r="S60" t="s">
        <v>1</v>
      </c>
      <c r="T60" t="s">
        <v>1</v>
      </c>
      <c r="U60" t="s">
        <v>1</v>
      </c>
      <c r="V60" t="s">
        <v>1</v>
      </c>
      <c r="W60" t="s">
        <v>1</v>
      </c>
      <c r="X60" t="s">
        <v>1</v>
      </c>
      <c r="Y60" t="s">
        <v>1</v>
      </c>
      <c r="Z60" t="s">
        <v>1</v>
      </c>
      <c r="AA60">
        <v>0</v>
      </c>
      <c r="AB60" t="s">
        <v>407</v>
      </c>
      <c r="AC60" t="s">
        <v>479</v>
      </c>
      <c r="AD60" t="s">
        <v>521</v>
      </c>
      <c r="AE60">
        <v>0</v>
      </c>
      <c r="AF60" t="s">
        <v>1</v>
      </c>
      <c r="AG60" t="s">
        <v>1</v>
      </c>
      <c r="AH60" t="s">
        <v>522</v>
      </c>
      <c r="AI60" t="s">
        <v>511</v>
      </c>
      <c r="AJ60" t="s">
        <v>1</v>
      </c>
      <c r="AK60">
        <v>9321223188</v>
      </c>
      <c r="AL60" t="s">
        <v>523</v>
      </c>
      <c r="AM60" t="s">
        <v>524</v>
      </c>
      <c r="AN60">
        <v>0</v>
      </c>
      <c r="AO60" t="s">
        <v>522</v>
      </c>
      <c r="AP60" t="s">
        <v>1</v>
      </c>
      <c r="AQ60">
        <v>1</v>
      </c>
      <c r="AR60">
        <v>0</v>
      </c>
      <c r="AS60">
        <v>0</v>
      </c>
      <c r="AT60" t="s">
        <v>1</v>
      </c>
      <c r="AU60" t="s">
        <v>1</v>
      </c>
      <c r="AV60" t="s">
        <v>1</v>
      </c>
      <c r="AW60">
        <v>0</v>
      </c>
      <c r="AX60">
        <v>5100</v>
      </c>
      <c r="AY60">
        <v>7800</v>
      </c>
      <c r="AZ60">
        <v>0</v>
      </c>
      <c r="BA60">
        <v>0</v>
      </c>
      <c r="BB60" t="s">
        <v>1</v>
      </c>
      <c r="BC60" t="s">
        <v>442</v>
      </c>
      <c r="BD60" t="s">
        <v>377</v>
      </c>
      <c r="BE60" t="s">
        <v>1</v>
      </c>
      <c r="BF60" t="s">
        <v>1</v>
      </c>
      <c r="BG60" t="s">
        <v>1</v>
      </c>
      <c r="BH60">
        <v>0</v>
      </c>
      <c r="BI60">
        <v>0</v>
      </c>
      <c r="BJ60" t="s">
        <v>369</v>
      </c>
      <c r="BK60" t="s">
        <v>1</v>
      </c>
      <c r="BL60">
        <v>0</v>
      </c>
      <c r="BM60">
        <v>0</v>
      </c>
      <c r="BN60">
        <v>12900</v>
      </c>
      <c r="BO60">
        <v>0</v>
      </c>
      <c r="BP60">
        <v>0</v>
      </c>
      <c r="BQ60">
        <v>0</v>
      </c>
      <c r="BR60" t="s">
        <v>1</v>
      </c>
      <c r="BS60" t="s">
        <v>1</v>
      </c>
      <c r="BT60" t="s">
        <v>1</v>
      </c>
      <c r="BU60" t="s">
        <v>1</v>
      </c>
      <c r="BV60" t="s">
        <v>1</v>
      </c>
      <c r="BW60" t="s">
        <v>360</v>
      </c>
      <c r="BX60" t="s">
        <v>1</v>
      </c>
      <c r="BY60">
        <v>0</v>
      </c>
      <c r="BZ60">
        <v>0</v>
      </c>
      <c r="CA60">
        <v>0</v>
      </c>
      <c r="CB60">
        <v>0</v>
      </c>
      <c r="CD60" t="str" cm="1">
        <f t="array" aca="1" ref="CD60" ca="1">eConcatenar(A60:CB60,"|")</f>
        <v>6p38nWJXOXB2BlRY|VSA2020-T-0169|3|IMPERIAL DE LUJO |TABASCO|VILLAHERMOSA |VILLAHERMOSA |2020-07-12|12900|X|X|200|1|0|X|X|X|X|X|X|X|X|X|X|X|X|0|LOPEZ |SANCHEZ |LORENZO |0|X|X|CARRETERA A TAPIJULAPA |EJIDO EMILIANO ZAPATA |X|9321223188|VIVIANA SANCHEZ CRUZ |BENEFICIARIO 2 LAZARO LOPEZ SANCHEZ |0|CARRETERA A TAPIJULAPA |X|1|0|0|X|X|X|0|5100|7800|0|0|X|2021-11-30|2021-07-12|X|X|X|0|0|QYD9TF2W9KVTQO|X|0|0|12900|0|0|0|X|X|X|X|X|VILLAHERMOSA |X|0|0|0|0</v>
      </c>
    </row>
    <row r="61" spans="1:82" x14ac:dyDescent="0.25">
      <c r="A61" t="s">
        <v>525</v>
      </c>
      <c r="B61" t="s">
        <v>526</v>
      </c>
      <c r="C61">
        <v>3</v>
      </c>
      <c r="D61" t="s">
        <v>14</v>
      </c>
      <c r="E61" t="s">
        <v>359</v>
      </c>
      <c r="F61" t="s">
        <v>360</v>
      </c>
      <c r="G61" t="s">
        <v>360</v>
      </c>
      <c r="H61" t="s">
        <v>527</v>
      </c>
      <c r="I61">
        <v>12900</v>
      </c>
      <c r="J61" t="s">
        <v>1</v>
      </c>
      <c r="K61" t="s">
        <v>1</v>
      </c>
      <c r="L61">
        <v>200</v>
      </c>
      <c r="M61">
        <v>1</v>
      </c>
      <c r="N61">
        <v>0</v>
      </c>
      <c r="O61" t="s">
        <v>1</v>
      </c>
      <c r="P61" t="s">
        <v>1</v>
      </c>
      <c r="Q61" t="s">
        <v>1</v>
      </c>
      <c r="R61" t="s">
        <v>1</v>
      </c>
      <c r="S61" t="s">
        <v>1</v>
      </c>
      <c r="T61" t="s">
        <v>1</v>
      </c>
      <c r="U61" t="s">
        <v>1</v>
      </c>
      <c r="V61" t="s">
        <v>1</v>
      </c>
      <c r="W61" t="s">
        <v>1</v>
      </c>
      <c r="X61" t="s">
        <v>1</v>
      </c>
      <c r="Y61" t="s">
        <v>1</v>
      </c>
      <c r="Z61" t="s">
        <v>1</v>
      </c>
      <c r="AA61">
        <v>0</v>
      </c>
      <c r="AB61" t="s">
        <v>528</v>
      </c>
      <c r="AC61" t="s">
        <v>15</v>
      </c>
      <c r="AD61" t="s">
        <v>529</v>
      </c>
      <c r="AE61">
        <v>0</v>
      </c>
      <c r="AF61" t="s">
        <v>1</v>
      </c>
      <c r="AG61" t="s">
        <v>1</v>
      </c>
      <c r="AH61" t="s">
        <v>530</v>
      </c>
      <c r="AI61" t="s">
        <v>417</v>
      </c>
      <c r="AJ61" t="s">
        <v>1</v>
      </c>
      <c r="AK61">
        <v>9321245610</v>
      </c>
      <c r="AL61" t="s">
        <v>531</v>
      </c>
      <c r="AM61" t="s">
        <v>532</v>
      </c>
      <c r="AN61">
        <v>0</v>
      </c>
      <c r="AO61" t="s">
        <v>530</v>
      </c>
      <c r="AP61" t="s">
        <v>1</v>
      </c>
      <c r="AQ61">
        <v>0</v>
      </c>
      <c r="AR61">
        <v>0</v>
      </c>
      <c r="AS61">
        <v>0</v>
      </c>
      <c r="AT61" t="s">
        <v>1</v>
      </c>
      <c r="AU61" t="s">
        <v>1</v>
      </c>
      <c r="AV61" t="s">
        <v>1</v>
      </c>
      <c r="AW61">
        <v>0</v>
      </c>
      <c r="AX61">
        <v>5000</v>
      </c>
      <c r="AY61">
        <v>7900</v>
      </c>
      <c r="AZ61">
        <v>0</v>
      </c>
      <c r="BA61">
        <v>0</v>
      </c>
      <c r="BB61" t="s">
        <v>1</v>
      </c>
      <c r="BC61" t="s">
        <v>423</v>
      </c>
      <c r="BD61" t="s">
        <v>368</v>
      </c>
      <c r="BE61" t="s">
        <v>1</v>
      </c>
      <c r="BF61" t="s">
        <v>1</v>
      </c>
      <c r="BG61" t="s">
        <v>1</v>
      </c>
      <c r="BH61">
        <v>0</v>
      </c>
      <c r="BI61">
        <v>0</v>
      </c>
      <c r="BJ61" t="s">
        <v>369</v>
      </c>
      <c r="BK61" t="s">
        <v>1</v>
      </c>
      <c r="BL61">
        <v>0</v>
      </c>
      <c r="BM61">
        <v>0</v>
      </c>
      <c r="BN61">
        <v>12900</v>
      </c>
      <c r="BO61">
        <v>0</v>
      </c>
      <c r="BP61">
        <v>0</v>
      </c>
      <c r="BQ61">
        <v>0</v>
      </c>
      <c r="BR61" t="s">
        <v>1</v>
      </c>
      <c r="BS61" t="s">
        <v>1</v>
      </c>
      <c r="BT61" t="s">
        <v>1</v>
      </c>
      <c r="BU61" t="s">
        <v>1</v>
      </c>
      <c r="BV61" t="s">
        <v>1</v>
      </c>
      <c r="BW61" t="s">
        <v>360</v>
      </c>
      <c r="BX61" t="s">
        <v>1</v>
      </c>
      <c r="BY61">
        <v>0</v>
      </c>
      <c r="BZ61">
        <v>0</v>
      </c>
      <c r="CA61">
        <v>0</v>
      </c>
      <c r="CB61">
        <v>0</v>
      </c>
      <c r="CD61" t="str" cm="1">
        <f t="array" aca="1" ref="CD61" ca="1">eConcatenar(A61:CB61,"|")</f>
        <v>7pCPA3UgSSI6SoiZ|VSA2020-T-0117|3|ECONOLINE |TABASCO|VILLAHERMOSA |VILLAHERMOSA |2020-09-23|12900|X|X|200|1|0|X|X|X|X|X|X|X|X|X|X|X|X|0|RAMIREZ |PEREZ |DADULBERTO |0|X|X|CALLE SANTA CRUZ SIN NUMERO |COLONIA BARRIO SABANILLA |X|9321245610|GLORIA JIMENEZ HERNANDEZ |BENEFICIARIO 2 VANESA RAMIREZ JIMENEZ |0|CALLE SANTA CRUZ SIN NUMERO |X|0|0|0|X|X|X|0|5000|7900|0|0|X|2021-11-29|2021-06-12|X|X|X|0|0|QYD9TF2W9KVTQO|X|0|0|12900|0|0|0|X|X|X|X|X|VILLAHERMOSA |X|0|0|0|0</v>
      </c>
    </row>
    <row r="62" spans="1:82" x14ac:dyDescent="0.25">
      <c r="A62" t="s">
        <v>533</v>
      </c>
      <c r="B62" t="s">
        <v>534</v>
      </c>
      <c r="C62">
        <v>3</v>
      </c>
      <c r="D62" t="s">
        <v>14</v>
      </c>
      <c r="E62" t="s">
        <v>359</v>
      </c>
      <c r="F62" t="s">
        <v>360</v>
      </c>
      <c r="G62" t="s">
        <v>360</v>
      </c>
      <c r="H62" t="s">
        <v>386</v>
      </c>
      <c r="I62">
        <v>12900</v>
      </c>
      <c r="J62" t="s">
        <v>1</v>
      </c>
      <c r="K62" t="s">
        <v>1</v>
      </c>
      <c r="L62">
        <v>200</v>
      </c>
      <c r="M62">
        <v>1</v>
      </c>
      <c r="N62">
        <v>0</v>
      </c>
      <c r="O62" t="s">
        <v>1</v>
      </c>
      <c r="P62" t="s">
        <v>1</v>
      </c>
      <c r="Q62" t="s">
        <v>1</v>
      </c>
      <c r="R62" t="s">
        <v>1</v>
      </c>
      <c r="S62" t="s">
        <v>1</v>
      </c>
      <c r="T62" t="s">
        <v>1</v>
      </c>
      <c r="U62" t="s">
        <v>1</v>
      </c>
      <c r="V62" t="s">
        <v>1</v>
      </c>
      <c r="W62" t="s">
        <v>1</v>
      </c>
      <c r="X62" t="s">
        <v>1</v>
      </c>
      <c r="Y62" t="s">
        <v>1</v>
      </c>
      <c r="Z62" t="s">
        <v>1</v>
      </c>
      <c r="AA62">
        <v>0</v>
      </c>
      <c r="AB62" t="s">
        <v>455</v>
      </c>
      <c r="AC62" t="s">
        <v>479</v>
      </c>
      <c r="AD62" t="s">
        <v>535</v>
      </c>
      <c r="AE62">
        <v>0</v>
      </c>
      <c r="AF62" t="s">
        <v>1</v>
      </c>
      <c r="AG62" t="s">
        <v>1</v>
      </c>
      <c r="AH62" t="s">
        <v>536</v>
      </c>
      <c r="AI62" t="s">
        <v>390</v>
      </c>
      <c r="AJ62" t="s">
        <v>1</v>
      </c>
      <c r="AK62">
        <v>9323274558</v>
      </c>
      <c r="AL62" t="s">
        <v>537</v>
      </c>
      <c r="AM62" t="s">
        <v>538</v>
      </c>
      <c r="AN62">
        <v>0</v>
      </c>
      <c r="AO62" t="s">
        <v>536</v>
      </c>
      <c r="AP62" t="s">
        <v>1</v>
      </c>
      <c r="AQ62">
        <v>0</v>
      </c>
      <c r="AR62">
        <v>0</v>
      </c>
      <c r="AS62">
        <v>0</v>
      </c>
      <c r="AT62" t="s">
        <v>1</v>
      </c>
      <c r="AU62" t="s">
        <v>1</v>
      </c>
      <c r="AV62" t="s">
        <v>1</v>
      </c>
      <c r="AW62">
        <v>0</v>
      </c>
      <c r="AX62">
        <v>6200</v>
      </c>
      <c r="AY62">
        <v>6700</v>
      </c>
      <c r="AZ62">
        <v>0</v>
      </c>
      <c r="BA62">
        <v>0</v>
      </c>
      <c r="BB62" t="s">
        <v>1</v>
      </c>
      <c r="BC62" t="s">
        <v>376</v>
      </c>
      <c r="BD62" t="s">
        <v>368</v>
      </c>
      <c r="BE62" t="s">
        <v>1</v>
      </c>
      <c r="BF62" t="s">
        <v>1</v>
      </c>
      <c r="BG62" t="s">
        <v>1</v>
      </c>
      <c r="BH62">
        <v>0</v>
      </c>
      <c r="BI62">
        <v>0</v>
      </c>
      <c r="BJ62" t="s">
        <v>369</v>
      </c>
      <c r="BK62" t="s">
        <v>1</v>
      </c>
      <c r="BL62">
        <v>0</v>
      </c>
      <c r="BM62">
        <v>0</v>
      </c>
      <c r="BN62">
        <v>12900</v>
      </c>
      <c r="BO62">
        <v>0</v>
      </c>
      <c r="BP62">
        <v>0</v>
      </c>
      <c r="BQ62">
        <v>0</v>
      </c>
      <c r="BR62" t="s">
        <v>1</v>
      </c>
      <c r="BS62" t="s">
        <v>1</v>
      </c>
      <c r="BT62" t="s">
        <v>1</v>
      </c>
      <c r="BU62" t="s">
        <v>1</v>
      </c>
      <c r="BV62" t="s">
        <v>1</v>
      </c>
      <c r="BW62" t="s">
        <v>360</v>
      </c>
      <c r="BX62" t="s">
        <v>1</v>
      </c>
      <c r="BY62">
        <v>0</v>
      </c>
      <c r="BZ62">
        <v>0</v>
      </c>
      <c r="CA62">
        <v>0</v>
      </c>
      <c r="CB62">
        <v>0</v>
      </c>
      <c r="CD62" t="str" cm="1">
        <f t="array" aca="1" ref="CD62" ca="1">eConcatenar(A62:CB62,"|")</f>
        <v>LtjBlhrew4i9trcF|VSA2020-T-0129|3|ECONOLINE |TABASCO|VILLAHERMOSA |VILLAHERMOSA |2020-09-30|12900|X|X|200|1|0|X|X|X|X|X|X|X|X|X|X|X|X|0|CRUZ |SANCHEZ |ELICEO |0|X|X|CALLE FIDEL VELAZQUEZ SANCHEZ |COLONIA GRACIELA PINTADO DE MADRAZO |X|9323274558|REGINA DE LOS ANGELES MENDOZA |BENEFICIARIO 2 ENEIL CRUZ SANCHEZ |0|CALLE FIDEL VELAZQUEZ SANCHEZ |X|0|0|0|X|X|X|0|6200|6700|0|0|X|2021-02-11|2021-06-12|X|X|X|0|0|QYD9TF2W9KVTQO|X|0|0|12900|0|0|0|X|X|X|X|X|VILLAHERMOSA |X|0|0|0|0</v>
      </c>
    </row>
    <row r="63" spans="1:82" x14ac:dyDescent="0.25">
      <c r="A63" t="s">
        <v>539</v>
      </c>
      <c r="B63" t="s">
        <v>540</v>
      </c>
      <c r="C63">
        <v>3</v>
      </c>
      <c r="D63" t="s">
        <v>14</v>
      </c>
      <c r="E63" t="s">
        <v>359</v>
      </c>
      <c r="F63" t="s">
        <v>360</v>
      </c>
      <c r="G63" t="s">
        <v>360</v>
      </c>
      <c r="H63" t="s">
        <v>541</v>
      </c>
      <c r="I63">
        <v>12900</v>
      </c>
      <c r="J63" t="s">
        <v>1</v>
      </c>
      <c r="K63" t="s">
        <v>1</v>
      </c>
      <c r="L63">
        <v>100</v>
      </c>
      <c r="M63">
        <v>0</v>
      </c>
      <c r="N63">
        <v>0</v>
      </c>
      <c r="O63" t="s">
        <v>1</v>
      </c>
      <c r="P63" t="s">
        <v>1</v>
      </c>
      <c r="Q63" t="s">
        <v>1</v>
      </c>
      <c r="R63" t="s">
        <v>1</v>
      </c>
      <c r="S63" t="s">
        <v>1</v>
      </c>
      <c r="T63" t="s">
        <v>1</v>
      </c>
      <c r="U63" t="s">
        <v>1</v>
      </c>
      <c r="V63" t="s">
        <v>1</v>
      </c>
      <c r="W63" t="s">
        <v>1</v>
      </c>
      <c r="X63" t="s">
        <v>1</v>
      </c>
      <c r="Y63" t="s">
        <v>1</v>
      </c>
      <c r="Z63" t="s">
        <v>1</v>
      </c>
      <c r="AA63">
        <v>0</v>
      </c>
      <c r="AB63" t="s">
        <v>542</v>
      </c>
      <c r="AC63" t="s">
        <v>543</v>
      </c>
      <c r="AD63" t="s">
        <v>544</v>
      </c>
      <c r="AE63">
        <v>0</v>
      </c>
      <c r="AF63" t="s">
        <v>1</v>
      </c>
      <c r="AG63" t="s">
        <v>1</v>
      </c>
      <c r="AH63" t="s">
        <v>545</v>
      </c>
      <c r="AI63" t="s">
        <v>546</v>
      </c>
      <c r="AJ63" t="s">
        <v>1</v>
      </c>
      <c r="AK63">
        <v>9841865714</v>
      </c>
      <c r="AL63" t="s">
        <v>547</v>
      </c>
      <c r="AM63" t="s">
        <v>548</v>
      </c>
      <c r="AN63">
        <v>0</v>
      </c>
      <c r="AO63" t="s">
        <v>545</v>
      </c>
      <c r="AP63" t="s">
        <v>1</v>
      </c>
      <c r="AQ63">
        <v>1</v>
      </c>
      <c r="AR63">
        <v>0</v>
      </c>
      <c r="AS63">
        <v>0</v>
      </c>
      <c r="AT63" t="s">
        <v>1</v>
      </c>
      <c r="AU63" t="s">
        <v>1</v>
      </c>
      <c r="AV63" t="s">
        <v>1</v>
      </c>
      <c r="AW63">
        <v>0</v>
      </c>
      <c r="AX63">
        <v>4500</v>
      </c>
      <c r="AY63">
        <v>8400</v>
      </c>
      <c r="AZ63">
        <v>0</v>
      </c>
      <c r="BA63">
        <v>0</v>
      </c>
      <c r="BB63" t="s">
        <v>1</v>
      </c>
      <c r="BC63" t="s">
        <v>549</v>
      </c>
      <c r="BD63" t="s">
        <v>368</v>
      </c>
      <c r="BE63" t="s">
        <v>1</v>
      </c>
      <c r="BF63" t="s">
        <v>1</v>
      </c>
      <c r="BG63" t="s">
        <v>1</v>
      </c>
      <c r="BH63">
        <v>0</v>
      </c>
      <c r="BI63">
        <v>0</v>
      </c>
      <c r="BJ63" t="s">
        <v>369</v>
      </c>
      <c r="BK63" t="s">
        <v>1</v>
      </c>
      <c r="BL63">
        <v>0</v>
      </c>
      <c r="BM63">
        <v>0</v>
      </c>
      <c r="BN63">
        <v>12900</v>
      </c>
      <c r="BO63">
        <v>0</v>
      </c>
      <c r="BP63">
        <v>0</v>
      </c>
      <c r="BQ63">
        <v>0</v>
      </c>
      <c r="BR63" t="s">
        <v>1</v>
      </c>
      <c r="BS63" t="s">
        <v>1</v>
      </c>
      <c r="BT63" t="s">
        <v>1</v>
      </c>
      <c r="BU63" t="s">
        <v>1</v>
      </c>
      <c r="BV63" t="s">
        <v>1</v>
      </c>
      <c r="BW63" t="s">
        <v>360</v>
      </c>
      <c r="BX63" t="s">
        <v>1</v>
      </c>
      <c r="BY63">
        <v>0</v>
      </c>
      <c r="BZ63">
        <v>0</v>
      </c>
      <c r="CA63">
        <v>0</v>
      </c>
      <c r="CB63">
        <v>0</v>
      </c>
      <c r="CD63" t="str" cm="1">
        <f t="array" aca="1" ref="CD63" ca="1">eConcatenar(A63:CB63,"|")</f>
        <v>H7iVqS0p8tKX5Tac|VSA2020-T-0131|3|ECONOLINE |TABASCO|VILLAHERMOSA |VILLAHERMOSA |2020-02-10|12900|X|X|100|0|0|X|X|X|X|X|X|X|X|X|X|X|X|0|RIOS|ARIAS |JESUS ANTONIO |0|X|X|CARRETERA PRINCIPAL SIN NUMERO |EJIDO SAN PABLO TAMBORAL |X|9841865714|MARIA DEL CARMEN HERNANDEZ LOPEZ |BENEFICIARIO 2 BARDO ALFONSO RIOS ESPINOZA |0|CARRETERA PRINCIPAL SIN NUMERO |X|1|0|0|X|X|X|0|4500|8400|0|0|X|2021-11-23|2021-06-12|X|X|X|0|0|QYD9TF2W9KVTQO|X|0|0|12900|0|0|0|X|X|X|X|X|VILLAHERMOSA |X|0|0|0|0</v>
      </c>
    </row>
    <row r="64" spans="1:82" x14ac:dyDescent="0.25">
      <c r="A64" t="s">
        <v>550</v>
      </c>
      <c r="B64" t="s">
        <v>551</v>
      </c>
      <c r="C64">
        <v>3</v>
      </c>
      <c r="D64" t="s">
        <v>121</v>
      </c>
      <c r="E64" t="s">
        <v>359</v>
      </c>
      <c r="F64" t="s">
        <v>360</v>
      </c>
      <c r="G64" t="s">
        <v>360</v>
      </c>
      <c r="H64" t="s">
        <v>552</v>
      </c>
      <c r="I64">
        <v>12900</v>
      </c>
      <c r="J64" t="s">
        <v>1</v>
      </c>
      <c r="K64" t="s">
        <v>1</v>
      </c>
      <c r="L64">
        <v>200</v>
      </c>
      <c r="M64">
        <v>1</v>
      </c>
      <c r="N64">
        <v>0</v>
      </c>
      <c r="O64" t="s">
        <v>1</v>
      </c>
      <c r="P64" t="s">
        <v>1</v>
      </c>
      <c r="Q64" t="s">
        <v>1</v>
      </c>
      <c r="R64" t="s">
        <v>1</v>
      </c>
      <c r="S64" t="s">
        <v>1</v>
      </c>
      <c r="T64" t="s">
        <v>1</v>
      </c>
      <c r="U64" t="s">
        <v>1</v>
      </c>
      <c r="V64" t="s">
        <v>1</v>
      </c>
      <c r="W64" t="s">
        <v>1</v>
      </c>
      <c r="X64" t="s">
        <v>1</v>
      </c>
      <c r="Y64" t="s">
        <v>1</v>
      </c>
      <c r="Z64" t="s">
        <v>1</v>
      </c>
      <c r="AA64">
        <v>0</v>
      </c>
      <c r="AB64" t="s">
        <v>553</v>
      </c>
      <c r="AC64" t="s">
        <v>217</v>
      </c>
      <c r="AD64" t="s">
        <v>554</v>
      </c>
      <c r="AE64">
        <v>0</v>
      </c>
      <c r="AF64" t="s">
        <v>1</v>
      </c>
      <c r="AG64" t="s">
        <v>1</v>
      </c>
      <c r="AH64" t="s">
        <v>555</v>
      </c>
      <c r="AI64" t="s">
        <v>497</v>
      </c>
      <c r="AJ64" t="s">
        <v>1</v>
      </c>
      <c r="AK64">
        <v>9321359747</v>
      </c>
      <c r="AL64" t="s">
        <v>556</v>
      </c>
      <c r="AM64" t="s">
        <v>557</v>
      </c>
      <c r="AN64">
        <v>0</v>
      </c>
      <c r="AO64" t="s">
        <v>555</v>
      </c>
      <c r="AP64" t="s">
        <v>1</v>
      </c>
      <c r="AQ64">
        <v>0</v>
      </c>
      <c r="AR64">
        <v>0</v>
      </c>
      <c r="AS64">
        <v>0</v>
      </c>
      <c r="AT64" t="s">
        <v>1</v>
      </c>
      <c r="AU64" t="s">
        <v>1</v>
      </c>
      <c r="AV64" t="s">
        <v>1</v>
      </c>
      <c r="AW64">
        <v>0</v>
      </c>
      <c r="AX64">
        <v>4145</v>
      </c>
      <c r="AY64">
        <v>8755</v>
      </c>
      <c r="AZ64">
        <v>0</v>
      </c>
      <c r="BA64">
        <v>0</v>
      </c>
      <c r="BB64" t="s">
        <v>1</v>
      </c>
      <c r="BC64" t="s">
        <v>558</v>
      </c>
      <c r="BD64" t="s">
        <v>377</v>
      </c>
      <c r="BE64" t="s">
        <v>1</v>
      </c>
      <c r="BF64" t="s">
        <v>1</v>
      </c>
      <c r="BG64" t="s">
        <v>1</v>
      </c>
      <c r="BH64">
        <v>0</v>
      </c>
      <c r="BI64">
        <v>0</v>
      </c>
      <c r="BJ64" t="s">
        <v>369</v>
      </c>
      <c r="BK64" t="s">
        <v>1</v>
      </c>
      <c r="BL64">
        <v>1</v>
      </c>
      <c r="BM64">
        <v>0</v>
      </c>
      <c r="BN64">
        <v>12900</v>
      </c>
      <c r="BO64">
        <v>0</v>
      </c>
      <c r="BP64">
        <v>0</v>
      </c>
      <c r="BQ64">
        <v>0</v>
      </c>
      <c r="BR64" t="s">
        <v>1</v>
      </c>
      <c r="BS64" t="s">
        <v>1</v>
      </c>
      <c r="BT64" t="s">
        <v>1</v>
      </c>
      <c r="BU64" t="s">
        <v>1</v>
      </c>
      <c r="BV64" t="s">
        <v>1</v>
      </c>
      <c r="BW64" t="s">
        <v>360</v>
      </c>
      <c r="BX64" t="s">
        <v>1</v>
      </c>
      <c r="BY64">
        <v>0</v>
      </c>
      <c r="BZ64">
        <v>0</v>
      </c>
      <c r="CA64">
        <v>0</v>
      </c>
      <c r="CB64">
        <v>0</v>
      </c>
      <c r="CD64" t="str" cm="1">
        <f t="array" aca="1" ref="CD64" ca="1">eConcatenar(A64:CB64,"|")</f>
        <v>qtR5AemFCjeZFwSq|VSA2020-T-0144|3|IMPERIAL DE LUJO |TABASCO|VILLAHERMOSA |VILLAHERMOSA |2020-10-23|12900|X|X|200|1|0|X|X|X|X|X|X|X|X|X|X|X|X|0|FLORES |HERNANDEZ|YSABEL |0|X|X|CARRETERA A JALAPA SIN NUMERO |EJIDO CEIBITA PRIMERA SECCION |X|9321359747|ERICK YAZMIN FLORES HERNANDEZ |BENEFICIARIO 2 ADRIANA FLORES HERNANDEZ |0|CARRETERA A JALAPA SIN NUMERO |X|0|0|0|X|X|X|0|4145|8755|0|0|X|2021-08-30|2021-07-12|X|X|X|0|0|QYD9TF2W9KVTQO|X|1|0|12900|0|0|0|X|X|X|X|X|VILLAHERMOSA |X|0|0|0|0</v>
      </c>
    </row>
    <row r="65" spans="1:82" x14ac:dyDescent="0.25">
      <c r="A65" t="s">
        <v>559</v>
      </c>
      <c r="B65" t="s">
        <v>560</v>
      </c>
      <c r="C65">
        <v>3</v>
      </c>
      <c r="D65" t="s">
        <v>121</v>
      </c>
      <c r="E65" t="s">
        <v>359</v>
      </c>
      <c r="F65" t="s">
        <v>360</v>
      </c>
      <c r="G65" t="s">
        <v>360</v>
      </c>
      <c r="H65" t="s">
        <v>561</v>
      </c>
      <c r="I65">
        <v>12900</v>
      </c>
      <c r="J65" t="s">
        <v>1</v>
      </c>
      <c r="K65" t="s">
        <v>1</v>
      </c>
      <c r="L65">
        <v>200</v>
      </c>
      <c r="M65">
        <v>1</v>
      </c>
      <c r="N65">
        <v>0</v>
      </c>
      <c r="O65" t="s">
        <v>1</v>
      </c>
      <c r="P65" t="s">
        <v>1</v>
      </c>
      <c r="Q65" t="s">
        <v>1</v>
      </c>
      <c r="R65" t="s">
        <v>1</v>
      </c>
      <c r="S65" t="s">
        <v>1</v>
      </c>
      <c r="T65" t="s">
        <v>1</v>
      </c>
      <c r="U65" t="s">
        <v>1</v>
      </c>
      <c r="V65" t="s">
        <v>1</v>
      </c>
      <c r="W65" t="s">
        <v>1</v>
      </c>
      <c r="X65" t="s">
        <v>1</v>
      </c>
      <c r="Y65" t="s">
        <v>1</v>
      </c>
      <c r="Z65" t="s">
        <v>1</v>
      </c>
      <c r="AA65">
        <v>0</v>
      </c>
      <c r="AB65" t="s">
        <v>553</v>
      </c>
      <c r="AC65" t="s">
        <v>217</v>
      </c>
      <c r="AD65" t="s">
        <v>562</v>
      </c>
      <c r="AE65">
        <v>0</v>
      </c>
      <c r="AF65" t="s">
        <v>1</v>
      </c>
      <c r="AG65" t="s">
        <v>1</v>
      </c>
      <c r="AH65" t="s">
        <v>545</v>
      </c>
      <c r="AI65" t="s">
        <v>497</v>
      </c>
      <c r="AJ65" t="s">
        <v>1</v>
      </c>
      <c r="AK65">
        <v>9321018925</v>
      </c>
      <c r="AL65" t="s">
        <v>563</v>
      </c>
      <c r="AM65" t="s">
        <v>564</v>
      </c>
      <c r="AN65">
        <v>0</v>
      </c>
      <c r="AO65" t="s">
        <v>545</v>
      </c>
      <c r="AP65" t="s">
        <v>1</v>
      </c>
      <c r="AQ65">
        <v>0</v>
      </c>
      <c r="AR65">
        <v>0</v>
      </c>
      <c r="AS65">
        <v>0</v>
      </c>
      <c r="AT65" t="s">
        <v>1</v>
      </c>
      <c r="AU65" t="s">
        <v>1</v>
      </c>
      <c r="AV65" t="s">
        <v>1</v>
      </c>
      <c r="AW65">
        <v>0</v>
      </c>
      <c r="AX65">
        <v>5150</v>
      </c>
      <c r="AY65">
        <v>7750</v>
      </c>
      <c r="AZ65">
        <v>0</v>
      </c>
      <c r="BA65">
        <v>0</v>
      </c>
      <c r="BB65" t="s">
        <v>1</v>
      </c>
      <c r="BC65" t="s">
        <v>367</v>
      </c>
      <c r="BD65" t="s">
        <v>377</v>
      </c>
      <c r="BE65" t="s">
        <v>1</v>
      </c>
      <c r="BF65" t="s">
        <v>1</v>
      </c>
      <c r="BG65" t="s">
        <v>1</v>
      </c>
      <c r="BH65">
        <v>0</v>
      </c>
      <c r="BI65">
        <v>0</v>
      </c>
      <c r="BJ65" t="s">
        <v>369</v>
      </c>
      <c r="BK65" t="s">
        <v>1</v>
      </c>
      <c r="BL65">
        <v>1</v>
      </c>
      <c r="BM65">
        <v>0</v>
      </c>
      <c r="BN65">
        <v>12900</v>
      </c>
      <c r="BO65">
        <v>0</v>
      </c>
      <c r="BP65">
        <v>0</v>
      </c>
      <c r="BQ65">
        <v>0</v>
      </c>
      <c r="BR65" t="s">
        <v>1</v>
      </c>
      <c r="BS65" t="s">
        <v>1</v>
      </c>
      <c r="BT65" t="s">
        <v>1</v>
      </c>
      <c r="BU65" t="s">
        <v>1</v>
      </c>
      <c r="BV65" t="s">
        <v>1</v>
      </c>
      <c r="BW65" t="s">
        <v>360</v>
      </c>
      <c r="BX65" t="s">
        <v>1</v>
      </c>
      <c r="BY65">
        <v>0</v>
      </c>
      <c r="BZ65">
        <v>0</v>
      </c>
      <c r="CA65">
        <v>0</v>
      </c>
      <c r="CB65">
        <v>0</v>
      </c>
      <c r="CD65" t="str" cm="1">
        <f t="array" aca="1" ref="CD65" ca="1">eConcatenar(A65:CB65,"|")</f>
        <v>BTLRi4Txp9weGBOj|VSA2020-T-0147|3|IMPERIAL DE LUJO |TABASCO|VILLAHERMOSA |VILLAHERMOSA |2020-10-26|12900|X|X|200|1|0|X|X|X|X|X|X|X|X|X|X|X|X|0|FLORES |HERNANDEZ|ADRIANA|0|X|X|CARRETERA PRINCIPAL SIN NUMERO |EJIDO CEIBITA PRIMERA SECCION |X|9321018925|EDUARDO DE LA FUENTE FLORES |BENEFICIARIO 2 YAJAIRA EDITH TORRES HERNANDEZ |0|CARRETERA PRINCIPAL SIN NUMERO |X|0|0|0|X|X|X|0|5150|7750|0|0|X|2021-11-15|2021-07-12|X|X|X|0|0|QYD9TF2W9KVTQO|X|1|0|12900|0|0|0|X|X|X|X|X|VILLAHERMOSA |X|0|0|0|0</v>
      </c>
    </row>
    <row r="66" spans="1:82" x14ac:dyDescent="0.25">
      <c r="A66" t="s">
        <v>565</v>
      </c>
      <c r="B66" t="s">
        <v>566</v>
      </c>
      <c r="C66">
        <v>3</v>
      </c>
      <c r="D66" t="s">
        <v>433</v>
      </c>
      <c r="E66" t="s">
        <v>359</v>
      </c>
      <c r="F66" t="s">
        <v>360</v>
      </c>
      <c r="G66" t="s">
        <v>360</v>
      </c>
      <c r="H66" t="s">
        <v>567</v>
      </c>
      <c r="I66">
        <v>19800</v>
      </c>
      <c r="J66" t="s">
        <v>1</v>
      </c>
      <c r="K66" t="s">
        <v>1</v>
      </c>
      <c r="L66">
        <v>200</v>
      </c>
      <c r="M66">
        <v>1</v>
      </c>
      <c r="N66">
        <v>0</v>
      </c>
      <c r="O66" t="s">
        <v>1</v>
      </c>
      <c r="P66" t="s">
        <v>1</v>
      </c>
      <c r="Q66" t="s">
        <v>1</v>
      </c>
      <c r="R66" t="s">
        <v>1</v>
      </c>
      <c r="S66" t="s">
        <v>1</v>
      </c>
      <c r="T66" t="s">
        <v>1</v>
      </c>
      <c r="U66" t="s">
        <v>1</v>
      </c>
      <c r="V66" t="s">
        <v>1</v>
      </c>
      <c r="W66" t="s">
        <v>1</v>
      </c>
      <c r="X66" t="s">
        <v>1</v>
      </c>
      <c r="Y66" t="s">
        <v>1</v>
      </c>
      <c r="Z66" t="s">
        <v>1</v>
      </c>
      <c r="AA66">
        <v>0</v>
      </c>
      <c r="AB66" t="s">
        <v>485</v>
      </c>
      <c r="AC66" t="s">
        <v>15</v>
      </c>
      <c r="AD66" t="s">
        <v>568</v>
      </c>
      <c r="AE66">
        <v>0</v>
      </c>
      <c r="AF66" t="s">
        <v>1</v>
      </c>
      <c r="AG66" t="s">
        <v>1</v>
      </c>
      <c r="AH66" t="s">
        <v>466</v>
      </c>
      <c r="AI66" t="s">
        <v>569</v>
      </c>
      <c r="AJ66" t="s">
        <v>1</v>
      </c>
      <c r="AK66">
        <v>9321082412</v>
      </c>
      <c r="AL66" t="s">
        <v>570</v>
      </c>
      <c r="AM66" t="s">
        <v>571</v>
      </c>
      <c r="AN66">
        <v>0</v>
      </c>
      <c r="AO66" t="s">
        <v>466</v>
      </c>
      <c r="AP66" t="s">
        <v>1</v>
      </c>
      <c r="AQ66">
        <v>1</v>
      </c>
      <c r="AR66">
        <v>0</v>
      </c>
      <c r="AS66">
        <v>0</v>
      </c>
      <c r="AT66" t="s">
        <v>1</v>
      </c>
      <c r="AU66" t="s">
        <v>1</v>
      </c>
      <c r="AV66" t="s">
        <v>1</v>
      </c>
      <c r="AW66">
        <v>0</v>
      </c>
      <c r="AX66">
        <v>4400</v>
      </c>
      <c r="AY66">
        <v>15400</v>
      </c>
      <c r="AZ66">
        <v>0</v>
      </c>
      <c r="BA66">
        <v>0</v>
      </c>
      <c r="BB66" t="s">
        <v>1</v>
      </c>
      <c r="BC66" t="s">
        <v>442</v>
      </c>
      <c r="BD66" t="s">
        <v>377</v>
      </c>
      <c r="BE66" t="s">
        <v>1</v>
      </c>
      <c r="BF66" t="s">
        <v>1</v>
      </c>
      <c r="BG66" t="s">
        <v>1</v>
      </c>
      <c r="BH66">
        <v>0</v>
      </c>
      <c r="BI66">
        <v>0</v>
      </c>
      <c r="BJ66" t="s">
        <v>369</v>
      </c>
      <c r="BK66" t="s">
        <v>1</v>
      </c>
      <c r="BL66">
        <v>0</v>
      </c>
      <c r="BM66">
        <v>0</v>
      </c>
      <c r="BN66">
        <v>19800</v>
      </c>
      <c r="BO66">
        <v>0</v>
      </c>
      <c r="BP66">
        <v>0</v>
      </c>
      <c r="BQ66">
        <v>0</v>
      </c>
      <c r="BR66" t="s">
        <v>1</v>
      </c>
      <c r="BS66" t="s">
        <v>1</v>
      </c>
      <c r="BT66" t="s">
        <v>1</v>
      </c>
      <c r="BU66" t="s">
        <v>1</v>
      </c>
      <c r="BV66" t="s">
        <v>1</v>
      </c>
      <c r="BW66" t="s">
        <v>360</v>
      </c>
      <c r="BX66" t="s">
        <v>1</v>
      </c>
      <c r="BY66">
        <v>0</v>
      </c>
      <c r="BZ66">
        <v>0</v>
      </c>
      <c r="CA66">
        <v>0</v>
      </c>
      <c r="CB66">
        <v>0</v>
      </c>
      <c r="CD66" t="str" cm="1">
        <f t="array" aca="1" ref="CD66" ca="1">eConcatenar(A66:CB66,"|")</f>
        <v>gPlZroPUJvtvAguH|VSA2020-T-0016|3|ZAFIRO |TABASCO|VILLAHERMOSA |VILLAHERMOSA |2021-07-01|19800|X|X|200|1|0|X|X|X|X|X|X|X|X|X|X|X|X|0|CALCANEO |PEREZ |JOSE MANUEL |0|X|X|CALLE PRINCIPAL SIN NUMERO |POBLADO XICOTENCATL|X|9321082412|ROSA FLORES HERRERA |BENEFICIARIO 2 JOSE CALCANEO FLORES |0|CALLE PRINCIPAL SIN NUMERO |X|1|0|0|X|X|X|0|4400|15400|0|0|X|2021-11-30|2021-07-12|X|X|X|0|0|QYD9TF2W9KVTQO|X|0|0|19800|0|0|0|X|X|X|X|X|VILLAHERMOSA |X|0|0|0|0</v>
      </c>
    </row>
    <row r="67" spans="1:82" x14ac:dyDescent="0.25">
      <c r="A67" t="s">
        <v>572</v>
      </c>
      <c r="B67" t="s">
        <v>573</v>
      </c>
      <c r="C67">
        <v>3</v>
      </c>
      <c r="D67" t="s">
        <v>433</v>
      </c>
      <c r="E67" t="s">
        <v>359</v>
      </c>
      <c r="F67" t="s">
        <v>360</v>
      </c>
      <c r="G67" t="s">
        <v>360</v>
      </c>
      <c r="H67" t="s">
        <v>574</v>
      </c>
      <c r="I67">
        <v>19800</v>
      </c>
      <c r="J67" t="s">
        <v>1</v>
      </c>
      <c r="K67" t="s">
        <v>1</v>
      </c>
      <c r="L67">
        <v>200</v>
      </c>
      <c r="M67">
        <v>1</v>
      </c>
      <c r="N67">
        <v>0</v>
      </c>
      <c r="O67" t="s">
        <v>1</v>
      </c>
      <c r="P67" t="s">
        <v>1</v>
      </c>
      <c r="Q67" t="s">
        <v>1</v>
      </c>
      <c r="R67" t="s">
        <v>1</v>
      </c>
      <c r="S67" t="s">
        <v>1</v>
      </c>
      <c r="T67" t="s">
        <v>1</v>
      </c>
      <c r="U67" t="s">
        <v>1</v>
      </c>
      <c r="V67" t="s">
        <v>1</v>
      </c>
      <c r="W67" t="s">
        <v>1</v>
      </c>
      <c r="X67" t="s">
        <v>1</v>
      </c>
      <c r="Y67" t="s">
        <v>1</v>
      </c>
      <c r="Z67" t="s">
        <v>1</v>
      </c>
      <c r="AA67">
        <v>0</v>
      </c>
      <c r="AB67" t="s">
        <v>575</v>
      </c>
      <c r="AC67" t="s">
        <v>576</v>
      </c>
      <c r="AD67" t="s">
        <v>577</v>
      </c>
      <c r="AE67">
        <v>0</v>
      </c>
      <c r="AF67" t="s">
        <v>1</v>
      </c>
      <c r="AG67" t="s">
        <v>1</v>
      </c>
      <c r="AH67" t="s">
        <v>578</v>
      </c>
      <c r="AI67" t="s">
        <v>375</v>
      </c>
      <c r="AJ67" t="s">
        <v>1</v>
      </c>
      <c r="AK67">
        <v>9321151750</v>
      </c>
      <c r="AL67" t="s">
        <v>579</v>
      </c>
      <c r="AM67" t="s">
        <v>580</v>
      </c>
      <c r="AN67">
        <v>0</v>
      </c>
      <c r="AO67" t="s">
        <v>578</v>
      </c>
      <c r="AP67" t="s">
        <v>1</v>
      </c>
      <c r="AQ67">
        <v>1</v>
      </c>
      <c r="AR67">
        <v>0</v>
      </c>
      <c r="AS67">
        <v>0</v>
      </c>
      <c r="AT67" t="s">
        <v>1</v>
      </c>
      <c r="AU67" t="s">
        <v>1</v>
      </c>
      <c r="AV67" t="s">
        <v>1</v>
      </c>
      <c r="AW67">
        <v>0</v>
      </c>
      <c r="AX67">
        <v>7500</v>
      </c>
      <c r="AY67">
        <v>12300</v>
      </c>
      <c r="AZ67">
        <v>0</v>
      </c>
      <c r="BA67">
        <v>0</v>
      </c>
      <c r="BB67" t="s">
        <v>1</v>
      </c>
      <c r="BC67" t="s">
        <v>442</v>
      </c>
      <c r="BD67" t="s">
        <v>377</v>
      </c>
      <c r="BE67" t="s">
        <v>1</v>
      </c>
      <c r="BF67" t="s">
        <v>1</v>
      </c>
      <c r="BG67" t="s">
        <v>1</v>
      </c>
      <c r="BH67">
        <v>0</v>
      </c>
      <c r="BI67">
        <v>0</v>
      </c>
      <c r="BJ67" t="s">
        <v>369</v>
      </c>
      <c r="BK67" t="s">
        <v>1</v>
      </c>
      <c r="BL67">
        <v>1</v>
      </c>
      <c r="BM67">
        <v>0</v>
      </c>
      <c r="BN67">
        <v>19800</v>
      </c>
      <c r="BO67">
        <v>0</v>
      </c>
      <c r="BP67">
        <v>0</v>
      </c>
      <c r="BQ67">
        <v>0</v>
      </c>
      <c r="BR67" t="s">
        <v>1</v>
      </c>
      <c r="BS67" t="s">
        <v>1</v>
      </c>
      <c r="BT67" t="s">
        <v>1</v>
      </c>
      <c r="BU67" t="s">
        <v>1</v>
      </c>
      <c r="BV67" t="s">
        <v>1</v>
      </c>
      <c r="BW67" t="s">
        <v>360</v>
      </c>
      <c r="BX67" t="s">
        <v>1</v>
      </c>
      <c r="BY67">
        <v>0</v>
      </c>
      <c r="BZ67">
        <v>0</v>
      </c>
      <c r="CA67">
        <v>0</v>
      </c>
      <c r="CB67">
        <v>0</v>
      </c>
      <c r="CD67" t="str" cm="1">
        <f t="array" aca="1" ref="CD67" ca="1">eConcatenar(A67:CB67,"|")</f>
        <v>ysbpXiDaeNmUkMmT|VSA2019-0717|3|ZAFIRO |TABASCO|VILLAHERMOSA |VILLAHERMOSA |2019-12-12|19800|X|X|200|1|0|X|X|X|X|X|X|X|X|X|X|X|X|0|MORALES |BAUTISTA |MARGOT |0|X|X|CALLE VEINTE DE NOVIEMBRE |COLONIA PUEBLO NUEVO |X|9321151750|HUMBERTO OSORIO CRUZ |BENEFICIARIO 2 JUAN CARLOS RODRIGUEZ MORALES |0|CALLE VEINTE DE NOVIEMBRE |X|1|0|0|X|X|X|0|7500|12300|0|0|X|2021-11-30|2021-07-12|X|X|X|0|0|QYD9TF2W9KVTQO|X|1|0|19800|0|0|0|X|X|X|X|X|VILLAHERMOSA |X|0|0|0|0</v>
      </c>
    </row>
    <row r="68" spans="1:82" x14ac:dyDescent="0.25">
      <c r="A68" t="s">
        <v>581</v>
      </c>
      <c r="B68" t="s">
        <v>582</v>
      </c>
      <c r="C68">
        <v>3</v>
      </c>
      <c r="D68" t="s">
        <v>121</v>
      </c>
      <c r="E68" t="s">
        <v>359</v>
      </c>
      <c r="F68" t="s">
        <v>360</v>
      </c>
      <c r="G68" t="s">
        <v>360</v>
      </c>
      <c r="H68" t="s">
        <v>583</v>
      </c>
      <c r="I68">
        <v>12900</v>
      </c>
      <c r="J68" t="s">
        <v>1</v>
      </c>
      <c r="K68" t="s">
        <v>1</v>
      </c>
      <c r="L68">
        <v>200</v>
      </c>
      <c r="M68">
        <v>1</v>
      </c>
      <c r="N68">
        <v>0</v>
      </c>
      <c r="O68" t="s">
        <v>1</v>
      </c>
      <c r="P68" t="s">
        <v>1</v>
      </c>
      <c r="Q68" t="s">
        <v>1</v>
      </c>
      <c r="R68" t="s">
        <v>1</v>
      </c>
      <c r="S68" t="s">
        <v>1</v>
      </c>
      <c r="T68" t="s">
        <v>1</v>
      </c>
      <c r="U68" t="s">
        <v>1</v>
      </c>
      <c r="V68" t="s">
        <v>1</v>
      </c>
      <c r="W68" t="s">
        <v>1</v>
      </c>
      <c r="X68" t="s">
        <v>1</v>
      </c>
      <c r="Y68" t="s">
        <v>1</v>
      </c>
      <c r="Z68" t="s">
        <v>1</v>
      </c>
      <c r="AA68">
        <v>0</v>
      </c>
      <c r="AB68" t="s">
        <v>584</v>
      </c>
      <c r="AC68" t="s">
        <v>428</v>
      </c>
      <c r="AD68" t="s">
        <v>585</v>
      </c>
      <c r="AE68">
        <v>0</v>
      </c>
      <c r="AF68" t="s">
        <v>1</v>
      </c>
      <c r="AG68" t="s">
        <v>1</v>
      </c>
      <c r="AH68" t="s">
        <v>397</v>
      </c>
      <c r="AI68" t="s">
        <v>586</v>
      </c>
      <c r="AJ68" t="s">
        <v>1</v>
      </c>
      <c r="AK68">
        <v>9321116659</v>
      </c>
      <c r="AL68" t="s">
        <v>587</v>
      </c>
      <c r="AM68" t="s">
        <v>588</v>
      </c>
      <c r="AN68">
        <v>0</v>
      </c>
      <c r="AO68" t="s">
        <v>397</v>
      </c>
      <c r="AP68" t="s">
        <v>1</v>
      </c>
      <c r="AQ68">
        <v>0</v>
      </c>
      <c r="AR68">
        <v>0</v>
      </c>
      <c r="AS68">
        <v>0</v>
      </c>
      <c r="AT68" t="s">
        <v>1</v>
      </c>
      <c r="AU68" t="s">
        <v>1</v>
      </c>
      <c r="AV68" t="s">
        <v>1</v>
      </c>
      <c r="AW68">
        <v>0</v>
      </c>
      <c r="AX68">
        <v>4200</v>
      </c>
      <c r="AY68">
        <v>8700</v>
      </c>
      <c r="AZ68">
        <v>0</v>
      </c>
      <c r="BA68">
        <v>0</v>
      </c>
      <c r="BB68" t="s">
        <v>1</v>
      </c>
      <c r="BC68" t="s">
        <v>367</v>
      </c>
      <c r="BD68" t="s">
        <v>368</v>
      </c>
      <c r="BE68" t="s">
        <v>1</v>
      </c>
      <c r="BF68" t="s">
        <v>1</v>
      </c>
      <c r="BG68" t="s">
        <v>1</v>
      </c>
      <c r="BH68">
        <v>0</v>
      </c>
      <c r="BI68">
        <v>0</v>
      </c>
      <c r="BJ68" t="s">
        <v>369</v>
      </c>
      <c r="BK68" t="s">
        <v>1</v>
      </c>
      <c r="BL68">
        <v>0</v>
      </c>
      <c r="BM68">
        <v>0</v>
      </c>
      <c r="BN68">
        <v>12900</v>
      </c>
      <c r="BO68">
        <v>0</v>
      </c>
      <c r="BP68">
        <v>0</v>
      </c>
      <c r="BQ68">
        <v>0</v>
      </c>
      <c r="BR68" t="s">
        <v>1</v>
      </c>
      <c r="BS68" t="s">
        <v>1</v>
      </c>
      <c r="BT68" t="s">
        <v>1</v>
      </c>
      <c r="BU68" t="s">
        <v>1</v>
      </c>
      <c r="BV68" t="s">
        <v>1</v>
      </c>
      <c r="BW68" t="s">
        <v>360</v>
      </c>
      <c r="BX68" t="s">
        <v>1</v>
      </c>
      <c r="BY68">
        <v>0</v>
      </c>
      <c r="BZ68">
        <v>0</v>
      </c>
      <c r="CA68">
        <v>0</v>
      </c>
      <c r="CB68">
        <v>0</v>
      </c>
      <c r="CD68" t="str" cm="1">
        <f t="array" aca="1" ref="CD68" ca="1">eConcatenar(A68:CB68,"|")</f>
        <v>jZwPiPBlvjmUk044|VSA2021-T-0049|3|IMPERIAL DE LUJO |TABASCO|VILLAHERMOSA |VILLAHERMOSA |2021-02-21|12900|X|X|200|1|0|X|X|X|X|X|X|X|X|X|X|X|X|0|HERNANDEZ |GOMEZ |PAULINO |0|X|X|CALLE SIN NOMBRE |EJIDO LAZARO CARDENAS |X|9321116659|ANDREA GARCIA MONTERO |BENEFICIARIO 2 IRENE HERNANDEZ ASCENCIO|0|CALLE SIN NOMBRE |X|0|0|0|X|X|X|0|4200|8700|0|0|X|2021-11-15|2021-06-12|X|X|X|0|0|QYD9TF2W9KVTQO|X|0|0|12900|0|0|0|X|X|X|X|X|VILLAHERMOSA |X|0|0|0|0</v>
      </c>
    </row>
    <row r="69" spans="1:82" x14ac:dyDescent="0.25">
      <c r="A69" t="s">
        <v>589</v>
      </c>
      <c r="B69" t="s">
        <v>590</v>
      </c>
      <c r="C69">
        <v>3</v>
      </c>
      <c r="D69" t="s">
        <v>121</v>
      </c>
      <c r="E69" t="s">
        <v>359</v>
      </c>
      <c r="F69" t="s">
        <v>360</v>
      </c>
      <c r="G69" t="s">
        <v>360</v>
      </c>
      <c r="H69" t="s">
        <v>591</v>
      </c>
      <c r="I69">
        <v>12900</v>
      </c>
      <c r="J69" t="s">
        <v>1</v>
      </c>
      <c r="K69" t="s">
        <v>1</v>
      </c>
      <c r="L69">
        <v>200</v>
      </c>
      <c r="M69">
        <v>1</v>
      </c>
      <c r="N69">
        <v>0</v>
      </c>
      <c r="O69" t="s">
        <v>1</v>
      </c>
      <c r="P69" t="s">
        <v>1</v>
      </c>
      <c r="Q69" t="s">
        <v>1</v>
      </c>
      <c r="R69" t="s">
        <v>1</v>
      </c>
      <c r="S69" t="s">
        <v>1</v>
      </c>
      <c r="T69" t="s">
        <v>1</v>
      </c>
      <c r="U69" t="s">
        <v>1</v>
      </c>
      <c r="V69" t="s">
        <v>1</v>
      </c>
      <c r="W69" t="s">
        <v>1</v>
      </c>
      <c r="X69" t="s">
        <v>1</v>
      </c>
      <c r="Y69" t="s">
        <v>1</v>
      </c>
      <c r="Z69" t="s">
        <v>1</v>
      </c>
      <c r="AA69">
        <v>0</v>
      </c>
      <c r="AB69" t="s">
        <v>407</v>
      </c>
      <c r="AC69" t="s">
        <v>428</v>
      </c>
      <c r="AD69" t="s">
        <v>592</v>
      </c>
      <c r="AE69">
        <v>0</v>
      </c>
      <c r="AF69" t="s">
        <v>1</v>
      </c>
      <c r="AG69" t="s">
        <v>1</v>
      </c>
      <c r="AH69" t="s">
        <v>397</v>
      </c>
      <c r="AI69" t="s">
        <v>586</v>
      </c>
      <c r="AJ69" t="s">
        <v>1</v>
      </c>
      <c r="AK69">
        <v>9323273378</v>
      </c>
      <c r="AL69" t="s">
        <v>593</v>
      </c>
      <c r="AM69" t="s">
        <v>594</v>
      </c>
      <c r="AN69">
        <v>0</v>
      </c>
      <c r="AO69" t="s">
        <v>397</v>
      </c>
      <c r="AP69" t="s">
        <v>1</v>
      </c>
      <c r="AQ69">
        <v>1</v>
      </c>
      <c r="AR69">
        <v>0</v>
      </c>
      <c r="AS69">
        <v>0</v>
      </c>
      <c r="AT69" t="s">
        <v>1</v>
      </c>
      <c r="AU69" t="s">
        <v>1</v>
      </c>
      <c r="AV69" t="s">
        <v>1</v>
      </c>
      <c r="AW69">
        <v>0</v>
      </c>
      <c r="AX69">
        <v>3100</v>
      </c>
      <c r="AY69">
        <v>9800</v>
      </c>
      <c r="AZ69">
        <v>0</v>
      </c>
      <c r="BA69">
        <v>0</v>
      </c>
      <c r="BB69" t="s">
        <v>1</v>
      </c>
      <c r="BC69" t="s">
        <v>383</v>
      </c>
      <c r="BD69" t="s">
        <v>368</v>
      </c>
      <c r="BE69" t="s">
        <v>1</v>
      </c>
      <c r="BF69" t="s">
        <v>1</v>
      </c>
      <c r="BG69" t="s">
        <v>1</v>
      </c>
      <c r="BH69">
        <v>0</v>
      </c>
      <c r="BI69">
        <v>0</v>
      </c>
      <c r="BJ69" t="s">
        <v>369</v>
      </c>
      <c r="BK69" t="s">
        <v>1</v>
      </c>
      <c r="BL69">
        <v>0</v>
      </c>
      <c r="BM69">
        <v>0</v>
      </c>
      <c r="BN69">
        <v>12900</v>
      </c>
      <c r="BO69">
        <v>0</v>
      </c>
      <c r="BP69">
        <v>0</v>
      </c>
      <c r="BQ69">
        <v>0</v>
      </c>
      <c r="BR69" t="s">
        <v>1</v>
      </c>
      <c r="BS69" t="s">
        <v>1</v>
      </c>
      <c r="BT69" t="s">
        <v>1</v>
      </c>
      <c r="BU69" t="s">
        <v>1</v>
      </c>
      <c r="BV69" t="s">
        <v>1</v>
      </c>
      <c r="BW69" t="s">
        <v>360</v>
      </c>
      <c r="BX69" t="s">
        <v>1</v>
      </c>
      <c r="BY69">
        <v>0</v>
      </c>
      <c r="BZ69">
        <v>0</v>
      </c>
      <c r="CA69">
        <v>0</v>
      </c>
      <c r="CB69">
        <v>0</v>
      </c>
      <c r="CD69" t="str" cm="1">
        <f t="array" aca="1" ref="CD69" ca="1">eConcatenar(A69:CB69,"|")</f>
        <v>d1uzCvPWbVgTQxBc|VSA2021-T-0041|3|IMPERIAL DE LUJO |TABASCO|VILLAHERMOSA |VILLAHERMOSA |2021-01-20|12900|X|X|200|1|0|X|X|X|X|X|X|X|X|X|X|X|X|0|LOPEZ |GOMEZ |BALDEMAR |0|X|X|CALLE SIN NOMBRE |EJIDO LAZARO CARDENAS |X|9323273378|BELLANIRA REYES VELOZ|BENEFICIARIO 2 IGNACIO GALICIA PEREZ |0|CALLE SIN NOMBRE |X|1|0|0|X|X|X|0|3100|9800|0|0|X|2021-11-16|2021-06-12|X|X|X|0|0|QYD9TF2W9KVTQO|X|0|0|12900|0|0|0|X|X|X|X|X|VILLAHERMOSA |X|0|0|0|0</v>
      </c>
    </row>
    <row r="70" spans="1:82" x14ac:dyDescent="0.25">
      <c r="A70" t="s">
        <v>595</v>
      </c>
      <c r="B70" t="s">
        <v>596</v>
      </c>
      <c r="C70">
        <v>3</v>
      </c>
      <c r="D70" t="s">
        <v>121</v>
      </c>
      <c r="E70" t="s">
        <v>359</v>
      </c>
      <c r="F70" t="s">
        <v>360</v>
      </c>
      <c r="G70" t="s">
        <v>360</v>
      </c>
      <c r="H70" t="s">
        <v>597</v>
      </c>
      <c r="I70">
        <v>12900</v>
      </c>
      <c r="J70" t="s">
        <v>1</v>
      </c>
      <c r="K70" t="s">
        <v>1</v>
      </c>
      <c r="L70">
        <v>200</v>
      </c>
      <c r="M70">
        <v>1</v>
      </c>
      <c r="N70">
        <v>0</v>
      </c>
      <c r="O70" t="s">
        <v>1</v>
      </c>
      <c r="P70" t="s">
        <v>1</v>
      </c>
      <c r="Q70" t="s">
        <v>1</v>
      </c>
      <c r="R70" t="s">
        <v>1</v>
      </c>
      <c r="S70" t="s">
        <v>1</v>
      </c>
      <c r="T70" t="s">
        <v>1</v>
      </c>
      <c r="U70" t="s">
        <v>1</v>
      </c>
      <c r="V70" t="s">
        <v>1</v>
      </c>
      <c r="W70" t="s">
        <v>1</v>
      </c>
      <c r="X70" t="s">
        <v>1</v>
      </c>
      <c r="Y70" t="s">
        <v>1</v>
      </c>
      <c r="Z70" t="s">
        <v>1</v>
      </c>
      <c r="AA70">
        <v>0</v>
      </c>
      <c r="AB70" t="s">
        <v>200</v>
      </c>
      <c r="AC70" t="s">
        <v>598</v>
      </c>
      <c r="AD70" t="s">
        <v>599</v>
      </c>
      <c r="AE70">
        <v>0</v>
      </c>
      <c r="AF70" t="s">
        <v>1</v>
      </c>
      <c r="AG70" t="s">
        <v>1</v>
      </c>
      <c r="AH70" t="s">
        <v>600</v>
      </c>
      <c r="AI70" t="s">
        <v>601</v>
      </c>
      <c r="AJ70" t="s">
        <v>1</v>
      </c>
      <c r="AK70">
        <v>9321250175</v>
      </c>
      <c r="AL70" t="s">
        <v>602</v>
      </c>
      <c r="AM70" t="s">
        <v>603</v>
      </c>
      <c r="AN70">
        <v>0</v>
      </c>
      <c r="AO70" t="s">
        <v>600</v>
      </c>
      <c r="AP70" t="s">
        <v>1</v>
      </c>
      <c r="AQ70">
        <v>1</v>
      </c>
      <c r="AR70">
        <v>0</v>
      </c>
      <c r="AS70">
        <v>0</v>
      </c>
      <c r="AT70" t="s">
        <v>1</v>
      </c>
      <c r="AU70" t="s">
        <v>1</v>
      </c>
      <c r="AV70" t="s">
        <v>1</v>
      </c>
      <c r="AW70">
        <v>0</v>
      </c>
      <c r="AX70">
        <v>3200</v>
      </c>
      <c r="AY70">
        <v>9700</v>
      </c>
      <c r="AZ70">
        <v>0</v>
      </c>
      <c r="BA70">
        <v>0</v>
      </c>
      <c r="BB70" t="s">
        <v>1</v>
      </c>
      <c r="BC70" t="s">
        <v>383</v>
      </c>
      <c r="BD70" t="s">
        <v>368</v>
      </c>
      <c r="BE70" t="s">
        <v>1</v>
      </c>
      <c r="BF70" t="s">
        <v>1</v>
      </c>
      <c r="BG70" t="s">
        <v>1</v>
      </c>
      <c r="BH70">
        <v>0</v>
      </c>
      <c r="BI70">
        <v>0</v>
      </c>
      <c r="BJ70" t="s">
        <v>369</v>
      </c>
      <c r="BK70" t="s">
        <v>1</v>
      </c>
      <c r="BL70">
        <v>1</v>
      </c>
      <c r="BM70">
        <v>0</v>
      </c>
      <c r="BN70">
        <v>12900</v>
      </c>
      <c r="BO70">
        <v>0</v>
      </c>
      <c r="BP70">
        <v>0</v>
      </c>
      <c r="BQ70">
        <v>0</v>
      </c>
      <c r="BR70" t="s">
        <v>1</v>
      </c>
      <c r="BS70" t="s">
        <v>1</v>
      </c>
      <c r="BT70" t="s">
        <v>1</v>
      </c>
      <c r="BU70" t="s">
        <v>1</v>
      </c>
      <c r="BV70" t="s">
        <v>1</v>
      </c>
      <c r="BW70" t="s">
        <v>360</v>
      </c>
      <c r="BX70" t="s">
        <v>1</v>
      </c>
      <c r="BY70">
        <v>0</v>
      </c>
      <c r="BZ70">
        <v>0</v>
      </c>
      <c r="CA70">
        <v>0</v>
      </c>
      <c r="CB70">
        <v>0</v>
      </c>
      <c r="CD70" t="str" cm="1">
        <f t="array" aca="1" ref="CD70" ca="1">eConcatenar(A70:CB70,"|")</f>
        <v>jtkrZiiwyEuCVmoL|VSA2021-T-0036|3|IMPERIAL DE LUJO |TABASCO|VILLAHERMOSA |VILLAHERMOSA |2021-01-18|12900|X|X|200|1|0|X|X|X|X|X|X|X|X|X|X|X|X|0|GONZALEZ |JIMENEZ |EVELYN |0|X|X|ANDADOR CARLOS A MADRAZO |BARRIO LA CURVA VILLA TAPIJULAPA |X|9321250175|ALFREDO MENDOZA MAYORGA |BENEFICIARIO 2 ALDO FABRICIO MENDOZA GONZALEZ |0|ANDADOR CARLOS A MADRAZO |X|1|0|0|X|X|X|0|3200|9700|0|0|X|2021-11-16|2021-06-12|X|X|X|0|0|QYD9TF2W9KVTQO|X|1|0|12900|0|0|0|X|X|X|X|X|VILLAHERMOSA |X|0|0|0|0</v>
      </c>
    </row>
    <row r="71" spans="1:82" x14ac:dyDescent="0.25">
      <c r="A71" t="s">
        <v>604</v>
      </c>
      <c r="B71" t="s">
        <v>605</v>
      </c>
      <c r="C71">
        <v>3</v>
      </c>
      <c r="D71" t="s">
        <v>445</v>
      </c>
      <c r="E71" t="s">
        <v>359</v>
      </c>
      <c r="F71" t="s">
        <v>360</v>
      </c>
      <c r="G71" t="s">
        <v>360</v>
      </c>
      <c r="H71" t="s">
        <v>606</v>
      </c>
      <c r="I71">
        <v>31500</v>
      </c>
      <c r="J71" t="s">
        <v>1</v>
      </c>
      <c r="K71" t="s">
        <v>1</v>
      </c>
      <c r="L71">
        <v>200</v>
      </c>
      <c r="M71">
        <v>0</v>
      </c>
      <c r="N71">
        <v>0</v>
      </c>
      <c r="O71" t="s">
        <v>1</v>
      </c>
      <c r="P71" t="s">
        <v>1</v>
      </c>
      <c r="Q71" t="s">
        <v>1</v>
      </c>
      <c r="R71" t="s">
        <v>1</v>
      </c>
      <c r="S71" t="s">
        <v>1</v>
      </c>
      <c r="T71" t="s">
        <v>1</v>
      </c>
      <c r="U71" t="s">
        <v>1</v>
      </c>
      <c r="V71" t="s">
        <v>1</v>
      </c>
      <c r="W71" t="s">
        <v>1</v>
      </c>
      <c r="X71" t="s">
        <v>1</v>
      </c>
      <c r="Y71" t="s">
        <v>1</v>
      </c>
      <c r="Z71" t="s">
        <v>1</v>
      </c>
      <c r="AA71">
        <v>0</v>
      </c>
      <c r="AB71" t="s">
        <v>15</v>
      </c>
      <c r="AC71" t="s">
        <v>191</v>
      </c>
      <c r="AD71" t="s">
        <v>607</v>
      </c>
      <c r="AE71">
        <v>0</v>
      </c>
      <c r="AF71" t="s">
        <v>1</v>
      </c>
      <c r="AG71" t="s">
        <v>1</v>
      </c>
      <c r="AH71" t="s">
        <v>608</v>
      </c>
      <c r="AI71" t="s">
        <v>601</v>
      </c>
      <c r="AJ71" t="s">
        <v>1</v>
      </c>
      <c r="AK71">
        <v>9321027476</v>
      </c>
      <c r="AL71" t="s">
        <v>609</v>
      </c>
      <c r="AM71" t="s">
        <v>610</v>
      </c>
      <c r="AN71">
        <v>0</v>
      </c>
      <c r="AO71" t="s">
        <v>608</v>
      </c>
      <c r="AP71" t="s">
        <v>1</v>
      </c>
      <c r="AQ71">
        <v>0</v>
      </c>
      <c r="AR71">
        <v>0</v>
      </c>
      <c r="AS71">
        <v>0</v>
      </c>
      <c r="AT71" t="s">
        <v>1</v>
      </c>
      <c r="AU71" t="s">
        <v>1</v>
      </c>
      <c r="AV71" t="s">
        <v>1</v>
      </c>
      <c r="AW71">
        <v>0</v>
      </c>
      <c r="AX71">
        <v>6600</v>
      </c>
      <c r="AY71">
        <v>24900</v>
      </c>
      <c r="AZ71">
        <v>0</v>
      </c>
      <c r="BA71">
        <v>0</v>
      </c>
      <c r="BB71" t="s">
        <v>1</v>
      </c>
      <c r="BC71" t="s">
        <v>383</v>
      </c>
      <c r="BD71" t="s">
        <v>368</v>
      </c>
      <c r="BE71" t="s">
        <v>1</v>
      </c>
      <c r="BF71" t="s">
        <v>1</v>
      </c>
      <c r="BG71" t="s">
        <v>1</v>
      </c>
      <c r="BH71">
        <v>0</v>
      </c>
      <c r="BI71">
        <v>0</v>
      </c>
      <c r="BJ71" t="s">
        <v>369</v>
      </c>
      <c r="BK71" t="s">
        <v>1</v>
      </c>
      <c r="BL71">
        <v>1</v>
      </c>
      <c r="BM71">
        <v>0</v>
      </c>
      <c r="BN71">
        <v>31500</v>
      </c>
      <c r="BO71">
        <v>0</v>
      </c>
      <c r="BP71">
        <v>0</v>
      </c>
      <c r="BQ71">
        <v>0</v>
      </c>
      <c r="BR71" t="s">
        <v>1</v>
      </c>
      <c r="BS71" t="s">
        <v>1</v>
      </c>
      <c r="BT71" t="s">
        <v>1</v>
      </c>
      <c r="BU71" t="s">
        <v>1</v>
      </c>
      <c r="BV71" t="s">
        <v>1</v>
      </c>
      <c r="BW71" t="s">
        <v>360</v>
      </c>
      <c r="BX71" t="s">
        <v>1</v>
      </c>
      <c r="BY71">
        <v>0</v>
      </c>
      <c r="BZ71">
        <v>0</v>
      </c>
      <c r="CA71">
        <v>0</v>
      </c>
      <c r="CB71">
        <v>0</v>
      </c>
      <c r="CD71" t="str" cm="1">
        <f t="array" aca="1" ref="CD71" ca="1">eConcatenar(A71:CB71,"|")</f>
        <v>5Suvm66TjPRw26Au|VSA2021-T-0032|3|PRESIDENCIAL |TABASCO|VILLAHERMOSA |VILLAHERMOSA |2021-01-14|31500|X|X|200|0|0|X|X|X|X|X|X|X|X|X|X|X|X|0|PEREZ |MARTINEZ |EUDOCIA |0|X|X|ANDADOR SIN NOMBRE |BARRIO LA CURVA VILLA TAPIJULAPA |X|9321027476|INES MURILLO EVITIA |BENEFICIARIO 2 ELIZABETH BERENICE MURILLO PEREZ |0|ANDADOR SIN NOMBRE |X|0|0|0|X|X|X|0|6600|24900|0|0|X|2021-11-16|2021-06-12|X|X|X|0|0|QYD9TF2W9KVTQO|X|1|0|31500|0|0|0|X|X|X|X|X|VILLAHERMOSA |X|0|0|0|0</v>
      </c>
    </row>
    <row r="72" spans="1:82" x14ac:dyDescent="0.25">
      <c r="A72" t="s">
        <v>611</v>
      </c>
      <c r="B72" t="s">
        <v>612</v>
      </c>
      <c r="C72">
        <v>3</v>
      </c>
      <c r="D72" t="s">
        <v>445</v>
      </c>
      <c r="E72" t="s">
        <v>359</v>
      </c>
      <c r="F72" t="s">
        <v>360</v>
      </c>
      <c r="G72" t="s">
        <v>360</v>
      </c>
      <c r="H72" t="s">
        <v>606</v>
      </c>
      <c r="I72">
        <v>31500</v>
      </c>
      <c r="J72" t="s">
        <v>1</v>
      </c>
      <c r="K72" t="s">
        <v>1</v>
      </c>
      <c r="L72">
        <v>200</v>
      </c>
      <c r="M72">
        <v>0</v>
      </c>
      <c r="N72">
        <v>0</v>
      </c>
      <c r="O72" t="s">
        <v>1</v>
      </c>
      <c r="P72" t="s">
        <v>1</v>
      </c>
      <c r="Q72" t="s">
        <v>1</v>
      </c>
      <c r="R72" t="s">
        <v>1</v>
      </c>
      <c r="S72" t="s">
        <v>1</v>
      </c>
      <c r="T72" t="s">
        <v>1</v>
      </c>
      <c r="U72" t="s">
        <v>1</v>
      </c>
      <c r="V72" t="s">
        <v>1</v>
      </c>
      <c r="W72" t="s">
        <v>1</v>
      </c>
      <c r="X72" t="s">
        <v>1</v>
      </c>
      <c r="Y72" t="s">
        <v>1</v>
      </c>
      <c r="Z72" t="s">
        <v>1</v>
      </c>
      <c r="AA72">
        <v>0</v>
      </c>
      <c r="AB72" t="s">
        <v>575</v>
      </c>
      <c r="AC72" t="s">
        <v>613</v>
      </c>
      <c r="AD72" t="s">
        <v>614</v>
      </c>
      <c r="AE72">
        <v>0</v>
      </c>
      <c r="AF72" t="s">
        <v>1</v>
      </c>
      <c r="AG72" t="s">
        <v>1</v>
      </c>
      <c r="AH72" t="s">
        <v>615</v>
      </c>
      <c r="AI72" t="s">
        <v>616</v>
      </c>
      <c r="AJ72" t="s">
        <v>1</v>
      </c>
      <c r="AK72">
        <v>9321017730</v>
      </c>
      <c r="AL72" t="s">
        <v>617</v>
      </c>
      <c r="AM72" t="s">
        <v>618</v>
      </c>
      <c r="AN72">
        <v>0</v>
      </c>
      <c r="AO72" t="s">
        <v>615</v>
      </c>
      <c r="AP72" t="s">
        <v>1</v>
      </c>
      <c r="AQ72">
        <v>1</v>
      </c>
      <c r="AR72">
        <v>0</v>
      </c>
      <c r="AS72">
        <v>0</v>
      </c>
      <c r="AT72" t="s">
        <v>1</v>
      </c>
      <c r="AU72" t="s">
        <v>1</v>
      </c>
      <c r="AV72" t="s">
        <v>1</v>
      </c>
      <c r="AW72">
        <v>0</v>
      </c>
      <c r="AX72">
        <v>6600</v>
      </c>
      <c r="AY72">
        <v>24900</v>
      </c>
      <c r="AZ72">
        <v>0</v>
      </c>
      <c r="BA72">
        <v>0</v>
      </c>
      <c r="BB72" t="s">
        <v>1</v>
      </c>
      <c r="BC72" t="s">
        <v>383</v>
      </c>
      <c r="BD72" t="s">
        <v>368</v>
      </c>
      <c r="BE72" t="s">
        <v>1</v>
      </c>
      <c r="BF72" t="s">
        <v>1</v>
      </c>
      <c r="BG72" t="s">
        <v>1</v>
      </c>
      <c r="BH72">
        <v>0</v>
      </c>
      <c r="BI72">
        <v>0</v>
      </c>
      <c r="BJ72" t="s">
        <v>369</v>
      </c>
      <c r="BK72" t="s">
        <v>1</v>
      </c>
      <c r="BL72">
        <v>1</v>
      </c>
      <c r="BM72">
        <v>0</v>
      </c>
      <c r="BN72">
        <v>31500</v>
      </c>
      <c r="BO72">
        <v>0</v>
      </c>
      <c r="BP72">
        <v>0</v>
      </c>
      <c r="BQ72">
        <v>0</v>
      </c>
      <c r="BR72" t="s">
        <v>1</v>
      </c>
      <c r="BS72" t="s">
        <v>1</v>
      </c>
      <c r="BT72" t="s">
        <v>1</v>
      </c>
      <c r="BU72" t="s">
        <v>1</v>
      </c>
      <c r="BV72" t="s">
        <v>1</v>
      </c>
      <c r="BW72" t="s">
        <v>360</v>
      </c>
      <c r="BX72" t="s">
        <v>1</v>
      </c>
      <c r="BY72">
        <v>0</v>
      </c>
      <c r="BZ72">
        <v>0</v>
      </c>
      <c r="CA72">
        <v>0</v>
      </c>
      <c r="CB72">
        <v>0</v>
      </c>
      <c r="CD72" t="str" cm="1">
        <f t="array" aca="1" ref="CD72" ca="1">eConcatenar(A72:CB72,"|")</f>
        <v>bzSFbsCPSWuMARCd|VSA2021-T-0030|3|PRESIDENCIAL |TABASCO|VILLAHERMOSA |VILLAHERMOSA |2021-01-14|31500|X|X|200|0|0|X|X|X|X|X|X|X|X|X|X|X|X|0|MORALES |CORZO|LEONOR |0|X|X|CALLEJON AMANTA |VILLA TAPIJULAPA |X|9321017730|JESUS MANUEL PEREZ MORALES |BENEFICIARIO 2 JUDITH PEREZ MORALES |0|CALLEJON AMANTA |X|1|0|0|X|X|X|0|6600|24900|0|0|X|2021-11-16|2021-06-12|X|X|X|0|0|QYD9TF2W9KVTQO|X|1|0|31500|0|0|0|X|X|X|X|X|VILLAHERMOSA |X|0|0|0|0</v>
      </c>
    </row>
    <row r="73" spans="1:82" x14ac:dyDescent="0.25">
      <c r="A73" t="s">
        <v>619</v>
      </c>
      <c r="B73" t="s">
        <v>620</v>
      </c>
      <c r="C73">
        <v>3</v>
      </c>
      <c r="D73" t="s">
        <v>121</v>
      </c>
      <c r="E73" t="s">
        <v>359</v>
      </c>
      <c r="F73" t="s">
        <v>360</v>
      </c>
      <c r="G73" t="s">
        <v>360</v>
      </c>
      <c r="H73" t="s">
        <v>597</v>
      </c>
      <c r="I73">
        <v>12900</v>
      </c>
      <c r="J73" t="s">
        <v>1</v>
      </c>
      <c r="K73" t="s">
        <v>1</v>
      </c>
      <c r="L73">
        <v>200</v>
      </c>
      <c r="M73">
        <v>1</v>
      </c>
      <c r="N73">
        <v>0</v>
      </c>
      <c r="O73" t="s">
        <v>1</v>
      </c>
      <c r="P73" t="s">
        <v>1</v>
      </c>
      <c r="Q73" t="s">
        <v>1</v>
      </c>
      <c r="R73" t="s">
        <v>1</v>
      </c>
      <c r="S73" t="s">
        <v>1</v>
      </c>
      <c r="T73" t="s">
        <v>1</v>
      </c>
      <c r="U73" t="s">
        <v>1</v>
      </c>
      <c r="V73" t="s">
        <v>1</v>
      </c>
      <c r="W73" t="s">
        <v>1</v>
      </c>
      <c r="X73" t="s">
        <v>1</v>
      </c>
      <c r="Y73" t="s">
        <v>1</v>
      </c>
      <c r="Z73" t="s">
        <v>1</v>
      </c>
      <c r="AA73">
        <v>0</v>
      </c>
      <c r="AB73" t="s">
        <v>621</v>
      </c>
      <c r="AC73" t="s">
        <v>439</v>
      </c>
      <c r="AD73" t="s">
        <v>622</v>
      </c>
      <c r="AE73">
        <v>0</v>
      </c>
      <c r="AF73" t="s">
        <v>1</v>
      </c>
      <c r="AG73" t="s">
        <v>1</v>
      </c>
      <c r="AH73" t="s">
        <v>608</v>
      </c>
      <c r="AI73" t="s">
        <v>601</v>
      </c>
      <c r="AJ73" t="s">
        <v>1</v>
      </c>
      <c r="AK73">
        <v>9311110600</v>
      </c>
      <c r="AL73" t="s">
        <v>623</v>
      </c>
      <c r="AM73" t="s">
        <v>624</v>
      </c>
      <c r="AN73">
        <v>0</v>
      </c>
      <c r="AO73" t="s">
        <v>608</v>
      </c>
      <c r="AP73" t="s">
        <v>1</v>
      </c>
      <c r="AQ73">
        <v>0</v>
      </c>
      <c r="AR73">
        <v>0</v>
      </c>
      <c r="AS73">
        <v>0</v>
      </c>
      <c r="AT73" t="s">
        <v>1</v>
      </c>
      <c r="AU73" t="s">
        <v>1</v>
      </c>
      <c r="AV73" t="s">
        <v>1</v>
      </c>
      <c r="AW73">
        <v>0</v>
      </c>
      <c r="AX73">
        <v>3000</v>
      </c>
      <c r="AY73">
        <v>9900</v>
      </c>
      <c r="AZ73">
        <v>0</v>
      </c>
      <c r="BA73">
        <v>0</v>
      </c>
      <c r="BB73" t="s">
        <v>1</v>
      </c>
      <c r="BC73" t="s">
        <v>383</v>
      </c>
      <c r="BD73" t="s">
        <v>368</v>
      </c>
      <c r="BE73" t="s">
        <v>1</v>
      </c>
      <c r="BF73" t="s">
        <v>1</v>
      </c>
      <c r="BG73" t="s">
        <v>1</v>
      </c>
      <c r="BH73">
        <v>0</v>
      </c>
      <c r="BI73">
        <v>0</v>
      </c>
      <c r="BJ73" t="s">
        <v>369</v>
      </c>
      <c r="BK73" t="s">
        <v>1</v>
      </c>
      <c r="BL73">
        <v>0</v>
      </c>
      <c r="BM73">
        <v>0</v>
      </c>
      <c r="BN73">
        <v>12900</v>
      </c>
      <c r="BO73">
        <v>0</v>
      </c>
      <c r="BP73">
        <v>0</v>
      </c>
      <c r="BQ73">
        <v>0</v>
      </c>
      <c r="BR73" t="s">
        <v>1</v>
      </c>
      <c r="BS73" t="s">
        <v>1</v>
      </c>
      <c r="BT73" t="s">
        <v>1</v>
      </c>
      <c r="BU73" t="s">
        <v>1</v>
      </c>
      <c r="BV73" t="s">
        <v>1</v>
      </c>
      <c r="BW73" t="s">
        <v>360</v>
      </c>
      <c r="BX73" t="s">
        <v>1</v>
      </c>
      <c r="BY73">
        <v>0</v>
      </c>
      <c r="BZ73">
        <v>0</v>
      </c>
      <c r="CA73">
        <v>0</v>
      </c>
      <c r="CB73">
        <v>0</v>
      </c>
      <c r="CD73" t="str" cm="1">
        <f t="array" aca="1" ref="CD73" ca="1">eConcatenar(A73:CB73,"|")</f>
        <v>uQ21JRlnnYOtaVuT|VSA2021-T-0035|3|IMPERIAL DE LUJO |TABASCO|VILLAHERMOSA |VILLAHERMOSA |2021-01-18|12900|X|X|200|1|0|X|X|X|X|X|X|X|X|X|X|X|X|0|ORDOÃ‘EZ |REYES |CARLOS |0|X|X|ANDADOR SIN NOMBRE |BARRIO LA CURVA VILLA TAPIJULAPA |X|9311110600|YULMA DEL CARMEN PEREZ PAZ |BENEFICIARIO 2 ESTEPHANI GUADALUPE ORDOÃ‘EZ PEREZ |0|ANDADOR SIN NOMBRE |X|0|0|0|X|X|X|0|3000|9900|0|0|X|2021-11-16|2021-06-12|X|X|X|0|0|QYD9TF2W9KVTQO|X|0|0|12900|0|0|0|X|X|X|X|X|VILLAHERMOSA |X|0|0|0|0</v>
      </c>
    </row>
    <row r="74" spans="1:82" x14ac:dyDescent="0.25">
      <c r="A74" t="s">
        <v>625</v>
      </c>
      <c r="B74" t="s">
        <v>626</v>
      </c>
      <c r="C74">
        <v>3</v>
      </c>
      <c r="D74" t="s">
        <v>121</v>
      </c>
      <c r="E74" t="s">
        <v>359</v>
      </c>
      <c r="F74" t="s">
        <v>360</v>
      </c>
      <c r="G74" t="s">
        <v>360</v>
      </c>
      <c r="H74" t="s">
        <v>597</v>
      </c>
      <c r="I74">
        <v>12900</v>
      </c>
      <c r="J74" t="s">
        <v>1</v>
      </c>
      <c r="K74" t="s">
        <v>1</v>
      </c>
      <c r="L74">
        <v>100</v>
      </c>
      <c r="M74">
        <v>0</v>
      </c>
      <c r="N74">
        <v>0</v>
      </c>
      <c r="O74" t="s">
        <v>1</v>
      </c>
      <c r="P74" t="s">
        <v>1</v>
      </c>
      <c r="Q74" t="s">
        <v>1</v>
      </c>
      <c r="R74" t="s">
        <v>1</v>
      </c>
      <c r="S74" t="s">
        <v>1</v>
      </c>
      <c r="T74" t="s">
        <v>1</v>
      </c>
      <c r="U74" t="s">
        <v>1</v>
      </c>
      <c r="V74" t="s">
        <v>1</v>
      </c>
      <c r="W74" t="s">
        <v>1</v>
      </c>
      <c r="X74" t="s">
        <v>1</v>
      </c>
      <c r="Y74" t="s">
        <v>1</v>
      </c>
      <c r="Z74" t="s">
        <v>1</v>
      </c>
      <c r="AA74">
        <v>0</v>
      </c>
      <c r="AB74" t="s">
        <v>627</v>
      </c>
      <c r="AC74" t="s">
        <v>628</v>
      </c>
      <c r="AD74" t="s">
        <v>629</v>
      </c>
      <c r="AE74">
        <v>0</v>
      </c>
      <c r="AF74" t="s">
        <v>1</v>
      </c>
      <c r="AG74" t="s">
        <v>1</v>
      </c>
      <c r="AH74" t="s">
        <v>522</v>
      </c>
      <c r="AI74" t="s">
        <v>630</v>
      </c>
      <c r="AJ74" t="s">
        <v>1</v>
      </c>
      <c r="AK74">
        <v>9324884800</v>
      </c>
      <c r="AL74" t="s">
        <v>631</v>
      </c>
      <c r="AM74" t="s">
        <v>632</v>
      </c>
      <c r="AN74">
        <v>0</v>
      </c>
      <c r="AO74" t="s">
        <v>522</v>
      </c>
      <c r="AP74" t="s">
        <v>1</v>
      </c>
      <c r="AQ74">
        <v>1</v>
      </c>
      <c r="AR74">
        <v>0</v>
      </c>
      <c r="AS74">
        <v>0</v>
      </c>
      <c r="AT74" t="s">
        <v>1</v>
      </c>
      <c r="AU74" t="s">
        <v>1</v>
      </c>
      <c r="AV74" t="s">
        <v>1</v>
      </c>
      <c r="AW74">
        <v>0</v>
      </c>
      <c r="AX74">
        <v>3800</v>
      </c>
      <c r="AY74">
        <v>9100</v>
      </c>
      <c r="AZ74">
        <v>0</v>
      </c>
      <c r="BA74">
        <v>0</v>
      </c>
      <c r="BB74" t="s">
        <v>1</v>
      </c>
      <c r="BC74" t="s">
        <v>442</v>
      </c>
      <c r="BD74" t="s">
        <v>377</v>
      </c>
      <c r="BE74" t="s">
        <v>1</v>
      </c>
      <c r="BF74" t="s">
        <v>1</v>
      </c>
      <c r="BG74" t="s">
        <v>1</v>
      </c>
      <c r="BH74">
        <v>0</v>
      </c>
      <c r="BI74">
        <v>0</v>
      </c>
      <c r="BJ74" t="s">
        <v>369</v>
      </c>
      <c r="BK74" t="s">
        <v>1</v>
      </c>
      <c r="BL74">
        <v>1</v>
      </c>
      <c r="BM74">
        <v>0</v>
      </c>
      <c r="BN74">
        <v>12900</v>
      </c>
      <c r="BO74">
        <v>0</v>
      </c>
      <c r="BP74">
        <v>0</v>
      </c>
      <c r="BQ74">
        <v>0</v>
      </c>
      <c r="BR74" t="s">
        <v>1</v>
      </c>
      <c r="BS74" t="s">
        <v>1</v>
      </c>
      <c r="BT74" t="s">
        <v>1</v>
      </c>
      <c r="BU74" t="s">
        <v>1</v>
      </c>
      <c r="BV74" t="s">
        <v>1</v>
      </c>
      <c r="BW74" t="s">
        <v>360</v>
      </c>
      <c r="BX74" t="s">
        <v>1</v>
      </c>
      <c r="BY74">
        <v>0</v>
      </c>
      <c r="BZ74">
        <v>0</v>
      </c>
      <c r="CA74">
        <v>0</v>
      </c>
      <c r="CB74">
        <v>0</v>
      </c>
      <c r="CD74" t="str" cm="1">
        <f t="array" aca="1" ref="CD74" ca="1">eConcatenar(A74:CB74,"|")</f>
        <v>lYqWopeJmUXnh49l|VSA2021-T-0034|3|IMPERIAL DE LUJO |TABASCO|VILLAHERMOSA |VILLAHERMOSA |2021-01-18|12900|X|X|100|0|0|X|X|X|X|X|X|X|X|X|X|X|X|0|OVANDO |ALVAREZ |BELLANIRA |0|X|X|CARRETERA A TAPIJULAPA |RANCHERIA MADRIGAL QUINTA SECCION |X|9324884800|GUILLERMO MALDONADO SANCHEZ |BENEFICIARIO 2 MARIA ALVAREZ LOPEZ |0|CARRETERA A TAPIJULAPA |X|1|0|0|X|X|X|0|3800|9100|0|0|X|2021-11-30|2021-07-12|X|X|X|0|0|QYD9TF2W9KVTQO|X|1|0|12900|0|0|0|X|X|X|X|X|VILLAHERMOSA |X|0|0|0|0</v>
      </c>
    </row>
    <row r="75" spans="1:82" x14ac:dyDescent="0.25">
      <c r="A75" t="s">
        <v>633</v>
      </c>
      <c r="B75" t="s">
        <v>634</v>
      </c>
      <c r="C75">
        <v>3</v>
      </c>
      <c r="D75" t="s">
        <v>121</v>
      </c>
      <c r="E75" t="s">
        <v>359</v>
      </c>
      <c r="F75" t="s">
        <v>360</v>
      </c>
      <c r="G75" t="s">
        <v>360</v>
      </c>
      <c r="H75" t="s">
        <v>635</v>
      </c>
      <c r="I75">
        <v>12900</v>
      </c>
      <c r="J75" t="s">
        <v>1</v>
      </c>
      <c r="K75" t="s">
        <v>1</v>
      </c>
      <c r="L75">
        <v>100</v>
      </c>
      <c r="M75">
        <v>0</v>
      </c>
      <c r="N75">
        <v>0</v>
      </c>
      <c r="O75" t="s">
        <v>1</v>
      </c>
      <c r="P75" t="s">
        <v>1</v>
      </c>
      <c r="Q75" t="s">
        <v>1</v>
      </c>
      <c r="R75" t="s">
        <v>1</v>
      </c>
      <c r="S75" t="s">
        <v>1</v>
      </c>
      <c r="T75" t="s">
        <v>1</v>
      </c>
      <c r="U75" t="s">
        <v>1</v>
      </c>
      <c r="V75" t="s">
        <v>1</v>
      </c>
      <c r="W75" t="s">
        <v>1</v>
      </c>
      <c r="X75" t="s">
        <v>1</v>
      </c>
      <c r="Y75" t="s">
        <v>1</v>
      </c>
      <c r="Z75" t="s">
        <v>1</v>
      </c>
      <c r="AA75">
        <v>0</v>
      </c>
      <c r="AB75" t="s">
        <v>183</v>
      </c>
      <c r="AC75" t="s">
        <v>636</v>
      </c>
      <c r="AD75" t="s">
        <v>637</v>
      </c>
      <c r="AE75">
        <v>0</v>
      </c>
      <c r="AF75" t="s">
        <v>1</v>
      </c>
      <c r="AG75" t="s">
        <v>1</v>
      </c>
      <c r="AH75" t="s">
        <v>416</v>
      </c>
      <c r="AI75" t="s">
        <v>505</v>
      </c>
      <c r="AJ75" t="s">
        <v>1</v>
      </c>
      <c r="AK75">
        <v>9321113732</v>
      </c>
      <c r="AL75" t="s">
        <v>638</v>
      </c>
      <c r="AM75" t="s">
        <v>639</v>
      </c>
      <c r="AN75">
        <v>0</v>
      </c>
      <c r="AO75" t="s">
        <v>416</v>
      </c>
      <c r="AP75" t="s">
        <v>1</v>
      </c>
      <c r="AQ75">
        <v>0</v>
      </c>
      <c r="AR75">
        <v>0</v>
      </c>
      <c r="AS75">
        <v>0</v>
      </c>
      <c r="AT75" t="s">
        <v>1</v>
      </c>
      <c r="AU75" t="s">
        <v>1</v>
      </c>
      <c r="AV75" t="s">
        <v>1</v>
      </c>
      <c r="AW75">
        <v>0</v>
      </c>
      <c r="AX75">
        <v>4600</v>
      </c>
      <c r="AY75">
        <v>8300</v>
      </c>
      <c r="AZ75">
        <v>0</v>
      </c>
      <c r="BA75">
        <v>0</v>
      </c>
      <c r="BB75" t="s">
        <v>1</v>
      </c>
      <c r="BC75" t="s">
        <v>423</v>
      </c>
      <c r="BD75" t="s">
        <v>368</v>
      </c>
      <c r="BE75" t="s">
        <v>1</v>
      </c>
      <c r="BF75" t="s">
        <v>1</v>
      </c>
      <c r="BG75" t="s">
        <v>1</v>
      </c>
      <c r="BH75">
        <v>0</v>
      </c>
      <c r="BI75">
        <v>0</v>
      </c>
      <c r="BJ75" t="s">
        <v>369</v>
      </c>
      <c r="BK75" t="s">
        <v>1</v>
      </c>
      <c r="BL75">
        <v>1</v>
      </c>
      <c r="BM75">
        <v>0</v>
      </c>
      <c r="BN75">
        <v>12900</v>
      </c>
      <c r="BO75">
        <v>0</v>
      </c>
      <c r="BP75">
        <v>0</v>
      </c>
      <c r="BQ75">
        <v>0</v>
      </c>
      <c r="BR75" t="s">
        <v>1</v>
      </c>
      <c r="BS75" t="s">
        <v>1</v>
      </c>
      <c r="BT75" t="s">
        <v>1</v>
      </c>
      <c r="BU75" t="s">
        <v>1</v>
      </c>
      <c r="BV75" t="s">
        <v>1</v>
      </c>
      <c r="BW75" t="s">
        <v>360</v>
      </c>
      <c r="BX75" t="s">
        <v>1</v>
      </c>
      <c r="BY75">
        <v>0</v>
      </c>
      <c r="BZ75">
        <v>0</v>
      </c>
      <c r="CA75">
        <v>0</v>
      </c>
      <c r="CB75">
        <v>0</v>
      </c>
      <c r="CD75" t="str" cm="1">
        <f t="array" aca="1" ref="CD75" ca="1">eConcatenar(A75:CB75,"|")</f>
        <v>NQEs0UXnvTKfIwYj|VSA2021-T-0025|3|IMPERIAL DE LUJO |TABASCO|VILLAHERMOSA |VILLAHERMOSA |2021-08-01|12900|X|X|100|0|0|X|X|X|X|X|X|X|X|X|X|X|X|0|MENDEZ |MENDOZA |FATIMA GUADALUPE |0|X|X|CALLE LINDA VISTA SIN NUMERO |BARRIO SABANILLA|X|9321113732|JOSE CARLOS HUCHIN CRUZ |BENEFICIARIO 2 JESUS CARMEN MENDEZ MENDOZA |0|CALLE LINDA VISTA SIN NUMERO |X|0|0|0|X|X|X|0|4600|8300|0|0|X|2021-11-29|2021-06-12|X|X|X|0|0|QYD9TF2W9KVTQO|X|1|0|12900|0|0|0|X|X|X|X|X|VILLAHERMOSA |X|0|0|0|0</v>
      </c>
    </row>
    <row r="76" spans="1:82" x14ac:dyDescent="0.25">
      <c r="A76" t="s">
        <v>640</v>
      </c>
      <c r="B76" t="s">
        <v>641</v>
      </c>
      <c r="C76">
        <v>3</v>
      </c>
      <c r="D76" t="s">
        <v>121</v>
      </c>
      <c r="E76" t="s">
        <v>359</v>
      </c>
      <c r="F76" t="s">
        <v>360</v>
      </c>
      <c r="G76" t="s">
        <v>360</v>
      </c>
      <c r="H76" t="s">
        <v>635</v>
      </c>
      <c r="I76">
        <v>12900</v>
      </c>
      <c r="J76" t="s">
        <v>1</v>
      </c>
      <c r="K76" t="s">
        <v>1</v>
      </c>
      <c r="L76">
        <v>100</v>
      </c>
      <c r="M76">
        <v>0</v>
      </c>
      <c r="N76">
        <v>0</v>
      </c>
      <c r="O76" t="s">
        <v>1</v>
      </c>
      <c r="P76" t="s">
        <v>1</v>
      </c>
      <c r="Q76" t="s">
        <v>1</v>
      </c>
      <c r="R76" t="s">
        <v>1</v>
      </c>
      <c r="S76" t="s">
        <v>1</v>
      </c>
      <c r="T76" t="s">
        <v>1</v>
      </c>
      <c r="U76" t="s">
        <v>1</v>
      </c>
      <c r="V76" t="s">
        <v>1</v>
      </c>
      <c r="W76" t="s">
        <v>1</v>
      </c>
      <c r="X76" t="s">
        <v>1</v>
      </c>
      <c r="Y76" t="s">
        <v>1</v>
      </c>
      <c r="Z76" t="s">
        <v>1</v>
      </c>
      <c r="AA76">
        <v>0</v>
      </c>
      <c r="AB76" t="s">
        <v>636</v>
      </c>
      <c r="AC76" t="s">
        <v>642</v>
      </c>
      <c r="AD76" t="s">
        <v>643</v>
      </c>
      <c r="AE76">
        <v>0</v>
      </c>
      <c r="AF76" t="s">
        <v>1</v>
      </c>
      <c r="AG76" t="s">
        <v>1</v>
      </c>
      <c r="AH76" t="s">
        <v>416</v>
      </c>
      <c r="AI76" t="s">
        <v>505</v>
      </c>
      <c r="AJ76" t="s">
        <v>1</v>
      </c>
      <c r="AK76">
        <v>2212683005</v>
      </c>
      <c r="AL76" t="s">
        <v>644</v>
      </c>
      <c r="AM76" t="s">
        <v>645</v>
      </c>
      <c r="AN76">
        <v>0</v>
      </c>
      <c r="AO76" t="s">
        <v>416</v>
      </c>
      <c r="AP76" t="s">
        <v>1</v>
      </c>
      <c r="AQ76">
        <v>0</v>
      </c>
      <c r="AR76">
        <v>0</v>
      </c>
      <c r="AS76">
        <v>0</v>
      </c>
      <c r="AT76" t="s">
        <v>1</v>
      </c>
      <c r="AU76" t="s">
        <v>1</v>
      </c>
      <c r="AV76" t="s">
        <v>1</v>
      </c>
      <c r="AW76">
        <v>0</v>
      </c>
      <c r="AX76">
        <v>4800</v>
      </c>
      <c r="AY76">
        <v>8100</v>
      </c>
      <c r="AZ76">
        <v>0</v>
      </c>
      <c r="BA76">
        <v>0</v>
      </c>
      <c r="BB76" t="s">
        <v>1</v>
      </c>
      <c r="BC76" t="s">
        <v>646</v>
      </c>
      <c r="BD76" t="s">
        <v>368</v>
      </c>
      <c r="BE76" t="s">
        <v>1</v>
      </c>
      <c r="BF76" t="s">
        <v>1</v>
      </c>
      <c r="BG76" t="s">
        <v>1</v>
      </c>
      <c r="BH76">
        <v>0</v>
      </c>
      <c r="BI76">
        <v>0</v>
      </c>
      <c r="BJ76" t="s">
        <v>369</v>
      </c>
      <c r="BK76" t="s">
        <v>1</v>
      </c>
      <c r="BL76">
        <v>1</v>
      </c>
      <c r="BM76">
        <v>0</v>
      </c>
      <c r="BN76">
        <v>12900</v>
      </c>
      <c r="BO76">
        <v>0</v>
      </c>
      <c r="BP76">
        <v>0</v>
      </c>
      <c r="BQ76">
        <v>0</v>
      </c>
      <c r="BR76" t="s">
        <v>1</v>
      </c>
      <c r="BS76" t="s">
        <v>1</v>
      </c>
      <c r="BT76" t="s">
        <v>1</v>
      </c>
      <c r="BU76" t="s">
        <v>1</v>
      </c>
      <c r="BV76" t="s">
        <v>1</v>
      </c>
      <c r="BW76" t="s">
        <v>360</v>
      </c>
      <c r="BX76" t="s">
        <v>1</v>
      </c>
      <c r="BY76">
        <v>0</v>
      </c>
      <c r="BZ76">
        <v>0</v>
      </c>
      <c r="CA76">
        <v>0</v>
      </c>
      <c r="CB76">
        <v>0</v>
      </c>
      <c r="CD76" t="str" cm="1">
        <f t="array" aca="1" ref="CD76" ca="1">eConcatenar(A76:CB76,"|")</f>
        <v>Go5ynVLyq8NcHtaZ|VSA2020-T-0024|3|IMPERIAL DE LUJO |TABASCO|VILLAHERMOSA |VILLAHERMOSA |2021-08-01|12900|X|X|100|0|0|X|X|X|X|X|X|X|X|X|X|X|X|0|MENDOZA |URBINA |ONDINA |0|X|X|CALLE LINDA VISTA SIN NUMERO |BARRIO SABANILLA|X|2212683005|FATIMA GUADALUPE MENDEZ MENDOZA |BENEFICIARIO 2 JESUS OANNEZ MENDEZ MENDOZA |0|CALLE LINDA VISTA SIN NUMERO |X|0|0|0|X|X|X|0|4800|8100|0|0|X|2021-11-19|2021-06-12|X|X|X|0|0|QYD9TF2W9KVTQO|X|1|0|12900|0|0|0|X|X|X|X|X|VILLAHERMOSA |X|0|0|0|0</v>
      </c>
    </row>
    <row r="77" spans="1:82" x14ac:dyDescent="0.25">
      <c r="A77" t="s">
        <v>647</v>
      </c>
      <c r="B77" t="s">
        <v>648</v>
      </c>
      <c r="C77">
        <v>3</v>
      </c>
      <c r="D77" t="s">
        <v>14</v>
      </c>
      <c r="E77" t="s">
        <v>359</v>
      </c>
      <c r="F77" t="s">
        <v>360</v>
      </c>
      <c r="G77" t="s">
        <v>360</v>
      </c>
      <c r="H77" t="s">
        <v>574</v>
      </c>
      <c r="I77">
        <v>12900</v>
      </c>
      <c r="J77" t="s">
        <v>1</v>
      </c>
      <c r="K77" t="s">
        <v>1</v>
      </c>
      <c r="L77">
        <v>200</v>
      </c>
      <c r="M77">
        <v>1</v>
      </c>
      <c r="N77">
        <v>0</v>
      </c>
      <c r="O77" t="s">
        <v>1</v>
      </c>
      <c r="P77" t="s">
        <v>1</v>
      </c>
      <c r="Q77" t="s">
        <v>1</v>
      </c>
      <c r="R77" t="s">
        <v>1</v>
      </c>
      <c r="S77" t="s">
        <v>1</v>
      </c>
      <c r="T77" t="s">
        <v>1</v>
      </c>
      <c r="U77" t="s">
        <v>1</v>
      </c>
      <c r="V77" t="s">
        <v>1</v>
      </c>
      <c r="W77" t="s">
        <v>1</v>
      </c>
      <c r="X77" t="s">
        <v>1</v>
      </c>
      <c r="Y77" t="s">
        <v>1</v>
      </c>
      <c r="Z77" t="s">
        <v>1</v>
      </c>
      <c r="AA77">
        <v>0</v>
      </c>
      <c r="AB77" t="s">
        <v>439</v>
      </c>
      <c r="AC77" t="s">
        <v>649</v>
      </c>
      <c r="AD77" t="s">
        <v>363</v>
      </c>
      <c r="AE77">
        <v>0</v>
      </c>
      <c r="AF77" t="s">
        <v>1</v>
      </c>
      <c r="AG77" t="s">
        <v>1</v>
      </c>
      <c r="AH77" t="s">
        <v>650</v>
      </c>
      <c r="AI77" t="s">
        <v>651</v>
      </c>
      <c r="AJ77" t="s">
        <v>1</v>
      </c>
      <c r="AK77">
        <v>9321142734</v>
      </c>
      <c r="AL77" t="s">
        <v>652</v>
      </c>
      <c r="AM77" t="s">
        <v>653</v>
      </c>
      <c r="AN77">
        <v>0</v>
      </c>
      <c r="AO77" t="s">
        <v>650</v>
      </c>
      <c r="AP77" t="s">
        <v>1</v>
      </c>
      <c r="AQ77">
        <v>1</v>
      </c>
      <c r="AR77">
        <v>0</v>
      </c>
      <c r="AS77">
        <v>0</v>
      </c>
      <c r="AT77" t="s">
        <v>1</v>
      </c>
      <c r="AU77" t="s">
        <v>1</v>
      </c>
      <c r="AV77" t="s">
        <v>1</v>
      </c>
      <c r="AW77">
        <v>0</v>
      </c>
      <c r="AX77">
        <v>7050</v>
      </c>
      <c r="AY77">
        <v>5850</v>
      </c>
      <c r="AZ77">
        <v>0</v>
      </c>
      <c r="BA77">
        <v>0</v>
      </c>
      <c r="BB77" t="s">
        <v>1</v>
      </c>
      <c r="BC77" t="s">
        <v>367</v>
      </c>
      <c r="BD77" t="s">
        <v>368</v>
      </c>
      <c r="BE77" t="s">
        <v>1</v>
      </c>
      <c r="BF77" t="s">
        <v>1</v>
      </c>
      <c r="BG77" t="s">
        <v>1</v>
      </c>
      <c r="BH77">
        <v>0</v>
      </c>
      <c r="BI77">
        <v>0</v>
      </c>
      <c r="BJ77" t="s">
        <v>369</v>
      </c>
      <c r="BK77" t="s">
        <v>1</v>
      </c>
      <c r="BL77">
        <v>0</v>
      </c>
      <c r="BM77">
        <v>0</v>
      </c>
      <c r="BN77">
        <v>12900</v>
      </c>
      <c r="BO77">
        <v>0</v>
      </c>
      <c r="BP77">
        <v>0</v>
      </c>
      <c r="BQ77">
        <v>0</v>
      </c>
      <c r="BR77" t="s">
        <v>1</v>
      </c>
      <c r="BS77" t="s">
        <v>1</v>
      </c>
      <c r="BT77" t="s">
        <v>1</v>
      </c>
      <c r="BU77" t="s">
        <v>1</v>
      </c>
      <c r="BV77" t="s">
        <v>1</v>
      </c>
      <c r="BW77" t="s">
        <v>360</v>
      </c>
      <c r="BX77" t="s">
        <v>1</v>
      </c>
      <c r="BY77">
        <v>0</v>
      </c>
      <c r="BZ77">
        <v>0</v>
      </c>
      <c r="CA77">
        <v>0</v>
      </c>
      <c r="CB77">
        <v>0</v>
      </c>
      <c r="CD77" t="str" cm="1">
        <f t="array" aca="1" ref="CD77" ca="1">eConcatenar(A77:CB77,"|")</f>
        <v>mzhJR5urxKbaigk3|VSA2020-0721|3|ECONOLINE |TABASCO|VILLAHERMOSA |VILLAHERMOSA |2019-12-12|12900|X|X|200|1|0|X|X|X|X|X|X|X|X|X|X|X|X|0|REYES |POTENCIANO |FELIX |0|X|X|CALLE LORENZO SANTA MARIA |PUEBLO NUEVO TACOTALPA |X|9321142734|FELIX RAMIRO REYES SANTOS |BENEFICIARIO 2 MAGALY REYES SANTOS |0|CALLE LORENZO SANTA MARIA |X|1|0|0|X|X|X|0|7050|5850|0|0|X|2021-11-15|2021-06-12|X|X|X|0|0|QYD9TF2W9KVTQO|X|0|0|12900|0|0|0|X|X|X|X|X|VILLAHERMOSA |X|0|0|0|0</v>
      </c>
    </row>
    <row r="78" spans="1:82" x14ac:dyDescent="0.25">
      <c r="A78" t="s">
        <v>654</v>
      </c>
      <c r="B78" t="s">
        <v>655</v>
      </c>
      <c r="C78">
        <v>3</v>
      </c>
      <c r="D78" t="s">
        <v>14</v>
      </c>
      <c r="E78" t="s">
        <v>359</v>
      </c>
      <c r="F78" t="s">
        <v>360</v>
      </c>
      <c r="G78" t="s">
        <v>360</v>
      </c>
      <c r="H78" t="s">
        <v>656</v>
      </c>
      <c r="I78">
        <v>12900</v>
      </c>
      <c r="J78" t="s">
        <v>1</v>
      </c>
      <c r="K78" t="s">
        <v>1</v>
      </c>
      <c r="L78">
        <v>200</v>
      </c>
      <c r="M78">
        <v>1</v>
      </c>
      <c r="N78">
        <v>0</v>
      </c>
      <c r="O78" t="s">
        <v>1</v>
      </c>
      <c r="P78" t="s">
        <v>1</v>
      </c>
      <c r="Q78" t="s">
        <v>1</v>
      </c>
      <c r="R78" t="s">
        <v>1</v>
      </c>
      <c r="S78" t="s">
        <v>1</v>
      </c>
      <c r="T78" t="s">
        <v>1</v>
      </c>
      <c r="U78" t="s">
        <v>1</v>
      </c>
      <c r="V78" t="s">
        <v>1</v>
      </c>
      <c r="W78" t="s">
        <v>1</v>
      </c>
      <c r="X78" t="s">
        <v>1</v>
      </c>
      <c r="Y78" t="s">
        <v>1</v>
      </c>
      <c r="Z78" t="s">
        <v>1</v>
      </c>
      <c r="AA78">
        <v>0</v>
      </c>
      <c r="AB78" t="s">
        <v>657</v>
      </c>
      <c r="AC78" t="s">
        <v>428</v>
      </c>
      <c r="AD78" t="s">
        <v>658</v>
      </c>
      <c r="AE78">
        <v>0</v>
      </c>
      <c r="AF78" t="s">
        <v>1</v>
      </c>
      <c r="AG78" t="s">
        <v>1</v>
      </c>
      <c r="AH78" t="s">
        <v>659</v>
      </c>
      <c r="AI78" t="s">
        <v>366</v>
      </c>
      <c r="AJ78" t="s">
        <v>1</v>
      </c>
      <c r="AK78" t="s">
        <v>1</v>
      </c>
      <c r="AL78" t="s">
        <v>660</v>
      </c>
      <c r="AM78" t="s">
        <v>1</v>
      </c>
      <c r="AN78">
        <v>0</v>
      </c>
      <c r="AO78" t="s">
        <v>659</v>
      </c>
      <c r="AP78" t="s">
        <v>1</v>
      </c>
      <c r="AQ78">
        <v>0</v>
      </c>
      <c r="AR78">
        <v>0</v>
      </c>
      <c r="AS78">
        <v>0</v>
      </c>
      <c r="AT78" t="s">
        <v>1</v>
      </c>
      <c r="AU78" t="s">
        <v>1</v>
      </c>
      <c r="AV78" t="s">
        <v>1</v>
      </c>
      <c r="AW78">
        <v>0</v>
      </c>
      <c r="AX78">
        <v>6050</v>
      </c>
      <c r="AY78">
        <v>6850</v>
      </c>
      <c r="AZ78">
        <v>0</v>
      </c>
      <c r="BA78">
        <v>0</v>
      </c>
      <c r="BB78" t="s">
        <v>1</v>
      </c>
      <c r="BC78" t="s">
        <v>423</v>
      </c>
      <c r="BD78" t="s">
        <v>368</v>
      </c>
      <c r="BE78" t="s">
        <v>1</v>
      </c>
      <c r="BF78" t="s">
        <v>1</v>
      </c>
      <c r="BG78" t="s">
        <v>1</v>
      </c>
      <c r="BH78">
        <v>0</v>
      </c>
      <c r="BI78">
        <v>0</v>
      </c>
      <c r="BJ78" t="s">
        <v>369</v>
      </c>
      <c r="BK78" t="s">
        <v>1</v>
      </c>
      <c r="BL78">
        <v>0</v>
      </c>
      <c r="BM78">
        <v>0</v>
      </c>
      <c r="BN78">
        <v>12900</v>
      </c>
      <c r="BO78">
        <v>0</v>
      </c>
      <c r="BP78">
        <v>0</v>
      </c>
      <c r="BQ78">
        <v>0</v>
      </c>
      <c r="BR78" t="s">
        <v>1</v>
      </c>
      <c r="BS78" t="s">
        <v>1</v>
      </c>
      <c r="BT78" t="s">
        <v>1</v>
      </c>
      <c r="BU78" t="s">
        <v>1</v>
      </c>
      <c r="BV78" t="s">
        <v>1</v>
      </c>
      <c r="BW78" t="s">
        <v>360</v>
      </c>
      <c r="BX78" t="s">
        <v>1</v>
      </c>
      <c r="BY78">
        <v>0</v>
      </c>
      <c r="BZ78">
        <v>0</v>
      </c>
      <c r="CA78">
        <v>0</v>
      </c>
      <c r="CB78">
        <v>0</v>
      </c>
      <c r="CD78" t="str" cm="1">
        <f t="array" aca="1" ref="CD78" ca="1">eConcatenar(A78:CB78,"|")</f>
        <v>8gZwrdg5J8PGyrhr|VSA2019-0074|3|ECONOLINE |TABASCO|VILLAHERMOSA |VILLAHERMOSA |2019-12-13|12900|X|X|200|1|0|X|X|X|X|X|X|X|X|X|X|X|X|0|FOCIL |GOMEZ |MANUEL |0|X|X|CALLE BENITO JUAREZ |COLONIA CENTRO |X|X|GUADALUPE FOCIL ZUTITA |X|0|CALLE BENITO JUAREZ |X|0|0|0|X|X|X|0|6050|6850|0|0|X|2021-11-29|2021-06-12|X|X|X|0|0|QYD9TF2W9KVTQO|X|0|0|12900|0|0|0|X|X|X|X|X|VILLAHERMOSA |X|0|0|0|0</v>
      </c>
    </row>
    <row r="79" spans="1:82" x14ac:dyDescent="0.25">
      <c r="A79" t="s">
        <v>661</v>
      </c>
      <c r="B79" t="s">
        <v>662</v>
      </c>
      <c r="C79">
        <v>3</v>
      </c>
      <c r="D79" t="s">
        <v>121</v>
      </c>
      <c r="E79" t="s">
        <v>359</v>
      </c>
      <c r="F79" t="s">
        <v>360</v>
      </c>
      <c r="G79" t="s">
        <v>360</v>
      </c>
      <c r="H79" t="s">
        <v>663</v>
      </c>
      <c r="I79">
        <v>12900</v>
      </c>
      <c r="J79" t="s">
        <v>1</v>
      </c>
      <c r="K79" t="s">
        <v>1</v>
      </c>
      <c r="L79">
        <v>200</v>
      </c>
      <c r="M79">
        <v>1</v>
      </c>
      <c r="N79">
        <v>0</v>
      </c>
      <c r="O79" t="s">
        <v>1</v>
      </c>
      <c r="P79" t="s">
        <v>1</v>
      </c>
      <c r="Q79" t="s">
        <v>1</v>
      </c>
      <c r="R79" t="s">
        <v>1</v>
      </c>
      <c r="S79" t="s">
        <v>1</v>
      </c>
      <c r="T79" t="s">
        <v>1</v>
      </c>
      <c r="U79" t="s">
        <v>1</v>
      </c>
      <c r="V79" t="s">
        <v>1</v>
      </c>
      <c r="W79" t="s">
        <v>1</v>
      </c>
      <c r="X79" t="s">
        <v>1</v>
      </c>
      <c r="Y79" t="s">
        <v>1</v>
      </c>
      <c r="Z79" t="s">
        <v>1</v>
      </c>
      <c r="AA79">
        <v>0</v>
      </c>
      <c r="AB79" t="s">
        <v>407</v>
      </c>
      <c r="AC79" t="s">
        <v>191</v>
      </c>
      <c r="AD79" t="s">
        <v>664</v>
      </c>
      <c r="AE79">
        <v>0</v>
      </c>
      <c r="AF79" t="s">
        <v>1</v>
      </c>
      <c r="AG79" t="s">
        <v>1</v>
      </c>
      <c r="AH79" t="s">
        <v>665</v>
      </c>
      <c r="AI79" t="s">
        <v>616</v>
      </c>
      <c r="AJ79" t="s">
        <v>1</v>
      </c>
      <c r="AK79">
        <v>9933051088</v>
      </c>
      <c r="AL79" t="s">
        <v>666</v>
      </c>
      <c r="AM79" t="s">
        <v>667</v>
      </c>
      <c r="AN79">
        <v>0</v>
      </c>
      <c r="AO79" t="s">
        <v>665</v>
      </c>
      <c r="AP79" t="s">
        <v>1</v>
      </c>
      <c r="AQ79">
        <v>1</v>
      </c>
      <c r="AR79">
        <v>0</v>
      </c>
      <c r="AS79">
        <v>0</v>
      </c>
      <c r="AT79" t="s">
        <v>1</v>
      </c>
      <c r="AU79" t="s">
        <v>1</v>
      </c>
      <c r="AV79" t="s">
        <v>1</v>
      </c>
      <c r="AW79">
        <v>0</v>
      </c>
      <c r="AX79">
        <v>4600</v>
      </c>
      <c r="AY79">
        <v>8300</v>
      </c>
      <c r="AZ79">
        <v>0</v>
      </c>
      <c r="BA79">
        <v>0</v>
      </c>
      <c r="BB79" t="s">
        <v>1</v>
      </c>
      <c r="BC79" t="s">
        <v>442</v>
      </c>
      <c r="BD79" t="s">
        <v>377</v>
      </c>
      <c r="BE79" t="s">
        <v>1</v>
      </c>
      <c r="BF79" t="s">
        <v>1</v>
      </c>
      <c r="BG79" t="s">
        <v>1</v>
      </c>
      <c r="BH79">
        <v>0</v>
      </c>
      <c r="BI79">
        <v>0</v>
      </c>
      <c r="BJ79" t="s">
        <v>369</v>
      </c>
      <c r="BK79" t="s">
        <v>1</v>
      </c>
      <c r="BL79">
        <v>0</v>
      </c>
      <c r="BM79">
        <v>0</v>
      </c>
      <c r="BN79">
        <v>12900</v>
      </c>
      <c r="BO79">
        <v>0</v>
      </c>
      <c r="BP79">
        <v>0</v>
      </c>
      <c r="BQ79">
        <v>0</v>
      </c>
      <c r="BR79" t="s">
        <v>1</v>
      </c>
      <c r="BS79" t="s">
        <v>1</v>
      </c>
      <c r="BT79" t="s">
        <v>1</v>
      </c>
      <c r="BU79" t="s">
        <v>1</v>
      </c>
      <c r="BV79" t="s">
        <v>1</v>
      </c>
      <c r="BW79" t="s">
        <v>360</v>
      </c>
      <c r="BX79" t="s">
        <v>1</v>
      </c>
      <c r="BY79">
        <v>0</v>
      </c>
      <c r="BZ79">
        <v>0</v>
      </c>
      <c r="CA79">
        <v>0</v>
      </c>
      <c r="CB79">
        <v>0</v>
      </c>
      <c r="CD79" t="str" cm="1">
        <f t="array" aca="1" ref="CD79" ca="1">eConcatenar(A79:CB79,"|")</f>
        <v>lgsYxov0aVScGGpy|VSA2021-T-0009|3|IMPERIAL DE LUJO |TABASCO|VILLAHERMOSA |VILLAHERMOSA |2021-06-01|12900|X|X|200|1|0|X|X|X|X|X|X|X|X|X|X|X|X|0|LOPEZ |MARTINEZ |SAMUEL |0|X|X|ANDADOR AMADO NERVO |VILLA TAPIJULAPA |X|9933051088|MARGARITA MARTINEZ MARTINEZ |BENEFICIARIO 2 YESSENIA LOPEZ MARTRINEZ |0|ANDADOR AMADO NERVO |X|1|0|0|X|X|X|0|4600|8300|0|0|X|2021-11-30|2021-07-12|X|X|X|0|0|QYD9TF2W9KVTQO|X|0|0|12900|0|0|0|X|X|X|X|X|VILLAHERMOSA |X|0|0|0|0</v>
      </c>
    </row>
    <row r="80" spans="1:82" x14ac:dyDescent="0.25">
      <c r="A80" t="s">
        <v>668</v>
      </c>
      <c r="B80" t="s">
        <v>669</v>
      </c>
      <c r="C80">
        <v>3</v>
      </c>
      <c r="D80" t="s">
        <v>121</v>
      </c>
      <c r="E80" t="s">
        <v>359</v>
      </c>
      <c r="F80" t="s">
        <v>360</v>
      </c>
      <c r="G80" t="s">
        <v>360</v>
      </c>
      <c r="H80" t="s">
        <v>663</v>
      </c>
      <c r="I80">
        <v>12900</v>
      </c>
      <c r="J80" t="s">
        <v>1</v>
      </c>
      <c r="K80" t="s">
        <v>1</v>
      </c>
      <c r="L80">
        <v>100</v>
      </c>
      <c r="M80">
        <v>0</v>
      </c>
      <c r="N80">
        <v>0</v>
      </c>
      <c r="O80" t="s">
        <v>1</v>
      </c>
      <c r="P80" t="s">
        <v>1</v>
      </c>
      <c r="Q80" t="s">
        <v>1</v>
      </c>
      <c r="R80" t="s">
        <v>1</v>
      </c>
      <c r="S80" t="s">
        <v>1</v>
      </c>
      <c r="T80" t="s">
        <v>1</v>
      </c>
      <c r="U80" t="s">
        <v>1</v>
      </c>
      <c r="V80" t="s">
        <v>1</v>
      </c>
      <c r="W80" t="s">
        <v>1</v>
      </c>
      <c r="X80" t="s">
        <v>1</v>
      </c>
      <c r="Y80" t="s">
        <v>1</v>
      </c>
      <c r="Z80" t="s">
        <v>1</v>
      </c>
      <c r="AA80">
        <v>0</v>
      </c>
      <c r="AB80" t="s">
        <v>670</v>
      </c>
      <c r="AC80" t="s">
        <v>10</v>
      </c>
      <c r="AD80" t="s">
        <v>671</v>
      </c>
      <c r="AE80">
        <v>0</v>
      </c>
      <c r="AF80" t="s">
        <v>1</v>
      </c>
      <c r="AG80" t="s">
        <v>1</v>
      </c>
      <c r="AH80" t="s">
        <v>672</v>
      </c>
      <c r="AI80" t="s">
        <v>390</v>
      </c>
      <c r="AJ80" t="s">
        <v>1</v>
      </c>
      <c r="AK80">
        <v>9321211171</v>
      </c>
      <c r="AL80" t="s">
        <v>673</v>
      </c>
      <c r="AM80" t="s">
        <v>674</v>
      </c>
      <c r="AN80">
        <v>0</v>
      </c>
      <c r="AO80" t="s">
        <v>672</v>
      </c>
      <c r="AP80" t="s">
        <v>1</v>
      </c>
      <c r="AQ80">
        <v>1</v>
      </c>
      <c r="AR80">
        <v>0</v>
      </c>
      <c r="AS80">
        <v>0</v>
      </c>
      <c r="AT80" t="s">
        <v>1</v>
      </c>
      <c r="AU80" t="s">
        <v>1</v>
      </c>
      <c r="AV80" t="s">
        <v>1</v>
      </c>
      <c r="AW80">
        <v>0</v>
      </c>
      <c r="AX80">
        <v>3400</v>
      </c>
      <c r="AY80">
        <v>9500</v>
      </c>
      <c r="AZ80">
        <v>0</v>
      </c>
      <c r="BA80">
        <v>0</v>
      </c>
      <c r="BB80" t="s">
        <v>1</v>
      </c>
      <c r="BC80" t="s">
        <v>442</v>
      </c>
      <c r="BD80" t="s">
        <v>377</v>
      </c>
      <c r="BE80" t="s">
        <v>1</v>
      </c>
      <c r="BF80" t="s">
        <v>1</v>
      </c>
      <c r="BG80" t="s">
        <v>1</v>
      </c>
      <c r="BH80">
        <v>0</v>
      </c>
      <c r="BI80">
        <v>0</v>
      </c>
      <c r="BJ80" t="s">
        <v>369</v>
      </c>
      <c r="BK80" t="s">
        <v>1</v>
      </c>
      <c r="BL80">
        <v>1</v>
      </c>
      <c r="BM80">
        <v>0</v>
      </c>
      <c r="BN80">
        <v>12900</v>
      </c>
      <c r="BO80">
        <v>0</v>
      </c>
      <c r="BP80">
        <v>0</v>
      </c>
      <c r="BQ80">
        <v>0</v>
      </c>
      <c r="BR80" t="s">
        <v>1</v>
      </c>
      <c r="BS80" t="s">
        <v>1</v>
      </c>
      <c r="BT80" t="s">
        <v>1</v>
      </c>
      <c r="BU80" t="s">
        <v>1</v>
      </c>
      <c r="BV80" t="s">
        <v>1</v>
      </c>
      <c r="BW80" t="s">
        <v>360</v>
      </c>
      <c r="BX80" t="s">
        <v>1</v>
      </c>
      <c r="BY80">
        <v>0</v>
      </c>
      <c r="BZ80">
        <v>0</v>
      </c>
      <c r="CA80">
        <v>0</v>
      </c>
      <c r="CB80">
        <v>0</v>
      </c>
      <c r="CD80" t="str" cm="1">
        <f t="array" aca="1" ref="CD80" ca="1">eConcatenar(A80:CB80,"|")</f>
        <v>2saq92TrH4AUMNlM|VSA2021-T-0010|3|IMPERIAL DE LUJO |TABASCO|VILLAHERMOSA |VILLAHERMOSA |2021-06-01|12900|X|X|100|0|0|X|X|X|X|X|X|X|X|X|X|X|X|0|CONTRERAS |CARDENAS |MARTHA |0|X|X|CALLE NIÃ‘OS HEROES MANZANA DOS |COLONIA GRACIELA PINTADO DE MADRAZO |X|9321211171|JESUS CUSTODIO REYES |BENEFICIARIO 2 MALENI AMAIRANI CUSTODIO CONTRERAS |0|CALLE NIÃ‘OS HEROES MANZANA DOS |X|1|0|0|X|X|X|0|3400|9500|0|0|X|2021-11-30|2021-07-12|X|X|X|0|0|QYD9TF2W9KVTQO|X|1|0|12900|0|0|0|X|X|X|X|X|VILLAHERMOSA |X|0|0|0|0</v>
      </c>
    </row>
    <row r="81" spans="1:82" x14ac:dyDescent="0.25">
      <c r="A81" t="s">
        <v>675</v>
      </c>
      <c r="B81" t="s">
        <v>676</v>
      </c>
      <c r="C81">
        <v>3</v>
      </c>
      <c r="D81" t="s">
        <v>14</v>
      </c>
      <c r="E81" t="s">
        <v>359</v>
      </c>
      <c r="F81" t="s">
        <v>360</v>
      </c>
      <c r="G81" t="s">
        <v>360</v>
      </c>
      <c r="H81" t="s">
        <v>677</v>
      </c>
      <c r="I81">
        <v>12900</v>
      </c>
      <c r="J81" t="s">
        <v>1</v>
      </c>
      <c r="K81" t="s">
        <v>1</v>
      </c>
      <c r="L81">
        <v>200</v>
      </c>
      <c r="M81">
        <v>1</v>
      </c>
      <c r="N81">
        <v>0</v>
      </c>
      <c r="O81" t="s">
        <v>1</v>
      </c>
      <c r="P81" t="s">
        <v>1</v>
      </c>
      <c r="Q81" t="s">
        <v>1</v>
      </c>
      <c r="R81" t="s">
        <v>1</v>
      </c>
      <c r="S81" t="s">
        <v>1</v>
      </c>
      <c r="T81" t="s">
        <v>1</v>
      </c>
      <c r="U81" t="s">
        <v>1</v>
      </c>
      <c r="V81" t="s">
        <v>1</v>
      </c>
      <c r="W81" t="s">
        <v>1</v>
      </c>
      <c r="X81" t="s">
        <v>1</v>
      </c>
      <c r="Y81" t="s">
        <v>1</v>
      </c>
      <c r="Z81" t="s">
        <v>1</v>
      </c>
      <c r="AA81">
        <v>0</v>
      </c>
      <c r="AB81" t="s">
        <v>455</v>
      </c>
      <c r="AC81" t="s">
        <v>407</v>
      </c>
      <c r="AD81" t="s">
        <v>678</v>
      </c>
      <c r="AE81">
        <v>0</v>
      </c>
      <c r="AF81" t="s">
        <v>1</v>
      </c>
      <c r="AG81" t="s">
        <v>1</v>
      </c>
      <c r="AH81" t="s">
        <v>545</v>
      </c>
      <c r="AI81" t="s">
        <v>679</v>
      </c>
      <c r="AJ81" t="s">
        <v>1</v>
      </c>
      <c r="AK81">
        <v>9321089675</v>
      </c>
      <c r="AL81" t="s">
        <v>680</v>
      </c>
      <c r="AM81" t="s">
        <v>1</v>
      </c>
      <c r="AN81">
        <v>0</v>
      </c>
      <c r="AO81" t="s">
        <v>545</v>
      </c>
      <c r="AP81" t="s">
        <v>1</v>
      </c>
      <c r="AQ81">
        <v>1</v>
      </c>
      <c r="AR81">
        <v>0</v>
      </c>
      <c r="AS81">
        <v>0</v>
      </c>
      <c r="AT81" t="s">
        <v>1</v>
      </c>
      <c r="AU81" t="s">
        <v>1</v>
      </c>
      <c r="AV81" t="s">
        <v>1</v>
      </c>
      <c r="AW81">
        <v>0</v>
      </c>
      <c r="AX81">
        <v>7600</v>
      </c>
      <c r="AY81">
        <v>5300</v>
      </c>
      <c r="AZ81">
        <v>0</v>
      </c>
      <c r="BA81">
        <v>0</v>
      </c>
      <c r="BB81" t="s">
        <v>1</v>
      </c>
      <c r="BC81" t="s">
        <v>442</v>
      </c>
      <c r="BD81" t="s">
        <v>377</v>
      </c>
      <c r="BE81" t="s">
        <v>1</v>
      </c>
      <c r="BF81" t="s">
        <v>1</v>
      </c>
      <c r="BG81" t="s">
        <v>1</v>
      </c>
      <c r="BH81">
        <v>0</v>
      </c>
      <c r="BI81">
        <v>0</v>
      </c>
      <c r="BJ81" t="s">
        <v>681</v>
      </c>
      <c r="BK81" t="s">
        <v>1</v>
      </c>
      <c r="BL81">
        <v>0</v>
      </c>
      <c r="BM81">
        <v>0</v>
      </c>
      <c r="BN81">
        <v>12900</v>
      </c>
      <c r="BO81">
        <v>0</v>
      </c>
      <c r="BP81">
        <v>0</v>
      </c>
      <c r="BQ81">
        <v>0</v>
      </c>
      <c r="BR81" t="s">
        <v>1</v>
      </c>
      <c r="BS81" t="s">
        <v>1</v>
      </c>
      <c r="BT81" t="s">
        <v>1</v>
      </c>
      <c r="BU81" t="s">
        <v>1</v>
      </c>
      <c r="BV81" t="s">
        <v>1</v>
      </c>
      <c r="BW81" t="s">
        <v>360</v>
      </c>
      <c r="BX81" t="s">
        <v>1</v>
      </c>
      <c r="BY81">
        <v>0</v>
      </c>
      <c r="BZ81">
        <v>0</v>
      </c>
      <c r="CA81">
        <v>0</v>
      </c>
      <c r="CB81">
        <v>0</v>
      </c>
      <c r="CD81" t="str" cm="1">
        <f t="array" aca="1" ref="CD81" ca="1">eConcatenar(A81:CB81,"|")</f>
        <v>7K6FL3d9Zsr0bVe8|VSA2019-0755|3|ECONOLINE |TABASCO|VILLAHERMOSA |VILLAHERMOSA |2021-12-21|12900|X|X|200|1|0|X|X|X|X|X|X|X|X|X|X|X|X|0|CRUZ |LOPEZ |FRANCISCO |0|X|X|CARRETERA PRINCIPAL SIN NUMERO |EJIDO POANA  |X|9321089675|GUADALUPE DOMINGUES CARCIA |X|0|CARRETERA PRINCIPAL SIN NUMERO |X|1|0|0|X|X|X|0|7600|5300|0|0|X|2021-11-30|2021-07-12|X|X|X|0|0|S35D6D3Y9KVTQO|X|0|0|12900|0|0|0|X|X|X|X|X|VILLAHERMOSA |X|0|0|0|0</v>
      </c>
    </row>
    <row r="82" spans="1:82" x14ac:dyDescent="0.25">
      <c r="A82" t="s">
        <v>682</v>
      </c>
      <c r="B82" t="s">
        <v>683</v>
      </c>
      <c r="C82">
        <v>3</v>
      </c>
      <c r="D82" t="s">
        <v>14</v>
      </c>
      <c r="E82" t="s">
        <v>359</v>
      </c>
      <c r="F82" t="s">
        <v>360</v>
      </c>
      <c r="G82" t="s">
        <v>360</v>
      </c>
      <c r="H82" t="s">
        <v>684</v>
      </c>
      <c r="I82">
        <v>12900</v>
      </c>
      <c r="J82" t="s">
        <v>1</v>
      </c>
      <c r="K82" t="s">
        <v>1</v>
      </c>
      <c r="L82">
        <v>200</v>
      </c>
      <c r="M82">
        <v>1</v>
      </c>
      <c r="N82">
        <v>0</v>
      </c>
      <c r="O82" t="s">
        <v>1</v>
      </c>
      <c r="P82" t="s">
        <v>1</v>
      </c>
      <c r="Q82" t="s">
        <v>1</v>
      </c>
      <c r="R82" t="s">
        <v>1</v>
      </c>
      <c r="S82" t="s">
        <v>1</v>
      </c>
      <c r="T82" t="s">
        <v>1</v>
      </c>
      <c r="U82" t="s">
        <v>1</v>
      </c>
      <c r="V82" t="s">
        <v>1</v>
      </c>
      <c r="W82" t="s">
        <v>1</v>
      </c>
      <c r="X82" t="s">
        <v>1</v>
      </c>
      <c r="Y82" t="s">
        <v>1</v>
      </c>
      <c r="Z82" t="s">
        <v>1</v>
      </c>
      <c r="AA82">
        <v>0</v>
      </c>
      <c r="AB82" t="s">
        <v>685</v>
      </c>
      <c r="AC82" t="s">
        <v>455</v>
      </c>
      <c r="AD82" t="s">
        <v>686</v>
      </c>
      <c r="AE82">
        <v>0</v>
      </c>
      <c r="AF82" t="s">
        <v>1</v>
      </c>
      <c r="AG82" t="s">
        <v>1</v>
      </c>
      <c r="AH82" t="s">
        <v>687</v>
      </c>
      <c r="AI82" t="s">
        <v>586</v>
      </c>
      <c r="AJ82" t="s">
        <v>1</v>
      </c>
      <c r="AK82">
        <v>9321010841</v>
      </c>
      <c r="AL82" t="s">
        <v>688</v>
      </c>
      <c r="AM82" t="s">
        <v>689</v>
      </c>
      <c r="AN82">
        <v>0</v>
      </c>
      <c r="AO82" t="s">
        <v>687</v>
      </c>
      <c r="AP82" t="s">
        <v>1</v>
      </c>
      <c r="AQ82">
        <v>1</v>
      </c>
      <c r="AR82">
        <v>0</v>
      </c>
      <c r="AS82">
        <v>0</v>
      </c>
      <c r="AT82" t="s">
        <v>1</v>
      </c>
      <c r="AU82" t="s">
        <v>1</v>
      </c>
      <c r="AV82" t="s">
        <v>1</v>
      </c>
      <c r="AW82">
        <v>0</v>
      </c>
      <c r="AX82">
        <v>7950</v>
      </c>
      <c r="AY82">
        <v>4950</v>
      </c>
      <c r="AZ82">
        <v>0</v>
      </c>
      <c r="BA82">
        <v>0</v>
      </c>
      <c r="BB82" t="s">
        <v>1</v>
      </c>
      <c r="BC82" t="s">
        <v>442</v>
      </c>
      <c r="BD82" t="s">
        <v>377</v>
      </c>
      <c r="BE82" t="s">
        <v>1</v>
      </c>
      <c r="BF82" t="s">
        <v>1</v>
      </c>
      <c r="BG82" t="s">
        <v>1</v>
      </c>
      <c r="BH82">
        <v>0</v>
      </c>
      <c r="BI82">
        <v>0</v>
      </c>
      <c r="BJ82" t="s">
        <v>681</v>
      </c>
      <c r="BK82" t="s">
        <v>1</v>
      </c>
      <c r="BL82">
        <v>1</v>
      </c>
      <c r="BM82">
        <v>0</v>
      </c>
      <c r="BN82">
        <v>12900</v>
      </c>
      <c r="BO82">
        <v>0</v>
      </c>
      <c r="BP82">
        <v>0</v>
      </c>
      <c r="BQ82">
        <v>0</v>
      </c>
      <c r="BR82" t="s">
        <v>1</v>
      </c>
      <c r="BS82" t="s">
        <v>1</v>
      </c>
      <c r="BT82" t="s">
        <v>1</v>
      </c>
      <c r="BU82" t="s">
        <v>1</v>
      </c>
      <c r="BV82" t="s">
        <v>1</v>
      </c>
      <c r="BW82" t="s">
        <v>360</v>
      </c>
      <c r="BX82" t="s">
        <v>1</v>
      </c>
      <c r="BY82">
        <v>0</v>
      </c>
      <c r="BZ82">
        <v>0</v>
      </c>
      <c r="CA82">
        <v>0</v>
      </c>
      <c r="CB82">
        <v>0</v>
      </c>
      <c r="CD82" t="str" cm="1">
        <f t="array" aca="1" ref="CD82" ca="1">eConcatenar(A82:CB82,"|")</f>
        <v>e6L4CQ7iMddKF0bI|VSA2019-0752|3|ECONOLINE |TABASCO|VILLAHERMOSA |VILLAHERMOSA |2019-12-14|12900|X|X|200|1|0|X|X|X|X|X|X|X|X|X|X|X|X|0|CUSTODIO |CRUZ |GLORIA |0|X|X|CARRETERA XICOTENCATL |EJIDO LAZARO CARDENAS |X|9321010841|ALMA YURIDIA REYES CUSTODIO |BENEFICIARIO 2 WILBERT REYES CUSTODIO |0|CARRETERA XICOTENCATL |X|1|0|0|X|X|X|0|7950|4950|0|0|X|2021-11-30|2021-07-12|X|X|X|0|0|S35D6D3Y9KVTQO|X|1|0|12900|0|0|0|X|X|X|X|X|VILLAHERMOSA |X|0|0|0|0</v>
      </c>
    </row>
    <row r="83" spans="1:82" x14ac:dyDescent="0.25">
      <c r="A83" t="s">
        <v>690</v>
      </c>
      <c r="B83" t="s">
        <v>691</v>
      </c>
      <c r="C83">
        <v>3</v>
      </c>
      <c r="D83" t="s">
        <v>14</v>
      </c>
      <c r="E83" t="s">
        <v>359</v>
      </c>
      <c r="F83" t="s">
        <v>360</v>
      </c>
      <c r="G83" t="s">
        <v>360</v>
      </c>
      <c r="H83" t="s">
        <v>684</v>
      </c>
      <c r="I83">
        <v>12900</v>
      </c>
      <c r="J83" t="s">
        <v>1</v>
      </c>
      <c r="K83" t="s">
        <v>1</v>
      </c>
      <c r="L83">
        <v>200</v>
      </c>
      <c r="M83">
        <v>1</v>
      </c>
      <c r="N83">
        <v>0</v>
      </c>
      <c r="O83" t="s">
        <v>1</v>
      </c>
      <c r="P83" t="s">
        <v>1</v>
      </c>
      <c r="Q83" t="s">
        <v>1</v>
      </c>
      <c r="R83" t="s">
        <v>1</v>
      </c>
      <c r="S83" t="s">
        <v>1</v>
      </c>
      <c r="T83" t="s">
        <v>1</v>
      </c>
      <c r="U83" t="s">
        <v>1</v>
      </c>
      <c r="V83" t="s">
        <v>1</v>
      </c>
      <c r="W83" t="s">
        <v>1</v>
      </c>
      <c r="X83" t="s">
        <v>1</v>
      </c>
      <c r="Y83" t="s">
        <v>1</v>
      </c>
      <c r="Z83" t="s">
        <v>1</v>
      </c>
      <c r="AA83">
        <v>0</v>
      </c>
      <c r="AB83" t="s">
        <v>692</v>
      </c>
      <c r="AC83" t="s">
        <v>1</v>
      </c>
      <c r="AD83" t="s">
        <v>693</v>
      </c>
      <c r="AE83">
        <v>0</v>
      </c>
      <c r="AF83" t="s">
        <v>1</v>
      </c>
      <c r="AG83" t="s">
        <v>1</v>
      </c>
      <c r="AH83" t="s">
        <v>694</v>
      </c>
      <c r="AI83" t="s">
        <v>695</v>
      </c>
      <c r="AJ83" t="s">
        <v>1</v>
      </c>
      <c r="AK83">
        <v>9935179828</v>
      </c>
      <c r="AL83" t="s">
        <v>696</v>
      </c>
      <c r="AM83" t="s">
        <v>697</v>
      </c>
      <c r="AN83">
        <v>0</v>
      </c>
      <c r="AO83" t="s">
        <v>694</v>
      </c>
      <c r="AP83" t="s">
        <v>1</v>
      </c>
      <c r="AQ83">
        <v>0</v>
      </c>
      <c r="AR83">
        <v>0</v>
      </c>
      <c r="AS83">
        <v>0</v>
      </c>
      <c r="AT83" t="s">
        <v>1</v>
      </c>
      <c r="AU83" t="s">
        <v>1</v>
      </c>
      <c r="AV83" t="s">
        <v>1</v>
      </c>
      <c r="AW83">
        <v>0</v>
      </c>
      <c r="AX83">
        <v>8000</v>
      </c>
      <c r="AY83">
        <v>4900</v>
      </c>
      <c r="AZ83">
        <v>0</v>
      </c>
      <c r="BA83">
        <v>0</v>
      </c>
      <c r="BB83" t="s">
        <v>1</v>
      </c>
      <c r="BC83" t="s">
        <v>367</v>
      </c>
      <c r="BD83" t="s">
        <v>377</v>
      </c>
      <c r="BE83" t="s">
        <v>1</v>
      </c>
      <c r="BF83" t="s">
        <v>1</v>
      </c>
      <c r="BG83" t="s">
        <v>1</v>
      </c>
      <c r="BH83">
        <v>0</v>
      </c>
      <c r="BI83">
        <v>0</v>
      </c>
      <c r="BJ83" t="s">
        <v>681</v>
      </c>
      <c r="BK83" t="s">
        <v>1</v>
      </c>
      <c r="BL83">
        <v>1</v>
      </c>
      <c r="BM83">
        <v>0</v>
      </c>
      <c r="BN83">
        <v>12900</v>
      </c>
      <c r="BO83">
        <v>0</v>
      </c>
      <c r="BP83">
        <v>0</v>
      </c>
      <c r="BQ83">
        <v>0</v>
      </c>
      <c r="BR83" t="s">
        <v>1</v>
      </c>
      <c r="BS83" t="s">
        <v>1</v>
      </c>
      <c r="BT83" t="s">
        <v>1</v>
      </c>
      <c r="BU83" t="s">
        <v>1</v>
      </c>
      <c r="BV83" t="s">
        <v>1</v>
      </c>
      <c r="BW83" t="s">
        <v>360</v>
      </c>
      <c r="BX83" t="s">
        <v>1</v>
      </c>
      <c r="BY83">
        <v>0</v>
      </c>
      <c r="BZ83">
        <v>0</v>
      </c>
      <c r="CA83">
        <v>0</v>
      </c>
      <c r="CB83">
        <v>0</v>
      </c>
      <c r="CD83" t="str" cm="1">
        <f t="array" aca="1" ref="CD83" ca="1">eConcatenar(A83:CB83,"|")</f>
        <v>XNPNcQMT4Cmjww6Q|VSA2019-0731|3|ECONOLINE |TABASCO|VILLAHERMOSA |VILLAHERMOSA |2019-12-14|12900|X|X|200|1|0|X|X|X|X|X|X|X|X|X|X|X|X|0|NARVAEZ |X|MARIA MARTHA |0|X|X|CALLE CLEMENTE FIGUEROA |COLONIA CENTRON |X|9935179828|YANI DELCARMEN GARCIA NARVAEZ |BENEFICIARIO 2 FRADNCISCO GARCIA NARVAEZ |0|CALLE CLEMENTE FIGUEROA |X|0|0|0|X|X|X|0|8000|4900|0|0|X|2021-11-15|2021-07-12|X|X|X|0|0|S35D6D3Y9KVTQO|X|1|0|12900|0|0|0|X|X|X|X|X|VILLAHERMOSA |X|0|0|0|0</v>
      </c>
    </row>
    <row r="84" spans="1:82" x14ac:dyDescent="0.25">
      <c r="A84" t="s">
        <v>698</v>
      </c>
      <c r="B84" t="s">
        <v>699</v>
      </c>
      <c r="C84">
        <v>3</v>
      </c>
      <c r="D84" t="s">
        <v>14</v>
      </c>
      <c r="E84" t="s">
        <v>359</v>
      </c>
      <c r="F84" t="s">
        <v>360</v>
      </c>
      <c r="G84" t="s">
        <v>360</v>
      </c>
      <c r="H84" t="s">
        <v>700</v>
      </c>
      <c r="I84">
        <v>12900</v>
      </c>
      <c r="J84" t="s">
        <v>1</v>
      </c>
      <c r="K84" t="s">
        <v>1</v>
      </c>
      <c r="L84">
        <v>200</v>
      </c>
      <c r="M84">
        <v>1</v>
      </c>
      <c r="N84">
        <v>0</v>
      </c>
      <c r="O84" t="s">
        <v>1</v>
      </c>
      <c r="P84" t="s">
        <v>1</v>
      </c>
      <c r="Q84" t="s">
        <v>1</v>
      </c>
      <c r="R84" t="s">
        <v>1</v>
      </c>
      <c r="S84" t="s">
        <v>1</v>
      </c>
      <c r="T84" t="s">
        <v>1</v>
      </c>
      <c r="U84" t="s">
        <v>1</v>
      </c>
      <c r="V84" t="s">
        <v>1</v>
      </c>
      <c r="W84" t="s">
        <v>1</v>
      </c>
      <c r="X84" t="s">
        <v>1</v>
      </c>
      <c r="Y84" t="s">
        <v>1</v>
      </c>
      <c r="Z84" t="s">
        <v>1</v>
      </c>
      <c r="AA84">
        <v>0</v>
      </c>
      <c r="AB84" t="s">
        <v>584</v>
      </c>
      <c r="AC84" t="s">
        <v>407</v>
      </c>
      <c r="AD84" t="s">
        <v>701</v>
      </c>
      <c r="AE84">
        <v>0</v>
      </c>
      <c r="AF84" t="s">
        <v>1</v>
      </c>
      <c r="AG84" t="s">
        <v>1</v>
      </c>
      <c r="AH84" t="s">
        <v>702</v>
      </c>
      <c r="AI84" t="s">
        <v>703</v>
      </c>
      <c r="AJ84" t="s">
        <v>1</v>
      </c>
      <c r="AK84">
        <v>9321694391</v>
      </c>
      <c r="AL84" t="s">
        <v>704</v>
      </c>
      <c r="AM84" t="s">
        <v>705</v>
      </c>
      <c r="AN84">
        <v>0</v>
      </c>
      <c r="AO84" t="s">
        <v>702</v>
      </c>
      <c r="AP84" t="s">
        <v>1</v>
      </c>
      <c r="AQ84">
        <v>0</v>
      </c>
      <c r="AR84">
        <v>0</v>
      </c>
      <c r="AS84">
        <v>0</v>
      </c>
      <c r="AT84" t="s">
        <v>1</v>
      </c>
      <c r="AU84" t="s">
        <v>1</v>
      </c>
      <c r="AV84" t="s">
        <v>1</v>
      </c>
      <c r="AW84">
        <v>0</v>
      </c>
      <c r="AX84">
        <v>8100</v>
      </c>
      <c r="AY84">
        <v>4800</v>
      </c>
      <c r="AZ84">
        <v>0</v>
      </c>
      <c r="BA84">
        <v>0</v>
      </c>
      <c r="BB84" t="s">
        <v>1</v>
      </c>
      <c r="BC84" t="s">
        <v>367</v>
      </c>
      <c r="BD84" t="s">
        <v>377</v>
      </c>
      <c r="BE84" t="s">
        <v>1</v>
      </c>
      <c r="BF84" t="s">
        <v>1</v>
      </c>
      <c r="BG84" t="s">
        <v>1</v>
      </c>
      <c r="BH84">
        <v>0</v>
      </c>
      <c r="BI84">
        <v>0</v>
      </c>
      <c r="BJ84" t="s">
        <v>681</v>
      </c>
      <c r="BK84" t="s">
        <v>1</v>
      </c>
      <c r="BL84">
        <v>1</v>
      </c>
      <c r="BM84">
        <v>0</v>
      </c>
      <c r="BN84">
        <v>12900</v>
      </c>
      <c r="BO84">
        <v>0</v>
      </c>
      <c r="BP84">
        <v>0</v>
      </c>
      <c r="BQ84">
        <v>0</v>
      </c>
      <c r="BR84" t="s">
        <v>1</v>
      </c>
      <c r="BS84" t="s">
        <v>1</v>
      </c>
      <c r="BT84" t="s">
        <v>1</v>
      </c>
      <c r="BU84" t="s">
        <v>1</v>
      </c>
      <c r="BV84" t="s">
        <v>1</v>
      </c>
      <c r="BW84" t="s">
        <v>360</v>
      </c>
      <c r="BX84" t="s">
        <v>1</v>
      </c>
      <c r="BY84">
        <v>0</v>
      </c>
      <c r="BZ84">
        <v>0</v>
      </c>
      <c r="CA84">
        <v>0</v>
      </c>
      <c r="CB84">
        <v>0</v>
      </c>
      <c r="CD84" t="str" cm="1">
        <f t="array" aca="1" ref="CD84" ca="1">eConcatenar(A84:CB84,"|")</f>
        <v>qUVjQfFcBmYVyCW8|VSA2019-0736|3|ECONOLINE |TABASCO|VILLAHERMOSA |VILLAHERMOSA |2019-12-17|12900|X|X|200|1|0|X|X|X|X|X|X|X|X|X|X|X|X|0|HERNANDEZ |LOPEZ |MIGUELINA |0|X|X|ANDADOR SAN PEDRO |SAN ROMAN |X|9321694391|YESENIA SANCHEZ HERNANDEZ |BENEFICIARIO 2 APOLINAR SANCHEZ ALAMILLA |0|ANDADOR SAN PEDRO |X|0|0|0|X|X|X|0|8100|4800|0|0|X|2021-11-15|2021-07-12|X|X|X|0|0|S35D6D3Y9KVTQO|X|1|0|12900|0|0|0|X|X|X|X|X|VILLAHERMOSA |X|0|0|0|0</v>
      </c>
    </row>
    <row r="85" spans="1:82" x14ac:dyDescent="0.25">
      <c r="A85" t="s">
        <v>706</v>
      </c>
      <c r="B85" t="s">
        <v>707</v>
      </c>
      <c r="C85">
        <v>3</v>
      </c>
      <c r="D85" t="s">
        <v>14</v>
      </c>
      <c r="E85" t="s">
        <v>359</v>
      </c>
      <c r="F85" t="s">
        <v>360</v>
      </c>
      <c r="G85" t="s">
        <v>360</v>
      </c>
      <c r="H85" t="s">
        <v>700</v>
      </c>
      <c r="I85">
        <v>12900</v>
      </c>
      <c r="J85" t="s">
        <v>1</v>
      </c>
      <c r="K85" t="s">
        <v>1</v>
      </c>
      <c r="L85">
        <v>100</v>
      </c>
      <c r="M85">
        <v>1</v>
      </c>
      <c r="N85">
        <v>0</v>
      </c>
      <c r="O85" t="s">
        <v>1</v>
      </c>
      <c r="P85" t="s">
        <v>1</v>
      </c>
      <c r="Q85" t="s">
        <v>1</v>
      </c>
      <c r="R85" t="s">
        <v>1</v>
      </c>
      <c r="S85" t="s">
        <v>1</v>
      </c>
      <c r="T85" t="s">
        <v>1</v>
      </c>
      <c r="U85" t="s">
        <v>1</v>
      </c>
      <c r="V85" t="s">
        <v>1</v>
      </c>
      <c r="W85" t="s">
        <v>1</v>
      </c>
      <c r="X85" t="s">
        <v>1</v>
      </c>
      <c r="Y85" t="s">
        <v>1</v>
      </c>
      <c r="Z85" t="s">
        <v>1</v>
      </c>
      <c r="AA85">
        <v>0</v>
      </c>
      <c r="AB85" t="s">
        <v>708</v>
      </c>
      <c r="AC85" t="s">
        <v>15</v>
      </c>
      <c r="AD85" t="s">
        <v>709</v>
      </c>
      <c r="AE85">
        <v>0</v>
      </c>
      <c r="AF85" t="s">
        <v>1</v>
      </c>
      <c r="AG85" t="s">
        <v>1</v>
      </c>
      <c r="AH85" t="s">
        <v>403</v>
      </c>
      <c r="AI85" t="s">
        <v>710</v>
      </c>
      <c r="AJ85" t="s">
        <v>1</v>
      </c>
      <c r="AK85">
        <v>9321190195</v>
      </c>
      <c r="AL85" t="s">
        <v>711</v>
      </c>
      <c r="AM85" t="s">
        <v>712</v>
      </c>
      <c r="AN85">
        <v>0</v>
      </c>
      <c r="AO85" t="s">
        <v>403</v>
      </c>
      <c r="AP85" t="s">
        <v>1</v>
      </c>
      <c r="AQ85">
        <v>0</v>
      </c>
      <c r="AR85">
        <v>0</v>
      </c>
      <c r="AS85">
        <v>0</v>
      </c>
      <c r="AT85" t="s">
        <v>1</v>
      </c>
      <c r="AU85" t="s">
        <v>1</v>
      </c>
      <c r="AV85" t="s">
        <v>1</v>
      </c>
      <c r="AW85">
        <v>0</v>
      </c>
      <c r="AX85">
        <v>8400</v>
      </c>
      <c r="AY85">
        <v>4500</v>
      </c>
      <c r="AZ85">
        <v>0</v>
      </c>
      <c r="BA85">
        <v>0</v>
      </c>
      <c r="BB85" t="s">
        <v>1</v>
      </c>
      <c r="BC85" t="s">
        <v>442</v>
      </c>
      <c r="BD85" t="s">
        <v>377</v>
      </c>
      <c r="BE85" t="s">
        <v>1</v>
      </c>
      <c r="BF85" t="s">
        <v>1</v>
      </c>
      <c r="BG85" t="s">
        <v>1</v>
      </c>
      <c r="BH85">
        <v>0</v>
      </c>
      <c r="BI85">
        <v>0</v>
      </c>
      <c r="BJ85" t="s">
        <v>681</v>
      </c>
      <c r="BK85" t="s">
        <v>1</v>
      </c>
      <c r="BL85">
        <v>1</v>
      </c>
      <c r="BM85">
        <v>0</v>
      </c>
      <c r="BN85">
        <v>12900</v>
      </c>
      <c r="BO85">
        <v>0</v>
      </c>
      <c r="BP85">
        <v>0</v>
      </c>
      <c r="BQ85">
        <v>0</v>
      </c>
      <c r="BR85" t="s">
        <v>1</v>
      </c>
      <c r="BS85" t="s">
        <v>1</v>
      </c>
      <c r="BT85" t="s">
        <v>1</v>
      </c>
      <c r="BU85" t="s">
        <v>1</v>
      </c>
      <c r="BV85" t="s">
        <v>1</v>
      </c>
      <c r="BW85" t="s">
        <v>360</v>
      </c>
      <c r="BX85" t="s">
        <v>1</v>
      </c>
      <c r="BY85">
        <v>0</v>
      </c>
      <c r="BZ85">
        <v>0</v>
      </c>
      <c r="CA85">
        <v>0</v>
      </c>
      <c r="CB85">
        <v>0</v>
      </c>
      <c r="CD85" t="str" cm="1">
        <f t="array" aca="1" ref="CD85" ca="1">eConcatenar(A85:CB85,"|")</f>
        <v>ytSqQYtvsQWUzE0i|VSA2019-0737|3|ECONOLINE |TABASCO|VILLAHERMOSA |VILLAHERMOSA |2019-12-17|12900|X|X|100|1|0|X|X|X|X|X|X|X|X|X|X|X|X|0|ACOSSTA |PEREZ |MARIA ELENA |0|X|X|CARRETERA A SANTA ROSA |EJIDO SAN ROMAN |X|9321190195|ESTRELLA GUADALUPE SANCHEZ ACOSTA |BENEFICIARIO 2 OCTAVIO SANCHEZ ACOSTA |0|CARRETERA A SANTA ROSA |X|0|0|0|X|X|X|0|8400|4500|0|0|X|2021-11-30|2021-07-12|X|X|X|0|0|S35D6D3Y9KVTQO|X|1|0|12900|0|0|0|X|X|X|X|X|VILLAHERMOSA |X|0|0|0|0</v>
      </c>
    </row>
    <row r="86" spans="1:82" x14ac:dyDescent="0.25">
      <c r="A86" s="5" t="s">
        <v>713</v>
      </c>
      <c r="B86" s="5" t="s">
        <v>714</v>
      </c>
      <c r="C86" s="5">
        <v>3</v>
      </c>
      <c r="D86" s="5" t="s">
        <v>715</v>
      </c>
      <c r="E86" s="5" t="s">
        <v>359</v>
      </c>
      <c r="F86" s="5" t="s">
        <v>360</v>
      </c>
      <c r="G86" s="5" t="s">
        <v>360</v>
      </c>
      <c r="H86" s="5" t="s">
        <v>716</v>
      </c>
      <c r="I86" s="5">
        <v>12900</v>
      </c>
      <c r="J86" s="5" t="s">
        <v>1</v>
      </c>
      <c r="K86" s="5" t="s">
        <v>1</v>
      </c>
      <c r="L86" s="5">
        <v>200</v>
      </c>
      <c r="M86" s="5">
        <v>1</v>
      </c>
      <c r="N86" s="5">
        <v>0</v>
      </c>
      <c r="O86" s="5" t="s">
        <v>1</v>
      </c>
      <c r="P86" s="5" t="s">
        <v>1</v>
      </c>
      <c r="Q86" s="5" t="s">
        <v>1</v>
      </c>
      <c r="R86" s="5" t="s">
        <v>1</v>
      </c>
      <c r="S86" s="5" t="s">
        <v>1</v>
      </c>
      <c r="T86" s="5" t="s">
        <v>1</v>
      </c>
      <c r="U86" s="5" t="s">
        <v>1</v>
      </c>
      <c r="V86" s="5" t="s">
        <v>1</v>
      </c>
      <c r="W86" s="5" t="s">
        <v>1</v>
      </c>
      <c r="X86" s="5" t="s">
        <v>1</v>
      </c>
      <c r="Y86" s="5" t="s">
        <v>1</v>
      </c>
      <c r="Z86" s="5" t="s">
        <v>1</v>
      </c>
      <c r="AA86" s="5">
        <v>0</v>
      </c>
      <c r="AB86" s="5" t="s">
        <v>248</v>
      </c>
      <c r="AC86" s="5" t="s">
        <v>717</v>
      </c>
      <c r="AD86" s="5" t="s">
        <v>718</v>
      </c>
      <c r="AE86" s="5">
        <v>0</v>
      </c>
      <c r="AF86" s="5" t="s">
        <v>1</v>
      </c>
      <c r="AG86" s="5" t="s">
        <v>1</v>
      </c>
      <c r="AH86" s="5" t="s">
        <v>545</v>
      </c>
      <c r="AI86" s="5" t="s">
        <v>719</v>
      </c>
      <c r="AJ86" s="5" t="s">
        <v>1</v>
      </c>
      <c r="AK86" s="5">
        <v>9931823985</v>
      </c>
      <c r="AL86" s="5">
        <v>0</v>
      </c>
      <c r="AM86" s="5">
        <v>0</v>
      </c>
      <c r="AN86" s="5">
        <v>0</v>
      </c>
      <c r="AO86" s="5" t="s">
        <v>545</v>
      </c>
      <c r="AP86" s="5" t="s">
        <v>1</v>
      </c>
      <c r="AQ86">
        <v>2</v>
      </c>
      <c r="AR86" s="5">
        <v>0</v>
      </c>
      <c r="AS86" s="5">
        <v>0</v>
      </c>
      <c r="AT86" s="5" t="s">
        <v>1</v>
      </c>
      <c r="AU86" s="5" t="s">
        <v>1</v>
      </c>
      <c r="AV86" s="5" t="s">
        <v>1</v>
      </c>
      <c r="AW86" s="5">
        <v>0</v>
      </c>
      <c r="AX86" s="5">
        <v>2490</v>
      </c>
      <c r="AY86" s="5">
        <v>10410</v>
      </c>
      <c r="AZ86" s="5">
        <v>0</v>
      </c>
      <c r="BA86" s="5">
        <v>0</v>
      </c>
      <c r="BB86" s="5" t="s">
        <v>1</v>
      </c>
      <c r="BC86" t="s">
        <v>720</v>
      </c>
      <c r="BD86" t="s">
        <v>721</v>
      </c>
      <c r="BE86" s="5" t="s">
        <v>1</v>
      </c>
      <c r="BF86" s="5" t="s">
        <v>1</v>
      </c>
      <c r="BG86" s="5" t="s">
        <v>1</v>
      </c>
      <c r="BH86" s="5">
        <v>0</v>
      </c>
      <c r="BI86" s="5">
        <v>0</v>
      </c>
      <c r="BJ86" t="s">
        <v>722</v>
      </c>
      <c r="BK86" s="5" t="s">
        <v>1</v>
      </c>
      <c r="BL86">
        <v>1</v>
      </c>
      <c r="BM86" s="5">
        <v>0</v>
      </c>
      <c r="BN86" s="5">
        <v>12900</v>
      </c>
      <c r="BO86" s="5">
        <v>0</v>
      </c>
      <c r="BP86" s="5">
        <v>0</v>
      </c>
      <c r="BQ86" s="5">
        <v>0</v>
      </c>
      <c r="BR86" s="5" t="s">
        <v>1</v>
      </c>
      <c r="BS86" s="5" t="s">
        <v>1</v>
      </c>
      <c r="BT86" s="5" t="s">
        <v>1</v>
      </c>
      <c r="BU86" s="5" t="s">
        <v>1</v>
      </c>
      <c r="BV86" s="5" t="s">
        <v>1</v>
      </c>
      <c r="BW86" s="5" t="s">
        <v>360</v>
      </c>
      <c r="BX86" s="5" t="s">
        <v>1</v>
      </c>
      <c r="BY86" s="5">
        <v>0</v>
      </c>
      <c r="BZ86" s="5">
        <v>0</v>
      </c>
      <c r="CA86" s="5">
        <v>0</v>
      </c>
      <c r="CB86" s="5">
        <v>0</v>
      </c>
      <c r="CD86" t="str" cm="1">
        <f t="array" aca="1" ref="CD86" ca="1">eConcatenar(A86:CB86,"|")</f>
        <v>jtvz1p9InJ5Rx7xd|VSA2020-1040|3|IMPERIAL DE LUJO|TABASCO|VILLAHERMOSA |VILLAHERMOSA |2020-11-13|12900|X|X|200|1|0|X|X|X|X|X|X|X|X|X|X|X|X|0|MORALES|VELASQUES|HOLGA LIRA |0|X|X|CARRETERA PRINCIPAL SIN NUMERO |RANCHERIA ANACLETO CANABAL TERCERA SECCION |X|9931823985|0|0|0|CARRETERA PRINCIPAL SIN NUMERO |X|2|0|0|X|X|X|0|2490|10410|0|0|X|2021-07-21|2021-04-08|X|X|X|0|0|S35D6D3Y9KVTQ1|X|1|0|12900|0|0|0|X|X|X|X|X|VILLAHERMOSA |X|0|0|0|0</v>
      </c>
    </row>
    <row r="87" spans="1:82" x14ac:dyDescent="0.25">
      <c r="A87" t="s">
        <v>723</v>
      </c>
      <c r="B87" t="s">
        <v>724</v>
      </c>
      <c r="C87">
        <v>3</v>
      </c>
      <c r="D87" t="s">
        <v>715</v>
      </c>
      <c r="E87" t="s">
        <v>359</v>
      </c>
      <c r="F87" t="s">
        <v>360</v>
      </c>
      <c r="G87" t="s">
        <v>360</v>
      </c>
      <c r="H87" t="s">
        <v>725</v>
      </c>
      <c r="I87">
        <v>12900</v>
      </c>
      <c r="J87" t="s">
        <v>1</v>
      </c>
      <c r="K87" t="s">
        <v>1</v>
      </c>
      <c r="L87">
        <v>100</v>
      </c>
      <c r="M87">
        <v>0</v>
      </c>
      <c r="N87">
        <v>0</v>
      </c>
      <c r="O87" t="s">
        <v>1</v>
      </c>
      <c r="P87" t="s">
        <v>1</v>
      </c>
      <c r="Q87" t="s">
        <v>1</v>
      </c>
      <c r="R87" t="s">
        <v>1</v>
      </c>
      <c r="S87" t="s">
        <v>1</v>
      </c>
      <c r="T87" t="s">
        <v>1</v>
      </c>
      <c r="U87" t="s">
        <v>1</v>
      </c>
      <c r="V87" t="s">
        <v>1</v>
      </c>
      <c r="W87" t="s">
        <v>1</v>
      </c>
      <c r="X87" t="s">
        <v>1</v>
      </c>
      <c r="Y87" t="s">
        <v>1</v>
      </c>
      <c r="Z87" t="s">
        <v>1</v>
      </c>
      <c r="AA87">
        <v>0</v>
      </c>
      <c r="AB87" t="s">
        <v>726</v>
      </c>
      <c r="AC87">
        <v>0</v>
      </c>
      <c r="AD87" t="s">
        <v>219</v>
      </c>
      <c r="AE87">
        <v>0</v>
      </c>
      <c r="AF87" t="s">
        <v>1</v>
      </c>
      <c r="AG87" t="s">
        <v>1</v>
      </c>
      <c r="AH87" t="s">
        <v>727</v>
      </c>
      <c r="AI87" t="s">
        <v>728</v>
      </c>
      <c r="AJ87" t="s">
        <v>1</v>
      </c>
      <c r="AK87">
        <v>9935359115</v>
      </c>
      <c r="AL87">
        <v>0</v>
      </c>
      <c r="AM87">
        <v>0</v>
      </c>
      <c r="AN87">
        <v>0</v>
      </c>
      <c r="AO87" t="s">
        <v>727</v>
      </c>
      <c r="AP87" t="s">
        <v>1</v>
      </c>
      <c r="AQ87">
        <v>3</v>
      </c>
      <c r="AR87">
        <v>0</v>
      </c>
      <c r="AS87">
        <v>0</v>
      </c>
      <c r="AT87" t="s">
        <v>1</v>
      </c>
      <c r="AU87" t="s">
        <v>1</v>
      </c>
      <c r="AV87" t="s">
        <v>1</v>
      </c>
      <c r="AW87">
        <v>0</v>
      </c>
      <c r="AX87">
        <v>2800</v>
      </c>
      <c r="AY87">
        <v>10100</v>
      </c>
      <c r="AZ87">
        <v>0</v>
      </c>
      <c r="BA87">
        <v>0</v>
      </c>
      <c r="BB87" t="s">
        <v>1</v>
      </c>
      <c r="BC87" t="s">
        <v>729</v>
      </c>
      <c r="BD87" t="s">
        <v>730</v>
      </c>
      <c r="BE87" t="s">
        <v>1</v>
      </c>
      <c r="BF87" t="s">
        <v>1</v>
      </c>
      <c r="BG87" t="s">
        <v>1</v>
      </c>
      <c r="BH87">
        <v>0</v>
      </c>
      <c r="BI87">
        <v>0</v>
      </c>
      <c r="BJ87" t="s">
        <v>722</v>
      </c>
      <c r="BK87" t="s">
        <v>1</v>
      </c>
      <c r="BL87">
        <v>1</v>
      </c>
      <c r="BM87">
        <v>0</v>
      </c>
      <c r="BN87">
        <v>12900</v>
      </c>
      <c r="BO87">
        <v>0</v>
      </c>
      <c r="BP87">
        <v>0</v>
      </c>
      <c r="BQ87">
        <v>0</v>
      </c>
      <c r="BR87" t="s">
        <v>1</v>
      </c>
      <c r="BS87" t="s">
        <v>1</v>
      </c>
      <c r="BT87" t="s">
        <v>1</v>
      </c>
      <c r="BU87" t="s">
        <v>1</v>
      </c>
      <c r="BV87" t="s">
        <v>1</v>
      </c>
      <c r="BW87" t="s">
        <v>360</v>
      </c>
      <c r="BX87" t="s">
        <v>1</v>
      </c>
      <c r="BY87">
        <v>0</v>
      </c>
      <c r="BZ87">
        <v>0</v>
      </c>
      <c r="CA87">
        <v>0</v>
      </c>
      <c r="CB87">
        <v>0</v>
      </c>
      <c r="CD87" t="str" cm="1">
        <f t="array" aca="1" ref="CD87" ca="1">eConcatenar(A87:CB87,"|")</f>
        <v>IgVUxRuEXhdxaKVm|VSA2020-0798|3|IMPERIAL DE LUJO|TABASCO|VILLAHERMOSA |VILLAHERMOSA |2020-10-16|12900|X|X|100|0|0|X|X|X|X|X|X|X|X|X|X|X|X|0|CRUZ|0|MARIA DEL CARMEN|0|X|X|CALLE PRINCIPAL OCHOCIENTOS ONCE |RANCHERIA ANACLETO CANABAL SEGUNDA SECCION |X|9935359115|0|0|0|CALLE PRINCIPAL OCHOCIENTOS ONCE |X|3|0|0|X|X|X|0|2800|10100|0|0|X|2021-09-12|2021-12-16|X|X|X|0|0|S35D6D3Y9KVTQ1|X|1|0|12900|0|0|0|X|X|X|X|X|VILLAHERMOSA |X|0|0|0|0</v>
      </c>
    </row>
    <row r="88" spans="1:82" x14ac:dyDescent="0.25">
      <c r="A88" t="s">
        <v>731</v>
      </c>
      <c r="B88" t="s">
        <v>732</v>
      </c>
      <c r="C88">
        <v>3</v>
      </c>
      <c r="D88" t="s">
        <v>715</v>
      </c>
      <c r="E88" t="s">
        <v>359</v>
      </c>
      <c r="F88" t="s">
        <v>360</v>
      </c>
      <c r="G88" t="s">
        <v>360</v>
      </c>
      <c r="H88" t="s">
        <v>733</v>
      </c>
      <c r="I88">
        <v>12900</v>
      </c>
      <c r="J88" t="s">
        <v>1</v>
      </c>
      <c r="K88" t="s">
        <v>1</v>
      </c>
      <c r="L88">
        <v>400</v>
      </c>
      <c r="M88">
        <v>2</v>
      </c>
      <c r="N88">
        <v>0</v>
      </c>
      <c r="O88" t="s">
        <v>1</v>
      </c>
      <c r="P88" t="s">
        <v>1</v>
      </c>
      <c r="Q88" t="s">
        <v>1</v>
      </c>
      <c r="R88" t="s">
        <v>1</v>
      </c>
      <c r="S88" t="s">
        <v>1</v>
      </c>
      <c r="T88" t="s">
        <v>1</v>
      </c>
      <c r="U88" t="s">
        <v>1</v>
      </c>
      <c r="V88" t="s">
        <v>1</v>
      </c>
      <c r="W88" t="s">
        <v>1</v>
      </c>
      <c r="X88" t="s">
        <v>1</v>
      </c>
      <c r="Y88" t="s">
        <v>1</v>
      </c>
      <c r="Z88" t="s">
        <v>1</v>
      </c>
      <c r="AA88">
        <v>0</v>
      </c>
      <c r="AB88" t="s">
        <v>7</v>
      </c>
      <c r="AC88" t="s">
        <v>734</v>
      </c>
      <c r="AD88" t="s">
        <v>735</v>
      </c>
      <c r="AE88">
        <v>0</v>
      </c>
      <c r="AF88" t="s">
        <v>1</v>
      </c>
      <c r="AG88" t="s">
        <v>1</v>
      </c>
      <c r="AH88" t="s">
        <v>545</v>
      </c>
      <c r="AI88" t="s">
        <v>736</v>
      </c>
      <c r="AJ88" t="s">
        <v>1</v>
      </c>
      <c r="AK88">
        <v>9932452379</v>
      </c>
      <c r="AL88">
        <v>0</v>
      </c>
      <c r="AM88">
        <v>0</v>
      </c>
      <c r="AN88">
        <v>0</v>
      </c>
      <c r="AO88" t="s">
        <v>545</v>
      </c>
      <c r="AP88" t="s">
        <v>1</v>
      </c>
      <c r="AQ88">
        <v>2</v>
      </c>
      <c r="AR88">
        <v>0</v>
      </c>
      <c r="AS88">
        <v>0</v>
      </c>
      <c r="AT88" t="s">
        <v>1</v>
      </c>
      <c r="AU88" t="s">
        <v>1</v>
      </c>
      <c r="AV88" t="s">
        <v>1</v>
      </c>
      <c r="AW88">
        <v>0</v>
      </c>
      <c r="AX88">
        <v>4600</v>
      </c>
      <c r="AY88">
        <v>8300</v>
      </c>
      <c r="AZ88">
        <v>0</v>
      </c>
      <c r="BA88">
        <v>0</v>
      </c>
      <c r="BB88" t="s">
        <v>1</v>
      </c>
      <c r="BC88" t="s">
        <v>737</v>
      </c>
      <c r="BD88" t="s">
        <v>738</v>
      </c>
      <c r="BE88" t="s">
        <v>1</v>
      </c>
      <c r="BF88" t="s">
        <v>1</v>
      </c>
      <c r="BG88" t="s">
        <v>1</v>
      </c>
      <c r="BH88">
        <v>0</v>
      </c>
      <c r="BI88">
        <v>0</v>
      </c>
      <c r="BJ88" t="s">
        <v>722</v>
      </c>
      <c r="BK88" t="s">
        <v>1</v>
      </c>
      <c r="BL88">
        <v>1</v>
      </c>
      <c r="BM88">
        <v>0</v>
      </c>
      <c r="BN88">
        <v>12900</v>
      </c>
      <c r="BO88">
        <v>0</v>
      </c>
      <c r="BP88">
        <v>0</v>
      </c>
      <c r="BQ88">
        <v>0</v>
      </c>
      <c r="BR88" t="s">
        <v>1</v>
      </c>
      <c r="BS88" t="s">
        <v>1</v>
      </c>
      <c r="BT88" t="s">
        <v>1</v>
      </c>
      <c r="BU88" t="s">
        <v>1</v>
      </c>
      <c r="BV88" t="s">
        <v>1</v>
      </c>
      <c r="BW88" t="s">
        <v>360</v>
      </c>
      <c r="BX88" t="s">
        <v>1</v>
      </c>
      <c r="BY88">
        <v>0</v>
      </c>
      <c r="BZ88">
        <v>0</v>
      </c>
      <c r="CA88">
        <v>0</v>
      </c>
      <c r="CB88">
        <v>0</v>
      </c>
      <c r="CD88" t="str" cm="1">
        <f t="array" aca="1" ref="CD88" ca="1">eConcatenar(A88:CB88,"|")</f>
        <v>q2pYtLjrDzVWttP8|VSA202-1330|3|IMPERIAL DE LUJO|TABASCO|VILLAHERMOSA |VILLAHERMOSA |2020-12-16|12900|X|X|400|2|0|X|X|X|X|X|X|X|X|X|X|X|X|0|LOPEZ|OLAN|URSULA|0|X|X|CARRETERA PRINCIPAL SIN NUMERO |RANCHERIA GONZALEZ PRIMERA SECCION|X|9932452379|0|0|0|CARRETERA PRINCIPAL SIN NUMERO |X|2|0|0|X|X|X|0|4600|8300|0|0|X|2021-08-12|2022-08-01|X|X|X|0|0|S35D6D3Y9KVTQ1|X|1|0|12900|0|0|0|X|X|X|X|X|VILLAHERMOSA |X|0|0|0|0</v>
      </c>
    </row>
    <row r="89" spans="1:82" x14ac:dyDescent="0.25">
      <c r="A89" t="s">
        <v>739</v>
      </c>
      <c r="B89" t="s">
        <v>740</v>
      </c>
      <c r="C89">
        <v>3</v>
      </c>
      <c r="D89" t="s">
        <v>741</v>
      </c>
      <c r="E89" t="s">
        <v>359</v>
      </c>
      <c r="F89" t="s">
        <v>360</v>
      </c>
      <c r="G89" t="s">
        <v>360</v>
      </c>
      <c r="H89" t="s">
        <v>742</v>
      </c>
      <c r="I89">
        <v>14800</v>
      </c>
      <c r="J89" t="s">
        <v>1</v>
      </c>
      <c r="K89" t="s">
        <v>1</v>
      </c>
      <c r="L89">
        <v>400</v>
      </c>
      <c r="M89">
        <v>2</v>
      </c>
      <c r="N89">
        <v>0</v>
      </c>
      <c r="O89" t="s">
        <v>1</v>
      </c>
      <c r="P89" t="s">
        <v>1</v>
      </c>
      <c r="Q89" t="s">
        <v>1</v>
      </c>
      <c r="R89" t="s">
        <v>1</v>
      </c>
      <c r="S89" t="s">
        <v>1</v>
      </c>
      <c r="T89" t="s">
        <v>1</v>
      </c>
      <c r="U89" t="s">
        <v>1</v>
      </c>
      <c r="V89" t="s">
        <v>1</v>
      </c>
      <c r="W89" t="s">
        <v>1</v>
      </c>
      <c r="X89" t="s">
        <v>1</v>
      </c>
      <c r="Y89" t="s">
        <v>1</v>
      </c>
      <c r="Z89" t="s">
        <v>1</v>
      </c>
      <c r="AA89">
        <v>0</v>
      </c>
      <c r="AB89" t="s">
        <v>743</v>
      </c>
      <c r="AC89" t="s">
        <v>744</v>
      </c>
      <c r="AD89" t="s">
        <v>745</v>
      </c>
      <c r="AE89">
        <v>0</v>
      </c>
      <c r="AF89" t="s">
        <v>1</v>
      </c>
      <c r="AG89" t="s">
        <v>1</v>
      </c>
      <c r="AH89" t="s">
        <v>746</v>
      </c>
      <c r="AI89" t="s">
        <v>747</v>
      </c>
      <c r="AJ89" t="s">
        <v>1</v>
      </c>
      <c r="AK89">
        <v>9931152334</v>
      </c>
      <c r="AL89">
        <v>0</v>
      </c>
      <c r="AM89">
        <v>0</v>
      </c>
      <c r="AN89">
        <v>0</v>
      </c>
      <c r="AO89" t="s">
        <v>746</v>
      </c>
      <c r="AP89" t="s">
        <v>1</v>
      </c>
      <c r="AQ89">
        <v>3</v>
      </c>
      <c r="AR89">
        <v>0</v>
      </c>
      <c r="AS89">
        <v>0</v>
      </c>
      <c r="AT89" t="s">
        <v>1</v>
      </c>
      <c r="AU89" t="s">
        <v>1</v>
      </c>
      <c r="AV89" t="s">
        <v>1</v>
      </c>
      <c r="AW89">
        <v>0</v>
      </c>
      <c r="AX89">
        <v>1000</v>
      </c>
      <c r="AY89">
        <v>13800</v>
      </c>
      <c r="AZ89">
        <v>0</v>
      </c>
      <c r="BA89">
        <v>0</v>
      </c>
      <c r="BB89" t="s">
        <v>1</v>
      </c>
      <c r="BC89" t="s">
        <v>748</v>
      </c>
      <c r="BD89" t="s">
        <v>155</v>
      </c>
      <c r="BE89" t="s">
        <v>1</v>
      </c>
      <c r="BF89" t="s">
        <v>1</v>
      </c>
      <c r="BG89" t="s">
        <v>1</v>
      </c>
      <c r="BH89">
        <v>0</v>
      </c>
      <c r="BI89">
        <v>0</v>
      </c>
      <c r="BJ89" t="s">
        <v>722</v>
      </c>
      <c r="BK89" t="s">
        <v>1</v>
      </c>
      <c r="BL89">
        <v>1</v>
      </c>
      <c r="BM89">
        <v>0</v>
      </c>
      <c r="BN89">
        <v>14800</v>
      </c>
      <c r="BO89">
        <v>0</v>
      </c>
      <c r="BP89">
        <v>0</v>
      </c>
      <c r="BQ89">
        <v>0</v>
      </c>
      <c r="BR89" t="s">
        <v>1</v>
      </c>
      <c r="BS89" t="s">
        <v>1</v>
      </c>
      <c r="BT89" t="s">
        <v>1</v>
      </c>
      <c r="BU89" t="s">
        <v>1</v>
      </c>
      <c r="BV89" t="s">
        <v>1</v>
      </c>
      <c r="BW89" t="s">
        <v>360</v>
      </c>
      <c r="BX89" t="s">
        <v>1</v>
      </c>
      <c r="BY89">
        <v>0</v>
      </c>
      <c r="BZ89">
        <v>0</v>
      </c>
      <c r="CA89">
        <v>0</v>
      </c>
      <c r="CB89">
        <v>0</v>
      </c>
      <c r="CD89" t="str" cm="1">
        <f t="array" aca="1" ref="CD89" ca="1">eConcatenar(A89:CB89,"|")</f>
        <v>Hw5ZRMgrWJ8WcpFZ|VSA2021-1463|3|MEMORIAL|TABASCO|VILLAHERMOSA |VILLAHERMOSA |2021-03-09|14800|X|X|400|2|0|X|X|X|X|X|X|X|X|X|X|X|X|0|VIDAL|ARENAS|MARGARITA|0|X|X|RANCHERIA MARIN |CRISTOBAL COLON CASA REPELLADA |X|9931152334|0|0|0|RANCHERIA MARIN |X|3|0|0|X|X|X|0|1000|13800|0|0|X|2021-02-12|2022-02-01|X|X|X|0|0|S35D6D3Y9KVTQ1|X|1|0|14800|0|0|0|X|X|X|X|X|VILLAHERMOSA |X|0|0|0|0</v>
      </c>
    </row>
    <row r="90" spans="1:82" x14ac:dyDescent="0.25">
      <c r="A90" t="s">
        <v>749</v>
      </c>
      <c r="B90" t="s">
        <v>750</v>
      </c>
      <c r="C90">
        <v>3</v>
      </c>
      <c r="D90" t="s">
        <v>246</v>
      </c>
      <c r="E90" t="s">
        <v>359</v>
      </c>
      <c r="F90" t="s">
        <v>360</v>
      </c>
      <c r="G90" t="s">
        <v>360</v>
      </c>
      <c r="H90" t="s">
        <v>751</v>
      </c>
      <c r="I90">
        <v>24500</v>
      </c>
      <c r="J90" t="s">
        <v>1</v>
      </c>
      <c r="K90" t="s">
        <v>1</v>
      </c>
      <c r="L90">
        <v>200</v>
      </c>
      <c r="M90">
        <v>1</v>
      </c>
      <c r="N90">
        <v>0</v>
      </c>
      <c r="O90" t="s">
        <v>1</v>
      </c>
      <c r="P90" t="s">
        <v>1</v>
      </c>
      <c r="Q90" t="s">
        <v>1</v>
      </c>
      <c r="R90" t="s">
        <v>1</v>
      </c>
      <c r="S90" t="s">
        <v>1</v>
      </c>
      <c r="T90" t="s">
        <v>1</v>
      </c>
      <c r="U90" t="s">
        <v>1</v>
      </c>
      <c r="V90" t="s">
        <v>1</v>
      </c>
      <c r="W90" t="s">
        <v>1</v>
      </c>
      <c r="X90" t="s">
        <v>1</v>
      </c>
      <c r="Y90" t="s">
        <v>1</v>
      </c>
      <c r="Z90" t="s">
        <v>1</v>
      </c>
      <c r="AA90">
        <v>0</v>
      </c>
      <c r="AB90" t="s">
        <v>752</v>
      </c>
      <c r="AC90" t="s">
        <v>753</v>
      </c>
      <c r="AD90" t="s">
        <v>754</v>
      </c>
      <c r="AE90">
        <v>0</v>
      </c>
      <c r="AF90" t="s">
        <v>1</v>
      </c>
      <c r="AG90" t="s">
        <v>1</v>
      </c>
      <c r="AH90" t="s">
        <v>755</v>
      </c>
      <c r="AI90" t="s">
        <v>756</v>
      </c>
      <c r="AJ90" t="s">
        <v>1</v>
      </c>
      <c r="AK90">
        <v>9931216073</v>
      </c>
      <c r="AL90">
        <v>0</v>
      </c>
      <c r="AM90">
        <v>0</v>
      </c>
      <c r="AN90">
        <v>0</v>
      </c>
      <c r="AO90" t="s">
        <v>755</v>
      </c>
      <c r="AP90" t="s">
        <v>1</v>
      </c>
      <c r="AQ90">
        <v>2</v>
      </c>
      <c r="AR90">
        <v>0</v>
      </c>
      <c r="AS90">
        <v>0</v>
      </c>
      <c r="AT90" t="s">
        <v>1</v>
      </c>
      <c r="AU90" t="s">
        <v>1</v>
      </c>
      <c r="AV90" t="s">
        <v>1</v>
      </c>
      <c r="AW90">
        <v>0</v>
      </c>
      <c r="AX90">
        <v>300</v>
      </c>
      <c r="AY90">
        <v>24200</v>
      </c>
      <c r="AZ90">
        <v>0</v>
      </c>
      <c r="BA90">
        <v>0</v>
      </c>
      <c r="BB90" t="s">
        <v>1</v>
      </c>
      <c r="BC90" t="s">
        <v>757</v>
      </c>
      <c r="BD90" t="s">
        <v>758</v>
      </c>
      <c r="BE90" t="s">
        <v>1</v>
      </c>
      <c r="BF90" t="s">
        <v>1</v>
      </c>
      <c r="BG90" t="s">
        <v>1</v>
      </c>
      <c r="BH90">
        <v>0</v>
      </c>
      <c r="BI90">
        <v>0</v>
      </c>
      <c r="BJ90" t="s">
        <v>722</v>
      </c>
      <c r="BK90" t="s">
        <v>1</v>
      </c>
      <c r="BL90">
        <v>1</v>
      </c>
      <c r="BM90">
        <v>0</v>
      </c>
      <c r="BN90">
        <v>24500</v>
      </c>
      <c r="BO90">
        <v>0</v>
      </c>
      <c r="BP90">
        <v>0</v>
      </c>
      <c r="BQ90">
        <v>0</v>
      </c>
      <c r="BR90" t="s">
        <v>1</v>
      </c>
      <c r="BS90" t="s">
        <v>1</v>
      </c>
      <c r="BT90" t="s">
        <v>1</v>
      </c>
      <c r="BU90" t="s">
        <v>1</v>
      </c>
      <c r="BV90" t="s">
        <v>1</v>
      </c>
      <c r="BW90" t="s">
        <v>360</v>
      </c>
      <c r="BX90" t="s">
        <v>1</v>
      </c>
      <c r="BY90">
        <v>0</v>
      </c>
      <c r="BZ90">
        <v>0</v>
      </c>
      <c r="CA90">
        <v>0</v>
      </c>
      <c r="CB90">
        <v>0</v>
      </c>
      <c r="CD90" t="str" cm="1">
        <f t="array" aca="1" ref="CD90" ca="1">eConcatenar(A90:CB90,"|")</f>
        <v>JUmK1Mrtxfc6hUzf|VSA2021-1818|3|DIGNITY|TABASCO|VILLAHERMOSA |VILLAHERMOSA |2021-07-11|24500|X|X|200|1|0|X|X|X|X|X|X|X|X|X|X|X|X|0|IZQUIERDO|OVANDO|GRACIELA|0|X|X|CALLE PRINCIPAL SIN NUMERO|RANCHERIA EMILIANO ZAPATA |X|9931216073|0|0|0|CALLE PRINCIPAL SIN NUMERO|X|2|0|0|X|X|X|0|300|24200|0|0|X|2021-01-12|2021-12-15|X|X|X|0|0|S35D6D3Y9KVTQ1|X|1|0|24500|0|0|0|X|X|X|X|X|VILLAHERMOSA |X|0|0|0|0</v>
      </c>
    </row>
    <row r="91" spans="1:82" x14ac:dyDescent="0.25">
      <c r="A91" t="s">
        <v>759</v>
      </c>
      <c r="B91" t="s">
        <v>760</v>
      </c>
      <c r="C91">
        <v>3</v>
      </c>
      <c r="D91" t="s">
        <v>741</v>
      </c>
      <c r="E91" t="s">
        <v>359</v>
      </c>
      <c r="F91" t="s">
        <v>360</v>
      </c>
      <c r="G91" t="s">
        <v>360</v>
      </c>
      <c r="H91" t="s">
        <v>399</v>
      </c>
      <c r="I91">
        <v>14800</v>
      </c>
      <c r="J91" t="s">
        <v>1</v>
      </c>
      <c r="K91" t="s">
        <v>1</v>
      </c>
      <c r="L91">
        <v>400</v>
      </c>
      <c r="M91">
        <v>2</v>
      </c>
      <c r="N91">
        <v>0</v>
      </c>
      <c r="O91" t="s">
        <v>1</v>
      </c>
      <c r="P91" t="s">
        <v>1</v>
      </c>
      <c r="Q91" t="s">
        <v>1</v>
      </c>
      <c r="R91" t="s">
        <v>1</v>
      </c>
      <c r="S91" t="s">
        <v>1</v>
      </c>
      <c r="T91" t="s">
        <v>1</v>
      </c>
      <c r="U91" t="s">
        <v>1</v>
      </c>
      <c r="V91" t="s">
        <v>1</v>
      </c>
      <c r="W91" t="s">
        <v>1</v>
      </c>
      <c r="X91" t="s">
        <v>1</v>
      </c>
      <c r="Y91" t="s">
        <v>1</v>
      </c>
      <c r="Z91" t="s">
        <v>1</v>
      </c>
      <c r="AA91">
        <v>0</v>
      </c>
      <c r="AB91" t="s">
        <v>761</v>
      </c>
      <c r="AC91" t="s">
        <v>762</v>
      </c>
      <c r="AD91" t="s">
        <v>763</v>
      </c>
      <c r="AE91">
        <v>0</v>
      </c>
      <c r="AF91" t="s">
        <v>1</v>
      </c>
      <c r="AG91" t="s">
        <v>1</v>
      </c>
      <c r="AH91" t="s">
        <v>545</v>
      </c>
      <c r="AI91" t="s">
        <v>764</v>
      </c>
      <c r="AJ91" t="s">
        <v>1</v>
      </c>
      <c r="AK91">
        <v>9141115600</v>
      </c>
      <c r="AL91">
        <v>0</v>
      </c>
      <c r="AM91">
        <v>0</v>
      </c>
      <c r="AN91">
        <v>0</v>
      </c>
      <c r="AO91" t="s">
        <v>545</v>
      </c>
      <c r="AP91" t="s">
        <v>1</v>
      </c>
      <c r="AQ91">
        <v>3</v>
      </c>
      <c r="AR91">
        <v>0</v>
      </c>
      <c r="AS91">
        <v>0</v>
      </c>
      <c r="AT91" t="s">
        <v>1</v>
      </c>
      <c r="AU91" t="s">
        <v>1</v>
      </c>
      <c r="AV91" t="s">
        <v>1</v>
      </c>
      <c r="AW91">
        <v>0</v>
      </c>
      <c r="AX91">
        <v>1550</v>
      </c>
      <c r="AY91">
        <v>13250</v>
      </c>
      <c r="AZ91">
        <v>0</v>
      </c>
      <c r="BA91">
        <v>0</v>
      </c>
      <c r="BB91" t="s">
        <v>1</v>
      </c>
      <c r="BC91" t="s">
        <v>399</v>
      </c>
      <c r="BD91" t="s">
        <v>765</v>
      </c>
      <c r="BE91" t="s">
        <v>1</v>
      </c>
      <c r="BF91" t="s">
        <v>1</v>
      </c>
      <c r="BG91" t="s">
        <v>1</v>
      </c>
      <c r="BH91">
        <v>0</v>
      </c>
      <c r="BI91">
        <v>0</v>
      </c>
      <c r="BJ91" t="s">
        <v>722</v>
      </c>
      <c r="BK91" t="s">
        <v>1</v>
      </c>
      <c r="BL91">
        <v>1</v>
      </c>
      <c r="BM91">
        <v>0</v>
      </c>
      <c r="BN91">
        <v>14800</v>
      </c>
      <c r="BO91">
        <v>0</v>
      </c>
      <c r="BP91">
        <v>0</v>
      </c>
      <c r="BQ91">
        <v>0</v>
      </c>
      <c r="BR91" t="s">
        <v>1</v>
      </c>
      <c r="BS91" t="s">
        <v>1</v>
      </c>
      <c r="BT91" t="s">
        <v>1</v>
      </c>
      <c r="BU91" t="s">
        <v>1</v>
      </c>
      <c r="BV91" t="s">
        <v>1</v>
      </c>
      <c r="BW91" t="s">
        <v>360</v>
      </c>
      <c r="BX91" t="s">
        <v>1</v>
      </c>
      <c r="BY91">
        <v>0</v>
      </c>
      <c r="BZ91">
        <v>0</v>
      </c>
      <c r="CA91">
        <v>0</v>
      </c>
      <c r="CB91">
        <v>0</v>
      </c>
      <c r="CD91" t="str" cm="1">
        <f t="array" aca="1" ref="CD91" ca="1">eConcatenar(A91:CB91,"|")</f>
        <v>SucaCvwAZHnwzch1|VSA2021-7086|3|MEMORIAL|TABASCO|VILLAHERMOSA |VILLAHERMOSA |2021-11-20|14800|X|X|400|2|0|X|X|X|X|X|X|X|X|X|X|X|X|0|TORRES |OSORIO|CONCEPCION|0|X|X|CARRETERA PRINCIPAL SIN NUMERO |POLADO CUCUYULAPA|X|9141115600|0|0|0|CARRETERA PRINCIPAL SIN NUMERO |X|3|0|0|X|X|X|0|1550|13250|0|0|X|2021-11-20|2022-12-20|X|X|X|0|0|S35D6D3Y9KVTQ1|X|1|0|14800|0|0|0|X|X|X|X|X|VILLAHERMOSA |X|0|0|0|0</v>
      </c>
    </row>
    <row r="92" spans="1:82" x14ac:dyDescent="0.25">
      <c r="A92" t="s">
        <v>766</v>
      </c>
      <c r="B92" t="s">
        <v>767</v>
      </c>
      <c r="C92">
        <v>3</v>
      </c>
      <c r="D92" t="s">
        <v>741</v>
      </c>
      <c r="E92" t="s">
        <v>359</v>
      </c>
      <c r="F92" t="s">
        <v>360</v>
      </c>
      <c r="G92" t="s">
        <v>360</v>
      </c>
      <c r="H92" t="s">
        <v>399</v>
      </c>
      <c r="I92">
        <v>14800</v>
      </c>
      <c r="J92" t="s">
        <v>1</v>
      </c>
      <c r="K92" t="s">
        <v>1</v>
      </c>
      <c r="L92">
        <v>100</v>
      </c>
      <c r="M92">
        <v>0</v>
      </c>
      <c r="N92">
        <v>0</v>
      </c>
      <c r="O92" t="s">
        <v>1</v>
      </c>
      <c r="P92" t="s">
        <v>1</v>
      </c>
      <c r="Q92" t="s">
        <v>1</v>
      </c>
      <c r="R92" t="s">
        <v>1</v>
      </c>
      <c r="S92" t="s">
        <v>1</v>
      </c>
      <c r="T92" t="s">
        <v>1</v>
      </c>
      <c r="U92" t="s">
        <v>1</v>
      </c>
      <c r="V92" t="s">
        <v>1</v>
      </c>
      <c r="W92" t="s">
        <v>1</v>
      </c>
      <c r="X92" t="s">
        <v>1</v>
      </c>
      <c r="Y92" t="s">
        <v>1</v>
      </c>
      <c r="Z92" t="s">
        <v>1</v>
      </c>
      <c r="AA92">
        <v>0</v>
      </c>
      <c r="AB92" t="s">
        <v>248</v>
      </c>
      <c r="AC92" t="s">
        <v>217</v>
      </c>
      <c r="AD92" t="s">
        <v>768</v>
      </c>
      <c r="AE92">
        <v>0</v>
      </c>
      <c r="AF92" t="s">
        <v>1</v>
      </c>
      <c r="AG92" t="s">
        <v>1</v>
      </c>
      <c r="AH92" t="s">
        <v>769</v>
      </c>
      <c r="AI92" t="s">
        <v>770</v>
      </c>
      <c r="AJ92" t="s">
        <v>1</v>
      </c>
      <c r="AK92">
        <v>9141391106</v>
      </c>
      <c r="AL92">
        <v>0</v>
      </c>
      <c r="AM92">
        <v>0</v>
      </c>
      <c r="AN92">
        <v>0</v>
      </c>
      <c r="AO92" t="s">
        <v>769</v>
      </c>
      <c r="AP92" t="s">
        <v>1</v>
      </c>
      <c r="AQ92">
        <v>3</v>
      </c>
      <c r="AR92">
        <v>0</v>
      </c>
      <c r="AS92">
        <v>0</v>
      </c>
      <c r="AT92" t="s">
        <v>1</v>
      </c>
      <c r="AU92" t="s">
        <v>1</v>
      </c>
      <c r="AV92" t="s">
        <v>1</v>
      </c>
      <c r="AW92">
        <v>0</v>
      </c>
      <c r="AX92">
        <v>100</v>
      </c>
      <c r="AY92">
        <v>14700</v>
      </c>
      <c r="AZ92">
        <v>0</v>
      </c>
      <c r="BA92">
        <v>0</v>
      </c>
      <c r="BB92" t="s">
        <v>1</v>
      </c>
      <c r="BC92" t="s">
        <v>399</v>
      </c>
      <c r="BD92" t="s">
        <v>748</v>
      </c>
      <c r="BE92" t="s">
        <v>1</v>
      </c>
      <c r="BF92" t="s">
        <v>1</v>
      </c>
      <c r="BG92" t="s">
        <v>1</v>
      </c>
      <c r="BH92">
        <v>0</v>
      </c>
      <c r="BI92">
        <v>0</v>
      </c>
      <c r="BJ92" t="s">
        <v>722</v>
      </c>
      <c r="BK92" t="s">
        <v>1</v>
      </c>
      <c r="BL92">
        <v>1</v>
      </c>
      <c r="BM92">
        <v>0</v>
      </c>
      <c r="BN92">
        <v>14800</v>
      </c>
      <c r="BO92">
        <v>0</v>
      </c>
      <c r="BP92">
        <v>0</v>
      </c>
      <c r="BQ92">
        <v>0</v>
      </c>
      <c r="BR92" t="s">
        <v>1</v>
      </c>
      <c r="BS92" t="s">
        <v>1</v>
      </c>
      <c r="BT92" t="s">
        <v>1</v>
      </c>
      <c r="BU92" t="s">
        <v>1</v>
      </c>
      <c r="BV92" t="s">
        <v>1</v>
      </c>
      <c r="BW92" t="s">
        <v>360</v>
      </c>
      <c r="BX92" t="s">
        <v>1</v>
      </c>
      <c r="BY92">
        <v>0</v>
      </c>
      <c r="BZ92">
        <v>0</v>
      </c>
      <c r="CA92">
        <v>0</v>
      </c>
      <c r="CB92">
        <v>0</v>
      </c>
      <c r="CD92" t="str" cm="1">
        <f t="array" aca="1" ref="CD92" ca="1">eConcatenar(A92:CB92,"|")</f>
        <v>yEfswi9BnBRSVsob|VSA2021-7088|3|MEMORIAL|TABASCO|VILLAHERMOSA |VILLAHERMOSA |2021-11-20|14800|X|X|100|0|0|X|X|X|X|X|X|X|X|X|X|X|X|0|MORALES|HERNANDEZ|MARIA MAGDALENA |0|X|X|CALLE HERMINIO LUNA |CARRETERA DEL CAMELLON |X|9141391106|0|0|0|CALLE HERMINIO LUNA |X|3|0|0|X|X|X|0|100|14700|0|0|X|2021-11-20|2021-02-12|X|X|X|0|0|S35D6D3Y9KVTQ1|X|1|0|14800|0|0|0|X|X|X|X|X|VILLAHERMOSA |X|0|0|0|0</v>
      </c>
    </row>
    <row r="93" spans="1:82" x14ac:dyDescent="0.25">
      <c r="A93" t="s">
        <v>771</v>
      </c>
      <c r="B93" t="s">
        <v>772</v>
      </c>
      <c r="C93">
        <v>3</v>
      </c>
      <c r="D93" t="s">
        <v>246</v>
      </c>
      <c r="E93" t="s">
        <v>359</v>
      </c>
      <c r="F93" t="s">
        <v>360</v>
      </c>
      <c r="G93" t="s">
        <v>360</v>
      </c>
      <c r="H93" t="s">
        <v>773</v>
      </c>
      <c r="I93">
        <v>24500</v>
      </c>
      <c r="J93" t="s">
        <v>1</v>
      </c>
      <c r="K93" t="s">
        <v>1</v>
      </c>
      <c r="L93">
        <v>200</v>
      </c>
      <c r="M93">
        <v>1</v>
      </c>
      <c r="N93">
        <v>0</v>
      </c>
      <c r="O93" t="s">
        <v>1</v>
      </c>
      <c r="P93" t="s">
        <v>1</v>
      </c>
      <c r="Q93" t="s">
        <v>1</v>
      </c>
      <c r="R93" t="s">
        <v>1</v>
      </c>
      <c r="S93" t="s">
        <v>1</v>
      </c>
      <c r="T93" t="s">
        <v>1</v>
      </c>
      <c r="U93" t="s">
        <v>1</v>
      </c>
      <c r="V93" t="s">
        <v>1</v>
      </c>
      <c r="W93" t="s">
        <v>1</v>
      </c>
      <c r="X93" t="s">
        <v>1</v>
      </c>
      <c r="Y93" t="s">
        <v>1</v>
      </c>
      <c r="Z93" t="s">
        <v>1</v>
      </c>
      <c r="AA93">
        <v>0</v>
      </c>
      <c r="AB93" t="s">
        <v>774</v>
      </c>
      <c r="AC93" t="s">
        <v>217</v>
      </c>
      <c r="AD93" t="s">
        <v>775</v>
      </c>
      <c r="AE93">
        <v>0</v>
      </c>
      <c r="AF93" t="s">
        <v>1</v>
      </c>
      <c r="AG93" t="s">
        <v>1</v>
      </c>
      <c r="AH93" t="s">
        <v>776</v>
      </c>
      <c r="AI93" t="s">
        <v>777</v>
      </c>
      <c r="AJ93" t="s">
        <v>1</v>
      </c>
      <c r="AK93">
        <v>9933200074</v>
      </c>
      <c r="AL93">
        <v>0</v>
      </c>
      <c r="AM93">
        <v>0</v>
      </c>
      <c r="AN93">
        <v>0</v>
      </c>
      <c r="AO93" t="s">
        <v>776</v>
      </c>
      <c r="AP93" t="s">
        <v>1</v>
      </c>
      <c r="AQ93">
        <v>2</v>
      </c>
      <c r="AR93">
        <v>0</v>
      </c>
      <c r="AS93">
        <v>0</v>
      </c>
      <c r="AT93" t="s">
        <v>1</v>
      </c>
      <c r="AU93" t="s">
        <v>1</v>
      </c>
      <c r="AV93" t="s">
        <v>1</v>
      </c>
      <c r="AW93">
        <v>0</v>
      </c>
      <c r="AX93">
        <v>200</v>
      </c>
      <c r="AY93">
        <v>24300</v>
      </c>
      <c r="AZ93">
        <v>0</v>
      </c>
      <c r="BA93">
        <v>0</v>
      </c>
      <c r="BB93" t="s">
        <v>1</v>
      </c>
      <c r="BC93" t="s">
        <v>773</v>
      </c>
      <c r="BD93" t="s">
        <v>778</v>
      </c>
      <c r="BE93" t="s">
        <v>1</v>
      </c>
      <c r="BF93" t="s">
        <v>1</v>
      </c>
      <c r="BG93" t="s">
        <v>1</v>
      </c>
      <c r="BH93">
        <v>0</v>
      </c>
      <c r="BI93">
        <v>0</v>
      </c>
      <c r="BJ93" t="s">
        <v>722</v>
      </c>
      <c r="BK93" t="s">
        <v>1</v>
      </c>
      <c r="BL93">
        <v>1</v>
      </c>
      <c r="BM93">
        <v>0</v>
      </c>
      <c r="BN93">
        <v>24500</v>
      </c>
      <c r="BO93">
        <v>0</v>
      </c>
      <c r="BP93">
        <v>0</v>
      </c>
      <c r="BQ93">
        <v>0</v>
      </c>
      <c r="BR93" t="s">
        <v>1</v>
      </c>
      <c r="BS93" t="s">
        <v>1</v>
      </c>
      <c r="BT93" t="s">
        <v>1</v>
      </c>
      <c r="BU93" t="s">
        <v>1</v>
      </c>
      <c r="BV93" t="s">
        <v>1</v>
      </c>
      <c r="BW93" t="s">
        <v>360</v>
      </c>
      <c r="BX93" t="s">
        <v>1</v>
      </c>
      <c r="BY93">
        <v>0</v>
      </c>
      <c r="BZ93">
        <v>0</v>
      </c>
      <c r="CA93">
        <v>0</v>
      </c>
      <c r="CB93">
        <v>0</v>
      </c>
      <c r="CD93" t="str" cm="1">
        <f t="array" aca="1" ref="CD93" ca="1">eConcatenar(A93:CB93,"|")</f>
        <v>GQT94A7ToSABtNNS|VSA2021-4437|3|DIGNITY|TABASCO|VILLAHERMOSA |VILLAHERMOSA |2021-10-08|24500|X|X|200|1|0|X|X|X|X|X|X|X|X|X|X|X|X|0|FUENTES|HERNANDEZ|ORALIA|0|X|X|FRACCIONAMIENTO VALLE DEL JAGUAR|VALLE DEL JAGUAR |X|9933200074|0|0|0|FRACCIONAMIENTO VALLE DEL JAGUAR|X|2|0|0|X|X|X|0|200|24300|0|0|X|2021-10-08|2021-08-25|X|X|X|0|0|S35D6D3Y9KVTQ1|X|1|0|24500|0|0|0|X|X|X|X|X|VILLAHERMOSA |X|0|0|0|0</v>
      </c>
    </row>
    <row r="94" spans="1:82" x14ac:dyDescent="0.25">
      <c r="A94" t="s">
        <v>779</v>
      </c>
      <c r="B94" t="s">
        <v>780</v>
      </c>
      <c r="C94">
        <v>3</v>
      </c>
      <c r="D94" t="s">
        <v>715</v>
      </c>
      <c r="E94" t="s">
        <v>359</v>
      </c>
      <c r="F94" t="s">
        <v>360</v>
      </c>
      <c r="G94" t="s">
        <v>360</v>
      </c>
      <c r="H94" t="s">
        <v>781</v>
      </c>
      <c r="I94">
        <v>12900</v>
      </c>
      <c r="J94" t="s">
        <v>1</v>
      </c>
      <c r="K94" t="s">
        <v>1</v>
      </c>
      <c r="L94">
        <v>100</v>
      </c>
      <c r="M94">
        <v>0</v>
      </c>
      <c r="N94">
        <v>0</v>
      </c>
      <c r="O94" t="s">
        <v>1</v>
      </c>
      <c r="P94" t="s">
        <v>1</v>
      </c>
      <c r="Q94" t="s">
        <v>1</v>
      </c>
      <c r="R94" t="s">
        <v>1</v>
      </c>
      <c r="S94" t="s">
        <v>1</v>
      </c>
      <c r="T94" t="s">
        <v>1</v>
      </c>
      <c r="U94" t="s">
        <v>1</v>
      </c>
      <c r="V94" t="s">
        <v>1</v>
      </c>
      <c r="W94" t="s">
        <v>1</v>
      </c>
      <c r="X94" t="s">
        <v>1</v>
      </c>
      <c r="Y94" t="s">
        <v>1</v>
      </c>
      <c r="Z94" t="s">
        <v>1</v>
      </c>
      <c r="AA94">
        <v>0</v>
      </c>
      <c r="AB94" t="s">
        <v>248</v>
      </c>
      <c r="AC94" t="s">
        <v>782</v>
      </c>
      <c r="AD94" t="s">
        <v>783</v>
      </c>
      <c r="AE94">
        <v>0</v>
      </c>
      <c r="AF94" t="s">
        <v>1</v>
      </c>
      <c r="AG94" t="s">
        <v>1</v>
      </c>
      <c r="AH94" t="s">
        <v>784</v>
      </c>
      <c r="AI94" t="s">
        <v>785</v>
      </c>
      <c r="AJ94" t="s">
        <v>1</v>
      </c>
      <c r="AK94">
        <v>9931535529</v>
      </c>
      <c r="AL94" t="s">
        <v>786</v>
      </c>
      <c r="AM94" t="s">
        <v>787</v>
      </c>
      <c r="AN94">
        <v>0</v>
      </c>
      <c r="AO94" t="s">
        <v>784</v>
      </c>
      <c r="AP94" t="s">
        <v>1</v>
      </c>
      <c r="AQ94">
        <v>2</v>
      </c>
      <c r="AR94">
        <v>0</v>
      </c>
      <c r="AS94">
        <v>0</v>
      </c>
      <c r="AT94" t="s">
        <v>1</v>
      </c>
      <c r="AU94" t="s">
        <v>1</v>
      </c>
      <c r="AV94" t="s">
        <v>1</v>
      </c>
      <c r="AW94">
        <v>0</v>
      </c>
      <c r="AX94">
        <v>4500</v>
      </c>
      <c r="AY94">
        <v>8400</v>
      </c>
      <c r="AZ94">
        <v>0</v>
      </c>
      <c r="BA94">
        <v>0</v>
      </c>
      <c r="BB94" t="s">
        <v>1</v>
      </c>
      <c r="BC94" t="s">
        <v>737</v>
      </c>
      <c r="BD94" t="s">
        <v>758</v>
      </c>
      <c r="BE94" t="s">
        <v>1</v>
      </c>
      <c r="BF94" t="s">
        <v>1</v>
      </c>
      <c r="BG94" t="s">
        <v>1</v>
      </c>
      <c r="BH94">
        <v>0</v>
      </c>
      <c r="BI94">
        <v>0</v>
      </c>
      <c r="BJ94" t="s">
        <v>722</v>
      </c>
      <c r="BK94" t="s">
        <v>1</v>
      </c>
      <c r="BL94">
        <v>1</v>
      </c>
      <c r="BM94">
        <v>0</v>
      </c>
      <c r="BN94">
        <v>12900</v>
      </c>
      <c r="BO94">
        <v>0</v>
      </c>
      <c r="BP94">
        <v>0</v>
      </c>
      <c r="BQ94">
        <v>0</v>
      </c>
      <c r="BR94" t="s">
        <v>1</v>
      </c>
      <c r="BS94" t="s">
        <v>1</v>
      </c>
      <c r="BT94" t="s">
        <v>1</v>
      </c>
      <c r="BU94" t="s">
        <v>1</v>
      </c>
      <c r="BV94" t="s">
        <v>1</v>
      </c>
      <c r="BW94" t="s">
        <v>360</v>
      </c>
      <c r="BX94" t="s">
        <v>1</v>
      </c>
      <c r="BY94">
        <v>0</v>
      </c>
      <c r="BZ94">
        <v>0</v>
      </c>
      <c r="CA94">
        <v>0</v>
      </c>
      <c r="CB94">
        <v>0</v>
      </c>
      <c r="CD94" t="str" cm="1">
        <f t="array" aca="1" ref="CD94" ca="1">eConcatenar(A94:CB94,"|")</f>
        <v>7xXPbav3bjGkWOyT|VSA2020-1263|3|IMPERIAL DE LUJO|TABASCO|VILLAHERMOSA |VILLAHERMOSA |2020-11-30|12900|X|X|100|0|0|X|X|X|X|X|X|X|X|X|X|X|X|0|MORALES|DIAZ|MARTHA|0|X|X|CALLEJON LOS GONZALEZ |RANCHERIA LOA GONZALEZ PRIMERA SECCION|X|9931535529|LETICIA CORTAZAR ROMERO|GAMALIEL GONZALEZ CORTAZAR|0|CALLEJON LOS GONZALEZ |X|2|0|0|X|X|X|0|4500|8400|0|0|X|2021-08-12|2021-12-15|X|X|X|0|0|S35D6D3Y9KVTQ1|X|1|0|12900|0|0|0|X|X|X|X|X|VILLAHERMOSA |X|0|0|0|0</v>
      </c>
    </row>
    <row r="95" spans="1:82" x14ac:dyDescent="0.25">
      <c r="A95" t="s">
        <v>788</v>
      </c>
      <c r="B95" t="s">
        <v>789</v>
      </c>
      <c r="C95">
        <v>3</v>
      </c>
      <c r="D95" t="s">
        <v>715</v>
      </c>
      <c r="E95" t="s">
        <v>359</v>
      </c>
      <c r="F95" t="s">
        <v>360</v>
      </c>
      <c r="G95" t="s">
        <v>360</v>
      </c>
      <c r="H95" t="s">
        <v>790</v>
      </c>
      <c r="I95">
        <v>12900</v>
      </c>
      <c r="J95" t="s">
        <v>1</v>
      </c>
      <c r="K95" t="s">
        <v>1</v>
      </c>
      <c r="L95">
        <v>200</v>
      </c>
      <c r="M95">
        <v>1</v>
      </c>
      <c r="N95">
        <v>0</v>
      </c>
      <c r="O95" t="s">
        <v>1</v>
      </c>
      <c r="P95" t="s">
        <v>1</v>
      </c>
      <c r="Q95" t="s">
        <v>1</v>
      </c>
      <c r="R95" t="s">
        <v>1</v>
      </c>
      <c r="S95" t="s">
        <v>1</v>
      </c>
      <c r="T95" t="s">
        <v>1</v>
      </c>
      <c r="U95" t="s">
        <v>1</v>
      </c>
      <c r="V95" t="s">
        <v>1</v>
      </c>
      <c r="W95" t="s">
        <v>1</v>
      </c>
      <c r="X95" t="s">
        <v>1</v>
      </c>
      <c r="Y95" t="s">
        <v>1</v>
      </c>
      <c r="Z95" t="s">
        <v>1</v>
      </c>
      <c r="AA95">
        <v>0</v>
      </c>
      <c r="AB95" t="s">
        <v>791</v>
      </c>
      <c r="AC95" t="s">
        <v>217</v>
      </c>
      <c r="AD95" t="s">
        <v>792</v>
      </c>
      <c r="AE95">
        <v>0</v>
      </c>
      <c r="AF95" t="s">
        <v>1</v>
      </c>
      <c r="AG95" t="s">
        <v>1</v>
      </c>
      <c r="AH95" t="s">
        <v>545</v>
      </c>
      <c r="AI95" t="s">
        <v>793</v>
      </c>
      <c r="AJ95" t="s">
        <v>1</v>
      </c>
      <c r="AK95">
        <v>9932236465</v>
      </c>
      <c r="AL95" t="s">
        <v>794</v>
      </c>
      <c r="AM95" t="s">
        <v>795</v>
      </c>
      <c r="AN95">
        <v>0</v>
      </c>
      <c r="AO95" t="s">
        <v>545</v>
      </c>
      <c r="AP95" t="s">
        <v>1</v>
      </c>
      <c r="AQ95">
        <v>3</v>
      </c>
      <c r="AR95">
        <v>0</v>
      </c>
      <c r="AS95">
        <v>0</v>
      </c>
      <c r="AT95" t="s">
        <v>1</v>
      </c>
      <c r="AU95" t="s">
        <v>1</v>
      </c>
      <c r="AV95" t="s">
        <v>1</v>
      </c>
      <c r="AW95">
        <v>0</v>
      </c>
      <c r="AX95">
        <v>4190</v>
      </c>
      <c r="AY95">
        <v>8710</v>
      </c>
      <c r="AZ95">
        <v>0</v>
      </c>
      <c r="BA95">
        <v>0</v>
      </c>
      <c r="BB95" t="s">
        <v>1</v>
      </c>
      <c r="BC95" t="s">
        <v>796</v>
      </c>
      <c r="BD95" t="s">
        <v>797</v>
      </c>
      <c r="BE95" t="s">
        <v>1</v>
      </c>
      <c r="BF95" t="s">
        <v>1</v>
      </c>
      <c r="BG95" t="s">
        <v>1</v>
      </c>
      <c r="BH95">
        <v>0</v>
      </c>
      <c r="BI95">
        <v>0</v>
      </c>
      <c r="BJ95" t="s">
        <v>722</v>
      </c>
      <c r="BK95" t="s">
        <v>1</v>
      </c>
      <c r="BL95">
        <v>0</v>
      </c>
      <c r="BM95">
        <v>0</v>
      </c>
      <c r="BN95">
        <v>12900</v>
      </c>
      <c r="BO95">
        <v>0</v>
      </c>
      <c r="BP95">
        <v>0</v>
      </c>
      <c r="BQ95">
        <v>0</v>
      </c>
      <c r="BR95" t="s">
        <v>1</v>
      </c>
      <c r="BS95" t="s">
        <v>1</v>
      </c>
      <c r="BT95" t="s">
        <v>1</v>
      </c>
      <c r="BU95" t="s">
        <v>1</v>
      </c>
      <c r="BV95" t="s">
        <v>1</v>
      </c>
      <c r="BW95" t="s">
        <v>360</v>
      </c>
      <c r="BX95" t="s">
        <v>1</v>
      </c>
      <c r="BY95">
        <v>0</v>
      </c>
      <c r="BZ95">
        <v>0</v>
      </c>
      <c r="CA95">
        <v>0</v>
      </c>
      <c r="CB95">
        <v>0</v>
      </c>
      <c r="CD95" t="str" cm="1">
        <f t="array" aca="1" ref="CD95" ca="1">eConcatenar(A95:CB95,"|")</f>
        <v>7LB4yuRwoYSFk1kZ|VSA2020-1233|3|IMPERIAL DE LUJO|TABASCO|VILLAHERMOSA |VILLAHERMOSA |2020-11-27|12900|X|X|200|1|0|X|X|X|X|X|X|X|X|X|X|X|X|0|DE LOS SANTOS|HERNANDEZ|MIGUEL ANGEL |0|X|X|CARRETERA PRINCIPAL SIN NUMERO |RANCHERIA PLATANO Y CACAO  SEGUNDA SECCCION |X|9932236465|VERONICA TORRES VASCONCELOS|MARIA LOURDES DE LOS SANTOS TORRES|0|CARRETERA PRINCIPAL SIN NUMERO |X|3|0|0|X|X|X|0|4190|8710|0|0|X|2021-04-11|2021-11-18|X|X|X|0|0|S35D6D3Y9KVTQ1|X|0|0|12900|0|0|0|X|X|X|X|X|VILLAHERMOSA |X|0|0|0|0</v>
      </c>
    </row>
    <row r="96" spans="1:82" x14ac:dyDescent="0.25">
      <c r="A96" t="s">
        <v>798</v>
      </c>
      <c r="B96" t="s">
        <v>799</v>
      </c>
      <c r="C96">
        <v>3</v>
      </c>
      <c r="D96" t="s">
        <v>715</v>
      </c>
      <c r="E96" t="s">
        <v>359</v>
      </c>
      <c r="F96" t="s">
        <v>360</v>
      </c>
      <c r="G96" t="s">
        <v>360</v>
      </c>
      <c r="H96" t="s">
        <v>790</v>
      </c>
      <c r="I96">
        <v>12900</v>
      </c>
      <c r="J96" t="s">
        <v>1</v>
      </c>
      <c r="K96" t="s">
        <v>1</v>
      </c>
      <c r="L96">
        <v>400</v>
      </c>
      <c r="M96">
        <v>2</v>
      </c>
      <c r="N96">
        <v>0</v>
      </c>
      <c r="O96" t="s">
        <v>1</v>
      </c>
      <c r="P96" t="s">
        <v>1</v>
      </c>
      <c r="Q96" t="s">
        <v>1</v>
      </c>
      <c r="R96" t="s">
        <v>1</v>
      </c>
      <c r="S96" t="s">
        <v>1</v>
      </c>
      <c r="T96" t="s">
        <v>1</v>
      </c>
      <c r="U96" t="s">
        <v>1</v>
      </c>
      <c r="V96" t="s">
        <v>1</v>
      </c>
      <c r="W96" t="s">
        <v>1</v>
      </c>
      <c r="X96" t="s">
        <v>1</v>
      </c>
      <c r="Y96" t="s">
        <v>1</v>
      </c>
      <c r="Z96" t="s">
        <v>1</v>
      </c>
      <c r="AA96">
        <v>0</v>
      </c>
      <c r="AB96" t="s">
        <v>800</v>
      </c>
      <c r="AC96" t="s">
        <v>7</v>
      </c>
      <c r="AD96" t="s">
        <v>801</v>
      </c>
      <c r="AE96">
        <v>0</v>
      </c>
      <c r="AF96" t="s">
        <v>1</v>
      </c>
      <c r="AG96" t="s">
        <v>1</v>
      </c>
      <c r="AH96" t="s">
        <v>802</v>
      </c>
      <c r="AI96" t="s">
        <v>803</v>
      </c>
      <c r="AJ96" t="s">
        <v>1</v>
      </c>
      <c r="AK96">
        <v>9933870466</v>
      </c>
      <c r="AL96" t="s">
        <v>804</v>
      </c>
      <c r="AM96" t="s">
        <v>805</v>
      </c>
      <c r="AN96">
        <v>0</v>
      </c>
      <c r="AO96" t="s">
        <v>802</v>
      </c>
      <c r="AP96" t="s">
        <v>1</v>
      </c>
      <c r="AQ96">
        <v>2</v>
      </c>
      <c r="AR96">
        <v>0</v>
      </c>
      <c r="AS96">
        <v>0</v>
      </c>
      <c r="AT96" t="s">
        <v>1</v>
      </c>
      <c r="AU96" t="s">
        <v>1</v>
      </c>
      <c r="AV96" t="s">
        <v>1</v>
      </c>
      <c r="AW96">
        <v>0</v>
      </c>
      <c r="AX96">
        <v>6490</v>
      </c>
      <c r="AY96">
        <v>6410</v>
      </c>
      <c r="AZ96">
        <v>0</v>
      </c>
      <c r="BA96">
        <v>0</v>
      </c>
      <c r="BB96" t="s">
        <v>1</v>
      </c>
      <c r="BC96" t="s">
        <v>737</v>
      </c>
      <c r="BD96" t="s">
        <v>738</v>
      </c>
      <c r="BE96" t="s">
        <v>1</v>
      </c>
      <c r="BF96" t="s">
        <v>1</v>
      </c>
      <c r="BG96" t="s">
        <v>1</v>
      </c>
      <c r="BH96">
        <v>0</v>
      </c>
      <c r="BI96">
        <v>0</v>
      </c>
      <c r="BJ96" t="s">
        <v>722</v>
      </c>
      <c r="BK96" t="s">
        <v>1</v>
      </c>
      <c r="BL96">
        <v>1</v>
      </c>
      <c r="BM96">
        <v>0</v>
      </c>
      <c r="BN96">
        <v>12900</v>
      </c>
      <c r="BO96">
        <v>0</v>
      </c>
      <c r="BP96">
        <v>0</v>
      </c>
      <c r="BQ96">
        <v>0</v>
      </c>
      <c r="BR96" t="s">
        <v>1</v>
      </c>
      <c r="BS96" t="s">
        <v>1</v>
      </c>
      <c r="BT96" t="s">
        <v>1</v>
      </c>
      <c r="BU96" t="s">
        <v>1</v>
      </c>
      <c r="BV96" t="s">
        <v>1</v>
      </c>
      <c r="BW96" t="s">
        <v>360</v>
      </c>
      <c r="BX96" t="s">
        <v>1</v>
      </c>
      <c r="BY96">
        <v>0</v>
      </c>
      <c r="BZ96">
        <v>0</v>
      </c>
      <c r="CA96">
        <v>0</v>
      </c>
      <c r="CB96">
        <v>0</v>
      </c>
      <c r="CD96" t="str" cm="1">
        <f t="array" aca="1" ref="CD96" ca="1">eConcatenar(A96:CB96,"|")</f>
        <v>craHTa1cWzJAYqtj|VSA2020-1232|3|IMPERIAL DE LUJO|TABASCO|VILLAHERMOSA |VILLAHERMOSA |2020-11-27|12900|X|X|400|2|0|X|X|X|X|X|X|X|X|X|X|X|X|0|SOBERANO|LOPEZ|MARIA JESUS|0|X|X|SIN NUMERO ENTRADA DE LA GLORIA |RANCHERIA LAZARO CARDENAS SEGUNDA SECCION|X|9933870466|GUADALUPE LAZARO ZAPATA|LEONARDDO DE LA CRUZ SOBERANO|0|SIN NUMERO ENTRADA DE LA GLORIA |X|2|0|0|X|X|X|0|6490|6410|0|0|X|2021-08-12|2022-08-01|X|X|X|0|0|S35D6D3Y9KVTQ1|X|1|0|12900|0|0|0|X|X|X|X|X|VILLAHERMOSA |X|0|0|0|0</v>
      </c>
    </row>
    <row r="97" spans="1:82" x14ac:dyDescent="0.25">
      <c r="A97" t="s">
        <v>806</v>
      </c>
      <c r="B97" t="s">
        <v>807</v>
      </c>
      <c r="C97">
        <v>3</v>
      </c>
      <c r="D97" t="s">
        <v>246</v>
      </c>
      <c r="E97" t="s">
        <v>359</v>
      </c>
      <c r="F97" t="s">
        <v>360</v>
      </c>
      <c r="G97" t="s">
        <v>360</v>
      </c>
      <c r="H97" t="s">
        <v>808</v>
      </c>
      <c r="I97">
        <v>24500</v>
      </c>
      <c r="J97" t="s">
        <v>1</v>
      </c>
      <c r="K97" t="s">
        <v>1</v>
      </c>
      <c r="L97">
        <v>400</v>
      </c>
      <c r="M97">
        <v>2</v>
      </c>
      <c r="N97">
        <v>0</v>
      </c>
      <c r="O97" t="s">
        <v>1</v>
      </c>
      <c r="P97" t="s">
        <v>1</v>
      </c>
      <c r="Q97" t="s">
        <v>1</v>
      </c>
      <c r="R97" t="s">
        <v>1</v>
      </c>
      <c r="S97" t="s">
        <v>1</v>
      </c>
      <c r="T97" t="s">
        <v>1</v>
      </c>
      <c r="U97" t="s">
        <v>1</v>
      </c>
      <c r="V97" t="s">
        <v>1</v>
      </c>
      <c r="W97" t="s">
        <v>1</v>
      </c>
      <c r="X97" t="s">
        <v>1</v>
      </c>
      <c r="Y97" t="s">
        <v>1</v>
      </c>
      <c r="Z97" t="s">
        <v>1</v>
      </c>
      <c r="AA97">
        <v>0</v>
      </c>
      <c r="AB97" t="s">
        <v>809</v>
      </c>
      <c r="AC97" t="s">
        <v>810</v>
      </c>
      <c r="AD97" t="s">
        <v>811</v>
      </c>
      <c r="AE97">
        <v>0</v>
      </c>
      <c r="AF97" t="s">
        <v>1</v>
      </c>
      <c r="AG97" t="s">
        <v>1</v>
      </c>
      <c r="AH97" t="s">
        <v>812</v>
      </c>
      <c r="AI97" t="s">
        <v>756</v>
      </c>
      <c r="AJ97" t="s">
        <v>1</v>
      </c>
      <c r="AK97">
        <v>9932057314</v>
      </c>
      <c r="AL97" t="s">
        <v>813</v>
      </c>
      <c r="AM97" t="s">
        <v>814</v>
      </c>
      <c r="AN97">
        <v>0</v>
      </c>
      <c r="AO97" t="s">
        <v>812</v>
      </c>
      <c r="AP97" t="s">
        <v>1</v>
      </c>
      <c r="AQ97">
        <v>2</v>
      </c>
      <c r="AR97">
        <v>0</v>
      </c>
      <c r="AS97">
        <v>0</v>
      </c>
      <c r="AT97" t="s">
        <v>1</v>
      </c>
      <c r="AU97" t="s">
        <v>1</v>
      </c>
      <c r="AV97" t="s">
        <v>1</v>
      </c>
      <c r="AW97">
        <v>0</v>
      </c>
      <c r="AX97">
        <v>2900</v>
      </c>
      <c r="AY97">
        <v>21600</v>
      </c>
      <c r="AZ97">
        <v>0</v>
      </c>
      <c r="BA97">
        <v>0</v>
      </c>
      <c r="BB97" t="s">
        <v>1</v>
      </c>
      <c r="BC97" t="s">
        <v>757</v>
      </c>
      <c r="BD97" t="s">
        <v>815</v>
      </c>
      <c r="BE97" t="s">
        <v>1</v>
      </c>
      <c r="BF97" t="s">
        <v>1</v>
      </c>
      <c r="BG97" t="s">
        <v>1</v>
      </c>
      <c r="BH97">
        <v>0</v>
      </c>
      <c r="BI97">
        <v>0</v>
      </c>
      <c r="BJ97" t="s">
        <v>722</v>
      </c>
      <c r="BK97" t="s">
        <v>1</v>
      </c>
      <c r="BL97">
        <v>0</v>
      </c>
      <c r="BM97">
        <v>0</v>
      </c>
      <c r="BN97">
        <v>24500</v>
      </c>
      <c r="BO97">
        <v>0</v>
      </c>
      <c r="BP97">
        <v>0</v>
      </c>
      <c r="BQ97">
        <v>0</v>
      </c>
      <c r="BR97" t="s">
        <v>1</v>
      </c>
      <c r="BS97" t="s">
        <v>1</v>
      </c>
      <c r="BT97" t="s">
        <v>1</v>
      </c>
      <c r="BU97" t="s">
        <v>1</v>
      </c>
      <c r="BV97" t="s">
        <v>1</v>
      </c>
      <c r="BW97" t="s">
        <v>360</v>
      </c>
      <c r="BX97" t="s">
        <v>1</v>
      </c>
      <c r="BY97">
        <v>0</v>
      </c>
      <c r="BZ97">
        <v>0</v>
      </c>
      <c r="CA97">
        <v>0</v>
      </c>
      <c r="CB97">
        <v>0</v>
      </c>
      <c r="CD97" t="str" cm="1">
        <f t="array" aca="1" ref="CD97" ca="1">eConcatenar(A97:CB97,"|")</f>
        <v>KDC5yECoyctgJqd6|VSA2021-1108|3|DIGNITY|TABASCO|VILLAHERMOSA |VILLAHERMOSA |2021-07-16|24500|X|X|400|2|0|X|X|X|X|X|X|X|X|X|X|X|X|0|GONZALEZ|CAMPOS|VICTOR ARIEL|0|X|X|CALLE PRINCIPAL |RANCHERIA EMILIANO ZAPATA |X|9932057314|ERICKA LIGIA RESENDIZ|ARIEL YOSAFAT GONZALEZ RESENDIZ|0|CALLE PRINCIPAL |X|2|0|0|X|X|X|0|2900|21600|0|0|X|2021-01-12|2022-01-01|X|X|X|0|0|S35D6D3Y9KVTQ1|X|0|0|24500|0|0|0|X|X|X|X|X|VILLAHERMOSA |X|0|0|0|0</v>
      </c>
    </row>
    <row r="98" spans="1:82" x14ac:dyDescent="0.25">
      <c r="A98" t="s">
        <v>816</v>
      </c>
      <c r="B98" t="s">
        <v>817</v>
      </c>
      <c r="C98">
        <v>3</v>
      </c>
      <c r="D98" t="s">
        <v>741</v>
      </c>
      <c r="E98" t="s">
        <v>359</v>
      </c>
      <c r="F98" t="s">
        <v>360</v>
      </c>
      <c r="G98" t="s">
        <v>360</v>
      </c>
      <c r="H98" t="s">
        <v>818</v>
      </c>
      <c r="I98">
        <v>14800</v>
      </c>
      <c r="J98" t="s">
        <v>1</v>
      </c>
      <c r="K98" t="s">
        <v>1</v>
      </c>
      <c r="L98">
        <v>200</v>
      </c>
      <c r="M98">
        <v>1</v>
      </c>
      <c r="N98">
        <v>0</v>
      </c>
      <c r="O98" t="s">
        <v>1</v>
      </c>
      <c r="P98" t="s">
        <v>1</v>
      </c>
      <c r="Q98" t="s">
        <v>1</v>
      </c>
      <c r="R98" t="s">
        <v>1</v>
      </c>
      <c r="S98" t="s">
        <v>1</v>
      </c>
      <c r="T98" t="s">
        <v>1</v>
      </c>
      <c r="U98" t="s">
        <v>1</v>
      </c>
      <c r="V98" t="s">
        <v>1</v>
      </c>
      <c r="W98" t="s">
        <v>1</v>
      </c>
      <c r="X98" t="s">
        <v>1</v>
      </c>
      <c r="Y98" t="s">
        <v>1</v>
      </c>
      <c r="Z98" t="s">
        <v>1</v>
      </c>
      <c r="AA98">
        <v>0</v>
      </c>
      <c r="AB98" t="s">
        <v>819</v>
      </c>
      <c r="AC98" t="s">
        <v>820</v>
      </c>
      <c r="AD98" t="s">
        <v>821</v>
      </c>
      <c r="AE98">
        <v>0</v>
      </c>
      <c r="AF98" t="s">
        <v>1</v>
      </c>
      <c r="AG98" t="s">
        <v>1</v>
      </c>
      <c r="AH98" t="s">
        <v>545</v>
      </c>
      <c r="AI98" t="s">
        <v>822</v>
      </c>
      <c r="AJ98" t="s">
        <v>1</v>
      </c>
      <c r="AK98">
        <v>9141308954</v>
      </c>
      <c r="AL98" t="s">
        <v>823</v>
      </c>
      <c r="AM98" t="s">
        <v>824</v>
      </c>
      <c r="AN98">
        <v>0</v>
      </c>
      <c r="AO98" t="s">
        <v>545</v>
      </c>
      <c r="AP98" t="s">
        <v>1</v>
      </c>
      <c r="AQ98">
        <v>2</v>
      </c>
      <c r="AR98">
        <v>0</v>
      </c>
      <c r="AS98">
        <v>0</v>
      </c>
      <c r="AT98" t="s">
        <v>1</v>
      </c>
      <c r="AU98" t="s">
        <v>1</v>
      </c>
      <c r="AV98" t="s">
        <v>1</v>
      </c>
      <c r="AW98">
        <v>0</v>
      </c>
      <c r="AX98">
        <v>1950</v>
      </c>
      <c r="AY98">
        <v>12850</v>
      </c>
      <c r="AZ98">
        <v>0</v>
      </c>
      <c r="BA98">
        <v>0</v>
      </c>
      <c r="BB98" t="s">
        <v>1</v>
      </c>
      <c r="BC98" t="s">
        <v>757</v>
      </c>
      <c r="BD98" t="s">
        <v>758</v>
      </c>
      <c r="BE98" t="s">
        <v>1</v>
      </c>
      <c r="BF98" t="s">
        <v>1</v>
      </c>
      <c r="BG98" t="s">
        <v>1</v>
      </c>
      <c r="BH98">
        <v>0</v>
      </c>
      <c r="BI98">
        <v>0</v>
      </c>
      <c r="BJ98" t="s">
        <v>722</v>
      </c>
      <c r="BK98" t="s">
        <v>1</v>
      </c>
      <c r="BL98">
        <v>1</v>
      </c>
      <c r="BM98">
        <v>0</v>
      </c>
      <c r="BN98">
        <v>14800</v>
      </c>
      <c r="BO98">
        <v>0</v>
      </c>
      <c r="BP98">
        <v>0</v>
      </c>
      <c r="BQ98">
        <v>0</v>
      </c>
      <c r="BR98" t="s">
        <v>1</v>
      </c>
      <c r="BS98" t="s">
        <v>1</v>
      </c>
      <c r="BT98" t="s">
        <v>1</v>
      </c>
      <c r="BU98" t="s">
        <v>1</v>
      </c>
      <c r="BV98" t="s">
        <v>1</v>
      </c>
      <c r="BW98" t="s">
        <v>360</v>
      </c>
      <c r="BX98" t="s">
        <v>1</v>
      </c>
      <c r="BY98">
        <v>0</v>
      </c>
      <c r="BZ98">
        <v>0</v>
      </c>
      <c r="CA98">
        <v>0</v>
      </c>
      <c r="CB98">
        <v>0</v>
      </c>
      <c r="CD98" t="str" cm="1">
        <f t="array" aca="1" ref="CD98" ca="1">eConcatenar(A98:CB98,"|")</f>
        <v>OktrxHYm31lD1Qqd|VSA2021-1251|3|MEMORIAL|TABASCO|VILLAHERMOSA |VILLAHERMOSA |2021-12-08|14800|X|X|200|1|0|X|X|X|X|X|X|X|X|X|X|X|X|0|VASCONCELOS|LAZARO|MATILDE|0|X|X|CARRETERA PRINCIPAL SIN NUMERO |RANCHERIA CUMUAPAN PRIMERA SECCION|X|9141308954|JOSE NELSO VASCONCELOS LAZARO |THANIA SUGEY VASCONCELOS LAZARO|0|CARRETERA PRINCIPAL SIN NUMERO |X|2|0|0|X|X|X|0|1950|12850|0|0|X|2021-01-12|2021-12-15|X|X|X|0|0|S35D6D3Y9KVTQ1|X|1|0|14800|0|0|0|X|X|X|X|X|VILLAHERMOSA |X|0|0|0|0</v>
      </c>
    </row>
    <row r="99" spans="1:82" x14ac:dyDescent="0.25">
      <c r="A99" t="s">
        <v>825</v>
      </c>
      <c r="B99" t="s">
        <v>826</v>
      </c>
      <c r="C99">
        <v>3</v>
      </c>
      <c r="D99" t="s">
        <v>827</v>
      </c>
      <c r="E99" t="s">
        <v>359</v>
      </c>
      <c r="F99" t="s">
        <v>360</v>
      </c>
      <c r="G99" t="s">
        <v>360</v>
      </c>
      <c r="H99" t="s">
        <v>828</v>
      </c>
      <c r="I99">
        <v>35000</v>
      </c>
      <c r="J99" t="s">
        <v>1</v>
      </c>
      <c r="K99" t="s">
        <v>1</v>
      </c>
      <c r="L99">
        <v>400</v>
      </c>
      <c r="M99">
        <v>2</v>
      </c>
      <c r="N99">
        <v>0</v>
      </c>
      <c r="O99" t="s">
        <v>1</v>
      </c>
      <c r="P99" t="s">
        <v>1</v>
      </c>
      <c r="Q99" t="s">
        <v>1</v>
      </c>
      <c r="R99" t="s">
        <v>1</v>
      </c>
      <c r="S99" t="s">
        <v>1</v>
      </c>
      <c r="T99" t="s">
        <v>1</v>
      </c>
      <c r="U99" t="s">
        <v>1</v>
      </c>
      <c r="V99" t="s">
        <v>1</v>
      </c>
      <c r="W99" t="s">
        <v>1</v>
      </c>
      <c r="X99" t="s">
        <v>1</v>
      </c>
      <c r="Y99" t="s">
        <v>1</v>
      </c>
      <c r="Z99" t="s">
        <v>1</v>
      </c>
      <c r="AA99">
        <v>0</v>
      </c>
      <c r="AB99" t="s">
        <v>829</v>
      </c>
      <c r="AC99" t="s">
        <v>830</v>
      </c>
      <c r="AD99" t="s">
        <v>831</v>
      </c>
      <c r="AE99">
        <v>0</v>
      </c>
      <c r="AF99" t="s">
        <v>1</v>
      </c>
      <c r="AG99" t="s">
        <v>1</v>
      </c>
      <c r="AH99" t="s">
        <v>832</v>
      </c>
      <c r="AI99" t="s">
        <v>793</v>
      </c>
      <c r="AJ99" t="s">
        <v>1</v>
      </c>
      <c r="AK99">
        <v>9141106800</v>
      </c>
      <c r="AL99" t="s">
        <v>833</v>
      </c>
      <c r="AM99" t="s">
        <v>834</v>
      </c>
      <c r="AN99">
        <v>0</v>
      </c>
      <c r="AO99" t="s">
        <v>832</v>
      </c>
      <c r="AP99" t="s">
        <v>1</v>
      </c>
      <c r="AQ99">
        <v>3</v>
      </c>
      <c r="AR99">
        <v>0</v>
      </c>
      <c r="AS99">
        <v>0</v>
      </c>
      <c r="AT99" t="s">
        <v>1</v>
      </c>
      <c r="AU99" t="s">
        <v>1</v>
      </c>
      <c r="AV99" t="s">
        <v>1</v>
      </c>
      <c r="AW99">
        <v>0</v>
      </c>
      <c r="AX99">
        <v>9000</v>
      </c>
      <c r="AY99">
        <v>26000</v>
      </c>
      <c r="AZ99">
        <v>0</v>
      </c>
      <c r="BA99">
        <v>0</v>
      </c>
      <c r="BB99" t="s">
        <v>1</v>
      </c>
      <c r="BC99" t="s">
        <v>748</v>
      </c>
      <c r="BD99" t="s">
        <v>155</v>
      </c>
      <c r="BE99" t="s">
        <v>1</v>
      </c>
      <c r="BF99" t="s">
        <v>1</v>
      </c>
      <c r="BG99" t="s">
        <v>1</v>
      </c>
      <c r="BH99">
        <v>0</v>
      </c>
      <c r="BI99">
        <v>0</v>
      </c>
      <c r="BJ99" t="s">
        <v>722</v>
      </c>
      <c r="BK99" t="s">
        <v>1</v>
      </c>
      <c r="BL99">
        <v>1</v>
      </c>
      <c r="BM99">
        <v>0</v>
      </c>
      <c r="BN99">
        <v>35000</v>
      </c>
      <c r="BO99">
        <v>0</v>
      </c>
      <c r="BP99">
        <v>0</v>
      </c>
      <c r="BQ99">
        <v>0</v>
      </c>
      <c r="BR99" t="s">
        <v>1</v>
      </c>
      <c r="BS99" t="s">
        <v>1</v>
      </c>
      <c r="BT99" t="s">
        <v>1</v>
      </c>
      <c r="BU99" t="s">
        <v>1</v>
      </c>
      <c r="BV99" t="s">
        <v>1</v>
      </c>
      <c r="BW99" t="s">
        <v>360</v>
      </c>
      <c r="BX99" t="s">
        <v>1</v>
      </c>
      <c r="BY99">
        <v>0</v>
      </c>
      <c r="BZ99">
        <v>0</v>
      </c>
      <c r="CA99">
        <v>0</v>
      </c>
      <c r="CB99">
        <v>0</v>
      </c>
      <c r="CD99" t="str" cm="1">
        <f t="array" aca="1" ref="CD99" ca="1">eConcatenar(A99:CB99,"|")</f>
        <v>Ak1ZEuDiKtTwZhhU|VSA2021-1306|3|DELUX|TABASCO|VILLAHERMOSA |VILLAHERMOSA |2021-08-17|35000|X|X|400|2|0|X|X|X|X|X|X|X|X|X|X|X|X|0|PEREZ|BAUTISTA|JOSEFINA|0|X|X|CARRETERA  VILLAHERMOSA A CARDENAS KILOMETRO CIENTO CINCUENT|RANCHERIA PLATANO Y CACAO  SEGUNDA SECCCION |X|9141106800|BAUDEL PEREZ BAUTISTA|ARANELLY PEREZ BAUTISTA |0|CARRETERA  VILLAHERMOSA A CARDENAS KILOMETRO CIENTO CINCUENT|X|3|0|0|X|X|X|0|9000|26000|0|0|X|2021-02-12|2022-02-01|X|X|X|0|0|S35D6D3Y9KVTQ1|X|1|0|35000|0|0|0|X|X|X|X|X|VILLAHERMOSA |X|0|0|0|0</v>
      </c>
    </row>
    <row r="100" spans="1:82" x14ac:dyDescent="0.25">
      <c r="A100" t="s">
        <v>835</v>
      </c>
      <c r="B100" t="s">
        <v>836</v>
      </c>
      <c r="C100">
        <v>3</v>
      </c>
      <c r="D100" t="s">
        <v>741</v>
      </c>
      <c r="E100" t="s">
        <v>359</v>
      </c>
      <c r="F100" t="s">
        <v>360</v>
      </c>
      <c r="G100" t="s">
        <v>360</v>
      </c>
      <c r="H100" t="s">
        <v>837</v>
      </c>
      <c r="I100">
        <v>14800</v>
      </c>
      <c r="J100" t="s">
        <v>1</v>
      </c>
      <c r="K100" t="s">
        <v>1</v>
      </c>
      <c r="L100">
        <v>400</v>
      </c>
      <c r="M100">
        <v>2</v>
      </c>
      <c r="N100">
        <v>0</v>
      </c>
      <c r="O100" t="s">
        <v>1</v>
      </c>
      <c r="P100" t="s">
        <v>1</v>
      </c>
      <c r="Q100" t="s">
        <v>1</v>
      </c>
      <c r="R100" t="s">
        <v>1</v>
      </c>
      <c r="S100" t="s">
        <v>1</v>
      </c>
      <c r="T100" t="s">
        <v>1</v>
      </c>
      <c r="U100" t="s">
        <v>1</v>
      </c>
      <c r="V100" t="s">
        <v>1</v>
      </c>
      <c r="W100" t="s">
        <v>1</v>
      </c>
      <c r="X100" t="s">
        <v>1</v>
      </c>
      <c r="Y100" t="s">
        <v>1</v>
      </c>
      <c r="Z100" t="s">
        <v>1</v>
      </c>
      <c r="AA100">
        <v>0</v>
      </c>
      <c r="AB100" t="s">
        <v>838</v>
      </c>
      <c r="AC100" t="s">
        <v>257</v>
      </c>
      <c r="AD100" t="s">
        <v>839</v>
      </c>
      <c r="AE100">
        <v>0</v>
      </c>
      <c r="AF100" t="s">
        <v>1</v>
      </c>
      <c r="AG100" t="s">
        <v>1</v>
      </c>
      <c r="AH100" t="s">
        <v>840</v>
      </c>
      <c r="AI100" t="s">
        <v>841</v>
      </c>
      <c r="AJ100" t="s">
        <v>1</v>
      </c>
      <c r="AK100">
        <v>9141206900</v>
      </c>
      <c r="AL100" t="s">
        <v>842</v>
      </c>
      <c r="AM100" t="s">
        <v>843</v>
      </c>
      <c r="AN100">
        <v>0</v>
      </c>
      <c r="AO100" t="s">
        <v>840</v>
      </c>
      <c r="AP100" t="s">
        <v>1</v>
      </c>
      <c r="AQ100">
        <v>2</v>
      </c>
      <c r="AR100">
        <v>0</v>
      </c>
      <c r="AS100">
        <v>0</v>
      </c>
      <c r="AT100" t="s">
        <v>1</v>
      </c>
      <c r="AU100" t="s">
        <v>1</v>
      </c>
      <c r="AV100" t="s">
        <v>1</v>
      </c>
      <c r="AW100">
        <v>0</v>
      </c>
      <c r="AX100">
        <v>1800</v>
      </c>
      <c r="AY100">
        <v>13000</v>
      </c>
      <c r="AZ100">
        <v>0</v>
      </c>
      <c r="BA100">
        <v>0</v>
      </c>
      <c r="BB100" t="s">
        <v>1</v>
      </c>
      <c r="BC100" t="s">
        <v>757</v>
      </c>
      <c r="BD100" t="s">
        <v>815</v>
      </c>
      <c r="BE100" t="s">
        <v>1</v>
      </c>
      <c r="BF100" t="s">
        <v>1</v>
      </c>
      <c r="BG100" t="s">
        <v>1</v>
      </c>
      <c r="BH100">
        <v>0</v>
      </c>
      <c r="BI100">
        <v>0</v>
      </c>
      <c r="BJ100" t="s">
        <v>722</v>
      </c>
      <c r="BK100" t="s">
        <v>1</v>
      </c>
      <c r="BL100">
        <v>1</v>
      </c>
      <c r="BM100">
        <v>0</v>
      </c>
      <c r="BN100">
        <v>14800</v>
      </c>
      <c r="BO100">
        <v>0</v>
      </c>
      <c r="BP100">
        <v>0</v>
      </c>
      <c r="BQ100">
        <v>0</v>
      </c>
      <c r="BR100" t="s">
        <v>1</v>
      </c>
      <c r="BS100" t="s">
        <v>1</v>
      </c>
      <c r="BT100" t="s">
        <v>1</v>
      </c>
      <c r="BU100" t="s">
        <v>1</v>
      </c>
      <c r="BV100" t="s">
        <v>1</v>
      </c>
      <c r="BW100" t="s">
        <v>360</v>
      </c>
      <c r="BX100" t="s">
        <v>1</v>
      </c>
      <c r="BY100">
        <v>0</v>
      </c>
      <c r="BZ100">
        <v>0</v>
      </c>
      <c r="CA100">
        <v>0</v>
      </c>
      <c r="CB100">
        <v>0</v>
      </c>
      <c r="CD100" t="str" cm="1">
        <f t="array" aca="1" ref="CD100" ca="1">eConcatenar(A100:CB100,"|")</f>
        <v>FGTkDMh8hOVm1tu3|VSA2021-1324|3|MEMORIAL|TABASCO|VILLAHERMOSA |VILLAHERMOSA |2021-08-19|14800|X|X|400|2|0|X|X|X|X|X|X|X|X|X|X|X|X|0|VENTURA|DE LA CRUZ|VERNADITA DE LOURDEZ|0|X|X|CALLE DEL PANTEON SIN NUMERO |POBLADO CUCUYULAPA |X|9141206900|JOSE MARIA VELAZQUEZ RIVERA|GEMA YANERI VELAZQUEZ VENTURA|0|CALLE DEL PANTEON SIN NUMERO |X|2|0|0|X|X|X|0|1800|13000|0|0|X|2021-01-12|2022-01-01|X|X|X|0|0|S35D6D3Y9KVTQ1|X|1|0|14800|0|0|0|X|X|X|X|X|VILLAHERMOSA |X|0|0|0|0</v>
      </c>
    </row>
    <row r="101" spans="1:82" x14ac:dyDescent="0.25">
      <c r="A101" t="s">
        <v>844</v>
      </c>
      <c r="B101" t="s">
        <v>845</v>
      </c>
      <c r="C101">
        <v>3</v>
      </c>
      <c r="D101" t="s">
        <v>741</v>
      </c>
      <c r="E101" t="s">
        <v>359</v>
      </c>
      <c r="F101" t="s">
        <v>360</v>
      </c>
      <c r="G101" t="s">
        <v>360</v>
      </c>
      <c r="H101" t="s">
        <v>846</v>
      </c>
      <c r="I101">
        <v>14800</v>
      </c>
      <c r="J101" t="s">
        <v>1</v>
      </c>
      <c r="K101" t="s">
        <v>1</v>
      </c>
      <c r="L101">
        <v>200</v>
      </c>
      <c r="M101">
        <v>1</v>
      </c>
      <c r="N101">
        <v>0</v>
      </c>
      <c r="O101" t="s">
        <v>1</v>
      </c>
      <c r="P101" t="s">
        <v>1</v>
      </c>
      <c r="Q101" t="s">
        <v>1</v>
      </c>
      <c r="R101" t="s">
        <v>1</v>
      </c>
      <c r="S101" t="s">
        <v>1</v>
      </c>
      <c r="T101" t="s">
        <v>1</v>
      </c>
      <c r="U101" t="s">
        <v>1</v>
      </c>
      <c r="V101" t="s">
        <v>1</v>
      </c>
      <c r="W101" t="s">
        <v>1</v>
      </c>
      <c r="X101" t="s">
        <v>1</v>
      </c>
      <c r="Y101" t="s">
        <v>1</v>
      </c>
      <c r="Z101" t="s">
        <v>1</v>
      </c>
      <c r="AA101">
        <v>0</v>
      </c>
      <c r="AB101" t="s">
        <v>847</v>
      </c>
      <c r="AC101" t="s">
        <v>182</v>
      </c>
      <c r="AD101" t="s">
        <v>848</v>
      </c>
      <c r="AE101">
        <v>0</v>
      </c>
      <c r="AF101" t="s">
        <v>1</v>
      </c>
      <c r="AG101" t="s">
        <v>1</v>
      </c>
      <c r="AH101" t="s">
        <v>849</v>
      </c>
      <c r="AI101" t="s">
        <v>793</v>
      </c>
      <c r="AJ101" t="s">
        <v>1</v>
      </c>
      <c r="AK101">
        <v>9931216193</v>
      </c>
      <c r="AL101" t="s">
        <v>850</v>
      </c>
      <c r="AM101" t="s">
        <v>851</v>
      </c>
      <c r="AN101">
        <v>0</v>
      </c>
      <c r="AO101" t="s">
        <v>849</v>
      </c>
      <c r="AP101" t="s">
        <v>1</v>
      </c>
      <c r="AQ101">
        <v>2</v>
      </c>
      <c r="AR101">
        <v>0</v>
      </c>
      <c r="AS101">
        <v>0</v>
      </c>
      <c r="AT101" t="s">
        <v>1</v>
      </c>
      <c r="AU101" t="s">
        <v>1</v>
      </c>
      <c r="AV101" t="s">
        <v>1</v>
      </c>
      <c r="AW101">
        <v>0</v>
      </c>
      <c r="AX101">
        <v>950</v>
      </c>
      <c r="AY101">
        <v>13850</v>
      </c>
      <c r="AZ101">
        <v>0</v>
      </c>
      <c r="BA101">
        <v>0</v>
      </c>
      <c r="BB101" t="s">
        <v>1</v>
      </c>
      <c r="BC101" t="s">
        <v>730</v>
      </c>
      <c r="BD101" t="s">
        <v>198</v>
      </c>
      <c r="BE101" t="s">
        <v>1</v>
      </c>
      <c r="BF101" t="s">
        <v>1</v>
      </c>
      <c r="BG101" t="s">
        <v>1</v>
      </c>
      <c r="BH101">
        <v>0</v>
      </c>
      <c r="BI101">
        <v>0</v>
      </c>
      <c r="BJ101" t="s">
        <v>722</v>
      </c>
      <c r="BK101" t="s">
        <v>1</v>
      </c>
      <c r="BL101">
        <v>1</v>
      </c>
      <c r="BM101">
        <v>0</v>
      </c>
      <c r="BN101">
        <v>14800</v>
      </c>
      <c r="BO101">
        <v>0</v>
      </c>
      <c r="BP101">
        <v>0</v>
      </c>
      <c r="BQ101">
        <v>0</v>
      </c>
      <c r="BR101" t="s">
        <v>1</v>
      </c>
      <c r="BS101" t="s">
        <v>1</v>
      </c>
      <c r="BT101" t="s">
        <v>1</v>
      </c>
      <c r="BU101" t="s">
        <v>1</v>
      </c>
      <c r="BV101" t="s">
        <v>1</v>
      </c>
      <c r="BW101" t="s">
        <v>360</v>
      </c>
      <c r="BX101" t="s">
        <v>1</v>
      </c>
      <c r="BY101">
        <v>0</v>
      </c>
      <c r="BZ101">
        <v>0</v>
      </c>
      <c r="CA101">
        <v>0</v>
      </c>
      <c r="CB101">
        <v>0</v>
      </c>
      <c r="CD101" t="str" cm="1">
        <f t="array" aca="1" ref="CD101" ca="1">eConcatenar(A101:CB101,"|")</f>
        <v>kFxnQ4Yv53lizLVL|VSA2021-1343|3|MEMORIAL|TABASCO|VILLAHERMOSA |VILLAHERMOSA |2021-08-20|14800|X|X|200|1|0|X|X|X|X|X|X|X|X|X|X|X|X|0|OCHO|MAGAÃ‘A|LETICIA|0|X|X|ENTRADA LA FLECHA SIN NUMERO|RANCHERIA PLATANO Y CACAO  SEGUNDA SECCCION |X|9931216193|MARICELA OCHOA MAGAÃ‘A|SILVIA DE LOS SANTOS OCHOA |0|ENTRADA LA FLECHA SIN NUMERO|X|2|0|0|X|X|X|0|950|13850|0|0|X|2021-12-16|2021-12-30|X|X|X|0|0|S35D6D3Y9KVTQ1|X|1|0|14800|0|0|0|X|X|X|X|X|VILLAHERMOSA |X|0|0|0|0</v>
      </c>
    </row>
    <row r="102" spans="1:82" x14ac:dyDescent="0.25">
      <c r="A102" t="s">
        <v>852</v>
      </c>
      <c r="B102" t="s">
        <v>853</v>
      </c>
      <c r="C102">
        <v>3</v>
      </c>
      <c r="D102" t="s">
        <v>741</v>
      </c>
      <c r="E102" t="s">
        <v>359</v>
      </c>
      <c r="F102" t="s">
        <v>360</v>
      </c>
      <c r="G102" t="s">
        <v>360</v>
      </c>
      <c r="H102" t="s">
        <v>854</v>
      </c>
      <c r="I102">
        <v>14800</v>
      </c>
      <c r="J102" t="s">
        <v>1</v>
      </c>
      <c r="K102" t="s">
        <v>1</v>
      </c>
      <c r="L102">
        <v>400</v>
      </c>
      <c r="M102">
        <v>2</v>
      </c>
      <c r="N102">
        <v>0</v>
      </c>
      <c r="O102" t="s">
        <v>1</v>
      </c>
      <c r="P102" t="s">
        <v>1</v>
      </c>
      <c r="Q102" t="s">
        <v>1</v>
      </c>
      <c r="R102" t="s">
        <v>1</v>
      </c>
      <c r="S102" t="s">
        <v>1</v>
      </c>
      <c r="T102" t="s">
        <v>1</v>
      </c>
      <c r="U102" t="s">
        <v>1</v>
      </c>
      <c r="V102" t="s">
        <v>1</v>
      </c>
      <c r="W102" t="s">
        <v>1</v>
      </c>
      <c r="X102" t="s">
        <v>1</v>
      </c>
      <c r="Y102" t="s">
        <v>1</v>
      </c>
      <c r="Z102" t="s">
        <v>1</v>
      </c>
      <c r="AA102">
        <v>0</v>
      </c>
      <c r="AB102" t="s">
        <v>855</v>
      </c>
      <c r="AC102" t="s">
        <v>856</v>
      </c>
      <c r="AD102" t="s">
        <v>857</v>
      </c>
      <c r="AE102">
        <v>0</v>
      </c>
      <c r="AF102" t="s">
        <v>1</v>
      </c>
      <c r="AG102" t="s">
        <v>1</v>
      </c>
      <c r="AH102" t="s">
        <v>858</v>
      </c>
      <c r="AI102" t="s">
        <v>859</v>
      </c>
      <c r="AJ102" t="s">
        <v>1</v>
      </c>
      <c r="AK102">
        <v>9931126775</v>
      </c>
      <c r="AL102" t="s">
        <v>860</v>
      </c>
      <c r="AM102" t="s">
        <v>861</v>
      </c>
      <c r="AN102">
        <v>0</v>
      </c>
      <c r="AO102" t="s">
        <v>858</v>
      </c>
      <c r="AP102" t="s">
        <v>1</v>
      </c>
      <c r="AQ102">
        <v>2</v>
      </c>
      <c r="AR102">
        <v>0</v>
      </c>
      <c r="AS102">
        <v>0</v>
      </c>
      <c r="AT102" t="s">
        <v>1</v>
      </c>
      <c r="AU102" t="s">
        <v>1</v>
      </c>
      <c r="AV102" t="s">
        <v>1</v>
      </c>
      <c r="AW102">
        <v>0</v>
      </c>
      <c r="AX102">
        <v>1000</v>
      </c>
      <c r="AY102">
        <v>13800</v>
      </c>
      <c r="AZ102">
        <v>0</v>
      </c>
      <c r="BA102">
        <v>0</v>
      </c>
      <c r="BB102" t="s">
        <v>1</v>
      </c>
      <c r="BC102" t="s">
        <v>862</v>
      </c>
      <c r="BD102" t="s">
        <v>863</v>
      </c>
      <c r="BE102" t="s">
        <v>1</v>
      </c>
      <c r="BF102" t="s">
        <v>1</v>
      </c>
      <c r="BG102" t="s">
        <v>1</v>
      </c>
      <c r="BH102">
        <v>0</v>
      </c>
      <c r="BI102">
        <v>0</v>
      </c>
      <c r="BJ102" t="s">
        <v>722</v>
      </c>
      <c r="BK102" t="s">
        <v>1</v>
      </c>
      <c r="BL102">
        <v>1</v>
      </c>
      <c r="BM102">
        <v>0</v>
      </c>
      <c r="BN102">
        <v>13800</v>
      </c>
      <c r="BO102">
        <v>0</v>
      </c>
      <c r="BP102">
        <v>0</v>
      </c>
      <c r="BQ102">
        <v>0</v>
      </c>
      <c r="BR102" t="s">
        <v>1</v>
      </c>
      <c r="BS102" t="s">
        <v>1</v>
      </c>
      <c r="BT102" t="s">
        <v>1</v>
      </c>
      <c r="BU102" t="s">
        <v>1</v>
      </c>
      <c r="BV102" t="s">
        <v>1</v>
      </c>
      <c r="BW102" t="s">
        <v>360</v>
      </c>
      <c r="BX102" t="s">
        <v>1</v>
      </c>
      <c r="BY102">
        <v>0</v>
      </c>
      <c r="BZ102">
        <v>0</v>
      </c>
      <c r="CA102">
        <v>0</v>
      </c>
      <c r="CB102">
        <v>0</v>
      </c>
      <c r="CD102" t="str" cm="1">
        <f t="array" aca="1" ref="CD102" ca="1">eConcatenar(A102:CB102,"|")</f>
        <v>7tjG2aKCeasrZH44|VSA2021-1371|3|MEMORIAL|TABASCO|VILLAHERMOSA |VILLAHERMOSA |2021-08-23|14800|X|X|400|2|0|X|X|X|X|X|X|X|X|X|X|X|X|0|VELAZQUEZ|RIVERA|ANASTASIA|0|X|X|CALLE PABLO RAMOS SIN NUMERO |POBLADO  CUCUYULAPA|X|9931126775|MARIA SILVIA GOMEZ VELAZQUEZ|RIGOBERTO GOMEZ RAMIREZ|0|CALLE PABLO RAMOS SIN NUMERO |X|2|0|0|X|X|X|0|1000|13800|0|0|X|2021-03-11|2021-03-12|X|X|X|0|0|S35D6D3Y9KVTQ1|X|1|0|13800|0|0|0|X|X|X|X|X|VILLAHERMOSA |X|0|0|0|0</v>
      </c>
    </row>
    <row r="103" spans="1:82" x14ac:dyDescent="0.25">
      <c r="A103" t="s">
        <v>864</v>
      </c>
      <c r="B103" t="s">
        <v>865</v>
      </c>
      <c r="C103">
        <v>3</v>
      </c>
      <c r="D103" t="s">
        <v>741</v>
      </c>
      <c r="E103" t="s">
        <v>359</v>
      </c>
      <c r="F103" t="s">
        <v>360</v>
      </c>
      <c r="G103" t="s">
        <v>360</v>
      </c>
      <c r="H103" t="s">
        <v>854</v>
      </c>
      <c r="I103">
        <v>14800</v>
      </c>
      <c r="J103" t="s">
        <v>1</v>
      </c>
      <c r="K103" t="s">
        <v>1</v>
      </c>
      <c r="L103">
        <v>400</v>
      </c>
      <c r="M103">
        <v>2</v>
      </c>
      <c r="N103">
        <v>0</v>
      </c>
      <c r="O103" t="s">
        <v>1</v>
      </c>
      <c r="P103" t="s">
        <v>1</v>
      </c>
      <c r="Q103" t="s">
        <v>1</v>
      </c>
      <c r="R103" t="s">
        <v>1</v>
      </c>
      <c r="S103" t="s">
        <v>1</v>
      </c>
      <c r="T103" t="s">
        <v>1</v>
      </c>
      <c r="U103" t="s">
        <v>1</v>
      </c>
      <c r="V103" t="s">
        <v>1</v>
      </c>
      <c r="W103" t="s">
        <v>1</v>
      </c>
      <c r="X103" t="s">
        <v>1</v>
      </c>
      <c r="Y103" t="s">
        <v>1</v>
      </c>
      <c r="Z103" t="s">
        <v>1</v>
      </c>
      <c r="AA103">
        <v>0</v>
      </c>
      <c r="AB103" t="s">
        <v>217</v>
      </c>
      <c r="AC103" t="s">
        <v>866</v>
      </c>
      <c r="AD103" t="s">
        <v>867</v>
      </c>
      <c r="AE103">
        <v>0</v>
      </c>
      <c r="AF103" t="s">
        <v>1</v>
      </c>
      <c r="AG103" t="s">
        <v>1</v>
      </c>
      <c r="AH103" t="s">
        <v>868</v>
      </c>
      <c r="AI103" t="s">
        <v>841</v>
      </c>
      <c r="AJ103" t="s">
        <v>1</v>
      </c>
      <c r="AK103">
        <v>9371291645</v>
      </c>
      <c r="AL103" t="s">
        <v>869</v>
      </c>
      <c r="AM103" t="s">
        <v>870</v>
      </c>
      <c r="AN103">
        <v>0</v>
      </c>
      <c r="AO103" t="s">
        <v>868</v>
      </c>
      <c r="AP103" t="s">
        <v>1</v>
      </c>
      <c r="AQ103">
        <v>2</v>
      </c>
      <c r="AR103">
        <v>0</v>
      </c>
      <c r="AS103">
        <v>0</v>
      </c>
      <c r="AT103" t="s">
        <v>1</v>
      </c>
      <c r="AU103" t="s">
        <v>1</v>
      </c>
      <c r="AV103" t="s">
        <v>1</v>
      </c>
      <c r="AW103">
        <v>0</v>
      </c>
      <c r="AX103">
        <v>1700</v>
      </c>
      <c r="AY103">
        <v>13100</v>
      </c>
      <c r="AZ103">
        <v>0</v>
      </c>
      <c r="BA103">
        <v>0</v>
      </c>
      <c r="BB103" t="s">
        <v>1</v>
      </c>
      <c r="BC103" t="s">
        <v>757</v>
      </c>
      <c r="BD103" t="s">
        <v>815</v>
      </c>
      <c r="BE103" t="s">
        <v>1</v>
      </c>
      <c r="BF103" t="s">
        <v>1</v>
      </c>
      <c r="BG103" t="s">
        <v>1</v>
      </c>
      <c r="BH103">
        <v>0</v>
      </c>
      <c r="BI103">
        <v>0</v>
      </c>
      <c r="BJ103" t="s">
        <v>722</v>
      </c>
      <c r="BK103" t="s">
        <v>1</v>
      </c>
      <c r="BL103">
        <v>0</v>
      </c>
      <c r="BM103">
        <v>0</v>
      </c>
      <c r="BN103">
        <v>14800</v>
      </c>
      <c r="BO103">
        <v>0</v>
      </c>
      <c r="BP103">
        <v>0</v>
      </c>
      <c r="BQ103">
        <v>0</v>
      </c>
      <c r="BR103" t="s">
        <v>1</v>
      </c>
      <c r="BS103" t="s">
        <v>1</v>
      </c>
      <c r="BT103" t="s">
        <v>1</v>
      </c>
      <c r="BU103" t="s">
        <v>1</v>
      </c>
      <c r="BV103" t="s">
        <v>1</v>
      </c>
      <c r="BW103" t="s">
        <v>360</v>
      </c>
      <c r="BX103" t="s">
        <v>1</v>
      </c>
      <c r="BY103">
        <v>0</v>
      </c>
      <c r="BZ103">
        <v>0</v>
      </c>
      <c r="CA103">
        <v>0</v>
      </c>
      <c r="CB103">
        <v>0</v>
      </c>
      <c r="CD103" t="str" cm="1">
        <f t="array" aca="1" ref="CD103" ca="1">eConcatenar(A103:CB103,"|")</f>
        <v>92Z8eKDfzCsjLVio|VSA2021-1373|3|MEMORIAL|TABASCO|VILLAHERMOSA |VILLAHERMOSA |2021-08-23|14800|X|X|400|2|0|X|X|X|X|X|X|X|X|X|X|X|X|0|HERNANDEZ|GAMAS|RUBEN DARIO|0|X|X|CALLE DE LA IGLESIA CATOLICAS SIN NUMERO|POBLADO CUCUYULAPA |X|9371291645|MARIA DE JESUS RAMOS ESCOBAR |DANIEL HERNANDEZ RAMOS|0|CALLE DE LA IGLESIA CATOLICAS SIN NUMERO|X|2|0|0|X|X|X|0|1700|13100|0|0|X|2021-01-12|2022-01-01|X|X|X|0|0|S35D6D3Y9KVTQ1|X|0|0|14800|0|0|0|X|X|X|X|X|VILLAHERMOSA |X|0|0|0|0</v>
      </c>
    </row>
    <row r="104" spans="1:82" x14ac:dyDescent="0.25">
      <c r="A104" t="s">
        <v>871</v>
      </c>
      <c r="B104" t="s">
        <v>872</v>
      </c>
      <c r="C104">
        <v>3</v>
      </c>
      <c r="D104" t="s">
        <v>741</v>
      </c>
      <c r="E104" t="s">
        <v>359</v>
      </c>
      <c r="F104" t="s">
        <v>360</v>
      </c>
      <c r="G104" t="s">
        <v>360</v>
      </c>
      <c r="H104" t="s">
        <v>778</v>
      </c>
      <c r="I104">
        <v>14800</v>
      </c>
      <c r="J104" t="s">
        <v>1</v>
      </c>
      <c r="K104" t="s">
        <v>1</v>
      </c>
      <c r="L104">
        <v>400</v>
      </c>
      <c r="M104">
        <v>2</v>
      </c>
      <c r="N104">
        <v>0</v>
      </c>
      <c r="O104" t="s">
        <v>1</v>
      </c>
      <c r="P104" t="s">
        <v>1</v>
      </c>
      <c r="Q104" t="s">
        <v>1</v>
      </c>
      <c r="R104" t="s">
        <v>1</v>
      </c>
      <c r="S104" t="s">
        <v>1</v>
      </c>
      <c r="T104" t="s">
        <v>1</v>
      </c>
      <c r="U104" t="s">
        <v>1</v>
      </c>
      <c r="V104" t="s">
        <v>1</v>
      </c>
      <c r="W104" t="s">
        <v>1</v>
      </c>
      <c r="X104" t="s">
        <v>1</v>
      </c>
      <c r="Y104" t="s">
        <v>1</v>
      </c>
      <c r="Z104" t="s">
        <v>1</v>
      </c>
      <c r="AA104">
        <v>0</v>
      </c>
      <c r="AB104" t="s">
        <v>873</v>
      </c>
      <c r="AC104" t="s">
        <v>874</v>
      </c>
      <c r="AD104" t="s">
        <v>875</v>
      </c>
      <c r="AE104">
        <v>0</v>
      </c>
      <c r="AF104" t="s">
        <v>1</v>
      </c>
      <c r="AG104" t="s">
        <v>1</v>
      </c>
      <c r="AH104" t="s">
        <v>876</v>
      </c>
      <c r="AI104" t="s">
        <v>877</v>
      </c>
      <c r="AJ104" t="s">
        <v>1</v>
      </c>
      <c r="AK104">
        <v>9371204460</v>
      </c>
      <c r="AL104" t="s">
        <v>878</v>
      </c>
      <c r="AM104" t="s">
        <v>879</v>
      </c>
      <c r="AN104">
        <v>0</v>
      </c>
      <c r="AO104" t="s">
        <v>876</v>
      </c>
      <c r="AP104" t="s">
        <v>1</v>
      </c>
      <c r="AQ104">
        <v>2</v>
      </c>
      <c r="AR104">
        <v>0</v>
      </c>
      <c r="AS104">
        <v>0</v>
      </c>
      <c r="AT104" t="s">
        <v>1</v>
      </c>
      <c r="AU104" t="s">
        <v>1</v>
      </c>
      <c r="AV104" t="s">
        <v>1</v>
      </c>
      <c r="AW104">
        <v>0</v>
      </c>
      <c r="AX104">
        <v>2000</v>
      </c>
      <c r="AY104">
        <v>12800</v>
      </c>
      <c r="AZ104">
        <v>0</v>
      </c>
      <c r="BA104">
        <v>0</v>
      </c>
      <c r="BB104" t="s">
        <v>1</v>
      </c>
      <c r="BC104" t="s">
        <v>757</v>
      </c>
      <c r="BD104" t="s">
        <v>815</v>
      </c>
      <c r="BE104" t="s">
        <v>1</v>
      </c>
      <c r="BF104" t="s">
        <v>1</v>
      </c>
      <c r="BG104" t="s">
        <v>1</v>
      </c>
      <c r="BH104">
        <v>0</v>
      </c>
      <c r="BI104">
        <v>0</v>
      </c>
      <c r="BJ104" t="s">
        <v>722</v>
      </c>
      <c r="BK104" t="s">
        <v>1</v>
      </c>
      <c r="BL104">
        <v>0</v>
      </c>
      <c r="BM104">
        <v>0</v>
      </c>
      <c r="BN104">
        <v>14800</v>
      </c>
      <c r="BO104">
        <v>0</v>
      </c>
      <c r="BP104">
        <v>0</v>
      </c>
      <c r="BQ104">
        <v>0</v>
      </c>
      <c r="BR104" t="s">
        <v>1</v>
      </c>
      <c r="BS104" t="s">
        <v>1</v>
      </c>
      <c r="BT104" t="s">
        <v>1</v>
      </c>
      <c r="BU104" t="s">
        <v>1</v>
      </c>
      <c r="BV104" t="s">
        <v>1</v>
      </c>
      <c r="BW104" t="s">
        <v>360</v>
      </c>
      <c r="BX104" t="s">
        <v>1</v>
      </c>
      <c r="BY104">
        <v>0</v>
      </c>
      <c r="BZ104">
        <v>0</v>
      </c>
      <c r="CA104">
        <v>0</v>
      </c>
      <c r="CB104">
        <v>0</v>
      </c>
      <c r="CD104" t="str" cm="1">
        <f t="array" aca="1" ref="CD104" ca="1">eConcatenar(A104:CB104,"|")</f>
        <v>0ffrS9RAo8YcLTeW|VSA2021-1375|3|MEMORIAL|TABASCO|VILLAHERMOSA |VILLAHERMOSA |2021-08-25|14800|X|X|400|2|0|X|X|X|X|X|X|X|X|X|X|X|X|0|PALM A|FLORES|RONI|0|X|X|ENTRE CALLE TRES Y SIES|POBLADO C-VEINTINUEVE VICENTE GUERRERO |X|9371204460|KEVIN PALMA ANGULO|SARAI PALMA ANGULO|0|ENTRE CALLE TRES Y SIES|X|2|0|0|X|X|X|0|2000|12800|0|0|X|2021-01-12|2022-01-01|X|X|X|0|0|S35D6D3Y9KVTQ1|X|0|0|14800|0|0|0|X|X|X|X|X|VILLAHERMOSA |X|0|0|0|0</v>
      </c>
    </row>
    <row r="105" spans="1:82" x14ac:dyDescent="0.25">
      <c r="A105" t="s">
        <v>880</v>
      </c>
      <c r="B105" t="s">
        <v>881</v>
      </c>
      <c r="C105">
        <v>3</v>
      </c>
      <c r="D105" t="s">
        <v>741</v>
      </c>
      <c r="E105" t="s">
        <v>359</v>
      </c>
      <c r="F105" t="s">
        <v>360</v>
      </c>
      <c r="G105" t="s">
        <v>360</v>
      </c>
      <c r="H105" t="s">
        <v>882</v>
      </c>
      <c r="I105">
        <v>14800</v>
      </c>
      <c r="J105" t="s">
        <v>1</v>
      </c>
      <c r="K105" t="s">
        <v>1</v>
      </c>
      <c r="L105">
        <v>400</v>
      </c>
      <c r="M105">
        <v>2</v>
      </c>
      <c r="N105">
        <v>0</v>
      </c>
      <c r="O105" t="s">
        <v>1</v>
      </c>
      <c r="P105" t="s">
        <v>1</v>
      </c>
      <c r="Q105" t="s">
        <v>1</v>
      </c>
      <c r="R105" t="s">
        <v>1</v>
      </c>
      <c r="S105" t="s">
        <v>1</v>
      </c>
      <c r="T105" t="s">
        <v>1</v>
      </c>
      <c r="U105" t="s">
        <v>1</v>
      </c>
      <c r="V105" t="s">
        <v>1</v>
      </c>
      <c r="W105" t="s">
        <v>1</v>
      </c>
      <c r="X105" t="s">
        <v>1</v>
      </c>
      <c r="Y105" t="s">
        <v>1</v>
      </c>
      <c r="Z105" t="s">
        <v>1</v>
      </c>
      <c r="AA105">
        <v>0</v>
      </c>
      <c r="AB105" t="s">
        <v>7</v>
      </c>
      <c r="AC105" t="s">
        <v>883</v>
      </c>
      <c r="AD105" t="s">
        <v>884</v>
      </c>
      <c r="AE105">
        <v>0</v>
      </c>
      <c r="AF105" t="s">
        <v>1</v>
      </c>
      <c r="AG105" t="s">
        <v>1</v>
      </c>
      <c r="AH105" t="s">
        <v>885</v>
      </c>
      <c r="AI105" t="s">
        <v>886</v>
      </c>
      <c r="AJ105" t="s">
        <v>1</v>
      </c>
      <c r="AK105">
        <v>9931767987</v>
      </c>
      <c r="AL105" t="s">
        <v>887</v>
      </c>
      <c r="AM105" t="s">
        <v>888</v>
      </c>
      <c r="AN105">
        <v>0</v>
      </c>
      <c r="AO105" t="s">
        <v>885</v>
      </c>
      <c r="AP105" t="s">
        <v>1</v>
      </c>
      <c r="AQ105">
        <v>3</v>
      </c>
      <c r="AR105">
        <v>0</v>
      </c>
      <c r="AS105">
        <v>0</v>
      </c>
      <c r="AT105" t="s">
        <v>1</v>
      </c>
      <c r="AU105" t="s">
        <v>1</v>
      </c>
      <c r="AV105" t="s">
        <v>1</v>
      </c>
      <c r="AW105">
        <v>0</v>
      </c>
      <c r="AX105">
        <v>1500</v>
      </c>
      <c r="AY105">
        <v>13300</v>
      </c>
      <c r="AZ105">
        <v>0</v>
      </c>
      <c r="BA105">
        <v>0</v>
      </c>
      <c r="BB105" t="s">
        <v>1</v>
      </c>
      <c r="BC105" t="s">
        <v>748</v>
      </c>
      <c r="BD105" t="s">
        <v>155</v>
      </c>
      <c r="BE105" t="s">
        <v>1</v>
      </c>
      <c r="BF105" t="s">
        <v>1</v>
      </c>
      <c r="BG105" t="s">
        <v>1</v>
      </c>
      <c r="BH105">
        <v>0</v>
      </c>
      <c r="BI105">
        <v>0</v>
      </c>
      <c r="BJ105" t="s">
        <v>722</v>
      </c>
      <c r="BK105" t="s">
        <v>1</v>
      </c>
      <c r="BL105">
        <v>0</v>
      </c>
      <c r="BM105">
        <v>0</v>
      </c>
      <c r="BN105">
        <v>14800</v>
      </c>
      <c r="BO105">
        <v>0</v>
      </c>
      <c r="BP105">
        <v>0</v>
      </c>
      <c r="BQ105">
        <v>0</v>
      </c>
      <c r="BR105" t="s">
        <v>1</v>
      </c>
      <c r="BS105" t="s">
        <v>1</v>
      </c>
      <c r="BT105" t="s">
        <v>1</v>
      </c>
      <c r="BU105" t="s">
        <v>1</v>
      </c>
      <c r="BV105" t="s">
        <v>1</v>
      </c>
      <c r="BW105" t="s">
        <v>360</v>
      </c>
      <c r="BX105" t="s">
        <v>1</v>
      </c>
      <c r="BY105">
        <v>0</v>
      </c>
      <c r="BZ105">
        <v>0</v>
      </c>
      <c r="CA105">
        <v>0</v>
      </c>
      <c r="CB105">
        <v>0</v>
      </c>
      <c r="CD105" t="str" cm="1">
        <f t="array" aca="1" ref="CD105" ca="1">eConcatenar(A105:CB105,"|")</f>
        <v>Lii4BcaPOHq5LlPY|VSA2021-.1388|3|MEMORIAL|TABASCO|VILLAHERMOSA |VILLAHERMOSA |2021-08-24|14800|X|X|400|2|0|X|X|X|X|X|X|X|X|X|X|X|X|0|LOPEZ|BRITO|VICENTE|0|X|X|SECTOR SAN ANTONIO SIN NUMERO|RANCHERIA GONZALEZ TERCERA SECCION |X|9931767987|LAURA LOPEZ LEON |JATZYRI DARELI LOPEZ LOPEZ|0|SECTOR SAN ANTONIO SIN NUMERO|X|3|0|0|X|X|X|0|1500|13300|0|0|X|2021-02-12|2022-02-01|X|X|X|0|0|S35D6D3Y9KVTQ1|X|0|0|14800|0|0|0|X|X|X|X|X|VILLAHERMOSA |X|0|0|0|0</v>
      </c>
    </row>
    <row r="106" spans="1:82" x14ac:dyDescent="0.25">
      <c r="A106" t="s">
        <v>889</v>
      </c>
      <c r="B106" t="s">
        <v>890</v>
      </c>
      <c r="C106">
        <v>3</v>
      </c>
      <c r="D106" t="s">
        <v>891</v>
      </c>
      <c r="E106" t="s">
        <v>359</v>
      </c>
      <c r="F106" t="s">
        <v>360</v>
      </c>
      <c r="G106" t="s">
        <v>360</v>
      </c>
      <c r="H106" t="s">
        <v>892</v>
      </c>
      <c r="I106">
        <v>12900</v>
      </c>
      <c r="J106" t="s">
        <v>1</v>
      </c>
      <c r="K106" t="s">
        <v>1</v>
      </c>
      <c r="L106">
        <v>400</v>
      </c>
      <c r="M106">
        <v>2</v>
      </c>
      <c r="N106">
        <v>0</v>
      </c>
      <c r="O106" t="s">
        <v>1</v>
      </c>
      <c r="P106" t="s">
        <v>1</v>
      </c>
      <c r="Q106" t="s">
        <v>1</v>
      </c>
      <c r="R106" t="s">
        <v>1</v>
      </c>
      <c r="S106" t="s">
        <v>1</v>
      </c>
      <c r="T106" t="s">
        <v>1</v>
      </c>
      <c r="U106" t="s">
        <v>1</v>
      </c>
      <c r="V106" t="s">
        <v>1</v>
      </c>
      <c r="W106" t="s">
        <v>1</v>
      </c>
      <c r="X106" t="s">
        <v>1</v>
      </c>
      <c r="Y106" t="s">
        <v>1</v>
      </c>
      <c r="Z106" t="s">
        <v>1</v>
      </c>
      <c r="AA106">
        <v>0</v>
      </c>
      <c r="AB106" t="s">
        <v>893</v>
      </c>
      <c r="AC106" t="s">
        <v>159</v>
      </c>
      <c r="AD106" t="s">
        <v>894</v>
      </c>
      <c r="AE106">
        <v>0</v>
      </c>
      <c r="AF106" t="s">
        <v>1</v>
      </c>
      <c r="AG106" t="s">
        <v>1</v>
      </c>
      <c r="AH106" t="s">
        <v>895</v>
      </c>
      <c r="AI106" t="s">
        <v>896</v>
      </c>
      <c r="AJ106" t="s">
        <v>1</v>
      </c>
      <c r="AK106">
        <v>9931181232</v>
      </c>
      <c r="AL106" t="s">
        <v>897</v>
      </c>
      <c r="AM106" t="s">
        <v>898</v>
      </c>
      <c r="AN106">
        <v>0</v>
      </c>
      <c r="AO106" t="s">
        <v>895</v>
      </c>
      <c r="AP106" t="s">
        <v>1</v>
      </c>
      <c r="AQ106">
        <v>2</v>
      </c>
      <c r="AR106">
        <v>0</v>
      </c>
      <c r="AS106">
        <v>0</v>
      </c>
      <c r="AT106" t="s">
        <v>1</v>
      </c>
      <c r="AU106" t="s">
        <v>1</v>
      </c>
      <c r="AV106" t="s">
        <v>1</v>
      </c>
      <c r="AW106">
        <v>0</v>
      </c>
      <c r="AX106">
        <v>9200</v>
      </c>
      <c r="AY106">
        <v>3700</v>
      </c>
      <c r="AZ106">
        <v>0</v>
      </c>
      <c r="BA106">
        <v>0</v>
      </c>
      <c r="BB106" t="s">
        <v>1</v>
      </c>
      <c r="BC106" t="s">
        <v>737</v>
      </c>
      <c r="BD106" t="s">
        <v>738</v>
      </c>
      <c r="BE106" t="s">
        <v>1</v>
      </c>
      <c r="BF106" t="s">
        <v>1</v>
      </c>
      <c r="BG106" t="s">
        <v>1</v>
      </c>
      <c r="BH106">
        <v>0</v>
      </c>
      <c r="BI106">
        <v>0</v>
      </c>
      <c r="BJ106" t="s">
        <v>722</v>
      </c>
      <c r="BK106" t="s">
        <v>1</v>
      </c>
      <c r="BL106">
        <v>1</v>
      </c>
      <c r="BM106">
        <v>0</v>
      </c>
      <c r="BN106">
        <v>12900</v>
      </c>
      <c r="BO106">
        <v>0</v>
      </c>
      <c r="BP106">
        <v>0</v>
      </c>
      <c r="BQ106">
        <v>0</v>
      </c>
      <c r="BR106" t="s">
        <v>1</v>
      </c>
      <c r="BS106" t="s">
        <v>1</v>
      </c>
      <c r="BT106" t="s">
        <v>1</v>
      </c>
      <c r="BU106" t="s">
        <v>1</v>
      </c>
      <c r="BV106" t="s">
        <v>1</v>
      </c>
      <c r="BW106" t="s">
        <v>360</v>
      </c>
      <c r="BX106" t="s">
        <v>1</v>
      </c>
      <c r="BY106">
        <v>0</v>
      </c>
      <c r="BZ106">
        <v>0</v>
      </c>
      <c r="CA106">
        <v>0</v>
      </c>
      <c r="CB106">
        <v>0</v>
      </c>
      <c r="CD106" t="str" cm="1">
        <f t="array" aca="1" ref="CD106" ca="1">eConcatenar(A106:CB106,"|")</f>
        <v>lBnhEVxfLzLdIbt7|VSA2019-0239|3|ECONOLINE|TABASCO|VILLAHERMOSA |VILLAHERMOSA |2019-05-14|12900|X|X|400|2|0|X|X|X|X|X|X|X|X|X|X|X|X|0|SOLIS|GARCIA|MARIA DE LOS SANTOS|0|X|X|RANCHERIA LAZARO CARDENAS PRIMERA SECCION|CALLEJON LOS REYES SIN NUMERO|X|9931181232|FERNANDO JOSE HERNANDEZ SOLIS|CARMELA POTENCIANO RAMOS|0|RANCHERIA LAZARO CARDENAS PRIMERA SECCION|X|2|0|0|X|X|X|0|9200|3700|0|0|X|2021-08-12|2022-08-01|X|X|X|0|0|S35D6D3Y9KVTQ1|X|1|0|12900|0|0|0|X|X|X|X|X|VILLAHERMOSA |X|0|0|0|0</v>
      </c>
    </row>
    <row r="107" spans="1:82" x14ac:dyDescent="0.25">
      <c r="A107" t="s">
        <v>899</v>
      </c>
      <c r="B107" t="s">
        <v>900</v>
      </c>
      <c r="C107">
        <v>3</v>
      </c>
      <c r="D107" t="s">
        <v>891</v>
      </c>
      <c r="E107" t="s">
        <v>359</v>
      </c>
      <c r="F107" t="s">
        <v>360</v>
      </c>
      <c r="G107" t="s">
        <v>360</v>
      </c>
      <c r="H107" t="s">
        <v>901</v>
      </c>
      <c r="I107">
        <v>12900</v>
      </c>
      <c r="J107" t="s">
        <v>1</v>
      </c>
      <c r="K107" t="s">
        <v>1</v>
      </c>
      <c r="L107">
        <v>200</v>
      </c>
      <c r="M107">
        <v>1</v>
      </c>
      <c r="N107">
        <v>0</v>
      </c>
      <c r="O107" t="s">
        <v>1</v>
      </c>
      <c r="P107" t="s">
        <v>1</v>
      </c>
      <c r="Q107" t="s">
        <v>1</v>
      </c>
      <c r="R107" t="s">
        <v>1</v>
      </c>
      <c r="S107" t="s">
        <v>1</v>
      </c>
      <c r="T107" t="s">
        <v>1</v>
      </c>
      <c r="U107" t="s">
        <v>1</v>
      </c>
      <c r="V107" t="s">
        <v>1</v>
      </c>
      <c r="W107" t="s">
        <v>1</v>
      </c>
      <c r="X107" t="s">
        <v>1</v>
      </c>
      <c r="Y107" t="s">
        <v>1</v>
      </c>
      <c r="Z107" t="s">
        <v>1</v>
      </c>
      <c r="AA107">
        <v>0</v>
      </c>
      <c r="AB107" t="s">
        <v>809</v>
      </c>
      <c r="AC107" t="s">
        <v>159</v>
      </c>
      <c r="AD107" t="s">
        <v>902</v>
      </c>
      <c r="AE107">
        <v>0</v>
      </c>
      <c r="AF107" t="s">
        <v>1</v>
      </c>
      <c r="AG107" t="s">
        <v>1</v>
      </c>
      <c r="AH107" t="s">
        <v>903</v>
      </c>
      <c r="AI107" t="s">
        <v>904</v>
      </c>
      <c r="AJ107" t="s">
        <v>1</v>
      </c>
      <c r="AK107">
        <v>9935619066</v>
      </c>
      <c r="AL107" t="s">
        <v>905</v>
      </c>
      <c r="AM107" t="s">
        <v>906</v>
      </c>
      <c r="AN107">
        <v>0</v>
      </c>
      <c r="AO107" t="s">
        <v>903</v>
      </c>
      <c r="AP107" t="s">
        <v>1</v>
      </c>
      <c r="AQ107">
        <v>2</v>
      </c>
      <c r="AR107">
        <v>0</v>
      </c>
      <c r="AS107">
        <v>0</v>
      </c>
      <c r="AT107" t="s">
        <v>1</v>
      </c>
      <c r="AU107" t="s">
        <v>1</v>
      </c>
      <c r="AV107" t="s">
        <v>1</v>
      </c>
      <c r="AW107">
        <v>0</v>
      </c>
      <c r="AX107">
        <v>7100</v>
      </c>
      <c r="AY107">
        <v>5800</v>
      </c>
      <c r="AZ107">
        <v>0</v>
      </c>
      <c r="BA107">
        <v>0</v>
      </c>
      <c r="BB107" t="s">
        <v>1</v>
      </c>
      <c r="BC107" t="s">
        <v>907</v>
      </c>
      <c r="BD107" t="s">
        <v>908</v>
      </c>
      <c r="BE107" t="s">
        <v>1</v>
      </c>
      <c r="BF107" t="s">
        <v>1</v>
      </c>
      <c r="BG107" t="s">
        <v>1</v>
      </c>
      <c r="BH107">
        <v>0</v>
      </c>
      <c r="BI107">
        <v>0</v>
      </c>
      <c r="BJ107" t="s">
        <v>722</v>
      </c>
      <c r="BK107" t="s">
        <v>1</v>
      </c>
      <c r="BL107">
        <v>1</v>
      </c>
      <c r="BM107">
        <v>0</v>
      </c>
      <c r="BN107">
        <v>12900</v>
      </c>
      <c r="BO107">
        <v>0</v>
      </c>
      <c r="BP107">
        <v>0</v>
      </c>
      <c r="BQ107">
        <v>0</v>
      </c>
      <c r="BR107" t="s">
        <v>1</v>
      </c>
      <c r="BS107" t="s">
        <v>1</v>
      </c>
      <c r="BT107" t="s">
        <v>1</v>
      </c>
      <c r="BU107" t="s">
        <v>1</v>
      </c>
      <c r="BV107" t="s">
        <v>1</v>
      </c>
      <c r="BW107" t="s">
        <v>360</v>
      </c>
      <c r="BX107" t="s">
        <v>1</v>
      </c>
      <c r="BY107">
        <v>0</v>
      </c>
      <c r="BZ107">
        <v>0</v>
      </c>
      <c r="CA107">
        <v>0</v>
      </c>
      <c r="CB107">
        <v>0</v>
      </c>
      <c r="CD107" t="str" cm="1">
        <f t="array" aca="1" ref="CD107" ca="1">eConcatenar(A107:CB107,"|")</f>
        <v>YCjp0SuBYwiJftEL|VSA2019-0335|3|ECONOLINE|TABASCO|VILLAHERMOSA |VILLAHERMOSA |2019-06-28|12900|X|X|200|1|0|X|X|X|X|X|X|X|X|X|X|X|X|0|GONZALEZ|GARCIA|AURORA|0|X|X|RANCHERIA ANACLETO CANABAL PRIMERA |CARRETERA PRINCIPAL ALADO DE UN SIX|X|9935619066|ROSARIO BAUTISTA HERNANDEZ|MARIA TERESABAUTISTA GONZALEZ|0|RANCHERIA ANACLETO CANABAL PRIMERA |X|2|0|0|X|X|X|0|7100|5800|0|0|X|2021-06-10|2021-10-20|X|X|X|0|0|S35D6D3Y9KVTQ1|X|1|0|12900|0|0|0|X|X|X|X|X|VILLAHERMOSA |X|0|0|0|0</v>
      </c>
    </row>
    <row r="108" spans="1:82" x14ac:dyDescent="0.25">
      <c r="A108" t="s">
        <v>909</v>
      </c>
      <c r="B108" t="s">
        <v>910</v>
      </c>
      <c r="C108">
        <v>3</v>
      </c>
      <c r="D108" t="s">
        <v>891</v>
      </c>
      <c r="E108" t="s">
        <v>359</v>
      </c>
      <c r="F108" t="s">
        <v>360</v>
      </c>
      <c r="G108" t="s">
        <v>360</v>
      </c>
      <c r="H108" t="s">
        <v>911</v>
      </c>
      <c r="I108">
        <v>12900</v>
      </c>
      <c r="J108" t="s">
        <v>1</v>
      </c>
      <c r="K108" t="s">
        <v>1</v>
      </c>
      <c r="L108">
        <v>100</v>
      </c>
      <c r="M108">
        <v>0</v>
      </c>
      <c r="N108">
        <v>0</v>
      </c>
      <c r="O108" t="s">
        <v>1</v>
      </c>
      <c r="P108" t="s">
        <v>1</v>
      </c>
      <c r="Q108" t="s">
        <v>1</v>
      </c>
      <c r="R108" t="s">
        <v>1</v>
      </c>
      <c r="S108" t="s">
        <v>1</v>
      </c>
      <c r="T108" t="s">
        <v>1</v>
      </c>
      <c r="U108" t="s">
        <v>1</v>
      </c>
      <c r="V108" t="s">
        <v>1</v>
      </c>
      <c r="W108" t="s">
        <v>1</v>
      </c>
      <c r="X108" t="s">
        <v>1</v>
      </c>
      <c r="Y108" t="s">
        <v>1</v>
      </c>
      <c r="Z108" t="s">
        <v>1</v>
      </c>
      <c r="AA108">
        <v>0</v>
      </c>
      <c r="AB108" t="s">
        <v>7</v>
      </c>
      <c r="AC108" t="s">
        <v>791</v>
      </c>
      <c r="AD108" t="s">
        <v>912</v>
      </c>
      <c r="AE108">
        <v>0</v>
      </c>
      <c r="AF108" t="s">
        <v>1</v>
      </c>
      <c r="AG108" t="s">
        <v>1</v>
      </c>
      <c r="AH108" t="s">
        <v>913</v>
      </c>
      <c r="AI108" t="s">
        <v>914</v>
      </c>
      <c r="AJ108" t="s">
        <v>1</v>
      </c>
      <c r="AK108">
        <v>9933820743</v>
      </c>
      <c r="AL108" t="s">
        <v>915</v>
      </c>
      <c r="AM108" t="s">
        <v>916</v>
      </c>
      <c r="AN108">
        <v>0</v>
      </c>
      <c r="AO108" t="s">
        <v>913</v>
      </c>
      <c r="AP108" t="s">
        <v>1</v>
      </c>
      <c r="AQ108">
        <v>2</v>
      </c>
      <c r="AR108">
        <v>0</v>
      </c>
      <c r="AS108">
        <v>0</v>
      </c>
      <c r="AT108" t="s">
        <v>1</v>
      </c>
      <c r="AU108" t="s">
        <v>1</v>
      </c>
      <c r="AV108" t="s">
        <v>1</v>
      </c>
      <c r="AW108">
        <v>0</v>
      </c>
      <c r="AX108">
        <v>1550</v>
      </c>
      <c r="AY108">
        <v>111350</v>
      </c>
      <c r="AZ108">
        <v>0</v>
      </c>
      <c r="BA108">
        <v>0</v>
      </c>
      <c r="BB108" t="s">
        <v>1</v>
      </c>
      <c r="BC108" t="s">
        <v>377</v>
      </c>
      <c r="BD108" t="s">
        <v>917</v>
      </c>
      <c r="BE108" t="s">
        <v>1</v>
      </c>
      <c r="BF108" t="s">
        <v>1</v>
      </c>
      <c r="BG108" t="s">
        <v>1</v>
      </c>
      <c r="BH108">
        <v>0</v>
      </c>
      <c r="BI108">
        <v>0</v>
      </c>
      <c r="BJ108" t="s">
        <v>722</v>
      </c>
      <c r="BK108" t="s">
        <v>1</v>
      </c>
      <c r="BL108">
        <v>0</v>
      </c>
      <c r="BM108">
        <v>0</v>
      </c>
      <c r="BN108">
        <v>12900</v>
      </c>
      <c r="BO108">
        <v>0</v>
      </c>
      <c r="BP108">
        <v>0</v>
      </c>
      <c r="BQ108">
        <v>0</v>
      </c>
      <c r="BR108" t="s">
        <v>1</v>
      </c>
      <c r="BS108" t="s">
        <v>1</v>
      </c>
      <c r="BT108" t="s">
        <v>1</v>
      </c>
      <c r="BU108" t="s">
        <v>1</v>
      </c>
      <c r="BV108" t="s">
        <v>1</v>
      </c>
      <c r="BW108" t="s">
        <v>360</v>
      </c>
      <c r="BX108" t="s">
        <v>1</v>
      </c>
      <c r="BY108">
        <v>0</v>
      </c>
      <c r="BZ108">
        <v>0</v>
      </c>
      <c r="CA108">
        <v>0</v>
      </c>
      <c r="CB108">
        <v>0</v>
      </c>
      <c r="CD108" t="str" cm="1">
        <f t="array" aca="1" ref="CD108" ca="1">eConcatenar(A108:CB108,"|")</f>
        <v>sVSNWuopEWXiTalL|VSA2020-0359|3|ECONOLINE|TABASCO|VILLAHERMOSA |VILLAHERMOSA |2020-04-09|12900|X|X|100|0|0|X|X|X|X|X|X|X|X|X|X|X|X|0|LOPEZ|DE LOS SANTOS|ISMAEL|0|X|X|ENTRADA GALVAN SIN NUMERO |RANCHERIA GONZALEZ PRIMERA SECCION |X|9933820743|ERIKA SANCHEZ GARCIA |MARIA DEL CARMEN LOPEZ DE LOS SANTOS |0|ENTRADA GALVAN SIN NUMERO |X|2|0|0|X|X|X|0|1550|111350|0|0|X|2021-07-12|2021-12-14|X|X|X|0|0|S35D6D3Y9KVTQ1|X|0|0|12900|0|0|0|X|X|X|X|X|VILLAHERMOSA |X|0|0|0|0</v>
      </c>
    </row>
    <row r="109" spans="1:82" x14ac:dyDescent="0.25">
      <c r="A109" t="s">
        <v>918</v>
      </c>
      <c r="B109" t="s">
        <v>919</v>
      </c>
      <c r="C109">
        <v>3</v>
      </c>
      <c r="D109" t="s">
        <v>891</v>
      </c>
      <c r="E109" t="s">
        <v>359</v>
      </c>
      <c r="F109" t="s">
        <v>360</v>
      </c>
      <c r="G109" t="s">
        <v>360</v>
      </c>
      <c r="H109" t="s">
        <v>920</v>
      </c>
      <c r="I109">
        <v>12900</v>
      </c>
      <c r="J109" t="s">
        <v>1</v>
      </c>
      <c r="K109" t="s">
        <v>1</v>
      </c>
      <c r="L109">
        <v>400</v>
      </c>
      <c r="M109">
        <v>2</v>
      </c>
      <c r="N109">
        <v>0</v>
      </c>
      <c r="O109" t="s">
        <v>1</v>
      </c>
      <c r="P109" t="s">
        <v>1</v>
      </c>
      <c r="Q109" t="s">
        <v>1</v>
      </c>
      <c r="R109" t="s">
        <v>1</v>
      </c>
      <c r="S109" t="s">
        <v>1</v>
      </c>
      <c r="T109" t="s">
        <v>1</v>
      </c>
      <c r="U109" t="s">
        <v>1</v>
      </c>
      <c r="V109" t="s">
        <v>1</v>
      </c>
      <c r="W109" t="s">
        <v>1</v>
      </c>
      <c r="X109" t="s">
        <v>1</v>
      </c>
      <c r="Y109" t="s">
        <v>1</v>
      </c>
      <c r="Z109" t="s">
        <v>1</v>
      </c>
      <c r="AA109">
        <v>0</v>
      </c>
      <c r="AB109" t="s">
        <v>921</v>
      </c>
      <c r="AC109" t="s">
        <v>922</v>
      </c>
      <c r="AD109" t="s">
        <v>923</v>
      </c>
      <c r="AE109">
        <v>0</v>
      </c>
      <c r="AF109" t="s">
        <v>1</v>
      </c>
      <c r="AG109" t="s">
        <v>1</v>
      </c>
      <c r="AH109" t="s">
        <v>924</v>
      </c>
      <c r="AI109" t="s">
        <v>756</v>
      </c>
      <c r="AJ109" t="s">
        <v>1</v>
      </c>
      <c r="AK109">
        <v>9933228660</v>
      </c>
      <c r="AL109" t="s">
        <v>925</v>
      </c>
      <c r="AM109" t="s">
        <v>926</v>
      </c>
      <c r="AN109">
        <v>0</v>
      </c>
      <c r="AO109" t="s">
        <v>924</v>
      </c>
      <c r="AP109" t="s">
        <v>1</v>
      </c>
      <c r="AQ109">
        <v>2</v>
      </c>
      <c r="AR109">
        <v>0</v>
      </c>
      <c r="AS109">
        <v>0</v>
      </c>
      <c r="AT109" t="s">
        <v>1</v>
      </c>
      <c r="AU109" t="s">
        <v>1</v>
      </c>
      <c r="AV109" t="s">
        <v>1</v>
      </c>
      <c r="AW109">
        <v>0</v>
      </c>
      <c r="AX109">
        <v>4300</v>
      </c>
      <c r="AY109">
        <v>8600</v>
      </c>
      <c r="AZ109">
        <v>0</v>
      </c>
      <c r="BA109">
        <v>0</v>
      </c>
      <c r="BB109" t="s">
        <v>1</v>
      </c>
      <c r="BC109" t="s">
        <v>862</v>
      </c>
      <c r="BD109" t="s">
        <v>863</v>
      </c>
      <c r="BE109" t="s">
        <v>1</v>
      </c>
      <c r="BF109" t="s">
        <v>1</v>
      </c>
      <c r="BG109" t="s">
        <v>1</v>
      </c>
      <c r="BH109">
        <v>0</v>
      </c>
      <c r="BI109">
        <v>0</v>
      </c>
      <c r="BJ109" t="s">
        <v>722</v>
      </c>
      <c r="BK109" t="s">
        <v>1</v>
      </c>
      <c r="BL109">
        <v>1</v>
      </c>
      <c r="BM109">
        <v>0</v>
      </c>
      <c r="BN109">
        <v>12900</v>
      </c>
      <c r="BO109">
        <v>0</v>
      </c>
      <c r="BP109">
        <v>0</v>
      </c>
      <c r="BQ109">
        <v>0</v>
      </c>
      <c r="BR109" t="s">
        <v>1</v>
      </c>
      <c r="BS109" t="s">
        <v>1</v>
      </c>
      <c r="BT109" t="s">
        <v>1</v>
      </c>
      <c r="BU109" t="s">
        <v>1</v>
      </c>
      <c r="BV109" t="s">
        <v>1</v>
      </c>
      <c r="BW109" t="s">
        <v>360</v>
      </c>
      <c r="BX109" t="s">
        <v>1</v>
      </c>
      <c r="BY109">
        <v>0</v>
      </c>
      <c r="BZ109">
        <v>0</v>
      </c>
      <c r="CA109">
        <v>0</v>
      </c>
      <c r="CB109">
        <v>0</v>
      </c>
      <c r="CD109" t="str" cm="1">
        <f t="array" aca="1" ref="CD109" ca="1">eConcatenar(A109:CB109,"|")</f>
        <v>jP1Uzjng1HwQ8pvC|VSA2020-0410|3|ECONOLINE|TABASCO|VILLAHERMOSA |VILLAHERMOSA |2020-08-25|12900|X|X|400|2|0|X|X|X|X|X|X|X|X|X|X|X|X|0|RODRIGUEZ |CUPIL|JUANA |0|X|X|CALLEJON SIN NOMBRE |RANCHERIA EMILIANO ZAPATA |X|9933228660|ERIKA SIERRA RODRIGUEZ |ANA MARGARITA GORDILLO SIERRA|0|CALLEJON SIN NOMBRE |X|2|0|0|X|X|X|0|4300|8600|0|0|X|2021-03-11|2021-03-12|X|X|X|0|0|S35D6D3Y9KVTQ1|X|1|0|12900|0|0|0|X|X|X|X|X|VILLAHERMOSA |X|0|0|0|0</v>
      </c>
    </row>
    <row r="110" spans="1:82" x14ac:dyDescent="0.25">
      <c r="A110" t="s">
        <v>927</v>
      </c>
      <c r="B110" t="s">
        <v>928</v>
      </c>
      <c r="C110">
        <v>3</v>
      </c>
      <c r="D110" t="s">
        <v>891</v>
      </c>
      <c r="E110" t="s">
        <v>359</v>
      </c>
      <c r="F110" t="s">
        <v>360</v>
      </c>
      <c r="G110" t="s">
        <v>360</v>
      </c>
      <c r="H110" t="s">
        <v>920</v>
      </c>
      <c r="I110">
        <v>12900</v>
      </c>
      <c r="J110" t="s">
        <v>1</v>
      </c>
      <c r="K110" t="s">
        <v>1</v>
      </c>
      <c r="L110">
        <v>100</v>
      </c>
      <c r="M110">
        <v>0</v>
      </c>
      <c r="N110">
        <v>0</v>
      </c>
      <c r="O110" t="s">
        <v>1</v>
      </c>
      <c r="P110" t="s">
        <v>1</v>
      </c>
      <c r="Q110" t="s">
        <v>1</v>
      </c>
      <c r="R110" t="s">
        <v>1</v>
      </c>
      <c r="S110" t="s">
        <v>1</v>
      </c>
      <c r="T110" t="s">
        <v>1</v>
      </c>
      <c r="U110" t="s">
        <v>1</v>
      </c>
      <c r="V110" t="s">
        <v>1</v>
      </c>
      <c r="W110" t="s">
        <v>1</v>
      </c>
      <c r="X110" t="s">
        <v>1</v>
      </c>
      <c r="Y110" t="s">
        <v>1</v>
      </c>
      <c r="Z110" t="s">
        <v>1</v>
      </c>
      <c r="AA110">
        <v>0</v>
      </c>
      <c r="AB110" t="s">
        <v>929</v>
      </c>
      <c r="AC110" t="s">
        <v>753</v>
      </c>
      <c r="AD110" t="s">
        <v>930</v>
      </c>
      <c r="AE110">
        <v>0</v>
      </c>
      <c r="AF110" t="s">
        <v>1</v>
      </c>
      <c r="AG110" t="s">
        <v>1</v>
      </c>
      <c r="AH110" t="s">
        <v>931</v>
      </c>
      <c r="AI110" t="s">
        <v>756</v>
      </c>
      <c r="AJ110" t="s">
        <v>1</v>
      </c>
      <c r="AK110">
        <v>9841820480</v>
      </c>
      <c r="AL110" t="s">
        <v>932</v>
      </c>
      <c r="AM110" t="s">
        <v>933</v>
      </c>
      <c r="AN110">
        <v>0</v>
      </c>
      <c r="AO110" t="s">
        <v>931</v>
      </c>
      <c r="AP110" t="s">
        <v>1</v>
      </c>
      <c r="AQ110">
        <v>2</v>
      </c>
      <c r="AR110">
        <v>0</v>
      </c>
      <c r="AS110">
        <v>0</v>
      </c>
      <c r="AT110" t="s">
        <v>1</v>
      </c>
      <c r="AU110" t="s">
        <v>1</v>
      </c>
      <c r="AV110" t="s">
        <v>1</v>
      </c>
      <c r="AW110">
        <v>0</v>
      </c>
      <c r="AX110">
        <v>2000</v>
      </c>
      <c r="AY110">
        <v>10900</v>
      </c>
      <c r="AZ110">
        <v>0</v>
      </c>
      <c r="BA110">
        <v>0</v>
      </c>
      <c r="BB110" t="s">
        <v>1</v>
      </c>
      <c r="BC110" t="s">
        <v>934</v>
      </c>
      <c r="BD110" t="s">
        <v>935</v>
      </c>
      <c r="BE110" t="s">
        <v>1</v>
      </c>
      <c r="BF110" t="s">
        <v>1</v>
      </c>
      <c r="BG110" t="s">
        <v>1</v>
      </c>
      <c r="BH110">
        <v>0</v>
      </c>
      <c r="BI110">
        <v>0</v>
      </c>
      <c r="BJ110" t="s">
        <v>722</v>
      </c>
      <c r="BK110" t="s">
        <v>1</v>
      </c>
      <c r="BL110">
        <v>1</v>
      </c>
      <c r="BM110">
        <v>0</v>
      </c>
      <c r="BN110">
        <v>12900</v>
      </c>
      <c r="BO110">
        <v>0</v>
      </c>
      <c r="BP110">
        <v>0</v>
      </c>
      <c r="BQ110">
        <v>0</v>
      </c>
      <c r="BR110" t="s">
        <v>1</v>
      </c>
      <c r="BS110" t="s">
        <v>1</v>
      </c>
      <c r="BT110" t="s">
        <v>1</v>
      </c>
      <c r="BU110" t="s">
        <v>1</v>
      </c>
      <c r="BV110" t="s">
        <v>1</v>
      </c>
      <c r="BW110" t="s">
        <v>360</v>
      </c>
      <c r="BX110" t="s">
        <v>1</v>
      </c>
      <c r="BY110">
        <v>0</v>
      </c>
      <c r="BZ110">
        <v>0</v>
      </c>
      <c r="CA110">
        <v>0</v>
      </c>
      <c r="CB110">
        <v>0</v>
      </c>
      <c r="CD110" t="str" cm="1">
        <f t="array" aca="1" ref="CD110" ca="1">eConcatenar(A110:CB110,"|")</f>
        <v>N8CSbBx2RwCpoGaH|VSA2020-0411|3|ECONOLINE|TABASCO|VILLAHERMOSA |VILLAHERMOSA |2020-08-25|12900|X|X|100|0|0|X|X|X|X|X|X|X|X|X|X|X|X|0|SANTIAGO|OVANDO|MARIA CONCEPCION |0|X|X|CALLEJON BLANCAS MARIPOSAS CASA 12|RANCHERIA EMILIANO ZAPATA |X|9841820480|PABLO COOPER LARIO|TERESA DEL CARMEN COOPER SANTIAGO|0|CALLEJON BLANCAS MARIPOSAS CASA 12|X|2|0|0|X|X|X|0|2000|10900|0|0|X|2021-07-28|2021-05-08|X|X|X|0|0|S35D6D3Y9KVTQ1|X|1|0|12900|0|0|0|X|X|X|X|X|VILLAHERMOSA |X|0|0|0|0</v>
      </c>
    </row>
    <row r="111" spans="1:82" x14ac:dyDescent="0.25">
      <c r="A111" t="s">
        <v>936</v>
      </c>
      <c r="B111" t="s">
        <v>937</v>
      </c>
      <c r="C111">
        <v>3</v>
      </c>
      <c r="D111" t="s">
        <v>891</v>
      </c>
      <c r="E111" t="s">
        <v>359</v>
      </c>
      <c r="F111" t="s">
        <v>360</v>
      </c>
      <c r="G111" t="s">
        <v>360</v>
      </c>
      <c r="H111" t="s">
        <v>495</v>
      </c>
      <c r="I111">
        <v>12900</v>
      </c>
      <c r="J111" t="s">
        <v>1</v>
      </c>
      <c r="K111" t="s">
        <v>1</v>
      </c>
      <c r="L111">
        <v>100</v>
      </c>
      <c r="M111">
        <v>0</v>
      </c>
      <c r="N111">
        <v>0</v>
      </c>
      <c r="O111" t="s">
        <v>1</v>
      </c>
      <c r="P111" t="s">
        <v>1</v>
      </c>
      <c r="Q111" t="s">
        <v>1</v>
      </c>
      <c r="R111" t="s">
        <v>1</v>
      </c>
      <c r="S111" t="s">
        <v>1</v>
      </c>
      <c r="T111" t="s">
        <v>1</v>
      </c>
      <c r="U111" t="s">
        <v>1</v>
      </c>
      <c r="V111" t="s">
        <v>1</v>
      </c>
      <c r="W111" t="s">
        <v>1</v>
      </c>
      <c r="X111" t="s">
        <v>1</v>
      </c>
      <c r="Y111" t="s">
        <v>1</v>
      </c>
      <c r="Z111" t="s">
        <v>1</v>
      </c>
      <c r="AA111">
        <v>0</v>
      </c>
      <c r="AB111" t="s">
        <v>829</v>
      </c>
      <c r="AC111" t="s">
        <v>248</v>
      </c>
      <c r="AD111" t="s">
        <v>938</v>
      </c>
      <c r="AE111">
        <v>0</v>
      </c>
      <c r="AF111" t="s">
        <v>1</v>
      </c>
      <c r="AG111" t="s">
        <v>1</v>
      </c>
      <c r="AH111" t="s">
        <v>939</v>
      </c>
      <c r="AI111" t="s">
        <v>756</v>
      </c>
      <c r="AJ111" t="s">
        <v>1</v>
      </c>
      <c r="AK111">
        <v>9931599122</v>
      </c>
      <c r="AL111" t="s">
        <v>940</v>
      </c>
      <c r="AM111" t="s">
        <v>941</v>
      </c>
      <c r="AN111">
        <v>0</v>
      </c>
      <c r="AO111" t="s">
        <v>939</v>
      </c>
      <c r="AP111" t="s">
        <v>1</v>
      </c>
      <c r="AQ111">
        <v>2</v>
      </c>
      <c r="AR111">
        <v>0</v>
      </c>
      <c r="AS111">
        <v>0</v>
      </c>
      <c r="AT111" t="s">
        <v>1</v>
      </c>
      <c r="AU111" t="s">
        <v>1</v>
      </c>
      <c r="AV111" t="s">
        <v>1</v>
      </c>
      <c r="AW111">
        <v>0</v>
      </c>
      <c r="AX111">
        <v>12700</v>
      </c>
      <c r="AY111">
        <v>200</v>
      </c>
      <c r="AZ111">
        <v>0</v>
      </c>
      <c r="BA111">
        <v>0</v>
      </c>
      <c r="BB111" t="s">
        <v>1</v>
      </c>
      <c r="BC111" t="s">
        <v>862</v>
      </c>
      <c r="BD111" t="s">
        <v>942</v>
      </c>
      <c r="BE111" t="s">
        <v>1</v>
      </c>
      <c r="BF111" t="s">
        <v>1</v>
      </c>
      <c r="BG111" t="s">
        <v>1</v>
      </c>
      <c r="BH111">
        <v>0</v>
      </c>
      <c r="BI111">
        <v>0</v>
      </c>
      <c r="BJ111" t="s">
        <v>722</v>
      </c>
      <c r="BK111" t="s">
        <v>1</v>
      </c>
      <c r="BL111">
        <v>0</v>
      </c>
      <c r="BM111">
        <v>0</v>
      </c>
      <c r="BN111">
        <v>12900</v>
      </c>
      <c r="BO111">
        <v>0</v>
      </c>
      <c r="BP111">
        <v>0</v>
      </c>
      <c r="BQ111">
        <v>0</v>
      </c>
      <c r="BR111" t="s">
        <v>1</v>
      </c>
      <c r="BS111" t="s">
        <v>1</v>
      </c>
      <c r="BT111" t="s">
        <v>1</v>
      </c>
      <c r="BU111" t="s">
        <v>1</v>
      </c>
      <c r="BV111" t="s">
        <v>1</v>
      </c>
      <c r="BW111" t="s">
        <v>360</v>
      </c>
      <c r="BX111" t="s">
        <v>1</v>
      </c>
      <c r="BY111">
        <v>0</v>
      </c>
      <c r="BZ111">
        <v>0</v>
      </c>
      <c r="CA111">
        <v>0</v>
      </c>
      <c r="CB111">
        <v>0</v>
      </c>
      <c r="CD111" t="str" cm="1">
        <f t="array" aca="1" ref="CD111" ca="1">eConcatenar(A111:CB111,"|")</f>
        <v>IIRjsCIIIyrF8Yy4|VSA2020-0436|3|ECONOLINE|TABASCO|VILLAHERMOSA |VILLAHERMOSA |2020-08-27|12900|X|X|100|0|0|X|X|X|X|X|X|X|X|X|X|X|X|0|PEREZ|MORALES|ALDEMAR|0|X|X|CALLEJON LOS CEDROS 111|RANCHERIA EMILIANO ZAPATA |X|9931599122|DENNYS MARTINEZ IZQUIERDO|MARGARITA IZQUIERDO OVANDO|0|CALLEJON LOS CEDROS 111|X|2|0|0|X|X|X|0|12700|200|0|0|X|2021-03-11|2021-10-11|X|X|X|0|0|S35D6D3Y9KVTQ1|X|0|0|12900|0|0|0|X|X|X|X|X|VILLAHERMOSA |X|0|0|0|0</v>
      </c>
    </row>
    <row r="112" spans="1:82" x14ac:dyDescent="0.25">
      <c r="A112" t="s">
        <v>943</v>
      </c>
      <c r="B112" t="s">
        <v>944</v>
      </c>
      <c r="C112">
        <v>3</v>
      </c>
      <c r="D112" t="s">
        <v>891</v>
      </c>
      <c r="E112" t="s">
        <v>359</v>
      </c>
      <c r="F112" t="s">
        <v>360</v>
      </c>
      <c r="G112" t="s">
        <v>360</v>
      </c>
      <c r="H112" t="s">
        <v>945</v>
      </c>
      <c r="I112">
        <v>12900</v>
      </c>
      <c r="J112" t="s">
        <v>1</v>
      </c>
      <c r="K112" t="s">
        <v>1</v>
      </c>
      <c r="L112">
        <v>400</v>
      </c>
      <c r="M112">
        <v>2</v>
      </c>
      <c r="N112">
        <v>0</v>
      </c>
      <c r="O112" t="s">
        <v>1</v>
      </c>
      <c r="P112" t="s">
        <v>1</v>
      </c>
      <c r="Q112" t="s">
        <v>1</v>
      </c>
      <c r="R112" t="s">
        <v>1</v>
      </c>
      <c r="S112" t="s">
        <v>1</v>
      </c>
      <c r="T112" t="s">
        <v>1</v>
      </c>
      <c r="U112" t="s">
        <v>1</v>
      </c>
      <c r="V112" t="s">
        <v>1</v>
      </c>
      <c r="W112" t="s">
        <v>1</v>
      </c>
      <c r="X112" t="s">
        <v>1</v>
      </c>
      <c r="Y112" t="s">
        <v>1</v>
      </c>
      <c r="Z112" t="s">
        <v>1</v>
      </c>
      <c r="AA112">
        <v>0</v>
      </c>
      <c r="AB112" t="s">
        <v>7</v>
      </c>
      <c r="AC112" t="s">
        <v>7</v>
      </c>
      <c r="AD112" t="s">
        <v>946</v>
      </c>
      <c r="AE112">
        <v>0</v>
      </c>
      <c r="AF112" t="s">
        <v>1</v>
      </c>
      <c r="AG112" t="s">
        <v>1</v>
      </c>
      <c r="AH112" t="s">
        <v>947</v>
      </c>
      <c r="AI112" t="s">
        <v>719</v>
      </c>
      <c r="AJ112" t="s">
        <v>1</v>
      </c>
      <c r="AK112">
        <v>9934328141</v>
      </c>
      <c r="AL112" t="s">
        <v>948</v>
      </c>
      <c r="AM112" t="s">
        <v>949</v>
      </c>
      <c r="AN112">
        <v>0</v>
      </c>
      <c r="AO112" t="s">
        <v>947</v>
      </c>
      <c r="AP112" t="s">
        <v>1</v>
      </c>
      <c r="AQ112">
        <v>2</v>
      </c>
      <c r="AR112">
        <v>0</v>
      </c>
      <c r="AS112">
        <v>0</v>
      </c>
      <c r="AT112" t="s">
        <v>1</v>
      </c>
      <c r="AU112" t="s">
        <v>1</v>
      </c>
      <c r="AV112" t="s">
        <v>1</v>
      </c>
      <c r="AW112">
        <v>0</v>
      </c>
      <c r="AX112">
        <v>4050</v>
      </c>
      <c r="AY112">
        <v>8850</v>
      </c>
      <c r="AZ112">
        <v>0</v>
      </c>
      <c r="BA112">
        <v>0</v>
      </c>
      <c r="BB112" t="s">
        <v>1</v>
      </c>
      <c r="BC112" t="s">
        <v>950</v>
      </c>
      <c r="BD112" t="s">
        <v>951</v>
      </c>
      <c r="BE112" t="s">
        <v>1</v>
      </c>
      <c r="BF112" t="s">
        <v>1</v>
      </c>
      <c r="BG112" t="s">
        <v>1</v>
      </c>
      <c r="BH112">
        <v>0</v>
      </c>
      <c r="BI112">
        <v>0</v>
      </c>
      <c r="BJ112" t="s">
        <v>722</v>
      </c>
      <c r="BK112" t="s">
        <v>1</v>
      </c>
      <c r="BL112">
        <v>0</v>
      </c>
      <c r="BM112">
        <v>0</v>
      </c>
      <c r="BN112">
        <v>12900</v>
      </c>
      <c r="BO112">
        <v>0</v>
      </c>
      <c r="BP112">
        <v>0</v>
      </c>
      <c r="BQ112">
        <v>0</v>
      </c>
      <c r="BR112" t="s">
        <v>1</v>
      </c>
      <c r="BS112" t="s">
        <v>1</v>
      </c>
      <c r="BT112" t="s">
        <v>1</v>
      </c>
      <c r="BU112" t="s">
        <v>1</v>
      </c>
      <c r="BV112" t="s">
        <v>1</v>
      </c>
      <c r="BW112" t="s">
        <v>360</v>
      </c>
      <c r="BX112" t="s">
        <v>1</v>
      </c>
      <c r="BY112">
        <v>0</v>
      </c>
      <c r="BZ112">
        <v>0</v>
      </c>
      <c r="CA112">
        <v>0</v>
      </c>
      <c r="CB112">
        <v>0</v>
      </c>
      <c r="CD112" t="str" cm="1">
        <f t="array" aca="1" ref="CD112" ca="1">eConcatenar(A112:CB112,"|")</f>
        <v>pFHX2Y6s08OJAhNV|VSA2020-0445|3|ECONOLINE|TABASCO|VILLAHERMOSA |VILLAHERMOSA |2020-08-28|12900|X|X|400|2|0|X|X|X|X|X|X|X|X|X|X|X|X|0|LOPEZ|LOPEZ|MARCO ANTONIO|0|X|X|CARRETERA PRINNCIPAL SIN NUMERO |RANCHERIA ANACLETO CANABAL TERCERA SECCION |X|9934328141|LORENA PEREZ GARCIA |IGNACIA LOPEZ PALMA |0|CARRETERA PRINNCIPAL SIN NUMERO |X|2|0|0|X|X|X|0|4050|8850|0|0|X|2021-10-13|2021-11-13|X|X|X|0|0|S35D6D3Y9KVTQ1|X|0|0|12900|0|0|0|X|X|X|X|X|VILLAHERMOSA |X|0|0|0|0</v>
      </c>
    </row>
    <row r="113" spans="1:82" x14ac:dyDescent="0.25">
      <c r="A113" t="s">
        <v>952</v>
      </c>
      <c r="B113" t="s">
        <v>953</v>
      </c>
      <c r="C113">
        <v>3</v>
      </c>
      <c r="D113" t="s">
        <v>891</v>
      </c>
      <c r="E113" t="s">
        <v>359</v>
      </c>
      <c r="F113" t="s">
        <v>360</v>
      </c>
      <c r="G113" t="s">
        <v>360</v>
      </c>
      <c r="H113" t="s">
        <v>954</v>
      </c>
      <c r="I113">
        <v>12900</v>
      </c>
      <c r="J113" t="s">
        <v>1</v>
      </c>
      <c r="K113" t="s">
        <v>1</v>
      </c>
      <c r="L113">
        <v>100</v>
      </c>
      <c r="M113">
        <v>0</v>
      </c>
      <c r="N113">
        <v>0</v>
      </c>
      <c r="O113" t="s">
        <v>1</v>
      </c>
      <c r="P113" t="s">
        <v>1</v>
      </c>
      <c r="Q113" t="s">
        <v>1</v>
      </c>
      <c r="R113" t="s">
        <v>1</v>
      </c>
      <c r="S113" t="s">
        <v>1</v>
      </c>
      <c r="T113" t="s">
        <v>1</v>
      </c>
      <c r="U113" t="s">
        <v>1</v>
      </c>
      <c r="V113" t="s">
        <v>1</v>
      </c>
      <c r="W113" t="s">
        <v>1</v>
      </c>
      <c r="X113" t="s">
        <v>1</v>
      </c>
      <c r="Y113" t="s">
        <v>1</v>
      </c>
      <c r="Z113" t="s">
        <v>1</v>
      </c>
      <c r="AA113">
        <v>0</v>
      </c>
      <c r="AB113" t="s">
        <v>955</v>
      </c>
      <c r="AC113" t="s">
        <v>209</v>
      </c>
      <c r="AD113" t="s">
        <v>956</v>
      </c>
      <c r="AE113">
        <v>0</v>
      </c>
      <c r="AF113" t="s">
        <v>1</v>
      </c>
      <c r="AG113" t="s">
        <v>1</v>
      </c>
      <c r="AH113" t="s">
        <v>957</v>
      </c>
      <c r="AI113" t="s">
        <v>958</v>
      </c>
      <c r="AJ113" t="s">
        <v>1</v>
      </c>
      <c r="AK113">
        <v>9932244843</v>
      </c>
      <c r="AL113" t="s">
        <v>959</v>
      </c>
      <c r="AM113" t="s">
        <v>960</v>
      </c>
      <c r="AN113">
        <v>0</v>
      </c>
      <c r="AO113" t="s">
        <v>957</v>
      </c>
      <c r="AP113" t="s">
        <v>1</v>
      </c>
      <c r="AQ113">
        <v>2</v>
      </c>
      <c r="AR113">
        <v>0</v>
      </c>
      <c r="AS113">
        <v>0</v>
      </c>
      <c r="AT113" t="s">
        <v>1</v>
      </c>
      <c r="AU113" t="s">
        <v>1</v>
      </c>
      <c r="AV113" t="s">
        <v>1</v>
      </c>
      <c r="AW113">
        <v>0</v>
      </c>
      <c r="AX113">
        <v>6200</v>
      </c>
      <c r="AY113">
        <v>6700</v>
      </c>
      <c r="AZ113">
        <v>0</v>
      </c>
      <c r="BA113">
        <v>0</v>
      </c>
      <c r="BB113" t="s">
        <v>1</v>
      </c>
      <c r="BC113" t="s">
        <v>377</v>
      </c>
      <c r="BD113" t="s">
        <v>758</v>
      </c>
      <c r="BE113" t="s">
        <v>1</v>
      </c>
      <c r="BF113" t="s">
        <v>1</v>
      </c>
      <c r="BG113" t="s">
        <v>1</v>
      </c>
      <c r="BH113">
        <v>0</v>
      </c>
      <c r="BI113">
        <v>0</v>
      </c>
      <c r="BJ113" t="s">
        <v>722</v>
      </c>
      <c r="BK113" t="s">
        <v>1</v>
      </c>
      <c r="BL113">
        <v>1</v>
      </c>
      <c r="BM113">
        <v>0</v>
      </c>
      <c r="BN113">
        <v>12900</v>
      </c>
      <c r="BO113">
        <v>0</v>
      </c>
      <c r="BP113">
        <v>0</v>
      </c>
      <c r="BQ113">
        <v>0</v>
      </c>
      <c r="BR113" t="s">
        <v>1</v>
      </c>
      <c r="BS113" t="s">
        <v>1</v>
      </c>
      <c r="BT113" t="s">
        <v>1</v>
      </c>
      <c r="BU113" t="s">
        <v>1</v>
      </c>
      <c r="BV113" t="s">
        <v>1</v>
      </c>
      <c r="BW113" t="s">
        <v>360</v>
      </c>
      <c r="BX113" t="s">
        <v>1</v>
      </c>
      <c r="BY113">
        <v>0</v>
      </c>
      <c r="BZ113">
        <v>0</v>
      </c>
      <c r="CA113">
        <v>0</v>
      </c>
      <c r="CB113">
        <v>0</v>
      </c>
      <c r="CD113" t="str" cm="1">
        <f t="array" aca="1" ref="CD113" ca="1">eConcatenar(A113:CB113,"|")</f>
        <v>samZZFofM1a06LNK|VSA2020-0483|3|ECONOLINE|TABASCO|VILLAHERMOSA |VILLAHERMOSA |2020-02-09|12900|X|X|100|0|0|X|X|X|X|X|X|X|X|X|X|X|X|0|ROBLES|SANCHEZ|VIOLETA|0|X|X|SECTOR LA GLORIA |RANCHERIA LAZARO CARDENAS|X|9932244843|PEDRO ROBLE SANCHEZ|ROBERTO DE JESUS GOMEZ ROBLES |0|SECTOR LA GLORIA |X|2|0|0|X|X|X|0|6200|6700|0|0|X|2021-07-12|2021-12-15|X|X|X|0|0|S35D6D3Y9KVTQ1|X|1|0|12900|0|0|0|X|X|X|X|X|VILLAHERMOSA |X|0|0|0|0</v>
      </c>
    </row>
    <row r="114" spans="1:82" x14ac:dyDescent="0.25">
      <c r="A114" t="s">
        <v>961</v>
      </c>
      <c r="B114" t="s">
        <v>962</v>
      </c>
      <c r="C114">
        <v>3</v>
      </c>
      <c r="D114" t="s">
        <v>891</v>
      </c>
      <c r="E114" t="s">
        <v>359</v>
      </c>
      <c r="F114" t="s">
        <v>360</v>
      </c>
      <c r="G114" t="s">
        <v>360</v>
      </c>
      <c r="H114" t="s">
        <v>963</v>
      </c>
      <c r="I114">
        <v>12900</v>
      </c>
      <c r="J114" t="s">
        <v>1</v>
      </c>
      <c r="K114" t="s">
        <v>1</v>
      </c>
      <c r="L114">
        <v>400</v>
      </c>
      <c r="M114">
        <v>1</v>
      </c>
      <c r="N114">
        <v>0</v>
      </c>
      <c r="O114" t="s">
        <v>1</v>
      </c>
      <c r="P114" t="s">
        <v>1</v>
      </c>
      <c r="Q114" t="s">
        <v>1</v>
      </c>
      <c r="R114" t="s">
        <v>1</v>
      </c>
      <c r="S114" t="s">
        <v>1</v>
      </c>
      <c r="T114" t="s">
        <v>1</v>
      </c>
      <c r="U114" t="s">
        <v>1</v>
      </c>
      <c r="V114" t="s">
        <v>1</v>
      </c>
      <c r="W114" t="s">
        <v>1</v>
      </c>
      <c r="X114" t="s">
        <v>1</v>
      </c>
      <c r="Y114" t="s">
        <v>1</v>
      </c>
      <c r="Z114" t="s">
        <v>1</v>
      </c>
      <c r="AA114">
        <v>0</v>
      </c>
      <c r="AB114" t="s">
        <v>964</v>
      </c>
      <c r="AC114" t="s">
        <v>838</v>
      </c>
      <c r="AD114" t="s">
        <v>923</v>
      </c>
      <c r="AE114">
        <v>0</v>
      </c>
      <c r="AF114" t="s">
        <v>1</v>
      </c>
      <c r="AG114" t="s">
        <v>1</v>
      </c>
      <c r="AH114" t="s">
        <v>965</v>
      </c>
      <c r="AI114" t="s">
        <v>803</v>
      </c>
      <c r="AJ114" t="s">
        <v>1</v>
      </c>
      <c r="AK114">
        <v>9933116573</v>
      </c>
      <c r="AL114" t="s">
        <v>966</v>
      </c>
      <c r="AM114" t="s">
        <v>967</v>
      </c>
      <c r="AN114">
        <v>0</v>
      </c>
      <c r="AO114" t="s">
        <v>965</v>
      </c>
      <c r="AP114" t="s">
        <v>1</v>
      </c>
      <c r="AQ114">
        <v>2</v>
      </c>
      <c r="AR114">
        <v>0</v>
      </c>
      <c r="AS114">
        <v>0</v>
      </c>
      <c r="AT114" t="s">
        <v>1</v>
      </c>
      <c r="AU114" t="s">
        <v>1</v>
      </c>
      <c r="AV114" t="s">
        <v>1</v>
      </c>
      <c r="AW114">
        <v>0</v>
      </c>
      <c r="AX114">
        <v>5800</v>
      </c>
      <c r="AY114">
        <v>7100</v>
      </c>
      <c r="AZ114">
        <v>0</v>
      </c>
      <c r="BA114">
        <v>0</v>
      </c>
      <c r="BB114" t="s">
        <v>1</v>
      </c>
      <c r="BC114" t="s">
        <v>862</v>
      </c>
      <c r="BD114" t="s">
        <v>863</v>
      </c>
      <c r="BE114" t="s">
        <v>1</v>
      </c>
      <c r="BF114" t="s">
        <v>1</v>
      </c>
      <c r="BG114" t="s">
        <v>1</v>
      </c>
      <c r="BH114">
        <v>0</v>
      </c>
      <c r="BI114">
        <v>0</v>
      </c>
      <c r="BJ114" t="s">
        <v>722</v>
      </c>
      <c r="BK114" t="s">
        <v>1</v>
      </c>
      <c r="BL114">
        <v>0</v>
      </c>
      <c r="BM114">
        <v>0</v>
      </c>
      <c r="BN114">
        <v>12900</v>
      </c>
      <c r="BO114">
        <v>0</v>
      </c>
      <c r="BP114">
        <v>0</v>
      </c>
      <c r="BQ114">
        <v>0</v>
      </c>
      <c r="BR114" t="s">
        <v>1</v>
      </c>
      <c r="BS114" t="s">
        <v>1</v>
      </c>
      <c r="BT114" t="s">
        <v>1</v>
      </c>
      <c r="BU114" t="s">
        <v>1</v>
      </c>
      <c r="BV114" t="s">
        <v>1</v>
      </c>
      <c r="BW114" t="s">
        <v>360</v>
      </c>
      <c r="BX114" t="s">
        <v>1</v>
      </c>
      <c r="BY114">
        <v>0</v>
      </c>
      <c r="BZ114">
        <v>0</v>
      </c>
      <c r="CA114">
        <v>0</v>
      </c>
      <c r="CB114">
        <v>0</v>
      </c>
      <c r="CD114" t="str" cm="1">
        <f t="array" aca="1" ref="CD114" ca="1">eConcatenar(A114:CB114,"|")</f>
        <v>m9R6iXYsR9KgkVT8|VSA2020-0496|3|ECONOLINE|TABASCO|VILLAHERMOSA |VILLAHERMOSA |2020-03-09|12900|X|X|400|1|0|X|X|X|X|X|X|X|X|X|X|X|X|0|TOSCA|VENTURA|JUANA |0|X|X|CARRETERA VILLAHERMOSA A CARDENAS|RANCHERIA LAZARO CARDENAS SEGUNDA SECCION|X|9933116573|LUZ DEL ALBA VALIER CRUZ |JUAN  MANUEL TOSCA VALIER|0|CARRETERA VILLAHERMOSA A CARDENAS|X|2|0|0|X|X|X|0|5800|7100|0|0|X|2021-03-11|2021-03-12|X|X|X|0|0|S35D6D3Y9KVTQ1|X|0|0|12900|0|0|0|X|X|X|X|X|VILLAHERMOSA |X|0|0|0|0</v>
      </c>
    </row>
    <row r="115" spans="1:82" x14ac:dyDescent="0.25">
      <c r="A115" t="s">
        <v>968</v>
      </c>
      <c r="B115" t="s">
        <v>969</v>
      </c>
      <c r="C115">
        <v>3</v>
      </c>
      <c r="D115" t="s">
        <v>891</v>
      </c>
      <c r="E115" t="s">
        <v>359</v>
      </c>
      <c r="F115" t="s">
        <v>360</v>
      </c>
      <c r="G115" t="s">
        <v>360</v>
      </c>
      <c r="H115" t="s">
        <v>970</v>
      </c>
      <c r="I115">
        <v>12900</v>
      </c>
      <c r="J115" t="s">
        <v>1</v>
      </c>
      <c r="K115" t="s">
        <v>1</v>
      </c>
      <c r="L115">
        <v>200</v>
      </c>
      <c r="M115">
        <v>1</v>
      </c>
      <c r="N115">
        <v>0</v>
      </c>
      <c r="O115" t="s">
        <v>1</v>
      </c>
      <c r="P115" t="s">
        <v>1</v>
      </c>
      <c r="Q115" t="s">
        <v>1</v>
      </c>
      <c r="R115" t="s">
        <v>1</v>
      </c>
      <c r="S115" t="s">
        <v>1</v>
      </c>
      <c r="T115" t="s">
        <v>1</v>
      </c>
      <c r="U115" t="s">
        <v>1</v>
      </c>
      <c r="V115" t="s">
        <v>1</v>
      </c>
      <c r="W115" t="s">
        <v>1</v>
      </c>
      <c r="X115" t="s">
        <v>1</v>
      </c>
      <c r="Y115" t="s">
        <v>1</v>
      </c>
      <c r="Z115" t="s">
        <v>1</v>
      </c>
      <c r="AA115">
        <v>0</v>
      </c>
      <c r="AB115" t="s">
        <v>13</v>
      </c>
      <c r="AC115" t="s">
        <v>971</v>
      </c>
      <c r="AD115" t="s">
        <v>503</v>
      </c>
      <c r="AE115">
        <v>0</v>
      </c>
      <c r="AF115" t="s">
        <v>1</v>
      </c>
      <c r="AG115" t="s">
        <v>1</v>
      </c>
      <c r="AH115" t="s">
        <v>736</v>
      </c>
      <c r="AI115" t="s">
        <v>972</v>
      </c>
      <c r="AJ115" t="s">
        <v>1</v>
      </c>
      <c r="AK115">
        <v>9932320389</v>
      </c>
      <c r="AL115" t="s">
        <v>973</v>
      </c>
      <c r="AM115" t="s">
        <v>974</v>
      </c>
      <c r="AN115">
        <v>0</v>
      </c>
      <c r="AO115" t="s">
        <v>736</v>
      </c>
      <c r="AP115" t="s">
        <v>1</v>
      </c>
      <c r="AQ115">
        <v>3</v>
      </c>
      <c r="AR115">
        <v>0</v>
      </c>
      <c r="AS115">
        <v>0</v>
      </c>
      <c r="AT115" t="s">
        <v>1</v>
      </c>
      <c r="AU115" t="s">
        <v>1</v>
      </c>
      <c r="AV115" t="s">
        <v>1</v>
      </c>
      <c r="AW115">
        <v>0</v>
      </c>
      <c r="AX115">
        <v>3600</v>
      </c>
      <c r="AY115">
        <v>9300</v>
      </c>
      <c r="AZ115">
        <v>0</v>
      </c>
      <c r="BA115">
        <v>0</v>
      </c>
      <c r="BB115" t="s">
        <v>1</v>
      </c>
      <c r="BC115" t="s">
        <v>837</v>
      </c>
      <c r="BD115" t="s">
        <v>975</v>
      </c>
      <c r="BE115" t="s">
        <v>1</v>
      </c>
      <c r="BF115" t="s">
        <v>1</v>
      </c>
      <c r="BG115" t="s">
        <v>1</v>
      </c>
      <c r="BH115">
        <v>0</v>
      </c>
      <c r="BI115">
        <v>0</v>
      </c>
      <c r="BJ115" t="s">
        <v>722</v>
      </c>
      <c r="BK115" t="s">
        <v>1</v>
      </c>
      <c r="BL115">
        <v>0</v>
      </c>
      <c r="BM115">
        <v>0</v>
      </c>
      <c r="BN115">
        <v>12900</v>
      </c>
      <c r="BO115">
        <v>0</v>
      </c>
      <c r="BP115">
        <v>0</v>
      </c>
      <c r="BQ115">
        <v>0</v>
      </c>
      <c r="BR115" t="s">
        <v>1</v>
      </c>
      <c r="BS115" t="s">
        <v>1</v>
      </c>
      <c r="BT115" t="s">
        <v>1</v>
      </c>
      <c r="BU115" t="s">
        <v>1</v>
      </c>
      <c r="BV115" t="s">
        <v>1</v>
      </c>
      <c r="BW115" t="s">
        <v>360</v>
      </c>
      <c r="BX115" t="s">
        <v>1</v>
      </c>
      <c r="BY115">
        <v>0</v>
      </c>
      <c r="BZ115">
        <v>0</v>
      </c>
      <c r="CA115">
        <v>0</v>
      </c>
      <c r="CB115">
        <v>0</v>
      </c>
      <c r="CD115" t="str" cm="1">
        <f t="array" aca="1" ref="CD115" ca="1">eConcatenar(A115:CB115,"|")</f>
        <v>GHNz1765yg1kSlK9|VSA2020-0508|3|ECONOLINE|TABASCO|VILLAHERMOSA |VILLAHERMOSA |2020-05-09|12900|X|X|200|1|0|X|X|X|X|X|X|X|X|X|X|X|X|0|GUTIERREZ|MARTINEZ|JESUS|0|X|X|RANCHERIA GONZALEZ PRIMERA SECCION|CALLE SECTOR PUNTA BRAVA SIN NUMERO|X|9932320389|FELIPA VENTURA ALEJANDRO|JESUS BERBABE GUTIERREZ GARRIDO|0|RANCHERIA GONZALEZ PRIMERA SECCION|X|3|0|0|X|X|X|0|3600|9300|0|0|X|2021-08-19|2022-02-09|X|X|X|0|0|S35D6D3Y9KVTQ1|X|0|0|12900|0|0|0|X|X|X|X|X|VILLAHERMOSA |X|0|0|0|0</v>
      </c>
    </row>
    <row r="116" spans="1:82" x14ac:dyDescent="0.25">
      <c r="A116" t="s">
        <v>976</v>
      </c>
      <c r="B116" t="s">
        <v>977</v>
      </c>
      <c r="C116">
        <v>3</v>
      </c>
      <c r="D116" t="s">
        <v>891</v>
      </c>
      <c r="E116" t="s">
        <v>359</v>
      </c>
      <c r="F116" t="s">
        <v>360</v>
      </c>
      <c r="G116" t="s">
        <v>360</v>
      </c>
      <c r="H116" t="s">
        <v>393</v>
      </c>
      <c r="I116">
        <v>12900</v>
      </c>
      <c r="J116" t="s">
        <v>1</v>
      </c>
      <c r="K116" t="s">
        <v>1</v>
      </c>
      <c r="L116">
        <v>400</v>
      </c>
      <c r="M116">
        <v>2</v>
      </c>
      <c r="N116">
        <v>0</v>
      </c>
      <c r="O116" t="s">
        <v>1</v>
      </c>
      <c r="P116" t="s">
        <v>1</v>
      </c>
      <c r="Q116" t="s">
        <v>1</v>
      </c>
      <c r="R116" t="s">
        <v>1</v>
      </c>
      <c r="S116" t="s">
        <v>1</v>
      </c>
      <c r="T116" t="s">
        <v>1</v>
      </c>
      <c r="U116" t="s">
        <v>1</v>
      </c>
      <c r="V116" t="s">
        <v>1</v>
      </c>
      <c r="W116" t="s">
        <v>1</v>
      </c>
      <c r="X116" t="s">
        <v>1</v>
      </c>
      <c r="Y116" t="s">
        <v>1</v>
      </c>
      <c r="Z116" t="s">
        <v>1</v>
      </c>
      <c r="AA116">
        <v>0</v>
      </c>
      <c r="AB116" t="s">
        <v>978</v>
      </c>
      <c r="AC116" t="s">
        <v>979</v>
      </c>
      <c r="AD116" t="s">
        <v>980</v>
      </c>
      <c r="AE116">
        <v>0</v>
      </c>
      <c r="AF116" t="s">
        <v>1</v>
      </c>
      <c r="AG116" t="s">
        <v>1</v>
      </c>
      <c r="AH116" t="s">
        <v>981</v>
      </c>
      <c r="AI116" t="s">
        <v>982</v>
      </c>
      <c r="AJ116" t="s">
        <v>1</v>
      </c>
      <c r="AK116">
        <v>9931373996</v>
      </c>
      <c r="AL116" t="s">
        <v>983</v>
      </c>
      <c r="AM116" t="s">
        <v>984</v>
      </c>
      <c r="AN116">
        <v>0</v>
      </c>
      <c r="AO116" t="s">
        <v>981</v>
      </c>
      <c r="AP116" t="s">
        <v>1</v>
      </c>
      <c r="AQ116">
        <v>2</v>
      </c>
      <c r="AR116">
        <v>0</v>
      </c>
      <c r="AS116">
        <v>0</v>
      </c>
      <c r="AT116" t="s">
        <v>1</v>
      </c>
      <c r="AU116" t="s">
        <v>1</v>
      </c>
      <c r="AV116" t="s">
        <v>1</v>
      </c>
      <c r="AW116">
        <v>0</v>
      </c>
      <c r="AX116">
        <v>4200</v>
      </c>
      <c r="AY116">
        <v>8700</v>
      </c>
      <c r="AZ116">
        <v>0</v>
      </c>
      <c r="BA116">
        <v>0</v>
      </c>
      <c r="BB116" t="s">
        <v>1</v>
      </c>
      <c r="BC116" t="s">
        <v>862</v>
      </c>
      <c r="BD116" t="s">
        <v>863</v>
      </c>
      <c r="BE116" t="s">
        <v>1</v>
      </c>
      <c r="BF116" t="s">
        <v>1</v>
      </c>
      <c r="BG116" t="s">
        <v>1</v>
      </c>
      <c r="BH116">
        <v>0</v>
      </c>
      <c r="BI116">
        <v>0</v>
      </c>
      <c r="BJ116" t="s">
        <v>722</v>
      </c>
      <c r="BK116" t="s">
        <v>1</v>
      </c>
      <c r="BL116">
        <v>1</v>
      </c>
      <c r="BM116">
        <v>0</v>
      </c>
      <c r="BN116">
        <v>12900</v>
      </c>
      <c r="BO116">
        <v>0</v>
      </c>
      <c r="BP116">
        <v>0</v>
      </c>
      <c r="BQ116">
        <v>0</v>
      </c>
      <c r="BR116" t="s">
        <v>1</v>
      </c>
      <c r="BS116" t="s">
        <v>1</v>
      </c>
      <c r="BT116" t="s">
        <v>1</v>
      </c>
      <c r="BU116" t="s">
        <v>1</v>
      </c>
      <c r="BV116" t="s">
        <v>1</v>
      </c>
      <c r="BW116" t="s">
        <v>360</v>
      </c>
      <c r="BX116" t="s">
        <v>1</v>
      </c>
      <c r="BY116">
        <v>0</v>
      </c>
      <c r="BZ116">
        <v>0</v>
      </c>
      <c r="CA116">
        <v>0</v>
      </c>
      <c r="CB116">
        <v>0</v>
      </c>
      <c r="CD116" t="str" cm="1">
        <f t="array" aca="1" ref="CD116" ca="1">eConcatenar(A116:CB116,"|")</f>
        <v>4zUctCEXvAgGpwy7|VSA2020-0520|3|ECONOLINE|TABASCO|VILLAHERMOSA |VILLAHERMOSA |2020-08-09|12900|X|X|400|2|0|X|X|X|X|X|X|X|X|X|X|X|X|0|ALEJANDRO |CHABLE|MARCELA PATRICIA|0|X|X|CALLE PRINCIPAL|ANACLETO CANABAL PRIMERA SECCCION|X|9931373996|MARCELA PATRICIA CHABLE ALEJANDRO|CARLOTA ROMERO RODRIGUEZ|0|CALLE PRINCIPAL|X|2|0|0|X|X|X|0|4200|8700|0|0|X|2021-03-11|2021-03-12|X|X|X|0|0|S35D6D3Y9KVTQ1|X|1|0|12900|0|0|0|X|X|X|X|X|VILLAHERMOSA |X|0|0|0|0</v>
      </c>
    </row>
    <row r="117" spans="1:82" x14ac:dyDescent="0.25">
      <c r="A117" t="s">
        <v>985</v>
      </c>
      <c r="B117" t="s">
        <v>986</v>
      </c>
      <c r="C117">
        <v>3</v>
      </c>
      <c r="D117" t="s">
        <v>891</v>
      </c>
      <c r="E117" t="s">
        <v>359</v>
      </c>
      <c r="F117" t="s">
        <v>360</v>
      </c>
      <c r="G117" t="s">
        <v>360</v>
      </c>
      <c r="H117" t="s">
        <v>393</v>
      </c>
      <c r="I117">
        <v>12900</v>
      </c>
      <c r="J117" t="s">
        <v>1</v>
      </c>
      <c r="K117" t="s">
        <v>1</v>
      </c>
      <c r="L117">
        <v>100</v>
      </c>
      <c r="M117">
        <v>0</v>
      </c>
      <c r="N117">
        <v>0</v>
      </c>
      <c r="O117" t="s">
        <v>1</v>
      </c>
      <c r="P117" t="s">
        <v>1</v>
      </c>
      <c r="Q117" t="s">
        <v>1</v>
      </c>
      <c r="R117" t="s">
        <v>1</v>
      </c>
      <c r="S117" t="s">
        <v>1</v>
      </c>
      <c r="T117" t="s">
        <v>1</v>
      </c>
      <c r="U117" t="s">
        <v>1</v>
      </c>
      <c r="V117" t="s">
        <v>1</v>
      </c>
      <c r="W117" t="s">
        <v>1</v>
      </c>
      <c r="X117" t="s">
        <v>1</v>
      </c>
      <c r="Y117" t="s">
        <v>1</v>
      </c>
      <c r="Z117" t="s">
        <v>1</v>
      </c>
      <c r="AA117">
        <v>0</v>
      </c>
      <c r="AB117" t="s">
        <v>922</v>
      </c>
      <c r="AC117" t="s">
        <v>182</v>
      </c>
      <c r="AD117" t="s">
        <v>987</v>
      </c>
      <c r="AE117">
        <v>0</v>
      </c>
      <c r="AF117" t="s">
        <v>1</v>
      </c>
      <c r="AG117" t="s">
        <v>1</v>
      </c>
      <c r="AH117" t="s">
        <v>988</v>
      </c>
      <c r="AI117" t="s">
        <v>803</v>
      </c>
      <c r="AJ117" t="s">
        <v>1</v>
      </c>
      <c r="AK117">
        <v>9932328765</v>
      </c>
      <c r="AL117" t="s">
        <v>989</v>
      </c>
      <c r="AM117" t="s">
        <v>990</v>
      </c>
      <c r="AN117">
        <v>0</v>
      </c>
      <c r="AO117" t="s">
        <v>988</v>
      </c>
      <c r="AP117" t="s">
        <v>1</v>
      </c>
      <c r="AQ117">
        <v>2</v>
      </c>
      <c r="AR117">
        <v>0</v>
      </c>
      <c r="AS117">
        <v>0</v>
      </c>
      <c r="AT117" t="s">
        <v>1</v>
      </c>
      <c r="AU117" t="s">
        <v>1</v>
      </c>
      <c r="AV117" t="s">
        <v>1</v>
      </c>
      <c r="AW117">
        <v>0</v>
      </c>
      <c r="AX117">
        <v>4050</v>
      </c>
      <c r="AY117">
        <v>8850</v>
      </c>
      <c r="AZ117">
        <v>0</v>
      </c>
      <c r="BA117">
        <v>0</v>
      </c>
      <c r="BB117" t="s">
        <v>1</v>
      </c>
      <c r="BC117" t="s">
        <v>377</v>
      </c>
      <c r="BD117" t="s">
        <v>758</v>
      </c>
      <c r="BE117" t="s">
        <v>1</v>
      </c>
      <c r="BF117" t="s">
        <v>1</v>
      </c>
      <c r="BG117" t="s">
        <v>1</v>
      </c>
      <c r="BH117">
        <v>0</v>
      </c>
      <c r="BI117">
        <v>0</v>
      </c>
      <c r="BJ117" t="s">
        <v>722</v>
      </c>
      <c r="BK117" t="s">
        <v>1</v>
      </c>
      <c r="BL117">
        <v>0</v>
      </c>
      <c r="BM117">
        <v>0</v>
      </c>
      <c r="BN117">
        <v>12900</v>
      </c>
      <c r="BO117">
        <v>0</v>
      </c>
      <c r="BP117">
        <v>0</v>
      </c>
      <c r="BQ117">
        <v>0</v>
      </c>
      <c r="BR117" t="s">
        <v>1</v>
      </c>
      <c r="BS117" t="s">
        <v>1</v>
      </c>
      <c r="BT117" t="s">
        <v>1</v>
      </c>
      <c r="BU117" t="s">
        <v>1</v>
      </c>
      <c r="BV117" t="s">
        <v>1</v>
      </c>
      <c r="BW117" t="s">
        <v>360</v>
      </c>
      <c r="BX117" t="s">
        <v>1</v>
      </c>
      <c r="BY117">
        <v>0</v>
      </c>
      <c r="BZ117">
        <v>0</v>
      </c>
      <c r="CA117">
        <v>0</v>
      </c>
      <c r="CB117">
        <v>0</v>
      </c>
      <c r="CD117" t="str" cm="1">
        <f t="array" aca="1" ref="CD117" ca="1">eConcatenar(A117:CB117,"|")</f>
        <v>5EEuHICWeDjGPTSC|VSA2020-0522|3|ECONOLINE|TABASCO|VILLAHERMOSA |VILLAHERMOSA |2020-08-09|12900|X|X|100|0|0|X|X|X|X|X|X|X|X|X|X|X|X|0|CUPIL|MAGAÃ‘A|PABLO|0|X|X|ENTRADA A CAMPO CARRIZO|RANCHERIA LAZARO CARDENAS SEGUNDA SECCION|X|9932328765|SEBASTIAN LEYVA DE LOS SANTOS |PAULA CUPIL DE LOS SANTOS |0|ENTRADA A CAMPO CARRIZO|X|2|0|0|X|X|X|0|4050|8850|0|0|X|2021-07-12|2021-12-15|X|X|X|0|0|S35D6D3Y9KVTQ1|X|0|0|12900|0|0|0|X|X|X|X|X|VILLAHERMOSA |X|0|0|0|0</v>
      </c>
    </row>
    <row r="118" spans="1:82" x14ac:dyDescent="0.25">
      <c r="A118" t="s">
        <v>991</v>
      </c>
      <c r="B118" t="s">
        <v>992</v>
      </c>
      <c r="C118">
        <v>3</v>
      </c>
      <c r="D118" t="s">
        <v>891</v>
      </c>
      <c r="E118" t="s">
        <v>359</v>
      </c>
      <c r="F118" t="s">
        <v>360</v>
      </c>
      <c r="G118" t="s">
        <v>360</v>
      </c>
      <c r="H118" t="s">
        <v>393</v>
      </c>
      <c r="I118">
        <v>12900</v>
      </c>
      <c r="J118" t="s">
        <v>1</v>
      </c>
      <c r="K118" t="s">
        <v>1</v>
      </c>
      <c r="L118">
        <v>200</v>
      </c>
      <c r="M118">
        <v>1</v>
      </c>
      <c r="N118">
        <v>0</v>
      </c>
      <c r="O118" t="s">
        <v>1</v>
      </c>
      <c r="P118" t="s">
        <v>1</v>
      </c>
      <c r="Q118" t="s">
        <v>1</v>
      </c>
      <c r="R118" t="s">
        <v>1</v>
      </c>
      <c r="S118" t="s">
        <v>1</v>
      </c>
      <c r="T118" t="s">
        <v>1</v>
      </c>
      <c r="U118" t="s">
        <v>1</v>
      </c>
      <c r="V118" t="s">
        <v>1</v>
      </c>
      <c r="W118" t="s">
        <v>1</v>
      </c>
      <c r="X118" t="s">
        <v>1</v>
      </c>
      <c r="Y118" t="s">
        <v>1</v>
      </c>
      <c r="Z118" t="s">
        <v>1</v>
      </c>
      <c r="AA118">
        <v>0</v>
      </c>
      <c r="AB118" t="s">
        <v>7</v>
      </c>
      <c r="AC118" t="s">
        <v>993</v>
      </c>
      <c r="AD118" t="s">
        <v>763</v>
      </c>
      <c r="AE118">
        <v>0</v>
      </c>
      <c r="AF118" t="s">
        <v>1</v>
      </c>
      <c r="AG118" t="s">
        <v>1</v>
      </c>
      <c r="AH118" t="s">
        <v>755</v>
      </c>
      <c r="AI118" t="s">
        <v>994</v>
      </c>
      <c r="AJ118" t="s">
        <v>1</v>
      </c>
      <c r="AK118">
        <v>9934562727</v>
      </c>
      <c r="AL118" t="s">
        <v>995</v>
      </c>
      <c r="AM118" t="s">
        <v>996</v>
      </c>
      <c r="AN118">
        <v>0</v>
      </c>
      <c r="AO118" t="s">
        <v>755</v>
      </c>
      <c r="AP118" t="s">
        <v>1</v>
      </c>
      <c r="AQ118">
        <v>2</v>
      </c>
      <c r="AR118">
        <v>0</v>
      </c>
      <c r="AS118">
        <v>0</v>
      </c>
      <c r="AT118" t="s">
        <v>1</v>
      </c>
      <c r="AU118" t="s">
        <v>1</v>
      </c>
      <c r="AV118" t="s">
        <v>1</v>
      </c>
      <c r="AW118">
        <v>0</v>
      </c>
      <c r="AX118">
        <v>3000</v>
      </c>
      <c r="AY118">
        <v>9900</v>
      </c>
      <c r="AZ118">
        <v>0</v>
      </c>
      <c r="BA118">
        <v>0</v>
      </c>
      <c r="BB118" t="s">
        <v>1</v>
      </c>
      <c r="BC118" t="s">
        <v>737</v>
      </c>
      <c r="BD118" t="s">
        <v>738</v>
      </c>
      <c r="BE118" t="s">
        <v>1</v>
      </c>
      <c r="BF118" t="s">
        <v>1</v>
      </c>
      <c r="BG118" t="s">
        <v>1</v>
      </c>
      <c r="BH118">
        <v>0</v>
      </c>
      <c r="BI118">
        <v>0</v>
      </c>
      <c r="BJ118" t="s">
        <v>722</v>
      </c>
      <c r="BK118" t="s">
        <v>1</v>
      </c>
      <c r="BL118">
        <v>1</v>
      </c>
      <c r="BM118">
        <v>0</v>
      </c>
      <c r="BN118">
        <v>12900</v>
      </c>
      <c r="BO118">
        <v>0</v>
      </c>
      <c r="BP118">
        <v>0</v>
      </c>
      <c r="BQ118">
        <v>0</v>
      </c>
      <c r="BR118" t="s">
        <v>1</v>
      </c>
      <c r="BS118" t="s">
        <v>1</v>
      </c>
      <c r="BT118" t="s">
        <v>1</v>
      </c>
      <c r="BU118" t="s">
        <v>1</v>
      </c>
      <c r="BV118" t="s">
        <v>1</v>
      </c>
      <c r="BW118" t="s">
        <v>360</v>
      </c>
      <c r="BX118" t="s">
        <v>1</v>
      </c>
      <c r="BY118">
        <v>0</v>
      </c>
      <c r="BZ118">
        <v>0</v>
      </c>
      <c r="CA118">
        <v>0</v>
      </c>
      <c r="CB118">
        <v>0</v>
      </c>
      <c r="CD118" t="str" cm="1">
        <f t="array" aca="1" ref="CD118" ca="1">eConcatenar(A118:CB118,"|")</f>
        <v>pOr1uwGZP1nIZ1it|VSA2020-0523|3|ECONOLINE|TABASCO|VILLAHERMOSA |VILLAHERMOSA |2020-08-09|12900|X|X|200|1|0|X|X|X|X|X|X|X|X|X|X|X|X|0|LOPEZ|CONTRERAS|CONCEPCION|0|X|X|CALLE PRINCIPAL SIN NUMERO|RANCHERIA LAZARO CARDENAS PRIMERA SECCION |X|9934562727|BARTOLA DEL CARMEN LOPEZ CONTRERAS|ALEJANDRA DEL CARMEN SANCHEZ LOPEZ |0|CALLE PRINCIPAL SIN NUMERO|X|2|0|0|X|X|X|0|3000|9900|0|0|X|2021-08-12|2022-08-01|X|X|X|0|0|S35D6D3Y9KVTQ1|X|1|0|12900|0|0|0|X|X|X|X|X|VILLAHERMOSA |X|0|0|0|0</v>
      </c>
    </row>
    <row r="119" spans="1:82" x14ac:dyDescent="0.25">
      <c r="A119" t="s">
        <v>997</v>
      </c>
      <c r="B119" t="s">
        <v>998</v>
      </c>
      <c r="C119">
        <v>3</v>
      </c>
      <c r="D119" t="s">
        <v>891</v>
      </c>
      <c r="E119" t="s">
        <v>359</v>
      </c>
      <c r="F119" t="s">
        <v>360</v>
      </c>
      <c r="G119" t="s">
        <v>360</v>
      </c>
      <c r="H119" t="s">
        <v>999</v>
      </c>
      <c r="I119">
        <v>12900</v>
      </c>
      <c r="J119" t="s">
        <v>1</v>
      </c>
      <c r="K119" t="s">
        <v>1</v>
      </c>
      <c r="L119">
        <v>200</v>
      </c>
      <c r="M119">
        <v>1</v>
      </c>
      <c r="N119">
        <v>0</v>
      </c>
      <c r="O119" t="s">
        <v>1</v>
      </c>
      <c r="P119" t="s">
        <v>1</v>
      </c>
      <c r="Q119" t="s">
        <v>1</v>
      </c>
      <c r="R119" t="s">
        <v>1</v>
      </c>
      <c r="S119" t="s">
        <v>1</v>
      </c>
      <c r="T119" t="s">
        <v>1</v>
      </c>
      <c r="U119" t="s">
        <v>1</v>
      </c>
      <c r="V119" t="s">
        <v>1</v>
      </c>
      <c r="W119" t="s">
        <v>1</v>
      </c>
      <c r="X119" t="s">
        <v>1</v>
      </c>
      <c r="Y119" t="s">
        <v>1</v>
      </c>
      <c r="Z119" t="s">
        <v>1</v>
      </c>
      <c r="AA119">
        <v>0</v>
      </c>
      <c r="AB119" t="s">
        <v>1000</v>
      </c>
      <c r="AC119" t="s">
        <v>726</v>
      </c>
      <c r="AD119" t="s">
        <v>503</v>
      </c>
      <c r="AE119">
        <v>0</v>
      </c>
      <c r="AF119" t="s">
        <v>1</v>
      </c>
      <c r="AG119" t="s">
        <v>1</v>
      </c>
      <c r="AH119" t="s">
        <v>545</v>
      </c>
      <c r="AI119" t="s">
        <v>728</v>
      </c>
      <c r="AJ119" t="s">
        <v>1</v>
      </c>
      <c r="AK119">
        <v>9933704643</v>
      </c>
      <c r="AL119" t="s">
        <v>1001</v>
      </c>
      <c r="AM119" t="s">
        <v>1002</v>
      </c>
      <c r="AN119">
        <v>0</v>
      </c>
      <c r="AO119" t="s">
        <v>545</v>
      </c>
      <c r="AP119" t="s">
        <v>1</v>
      </c>
      <c r="AQ119">
        <v>2</v>
      </c>
      <c r="AR119">
        <v>0</v>
      </c>
      <c r="AS119">
        <v>0</v>
      </c>
      <c r="AT119" t="s">
        <v>1</v>
      </c>
      <c r="AU119" t="s">
        <v>1</v>
      </c>
      <c r="AV119" t="s">
        <v>1</v>
      </c>
      <c r="AW119">
        <v>0</v>
      </c>
      <c r="AX119">
        <v>3300</v>
      </c>
      <c r="AY119">
        <v>9600</v>
      </c>
      <c r="AZ119">
        <v>0</v>
      </c>
      <c r="BA119">
        <v>0</v>
      </c>
      <c r="BB119" t="s">
        <v>1</v>
      </c>
      <c r="BC119" t="s">
        <v>1003</v>
      </c>
      <c r="BD119" t="s">
        <v>1004</v>
      </c>
      <c r="BE119" t="s">
        <v>1</v>
      </c>
      <c r="BF119" t="s">
        <v>1</v>
      </c>
      <c r="BG119" t="s">
        <v>1</v>
      </c>
      <c r="BH119">
        <v>0</v>
      </c>
      <c r="BI119">
        <v>0</v>
      </c>
      <c r="BJ119" t="s">
        <v>722</v>
      </c>
      <c r="BK119" t="s">
        <v>1</v>
      </c>
      <c r="BL119">
        <v>0</v>
      </c>
      <c r="BM119">
        <v>0</v>
      </c>
      <c r="BN119">
        <v>12900</v>
      </c>
      <c r="BO119">
        <v>0</v>
      </c>
      <c r="BP119">
        <v>0</v>
      </c>
      <c r="BQ119">
        <v>0</v>
      </c>
      <c r="BR119" t="s">
        <v>1</v>
      </c>
      <c r="BS119" t="s">
        <v>1</v>
      </c>
      <c r="BT119" t="s">
        <v>1</v>
      </c>
      <c r="BU119" t="s">
        <v>1</v>
      </c>
      <c r="BV119" t="s">
        <v>1</v>
      </c>
      <c r="BW119" t="s">
        <v>360</v>
      </c>
      <c r="BX119" t="s">
        <v>1</v>
      </c>
      <c r="BY119">
        <v>0</v>
      </c>
      <c r="BZ119">
        <v>0</v>
      </c>
      <c r="CA119">
        <v>0</v>
      </c>
      <c r="CB119">
        <v>0</v>
      </c>
      <c r="CD119" t="str" cm="1">
        <f t="array" aca="1" ref="CD119" ca="1">eConcatenar(A119:CB119,"|")</f>
        <v>AXJPwY5RUpN6AfFz|VSA2020-0540|3|ECONOLINE|TABASCO|VILLAHERMOSA |VILLAHERMOSA |2020-09-09|12900|X|X|200|1|0|X|X|X|X|X|X|X|X|X|X|X|X|0|CAMACHO|CRUZ|JESUS|0|X|X|CARRETERA PRINCIPAL SIN NUMERO |RANCHERIA ANACLETO CANABAL SEGUNDA SECCION |X|9933704643|ELISABTH SANCHEZ LANDERO|ISABEL CAMACHO SANCHEZ |0|CARRETERA PRINCIPAL SIN NUMERO |X|2|0|0|X|X|X|0|3300|9600|0|0|X|2021-01-09|2021-05-10|X|X|X|0|0|S35D6D3Y9KVTQ1|X|0|0|12900|0|0|0|X|X|X|X|X|VILLAHERMOSA |X|0|0|0|0</v>
      </c>
    </row>
    <row r="120" spans="1:82" x14ac:dyDescent="0.25">
      <c r="A120" t="s">
        <v>1005</v>
      </c>
      <c r="B120" t="s">
        <v>1006</v>
      </c>
      <c r="C120">
        <v>3</v>
      </c>
      <c r="D120" t="s">
        <v>891</v>
      </c>
      <c r="E120" t="s">
        <v>359</v>
      </c>
      <c r="F120" t="s">
        <v>360</v>
      </c>
      <c r="G120" t="s">
        <v>360</v>
      </c>
      <c r="H120" t="s">
        <v>1007</v>
      </c>
      <c r="I120">
        <v>12900</v>
      </c>
      <c r="J120" t="s">
        <v>1</v>
      </c>
      <c r="K120" t="s">
        <v>1</v>
      </c>
      <c r="L120">
        <v>100</v>
      </c>
      <c r="M120">
        <v>0</v>
      </c>
      <c r="N120">
        <v>0</v>
      </c>
      <c r="O120" t="s">
        <v>1</v>
      </c>
      <c r="P120" t="s">
        <v>1</v>
      </c>
      <c r="Q120" t="s">
        <v>1</v>
      </c>
      <c r="R120" t="s">
        <v>1</v>
      </c>
      <c r="S120" t="s">
        <v>1</v>
      </c>
      <c r="T120" t="s">
        <v>1</v>
      </c>
      <c r="U120" t="s">
        <v>1</v>
      </c>
      <c r="V120" t="s">
        <v>1</v>
      </c>
      <c r="W120" t="s">
        <v>1</v>
      </c>
      <c r="X120" t="s">
        <v>1</v>
      </c>
      <c r="Y120" t="s">
        <v>1</v>
      </c>
      <c r="Z120" t="s">
        <v>1</v>
      </c>
      <c r="AA120">
        <v>0</v>
      </c>
      <c r="AB120" t="s">
        <v>1008</v>
      </c>
      <c r="AC120" t="s">
        <v>1009</v>
      </c>
      <c r="AD120" t="s">
        <v>1010</v>
      </c>
      <c r="AE120">
        <v>0</v>
      </c>
      <c r="AF120" t="s">
        <v>1</v>
      </c>
      <c r="AG120" t="s">
        <v>1</v>
      </c>
      <c r="AH120" t="s">
        <v>1011</v>
      </c>
      <c r="AI120" t="s">
        <v>728</v>
      </c>
      <c r="AJ120" t="s">
        <v>1</v>
      </c>
      <c r="AK120">
        <v>9934033395</v>
      </c>
      <c r="AL120" t="s">
        <v>1012</v>
      </c>
      <c r="AM120" t="s">
        <v>1013</v>
      </c>
      <c r="AN120">
        <v>0</v>
      </c>
      <c r="AO120" t="s">
        <v>1011</v>
      </c>
      <c r="AP120" t="s">
        <v>1</v>
      </c>
      <c r="AQ120">
        <v>2</v>
      </c>
      <c r="AR120">
        <v>0</v>
      </c>
      <c r="AS120">
        <v>0</v>
      </c>
      <c r="AT120" t="s">
        <v>1</v>
      </c>
      <c r="AU120" t="s">
        <v>1</v>
      </c>
      <c r="AV120" t="s">
        <v>1</v>
      </c>
      <c r="AW120">
        <v>0</v>
      </c>
      <c r="AX120">
        <v>1300</v>
      </c>
      <c r="AY120">
        <v>11600</v>
      </c>
      <c r="AZ120">
        <v>0</v>
      </c>
      <c r="BA120">
        <v>0</v>
      </c>
      <c r="BB120" t="s">
        <v>1</v>
      </c>
      <c r="BC120" t="s">
        <v>1014</v>
      </c>
      <c r="BD120" t="s">
        <v>1015</v>
      </c>
      <c r="BE120" t="s">
        <v>1</v>
      </c>
      <c r="BF120" t="s">
        <v>1</v>
      </c>
      <c r="BG120" t="s">
        <v>1</v>
      </c>
      <c r="BH120">
        <v>0</v>
      </c>
      <c r="BI120">
        <v>0</v>
      </c>
      <c r="BJ120" t="s">
        <v>722</v>
      </c>
      <c r="BK120" t="s">
        <v>1</v>
      </c>
      <c r="BL120">
        <v>1</v>
      </c>
      <c r="BM120">
        <v>0</v>
      </c>
      <c r="BN120">
        <v>12900</v>
      </c>
      <c r="BO120">
        <v>0</v>
      </c>
      <c r="BP120">
        <v>0</v>
      </c>
      <c r="BQ120">
        <v>0</v>
      </c>
      <c r="BR120" t="s">
        <v>1</v>
      </c>
      <c r="BS120" t="s">
        <v>1</v>
      </c>
      <c r="BT120" t="s">
        <v>1</v>
      </c>
      <c r="BU120" t="s">
        <v>1</v>
      </c>
      <c r="BV120" t="s">
        <v>1</v>
      </c>
      <c r="BW120" t="s">
        <v>360</v>
      </c>
      <c r="BX120" t="s">
        <v>1</v>
      </c>
      <c r="BY120">
        <v>0</v>
      </c>
      <c r="BZ120">
        <v>0</v>
      </c>
      <c r="CA120">
        <v>0</v>
      </c>
      <c r="CB120">
        <v>0</v>
      </c>
      <c r="CD120" t="str" cm="1">
        <f t="array" aca="1" ref="CD120" ca="1">eConcatenar(A120:CB120,"|")</f>
        <v>r1YmJc5LWy1BFqWp|VSA2020-0549|3|ECONOLINE|TABASCO|VILLAHERMOSA |VILLAHERMOSA |2020-10-09|12900|X|X|100|0|0|X|X|X|X|X|X|X|X|X|X|X|X|0|MAYO|PEÃ‘A|MAYRA JANET|0|X|X|CARRETERA PRINCIPAL 02|RANCHERIA ANACLETO CANABAL SEGUNDA SECCION |X|9934033395|AGUSTIN MARIO GALLEGOS CARRILLO|ANGEL MARIO GALLEGOS MAYO|0|CARRETERA PRINCIPAL 02|X|2|0|0|X|X|X|0|1300|11600|0|0|X|2021-06-16|2021-11-07|X|X|X|0|0|S35D6D3Y9KVTQ1|X|1|0|12900|0|0|0|X|X|X|X|X|VILLAHERMOSA |X|0|0|0|0</v>
      </c>
    </row>
    <row r="121" spans="1:82" x14ac:dyDescent="0.25">
      <c r="A121" t="s">
        <v>1016</v>
      </c>
      <c r="B121" t="s">
        <v>1017</v>
      </c>
      <c r="C121">
        <v>3</v>
      </c>
      <c r="D121" t="s">
        <v>1018</v>
      </c>
      <c r="E121" t="s">
        <v>359</v>
      </c>
      <c r="F121" t="s">
        <v>360</v>
      </c>
      <c r="G121" t="s">
        <v>360</v>
      </c>
      <c r="H121" t="s">
        <v>1019</v>
      </c>
      <c r="I121">
        <v>31800</v>
      </c>
      <c r="J121" t="s">
        <v>1</v>
      </c>
      <c r="K121" t="s">
        <v>1</v>
      </c>
      <c r="L121">
        <v>400</v>
      </c>
      <c r="M121">
        <v>2</v>
      </c>
      <c r="N121">
        <v>0</v>
      </c>
      <c r="O121" t="s">
        <v>1</v>
      </c>
      <c r="P121" t="s">
        <v>1</v>
      </c>
      <c r="Q121" t="s">
        <v>1</v>
      </c>
      <c r="R121" t="s">
        <v>1</v>
      </c>
      <c r="S121" t="s">
        <v>1</v>
      </c>
      <c r="T121" t="s">
        <v>1</v>
      </c>
      <c r="U121" t="s">
        <v>1</v>
      </c>
      <c r="V121" t="s">
        <v>1</v>
      </c>
      <c r="W121" t="s">
        <v>1</v>
      </c>
      <c r="X121" t="s">
        <v>1</v>
      </c>
      <c r="Y121" t="s">
        <v>1</v>
      </c>
      <c r="Z121" t="s">
        <v>1</v>
      </c>
      <c r="AA121">
        <v>0</v>
      </c>
      <c r="AB121" t="s">
        <v>856</v>
      </c>
      <c r="AC121" t="s">
        <v>1020</v>
      </c>
      <c r="AD121" t="s">
        <v>1021</v>
      </c>
      <c r="AE121">
        <v>0</v>
      </c>
      <c r="AF121" t="s">
        <v>1</v>
      </c>
      <c r="AG121" t="s">
        <v>1</v>
      </c>
      <c r="AH121" t="s">
        <v>1022</v>
      </c>
      <c r="AI121" t="s">
        <v>1023</v>
      </c>
      <c r="AJ121" t="s">
        <v>1</v>
      </c>
      <c r="AK121">
        <v>9933205601</v>
      </c>
      <c r="AL121" t="s">
        <v>1024</v>
      </c>
      <c r="AM121" t="s">
        <v>1025</v>
      </c>
      <c r="AN121">
        <v>0</v>
      </c>
      <c r="AO121" t="s">
        <v>1022</v>
      </c>
      <c r="AP121" t="s">
        <v>1</v>
      </c>
      <c r="AQ121">
        <v>2</v>
      </c>
      <c r="AR121">
        <v>0</v>
      </c>
      <c r="AS121">
        <v>0</v>
      </c>
      <c r="AT121" t="s">
        <v>1</v>
      </c>
      <c r="AU121" t="s">
        <v>1</v>
      </c>
      <c r="AV121" t="s">
        <v>1</v>
      </c>
      <c r="AW121">
        <v>0</v>
      </c>
      <c r="AX121">
        <v>6200</v>
      </c>
      <c r="AY121">
        <v>25600</v>
      </c>
      <c r="AZ121">
        <v>0</v>
      </c>
      <c r="BA121">
        <v>0</v>
      </c>
      <c r="BB121" t="s">
        <v>1</v>
      </c>
      <c r="BC121" t="s">
        <v>737</v>
      </c>
      <c r="BD121" t="s">
        <v>738</v>
      </c>
      <c r="BE121" t="s">
        <v>1</v>
      </c>
      <c r="BF121" t="s">
        <v>1</v>
      </c>
      <c r="BG121" t="s">
        <v>1</v>
      </c>
      <c r="BH121">
        <v>0</v>
      </c>
      <c r="BI121">
        <v>0</v>
      </c>
      <c r="BJ121" t="s">
        <v>722</v>
      </c>
      <c r="BK121" t="s">
        <v>1</v>
      </c>
      <c r="BL121">
        <v>1</v>
      </c>
      <c r="BM121">
        <v>0</v>
      </c>
      <c r="BN121">
        <v>31800</v>
      </c>
      <c r="BO121">
        <v>0</v>
      </c>
      <c r="BP121">
        <v>0</v>
      </c>
      <c r="BQ121">
        <v>0</v>
      </c>
      <c r="BR121" t="s">
        <v>1</v>
      </c>
      <c r="BS121" t="s">
        <v>1</v>
      </c>
      <c r="BT121" t="s">
        <v>1</v>
      </c>
      <c r="BU121" t="s">
        <v>1</v>
      </c>
      <c r="BV121" t="s">
        <v>1</v>
      </c>
      <c r="BW121" t="s">
        <v>360</v>
      </c>
      <c r="BX121" t="s">
        <v>1</v>
      </c>
      <c r="BY121">
        <v>0</v>
      </c>
      <c r="BZ121">
        <v>0</v>
      </c>
      <c r="CA121">
        <v>0</v>
      </c>
      <c r="CB121">
        <v>0</v>
      </c>
      <c r="CD121" t="str" cm="1">
        <f t="array" aca="1" ref="CD121" ca="1">eConcatenar(A121:CB121,"|")</f>
        <v>nrcXBNuta1uXCCcZ|VSA2020-0551|3|CREMACION|TABASCO|VILLAHERMOSA |VILLAHERMOSA |2020-11-09|31800|X|X|400|2|0|X|X|X|X|X|X|X|X|X|X|X|X|0|RIVERA|MAZA|ISABEL|0|X|X|CALLEJON EMIR CASTRO SIN NUMERO|RANCHERIA ANACLETO CANABAL PRIMERA SECCION.|X|9933205601|DAVID EDUARDO SANCHEZ RIVERA|FELIPE DE JESUS GARCIA MATA|0|CALLEJON EMIR CASTRO SIN NUMERO|X|2|0|0|X|X|X|0|6200|25600|0|0|X|2021-08-12|2022-08-01|X|X|X|0|0|S35D6D3Y9KVTQ1|X|1|0|31800|0|0|0|X|X|X|X|X|VILLAHERMOSA |X|0|0|0|0</v>
      </c>
    </row>
    <row r="122" spans="1:82" x14ac:dyDescent="0.25">
      <c r="A122" t="s">
        <v>1026</v>
      </c>
      <c r="B122" t="s">
        <v>1027</v>
      </c>
      <c r="C122">
        <v>3</v>
      </c>
      <c r="D122" t="s">
        <v>891</v>
      </c>
      <c r="E122" t="s">
        <v>359</v>
      </c>
      <c r="F122" t="s">
        <v>360</v>
      </c>
      <c r="G122" t="s">
        <v>360</v>
      </c>
      <c r="H122" t="s">
        <v>1028</v>
      </c>
      <c r="I122">
        <v>12900</v>
      </c>
      <c r="J122" t="s">
        <v>1</v>
      </c>
      <c r="K122" t="s">
        <v>1</v>
      </c>
      <c r="L122">
        <v>400</v>
      </c>
      <c r="M122">
        <v>2</v>
      </c>
      <c r="N122">
        <v>0</v>
      </c>
      <c r="O122" t="s">
        <v>1</v>
      </c>
      <c r="P122" t="s">
        <v>1</v>
      </c>
      <c r="Q122" t="s">
        <v>1</v>
      </c>
      <c r="R122" t="s">
        <v>1</v>
      </c>
      <c r="S122" t="s">
        <v>1</v>
      </c>
      <c r="T122" t="s">
        <v>1</v>
      </c>
      <c r="U122" t="s">
        <v>1</v>
      </c>
      <c r="V122" t="s">
        <v>1</v>
      </c>
      <c r="W122" t="s">
        <v>1</v>
      </c>
      <c r="X122" t="s">
        <v>1</v>
      </c>
      <c r="Y122" t="s">
        <v>1</v>
      </c>
      <c r="Z122" t="s">
        <v>1</v>
      </c>
      <c r="AA122">
        <v>0</v>
      </c>
      <c r="AB122" t="s">
        <v>830</v>
      </c>
      <c r="AC122" t="s">
        <v>1029</v>
      </c>
      <c r="AD122" t="s">
        <v>1030</v>
      </c>
      <c r="AE122">
        <v>0</v>
      </c>
      <c r="AF122" t="s">
        <v>1</v>
      </c>
      <c r="AG122" t="s">
        <v>1</v>
      </c>
      <c r="AH122" t="s">
        <v>1031</v>
      </c>
      <c r="AI122" t="s">
        <v>1032</v>
      </c>
      <c r="AJ122" t="s">
        <v>1</v>
      </c>
      <c r="AK122">
        <v>9932348300</v>
      </c>
      <c r="AL122" t="s">
        <v>1033</v>
      </c>
      <c r="AM122" t="s">
        <v>1034</v>
      </c>
      <c r="AN122">
        <v>0</v>
      </c>
      <c r="AO122" t="s">
        <v>1031</v>
      </c>
      <c r="AP122" t="s">
        <v>1</v>
      </c>
      <c r="AQ122">
        <v>2</v>
      </c>
      <c r="AR122">
        <v>0</v>
      </c>
      <c r="AS122">
        <v>0</v>
      </c>
      <c r="AT122" t="s">
        <v>1</v>
      </c>
      <c r="AU122" t="s">
        <v>1</v>
      </c>
      <c r="AV122" t="s">
        <v>1</v>
      </c>
      <c r="AW122">
        <v>0</v>
      </c>
      <c r="AX122">
        <v>5100</v>
      </c>
      <c r="AY122">
        <v>7800</v>
      </c>
      <c r="AZ122">
        <v>0</v>
      </c>
      <c r="BA122">
        <v>0</v>
      </c>
      <c r="BB122" t="s">
        <v>1</v>
      </c>
      <c r="BC122" t="s">
        <v>377</v>
      </c>
      <c r="BD122" t="s">
        <v>1035</v>
      </c>
      <c r="BE122" t="s">
        <v>1</v>
      </c>
      <c r="BF122" t="s">
        <v>1</v>
      </c>
      <c r="BG122" t="s">
        <v>1</v>
      </c>
      <c r="BH122">
        <v>0</v>
      </c>
      <c r="BI122">
        <v>0</v>
      </c>
      <c r="BJ122" t="s">
        <v>722</v>
      </c>
      <c r="BK122" t="s">
        <v>1</v>
      </c>
      <c r="BL122">
        <v>1</v>
      </c>
      <c r="BM122">
        <v>0</v>
      </c>
      <c r="BN122">
        <v>12900</v>
      </c>
      <c r="BO122">
        <v>0</v>
      </c>
      <c r="BP122">
        <v>0</v>
      </c>
      <c r="BQ122">
        <v>0</v>
      </c>
      <c r="BR122" t="s">
        <v>1</v>
      </c>
      <c r="BS122" t="s">
        <v>1</v>
      </c>
      <c r="BT122" t="s">
        <v>1</v>
      </c>
      <c r="BU122" t="s">
        <v>1</v>
      </c>
      <c r="BV122" t="s">
        <v>1</v>
      </c>
      <c r="BW122" t="s">
        <v>360</v>
      </c>
      <c r="BX122" t="s">
        <v>1</v>
      </c>
      <c r="BY122">
        <v>0</v>
      </c>
      <c r="BZ122">
        <v>0</v>
      </c>
      <c r="CA122">
        <v>0</v>
      </c>
      <c r="CB122">
        <v>0</v>
      </c>
      <c r="CD122" t="str" cm="1">
        <f t="array" aca="1" ref="CD122" ca="1">eConcatenar(A122:CB122,"|")</f>
        <v>zE3OqWsKKb47ryux|VSA2020-0598|3|ECONOLINE|TABASCO|VILLAHERMOSA |VILLAHERMOSA |2020-09-18|12900|X|X|400|2|0|X|X|X|X|X|X|X|X|X|X|X|X|0|BAUTISTA|LEON|CARMEN|0|X|X|SECTOR  PUNTA BRAVA SIN NUMERO |RANCHERIA GONZALEZ PRIMERA |X|9932348300|JORGE CERINO BAUTISTA|FRANCISCA CERINO BAUTISTA |0|SECTOR  PUNTA BRAVA SIN NUMERO |X|2|0|0|X|X|X|0|5100|7800|0|0|X|2021-07-12|2022-07-01|X|X|X|0|0|S35D6D3Y9KVTQ1|X|1|0|12900|0|0|0|X|X|X|X|X|VILLAHERMOSA |X|0|0|0|0</v>
      </c>
    </row>
    <row r="123" spans="1:82" x14ac:dyDescent="0.25">
      <c r="A123" t="s">
        <v>1036</v>
      </c>
      <c r="B123" t="s">
        <v>1037</v>
      </c>
      <c r="C123">
        <v>3</v>
      </c>
      <c r="D123" t="s">
        <v>891</v>
      </c>
      <c r="E123" t="s">
        <v>359</v>
      </c>
      <c r="F123" t="s">
        <v>360</v>
      </c>
      <c r="G123" t="s">
        <v>360</v>
      </c>
      <c r="H123" t="s">
        <v>1028</v>
      </c>
      <c r="I123">
        <v>12900</v>
      </c>
      <c r="J123" t="s">
        <v>1</v>
      </c>
      <c r="K123" t="s">
        <v>1</v>
      </c>
      <c r="L123">
        <v>400</v>
      </c>
      <c r="M123">
        <v>2</v>
      </c>
      <c r="N123">
        <v>0</v>
      </c>
      <c r="O123" t="s">
        <v>1</v>
      </c>
      <c r="P123" t="s">
        <v>1</v>
      </c>
      <c r="Q123" t="s">
        <v>1</v>
      </c>
      <c r="R123" t="s">
        <v>1</v>
      </c>
      <c r="S123" t="s">
        <v>1</v>
      </c>
      <c r="T123" t="s">
        <v>1</v>
      </c>
      <c r="U123" t="s">
        <v>1</v>
      </c>
      <c r="V123" t="s">
        <v>1</v>
      </c>
      <c r="W123" t="s">
        <v>1</v>
      </c>
      <c r="X123" t="s">
        <v>1</v>
      </c>
      <c r="Y123" t="s">
        <v>1</v>
      </c>
      <c r="Z123" t="s">
        <v>1</v>
      </c>
      <c r="AA123">
        <v>0</v>
      </c>
      <c r="AB123" t="s">
        <v>1029</v>
      </c>
      <c r="AC123" t="s">
        <v>1038</v>
      </c>
      <c r="AD123" t="s">
        <v>219</v>
      </c>
      <c r="AE123">
        <v>0</v>
      </c>
      <c r="AF123" t="s">
        <v>1</v>
      </c>
      <c r="AG123" t="s">
        <v>1</v>
      </c>
      <c r="AH123" t="s">
        <v>1039</v>
      </c>
      <c r="AI123" t="s">
        <v>1040</v>
      </c>
      <c r="AJ123" t="s">
        <v>1</v>
      </c>
      <c r="AK123">
        <v>9935170591</v>
      </c>
      <c r="AL123" t="s">
        <v>1033</v>
      </c>
      <c r="AM123" t="s">
        <v>1041</v>
      </c>
      <c r="AN123">
        <v>0</v>
      </c>
      <c r="AO123" t="s">
        <v>1039</v>
      </c>
      <c r="AP123" t="s">
        <v>1</v>
      </c>
      <c r="AQ123">
        <v>2</v>
      </c>
      <c r="AR123">
        <v>0</v>
      </c>
      <c r="AS123">
        <v>0</v>
      </c>
      <c r="AT123" t="s">
        <v>1</v>
      </c>
      <c r="AU123" t="s">
        <v>1</v>
      </c>
      <c r="AV123" t="s">
        <v>1</v>
      </c>
      <c r="AW123">
        <v>0</v>
      </c>
      <c r="AX123">
        <v>4600</v>
      </c>
      <c r="AY123">
        <v>8300</v>
      </c>
      <c r="AZ123">
        <v>0</v>
      </c>
      <c r="BA123">
        <v>0</v>
      </c>
      <c r="BB123" t="s">
        <v>1</v>
      </c>
      <c r="BC123" t="s">
        <v>377</v>
      </c>
      <c r="BD123" t="s">
        <v>1035</v>
      </c>
      <c r="BE123" t="s">
        <v>1</v>
      </c>
      <c r="BF123" t="s">
        <v>1</v>
      </c>
      <c r="BG123" t="s">
        <v>1</v>
      </c>
      <c r="BH123">
        <v>0</v>
      </c>
      <c r="BI123">
        <v>0</v>
      </c>
      <c r="BJ123" t="s">
        <v>722</v>
      </c>
      <c r="BK123" t="s">
        <v>1</v>
      </c>
      <c r="BL123">
        <v>1</v>
      </c>
      <c r="BM123">
        <v>0</v>
      </c>
      <c r="BN123">
        <v>12900</v>
      </c>
      <c r="BO123">
        <v>0</v>
      </c>
      <c r="BP123">
        <v>0</v>
      </c>
      <c r="BQ123">
        <v>0</v>
      </c>
      <c r="BR123" t="s">
        <v>1</v>
      </c>
      <c r="BS123" t="s">
        <v>1</v>
      </c>
      <c r="BT123" t="s">
        <v>1</v>
      </c>
      <c r="BU123" t="s">
        <v>1</v>
      </c>
      <c r="BV123" t="s">
        <v>1</v>
      </c>
      <c r="BW123" t="s">
        <v>360</v>
      </c>
      <c r="BX123" t="s">
        <v>1</v>
      </c>
      <c r="BY123">
        <v>0</v>
      </c>
      <c r="BZ123">
        <v>0</v>
      </c>
      <c r="CA123">
        <v>0</v>
      </c>
      <c r="CB123">
        <v>0</v>
      </c>
      <c r="CD123" t="str" cm="1">
        <f t="array" aca="1" ref="CD123" ca="1">eConcatenar(A123:CB123,"|")</f>
        <v>NUln5Y7BYGqPufLL|VSA2020-0599|3|ECONOLINE|TABASCO|VILLAHERMOSA |VILLAHERMOSA |2020-09-18|12900|X|X|400|2|0|X|X|X|X|X|X|X|X|X|X|X|X|0|LEON|LLERGO|MARIA DEL CARMEN|0|X|X|SECTOR PUNTA BRAVA SIN NUMERO |RANCHERIA GONZALEZ PRIMERA SECCION.|X|9935170591|JORGE CERINO BAUTISTA|ALFREDO BAUTISTA LEON|0|SECTOR PUNTA BRAVA SIN NUMERO |X|2|0|0|X|X|X|0|4600|8300|0|0|X|2021-07-12|2022-07-01|X|X|X|0|0|S35D6D3Y9KVTQ1|X|1|0|12900|0|0|0|X|X|X|X|X|VILLAHERMOSA |X|0|0|0|0</v>
      </c>
    </row>
    <row r="124" spans="1:82" x14ac:dyDescent="0.25">
      <c r="A124" t="s">
        <v>1042</v>
      </c>
      <c r="B124" t="s">
        <v>1043</v>
      </c>
      <c r="C124">
        <v>3</v>
      </c>
      <c r="D124" t="s">
        <v>891</v>
      </c>
      <c r="E124" t="s">
        <v>359</v>
      </c>
      <c r="F124" t="s">
        <v>360</v>
      </c>
      <c r="G124" t="s">
        <v>360</v>
      </c>
      <c r="H124" t="s">
        <v>1028</v>
      </c>
      <c r="I124">
        <v>12900</v>
      </c>
      <c r="J124" t="s">
        <v>1</v>
      </c>
      <c r="K124" t="s">
        <v>1</v>
      </c>
      <c r="L124">
        <v>200</v>
      </c>
      <c r="M124">
        <v>1</v>
      </c>
      <c r="N124">
        <v>0</v>
      </c>
      <c r="O124" t="s">
        <v>1</v>
      </c>
      <c r="P124" t="s">
        <v>1</v>
      </c>
      <c r="Q124" t="s">
        <v>1</v>
      </c>
      <c r="R124" t="s">
        <v>1</v>
      </c>
      <c r="S124" t="s">
        <v>1</v>
      </c>
      <c r="T124" t="s">
        <v>1</v>
      </c>
      <c r="U124" t="s">
        <v>1</v>
      </c>
      <c r="V124" t="s">
        <v>1</v>
      </c>
      <c r="W124" t="s">
        <v>1</v>
      </c>
      <c r="X124" t="s">
        <v>1</v>
      </c>
      <c r="Y124" t="s">
        <v>1</v>
      </c>
      <c r="Z124" t="s">
        <v>1</v>
      </c>
      <c r="AA124">
        <v>0</v>
      </c>
      <c r="AB124" t="s">
        <v>1044</v>
      </c>
      <c r="AC124" t="s">
        <v>217</v>
      </c>
      <c r="AD124" t="s">
        <v>709</v>
      </c>
      <c r="AE124">
        <v>0</v>
      </c>
      <c r="AF124" t="s">
        <v>1</v>
      </c>
      <c r="AG124" t="s">
        <v>1</v>
      </c>
      <c r="AH124" t="s">
        <v>1045</v>
      </c>
      <c r="AI124" t="s">
        <v>803</v>
      </c>
      <c r="AJ124" t="s">
        <v>1</v>
      </c>
      <c r="AK124">
        <v>9932280474</v>
      </c>
      <c r="AL124" t="s">
        <v>1046</v>
      </c>
      <c r="AM124" t="s">
        <v>1047</v>
      </c>
      <c r="AN124">
        <v>0</v>
      </c>
      <c r="AO124" t="s">
        <v>1045</v>
      </c>
      <c r="AP124" t="s">
        <v>1</v>
      </c>
      <c r="AQ124">
        <v>3</v>
      </c>
      <c r="AR124">
        <v>0</v>
      </c>
      <c r="AS124">
        <v>0</v>
      </c>
      <c r="AT124" t="s">
        <v>1</v>
      </c>
      <c r="AU124" t="s">
        <v>1</v>
      </c>
      <c r="AV124" t="s">
        <v>1</v>
      </c>
      <c r="AW124">
        <v>0</v>
      </c>
      <c r="AX124">
        <v>2180</v>
      </c>
      <c r="AY124">
        <v>10720</v>
      </c>
      <c r="AZ124">
        <v>0</v>
      </c>
      <c r="BA124">
        <v>0</v>
      </c>
      <c r="BB124" t="s">
        <v>1</v>
      </c>
      <c r="BC124" t="s">
        <v>748</v>
      </c>
      <c r="BD124" t="s">
        <v>758</v>
      </c>
      <c r="BE124" t="s">
        <v>1</v>
      </c>
      <c r="BF124" t="s">
        <v>1</v>
      </c>
      <c r="BG124" t="s">
        <v>1</v>
      </c>
      <c r="BH124">
        <v>0</v>
      </c>
      <c r="BI124">
        <v>0</v>
      </c>
      <c r="BJ124" t="s">
        <v>722</v>
      </c>
      <c r="BK124" t="s">
        <v>1</v>
      </c>
      <c r="BL124">
        <v>1</v>
      </c>
      <c r="BM124">
        <v>0</v>
      </c>
      <c r="BN124">
        <v>12900</v>
      </c>
      <c r="BO124">
        <v>0</v>
      </c>
      <c r="BP124">
        <v>0</v>
      </c>
      <c r="BQ124">
        <v>0</v>
      </c>
      <c r="BR124" t="s">
        <v>1</v>
      </c>
      <c r="BS124" t="s">
        <v>1</v>
      </c>
      <c r="BT124" t="s">
        <v>1</v>
      </c>
      <c r="BU124" t="s">
        <v>1</v>
      </c>
      <c r="BV124" t="s">
        <v>1</v>
      </c>
      <c r="BW124" t="s">
        <v>360</v>
      </c>
      <c r="BX124" t="s">
        <v>1</v>
      </c>
      <c r="BY124">
        <v>0</v>
      </c>
      <c r="BZ124">
        <v>0</v>
      </c>
      <c r="CA124">
        <v>0</v>
      </c>
      <c r="CB124">
        <v>0</v>
      </c>
      <c r="CD124" t="str" cm="1">
        <f t="array" aca="1" ref="CD124" ca="1">eConcatenar(A124:CB124,"|")</f>
        <v>nbhnFZVxK3Mn8ayh|VSA2020-0601|3|ECONOLINE|TABASCO|VILLAHERMOSA |VILLAHERMOSA |2020-09-18|12900|X|X|200|1|0|X|X|X|X|X|X|X|X|X|X|X|X|0|GERONIMO|HERNANDEZ|MARIA ELENA |0|X|X|CARRETERA VILLAHERMOSA A CARDENAS SIN NUMERO|RANCHERIA LAZARO CARDENAS SEGUNDA SECCION|X|9932280474|SHEYLA IVETH DE LA CRUZ GERONIMO|ISABEL DEL CARMEN DE LA CRUZ GERONIMO|0|CARRETERA VILLAHERMOSA A CARDENAS SIN NUMERO|X|3|0|0|X|X|X|0|2180|10720|0|0|X|2021-02-12|2021-12-15|X|X|X|0|0|S35D6D3Y9KVTQ1|X|1|0|12900|0|0|0|X|X|X|X|X|VILLAHERMOSA |X|0|0|0|0</v>
      </c>
    </row>
    <row r="125" spans="1:82" x14ac:dyDescent="0.25">
      <c r="A125" t="s">
        <v>1048</v>
      </c>
      <c r="B125" t="s">
        <v>1049</v>
      </c>
      <c r="C125">
        <v>3</v>
      </c>
      <c r="D125" t="s">
        <v>891</v>
      </c>
      <c r="E125" t="s">
        <v>359</v>
      </c>
      <c r="F125" t="s">
        <v>360</v>
      </c>
      <c r="G125" t="s">
        <v>360</v>
      </c>
      <c r="H125" t="s">
        <v>1028</v>
      </c>
      <c r="I125">
        <v>12900</v>
      </c>
      <c r="J125" t="s">
        <v>1</v>
      </c>
      <c r="K125" t="s">
        <v>1</v>
      </c>
      <c r="L125">
        <v>100</v>
      </c>
      <c r="M125">
        <v>0</v>
      </c>
      <c r="N125">
        <v>0</v>
      </c>
      <c r="O125" t="s">
        <v>1</v>
      </c>
      <c r="P125" t="s">
        <v>1</v>
      </c>
      <c r="Q125" t="s">
        <v>1</v>
      </c>
      <c r="R125" t="s">
        <v>1</v>
      </c>
      <c r="S125" t="s">
        <v>1</v>
      </c>
      <c r="T125" t="s">
        <v>1</v>
      </c>
      <c r="U125" t="s">
        <v>1</v>
      </c>
      <c r="V125" t="s">
        <v>1</v>
      </c>
      <c r="W125" t="s">
        <v>1</v>
      </c>
      <c r="X125" t="s">
        <v>1</v>
      </c>
      <c r="Y125" t="s">
        <v>1</v>
      </c>
      <c r="Z125" t="s">
        <v>1</v>
      </c>
      <c r="AA125">
        <v>0</v>
      </c>
      <c r="AB125" t="s">
        <v>743</v>
      </c>
      <c r="AC125" t="s">
        <v>7</v>
      </c>
      <c r="AD125" t="s">
        <v>1050</v>
      </c>
      <c r="AE125">
        <v>0</v>
      </c>
      <c r="AF125" t="s">
        <v>1</v>
      </c>
      <c r="AG125" t="s">
        <v>1</v>
      </c>
      <c r="AH125" t="s">
        <v>1051</v>
      </c>
      <c r="AI125" t="s">
        <v>728</v>
      </c>
      <c r="AJ125" t="s">
        <v>1</v>
      </c>
      <c r="AK125">
        <v>993442865</v>
      </c>
      <c r="AL125" t="s">
        <v>1052</v>
      </c>
      <c r="AM125" t="s">
        <v>1053</v>
      </c>
      <c r="AN125">
        <v>0</v>
      </c>
      <c r="AO125" t="s">
        <v>1051</v>
      </c>
      <c r="AP125" t="s">
        <v>1</v>
      </c>
      <c r="AQ125">
        <v>2</v>
      </c>
      <c r="AR125">
        <v>0</v>
      </c>
      <c r="AS125">
        <v>0</v>
      </c>
      <c r="AT125" t="s">
        <v>1</v>
      </c>
      <c r="AU125" t="s">
        <v>1</v>
      </c>
      <c r="AV125" t="s">
        <v>1</v>
      </c>
      <c r="AW125">
        <v>0</v>
      </c>
      <c r="AX125">
        <v>3400</v>
      </c>
      <c r="AY125">
        <v>9500</v>
      </c>
      <c r="AZ125">
        <v>0</v>
      </c>
      <c r="BA125">
        <v>0</v>
      </c>
      <c r="BB125" t="s">
        <v>1</v>
      </c>
      <c r="BC125" t="s">
        <v>377</v>
      </c>
      <c r="BD125" t="s">
        <v>917</v>
      </c>
      <c r="BE125" t="s">
        <v>1</v>
      </c>
      <c r="BF125" t="s">
        <v>1</v>
      </c>
      <c r="BG125" t="s">
        <v>1</v>
      </c>
      <c r="BH125">
        <v>0</v>
      </c>
      <c r="BI125">
        <v>0</v>
      </c>
      <c r="BJ125" t="s">
        <v>722</v>
      </c>
      <c r="BK125" t="s">
        <v>1</v>
      </c>
      <c r="BL125">
        <v>1</v>
      </c>
      <c r="BM125">
        <v>0</v>
      </c>
      <c r="BN125">
        <v>12900</v>
      </c>
      <c r="BO125">
        <v>0</v>
      </c>
      <c r="BP125">
        <v>0</v>
      </c>
      <c r="BQ125">
        <v>0</v>
      </c>
      <c r="BR125" t="s">
        <v>1</v>
      </c>
      <c r="BS125" t="s">
        <v>1</v>
      </c>
      <c r="BT125" t="s">
        <v>1</v>
      </c>
      <c r="BU125" t="s">
        <v>1</v>
      </c>
      <c r="BV125" t="s">
        <v>1</v>
      </c>
      <c r="BW125" t="s">
        <v>360</v>
      </c>
      <c r="BX125" t="s">
        <v>1</v>
      </c>
      <c r="BY125">
        <v>0</v>
      </c>
      <c r="BZ125">
        <v>0</v>
      </c>
      <c r="CA125">
        <v>0</v>
      </c>
      <c r="CB125">
        <v>0</v>
      </c>
      <c r="CD125" t="str" cm="1">
        <f t="array" aca="1" ref="CD125" ca="1">eConcatenar(A125:CB125,"|")</f>
        <v>OGV0GrCvWcii4zUc|VSA2020-0606|3|ECONOLINE|TABASCO|VILLAHERMOSA |VILLAHERMOSA |2020-09-18|12900|X|X|100|0|0|X|X|X|X|X|X|X|X|X|X|X|X|0|VIDAL|LOPEZ|DOMINGA|0|X|X|CALLE LUIS DONALDO COLOSIO SIN NUMERO |RANCHERIA ANACLETO CANABAL SEGUNDA SECCION |X|993442865|JOSE  CHABLE MENDOZA |MARIA DE LOS ANGELES CHABLE VIDAL|0|CALLE LUIS DONALDO COLOSIO SIN NUMERO |X|2|0|0|X|X|X|0|3400|9500|0|0|X|2021-07-12|2021-12-14|X|X|X|0|0|S35D6D3Y9KVTQ1|X|1|0|12900|0|0|0|X|X|X|X|X|VILLAHERMOSA |X|0|0|0|0</v>
      </c>
    </row>
    <row r="126" spans="1:82" x14ac:dyDescent="0.25">
      <c r="A126" t="s">
        <v>1054</v>
      </c>
      <c r="B126" t="s">
        <v>1055</v>
      </c>
      <c r="C126">
        <v>3</v>
      </c>
      <c r="D126" t="s">
        <v>891</v>
      </c>
      <c r="E126" t="s">
        <v>359</v>
      </c>
      <c r="F126" t="s">
        <v>360</v>
      </c>
      <c r="G126" t="s">
        <v>360</v>
      </c>
      <c r="H126" t="s">
        <v>1056</v>
      </c>
      <c r="I126">
        <v>12900</v>
      </c>
      <c r="J126" t="s">
        <v>1</v>
      </c>
      <c r="K126" t="s">
        <v>1</v>
      </c>
      <c r="L126">
        <v>400</v>
      </c>
      <c r="M126">
        <v>2</v>
      </c>
      <c r="N126">
        <v>0</v>
      </c>
      <c r="O126" t="s">
        <v>1</v>
      </c>
      <c r="P126" t="s">
        <v>1</v>
      </c>
      <c r="Q126" t="s">
        <v>1</v>
      </c>
      <c r="R126" t="s">
        <v>1</v>
      </c>
      <c r="S126" t="s">
        <v>1</v>
      </c>
      <c r="T126" t="s">
        <v>1</v>
      </c>
      <c r="U126" t="s">
        <v>1</v>
      </c>
      <c r="V126" t="s">
        <v>1</v>
      </c>
      <c r="W126" t="s">
        <v>1</v>
      </c>
      <c r="X126" t="s">
        <v>1</v>
      </c>
      <c r="Y126" t="s">
        <v>1</v>
      </c>
      <c r="Z126" t="s">
        <v>1</v>
      </c>
      <c r="AA126">
        <v>0</v>
      </c>
      <c r="AB126" t="s">
        <v>217</v>
      </c>
      <c r="AC126" t="s">
        <v>1057</v>
      </c>
      <c r="AD126" t="s">
        <v>923</v>
      </c>
      <c r="AE126">
        <v>0</v>
      </c>
      <c r="AF126" t="s">
        <v>1</v>
      </c>
      <c r="AG126" t="s">
        <v>1</v>
      </c>
      <c r="AH126" t="s">
        <v>1058</v>
      </c>
      <c r="AI126" t="s">
        <v>728</v>
      </c>
      <c r="AJ126" t="s">
        <v>1</v>
      </c>
      <c r="AK126">
        <v>9931959107</v>
      </c>
      <c r="AL126" t="s">
        <v>1059</v>
      </c>
      <c r="AM126" t="s">
        <v>1060</v>
      </c>
      <c r="AN126">
        <v>0</v>
      </c>
      <c r="AO126" t="s">
        <v>1058</v>
      </c>
      <c r="AP126" t="s">
        <v>1</v>
      </c>
      <c r="AQ126">
        <v>2</v>
      </c>
      <c r="AR126">
        <v>0</v>
      </c>
      <c r="AS126">
        <v>0</v>
      </c>
      <c r="AT126" t="s">
        <v>1</v>
      </c>
      <c r="AU126" t="s">
        <v>1</v>
      </c>
      <c r="AV126" t="s">
        <v>1</v>
      </c>
      <c r="AW126">
        <v>0</v>
      </c>
      <c r="AX126">
        <v>3500</v>
      </c>
      <c r="AY126">
        <v>9400</v>
      </c>
      <c r="AZ126">
        <v>0</v>
      </c>
      <c r="BA126">
        <v>0</v>
      </c>
      <c r="BB126" t="s">
        <v>1</v>
      </c>
      <c r="BC126" t="s">
        <v>907</v>
      </c>
      <c r="BD126" t="s">
        <v>1061</v>
      </c>
      <c r="BE126" t="s">
        <v>1</v>
      </c>
      <c r="BF126" t="s">
        <v>1</v>
      </c>
      <c r="BG126" t="s">
        <v>1</v>
      </c>
      <c r="BH126">
        <v>0</v>
      </c>
      <c r="BI126">
        <v>0</v>
      </c>
      <c r="BJ126" t="s">
        <v>722</v>
      </c>
      <c r="BK126" t="s">
        <v>1</v>
      </c>
      <c r="BL126">
        <v>1</v>
      </c>
      <c r="BM126">
        <v>0</v>
      </c>
      <c r="BN126">
        <v>12900</v>
      </c>
      <c r="BO126">
        <v>0</v>
      </c>
      <c r="BP126">
        <v>0</v>
      </c>
      <c r="BQ126">
        <v>0</v>
      </c>
      <c r="BR126" t="s">
        <v>1</v>
      </c>
      <c r="BS126" t="s">
        <v>1</v>
      </c>
      <c r="BT126" t="s">
        <v>1</v>
      </c>
      <c r="BU126" t="s">
        <v>1</v>
      </c>
      <c r="BV126" t="s">
        <v>1</v>
      </c>
      <c r="BW126" t="s">
        <v>360</v>
      </c>
      <c r="BX126" t="s">
        <v>1</v>
      </c>
      <c r="BY126">
        <v>0</v>
      </c>
      <c r="BZ126">
        <v>0</v>
      </c>
      <c r="CA126">
        <v>0</v>
      </c>
      <c r="CB126">
        <v>0</v>
      </c>
      <c r="CD126" t="str" cm="1">
        <f t="array" aca="1" ref="CD126" ca="1">eConcatenar(A126:CB126,"|")</f>
        <v>nT34A8XOGn0KU9ds|VSA2020-0611|3|ECONOLINE|TABASCO|VILLAHERMOSA |VILLAHERMOSA |2020-09-19|12900|X|X|400|2|0|X|X|X|X|X|X|X|X|X|X|X|X|0|HERNANDEZ|ESTEBAN|JUANA |0|X|X|CALLEJON  LAS MANDARINAS SIN NUMERO |RANCHERIA ANACLETO CANABAL SEGUNDA SECCION |X|9931959107|FRANCISCA JESUS HERNANDEZ ESTEBAN|MARIA DE LA CRUZ HERNANDEZ ESTEBAN|0|CALLEJON  LAS MANDARINAS SIN NUMERO |X|2|0|0|X|X|X|0|3500|9400|0|0|X|2021-06-10|2021-06-11|X|X|X|0|0|S35D6D3Y9KVTQ1|X|1|0|12900|0|0|0|X|X|X|X|X|VILLAHERMOSA |X|0|0|0|0</v>
      </c>
    </row>
    <row r="127" spans="1:82" x14ac:dyDescent="0.25">
      <c r="A127" t="s">
        <v>1062</v>
      </c>
      <c r="B127" t="s">
        <v>1063</v>
      </c>
      <c r="C127">
        <v>3</v>
      </c>
      <c r="D127" t="s">
        <v>715</v>
      </c>
      <c r="E127" t="s">
        <v>359</v>
      </c>
      <c r="F127" t="s">
        <v>360</v>
      </c>
      <c r="G127" t="s">
        <v>360</v>
      </c>
      <c r="H127" t="s">
        <v>1064</v>
      </c>
      <c r="I127">
        <v>12900</v>
      </c>
      <c r="J127" t="s">
        <v>1</v>
      </c>
      <c r="K127" t="s">
        <v>1</v>
      </c>
      <c r="L127">
        <v>400</v>
      </c>
      <c r="M127">
        <v>2</v>
      </c>
      <c r="N127">
        <v>0</v>
      </c>
      <c r="O127" t="s">
        <v>1</v>
      </c>
      <c r="P127" t="s">
        <v>1</v>
      </c>
      <c r="Q127" t="s">
        <v>1</v>
      </c>
      <c r="R127" t="s">
        <v>1</v>
      </c>
      <c r="S127" t="s">
        <v>1</v>
      </c>
      <c r="T127" t="s">
        <v>1</v>
      </c>
      <c r="U127" t="s">
        <v>1</v>
      </c>
      <c r="V127" t="s">
        <v>1</v>
      </c>
      <c r="W127" t="s">
        <v>1</v>
      </c>
      <c r="X127" t="s">
        <v>1</v>
      </c>
      <c r="Y127" t="s">
        <v>1</v>
      </c>
      <c r="Z127" t="s">
        <v>1</v>
      </c>
      <c r="AA127">
        <v>0</v>
      </c>
      <c r="AB127" t="s">
        <v>1065</v>
      </c>
      <c r="AC127" t="s">
        <v>7</v>
      </c>
      <c r="AD127" t="s">
        <v>1066</v>
      </c>
      <c r="AE127">
        <v>0</v>
      </c>
      <c r="AF127" t="s">
        <v>1</v>
      </c>
      <c r="AG127" t="s">
        <v>1</v>
      </c>
      <c r="AH127" t="s">
        <v>1067</v>
      </c>
      <c r="AI127" t="s">
        <v>1068</v>
      </c>
      <c r="AJ127" t="s">
        <v>1</v>
      </c>
      <c r="AK127">
        <v>9931057207</v>
      </c>
      <c r="AL127" t="s">
        <v>1069</v>
      </c>
      <c r="AM127" t="s">
        <v>1070</v>
      </c>
      <c r="AN127">
        <v>0</v>
      </c>
      <c r="AO127" t="s">
        <v>1067</v>
      </c>
      <c r="AP127" t="s">
        <v>1</v>
      </c>
      <c r="AQ127">
        <v>2</v>
      </c>
      <c r="AR127">
        <v>0</v>
      </c>
      <c r="AS127">
        <v>0</v>
      </c>
      <c r="AT127" t="s">
        <v>1</v>
      </c>
      <c r="AU127" t="s">
        <v>1</v>
      </c>
      <c r="AV127" t="s">
        <v>1</v>
      </c>
      <c r="AW127">
        <v>0</v>
      </c>
      <c r="AX127">
        <v>6745</v>
      </c>
      <c r="AY127">
        <v>6155</v>
      </c>
      <c r="AZ127">
        <v>0</v>
      </c>
      <c r="BA127">
        <v>0</v>
      </c>
      <c r="BB127" t="s">
        <v>1</v>
      </c>
      <c r="BC127" t="s">
        <v>757</v>
      </c>
      <c r="BD127" t="s">
        <v>815</v>
      </c>
      <c r="BE127" t="s">
        <v>1</v>
      </c>
      <c r="BF127" t="s">
        <v>1</v>
      </c>
      <c r="BG127" t="s">
        <v>1</v>
      </c>
      <c r="BH127">
        <v>0</v>
      </c>
      <c r="BI127">
        <v>0</v>
      </c>
      <c r="BJ127" t="s">
        <v>722</v>
      </c>
      <c r="BK127" t="s">
        <v>1</v>
      </c>
      <c r="BL127">
        <v>0</v>
      </c>
      <c r="BM127">
        <v>0</v>
      </c>
      <c r="BN127">
        <v>12900</v>
      </c>
      <c r="BO127">
        <v>0</v>
      </c>
      <c r="BP127">
        <v>0</v>
      </c>
      <c r="BQ127">
        <v>0</v>
      </c>
      <c r="BR127" t="s">
        <v>1</v>
      </c>
      <c r="BS127" t="s">
        <v>1</v>
      </c>
      <c r="BT127" t="s">
        <v>1</v>
      </c>
      <c r="BU127" t="s">
        <v>1</v>
      </c>
      <c r="BV127" t="s">
        <v>1</v>
      </c>
      <c r="BW127" t="s">
        <v>360</v>
      </c>
      <c r="BX127" t="s">
        <v>1</v>
      </c>
      <c r="BY127">
        <v>0</v>
      </c>
      <c r="BZ127">
        <v>0</v>
      </c>
      <c r="CA127">
        <v>0</v>
      </c>
      <c r="CB127">
        <v>0</v>
      </c>
      <c r="CD127" t="str" cm="1">
        <f t="array" aca="1" ref="CD127" ca="1">eConcatenar(A127:CB127,"|")</f>
        <v>yGs44dvCl95ZWvEi|VSA2020-0679|3|IMPERIAL DE LUJO|TABASCO|VILLAHERMOSA |VILLAHERMOSA |2020-09-26|12900|X|X|400|2|0|X|X|X|X|X|X|X|X|X|X|X|X|0|SOBERANES |LOPEZ|SEBASTIAN|0|X|X|SECTOR MENDEZ |RANCHERIA LAZARO CARDENAS |X|9931057207|GUILLERMINA JIMENEZ HERNANDEZ|MARIA JESUS CRUZ SOBERANO|0|SECTOR MENDEZ |X|2|0|0|X|X|X|0|6745|6155|0|0|X|2021-01-12|2022-01-01|X|X|X|0|0|S35D6D3Y9KVTQ1|X|0|0|12900|0|0|0|X|X|X|X|X|VILLAHERMOSA |X|0|0|0|0</v>
      </c>
    </row>
    <row r="128" spans="1:82" x14ac:dyDescent="0.25">
      <c r="A128" t="s">
        <v>1071</v>
      </c>
      <c r="B128" t="s">
        <v>1072</v>
      </c>
      <c r="C128">
        <v>3</v>
      </c>
      <c r="D128" t="s">
        <v>1073</v>
      </c>
      <c r="E128" t="s">
        <v>359</v>
      </c>
      <c r="F128" t="s">
        <v>360</v>
      </c>
      <c r="G128" t="s">
        <v>360</v>
      </c>
      <c r="H128" t="s">
        <v>1074</v>
      </c>
      <c r="I128">
        <v>19800</v>
      </c>
      <c r="J128" t="s">
        <v>1</v>
      </c>
      <c r="K128" t="s">
        <v>1</v>
      </c>
      <c r="L128">
        <v>400</v>
      </c>
      <c r="M128">
        <v>2</v>
      </c>
      <c r="N128">
        <v>0</v>
      </c>
      <c r="O128" t="s">
        <v>1</v>
      </c>
      <c r="P128" t="s">
        <v>1</v>
      </c>
      <c r="Q128" t="s">
        <v>1</v>
      </c>
      <c r="R128" t="s">
        <v>1</v>
      </c>
      <c r="S128" t="s">
        <v>1</v>
      </c>
      <c r="T128" t="s">
        <v>1</v>
      </c>
      <c r="U128" t="s">
        <v>1</v>
      </c>
      <c r="V128" t="s">
        <v>1</v>
      </c>
      <c r="W128" t="s">
        <v>1</v>
      </c>
      <c r="X128" t="s">
        <v>1</v>
      </c>
      <c r="Y128" t="s">
        <v>1</v>
      </c>
      <c r="Z128" t="s">
        <v>1</v>
      </c>
      <c r="AA128">
        <v>0</v>
      </c>
      <c r="AB128" t="s">
        <v>993</v>
      </c>
      <c r="AC128" t="s">
        <v>395</v>
      </c>
      <c r="AD128" t="s">
        <v>1075</v>
      </c>
      <c r="AE128">
        <v>0</v>
      </c>
      <c r="AF128" t="s">
        <v>1</v>
      </c>
      <c r="AG128" t="s">
        <v>1</v>
      </c>
      <c r="AH128" t="s">
        <v>1076</v>
      </c>
      <c r="AI128" t="s">
        <v>914</v>
      </c>
      <c r="AJ128" t="s">
        <v>1</v>
      </c>
      <c r="AK128">
        <v>9932275729</v>
      </c>
      <c r="AL128" t="s">
        <v>1077</v>
      </c>
      <c r="AM128" t="s">
        <v>1078</v>
      </c>
      <c r="AN128">
        <v>0</v>
      </c>
      <c r="AO128" t="s">
        <v>1076</v>
      </c>
      <c r="AP128" t="s">
        <v>1</v>
      </c>
      <c r="AQ128">
        <v>2</v>
      </c>
      <c r="AR128">
        <v>0</v>
      </c>
      <c r="AS128">
        <v>0</v>
      </c>
      <c r="AT128" t="s">
        <v>1</v>
      </c>
      <c r="AU128" t="s">
        <v>1</v>
      </c>
      <c r="AV128" t="s">
        <v>1</v>
      </c>
      <c r="AW128">
        <v>0</v>
      </c>
      <c r="AX128">
        <v>6000</v>
      </c>
      <c r="AY128">
        <v>13800</v>
      </c>
      <c r="AZ128">
        <v>0</v>
      </c>
      <c r="BA128">
        <v>0</v>
      </c>
      <c r="BB128" t="s">
        <v>1</v>
      </c>
      <c r="BC128" t="s">
        <v>737</v>
      </c>
      <c r="BD128" t="s">
        <v>738</v>
      </c>
      <c r="BE128" t="s">
        <v>1</v>
      </c>
      <c r="BF128" t="s">
        <v>1</v>
      </c>
      <c r="BG128" t="s">
        <v>1</v>
      </c>
      <c r="BH128">
        <v>0</v>
      </c>
      <c r="BI128">
        <v>0</v>
      </c>
      <c r="BJ128" t="s">
        <v>722</v>
      </c>
      <c r="BK128" t="s">
        <v>1</v>
      </c>
      <c r="BL128">
        <v>0</v>
      </c>
      <c r="BM128">
        <v>0</v>
      </c>
      <c r="BN128">
        <v>19800</v>
      </c>
      <c r="BO128">
        <v>0</v>
      </c>
      <c r="BP128">
        <v>0</v>
      </c>
      <c r="BQ128">
        <v>0</v>
      </c>
      <c r="BR128" t="s">
        <v>1</v>
      </c>
      <c r="BS128" t="s">
        <v>1</v>
      </c>
      <c r="BT128" t="s">
        <v>1</v>
      </c>
      <c r="BU128" t="s">
        <v>1</v>
      </c>
      <c r="BV128" t="s">
        <v>1</v>
      </c>
      <c r="BW128" t="s">
        <v>360</v>
      </c>
      <c r="BX128" t="s">
        <v>1</v>
      </c>
      <c r="BY128">
        <v>0</v>
      </c>
      <c r="BZ128">
        <v>0</v>
      </c>
      <c r="CA128">
        <v>0</v>
      </c>
      <c r="CB128">
        <v>0</v>
      </c>
      <c r="CD128" t="str" cm="1">
        <f t="array" aca="1" ref="CD128" ca="1">eConcatenar(A128:CB128,"|")</f>
        <v>W2vRJMwrZjRj52Wh|VSA2020-0767|3|ZAFIRO|TABASCO|VILLAHERMOSA |VILLAHERMOSA |2020-10-10|19800|X|X|400|2|0|X|X|X|X|X|X|X|X|X|X|X|X|0|CONTRERAS|GARCIA |ALEJANDRO|0|X|X|CARRETERA VILLAHERMOSA A CARDENAS KILOMETRO ONCE|RANCHERIA GONZALEZ PRIMERA SECCION |X|9932275729|GUADALUPE GARCIA GARCIA |MARIA DEL CARMEN GARCIA GARCIA |0|CARRETERA VILLAHERMOSA A CARDENAS KILOMETRO ONCE|X|2|0|0|X|X|X|0|6000|13800|0|0|X|2021-08-12|2022-08-01|X|X|X|0|0|S35D6D3Y9KVTQ1|X|0|0|19800|0|0|0|X|X|X|X|X|VILLAHERMOSA |X|0|0|0|0</v>
      </c>
    </row>
    <row r="129" spans="1:82" x14ac:dyDescent="0.25">
      <c r="A129" t="s">
        <v>1079</v>
      </c>
      <c r="B129" t="s">
        <v>1080</v>
      </c>
      <c r="C129">
        <v>3</v>
      </c>
      <c r="D129" t="s">
        <v>715</v>
      </c>
      <c r="E129" t="s">
        <v>359</v>
      </c>
      <c r="F129" t="s">
        <v>360</v>
      </c>
      <c r="G129" t="s">
        <v>360</v>
      </c>
      <c r="H129" t="s">
        <v>1081</v>
      </c>
      <c r="I129">
        <v>12900</v>
      </c>
      <c r="J129" t="s">
        <v>1</v>
      </c>
      <c r="K129" t="s">
        <v>1</v>
      </c>
      <c r="L129">
        <v>200</v>
      </c>
      <c r="M129">
        <v>1</v>
      </c>
      <c r="N129">
        <v>0</v>
      </c>
      <c r="O129" t="s">
        <v>1</v>
      </c>
      <c r="P129" t="s">
        <v>1</v>
      </c>
      <c r="Q129" t="s">
        <v>1</v>
      </c>
      <c r="R129" t="s">
        <v>1</v>
      </c>
      <c r="S129" t="s">
        <v>1</v>
      </c>
      <c r="T129" t="s">
        <v>1</v>
      </c>
      <c r="U129" t="s">
        <v>1</v>
      </c>
      <c r="V129" t="s">
        <v>1</v>
      </c>
      <c r="W129" t="s">
        <v>1</v>
      </c>
      <c r="X129" t="s">
        <v>1</v>
      </c>
      <c r="Y129" t="s">
        <v>1</v>
      </c>
      <c r="Z129" t="s">
        <v>1</v>
      </c>
      <c r="AA129">
        <v>0</v>
      </c>
      <c r="AB129" t="s">
        <v>8</v>
      </c>
      <c r="AC129" t="s">
        <v>320</v>
      </c>
      <c r="AD129" t="s">
        <v>792</v>
      </c>
      <c r="AE129">
        <v>0</v>
      </c>
      <c r="AF129" t="s">
        <v>1</v>
      </c>
      <c r="AG129" t="s">
        <v>1</v>
      </c>
      <c r="AH129" t="s">
        <v>1082</v>
      </c>
      <c r="AI129" t="s">
        <v>736</v>
      </c>
      <c r="AJ129" t="s">
        <v>1</v>
      </c>
      <c r="AK129" t="s">
        <v>1</v>
      </c>
      <c r="AL129" t="s">
        <v>1083</v>
      </c>
      <c r="AM129" t="s">
        <v>1084</v>
      </c>
      <c r="AN129">
        <v>0</v>
      </c>
      <c r="AO129" t="s">
        <v>1082</v>
      </c>
      <c r="AP129" t="s">
        <v>1</v>
      </c>
      <c r="AQ129">
        <v>2</v>
      </c>
      <c r="AR129">
        <v>0</v>
      </c>
      <c r="AS129">
        <v>0</v>
      </c>
      <c r="AT129" t="s">
        <v>1</v>
      </c>
      <c r="AU129" t="s">
        <v>1</v>
      </c>
      <c r="AV129" t="s">
        <v>1</v>
      </c>
      <c r="AW129">
        <v>0</v>
      </c>
      <c r="AX129">
        <v>4200</v>
      </c>
      <c r="AY129">
        <v>8700</v>
      </c>
      <c r="AZ129">
        <v>0</v>
      </c>
      <c r="BA129">
        <v>0</v>
      </c>
      <c r="BB129" t="s">
        <v>1</v>
      </c>
      <c r="BC129" t="s">
        <v>757</v>
      </c>
      <c r="BD129" t="s">
        <v>758</v>
      </c>
      <c r="BE129" t="s">
        <v>1</v>
      </c>
      <c r="BF129" t="s">
        <v>1</v>
      </c>
      <c r="BG129" t="s">
        <v>1</v>
      </c>
      <c r="BH129">
        <v>0</v>
      </c>
      <c r="BI129">
        <v>0</v>
      </c>
      <c r="BJ129" t="s">
        <v>722</v>
      </c>
      <c r="BK129" t="s">
        <v>1</v>
      </c>
      <c r="BL129">
        <v>0</v>
      </c>
      <c r="BM129">
        <v>0</v>
      </c>
      <c r="BN129">
        <v>12900</v>
      </c>
      <c r="BO129">
        <v>0</v>
      </c>
      <c r="BP129">
        <v>0</v>
      </c>
      <c r="BQ129">
        <v>0</v>
      </c>
      <c r="BR129" t="s">
        <v>1</v>
      </c>
      <c r="BS129" t="s">
        <v>1</v>
      </c>
      <c r="BT129" t="s">
        <v>1</v>
      </c>
      <c r="BU129" t="s">
        <v>1</v>
      </c>
      <c r="BV129" t="s">
        <v>1</v>
      </c>
      <c r="BW129" t="s">
        <v>360</v>
      </c>
      <c r="BX129" t="s">
        <v>1</v>
      </c>
      <c r="BY129">
        <v>0</v>
      </c>
      <c r="BZ129">
        <v>0</v>
      </c>
      <c r="CA129">
        <v>0</v>
      </c>
      <c r="CB129">
        <v>0</v>
      </c>
      <c r="CD129" t="str" cm="1">
        <f t="array" aca="1" ref="CD129" ca="1">eConcatenar(A129:CB129,"|")</f>
        <v>kZmvabiITdcpsAou|VSA2020-0783|3|IMPERIAL DE LUJO|TABASCO|VILLAHERMOSA |VILLAHERMOSA |2020-10-14|12900|X|X|200|1|0|X|X|X|X|X|X|X|X|X|X|X|X|0|GOMEZ|ROMERO|MIGUEL ANGEL |0|X|X|CALLE PRINCIPAL SECTOR PUNTA BRAVA|RANCHERIA GONZALEZ PRIMERA SECCION|X|X|EZEQUIEL GOMEZ ROMERO|MIDRET DEL CARMEN DOMINGUEZ SERRA|0|CALLE PRINCIPAL SECTOR PUNTA BRAVA|X|2|0|0|X|X|X|0|4200|8700|0|0|X|2021-01-12|2021-12-15|X|X|X|0|0|S35D6D3Y9KVTQ1|X|0|0|12900|0|0|0|X|X|X|X|X|VILLAHERMOSA |X|0|0|0|0</v>
      </c>
    </row>
    <row r="130" spans="1:82" x14ac:dyDescent="0.25">
      <c r="A130" t="s">
        <v>1085</v>
      </c>
      <c r="B130" t="s">
        <v>1086</v>
      </c>
      <c r="C130">
        <v>3</v>
      </c>
      <c r="D130" t="s">
        <v>715</v>
      </c>
      <c r="E130" t="s">
        <v>359</v>
      </c>
      <c r="F130" t="s">
        <v>360</v>
      </c>
      <c r="G130" t="s">
        <v>360</v>
      </c>
      <c r="H130" t="s">
        <v>1087</v>
      </c>
      <c r="I130">
        <v>12900</v>
      </c>
      <c r="J130" t="s">
        <v>1</v>
      </c>
      <c r="K130" t="s">
        <v>1</v>
      </c>
      <c r="L130">
        <v>400</v>
      </c>
      <c r="M130">
        <v>2</v>
      </c>
      <c r="N130">
        <v>0</v>
      </c>
      <c r="O130" t="s">
        <v>1</v>
      </c>
      <c r="P130" t="s">
        <v>1</v>
      </c>
      <c r="Q130" t="s">
        <v>1</v>
      </c>
      <c r="R130" t="s">
        <v>1</v>
      </c>
      <c r="S130" t="s">
        <v>1</v>
      </c>
      <c r="T130" t="s">
        <v>1</v>
      </c>
      <c r="U130" t="s">
        <v>1</v>
      </c>
      <c r="V130" t="s">
        <v>1</v>
      </c>
      <c r="W130" t="s">
        <v>1</v>
      </c>
      <c r="X130" t="s">
        <v>1</v>
      </c>
      <c r="Y130" t="s">
        <v>1</v>
      </c>
      <c r="Z130" t="s">
        <v>1</v>
      </c>
      <c r="AA130">
        <v>0</v>
      </c>
      <c r="AB130" t="s">
        <v>15</v>
      </c>
      <c r="AC130" t="s">
        <v>209</v>
      </c>
      <c r="AD130" t="s">
        <v>1088</v>
      </c>
      <c r="AE130">
        <v>0</v>
      </c>
      <c r="AF130" t="s">
        <v>1</v>
      </c>
      <c r="AG130" t="s">
        <v>1</v>
      </c>
      <c r="AH130" t="s">
        <v>1089</v>
      </c>
      <c r="AI130" t="s">
        <v>793</v>
      </c>
      <c r="AJ130" t="s">
        <v>1</v>
      </c>
      <c r="AK130">
        <v>9932581441</v>
      </c>
      <c r="AL130" t="s">
        <v>1090</v>
      </c>
      <c r="AM130" t="s">
        <v>1091</v>
      </c>
      <c r="AN130">
        <v>0</v>
      </c>
      <c r="AO130" t="s">
        <v>1089</v>
      </c>
      <c r="AP130" t="s">
        <v>1</v>
      </c>
      <c r="AQ130">
        <v>2</v>
      </c>
      <c r="AR130">
        <v>0</v>
      </c>
      <c r="AS130">
        <v>0</v>
      </c>
      <c r="AT130" t="s">
        <v>1</v>
      </c>
      <c r="AU130" t="s">
        <v>1</v>
      </c>
      <c r="AV130" t="s">
        <v>1</v>
      </c>
      <c r="AW130">
        <v>0</v>
      </c>
      <c r="AX130">
        <v>5240</v>
      </c>
      <c r="AY130">
        <v>7660</v>
      </c>
      <c r="AZ130">
        <v>0</v>
      </c>
      <c r="BA130">
        <v>0</v>
      </c>
      <c r="BB130" t="s">
        <v>1</v>
      </c>
      <c r="BC130" t="s">
        <v>1092</v>
      </c>
      <c r="BD130" t="s">
        <v>312</v>
      </c>
      <c r="BE130" t="s">
        <v>1</v>
      </c>
      <c r="BF130" t="s">
        <v>1</v>
      </c>
      <c r="BG130" t="s">
        <v>1</v>
      </c>
      <c r="BH130">
        <v>0</v>
      </c>
      <c r="BI130">
        <v>0</v>
      </c>
      <c r="BJ130" t="s">
        <v>722</v>
      </c>
      <c r="BK130" t="s">
        <v>1</v>
      </c>
      <c r="BL130">
        <v>1</v>
      </c>
      <c r="BM130">
        <v>0</v>
      </c>
      <c r="BN130">
        <v>12900</v>
      </c>
      <c r="BO130">
        <v>0</v>
      </c>
      <c r="BP130">
        <v>0</v>
      </c>
      <c r="BQ130">
        <v>0</v>
      </c>
      <c r="BR130" t="s">
        <v>1</v>
      </c>
      <c r="BS130" t="s">
        <v>1</v>
      </c>
      <c r="BT130" t="s">
        <v>1</v>
      </c>
      <c r="BU130" t="s">
        <v>1</v>
      </c>
      <c r="BV130" t="s">
        <v>1</v>
      </c>
      <c r="BW130" t="s">
        <v>360</v>
      </c>
      <c r="BX130" t="s">
        <v>1</v>
      </c>
      <c r="BY130">
        <v>0</v>
      </c>
      <c r="BZ130">
        <v>0</v>
      </c>
      <c r="CA130">
        <v>0</v>
      </c>
      <c r="CB130">
        <v>0</v>
      </c>
      <c r="CD130" t="str" cm="1">
        <f t="array" aca="1" ref="CD130" ca="1">eConcatenar(A130:CB130,"|")</f>
        <v>BqaPZhQRca9MuNwn|VSA2020-0860|3|IMPERIAL DE LUJO|TABASCO|VILLAHERMOSA |VILLAHERMOSA |2020-10-28|12900|X|X|400|2|0|X|X|X|X|X|X|X|X|X|X|X|X|0|PEREZ |SANCHEZ|LEYDI CRISTEL|0|X|X|CARRETERA A REFORMA SIN NUMERO|RANCHERIA PLATANO Y CACAO  SEGUNDA SECCCION |X|9932581441|ADRIAN TOSCA RIVERA|ANGELA SANCHEZ PEREZ|0|CARRETERA A REFORMA SIN NUMERO|X|2|0|0|X|X|X|0|5240|7660|0|0|X|2021-11-24|2021-12-24|X|X|X|0|0|S35D6D3Y9KVTQ1|X|1|0|12900|0|0|0|X|X|X|X|X|VILLAHERMOSA |X|0|0|0|0</v>
      </c>
    </row>
    <row r="131" spans="1:82" x14ac:dyDescent="0.25">
      <c r="A131" t="s">
        <v>1093</v>
      </c>
      <c r="B131" t="s">
        <v>1094</v>
      </c>
      <c r="C131">
        <v>3</v>
      </c>
      <c r="D131" t="s">
        <v>715</v>
      </c>
      <c r="E131" t="s">
        <v>359</v>
      </c>
      <c r="F131" t="s">
        <v>360</v>
      </c>
      <c r="G131" t="s">
        <v>360</v>
      </c>
      <c r="H131" t="s">
        <v>1087</v>
      </c>
      <c r="I131">
        <v>12900</v>
      </c>
      <c r="J131" t="s">
        <v>1</v>
      </c>
      <c r="K131" t="s">
        <v>1</v>
      </c>
      <c r="L131">
        <v>100</v>
      </c>
      <c r="M131">
        <v>0</v>
      </c>
      <c r="N131">
        <v>0</v>
      </c>
      <c r="O131" t="s">
        <v>1</v>
      </c>
      <c r="P131" t="s">
        <v>1</v>
      </c>
      <c r="Q131" t="s">
        <v>1</v>
      </c>
      <c r="R131" t="s">
        <v>1</v>
      </c>
      <c r="S131" t="s">
        <v>1</v>
      </c>
      <c r="T131" t="s">
        <v>1</v>
      </c>
      <c r="U131" t="s">
        <v>1</v>
      </c>
      <c r="V131" t="s">
        <v>1</v>
      </c>
      <c r="W131" t="s">
        <v>1</v>
      </c>
      <c r="X131" t="s">
        <v>1</v>
      </c>
      <c r="Y131" t="s">
        <v>1</v>
      </c>
      <c r="Z131" t="s">
        <v>1</v>
      </c>
      <c r="AA131">
        <v>0</v>
      </c>
      <c r="AB131" t="s">
        <v>217</v>
      </c>
      <c r="AC131" t="s">
        <v>1095</v>
      </c>
      <c r="AD131" t="s">
        <v>1096</v>
      </c>
      <c r="AE131">
        <v>0</v>
      </c>
      <c r="AF131" t="s">
        <v>1</v>
      </c>
      <c r="AG131" t="s">
        <v>1</v>
      </c>
      <c r="AH131" t="s">
        <v>1097</v>
      </c>
      <c r="AI131" t="s">
        <v>793</v>
      </c>
      <c r="AJ131" t="s">
        <v>1</v>
      </c>
      <c r="AK131">
        <v>99355915166</v>
      </c>
      <c r="AL131" t="s">
        <v>1098</v>
      </c>
      <c r="AM131" t="s">
        <v>1099</v>
      </c>
      <c r="AN131">
        <v>0</v>
      </c>
      <c r="AO131" t="s">
        <v>1097</v>
      </c>
      <c r="AP131" t="s">
        <v>1</v>
      </c>
      <c r="AQ131">
        <v>2</v>
      </c>
      <c r="AR131">
        <v>0</v>
      </c>
      <c r="AS131">
        <v>0</v>
      </c>
      <c r="AT131" t="s">
        <v>1</v>
      </c>
      <c r="AU131" t="s">
        <v>1</v>
      </c>
      <c r="AV131" t="s">
        <v>1</v>
      </c>
      <c r="AW131">
        <v>0</v>
      </c>
      <c r="AX131">
        <v>5150</v>
      </c>
      <c r="AY131">
        <v>7750</v>
      </c>
      <c r="AZ131">
        <v>0</v>
      </c>
      <c r="BA131">
        <v>0</v>
      </c>
      <c r="BB131" t="s">
        <v>1</v>
      </c>
      <c r="BC131" t="s">
        <v>377</v>
      </c>
      <c r="BD131" t="s">
        <v>312</v>
      </c>
      <c r="BE131" t="s">
        <v>1</v>
      </c>
      <c r="BF131" t="s">
        <v>1</v>
      </c>
      <c r="BG131" t="s">
        <v>1</v>
      </c>
      <c r="BH131">
        <v>0</v>
      </c>
      <c r="BI131">
        <v>0</v>
      </c>
      <c r="BJ131" t="s">
        <v>722</v>
      </c>
      <c r="BK131" t="s">
        <v>1</v>
      </c>
      <c r="BL131">
        <v>1</v>
      </c>
      <c r="BM131">
        <v>0</v>
      </c>
      <c r="BN131">
        <v>12900</v>
      </c>
      <c r="BO131">
        <v>0</v>
      </c>
      <c r="BP131">
        <v>0</v>
      </c>
      <c r="BQ131">
        <v>0</v>
      </c>
      <c r="BR131" t="s">
        <v>1</v>
      </c>
      <c r="BS131" t="s">
        <v>1</v>
      </c>
      <c r="BT131" t="s">
        <v>1</v>
      </c>
      <c r="BU131" t="s">
        <v>1</v>
      </c>
      <c r="BV131" t="s">
        <v>1</v>
      </c>
      <c r="BW131" t="s">
        <v>360</v>
      </c>
      <c r="BX131" t="s">
        <v>1</v>
      </c>
      <c r="BY131">
        <v>0</v>
      </c>
      <c r="BZ131">
        <v>0</v>
      </c>
      <c r="CA131">
        <v>0</v>
      </c>
      <c r="CB131">
        <v>0</v>
      </c>
      <c r="CD131" t="str" cm="1">
        <f t="array" aca="1" ref="CD131" ca="1">eConcatenar(A131:CB131,"|")</f>
        <v>4ky6kRZPpP6AtNC7|VSA2020-0863|3|IMPERIAL DE LUJO|TABASCO|VILLAHERMOSA |VILLAHERMOSA |2020-10-28|12900|X|X|100|0|0|X|X|X|X|X|X|X|X|X|X|X|X|0|HERNANDEZ|CUSTODIO|NATIVIDAD|0|X|X|ENTRADA A LA ISLA SIN NUMERO |RANCHERIA PLATANO Y CACAO  SEGUNDA SECCCION |X|99355915166|SULEYMA HERNANEZ CUSTODIO|JOSEFA HERNANDEZ CUSTODIO |0|ENTRADA A LA ISLA SIN NUMERO |X|2|0|0|X|X|X|0|5150|7750|0|0|X|2021-07-12|2021-12-24|X|X|X|0|0|S35D6D3Y9KVTQ1|X|1|0|12900|0|0|0|X|X|X|X|X|VILLAHERMOSA |X|0|0|0|0</v>
      </c>
    </row>
    <row r="132" spans="1:82" x14ac:dyDescent="0.25">
      <c r="A132" t="s">
        <v>1100</v>
      </c>
      <c r="B132" t="s">
        <v>1101</v>
      </c>
      <c r="C132">
        <v>3</v>
      </c>
      <c r="D132" t="s">
        <v>1073</v>
      </c>
      <c r="E132" t="s">
        <v>359</v>
      </c>
      <c r="F132" t="s">
        <v>360</v>
      </c>
      <c r="G132" t="s">
        <v>360</v>
      </c>
      <c r="H132" t="s">
        <v>1087</v>
      </c>
      <c r="I132">
        <v>19800</v>
      </c>
      <c r="J132" t="s">
        <v>1</v>
      </c>
      <c r="K132" t="s">
        <v>1</v>
      </c>
      <c r="L132">
        <v>200</v>
      </c>
      <c r="M132">
        <v>1</v>
      </c>
      <c r="N132">
        <v>0</v>
      </c>
      <c r="O132" t="s">
        <v>1</v>
      </c>
      <c r="P132" t="s">
        <v>1</v>
      </c>
      <c r="Q132" t="s">
        <v>1</v>
      </c>
      <c r="R132" t="s">
        <v>1</v>
      </c>
      <c r="S132" t="s">
        <v>1</v>
      </c>
      <c r="T132" t="s">
        <v>1</v>
      </c>
      <c r="U132" t="s">
        <v>1</v>
      </c>
      <c r="V132" t="s">
        <v>1</v>
      </c>
      <c r="W132" t="s">
        <v>1</v>
      </c>
      <c r="X132" t="s">
        <v>1</v>
      </c>
      <c r="Y132" t="s">
        <v>1</v>
      </c>
      <c r="Z132" t="s">
        <v>1</v>
      </c>
      <c r="AA132">
        <v>0</v>
      </c>
      <c r="AB132" t="s">
        <v>227</v>
      </c>
      <c r="AC132" t="s">
        <v>217</v>
      </c>
      <c r="AD132" t="s">
        <v>1102</v>
      </c>
      <c r="AE132">
        <v>0</v>
      </c>
      <c r="AF132" t="s">
        <v>1</v>
      </c>
      <c r="AG132" t="s">
        <v>1</v>
      </c>
      <c r="AH132" t="s">
        <v>1097</v>
      </c>
      <c r="AI132" t="s">
        <v>793</v>
      </c>
      <c r="AJ132" t="s">
        <v>1</v>
      </c>
      <c r="AK132">
        <v>9931926247</v>
      </c>
      <c r="AL132" t="s">
        <v>1103</v>
      </c>
      <c r="AM132" t="s">
        <v>1104</v>
      </c>
      <c r="AN132">
        <v>0</v>
      </c>
      <c r="AO132" t="s">
        <v>1097</v>
      </c>
      <c r="AP132" t="s">
        <v>1</v>
      </c>
      <c r="AQ132">
        <v>2</v>
      </c>
      <c r="AR132">
        <v>0</v>
      </c>
      <c r="AS132">
        <v>0</v>
      </c>
      <c r="AT132" t="s">
        <v>1</v>
      </c>
      <c r="AU132" t="s">
        <v>1</v>
      </c>
      <c r="AV132" t="s">
        <v>1</v>
      </c>
      <c r="AW132">
        <v>0</v>
      </c>
      <c r="AX132">
        <v>7180</v>
      </c>
      <c r="AY132">
        <v>12620</v>
      </c>
      <c r="AZ132">
        <v>0</v>
      </c>
      <c r="BA132">
        <v>0</v>
      </c>
      <c r="BB132" t="s">
        <v>1</v>
      </c>
      <c r="BC132" t="s">
        <v>737</v>
      </c>
      <c r="BD132" t="s">
        <v>1105</v>
      </c>
      <c r="BE132" t="s">
        <v>1</v>
      </c>
      <c r="BF132" t="s">
        <v>1</v>
      </c>
      <c r="BG132" t="s">
        <v>1</v>
      </c>
      <c r="BH132">
        <v>0</v>
      </c>
      <c r="BI132">
        <v>0</v>
      </c>
      <c r="BJ132" t="s">
        <v>722</v>
      </c>
      <c r="BK132" t="s">
        <v>1</v>
      </c>
      <c r="BL132">
        <v>0</v>
      </c>
      <c r="BM132">
        <v>0</v>
      </c>
      <c r="BN132">
        <v>19800</v>
      </c>
      <c r="BO132">
        <v>0</v>
      </c>
      <c r="BP132">
        <v>0</v>
      </c>
      <c r="BQ132">
        <v>0</v>
      </c>
      <c r="BR132" t="s">
        <v>1</v>
      </c>
      <c r="BS132" t="s">
        <v>1</v>
      </c>
      <c r="BT132" t="s">
        <v>1</v>
      </c>
      <c r="BU132" t="s">
        <v>1</v>
      </c>
      <c r="BV132" t="s">
        <v>1</v>
      </c>
      <c r="BW132" t="s">
        <v>360</v>
      </c>
      <c r="BX132" t="s">
        <v>1</v>
      </c>
      <c r="BY132">
        <v>0</v>
      </c>
      <c r="BZ132">
        <v>0</v>
      </c>
      <c r="CA132">
        <v>0</v>
      </c>
      <c r="CB132">
        <v>0</v>
      </c>
      <c r="CD132" t="str" cm="1">
        <f t="array" aca="1" ref="CD132" ca="1">eConcatenar(A132:CB132,"|")</f>
        <v>0rxRwhYjNGEoJKHf|VSA2020-0865|3|ZAFIRO|TABASCO|VILLAHERMOSA |VILLAHERMOSA |2020-10-28|19800|X|X|200|1|0|X|X|X|X|X|X|X|X|X|X|X|X|0|CORDOVA|HERNANDEZ|CIPRIANO|0|X|X|ENTRADA A LA ISLA SIN NUMERO |RANCHERIA PLATANO Y CACAO  SEGUNDA SECCCION |X|9931926247|GUADALUPE HERNANDEZ ZAPATA |YULIANA ALVAREZ GONZALEZ|0|ENTRADA A LA ISLA SIN NUMERO |X|2|0|0|X|X|X|0|7180|12620|0|0|X|2021-08-12|2021-12-22|X|X|X|0|0|S35D6D3Y9KVTQ1|X|0|0|19800|0|0|0|X|X|X|X|X|VILLAHERMOSA |X|0|0|0|0</v>
      </c>
    </row>
    <row r="133" spans="1:82" x14ac:dyDescent="0.25">
      <c r="A133" t="s">
        <v>1106</v>
      </c>
      <c r="B133" t="s">
        <v>1107</v>
      </c>
      <c r="C133">
        <v>3</v>
      </c>
      <c r="D133" t="s">
        <v>715</v>
      </c>
      <c r="E133" t="s">
        <v>359</v>
      </c>
      <c r="F133" t="s">
        <v>360</v>
      </c>
      <c r="G133" t="s">
        <v>360</v>
      </c>
      <c r="H133" t="s">
        <v>1087</v>
      </c>
      <c r="I133">
        <v>12900</v>
      </c>
      <c r="J133" t="s">
        <v>1</v>
      </c>
      <c r="K133" t="s">
        <v>1</v>
      </c>
      <c r="L133">
        <v>400</v>
      </c>
      <c r="M133">
        <v>2</v>
      </c>
      <c r="N133">
        <v>0</v>
      </c>
      <c r="O133" t="s">
        <v>1</v>
      </c>
      <c r="P133" t="s">
        <v>1</v>
      </c>
      <c r="Q133" t="s">
        <v>1</v>
      </c>
      <c r="R133" t="s">
        <v>1</v>
      </c>
      <c r="S133" t="s">
        <v>1</v>
      </c>
      <c r="T133" t="s">
        <v>1</v>
      </c>
      <c r="U133" t="s">
        <v>1</v>
      </c>
      <c r="V133" t="s">
        <v>1</v>
      </c>
      <c r="W133" t="s">
        <v>1</v>
      </c>
      <c r="X133" t="s">
        <v>1</v>
      </c>
      <c r="Y133" t="s">
        <v>1</v>
      </c>
      <c r="Z133" t="s">
        <v>1</v>
      </c>
      <c r="AA133">
        <v>0</v>
      </c>
      <c r="AB133" t="s">
        <v>829</v>
      </c>
      <c r="AC133" t="s">
        <v>209</v>
      </c>
      <c r="AD133" t="s">
        <v>1088</v>
      </c>
      <c r="AE133">
        <v>0</v>
      </c>
      <c r="AF133" t="s">
        <v>1</v>
      </c>
      <c r="AG133" t="s">
        <v>1</v>
      </c>
      <c r="AH133" t="s">
        <v>1089</v>
      </c>
      <c r="AI133" t="s">
        <v>1108</v>
      </c>
      <c r="AJ133" t="s">
        <v>1</v>
      </c>
      <c r="AK133">
        <v>9932581441</v>
      </c>
      <c r="AL133" t="s">
        <v>1090</v>
      </c>
      <c r="AM133" t="s">
        <v>1091</v>
      </c>
      <c r="AN133">
        <v>0</v>
      </c>
      <c r="AO133" t="s">
        <v>1089</v>
      </c>
      <c r="AP133" t="s">
        <v>1</v>
      </c>
      <c r="AQ133">
        <v>2</v>
      </c>
      <c r="AR133">
        <v>0</v>
      </c>
      <c r="AS133">
        <v>0</v>
      </c>
      <c r="AT133" t="s">
        <v>1</v>
      </c>
      <c r="AU133" t="s">
        <v>1</v>
      </c>
      <c r="AV133" t="s">
        <v>1</v>
      </c>
      <c r="AW133">
        <v>0</v>
      </c>
      <c r="AX133">
        <v>5240</v>
      </c>
      <c r="AY133">
        <v>7660</v>
      </c>
      <c r="AZ133">
        <v>0</v>
      </c>
      <c r="BA133">
        <v>0</v>
      </c>
      <c r="BB133" t="s">
        <v>1</v>
      </c>
      <c r="BC133" t="s">
        <v>1092</v>
      </c>
      <c r="BD133" t="s">
        <v>312</v>
      </c>
      <c r="BE133" t="s">
        <v>1</v>
      </c>
      <c r="BF133" t="s">
        <v>1</v>
      </c>
      <c r="BG133" t="s">
        <v>1</v>
      </c>
      <c r="BH133">
        <v>0</v>
      </c>
      <c r="BI133">
        <v>0</v>
      </c>
      <c r="BJ133" t="s">
        <v>722</v>
      </c>
      <c r="BK133" t="s">
        <v>1</v>
      </c>
      <c r="BL133">
        <v>1</v>
      </c>
      <c r="BM133">
        <v>0</v>
      </c>
      <c r="BN133">
        <v>12900</v>
      </c>
      <c r="BO133">
        <v>0</v>
      </c>
      <c r="BP133">
        <v>0</v>
      </c>
      <c r="BQ133">
        <v>0</v>
      </c>
      <c r="BR133" t="s">
        <v>1</v>
      </c>
      <c r="BS133" t="s">
        <v>1</v>
      </c>
      <c r="BT133" t="s">
        <v>1</v>
      </c>
      <c r="BU133" t="s">
        <v>1</v>
      </c>
      <c r="BV133" t="s">
        <v>1</v>
      </c>
      <c r="BW133" t="s">
        <v>360</v>
      </c>
      <c r="BX133" t="s">
        <v>1</v>
      </c>
      <c r="BY133">
        <v>0</v>
      </c>
      <c r="BZ133">
        <v>0</v>
      </c>
      <c r="CA133">
        <v>0</v>
      </c>
      <c r="CB133">
        <v>0</v>
      </c>
      <c r="CD133" t="str" cm="1">
        <f t="array" aca="1" ref="CD133" ca="1">eConcatenar(A133:CB133,"|")</f>
        <v>NdbXyYqKAN1ohCix|VSA2020-0874|3|IMPERIAL DE LUJO|TABASCO|VILLAHERMOSA |VILLAHERMOSA |2020-10-28|12900|X|X|400|2|0|X|X|X|X|X|X|X|X|X|X|X|X|0|PEREZ|SANCHEZ|LEYDI CRISTEL|0|X|X|CARRETERA A REFORMA SIN NUMERO|RANCHERIAPLATANO Y CACAO SEGUNDA SECCION|X|9932581441|ADRIAN TOSCA RIVERA|ANGELA SANCHEZ PEREZ|0|CARRETERA A REFORMA SIN NUMERO|X|2|0|0|X|X|X|0|5240|7660|0|0|X|2021-11-24|2021-12-24|X|X|X|0|0|S35D6D3Y9KVTQ1|X|1|0|12900|0|0|0|X|X|X|X|X|VILLAHERMOSA |X|0|0|0|0</v>
      </c>
    </row>
    <row r="134" spans="1:82" x14ac:dyDescent="0.25">
      <c r="A134" t="s">
        <v>1109</v>
      </c>
      <c r="B134" t="s">
        <v>1110</v>
      </c>
      <c r="C134">
        <v>3</v>
      </c>
      <c r="D134" t="s">
        <v>715</v>
      </c>
      <c r="E134" t="s">
        <v>359</v>
      </c>
      <c r="F134" t="s">
        <v>360</v>
      </c>
      <c r="G134" t="s">
        <v>360</v>
      </c>
      <c r="H134" t="s">
        <v>1087</v>
      </c>
      <c r="I134">
        <v>12900</v>
      </c>
      <c r="J134" t="s">
        <v>1</v>
      </c>
      <c r="K134" t="s">
        <v>1</v>
      </c>
      <c r="L134">
        <v>100</v>
      </c>
      <c r="M134">
        <v>0</v>
      </c>
      <c r="N134">
        <v>0</v>
      </c>
      <c r="O134" t="s">
        <v>1</v>
      </c>
      <c r="P134" t="s">
        <v>1</v>
      </c>
      <c r="Q134" t="s">
        <v>1</v>
      </c>
      <c r="R134" t="s">
        <v>1</v>
      </c>
      <c r="S134" t="s">
        <v>1</v>
      </c>
      <c r="T134" t="s">
        <v>1</v>
      </c>
      <c r="U134" t="s">
        <v>1</v>
      </c>
      <c r="V134" t="s">
        <v>1</v>
      </c>
      <c r="W134" t="s">
        <v>1</v>
      </c>
      <c r="X134" t="s">
        <v>1</v>
      </c>
      <c r="Y134" t="s">
        <v>1</v>
      </c>
      <c r="Z134" t="s">
        <v>1</v>
      </c>
      <c r="AA134">
        <v>0</v>
      </c>
      <c r="AB134" t="s">
        <v>217</v>
      </c>
      <c r="AC134" t="s">
        <v>1111</v>
      </c>
      <c r="AD134" t="s">
        <v>848</v>
      </c>
      <c r="AE134">
        <v>0</v>
      </c>
      <c r="AF134" t="s">
        <v>1</v>
      </c>
      <c r="AG134" t="s">
        <v>1</v>
      </c>
      <c r="AH134" t="s">
        <v>545</v>
      </c>
      <c r="AI134" t="s">
        <v>1112</v>
      </c>
      <c r="AJ134" t="s">
        <v>1</v>
      </c>
      <c r="AK134">
        <v>9932161911</v>
      </c>
      <c r="AL134" t="s">
        <v>1113</v>
      </c>
      <c r="AM134" t="s">
        <v>1114</v>
      </c>
      <c r="AN134">
        <v>0</v>
      </c>
      <c r="AO134" t="s">
        <v>545</v>
      </c>
      <c r="AP134" t="s">
        <v>1</v>
      </c>
      <c r="AQ134">
        <v>2</v>
      </c>
      <c r="AR134">
        <v>0</v>
      </c>
      <c r="AS134">
        <v>0</v>
      </c>
      <c r="AT134" t="s">
        <v>1</v>
      </c>
      <c r="AU134" t="s">
        <v>1</v>
      </c>
      <c r="AV134" t="s">
        <v>1</v>
      </c>
      <c r="AW134">
        <v>0</v>
      </c>
      <c r="AX134">
        <v>11900</v>
      </c>
      <c r="AY134">
        <v>1000</v>
      </c>
      <c r="AZ134">
        <v>0</v>
      </c>
      <c r="BA134">
        <v>0</v>
      </c>
      <c r="BB134" t="s">
        <v>1</v>
      </c>
      <c r="BC134" t="s">
        <v>737</v>
      </c>
      <c r="BD134" t="s">
        <v>758</v>
      </c>
      <c r="BE134" t="s">
        <v>1</v>
      </c>
      <c r="BF134" t="s">
        <v>1</v>
      </c>
      <c r="BG134" t="s">
        <v>1</v>
      </c>
      <c r="BH134">
        <v>0</v>
      </c>
      <c r="BI134">
        <v>0</v>
      </c>
      <c r="BJ134" t="s">
        <v>722</v>
      </c>
      <c r="BK134" t="s">
        <v>1</v>
      </c>
      <c r="BL134">
        <v>1</v>
      </c>
      <c r="BM134">
        <v>0</v>
      </c>
      <c r="BN134">
        <v>12900</v>
      </c>
      <c r="BO134">
        <v>0</v>
      </c>
      <c r="BP134">
        <v>0</v>
      </c>
      <c r="BQ134">
        <v>0</v>
      </c>
      <c r="BR134" t="s">
        <v>1</v>
      </c>
      <c r="BS134" t="s">
        <v>1</v>
      </c>
      <c r="BT134" t="s">
        <v>1</v>
      </c>
      <c r="BU134" t="s">
        <v>1</v>
      </c>
      <c r="BV134" t="s">
        <v>1</v>
      </c>
      <c r="BW134" t="s">
        <v>360</v>
      </c>
      <c r="BX134" t="s">
        <v>1</v>
      </c>
      <c r="BY134">
        <v>0</v>
      </c>
      <c r="BZ134">
        <v>0</v>
      </c>
      <c r="CA134">
        <v>0</v>
      </c>
      <c r="CB134">
        <v>0</v>
      </c>
      <c r="CD134" t="str" cm="1">
        <f t="array" aca="1" ref="CD134" ca="1">eConcatenar(A134:CB134,"|")</f>
        <v>b4C0RwZlhooAa1yH|VSA2020-0878|3|IMPERIAL DE LUJO|TABASCO|VILLAHERMOSA |VILLAHERMOSA |2020-10-28|12900|X|X|100|0|0|X|X|X|X|X|X|X|X|X|X|X|X|0|HERNANDEZ|SUAREZ|LETICIA|0|X|X|CARRETERA PRINCIPAL SIN NUMERO |RANCHERIA GONZALEZ SEGUNDA SECCION|X|9932161911|DIANA MARIN HERNANDEZ |JEREMIAS MARIN HERNANDEZ|0|CARRETERA PRINCIPAL SIN NUMERO |X|2|0|0|X|X|X|0|11900|1000|0|0|X|2021-08-12|2021-12-15|X|X|X|0|0|S35D6D3Y9KVTQ1|X|1|0|12900|0|0|0|X|X|X|X|X|VILLAHERMOSA |X|0|0|0|0</v>
      </c>
    </row>
    <row r="135" spans="1:82" x14ac:dyDescent="0.25">
      <c r="A135" t="s">
        <v>1115</v>
      </c>
      <c r="B135" t="s">
        <v>1116</v>
      </c>
      <c r="C135">
        <v>3</v>
      </c>
      <c r="D135" t="s">
        <v>715</v>
      </c>
      <c r="E135" t="s">
        <v>359</v>
      </c>
      <c r="F135" t="s">
        <v>360</v>
      </c>
      <c r="G135" t="s">
        <v>360</v>
      </c>
      <c r="H135" t="s">
        <v>1117</v>
      </c>
      <c r="I135">
        <v>12900</v>
      </c>
      <c r="J135" t="s">
        <v>1</v>
      </c>
      <c r="K135" t="s">
        <v>1</v>
      </c>
      <c r="L135">
        <v>200</v>
      </c>
      <c r="M135">
        <v>1</v>
      </c>
      <c r="N135">
        <v>0</v>
      </c>
      <c r="O135" t="s">
        <v>1</v>
      </c>
      <c r="P135" t="s">
        <v>1</v>
      </c>
      <c r="Q135" t="s">
        <v>1</v>
      </c>
      <c r="R135" t="s">
        <v>1</v>
      </c>
      <c r="S135" t="s">
        <v>1</v>
      </c>
      <c r="T135" t="s">
        <v>1</v>
      </c>
      <c r="U135" t="s">
        <v>1</v>
      </c>
      <c r="V135" t="s">
        <v>1</v>
      </c>
      <c r="W135" t="s">
        <v>1</v>
      </c>
      <c r="X135" t="s">
        <v>1</v>
      </c>
      <c r="Y135" t="s">
        <v>1</v>
      </c>
      <c r="Z135" t="s">
        <v>1</v>
      </c>
      <c r="AA135">
        <v>0</v>
      </c>
      <c r="AB135" t="s">
        <v>395</v>
      </c>
      <c r="AC135" t="s">
        <v>1118</v>
      </c>
      <c r="AD135" t="s">
        <v>1119</v>
      </c>
      <c r="AE135">
        <v>0</v>
      </c>
      <c r="AF135" t="s">
        <v>1</v>
      </c>
      <c r="AG135" t="s">
        <v>1</v>
      </c>
      <c r="AH135" t="s">
        <v>1120</v>
      </c>
      <c r="AI135" t="s">
        <v>793</v>
      </c>
      <c r="AJ135" t="s">
        <v>1</v>
      </c>
      <c r="AK135">
        <v>9931682968</v>
      </c>
      <c r="AL135" t="s">
        <v>1121</v>
      </c>
      <c r="AM135" t="s">
        <v>1122</v>
      </c>
      <c r="AN135">
        <v>0</v>
      </c>
      <c r="AO135" t="s">
        <v>1120</v>
      </c>
      <c r="AP135" t="s">
        <v>1</v>
      </c>
      <c r="AQ135">
        <v>2</v>
      </c>
      <c r="AR135">
        <v>0</v>
      </c>
      <c r="AS135">
        <v>0</v>
      </c>
      <c r="AT135" t="s">
        <v>1</v>
      </c>
      <c r="AU135" t="s">
        <v>1</v>
      </c>
      <c r="AV135" t="s">
        <v>1</v>
      </c>
      <c r="AW135">
        <v>0</v>
      </c>
      <c r="AX135">
        <v>4890</v>
      </c>
      <c r="AY135">
        <v>8010</v>
      </c>
      <c r="AZ135">
        <v>0</v>
      </c>
      <c r="BA135">
        <v>0</v>
      </c>
      <c r="BB135" t="s">
        <v>1</v>
      </c>
      <c r="BC135" t="s">
        <v>942</v>
      </c>
      <c r="BD135" t="s">
        <v>757</v>
      </c>
      <c r="BE135" t="s">
        <v>1</v>
      </c>
      <c r="BF135" t="s">
        <v>1</v>
      </c>
      <c r="BG135" t="s">
        <v>1</v>
      </c>
      <c r="BH135">
        <v>0</v>
      </c>
      <c r="BI135">
        <v>0</v>
      </c>
      <c r="BJ135" t="s">
        <v>722</v>
      </c>
      <c r="BK135" t="s">
        <v>1</v>
      </c>
      <c r="BL135">
        <v>1</v>
      </c>
      <c r="BM135">
        <v>0</v>
      </c>
      <c r="BN135">
        <v>12900</v>
      </c>
      <c r="BO135">
        <v>0</v>
      </c>
      <c r="BP135">
        <v>0</v>
      </c>
      <c r="BQ135">
        <v>0</v>
      </c>
      <c r="BR135" t="s">
        <v>1</v>
      </c>
      <c r="BS135" t="s">
        <v>1</v>
      </c>
      <c r="BT135" t="s">
        <v>1</v>
      </c>
      <c r="BU135" t="s">
        <v>1</v>
      </c>
      <c r="BV135" t="s">
        <v>1</v>
      </c>
      <c r="BW135" t="s">
        <v>360</v>
      </c>
      <c r="BX135" t="s">
        <v>1</v>
      </c>
      <c r="BY135">
        <v>0</v>
      </c>
      <c r="BZ135">
        <v>0</v>
      </c>
      <c r="CA135">
        <v>0</v>
      </c>
      <c r="CB135">
        <v>0</v>
      </c>
      <c r="CD135" t="str" cm="1">
        <f t="array" aca="1" ref="CD135" ca="1">eConcatenar(A135:CB135,"|")</f>
        <v>J9WS1WqNY8Rv81Kz|VSA2020-0911|3|IMPERIAL DE LUJO|TABASCO|VILLAHERMOSA |VILLAHERMOSA |2020-10-31|12900|X|X|200|1|0|X|X|X|X|X|X|X|X|X|X|X|X|0|GARCIA |GIL|VERONICA|0|X|X|CARRETERA CARDENAS VILLAHERMOSA SIN NUMERO|RANCHERIA PLATANO Y CACAO  SEGUNDA SECCCION |X|9931682968|LUZ ANTONIA GARCIA GIL|ANA KRISTHEL GARCIA GIL|0|CARRETERA CARDENAS VILLAHERMOSA SIN NUMERO|X|2|0|0|X|X|X|0|4890|8010|0|0|X|2021-10-11|2021-01-12|X|X|X|0|0|S35D6D3Y9KVTQ1|X|1|0|12900|0|0|0|X|X|X|X|X|VILLAHERMOSA |X|0|0|0|0</v>
      </c>
    </row>
    <row r="136" spans="1:82" x14ac:dyDescent="0.25">
      <c r="A136" t="s">
        <v>1123</v>
      </c>
      <c r="B136" t="s">
        <v>1124</v>
      </c>
      <c r="C136">
        <v>3</v>
      </c>
      <c r="D136" t="s">
        <v>715</v>
      </c>
      <c r="E136" t="s">
        <v>359</v>
      </c>
      <c r="F136" t="s">
        <v>360</v>
      </c>
      <c r="G136" t="s">
        <v>360</v>
      </c>
      <c r="H136" t="s">
        <v>1125</v>
      </c>
      <c r="I136">
        <v>12900</v>
      </c>
      <c r="J136" t="s">
        <v>1</v>
      </c>
      <c r="K136" t="s">
        <v>1</v>
      </c>
      <c r="L136">
        <v>400</v>
      </c>
      <c r="M136">
        <v>2</v>
      </c>
      <c r="N136">
        <v>0</v>
      </c>
      <c r="O136" t="s">
        <v>1</v>
      </c>
      <c r="P136" t="s">
        <v>1</v>
      </c>
      <c r="Q136" t="s">
        <v>1</v>
      </c>
      <c r="R136" t="s">
        <v>1</v>
      </c>
      <c r="S136" t="s">
        <v>1</v>
      </c>
      <c r="T136" t="s">
        <v>1</v>
      </c>
      <c r="U136" t="s">
        <v>1</v>
      </c>
      <c r="V136" t="s">
        <v>1</v>
      </c>
      <c r="W136" t="s">
        <v>1</v>
      </c>
      <c r="X136" t="s">
        <v>1</v>
      </c>
      <c r="Y136" t="s">
        <v>1</v>
      </c>
      <c r="Z136" t="s">
        <v>1</v>
      </c>
      <c r="AA136">
        <v>0</v>
      </c>
      <c r="AB136" t="s">
        <v>1126</v>
      </c>
      <c r="AC136" t="s">
        <v>830</v>
      </c>
      <c r="AD136" t="s">
        <v>1127</v>
      </c>
      <c r="AE136">
        <v>0</v>
      </c>
      <c r="AF136" t="s">
        <v>1</v>
      </c>
      <c r="AG136" t="s">
        <v>1</v>
      </c>
      <c r="AH136" t="s">
        <v>1128</v>
      </c>
      <c r="AI136" t="s">
        <v>1129</v>
      </c>
      <c r="AJ136" t="s">
        <v>1</v>
      </c>
      <c r="AK136">
        <v>9934088194</v>
      </c>
      <c r="AL136" t="s">
        <v>1130</v>
      </c>
      <c r="AM136" t="s">
        <v>1131</v>
      </c>
      <c r="AN136">
        <v>0</v>
      </c>
      <c r="AO136" t="s">
        <v>1128</v>
      </c>
      <c r="AP136" t="s">
        <v>1</v>
      </c>
      <c r="AQ136">
        <v>0</v>
      </c>
      <c r="AR136">
        <v>0</v>
      </c>
      <c r="AS136">
        <v>0</v>
      </c>
      <c r="AT136" t="s">
        <v>1</v>
      </c>
      <c r="AU136" t="s">
        <v>1</v>
      </c>
      <c r="AV136" t="s">
        <v>1</v>
      </c>
      <c r="AW136">
        <v>0</v>
      </c>
      <c r="AX136">
        <v>0</v>
      </c>
      <c r="AY136">
        <v>0</v>
      </c>
      <c r="AZ136">
        <v>0</v>
      </c>
      <c r="BA136">
        <v>0</v>
      </c>
      <c r="BB136" t="s">
        <v>1</v>
      </c>
      <c r="BC136" t="s">
        <v>758</v>
      </c>
      <c r="BD136" t="s">
        <v>155</v>
      </c>
      <c r="BE136" t="s">
        <v>1</v>
      </c>
      <c r="BF136" t="s">
        <v>1</v>
      </c>
      <c r="BG136" t="s">
        <v>1</v>
      </c>
      <c r="BH136">
        <v>0</v>
      </c>
      <c r="BI136">
        <v>0</v>
      </c>
      <c r="BJ136" t="s">
        <v>722</v>
      </c>
      <c r="BK136" t="s">
        <v>1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 t="s">
        <v>1</v>
      </c>
      <c r="BS136" t="s">
        <v>1</v>
      </c>
      <c r="BT136" t="s">
        <v>1</v>
      </c>
      <c r="BU136" t="s">
        <v>1</v>
      </c>
      <c r="BV136" t="s">
        <v>1</v>
      </c>
      <c r="BW136" t="s">
        <v>360</v>
      </c>
      <c r="BX136" t="s">
        <v>1</v>
      </c>
      <c r="BY136">
        <v>0</v>
      </c>
      <c r="BZ136">
        <v>0</v>
      </c>
      <c r="CA136">
        <v>0</v>
      </c>
      <c r="CB136">
        <v>0</v>
      </c>
      <c r="CD136" t="str" cm="1">
        <f t="array" aca="1" ref="CD136" ca="1">eConcatenar(A136:CB136,"|")</f>
        <v>riyCJRGFyGSqKW9l|VSA2020-1198|3|IMPERIAL DE LUJO|TABASCO|VILLAHERMOSA |VILLAHERMOSA |2020-11-23|12900|X|X|400|2|0|X|X|X|X|X|X|X|X|X|X|X|X|0|AGUILERA|BAUTISTA|MARIA DE LOURDES|0|X|X|CARRETERA A CAMPOS SAMARIA SIN NUMERO|RANCHERIA CUMUAPA SEGUNDA SECCCION|X|9934088194|NATIVIDAD GARCIA AGUILERA|JESUS GARCIA AGUILERA|0|CARRETERA A CAMPOS SAMARIA SIN NUMERO|X|0|0|0|X|X|X|0|0|0|0|0|X|2021-12-15|2022-02-01|X|X|X|0|0|S35D6D3Y9KVTQ1|X|0|0|0|0|0|0|X|X|X|X|X|VILLAHERMOSA |X|0|0|0|0</v>
      </c>
    </row>
    <row r="137" spans="1:82" x14ac:dyDescent="0.25">
      <c r="A137" t="s">
        <v>1132</v>
      </c>
      <c r="B137" t="s">
        <v>1133</v>
      </c>
      <c r="C137">
        <v>3</v>
      </c>
      <c r="D137" t="s">
        <v>246</v>
      </c>
      <c r="E137" t="s">
        <v>359</v>
      </c>
      <c r="F137" t="s">
        <v>360</v>
      </c>
      <c r="G137" t="s">
        <v>360</v>
      </c>
      <c r="H137" t="s">
        <v>1134</v>
      </c>
      <c r="I137">
        <v>24500</v>
      </c>
      <c r="J137" t="s">
        <v>1</v>
      </c>
      <c r="K137" t="s">
        <v>1</v>
      </c>
      <c r="L137">
        <v>200</v>
      </c>
      <c r="M137">
        <v>1</v>
      </c>
      <c r="N137">
        <v>0</v>
      </c>
      <c r="O137" t="s">
        <v>1</v>
      </c>
      <c r="P137" t="s">
        <v>1</v>
      </c>
      <c r="Q137" t="s">
        <v>1</v>
      </c>
      <c r="R137" t="s">
        <v>1</v>
      </c>
      <c r="S137" t="s">
        <v>1</v>
      </c>
      <c r="T137" t="s">
        <v>1</v>
      </c>
      <c r="U137" t="s">
        <v>1</v>
      </c>
      <c r="V137" t="s">
        <v>1</v>
      </c>
      <c r="W137" t="s">
        <v>1</v>
      </c>
      <c r="X137" t="s">
        <v>1</v>
      </c>
      <c r="Y137" t="s">
        <v>1</v>
      </c>
      <c r="Z137" t="s">
        <v>1</v>
      </c>
      <c r="AA137">
        <v>0</v>
      </c>
      <c r="AB137" t="s">
        <v>1135</v>
      </c>
      <c r="AC137" t="s">
        <v>1111</v>
      </c>
      <c r="AD137" t="s">
        <v>248</v>
      </c>
      <c r="AE137">
        <v>0</v>
      </c>
      <c r="AF137" t="s">
        <v>1</v>
      </c>
      <c r="AG137" t="s">
        <v>1</v>
      </c>
      <c r="AH137" t="s">
        <v>1136</v>
      </c>
      <c r="AI137" t="s">
        <v>1137</v>
      </c>
      <c r="AJ137" t="s">
        <v>1</v>
      </c>
      <c r="AK137">
        <v>9141271284</v>
      </c>
      <c r="AL137" t="s">
        <v>1</v>
      </c>
      <c r="AM137" t="s">
        <v>1</v>
      </c>
      <c r="AN137">
        <v>0</v>
      </c>
      <c r="AO137" t="s">
        <v>1136</v>
      </c>
      <c r="AP137" t="s">
        <v>1</v>
      </c>
      <c r="AQ137">
        <v>2</v>
      </c>
      <c r="AR137">
        <v>0</v>
      </c>
      <c r="AS137">
        <v>0</v>
      </c>
      <c r="AT137" t="s">
        <v>1</v>
      </c>
      <c r="AU137" t="s">
        <v>1</v>
      </c>
      <c r="AV137" t="s">
        <v>1</v>
      </c>
      <c r="AW137">
        <v>0</v>
      </c>
      <c r="AX137">
        <v>1200</v>
      </c>
      <c r="AY137">
        <v>23300</v>
      </c>
      <c r="AZ137">
        <v>0</v>
      </c>
      <c r="BA137">
        <v>0</v>
      </c>
      <c r="BB137" t="s">
        <v>1</v>
      </c>
      <c r="BC137" t="s">
        <v>758</v>
      </c>
      <c r="BD137" t="s">
        <v>198</v>
      </c>
      <c r="BE137" t="s">
        <v>1</v>
      </c>
      <c r="BF137" t="s">
        <v>1</v>
      </c>
      <c r="BG137" t="s">
        <v>1</v>
      </c>
      <c r="BH137">
        <v>0</v>
      </c>
      <c r="BI137">
        <v>0</v>
      </c>
      <c r="BJ137" t="s">
        <v>722</v>
      </c>
      <c r="BK137" t="s">
        <v>1</v>
      </c>
      <c r="BL137" t="s">
        <v>1138</v>
      </c>
      <c r="BM137">
        <v>0</v>
      </c>
      <c r="BN137">
        <v>24500</v>
      </c>
      <c r="BO137">
        <v>0</v>
      </c>
      <c r="BP137">
        <v>0</v>
      </c>
      <c r="BQ137">
        <v>0</v>
      </c>
      <c r="BR137" t="s">
        <v>1</v>
      </c>
      <c r="BS137" t="s">
        <v>1</v>
      </c>
      <c r="BT137" t="s">
        <v>1</v>
      </c>
      <c r="BU137" t="s">
        <v>1</v>
      </c>
      <c r="BV137" t="s">
        <v>1</v>
      </c>
      <c r="BW137" t="s">
        <v>360</v>
      </c>
      <c r="BX137" t="s">
        <v>1</v>
      </c>
      <c r="BY137">
        <v>0</v>
      </c>
      <c r="BZ137">
        <v>0</v>
      </c>
      <c r="CA137">
        <v>0</v>
      </c>
      <c r="CB137">
        <v>0</v>
      </c>
      <c r="CD137" t="str" cm="1">
        <f t="array" aca="1" ref="CD137" ca="1">eConcatenar(A137:CB137,"|")</f>
        <v>2BhJRq1qBdhoaiSJ|VSA2021-1633|3|DIGNITY|TABASCO|VILLAHERMOSA |VILLAHERMOSA |2021-09-29|24500|X|X|200|1|0|X|X|X|X|X|X|X|X|X|X|X|X|0|ELSY|SUAREZ|MORALES|0|X|X|CARRETERA VILLAHERMOSA SIN NUMERO|RANCHERIA MARIN KILOMETRO 140 |X|9141271284|X|X|0|CARRETERA VILLAHERMOSA SIN NUMERO|X|2|0|0|X|X|X|0|1200|23300|0|0|X|2021-12-15|2021-12-30|X|X|X|0|0|S35D6D3Y9KVTQ1|X|MUJER|0|24500|0|0|0|X|X|X|X|X|VILLAHERMOSA |X|0|0|0|0</v>
      </c>
    </row>
    <row r="138" spans="1:82" x14ac:dyDescent="0.25">
      <c r="A138" t="s">
        <v>1139</v>
      </c>
      <c r="B138" t="s">
        <v>1140</v>
      </c>
      <c r="C138">
        <v>3</v>
      </c>
      <c r="D138" t="s">
        <v>741</v>
      </c>
      <c r="E138" t="s">
        <v>359</v>
      </c>
      <c r="F138" t="s">
        <v>360</v>
      </c>
      <c r="G138" t="s">
        <v>360</v>
      </c>
      <c r="H138" t="s">
        <v>1141</v>
      </c>
      <c r="I138">
        <v>14800</v>
      </c>
      <c r="J138" t="s">
        <v>1</v>
      </c>
      <c r="K138" t="s">
        <v>1</v>
      </c>
      <c r="L138">
        <v>200</v>
      </c>
      <c r="M138">
        <v>1</v>
      </c>
      <c r="N138">
        <v>0</v>
      </c>
      <c r="O138" t="s">
        <v>1</v>
      </c>
      <c r="P138" t="s">
        <v>1</v>
      </c>
      <c r="Q138" t="s">
        <v>1</v>
      </c>
      <c r="R138" t="s">
        <v>1</v>
      </c>
      <c r="S138" t="s">
        <v>1</v>
      </c>
      <c r="T138" t="s">
        <v>1</v>
      </c>
      <c r="U138" t="s">
        <v>1</v>
      </c>
      <c r="V138" t="s">
        <v>1</v>
      </c>
      <c r="W138" t="s">
        <v>1</v>
      </c>
      <c r="X138" t="s">
        <v>1</v>
      </c>
      <c r="Y138" t="s">
        <v>1</v>
      </c>
      <c r="Z138" t="s">
        <v>1</v>
      </c>
      <c r="AA138">
        <v>0</v>
      </c>
      <c r="AB138" t="s">
        <v>1142</v>
      </c>
      <c r="AC138" t="s">
        <v>1143</v>
      </c>
      <c r="AD138" t="s">
        <v>1144</v>
      </c>
      <c r="AE138">
        <v>0</v>
      </c>
      <c r="AF138" t="s">
        <v>1</v>
      </c>
      <c r="AG138" t="s">
        <v>1</v>
      </c>
      <c r="AH138" t="s">
        <v>1145</v>
      </c>
      <c r="AI138" t="s">
        <v>1146</v>
      </c>
      <c r="AJ138" t="s">
        <v>1</v>
      </c>
      <c r="AK138">
        <v>9933861470</v>
      </c>
      <c r="AL138" t="s">
        <v>1</v>
      </c>
      <c r="AM138" t="s">
        <v>1</v>
      </c>
      <c r="AN138">
        <v>0</v>
      </c>
      <c r="AO138" t="s">
        <v>1145</v>
      </c>
      <c r="AP138" t="s">
        <v>1</v>
      </c>
      <c r="AQ138">
        <v>3</v>
      </c>
      <c r="AR138">
        <v>0</v>
      </c>
      <c r="AS138">
        <v>0</v>
      </c>
      <c r="AT138" t="s">
        <v>1</v>
      </c>
      <c r="AU138" t="s">
        <v>1</v>
      </c>
      <c r="AV138" t="s">
        <v>1</v>
      </c>
      <c r="AW138">
        <v>0</v>
      </c>
      <c r="AX138">
        <v>1000</v>
      </c>
      <c r="AY138">
        <v>13800</v>
      </c>
      <c r="AZ138">
        <v>0</v>
      </c>
      <c r="BA138">
        <v>0</v>
      </c>
      <c r="BB138" t="s">
        <v>1</v>
      </c>
      <c r="BC138" t="s">
        <v>730</v>
      </c>
      <c r="BD138" t="s">
        <v>198</v>
      </c>
      <c r="BE138" t="s">
        <v>1</v>
      </c>
      <c r="BF138" t="s">
        <v>1</v>
      </c>
      <c r="BG138" t="s">
        <v>1</v>
      </c>
      <c r="BH138">
        <v>0</v>
      </c>
      <c r="BI138">
        <v>0</v>
      </c>
      <c r="BJ138" t="s">
        <v>722</v>
      </c>
      <c r="BK138" t="s">
        <v>1</v>
      </c>
      <c r="BL138" t="s">
        <v>1138</v>
      </c>
      <c r="BM138">
        <v>0</v>
      </c>
      <c r="BN138">
        <v>14800</v>
      </c>
      <c r="BO138">
        <v>0</v>
      </c>
      <c r="BP138">
        <v>0</v>
      </c>
      <c r="BQ138">
        <v>0</v>
      </c>
      <c r="BR138" t="s">
        <v>1</v>
      </c>
      <c r="BS138" t="s">
        <v>1</v>
      </c>
      <c r="BT138" t="s">
        <v>1</v>
      </c>
      <c r="BU138" t="s">
        <v>1</v>
      </c>
      <c r="BV138" t="s">
        <v>1</v>
      </c>
      <c r="BW138" t="s">
        <v>360</v>
      </c>
      <c r="BX138" t="s">
        <v>1</v>
      </c>
      <c r="BY138">
        <v>0</v>
      </c>
      <c r="BZ138">
        <v>0</v>
      </c>
      <c r="CA138">
        <v>0</v>
      </c>
      <c r="CB138">
        <v>0</v>
      </c>
      <c r="CD138" t="str" cm="1">
        <f t="array" aca="1" ref="CD138" ca="1">eConcatenar(A138:CB138,"|")</f>
        <v>neuhGpfxdi9i3LzJ|VSA2021-1728|3|MEMORIAL|TABASCO|VILLAHERMOSA |VILLAHERMOSA |2021-10-18|14800|X|X|200|1|0|X|X|X|X|X|X|X|X|X|X|X|X|0|FELIPA |OCHOA |VASCONCELOS |0|X|X|RANCHERIA PLATANO Y CACAO SEGUNDA SECO|ENTRADA LA FLECHA SIN NUMERO |X|9933861470|X|X|0|RANCHERIA PLATANO Y CACAO SEGUNDA SECO|X|3|0|0|X|X|X|0|1000|13800|0|0|X|2021-12-16|2021-12-30|X|X|X|0|0|S35D6D3Y9KVTQ1|X|MUJER|0|14800|0|0|0|X|X|X|X|X|VILLAHERMOSA |X|0|0|0|0</v>
      </c>
    </row>
    <row r="139" spans="1:82" x14ac:dyDescent="0.25">
      <c r="A139" t="s">
        <v>1147</v>
      </c>
      <c r="B139" t="s">
        <v>1148</v>
      </c>
      <c r="C139">
        <v>3</v>
      </c>
      <c r="D139" t="s">
        <v>741</v>
      </c>
      <c r="E139" t="s">
        <v>359</v>
      </c>
      <c r="F139" t="s">
        <v>360</v>
      </c>
      <c r="G139" t="s">
        <v>360</v>
      </c>
      <c r="H139" t="s">
        <v>1149</v>
      </c>
      <c r="I139">
        <v>14800</v>
      </c>
      <c r="J139" t="s">
        <v>1</v>
      </c>
      <c r="K139" t="s">
        <v>1</v>
      </c>
      <c r="L139">
        <v>100</v>
      </c>
      <c r="M139">
        <v>0</v>
      </c>
      <c r="N139">
        <v>0</v>
      </c>
      <c r="O139" t="s">
        <v>1</v>
      </c>
      <c r="P139" t="s">
        <v>1</v>
      </c>
      <c r="Q139" t="s">
        <v>1</v>
      </c>
      <c r="R139" t="s">
        <v>1</v>
      </c>
      <c r="S139" t="s">
        <v>1</v>
      </c>
      <c r="T139" t="s">
        <v>1</v>
      </c>
      <c r="U139" t="s">
        <v>1</v>
      </c>
      <c r="V139" t="s">
        <v>1</v>
      </c>
      <c r="W139" t="s">
        <v>1</v>
      </c>
      <c r="X139" t="s">
        <v>1</v>
      </c>
      <c r="Y139" t="s">
        <v>1</v>
      </c>
      <c r="Z139" t="s">
        <v>1</v>
      </c>
      <c r="AA139">
        <v>0</v>
      </c>
      <c r="AB139" t="s">
        <v>782</v>
      </c>
      <c r="AC139" t="s">
        <v>752</v>
      </c>
      <c r="AD139" t="s">
        <v>1150</v>
      </c>
      <c r="AE139">
        <v>0</v>
      </c>
      <c r="AF139" t="s">
        <v>1</v>
      </c>
      <c r="AG139" t="s">
        <v>1</v>
      </c>
      <c r="AH139" t="s">
        <v>1151</v>
      </c>
      <c r="AI139" t="s">
        <v>1152</v>
      </c>
      <c r="AJ139" t="s">
        <v>1</v>
      </c>
      <c r="AK139">
        <v>9931974522</v>
      </c>
      <c r="AL139" t="s">
        <v>1</v>
      </c>
      <c r="AM139" t="s">
        <v>1</v>
      </c>
      <c r="AN139">
        <v>0</v>
      </c>
      <c r="AO139" t="s">
        <v>1151</v>
      </c>
      <c r="AP139" t="s">
        <v>1</v>
      </c>
      <c r="AQ139">
        <v>3</v>
      </c>
      <c r="AR139">
        <v>0</v>
      </c>
      <c r="AS139">
        <v>0</v>
      </c>
      <c r="AT139" t="s">
        <v>1</v>
      </c>
      <c r="AU139" t="s">
        <v>1</v>
      </c>
      <c r="AV139" t="s">
        <v>1</v>
      </c>
      <c r="AW139">
        <v>0</v>
      </c>
      <c r="AX139">
        <v>700</v>
      </c>
      <c r="AY139">
        <v>14100</v>
      </c>
      <c r="AZ139">
        <v>0</v>
      </c>
      <c r="BA139">
        <v>0</v>
      </c>
      <c r="BB139" t="s">
        <v>1</v>
      </c>
      <c r="BC139" t="s">
        <v>796</v>
      </c>
      <c r="BD139" t="s">
        <v>452</v>
      </c>
      <c r="BE139" t="s">
        <v>1</v>
      </c>
      <c r="BF139" t="s">
        <v>1</v>
      </c>
      <c r="BG139" t="s">
        <v>1</v>
      </c>
      <c r="BH139">
        <v>0</v>
      </c>
      <c r="BI139">
        <v>0</v>
      </c>
      <c r="BJ139" t="s">
        <v>722</v>
      </c>
      <c r="BK139" t="s">
        <v>1</v>
      </c>
      <c r="BL139" t="s">
        <v>1138</v>
      </c>
      <c r="BM139">
        <v>0</v>
      </c>
      <c r="BN139">
        <v>14800</v>
      </c>
      <c r="BO139">
        <v>0</v>
      </c>
      <c r="BP139">
        <v>0</v>
      </c>
      <c r="BQ139">
        <v>0</v>
      </c>
      <c r="BR139" t="s">
        <v>1</v>
      </c>
      <c r="BS139" t="s">
        <v>1</v>
      </c>
      <c r="BT139" t="s">
        <v>1</v>
      </c>
      <c r="BU139" t="s">
        <v>1</v>
      </c>
      <c r="BV139" t="s">
        <v>1</v>
      </c>
      <c r="BW139" t="s">
        <v>360</v>
      </c>
      <c r="BX139" t="s">
        <v>1</v>
      </c>
      <c r="BY139">
        <v>0</v>
      </c>
      <c r="BZ139">
        <v>0</v>
      </c>
      <c r="CA139">
        <v>0</v>
      </c>
      <c r="CB139">
        <v>0</v>
      </c>
      <c r="CD139" t="str" cm="1">
        <f t="array" aca="1" ref="CD139" ca="1">eConcatenar(A139:CB139,"|")</f>
        <v>e6jJL2WmawWkxe7T|VSA2021-1537|3|MEMORIAL|TABASCO|VILLAHERMOSA |VILLAHERMOSA |2021-09-15|14800|X|X|100|0|0|X|X|X|X|X|X|X|X|X|X|X|X|0|DIAZ|IZQUIERDO|ADELIT|0|X|X|ENTRADA LA RATONERA |RANCHERIA PLATANO Y CACAO  CUARTA  SECCCION |X|9931974522|X|X|0|ENTRADA LA RATONERA |X|3|0|0|X|X|X|0|700|14100|0|0|X|2021-04-11|2021-11-11|X|X|X|0|0|S35D6D3Y9KVTQ1|X|MUJER|0|14800|0|0|0|X|X|X|X|X|VILLAHERMOSA |X|0|0|0|0</v>
      </c>
    </row>
    <row r="140" spans="1:82" x14ac:dyDescent="0.25">
      <c r="A140" t="s">
        <v>1153</v>
      </c>
      <c r="B140" t="s">
        <v>1154</v>
      </c>
      <c r="C140">
        <v>3</v>
      </c>
      <c r="D140" t="s">
        <v>741</v>
      </c>
      <c r="E140" t="s">
        <v>359</v>
      </c>
      <c r="F140" t="s">
        <v>360</v>
      </c>
      <c r="G140" t="s">
        <v>360</v>
      </c>
      <c r="H140" t="s">
        <v>1092</v>
      </c>
      <c r="I140">
        <v>14800</v>
      </c>
      <c r="J140" t="s">
        <v>1</v>
      </c>
      <c r="K140" t="s">
        <v>1</v>
      </c>
      <c r="L140">
        <v>100</v>
      </c>
      <c r="M140">
        <v>0</v>
      </c>
      <c r="N140">
        <v>0</v>
      </c>
      <c r="O140" t="s">
        <v>1</v>
      </c>
      <c r="P140" t="s">
        <v>1</v>
      </c>
      <c r="Q140" t="s">
        <v>1</v>
      </c>
      <c r="R140" t="s">
        <v>1</v>
      </c>
      <c r="S140" t="s">
        <v>1</v>
      </c>
      <c r="T140" t="s">
        <v>1</v>
      </c>
      <c r="U140" t="s">
        <v>1</v>
      </c>
      <c r="V140" t="s">
        <v>1</v>
      </c>
      <c r="W140" t="s">
        <v>1</v>
      </c>
      <c r="X140" t="s">
        <v>1</v>
      </c>
      <c r="Y140" t="s">
        <v>1</v>
      </c>
      <c r="Z140" t="s">
        <v>1</v>
      </c>
      <c r="AA140">
        <v>0</v>
      </c>
      <c r="AB140" t="s">
        <v>1155</v>
      </c>
      <c r="AC140" t="s">
        <v>820</v>
      </c>
      <c r="AD140" t="s">
        <v>1156</v>
      </c>
      <c r="AE140">
        <v>0</v>
      </c>
      <c r="AF140" t="s">
        <v>1</v>
      </c>
      <c r="AG140" t="s">
        <v>1</v>
      </c>
      <c r="AH140" t="s">
        <v>1157</v>
      </c>
      <c r="AI140" t="s">
        <v>1158</v>
      </c>
      <c r="AJ140" t="s">
        <v>1</v>
      </c>
      <c r="AK140">
        <v>9934230971</v>
      </c>
      <c r="AL140" t="s">
        <v>1</v>
      </c>
      <c r="AM140" t="s">
        <v>1</v>
      </c>
      <c r="AN140">
        <v>0</v>
      </c>
      <c r="AO140" t="s">
        <v>1157</v>
      </c>
      <c r="AP140" t="s">
        <v>1</v>
      </c>
      <c r="AQ140">
        <v>3</v>
      </c>
      <c r="AR140">
        <v>0</v>
      </c>
      <c r="AS140">
        <v>0</v>
      </c>
      <c r="AT140" t="s">
        <v>1</v>
      </c>
      <c r="AU140" t="s">
        <v>1</v>
      </c>
      <c r="AV140" t="s">
        <v>1</v>
      </c>
      <c r="AW140">
        <v>0</v>
      </c>
      <c r="AX140">
        <v>300</v>
      </c>
      <c r="AY140">
        <v>14500</v>
      </c>
      <c r="AZ140">
        <v>0</v>
      </c>
      <c r="BA140">
        <v>0</v>
      </c>
      <c r="BB140" t="s">
        <v>1</v>
      </c>
      <c r="BC140" t="s">
        <v>730</v>
      </c>
      <c r="BD140" t="s">
        <v>1159</v>
      </c>
      <c r="BE140" t="s">
        <v>1</v>
      </c>
      <c r="BF140" t="s">
        <v>1</v>
      </c>
      <c r="BG140" t="s">
        <v>1</v>
      </c>
      <c r="BH140">
        <v>0</v>
      </c>
      <c r="BI140">
        <v>0</v>
      </c>
      <c r="BJ140" t="s">
        <v>722</v>
      </c>
      <c r="BK140" t="s">
        <v>1</v>
      </c>
      <c r="BL140" t="s">
        <v>1138</v>
      </c>
      <c r="BM140">
        <v>0</v>
      </c>
      <c r="BN140">
        <v>14800</v>
      </c>
      <c r="BO140">
        <v>0</v>
      </c>
      <c r="BP140">
        <v>0</v>
      </c>
      <c r="BQ140">
        <v>0</v>
      </c>
      <c r="BR140" t="s">
        <v>1</v>
      </c>
      <c r="BS140" t="s">
        <v>1</v>
      </c>
      <c r="BT140" t="s">
        <v>1</v>
      </c>
      <c r="BU140" t="s">
        <v>1</v>
      </c>
      <c r="BV140" t="s">
        <v>1</v>
      </c>
      <c r="BW140" t="s">
        <v>360</v>
      </c>
      <c r="BX140" t="s">
        <v>1</v>
      </c>
      <c r="BY140">
        <v>0</v>
      </c>
      <c r="BZ140">
        <v>0</v>
      </c>
      <c r="CA140">
        <v>0</v>
      </c>
      <c r="CB140">
        <v>0</v>
      </c>
      <c r="CD140" t="str" cm="1">
        <f t="array" aca="1" ref="CD140" ca="1">eConcatenar(A140:CB140,"|")</f>
        <v>tvxFKpXuogssfrxB|VSA2021-1904|3|MEMORIAL|TABASCO|VILLAHERMOSA |VILLAHERMOSA |2021-11-24|14800|X|X|100|0|0|X|X|X|X|X|X|X|X|X|X|X|X|0|VAZCONCELOS|LAZARO|LORENA |0|X|X|CALLE PRINCIPAL ENTRADA |COLONIA LAZARO CARDENAS PRIMERA SECCION |X|9934230971|X|X|0|CALLE PRINCIPAL ENTRADA |X|3|0|0|X|X|X|0|300|14500|0|0|X|2021-12-16|2021-12-23|X|X|X|0|0|S35D6D3Y9KVTQ1|X|MUJER|0|14800|0|0|0|X|X|X|X|X|VILLAHERMOSA |X|0|0|0|0</v>
      </c>
    </row>
    <row r="141" spans="1:82" x14ac:dyDescent="0.25">
      <c r="A141" t="s">
        <v>1160</v>
      </c>
      <c r="B141" t="s">
        <v>1161</v>
      </c>
      <c r="C141">
        <v>3</v>
      </c>
      <c r="D141" t="s">
        <v>741</v>
      </c>
      <c r="E141" t="s">
        <v>359</v>
      </c>
      <c r="F141" t="s">
        <v>360</v>
      </c>
      <c r="G141" t="s">
        <v>360</v>
      </c>
      <c r="H141" t="s">
        <v>558</v>
      </c>
      <c r="I141">
        <v>14800</v>
      </c>
      <c r="J141" t="s">
        <v>1</v>
      </c>
      <c r="K141" t="s">
        <v>1</v>
      </c>
      <c r="L141">
        <v>200</v>
      </c>
      <c r="M141">
        <v>1</v>
      </c>
      <c r="N141">
        <v>0</v>
      </c>
      <c r="O141" t="s">
        <v>1</v>
      </c>
      <c r="P141" t="s">
        <v>1</v>
      </c>
      <c r="Q141" t="s">
        <v>1</v>
      </c>
      <c r="R141" t="s">
        <v>1</v>
      </c>
      <c r="S141" t="s">
        <v>1</v>
      </c>
      <c r="T141" t="s">
        <v>1</v>
      </c>
      <c r="U141" t="s">
        <v>1</v>
      </c>
      <c r="V141" t="s">
        <v>1</v>
      </c>
      <c r="W141" t="s">
        <v>1</v>
      </c>
      <c r="X141" t="s">
        <v>1</v>
      </c>
      <c r="Y141" t="s">
        <v>1</v>
      </c>
      <c r="Z141" t="s">
        <v>1</v>
      </c>
      <c r="AA141">
        <v>0</v>
      </c>
      <c r="AB141" t="s">
        <v>752</v>
      </c>
      <c r="AC141" t="s">
        <v>248</v>
      </c>
      <c r="AD141" t="s">
        <v>1162</v>
      </c>
      <c r="AE141">
        <v>0</v>
      </c>
      <c r="AF141" t="s">
        <v>1</v>
      </c>
      <c r="AG141" t="s">
        <v>1</v>
      </c>
      <c r="AH141" t="s">
        <v>1163</v>
      </c>
      <c r="AI141" t="s">
        <v>1164</v>
      </c>
      <c r="AJ141" t="s">
        <v>1</v>
      </c>
      <c r="AK141">
        <v>9616501337</v>
      </c>
      <c r="AL141" t="s">
        <v>1165</v>
      </c>
      <c r="AM141" t="s">
        <v>1166</v>
      </c>
      <c r="AN141">
        <v>0</v>
      </c>
      <c r="AO141" t="s">
        <v>1163</v>
      </c>
      <c r="AP141" t="s">
        <v>1</v>
      </c>
      <c r="AQ141">
        <v>3</v>
      </c>
      <c r="AR141">
        <v>0</v>
      </c>
      <c r="AS141">
        <v>0</v>
      </c>
      <c r="AT141" t="s">
        <v>1</v>
      </c>
      <c r="AU141" t="s">
        <v>1</v>
      </c>
      <c r="AV141" t="s">
        <v>1</v>
      </c>
      <c r="AW141">
        <v>0</v>
      </c>
      <c r="AX141">
        <v>1600</v>
      </c>
      <c r="AY141">
        <v>13200</v>
      </c>
      <c r="AZ141">
        <v>0</v>
      </c>
      <c r="BA141">
        <v>0</v>
      </c>
      <c r="BB141" t="s">
        <v>1</v>
      </c>
      <c r="BC141" t="s">
        <v>748</v>
      </c>
      <c r="BD141" t="s">
        <v>730</v>
      </c>
      <c r="BE141" t="s">
        <v>1</v>
      </c>
      <c r="BF141" t="s">
        <v>1</v>
      </c>
      <c r="BG141" t="s">
        <v>1</v>
      </c>
      <c r="BH141">
        <v>0</v>
      </c>
      <c r="BI141">
        <v>0</v>
      </c>
      <c r="BJ141" t="s">
        <v>722</v>
      </c>
      <c r="BK141" t="s">
        <v>1</v>
      </c>
      <c r="BL141" t="s">
        <v>132</v>
      </c>
      <c r="BM141">
        <v>0</v>
      </c>
      <c r="BN141">
        <v>14800</v>
      </c>
      <c r="BO141">
        <v>0</v>
      </c>
      <c r="BP141">
        <v>0</v>
      </c>
      <c r="BQ141">
        <v>0</v>
      </c>
      <c r="BR141" t="s">
        <v>1</v>
      </c>
      <c r="BS141" t="s">
        <v>1</v>
      </c>
      <c r="BT141" t="s">
        <v>1</v>
      </c>
      <c r="BU141" t="s">
        <v>1</v>
      </c>
      <c r="BV141" t="s">
        <v>1</v>
      </c>
      <c r="BW141" t="s">
        <v>360</v>
      </c>
      <c r="BX141" t="s">
        <v>1</v>
      </c>
      <c r="BY141">
        <v>0</v>
      </c>
      <c r="BZ141">
        <v>0</v>
      </c>
      <c r="CA141">
        <v>0</v>
      </c>
      <c r="CB141">
        <v>0</v>
      </c>
      <c r="CD141" t="str" cm="1">
        <f t="array" aca="1" ref="CD141" ca="1">eConcatenar(A141:CB141,"|")</f>
        <v>gHyMIZKUhorNUygy|VSA2021-1420|3|MEMORIAL|TABASCO|VILLAHERMOSA |VILLAHERMOSA |2021-08-30|14800|X|X|200|1|0|X|X|X|X|X|X|X|X|X|X|X|X|0|IZQUIERDO|MORALES|ALBERTO|0|X|X|CARRETERA FEDERAL VILLAHERMOSA A CARDENAS KILOMETRO 135|POBLADO CUCUYULAPA CUNDUACAN |X|9616501337|LILI LOPEZ QUINTANA|LIDIA MORALES RIVERA|0|CARRETERA FEDERAL VILLAHERMOSA A CARDENAS KILOMETRO 135|X|3|0|0|X|X|X|0|1600|13200|0|0|X|2021-02-12|2021-12-16|X|X|X|0|0|S35D6D3Y9KVTQ1|X|HOMBRE|0|14800|0|0|0|X|X|X|X|X|VILLAHERMOSA |X|0|0|0|0</v>
      </c>
    </row>
    <row r="142" spans="1:82" x14ac:dyDescent="0.25">
      <c r="A142" t="s">
        <v>1167</v>
      </c>
      <c r="B142" t="s">
        <v>1168</v>
      </c>
      <c r="C142">
        <v>3</v>
      </c>
      <c r="D142" t="s">
        <v>741</v>
      </c>
      <c r="E142" t="s">
        <v>359</v>
      </c>
      <c r="F142" t="s">
        <v>360</v>
      </c>
      <c r="G142" t="s">
        <v>360</v>
      </c>
      <c r="H142" t="s">
        <v>837</v>
      </c>
      <c r="I142">
        <v>14800</v>
      </c>
      <c r="J142" t="s">
        <v>1</v>
      </c>
      <c r="K142" t="s">
        <v>1</v>
      </c>
      <c r="L142">
        <v>200</v>
      </c>
      <c r="M142">
        <v>1</v>
      </c>
      <c r="N142">
        <v>0</v>
      </c>
      <c r="O142" t="s">
        <v>1</v>
      </c>
      <c r="P142" t="s">
        <v>1</v>
      </c>
      <c r="Q142" t="s">
        <v>1</v>
      </c>
      <c r="R142" t="s">
        <v>1</v>
      </c>
      <c r="S142" t="s">
        <v>1</v>
      </c>
      <c r="T142" t="s">
        <v>1</v>
      </c>
      <c r="U142" t="s">
        <v>1</v>
      </c>
      <c r="V142" t="s">
        <v>1</v>
      </c>
      <c r="W142" t="s">
        <v>1</v>
      </c>
      <c r="X142" t="s">
        <v>1</v>
      </c>
      <c r="Y142" t="s">
        <v>1</v>
      </c>
      <c r="Z142" t="s">
        <v>1</v>
      </c>
      <c r="AA142">
        <v>0</v>
      </c>
      <c r="AB142" t="s">
        <v>199</v>
      </c>
      <c r="AC142" t="s">
        <v>248</v>
      </c>
      <c r="AD142" t="s">
        <v>1169</v>
      </c>
      <c r="AE142">
        <v>0</v>
      </c>
      <c r="AF142" t="s">
        <v>1</v>
      </c>
      <c r="AG142" t="s">
        <v>1</v>
      </c>
      <c r="AH142" t="s">
        <v>1170</v>
      </c>
      <c r="AI142" t="s">
        <v>1164</v>
      </c>
      <c r="AJ142" t="s">
        <v>1</v>
      </c>
      <c r="AK142">
        <v>9141149794</v>
      </c>
      <c r="AL142" t="s">
        <v>1171</v>
      </c>
      <c r="AM142" t="s">
        <v>1172</v>
      </c>
      <c r="AN142">
        <v>0</v>
      </c>
      <c r="AO142" t="s">
        <v>1170</v>
      </c>
      <c r="AP142" t="s">
        <v>1</v>
      </c>
      <c r="AQ142">
        <v>2</v>
      </c>
      <c r="AR142">
        <v>0</v>
      </c>
      <c r="AS142">
        <v>0</v>
      </c>
      <c r="AT142" t="s">
        <v>1</v>
      </c>
      <c r="AU142" t="s">
        <v>1</v>
      </c>
      <c r="AV142" t="s">
        <v>1</v>
      </c>
      <c r="AW142">
        <v>0</v>
      </c>
      <c r="AX142">
        <v>1500</v>
      </c>
      <c r="AY142">
        <v>13300</v>
      </c>
      <c r="AZ142">
        <v>0</v>
      </c>
      <c r="BA142">
        <v>0</v>
      </c>
      <c r="BB142" t="s">
        <v>1</v>
      </c>
      <c r="BC142" t="s">
        <v>758</v>
      </c>
      <c r="BD142" t="s">
        <v>198</v>
      </c>
      <c r="BE142" t="s">
        <v>1</v>
      </c>
      <c r="BF142" t="s">
        <v>1</v>
      </c>
      <c r="BG142" t="s">
        <v>1</v>
      </c>
      <c r="BH142">
        <v>0</v>
      </c>
      <c r="BI142">
        <v>0</v>
      </c>
      <c r="BJ142" t="s">
        <v>722</v>
      </c>
      <c r="BK142" t="s">
        <v>1</v>
      </c>
      <c r="BL142" t="s">
        <v>132</v>
      </c>
      <c r="BM142">
        <v>0</v>
      </c>
      <c r="BN142">
        <v>14800</v>
      </c>
      <c r="BO142">
        <v>0</v>
      </c>
      <c r="BP142">
        <v>0</v>
      </c>
      <c r="BQ142">
        <v>0</v>
      </c>
      <c r="BR142" t="s">
        <v>1</v>
      </c>
      <c r="BS142" t="s">
        <v>1</v>
      </c>
      <c r="BT142" t="s">
        <v>1</v>
      </c>
      <c r="BU142" t="s">
        <v>1</v>
      </c>
      <c r="BV142" t="s">
        <v>1</v>
      </c>
      <c r="BW142" t="s">
        <v>360</v>
      </c>
      <c r="BX142" t="s">
        <v>1</v>
      </c>
      <c r="BY142">
        <v>0</v>
      </c>
      <c r="BZ142">
        <v>0</v>
      </c>
      <c r="CA142">
        <v>0</v>
      </c>
      <c r="CB142">
        <v>0</v>
      </c>
      <c r="CD142" t="str" cm="1">
        <f t="array" aca="1" ref="CD142" ca="1">eConcatenar(A142:CB142,"|")</f>
        <v>0YToWUZ3n8wBqv68|VSA2021-1325|3|MEMORIAL|TABASCO|VILLAHERMOSA |VILLAHERMOSA |2021-08-19|14800|X|X|200|1|0|X|X|X|X|X|X|X|X|X|X|X|X|0|RAMOS|MORALES|IGNACIO|0|X|X|BULEVARD HERMINIO LUNA MORALES |POBLADO CUCUYULAPA CUNDUACAN |X|9141149794|IGNACIO JAVIER RAMOS HERNANDEZ |KARINA RAMOS HERNANDEZ|0|BULEVARD HERMINIO LUNA MORALES |X|2|0|0|X|X|X|0|1500|13300|0|0|X|2021-12-15|2021-12-30|X|X|X|0|0|S35D6D3Y9KVTQ1|X|HOMBRE|0|14800|0|0|0|X|X|X|X|X|VILLAHERMOSA |X|0|0|0|0</v>
      </c>
    </row>
    <row r="143" spans="1:82" x14ac:dyDescent="0.25">
      <c r="A143" t="s">
        <v>1173</v>
      </c>
      <c r="B143" t="s">
        <v>1174</v>
      </c>
      <c r="C143">
        <v>3</v>
      </c>
      <c r="D143" t="s">
        <v>741</v>
      </c>
      <c r="E143" t="s">
        <v>359</v>
      </c>
      <c r="F143" t="s">
        <v>360</v>
      </c>
      <c r="G143" t="s">
        <v>360</v>
      </c>
      <c r="H143" t="s">
        <v>828</v>
      </c>
      <c r="I143">
        <v>14800</v>
      </c>
      <c r="J143" t="s">
        <v>1</v>
      </c>
      <c r="K143" t="s">
        <v>1</v>
      </c>
      <c r="L143">
        <v>200</v>
      </c>
      <c r="M143">
        <v>1</v>
      </c>
      <c r="N143">
        <v>0</v>
      </c>
      <c r="O143" t="s">
        <v>1</v>
      </c>
      <c r="P143" t="s">
        <v>1</v>
      </c>
      <c r="Q143" t="s">
        <v>1</v>
      </c>
      <c r="R143" t="s">
        <v>1</v>
      </c>
      <c r="S143" t="s">
        <v>1</v>
      </c>
      <c r="T143" t="s">
        <v>1</v>
      </c>
      <c r="U143" t="s">
        <v>1</v>
      </c>
      <c r="V143" t="s">
        <v>1</v>
      </c>
      <c r="W143" t="s">
        <v>1</v>
      </c>
      <c r="X143" t="s">
        <v>1</v>
      </c>
      <c r="Y143" t="s">
        <v>1</v>
      </c>
      <c r="Z143" t="s">
        <v>1</v>
      </c>
      <c r="AA143">
        <v>0</v>
      </c>
      <c r="AB143" t="s">
        <v>1175</v>
      </c>
      <c r="AC143" t="s">
        <v>217</v>
      </c>
      <c r="AD143" t="s">
        <v>1176</v>
      </c>
      <c r="AE143">
        <v>0</v>
      </c>
      <c r="AF143" t="s">
        <v>1</v>
      </c>
      <c r="AG143" t="s">
        <v>1</v>
      </c>
      <c r="AH143" t="s">
        <v>1120</v>
      </c>
      <c r="AI143" t="s">
        <v>841</v>
      </c>
      <c r="AJ143" t="s">
        <v>1</v>
      </c>
      <c r="AK143">
        <v>9141238749</v>
      </c>
      <c r="AL143" t="s">
        <v>1177</v>
      </c>
      <c r="AM143" t="s">
        <v>1</v>
      </c>
      <c r="AN143">
        <v>0</v>
      </c>
      <c r="AO143" t="s">
        <v>1120</v>
      </c>
      <c r="AP143" t="s">
        <v>1</v>
      </c>
      <c r="AQ143">
        <v>2</v>
      </c>
      <c r="AR143">
        <v>0</v>
      </c>
      <c r="AS143">
        <v>0</v>
      </c>
      <c r="AT143" t="s">
        <v>1</v>
      </c>
      <c r="AU143" t="s">
        <v>1</v>
      </c>
      <c r="AV143" t="s">
        <v>1</v>
      </c>
      <c r="AW143">
        <v>0</v>
      </c>
      <c r="AX143">
        <v>2300</v>
      </c>
      <c r="AY143">
        <v>12500</v>
      </c>
      <c r="AZ143">
        <v>0</v>
      </c>
      <c r="BA143">
        <v>0</v>
      </c>
      <c r="BB143" t="s">
        <v>1</v>
      </c>
      <c r="BC143" t="s">
        <v>758</v>
      </c>
      <c r="BD143" t="s">
        <v>198</v>
      </c>
      <c r="BE143" t="s">
        <v>1</v>
      </c>
      <c r="BF143" t="s">
        <v>1</v>
      </c>
      <c r="BG143" t="s">
        <v>1</v>
      </c>
      <c r="BH143">
        <v>0</v>
      </c>
      <c r="BI143">
        <v>0</v>
      </c>
      <c r="BJ143" t="s">
        <v>722</v>
      </c>
      <c r="BK143" t="s">
        <v>1</v>
      </c>
      <c r="BL143" t="s">
        <v>132</v>
      </c>
      <c r="BM143">
        <v>0</v>
      </c>
      <c r="BN143">
        <v>14800</v>
      </c>
      <c r="BO143">
        <v>0</v>
      </c>
      <c r="BP143">
        <v>0</v>
      </c>
      <c r="BQ143">
        <v>0</v>
      </c>
      <c r="BR143" t="s">
        <v>1</v>
      </c>
      <c r="BS143" t="s">
        <v>1</v>
      </c>
      <c r="BT143" t="s">
        <v>1</v>
      </c>
      <c r="BU143" t="s">
        <v>1</v>
      </c>
      <c r="BV143" t="s">
        <v>1</v>
      </c>
      <c r="BW143" t="s">
        <v>360</v>
      </c>
      <c r="BX143" t="s">
        <v>1</v>
      </c>
      <c r="BY143">
        <v>0</v>
      </c>
      <c r="BZ143">
        <v>0</v>
      </c>
      <c r="CA143">
        <v>0</v>
      </c>
      <c r="CB143">
        <v>0</v>
      </c>
      <c r="CD143" t="str" cm="1">
        <f t="array" aca="1" ref="CD143" ca="1">eConcatenar(A143:CB143,"|")</f>
        <v>rlej6vHEkoiDe8fS|VSA2021-1296|3|MEMORIAL|TABASCO|VILLAHERMOSA |VILLAHERMOSA |2021-08-17|14800|X|X|200|1|0|X|X|X|X|X|X|X|X|X|X|X|X|0|CALIX|HERNANDEZ|PEDRO|0|X|X|CARRETERA CARDENAS VILLAHERMOSA SIN NUMERO|POBLADO CUCUYULAPA |X|9141238749|VIRGINIA CALIX HERNANDEZ|X|0|CARRETERA CARDENAS VILLAHERMOSA SIN NUMERO|X|2|0|0|X|X|X|0|2300|12500|0|0|X|2021-12-15|2021-12-30|X|X|X|0|0|S35D6D3Y9KVTQ1|X|HOMBRE|0|14800|0|0|0|X|X|X|X|X|VILLAHERMOSA |X|0|0|0|0</v>
      </c>
    </row>
    <row r="144" spans="1:82" x14ac:dyDescent="0.25">
      <c r="A144" t="s">
        <v>1178</v>
      </c>
      <c r="B144" t="s">
        <v>1179</v>
      </c>
      <c r="C144">
        <v>3</v>
      </c>
      <c r="D144" t="s">
        <v>741</v>
      </c>
      <c r="E144" t="s">
        <v>359</v>
      </c>
      <c r="F144" t="s">
        <v>360</v>
      </c>
      <c r="G144" t="s">
        <v>360</v>
      </c>
      <c r="H144" t="s">
        <v>1180</v>
      </c>
      <c r="I144">
        <v>14800</v>
      </c>
      <c r="J144" t="s">
        <v>1</v>
      </c>
      <c r="K144" t="s">
        <v>1</v>
      </c>
      <c r="L144">
        <v>200</v>
      </c>
      <c r="M144">
        <v>1</v>
      </c>
      <c r="N144">
        <v>0</v>
      </c>
      <c r="O144" t="s">
        <v>1</v>
      </c>
      <c r="P144" t="s">
        <v>1</v>
      </c>
      <c r="Q144" t="s">
        <v>1</v>
      </c>
      <c r="R144" t="s">
        <v>1</v>
      </c>
      <c r="S144" t="s">
        <v>1</v>
      </c>
      <c r="T144" t="s">
        <v>1</v>
      </c>
      <c r="U144" t="s">
        <v>1</v>
      </c>
      <c r="V144" t="s">
        <v>1</v>
      </c>
      <c r="W144" t="s">
        <v>1</v>
      </c>
      <c r="X144" t="s">
        <v>1</v>
      </c>
      <c r="Y144" t="s">
        <v>1</v>
      </c>
      <c r="Z144" t="s">
        <v>1</v>
      </c>
      <c r="AA144">
        <v>0</v>
      </c>
      <c r="AB144" t="s">
        <v>1181</v>
      </c>
      <c r="AC144" t="s">
        <v>791</v>
      </c>
      <c r="AD144" t="s">
        <v>1182</v>
      </c>
      <c r="AE144">
        <v>0</v>
      </c>
      <c r="AF144" t="s">
        <v>1</v>
      </c>
      <c r="AG144" t="s">
        <v>1</v>
      </c>
      <c r="AH144" t="s">
        <v>1183</v>
      </c>
      <c r="AI144" t="s">
        <v>1184</v>
      </c>
      <c r="AJ144" t="s">
        <v>1</v>
      </c>
      <c r="AK144">
        <v>9931725209</v>
      </c>
      <c r="AL144" t="s">
        <v>1185</v>
      </c>
      <c r="AM144" t="s">
        <v>1186</v>
      </c>
      <c r="AN144">
        <v>0</v>
      </c>
      <c r="AO144" t="s">
        <v>1183</v>
      </c>
      <c r="AP144" t="s">
        <v>1</v>
      </c>
      <c r="AQ144">
        <v>3</v>
      </c>
      <c r="AR144">
        <v>0</v>
      </c>
      <c r="AS144">
        <v>0</v>
      </c>
      <c r="AT144" t="s">
        <v>1</v>
      </c>
      <c r="AU144" t="s">
        <v>1</v>
      </c>
      <c r="AV144" t="s">
        <v>1</v>
      </c>
      <c r="AW144">
        <v>0</v>
      </c>
      <c r="AX144">
        <v>1800</v>
      </c>
      <c r="AY144">
        <v>13000</v>
      </c>
      <c r="AZ144">
        <v>0</v>
      </c>
      <c r="BA144">
        <v>0</v>
      </c>
      <c r="BB144" t="s">
        <v>1</v>
      </c>
      <c r="BC144" t="s">
        <v>730</v>
      </c>
      <c r="BD144" t="s">
        <v>147</v>
      </c>
      <c r="BE144" t="s">
        <v>1</v>
      </c>
      <c r="BF144" t="s">
        <v>1</v>
      </c>
      <c r="BG144" t="s">
        <v>1</v>
      </c>
      <c r="BH144">
        <v>0</v>
      </c>
      <c r="BI144">
        <v>0</v>
      </c>
      <c r="BJ144" t="s">
        <v>722</v>
      </c>
      <c r="BK144" t="s">
        <v>1</v>
      </c>
      <c r="BL144" t="s">
        <v>1138</v>
      </c>
      <c r="BM144">
        <v>0</v>
      </c>
      <c r="BN144">
        <v>14800</v>
      </c>
      <c r="BO144">
        <v>0</v>
      </c>
      <c r="BP144">
        <v>0</v>
      </c>
      <c r="BQ144">
        <v>0</v>
      </c>
      <c r="BR144" t="s">
        <v>1</v>
      </c>
      <c r="BS144" t="s">
        <v>1</v>
      </c>
      <c r="BT144" t="s">
        <v>1</v>
      </c>
      <c r="BU144" t="s">
        <v>1</v>
      </c>
      <c r="BV144" t="s">
        <v>1</v>
      </c>
      <c r="BW144" t="s">
        <v>360</v>
      </c>
      <c r="BX144" t="s">
        <v>1</v>
      </c>
      <c r="BY144">
        <v>0</v>
      </c>
      <c r="BZ144">
        <v>0</v>
      </c>
      <c r="CA144">
        <v>0</v>
      </c>
      <c r="CB144">
        <v>0</v>
      </c>
      <c r="CD144" t="str" cm="1">
        <f t="array" aca="1" ref="CD144" ca="1">eConcatenar(A144:CB144,"|")</f>
        <v>Sw7PEYVdrJXdRXDS|VSA2021-1321|3|MEMORIAL|TABASCO|VILLAHERMOSA |VILLAHERMOSA |2021-08-18|14800|X|X|200|1|0|X|X|X|X|X|X|X|X|X|X|X|X|0|DIAZ |DE LOS SANTOS|ARGELIA|0|X|X|SECTOR LOS LEONES SIN NUMERO|RANCHERIA PLATANO Y CACAO PRIMERA SECCION |X|9931725209|MONICA PEREZ DIAZ|ELEAZAR PEREZ SUAREZ|0|SECTOR LOS LEONES SIN NUMERO|X|3|0|0|X|X|X|0|1800|13000|0|0|X|2021-12-16|2021-12-31|X|X|X|0|0|S35D6D3Y9KVTQ1|X|MUJER|0|14800|0|0|0|X|X|X|X|X|VILLAHERMOSA |X|0|0|0|0</v>
      </c>
    </row>
    <row r="145" spans="1:82" x14ac:dyDescent="0.25">
      <c r="A145" t="s">
        <v>1187</v>
      </c>
      <c r="B145" t="s">
        <v>1188</v>
      </c>
      <c r="C145">
        <v>3</v>
      </c>
      <c r="D145" t="s">
        <v>741</v>
      </c>
      <c r="E145" t="s">
        <v>359</v>
      </c>
      <c r="F145" t="s">
        <v>360</v>
      </c>
      <c r="G145" t="s">
        <v>360</v>
      </c>
      <c r="H145" t="s">
        <v>854</v>
      </c>
      <c r="I145">
        <v>14800</v>
      </c>
      <c r="J145" t="s">
        <v>1</v>
      </c>
      <c r="K145" t="s">
        <v>1</v>
      </c>
      <c r="L145">
        <v>200</v>
      </c>
      <c r="M145">
        <v>1</v>
      </c>
      <c r="N145">
        <v>0</v>
      </c>
      <c r="O145" t="s">
        <v>1</v>
      </c>
      <c r="P145" t="s">
        <v>1</v>
      </c>
      <c r="Q145" t="s">
        <v>1</v>
      </c>
      <c r="R145" t="s">
        <v>1</v>
      </c>
      <c r="S145" t="s">
        <v>1</v>
      </c>
      <c r="T145" t="s">
        <v>1</v>
      </c>
      <c r="U145" t="s">
        <v>1</v>
      </c>
      <c r="V145" t="s">
        <v>1</v>
      </c>
      <c r="W145" t="s">
        <v>1</v>
      </c>
      <c r="X145" t="s">
        <v>1</v>
      </c>
      <c r="Y145" t="s">
        <v>1</v>
      </c>
      <c r="Z145" t="s">
        <v>1</v>
      </c>
      <c r="AA145">
        <v>0</v>
      </c>
      <c r="AB145" t="s">
        <v>217</v>
      </c>
      <c r="AC145" t="s">
        <v>209</v>
      </c>
      <c r="AD145" t="s">
        <v>1189</v>
      </c>
      <c r="AE145">
        <v>0</v>
      </c>
      <c r="AF145" t="s">
        <v>1</v>
      </c>
      <c r="AG145" t="s">
        <v>1</v>
      </c>
      <c r="AH145" t="s">
        <v>1190</v>
      </c>
      <c r="AI145" t="s">
        <v>1191</v>
      </c>
      <c r="AJ145" t="s">
        <v>1</v>
      </c>
      <c r="AK145">
        <v>9381448927</v>
      </c>
      <c r="AL145" t="s">
        <v>1192</v>
      </c>
      <c r="AM145" t="s">
        <v>1193</v>
      </c>
      <c r="AN145">
        <v>0</v>
      </c>
      <c r="AO145" t="s">
        <v>1190</v>
      </c>
      <c r="AP145" t="s">
        <v>1</v>
      </c>
      <c r="AQ145">
        <v>2</v>
      </c>
      <c r="AR145">
        <v>0</v>
      </c>
      <c r="AS145">
        <v>0</v>
      </c>
      <c r="AT145" t="s">
        <v>1</v>
      </c>
      <c r="AU145" t="s">
        <v>1</v>
      </c>
      <c r="AV145" t="s">
        <v>1</v>
      </c>
      <c r="AW145">
        <v>0</v>
      </c>
      <c r="AX145">
        <v>2000</v>
      </c>
      <c r="AY145">
        <v>12800</v>
      </c>
      <c r="AZ145">
        <v>0</v>
      </c>
      <c r="BA145">
        <v>0</v>
      </c>
      <c r="BB145" t="s">
        <v>1</v>
      </c>
      <c r="BC145" t="s">
        <v>758</v>
      </c>
      <c r="BD145" t="s">
        <v>198</v>
      </c>
      <c r="BE145" t="s">
        <v>1</v>
      </c>
      <c r="BF145" t="s">
        <v>1</v>
      </c>
      <c r="BG145" t="s">
        <v>1</v>
      </c>
      <c r="BH145">
        <v>0</v>
      </c>
      <c r="BI145">
        <v>0</v>
      </c>
      <c r="BJ145" t="s">
        <v>722</v>
      </c>
      <c r="BK145" t="s">
        <v>1</v>
      </c>
      <c r="BL145" t="s">
        <v>1138</v>
      </c>
      <c r="BM145">
        <v>0</v>
      </c>
      <c r="BN145">
        <v>14800</v>
      </c>
      <c r="BO145">
        <v>0</v>
      </c>
      <c r="BP145">
        <v>0</v>
      </c>
      <c r="BQ145">
        <v>0</v>
      </c>
      <c r="BR145" t="s">
        <v>1</v>
      </c>
      <c r="BS145" t="s">
        <v>1</v>
      </c>
      <c r="BT145" t="s">
        <v>1</v>
      </c>
      <c r="BU145" t="s">
        <v>1</v>
      </c>
      <c r="BV145" t="s">
        <v>1</v>
      </c>
      <c r="BW145" t="s">
        <v>360</v>
      </c>
      <c r="BX145" t="s">
        <v>1</v>
      </c>
      <c r="BY145">
        <v>0</v>
      </c>
      <c r="BZ145">
        <v>0</v>
      </c>
      <c r="CA145">
        <v>0</v>
      </c>
      <c r="CB145">
        <v>0</v>
      </c>
      <c r="CD145" t="str" cm="1">
        <f t="array" aca="1" ref="CD145" ca="1">eConcatenar(A145:CB145,"|")</f>
        <v>4wAAUECGPIqglDuz|VSA2021-1362|3|MEMORIAL|TABASCO|VILLAHERMOSA |VILLAHERMOSA |2021-08-23|14800|X|X|200|1|0|X|X|X|X|X|X|X|X|X|X|X|X|0|HERNANDEZ|SANCHEZ|JESSICA LIZBETH|0|X|X|ENTRADA DE LA TORTILLERIA BETHEL SIN NUMERO|POBLADO CUCUYULAPA|X|9381448927|MIGUEL ANGELARELLANO JACOME |JOSE GERMAN HERNANDEZ SANCHEZ|0|ENTRADA DE LA TORTILLERIA BETHEL SIN NUMERO|X|2|0|0|X|X|X|0|2000|12800|0|0|X|2021-12-15|2021-12-30|X|X|X|0|0|S35D6D3Y9KVTQ1|X|MUJER|0|14800|0|0|0|X|X|X|X|X|VILLAHERMOSA |X|0|0|0|0</v>
      </c>
    </row>
    <row r="146" spans="1:82" x14ac:dyDescent="0.25">
      <c r="A146" t="s">
        <v>1194</v>
      </c>
      <c r="B146" t="s">
        <v>1195</v>
      </c>
      <c r="C146">
        <v>3</v>
      </c>
      <c r="D146" t="s">
        <v>741</v>
      </c>
      <c r="E146" t="s">
        <v>359</v>
      </c>
      <c r="F146" t="s">
        <v>360</v>
      </c>
      <c r="G146" t="s">
        <v>360</v>
      </c>
      <c r="H146" t="s">
        <v>934</v>
      </c>
      <c r="I146">
        <v>14800</v>
      </c>
      <c r="J146" t="s">
        <v>1</v>
      </c>
      <c r="K146" t="s">
        <v>1</v>
      </c>
      <c r="L146">
        <v>200</v>
      </c>
      <c r="M146">
        <v>1</v>
      </c>
      <c r="N146">
        <v>0</v>
      </c>
      <c r="O146" t="s">
        <v>1</v>
      </c>
      <c r="P146" t="s">
        <v>1</v>
      </c>
      <c r="Q146" t="s">
        <v>1</v>
      </c>
      <c r="R146" t="s">
        <v>1</v>
      </c>
      <c r="S146" t="s">
        <v>1</v>
      </c>
      <c r="T146" t="s">
        <v>1</v>
      </c>
      <c r="U146" t="s">
        <v>1</v>
      </c>
      <c r="V146" t="s">
        <v>1</v>
      </c>
      <c r="W146" t="s">
        <v>1</v>
      </c>
      <c r="X146" t="s">
        <v>1</v>
      </c>
      <c r="Y146" t="s">
        <v>1</v>
      </c>
      <c r="Z146" t="s">
        <v>1</v>
      </c>
      <c r="AA146">
        <v>0</v>
      </c>
      <c r="AB146" t="s">
        <v>1196</v>
      </c>
      <c r="AC146" t="s">
        <v>1197</v>
      </c>
      <c r="AD146" t="s">
        <v>754</v>
      </c>
      <c r="AE146">
        <v>0</v>
      </c>
      <c r="AF146" t="s">
        <v>1</v>
      </c>
      <c r="AG146" t="s">
        <v>1</v>
      </c>
      <c r="AH146" t="s">
        <v>1198</v>
      </c>
      <c r="AI146" t="s">
        <v>1</v>
      </c>
      <c r="AJ146" t="s">
        <v>1</v>
      </c>
      <c r="AK146">
        <v>9934214795</v>
      </c>
      <c r="AL146" t="s">
        <v>1199</v>
      </c>
      <c r="AM146" t="s">
        <v>1200</v>
      </c>
      <c r="AN146">
        <v>0</v>
      </c>
      <c r="AO146" t="s">
        <v>1198</v>
      </c>
      <c r="AP146" t="s">
        <v>1</v>
      </c>
      <c r="AQ146">
        <v>2</v>
      </c>
      <c r="AR146">
        <v>0</v>
      </c>
      <c r="AS146">
        <v>0</v>
      </c>
      <c r="AT146" t="s">
        <v>1</v>
      </c>
      <c r="AU146" t="s">
        <v>1</v>
      </c>
      <c r="AV146" t="s">
        <v>1</v>
      </c>
      <c r="AW146">
        <v>0</v>
      </c>
      <c r="AX146">
        <v>1600</v>
      </c>
      <c r="AY146">
        <v>13200</v>
      </c>
      <c r="AZ146">
        <v>0</v>
      </c>
      <c r="BA146">
        <v>0</v>
      </c>
      <c r="BB146" t="s">
        <v>1</v>
      </c>
      <c r="BC146" t="s">
        <v>730</v>
      </c>
      <c r="BD146" t="s">
        <v>198</v>
      </c>
      <c r="BE146" t="s">
        <v>1</v>
      </c>
      <c r="BF146" t="s">
        <v>1</v>
      </c>
      <c r="BG146" t="s">
        <v>1</v>
      </c>
      <c r="BH146">
        <v>0</v>
      </c>
      <c r="BI146">
        <v>0</v>
      </c>
      <c r="BJ146" t="s">
        <v>722</v>
      </c>
      <c r="BK146" t="s">
        <v>1</v>
      </c>
      <c r="BL146" t="s">
        <v>1138</v>
      </c>
      <c r="BM146">
        <v>0</v>
      </c>
      <c r="BN146">
        <v>14800</v>
      </c>
      <c r="BO146">
        <v>0</v>
      </c>
      <c r="BP146">
        <v>0</v>
      </c>
      <c r="BQ146">
        <v>0</v>
      </c>
      <c r="BR146" t="s">
        <v>1</v>
      </c>
      <c r="BS146" t="s">
        <v>1</v>
      </c>
      <c r="BT146" t="s">
        <v>1</v>
      </c>
      <c r="BU146" t="s">
        <v>1</v>
      </c>
      <c r="BV146" t="s">
        <v>1</v>
      </c>
      <c r="BW146" t="s">
        <v>360</v>
      </c>
      <c r="BX146" t="s">
        <v>1</v>
      </c>
      <c r="BY146">
        <v>0</v>
      </c>
      <c r="BZ146">
        <v>0</v>
      </c>
      <c r="CA146">
        <v>0</v>
      </c>
      <c r="CB146">
        <v>0</v>
      </c>
      <c r="CD146" t="str" cm="1">
        <f t="array" aca="1" ref="CD146" ca="1">eConcatenar(A146:CB146,"|")</f>
        <v>jRpWMaWdOrwpJAow|VSA2021-1170|3|MEMORIAL|TABASCO|VILLAHERMOSA |VILLAHERMOSA |2021-07-28|14800|X|X|200|1|0|X|X|X|X|X|X|X|X|X|X|X|X|0|FELIX|ANTONIO|GRACIELA|0|X|X|CALLE CICUNVALACION NORTE SIN NUMERO MACUSPANA |X|X|9934214795|MARIO  FELIX VELAZQUEZ |GUADALUPE ANTONIO FERIA |0|CALLE CICUNVALACION NORTE SIN NUMERO MACUSPANA |X|2|0|0|X|X|X|0|1600|13200|0|0|X|2021-12-16|2021-12-30|X|X|X|0|0|S35D6D3Y9KVTQ1|X|MUJER|0|14800|0|0|0|X|X|X|X|X|VILLAHERMOSA |X|0|0|0|0</v>
      </c>
    </row>
    <row r="147" spans="1:82" x14ac:dyDescent="0.25">
      <c r="A147" t="s">
        <v>1201</v>
      </c>
      <c r="B147" t="s">
        <v>1202</v>
      </c>
      <c r="C147">
        <v>3</v>
      </c>
      <c r="D147" t="s">
        <v>741</v>
      </c>
      <c r="E147" t="s">
        <v>359</v>
      </c>
      <c r="F147" t="s">
        <v>360</v>
      </c>
      <c r="G147" t="s">
        <v>360</v>
      </c>
      <c r="H147" t="s">
        <v>818</v>
      </c>
      <c r="I147">
        <v>14800</v>
      </c>
      <c r="J147" t="s">
        <v>1</v>
      </c>
      <c r="K147" t="s">
        <v>1</v>
      </c>
      <c r="L147">
        <v>200</v>
      </c>
      <c r="M147">
        <v>1</v>
      </c>
      <c r="N147">
        <v>0</v>
      </c>
      <c r="O147" t="s">
        <v>1</v>
      </c>
      <c r="P147" t="s">
        <v>1</v>
      </c>
      <c r="Q147" t="s">
        <v>1</v>
      </c>
      <c r="R147" t="s">
        <v>1</v>
      </c>
      <c r="S147" t="s">
        <v>1</v>
      </c>
      <c r="T147" t="s">
        <v>1</v>
      </c>
      <c r="U147" t="s">
        <v>1</v>
      </c>
      <c r="V147" t="s">
        <v>1</v>
      </c>
      <c r="W147" t="s">
        <v>1</v>
      </c>
      <c r="X147" t="s">
        <v>1</v>
      </c>
      <c r="Y147" t="s">
        <v>1</v>
      </c>
      <c r="Z147" t="s">
        <v>1</v>
      </c>
      <c r="AA147">
        <v>0</v>
      </c>
      <c r="AB147" t="s">
        <v>1203</v>
      </c>
      <c r="AC147" t="s">
        <v>1204</v>
      </c>
      <c r="AD147" t="s">
        <v>373</v>
      </c>
      <c r="AE147">
        <v>0</v>
      </c>
      <c r="AF147" t="s">
        <v>1</v>
      </c>
      <c r="AG147" t="s">
        <v>1</v>
      </c>
      <c r="AH147" t="s">
        <v>1205</v>
      </c>
      <c r="AI147" t="s">
        <v>1137</v>
      </c>
      <c r="AJ147" t="s">
        <v>1</v>
      </c>
      <c r="AK147">
        <v>9931801364</v>
      </c>
      <c r="AL147" t="s">
        <v>1206</v>
      </c>
      <c r="AM147" t="s">
        <v>1207</v>
      </c>
      <c r="AN147">
        <v>0</v>
      </c>
      <c r="AO147" t="s">
        <v>1205</v>
      </c>
      <c r="AP147" t="s">
        <v>1</v>
      </c>
      <c r="AQ147">
        <v>2</v>
      </c>
      <c r="AR147">
        <v>0</v>
      </c>
      <c r="AS147">
        <v>0</v>
      </c>
      <c r="AT147" t="s">
        <v>1</v>
      </c>
      <c r="AU147" t="s">
        <v>1</v>
      </c>
      <c r="AV147" t="s">
        <v>1</v>
      </c>
      <c r="AW147">
        <v>0</v>
      </c>
      <c r="AX147">
        <v>1600</v>
      </c>
      <c r="AY147">
        <v>13200</v>
      </c>
      <c r="AZ147">
        <v>0</v>
      </c>
      <c r="BA147">
        <v>0</v>
      </c>
      <c r="BB147" t="s">
        <v>1</v>
      </c>
      <c r="BC147" t="s">
        <v>758</v>
      </c>
      <c r="BD147" t="s">
        <v>198</v>
      </c>
      <c r="BE147" t="s">
        <v>1</v>
      </c>
      <c r="BF147" t="s">
        <v>1</v>
      </c>
      <c r="BG147" t="s">
        <v>1</v>
      </c>
      <c r="BH147">
        <v>0</v>
      </c>
      <c r="BI147">
        <v>0</v>
      </c>
      <c r="BJ147" t="s">
        <v>722</v>
      </c>
      <c r="BK147" t="s">
        <v>1</v>
      </c>
      <c r="BL147" t="s">
        <v>1138</v>
      </c>
      <c r="BM147">
        <v>0</v>
      </c>
      <c r="BN147">
        <v>14800</v>
      </c>
      <c r="BO147">
        <v>0</v>
      </c>
      <c r="BP147">
        <v>0</v>
      </c>
      <c r="BQ147">
        <v>0</v>
      </c>
      <c r="BR147" t="s">
        <v>1</v>
      </c>
      <c r="BS147" t="s">
        <v>1</v>
      </c>
      <c r="BT147" t="s">
        <v>1</v>
      </c>
      <c r="BU147" t="s">
        <v>1</v>
      </c>
      <c r="BV147" t="s">
        <v>1</v>
      </c>
      <c r="BW147" t="s">
        <v>360</v>
      </c>
      <c r="BX147" t="s">
        <v>1</v>
      </c>
      <c r="BY147">
        <v>0</v>
      </c>
      <c r="BZ147">
        <v>0</v>
      </c>
      <c r="CA147">
        <v>0</v>
      </c>
      <c r="CB147">
        <v>0</v>
      </c>
      <c r="CD147" t="str" cm="1">
        <f t="array" aca="1" ref="CD147" ca="1">eConcatenar(A147:CB147,"|")</f>
        <v>rgDIq8Cf7sQT6cTc|VSA2021-1257|3|MEMORIAL|TABASCO|VILLAHERMOSA |VILLAHERMOSA |2021-12-08|14800|X|X|200|1|0|X|X|X|X|X|X|X|X|X|X|X|X|0|DE LA ROSA |DE DIOS |GUADALUPE |0|X|X|ENTRADA PANUNCIO SIN NUMERO |RANCHERIA MARIN KILOMETRO 140 |X|9931801364|VANESA GUADALUPE HERNANDEZ DE LA ROSA|SANDRA DE LA ROSA DE DIOS |0|ENTRADA PANUNCIO SIN NUMERO |X|2|0|0|X|X|X|0|1600|13200|0|0|X|2021-12-15|2021-12-30|X|X|X|0|0|S35D6D3Y9KVTQ1|X|MUJER|0|14800|0|0|0|X|X|X|X|X|VILLAHERMOSA |X|0|0|0|0</v>
      </c>
    </row>
    <row r="148" spans="1:82" x14ac:dyDescent="0.25">
      <c r="A148" t="s">
        <v>1208</v>
      </c>
      <c r="B148" t="s">
        <v>1209</v>
      </c>
      <c r="C148">
        <v>3</v>
      </c>
      <c r="D148" t="s">
        <v>741</v>
      </c>
      <c r="E148" t="s">
        <v>359</v>
      </c>
      <c r="F148" t="s">
        <v>360</v>
      </c>
      <c r="G148" t="s">
        <v>360</v>
      </c>
      <c r="H148" t="s">
        <v>1210</v>
      </c>
      <c r="I148">
        <v>14800</v>
      </c>
      <c r="J148" t="s">
        <v>1</v>
      </c>
      <c r="K148" t="s">
        <v>1</v>
      </c>
      <c r="L148">
        <v>200</v>
      </c>
      <c r="M148">
        <v>1</v>
      </c>
      <c r="N148">
        <v>0</v>
      </c>
      <c r="O148" t="s">
        <v>1</v>
      </c>
      <c r="P148" t="s">
        <v>1</v>
      </c>
      <c r="Q148" t="s">
        <v>1</v>
      </c>
      <c r="R148" t="s">
        <v>1</v>
      </c>
      <c r="S148" t="s">
        <v>1</v>
      </c>
      <c r="T148" t="s">
        <v>1</v>
      </c>
      <c r="U148" t="s">
        <v>1</v>
      </c>
      <c r="V148" t="s">
        <v>1</v>
      </c>
      <c r="W148" t="s">
        <v>1</v>
      </c>
      <c r="X148" t="s">
        <v>1</v>
      </c>
      <c r="Y148" t="s">
        <v>1</v>
      </c>
      <c r="Z148" t="s">
        <v>1</v>
      </c>
      <c r="AA148">
        <v>0</v>
      </c>
      <c r="AB148" t="s">
        <v>553</v>
      </c>
      <c r="AC148" t="s">
        <v>1211</v>
      </c>
      <c r="AD148" t="s">
        <v>1212</v>
      </c>
      <c r="AE148">
        <v>0</v>
      </c>
      <c r="AF148" t="s">
        <v>1</v>
      </c>
      <c r="AG148" t="s">
        <v>1</v>
      </c>
      <c r="AH148" t="s">
        <v>1213</v>
      </c>
      <c r="AI148" t="s">
        <v>1214</v>
      </c>
      <c r="AJ148" t="s">
        <v>1</v>
      </c>
      <c r="AK148">
        <v>9932592899</v>
      </c>
      <c r="AL148" t="s">
        <v>1215</v>
      </c>
      <c r="AM148" t="s">
        <v>1216</v>
      </c>
      <c r="AN148">
        <v>0</v>
      </c>
      <c r="AO148" t="s">
        <v>1213</v>
      </c>
      <c r="AP148" t="s">
        <v>1</v>
      </c>
      <c r="AQ148">
        <v>2</v>
      </c>
      <c r="AR148">
        <v>0</v>
      </c>
      <c r="AS148">
        <v>0</v>
      </c>
      <c r="AT148" t="s">
        <v>1</v>
      </c>
      <c r="AU148" t="s">
        <v>1</v>
      </c>
      <c r="AV148" t="s">
        <v>1</v>
      </c>
      <c r="AW148">
        <v>0</v>
      </c>
      <c r="AX148">
        <v>3450</v>
      </c>
      <c r="AY148">
        <v>11350</v>
      </c>
      <c r="AZ148">
        <v>0</v>
      </c>
      <c r="BA148">
        <v>0</v>
      </c>
      <c r="BB148" t="s">
        <v>1</v>
      </c>
      <c r="BC148" t="s">
        <v>757</v>
      </c>
      <c r="BD148" t="s">
        <v>758</v>
      </c>
      <c r="BE148" t="s">
        <v>1</v>
      </c>
      <c r="BF148" t="s">
        <v>1</v>
      </c>
      <c r="BG148" t="s">
        <v>1</v>
      </c>
      <c r="BH148">
        <v>0</v>
      </c>
      <c r="BI148">
        <v>0</v>
      </c>
      <c r="BJ148" t="s">
        <v>722</v>
      </c>
      <c r="BK148" t="s">
        <v>1</v>
      </c>
      <c r="BL148" t="s">
        <v>132</v>
      </c>
      <c r="BM148">
        <v>0</v>
      </c>
      <c r="BN148">
        <v>14800</v>
      </c>
      <c r="BO148">
        <v>0</v>
      </c>
      <c r="BP148">
        <v>0</v>
      </c>
      <c r="BQ148">
        <v>0</v>
      </c>
      <c r="BR148" t="s">
        <v>1</v>
      </c>
      <c r="BS148" t="s">
        <v>1</v>
      </c>
      <c r="BT148" t="s">
        <v>1</v>
      </c>
      <c r="BU148" t="s">
        <v>1</v>
      </c>
      <c r="BV148" t="s">
        <v>1</v>
      </c>
      <c r="BW148" t="s">
        <v>360</v>
      </c>
      <c r="BX148" t="s">
        <v>1</v>
      </c>
      <c r="BY148">
        <v>0</v>
      </c>
      <c r="BZ148">
        <v>0</v>
      </c>
      <c r="CA148">
        <v>0</v>
      </c>
      <c r="CB148">
        <v>0</v>
      </c>
      <c r="CD148" t="str" cm="1">
        <f t="array" aca="1" ref="CD148" ca="1">eConcatenar(A148:CB148,"|")</f>
        <v>BBCiak5YoP2RjiKB|VSA2021-0594|3|MEMORIAL|TABASCO|VILLAHERMOSA |VILLAHERMOSA |2021-03-26|14800|X|X|200|1|0|X|X|X|X|X|X|X|X|X|X|X|X|0|FLORES |DE LA CRUZ |FELIPE|0|X|X|CALLEJON CONSTITUCION SIN NUMERO |RANCHERIA ANACLETO CANABALTERCERA SECCION |X|9932592899|PATRICIA FLORES VEGA |NICOLASA FLORES VEGA |0|CALLEJON CONSTITUCION SIN NUMERO |X|2|0|0|X|X|X|0|3450|11350|0|0|X|2021-01-12|2021-12-15|X|X|X|0|0|S35D6D3Y9KVTQ1|X|HOMBRE|0|14800|0|0|0|X|X|X|X|X|VILLAHERMOSA |X|0|0|0|0</v>
      </c>
    </row>
    <row r="149" spans="1:82" x14ac:dyDescent="0.25">
      <c r="A149" t="s">
        <v>1217</v>
      </c>
      <c r="B149" t="s">
        <v>1218</v>
      </c>
      <c r="C149">
        <v>3</v>
      </c>
      <c r="D149" t="s">
        <v>741</v>
      </c>
      <c r="E149" t="s">
        <v>359</v>
      </c>
      <c r="F149" t="s">
        <v>360</v>
      </c>
      <c r="G149" t="s">
        <v>360</v>
      </c>
      <c r="H149" t="s">
        <v>1219</v>
      </c>
      <c r="I149">
        <v>14800</v>
      </c>
      <c r="J149" t="s">
        <v>1</v>
      </c>
      <c r="K149" t="s">
        <v>1</v>
      </c>
      <c r="L149">
        <v>200</v>
      </c>
      <c r="M149">
        <v>1</v>
      </c>
      <c r="N149">
        <v>0</v>
      </c>
      <c r="O149" t="s">
        <v>1</v>
      </c>
      <c r="P149" t="s">
        <v>1</v>
      </c>
      <c r="Q149" t="s">
        <v>1</v>
      </c>
      <c r="R149" t="s">
        <v>1</v>
      </c>
      <c r="S149" t="s">
        <v>1</v>
      </c>
      <c r="T149" t="s">
        <v>1</v>
      </c>
      <c r="U149" t="s">
        <v>1</v>
      </c>
      <c r="V149" t="s">
        <v>1</v>
      </c>
      <c r="W149" t="s">
        <v>1</v>
      </c>
      <c r="X149" t="s">
        <v>1</v>
      </c>
      <c r="Y149" t="s">
        <v>1</v>
      </c>
      <c r="Z149" t="s">
        <v>1</v>
      </c>
      <c r="AA149">
        <v>0</v>
      </c>
      <c r="AB149" t="s">
        <v>1220</v>
      </c>
      <c r="AC149" t="s">
        <v>236</v>
      </c>
      <c r="AD149" t="s">
        <v>848</v>
      </c>
      <c r="AE149">
        <v>0</v>
      </c>
      <c r="AF149" t="s">
        <v>1</v>
      </c>
      <c r="AG149" t="s">
        <v>1</v>
      </c>
      <c r="AH149" t="s">
        <v>1221</v>
      </c>
      <c r="AI149" t="s">
        <v>1222</v>
      </c>
      <c r="AJ149" t="s">
        <v>1</v>
      </c>
      <c r="AK149">
        <v>9934213538</v>
      </c>
      <c r="AL149" t="s">
        <v>1223</v>
      </c>
      <c r="AM149" t="s">
        <v>1224</v>
      </c>
      <c r="AN149">
        <v>0</v>
      </c>
      <c r="AO149" t="s">
        <v>1221</v>
      </c>
      <c r="AP149" t="s">
        <v>1</v>
      </c>
      <c r="AQ149">
        <v>3</v>
      </c>
      <c r="AR149">
        <v>0</v>
      </c>
      <c r="AS149">
        <v>0</v>
      </c>
      <c r="AT149" t="s">
        <v>1</v>
      </c>
      <c r="AU149" t="s">
        <v>1</v>
      </c>
      <c r="AV149" t="s">
        <v>1</v>
      </c>
      <c r="AW149">
        <v>0</v>
      </c>
      <c r="AX149">
        <v>2280</v>
      </c>
      <c r="AY149">
        <v>12520</v>
      </c>
      <c r="AZ149">
        <v>0</v>
      </c>
      <c r="BA149">
        <v>0</v>
      </c>
      <c r="BB149" t="s">
        <v>1</v>
      </c>
      <c r="BC149" t="s">
        <v>730</v>
      </c>
      <c r="BD149" t="s">
        <v>147</v>
      </c>
      <c r="BE149" t="s">
        <v>1</v>
      </c>
      <c r="BF149" t="s">
        <v>1</v>
      </c>
      <c r="BG149" t="s">
        <v>1</v>
      </c>
      <c r="BH149">
        <v>0</v>
      </c>
      <c r="BI149">
        <v>0</v>
      </c>
      <c r="BJ149" t="s">
        <v>722</v>
      </c>
      <c r="BK149" t="s">
        <v>1</v>
      </c>
      <c r="BL149" t="s">
        <v>1138</v>
      </c>
      <c r="BM149">
        <v>0</v>
      </c>
      <c r="BN149">
        <v>14800</v>
      </c>
      <c r="BO149">
        <v>0</v>
      </c>
      <c r="BP149">
        <v>0</v>
      </c>
      <c r="BQ149">
        <v>0</v>
      </c>
      <c r="BR149" t="s">
        <v>1</v>
      </c>
      <c r="BS149" t="s">
        <v>1</v>
      </c>
      <c r="BT149" t="s">
        <v>1</v>
      </c>
      <c r="BU149" t="s">
        <v>1</v>
      </c>
      <c r="BV149" t="s">
        <v>1</v>
      </c>
      <c r="BW149" t="s">
        <v>360</v>
      </c>
      <c r="BX149" t="s">
        <v>1</v>
      </c>
      <c r="BY149">
        <v>0</v>
      </c>
      <c r="BZ149">
        <v>0</v>
      </c>
      <c r="CA149">
        <v>0</v>
      </c>
      <c r="CB149">
        <v>0</v>
      </c>
      <c r="CD149" t="str" cm="1">
        <f t="array" aca="1" ref="CD149" ca="1">eConcatenar(A149:CB149,"|")</f>
        <v>0NTwwWzHWdiZlnPL|VSA2021-0609|3|MEMORIAL|TABASCO|VILLAHERMOSA |VILLAHERMOSA |2021-03-30|14800|X|X|200|1|0|X|X|X|X|X|X|X|X|X|X|X|X|0|GUZMAN|JIMENEZ|LETICIA|0|X|X|PRINCIPAL SIN NUMERO |EJIDO CONSTITUCION CENTRO |X|9934213538|CARLOS ARTURO MELENDEZ GUZMAN|DIANA LAURA GARCIA JERONIMO|0|PRINCIPAL SIN NUMERO |X|3|0|0|X|X|X|0|2280|12520|0|0|X|2021-12-16|2021-12-31|X|X|X|0|0|S35D6D3Y9KVTQ1|X|MUJER|0|14800|0|0|0|X|X|X|X|X|VILLAHERMOSA |X|0|0|0|0</v>
      </c>
    </row>
    <row r="150" spans="1:82" x14ac:dyDescent="0.25">
      <c r="A150" t="s">
        <v>1225</v>
      </c>
      <c r="B150" t="s">
        <v>1226</v>
      </c>
      <c r="C150">
        <v>3</v>
      </c>
      <c r="D150" t="s">
        <v>741</v>
      </c>
      <c r="E150" t="s">
        <v>359</v>
      </c>
      <c r="F150" t="s">
        <v>360</v>
      </c>
      <c r="G150" t="s">
        <v>360</v>
      </c>
      <c r="H150" t="s">
        <v>778</v>
      </c>
      <c r="I150">
        <v>14800</v>
      </c>
      <c r="J150" t="s">
        <v>1</v>
      </c>
      <c r="K150" t="s">
        <v>1</v>
      </c>
      <c r="L150">
        <v>200</v>
      </c>
      <c r="M150">
        <v>1</v>
      </c>
      <c r="N150">
        <v>0</v>
      </c>
      <c r="O150" t="s">
        <v>1</v>
      </c>
      <c r="P150" t="s">
        <v>1</v>
      </c>
      <c r="Q150" t="s">
        <v>1</v>
      </c>
      <c r="R150" t="s">
        <v>1</v>
      </c>
      <c r="S150" t="s">
        <v>1</v>
      </c>
      <c r="T150" t="s">
        <v>1</v>
      </c>
      <c r="U150" t="s">
        <v>1</v>
      </c>
      <c r="V150" t="s">
        <v>1</v>
      </c>
      <c r="W150" t="s">
        <v>1</v>
      </c>
      <c r="X150" t="s">
        <v>1</v>
      </c>
      <c r="Y150" t="s">
        <v>1</v>
      </c>
      <c r="Z150" t="s">
        <v>1</v>
      </c>
      <c r="AA150">
        <v>0</v>
      </c>
      <c r="AB150" t="s">
        <v>217</v>
      </c>
      <c r="AC150" t="s">
        <v>1227</v>
      </c>
      <c r="AD150" t="s">
        <v>1228</v>
      </c>
      <c r="AE150">
        <v>0</v>
      </c>
      <c r="AF150" t="s">
        <v>1</v>
      </c>
      <c r="AG150" t="s">
        <v>1</v>
      </c>
      <c r="AH150" t="s">
        <v>1229</v>
      </c>
      <c r="AI150" t="s">
        <v>1230</v>
      </c>
      <c r="AJ150" t="s">
        <v>1</v>
      </c>
      <c r="AK150">
        <v>9931256058</v>
      </c>
      <c r="AL150" t="s">
        <v>1231</v>
      </c>
      <c r="AM150" t="s">
        <v>1232</v>
      </c>
      <c r="AN150">
        <v>0</v>
      </c>
      <c r="AO150" t="s">
        <v>1229</v>
      </c>
      <c r="AP150" t="s">
        <v>1</v>
      </c>
      <c r="AQ150">
        <v>3</v>
      </c>
      <c r="AR150">
        <v>0</v>
      </c>
      <c r="AS150">
        <v>0</v>
      </c>
      <c r="AT150" t="s">
        <v>1</v>
      </c>
      <c r="AU150" t="s">
        <v>1</v>
      </c>
      <c r="AV150" t="s">
        <v>1</v>
      </c>
      <c r="AW150">
        <v>0</v>
      </c>
      <c r="AX150">
        <v>1200</v>
      </c>
      <c r="AY150">
        <v>13600</v>
      </c>
      <c r="AZ150">
        <v>0</v>
      </c>
      <c r="BA150">
        <v>0</v>
      </c>
      <c r="BB150" t="s">
        <v>1</v>
      </c>
      <c r="BC150" t="s">
        <v>730</v>
      </c>
      <c r="BD150" t="s">
        <v>198</v>
      </c>
      <c r="BE150" t="s">
        <v>1</v>
      </c>
      <c r="BF150" t="s">
        <v>1</v>
      </c>
      <c r="BG150" t="s">
        <v>1</v>
      </c>
      <c r="BH150">
        <v>0</v>
      </c>
      <c r="BI150">
        <v>0</v>
      </c>
      <c r="BJ150" t="s">
        <v>722</v>
      </c>
      <c r="BK150" t="s">
        <v>1</v>
      </c>
      <c r="BL150" t="s">
        <v>132</v>
      </c>
      <c r="BM150">
        <v>0</v>
      </c>
      <c r="BN150">
        <v>14800</v>
      </c>
      <c r="BO150">
        <v>0</v>
      </c>
      <c r="BP150">
        <v>0</v>
      </c>
      <c r="BQ150">
        <v>0</v>
      </c>
      <c r="BR150" t="s">
        <v>1</v>
      </c>
      <c r="BS150" t="s">
        <v>1</v>
      </c>
      <c r="BT150" t="s">
        <v>1</v>
      </c>
      <c r="BU150" t="s">
        <v>1</v>
      </c>
      <c r="BV150" t="s">
        <v>1</v>
      </c>
      <c r="BW150" t="s">
        <v>360</v>
      </c>
      <c r="BX150" t="s">
        <v>1</v>
      </c>
      <c r="BY150">
        <v>0</v>
      </c>
      <c r="BZ150">
        <v>0</v>
      </c>
      <c r="CA150">
        <v>0</v>
      </c>
      <c r="CB150">
        <v>0</v>
      </c>
      <c r="CD150" t="str" cm="1">
        <f t="array" aca="1" ref="CD150" ca="1">eConcatenar(A150:CB150,"|")</f>
        <v>FXm30slPnDJeOdi6|VSA2021-1394|3|MEMORIAL|TABASCO|VILLAHERMOSA |VILLAHERMOSA |2021-08-25|14800|X|X|200|1|0|X|X|X|X|X|X|X|X|X|X|X|X|0|HERNANDEZ|VILLEGAS |HUGO ARTURO |0|X|X|POBLADO CUCUYULAPA CODIGO POSTAL 86690|COLONIA OSCAR GOMEZ SAUZ SIN NUMERO|X|9931256058|ARACELY LOPEZ LOPEZ |HUGO ALBERTO HERNANDEZ LOPEZ |0|POBLADO CUCUYULAPA CODIGO POSTAL 86690|X|3|0|0|X|X|X|0|1200|13600|0|0|X|2021-12-16|2021-12-30|X|X|X|0|0|S35D6D3Y9KVTQ1|X|HOMBRE|0|14800|0|0|0|X|X|X|X|X|VILLAHERMOSA |X|0|0|0|0</v>
      </c>
    </row>
    <row r="151" spans="1:82" x14ac:dyDescent="0.25">
      <c r="A151" t="s">
        <v>1233</v>
      </c>
      <c r="B151" t="s">
        <v>1234</v>
      </c>
      <c r="C151">
        <v>3</v>
      </c>
      <c r="D151" t="s">
        <v>741</v>
      </c>
      <c r="E151" t="s">
        <v>359</v>
      </c>
      <c r="F151" t="s">
        <v>360</v>
      </c>
      <c r="G151" t="s">
        <v>360</v>
      </c>
      <c r="H151" t="s">
        <v>1235</v>
      </c>
      <c r="I151">
        <v>14800</v>
      </c>
      <c r="J151" t="s">
        <v>1</v>
      </c>
      <c r="K151" t="s">
        <v>1</v>
      </c>
      <c r="L151">
        <v>200</v>
      </c>
      <c r="M151">
        <v>1</v>
      </c>
      <c r="N151">
        <v>0</v>
      </c>
      <c r="O151" t="s">
        <v>1</v>
      </c>
      <c r="P151" t="s">
        <v>1</v>
      </c>
      <c r="Q151" t="s">
        <v>1</v>
      </c>
      <c r="R151" t="s">
        <v>1</v>
      </c>
      <c r="S151" t="s">
        <v>1</v>
      </c>
      <c r="T151" t="s">
        <v>1</v>
      </c>
      <c r="U151" t="s">
        <v>1</v>
      </c>
      <c r="V151" t="s">
        <v>1</v>
      </c>
      <c r="W151" t="s">
        <v>1</v>
      </c>
      <c r="X151" t="s">
        <v>1</v>
      </c>
      <c r="Y151" t="s">
        <v>1</v>
      </c>
      <c r="Z151" t="s">
        <v>1</v>
      </c>
      <c r="AA151">
        <v>0</v>
      </c>
      <c r="AB151" t="s">
        <v>829</v>
      </c>
      <c r="AC151" t="s">
        <v>7</v>
      </c>
      <c r="AD151" t="s">
        <v>1236</v>
      </c>
      <c r="AE151">
        <v>0</v>
      </c>
      <c r="AF151" t="s">
        <v>1</v>
      </c>
      <c r="AG151" t="s">
        <v>1</v>
      </c>
      <c r="AH151" t="s">
        <v>1237</v>
      </c>
      <c r="AI151" t="s">
        <v>756</v>
      </c>
      <c r="AJ151" t="s">
        <v>1</v>
      </c>
      <c r="AK151">
        <v>9933259054</v>
      </c>
      <c r="AL151" t="s">
        <v>1238</v>
      </c>
      <c r="AM151" t="s">
        <v>1239</v>
      </c>
      <c r="AN151">
        <v>0</v>
      </c>
      <c r="AO151" t="s">
        <v>1237</v>
      </c>
      <c r="AP151" t="s">
        <v>1</v>
      </c>
      <c r="AQ151">
        <v>3</v>
      </c>
      <c r="AR151">
        <v>0</v>
      </c>
      <c r="AS151">
        <v>0</v>
      </c>
      <c r="AT151" t="s">
        <v>1</v>
      </c>
      <c r="AU151" t="s">
        <v>1</v>
      </c>
      <c r="AV151" t="s">
        <v>1</v>
      </c>
      <c r="AW151">
        <v>0</v>
      </c>
      <c r="AX151">
        <v>1450</v>
      </c>
      <c r="AY151">
        <v>13350</v>
      </c>
      <c r="AZ151">
        <v>0</v>
      </c>
      <c r="BA151">
        <v>0</v>
      </c>
      <c r="BB151" t="s">
        <v>1</v>
      </c>
      <c r="BC151" t="s">
        <v>730</v>
      </c>
      <c r="BD151" t="s">
        <v>198</v>
      </c>
      <c r="BE151" t="s">
        <v>1</v>
      </c>
      <c r="BF151" t="s">
        <v>1</v>
      </c>
      <c r="BG151" t="s">
        <v>1</v>
      </c>
      <c r="BH151">
        <v>0</v>
      </c>
      <c r="BI151">
        <v>0</v>
      </c>
      <c r="BJ151" t="s">
        <v>722</v>
      </c>
      <c r="BK151" t="s">
        <v>1</v>
      </c>
      <c r="BL151" t="s">
        <v>1138</v>
      </c>
      <c r="BM151">
        <v>0</v>
      </c>
      <c r="BN151">
        <v>14800</v>
      </c>
      <c r="BO151">
        <v>0</v>
      </c>
      <c r="BP151">
        <v>0</v>
      </c>
      <c r="BQ151">
        <v>0</v>
      </c>
      <c r="BR151" t="s">
        <v>1</v>
      </c>
      <c r="BS151" t="s">
        <v>1</v>
      </c>
      <c r="BT151" t="s">
        <v>1</v>
      </c>
      <c r="BU151" t="s">
        <v>1</v>
      </c>
      <c r="BV151" t="s">
        <v>1</v>
      </c>
      <c r="BW151" t="s">
        <v>360</v>
      </c>
      <c r="BX151" t="s">
        <v>1</v>
      </c>
      <c r="BY151">
        <v>0</v>
      </c>
      <c r="BZ151">
        <v>0</v>
      </c>
      <c r="CA151">
        <v>0</v>
      </c>
      <c r="CB151">
        <v>0</v>
      </c>
      <c r="CD151" t="str" cm="1">
        <f t="array" aca="1" ref="CD151" ca="1">eConcatenar(A151:CB151,"|")</f>
        <v>dXJzFEDjxYj7grNx|VSA2021-1450|3|MEMORIAL|TABASCO|VILLAHERMOSA |VILLAHERMOSA |2021-02-09|14800|X|X|200|1|0|X|X|X|X|X|X|X|X|X|X|X|X|0|PEREZ|LOPEZ|ANA MARIA|0|X|X|CALLEJON SIN NUMERO |RANCHERIA EMILIANO ZAPATA |X|9933259054|ROCIO DIAZ PEREZ |THOMAS DIAZ PEREZ|0|CALLEJON SIN NUMERO |X|3|0|0|X|X|X|0|1450|13350|0|0|X|2021-12-16|2021-12-30|X|X|X|0|0|S35D6D3Y9KVTQ1|X|MUJER|0|14800|0|0|0|X|X|X|X|X|VILLAHERMOSA |X|0|0|0|0</v>
      </c>
    </row>
    <row r="152" spans="1:82" x14ac:dyDescent="0.25">
      <c r="A152" t="s">
        <v>1240</v>
      </c>
      <c r="B152" t="s">
        <v>1241</v>
      </c>
      <c r="C152">
        <v>3</v>
      </c>
      <c r="D152" t="s">
        <v>246</v>
      </c>
      <c r="E152" t="s">
        <v>359</v>
      </c>
      <c r="F152" t="s">
        <v>360</v>
      </c>
      <c r="G152" t="s">
        <v>360</v>
      </c>
      <c r="H152" t="s">
        <v>1242</v>
      </c>
      <c r="I152">
        <v>24500</v>
      </c>
      <c r="J152" t="s">
        <v>1</v>
      </c>
      <c r="K152" t="s">
        <v>1</v>
      </c>
      <c r="L152">
        <v>200</v>
      </c>
      <c r="M152">
        <v>1</v>
      </c>
      <c r="N152">
        <v>0</v>
      </c>
      <c r="O152" t="s">
        <v>1</v>
      </c>
      <c r="P152" t="s">
        <v>1</v>
      </c>
      <c r="Q152" t="s">
        <v>1</v>
      </c>
      <c r="R152" t="s">
        <v>1</v>
      </c>
      <c r="S152" t="s">
        <v>1</v>
      </c>
      <c r="T152" t="s">
        <v>1</v>
      </c>
      <c r="U152" t="s">
        <v>1</v>
      </c>
      <c r="V152" t="s">
        <v>1</v>
      </c>
      <c r="W152" t="s">
        <v>1</v>
      </c>
      <c r="X152" t="s">
        <v>1</v>
      </c>
      <c r="Y152" t="s">
        <v>1</v>
      </c>
      <c r="Z152" t="s">
        <v>1</v>
      </c>
      <c r="AA152">
        <v>0</v>
      </c>
      <c r="AB152" t="s">
        <v>1111</v>
      </c>
      <c r="AC152" t="s">
        <v>248</v>
      </c>
      <c r="AD152" t="s">
        <v>1243</v>
      </c>
      <c r="AE152">
        <v>0</v>
      </c>
      <c r="AF152" t="s">
        <v>1</v>
      </c>
      <c r="AG152" t="s">
        <v>1</v>
      </c>
      <c r="AH152" t="s">
        <v>1244</v>
      </c>
      <c r="AI152" t="s">
        <v>1</v>
      </c>
      <c r="AJ152" t="s">
        <v>1</v>
      </c>
      <c r="AK152">
        <v>9141271284</v>
      </c>
      <c r="AL152" t="s">
        <v>1245</v>
      </c>
      <c r="AM152" t="s">
        <v>1</v>
      </c>
      <c r="AN152">
        <v>0</v>
      </c>
      <c r="AO152" t="s">
        <v>1244</v>
      </c>
      <c r="AP152" t="s">
        <v>1</v>
      </c>
      <c r="AQ152">
        <v>2</v>
      </c>
      <c r="AR152">
        <v>0</v>
      </c>
      <c r="AS152">
        <v>0</v>
      </c>
      <c r="AT152" t="s">
        <v>1</v>
      </c>
      <c r="AU152" t="s">
        <v>1</v>
      </c>
      <c r="AV152" t="s">
        <v>1</v>
      </c>
      <c r="AW152">
        <v>0</v>
      </c>
      <c r="AX152">
        <v>1490</v>
      </c>
      <c r="AY152">
        <v>23010</v>
      </c>
      <c r="AZ152">
        <v>0</v>
      </c>
      <c r="BA152">
        <v>0</v>
      </c>
      <c r="BB152" t="s">
        <v>1</v>
      </c>
      <c r="BC152" t="s">
        <v>758</v>
      </c>
      <c r="BD152" t="s">
        <v>198</v>
      </c>
      <c r="BE152" t="s">
        <v>1</v>
      </c>
      <c r="BF152" t="s">
        <v>1</v>
      </c>
      <c r="BG152" t="s">
        <v>1</v>
      </c>
      <c r="BH152">
        <v>0</v>
      </c>
      <c r="BI152">
        <v>0</v>
      </c>
      <c r="BJ152" t="s">
        <v>722</v>
      </c>
      <c r="BK152" t="s">
        <v>1</v>
      </c>
      <c r="BL152" t="s">
        <v>1138</v>
      </c>
      <c r="BM152">
        <v>0</v>
      </c>
      <c r="BN152">
        <v>24500</v>
      </c>
      <c r="BO152">
        <v>0</v>
      </c>
      <c r="BP152">
        <v>0</v>
      </c>
      <c r="BQ152">
        <v>0</v>
      </c>
      <c r="BR152" t="s">
        <v>1</v>
      </c>
      <c r="BS152" t="s">
        <v>1</v>
      </c>
      <c r="BT152" t="s">
        <v>1</v>
      </c>
      <c r="BU152" t="s">
        <v>1</v>
      </c>
      <c r="BV152" t="s">
        <v>1</v>
      </c>
      <c r="BW152" t="s">
        <v>360</v>
      </c>
      <c r="BX152" t="s">
        <v>1</v>
      </c>
      <c r="BY152">
        <v>0</v>
      </c>
      <c r="BZ152">
        <v>0</v>
      </c>
      <c r="CA152">
        <v>0</v>
      </c>
      <c r="CB152">
        <v>0</v>
      </c>
      <c r="CD152" t="str" cm="1">
        <f t="array" aca="1" ref="CD152" ca="1">eConcatenar(A152:CB152,"|")</f>
        <v>x41TGSX6SplA8cyb|VSA2021-1489|3|DIGNITY|TABASCO|VILLAHERMOSA |VILLAHERMOSA |2021-08-09|24500|X|X|200|1|0|X|X|X|X|X|X|X|X|X|X|X|X|0|SUAREZ|MORALES|ALMA ROSA|0|X|X|CARRETERA FEDERAL CARDENAS VILLAHERMOSA |X|X|9141271284|ELSI SUAREZ MORALES|X|0|CARRETERA FEDERAL CARDENAS VILLAHERMOSA |X|2|0|0|X|X|X|0|1490|23010|0|0|X|2021-12-15|2021-12-30|X|X|X|0|0|S35D6D3Y9KVTQ1|X|MUJER|0|24500|0|0|0|X|X|X|X|X|VILLAHERMOSA |X|0|0|0|0</v>
      </c>
    </row>
    <row r="153" spans="1:82" x14ac:dyDescent="0.25">
      <c r="A153" t="s">
        <v>1246</v>
      </c>
      <c r="B153" t="s">
        <v>1247</v>
      </c>
      <c r="C153">
        <v>3</v>
      </c>
      <c r="D153" t="s">
        <v>741</v>
      </c>
      <c r="E153" t="s">
        <v>359</v>
      </c>
      <c r="F153" t="s">
        <v>360</v>
      </c>
      <c r="G153" t="s">
        <v>360</v>
      </c>
      <c r="H153" t="s">
        <v>1248</v>
      </c>
      <c r="I153">
        <v>14800</v>
      </c>
      <c r="J153" t="s">
        <v>1</v>
      </c>
      <c r="K153" t="s">
        <v>1</v>
      </c>
      <c r="L153">
        <v>100</v>
      </c>
      <c r="M153">
        <v>0</v>
      </c>
      <c r="N153">
        <v>0</v>
      </c>
      <c r="O153" t="s">
        <v>1</v>
      </c>
      <c r="P153" t="s">
        <v>1</v>
      </c>
      <c r="Q153" t="s">
        <v>1</v>
      </c>
      <c r="R153" t="s">
        <v>1</v>
      </c>
      <c r="S153" t="s">
        <v>1</v>
      </c>
      <c r="T153" t="s">
        <v>1</v>
      </c>
      <c r="U153" t="s">
        <v>1</v>
      </c>
      <c r="V153" t="s">
        <v>1</v>
      </c>
      <c r="W153" t="s">
        <v>1</v>
      </c>
      <c r="X153" t="s">
        <v>1</v>
      </c>
      <c r="Y153" t="s">
        <v>1</v>
      </c>
      <c r="Z153" t="s">
        <v>1</v>
      </c>
      <c r="AA153">
        <v>0</v>
      </c>
      <c r="AB153" t="s">
        <v>7</v>
      </c>
      <c r="AC153" t="s">
        <v>791</v>
      </c>
      <c r="AD153" t="s">
        <v>987</v>
      </c>
      <c r="AE153">
        <v>0</v>
      </c>
      <c r="AF153" t="s">
        <v>1</v>
      </c>
      <c r="AG153" t="s">
        <v>1</v>
      </c>
      <c r="AH153" t="s">
        <v>1249</v>
      </c>
      <c r="AI153" t="s">
        <v>736</v>
      </c>
      <c r="AJ153" t="s">
        <v>1</v>
      </c>
      <c r="AK153">
        <v>9933728966</v>
      </c>
      <c r="AL153" t="s">
        <v>1250</v>
      </c>
      <c r="AM153" t="s">
        <v>1251</v>
      </c>
      <c r="AN153">
        <v>0</v>
      </c>
      <c r="AO153" t="s">
        <v>1249</v>
      </c>
      <c r="AP153" t="s">
        <v>1</v>
      </c>
      <c r="AQ153">
        <v>2</v>
      </c>
      <c r="AR153">
        <v>0</v>
      </c>
      <c r="AS153">
        <v>0</v>
      </c>
      <c r="AT153" t="s">
        <v>1</v>
      </c>
      <c r="AU153" t="s">
        <v>1</v>
      </c>
      <c r="AV153" t="s">
        <v>1</v>
      </c>
      <c r="AW153">
        <v>0</v>
      </c>
      <c r="AX153">
        <v>1300</v>
      </c>
      <c r="AY153">
        <v>13500</v>
      </c>
      <c r="AZ153">
        <v>0</v>
      </c>
      <c r="BA153">
        <v>0</v>
      </c>
      <c r="BB153" t="s">
        <v>1</v>
      </c>
      <c r="BC153" t="s">
        <v>1092</v>
      </c>
      <c r="BD153" t="s">
        <v>757</v>
      </c>
      <c r="BE153" t="s">
        <v>1</v>
      </c>
      <c r="BF153" t="s">
        <v>1</v>
      </c>
      <c r="BG153" t="s">
        <v>1</v>
      </c>
      <c r="BH153">
        <v>0</v>
      </c>
      <c r="BI153">
        <v>0</v>
      </c>
      <c r="BJ153" t="s">
        <v>722</v>
      </c>
      <c r="BK153" t="s">
        <v>1</v>
      </c>
      <c r="BL153" t="s">
        <v>132</v>
      </c>
      <c r="BM153">
        <v>0</v>
      </c>
      <c r="BN153">
        <v>14800</v>
      </c>
      <c r="BO153">
        <v>0</v>
      </c>
      <c r="BP153">
        <v>0</v>
      </c>
      <c r="BQ153">
        <v>0</v>
      </c>
      <c r="BR153" t="s">
        <v>1</v>
      </c>
      <c r="BS153" t="s">
        <v>1</v>
      </c>
      <c r="BT153" t="s">
        <v>1</v>
      </c>
      <c r="BU153" t="s">
        <v>1</v>
      </c>
      <c r="BV153" t="s">
        <v>1</v>
      </c>
      <c r="BW153" t="s">
        <v>360</v>
      </c>
      <c r="BX153" t="s">
        <v>1</v>
      </c>
      <c r="BY153">
        <v>0</v>
      </c>
      <c r="BZ153">
        <v>0</v>
      </c>
      <c r="CA153">
        <v>0</v>
      </c>
      <c r="CB153">
        <v>0</v>
      </c>
      <c r="CD153" t="str" cm="1">
        <f t="array" aca="1" ref="CD153" ca="1">eConcatenar(A153:CB153,"|")</f>
        <v>FQpDhbQ0AnxDn8kx|VSA2021-1102|3|MEMORIAL|TABASCO|VILLAHERMOSA |VILLAHERMOSA |2021-07-15|14800|X|X|100|0|0|X|X|X|X|X|X|X|X|X|X|X|X|0|LOPEZ|DE LOS SANTOS|PABLO|0|X|X|CARRETERA A VILLAHERMOSA KILOMETRO 15 |RANCHERIA GONZALEZ PRIMERA SECCION|X|9933728966|LORENA ZAVALA HERNANDEZ|JUANA HERNANDEZ LOPEZ |0|CARRETERA A VILLAHERMOSA KILOMETRO 15 |X|2|0|0|X|X|X|0|1300|13500|0|0|X|2021-11-24|2021-01-12|X|X|X|0|0|S35D6D3Y9KVTQ1|X|HOMBRE|0|14800|0|0|0|X|X|X|X|X|VILLAHERMOSA |X|0|0|0|0</v>
      </c>
    </row>
    <row r="154" spans="1:82" x14ac:dyDescent="0.25">
      <c r="A154" t="s">
        <v>1252</v>
      </c>
      <c r="B154" t="s">
        <v>1253</v>
      </c>
      <c r="C154">
        <v>3</v>
      </c>
      <c r="D154" t="s">
        <v>741</v>
      </c>
      <c r="E154" t="s">
        <v>359</v>
      </c>
      <c r="F154" t="s">
        <v>360</v>
      </c>
      <c r="G154" t="s">
        <v>360</v>
      </c>
      <c r="H154" t="s">
        <v>1180</v>
      </c>
      <c r="I154">
        <v>14800</v>
      </c>
      <c r="J154" t="s">
        <v>1</v>
      </c>
      <c r="K154" t="s">
        <v>1</v>
      </c>
      <c r="L154">
        <v>200</v>
      </c>
      <c r="M154">
        <v>1</v>
      </c>
      <c r="N154">
        <v>0</v>
      </c>
      <c r="O154" t="s">
        <v>1</v>
      </c>
      <c r="P154" t="s">
        <v>1</v>
      </c>
      <c r="Q154" t="s">
        <v>1</v>
      </c>
      <c r="R154" t="s">
        <v>1</v>
      </c>
      <c r="S154" t="s">
        <v>1</v>
      </c>
      <c r="T154" t="s">
        <v>1</v>
      </c>
      <c r="U154" t="s">
        <v>1</v>
      </c>
      <c r="V154" t="s">
        <v>1</v>
      </c>
      <c r="W154" t="s">
        <v>1</v>
      </c>
      <c r="X154" t="s">
        <v>1</v>
      </c>
      <c r="Y154" t="s">
        <v>1</v>
      </c>
      <c r="Z154" t="s">
        <v>1</v>
      </c>
      <c r="AA154">
        <v>0</v>
      </c>
      <c r="AB154" t="s">
        <v>479</v>
      </c>
      <c r="AC154" t="s">
        <v>829</v>
      </c>
      <c r="AD154" t="s">
        <v>801</v>
      </c>
      <c r="AE154">
        <v>0</v>
      </c>
      <c r="AF154" t="s">
        <v>1</v>
      </c>
      <c r="AG154" t="s">
        <v>1</v>
      </c>
      <c r="AH154" t="s">
        <v>1244</v>
      </c>
      <c r="AI154" t="s">
        <v>1254</v>
      </c>
      <c r="AJ154" t="s">
        <v>1</v>
      </c>
      <c r="AK154">
        <v>9934071790</v>
      </c>
      <c r="AL154" t="s">
        <v>1255</v>
      </c>
      <c r="AM154" t="s">
        <v>1256</v>
      </c>
      <c r="AN154">
        <v>0</v>
      </c>
      <c r="AO154" t="s">
        <v>1244</v>
      </c>
      <c r="AP154" t="s">
        <v>1</v>
      </c>
      <c r="AQ154">
        <v>2</v>
      </c>
      <c r="AR154">
        <v>0</v>
      </c>
      <c r="AS154">
        <v>0</v>
      </c>
      <c r="AT154" t="s">
        <v>1</v>
      </c>
      <c r="AU154" t="s">
        <v>1</v>
      </c>
      <c r="AV154" t="s">
        <v>1</v>
      </c>
      <c r="AW154">
        <v>0</v>
      </c>
      <c r="AX154">
        <v>1900</v>
      </c>
      <c r="AY154">
        <v>12900</v>
      </c>
      <c r="AZ154">
        <v>0</v>
      </c>
      <c r="BA154">
        <v>0</v>
      </c>
      <c r="BB154" t="s">
        <v>1</v>
      </c>
      <c r="BC154" t="s">
        <v>757</v>
      </c>
      <c r="BD154" t="s">
        <v>758</v>
      </c>
      <c r="BE154" t="s">
        <v>1</v>
      </c>
      <c r="BF154" t="s">
        <v>1</v>
      </c>
      <c r="BG154" t="s">
        <v>1</v>
      </c>
      <c r="BH154">
        <v>0</v>
      </c>
      <c r="BI154">
        <v>0</v>
      </c>
      <c r="BJ154" t="s">
        <v>722</v>
      </c>
      <c r="BK154" t="s">
        <v>1</v>
      </c>
      <c r="BL154" t="s">
        <v>1138</v>
      </c>
      <c r="BM154">
        <v>0</v>
      </c>
      <c r="BN154">
        <v>14800</v>
      </c>
      <c r="BO154">
        <v>0</v>
      </c>
      <c r="BP154">
        <v>0</v>
      </c>
      <c r="BQ154">
        <v>0</v>
      </c>
      <c r="BR154" t="s">
        <v>1</v>
      </c>
      <c r="BS154" t="s">
        <v>1</v>
      </c>
      <c r="BT154" t="s">
        <v>1</v>
      </c>
      <c r="BU154" t="s">
        <v>1</v>
      </c>
      <c r="BV154" t="s">
        <v>1</v>
      </c>
      <c r="BW154" t="s">
        <v>360</v>
      </c>
      <c r="BX154" t="s">
        <v>1</v>
      </c>
      <c r="BY154">
        <v>0</v>
      </c>
      <c r="BZ154">
        <v>0</v>
      </c>
      <c r="CA154">
        <v>0</v>
      </c>
      <c r="CB154">
        <v>0</v>
      </c>
      <c r="CD154" t="str" cm="1">
        <f t="array" aca="1" ref="CD154" ca="1">eConcatenar(A154:CB154,"|")</f>
        <v>S56YNCWvBwu5CaVZ|VSA2021-1323|3|MEMORIAL|TABASCO|VILLAHERMOSA |VILLAHERMOSA |2021-08-18|14800|X|X|200|1|0|X|X|X|X|X|X|X|X|X|X|X|X|0|SANCHEZ |PEREZ|MARIA JESUS|0|X|X|CARRETERA FEDERAL CARDENAS VILLAHERMOSA |RANCHERIA PLATANO Y CACAO SEGUNDA SECCION|X|9934071790|NOE AQUINO RICARDEZ|GUADALUPE ALEJO  SANCHEZ|0|CARRETERA FEDERAL CARDENAS VILLAHERMOSA |X|2|0|0|X|X|X|0|1900|12900|0|0|X|2021-01-12|2021-12-15|X|X|X|0|0|S35D6D3Y9KVTQ1|X|MUJER|0|14800|0|0|0|X|X|X|X|X|VILLAHERMOSA |X|0|0|0|0</v>
      </c>
    </row>
    <row r="155" spans="1:82" x14ac:dyDescent="0.25">
      <c r="A155" t="s">
        <v>1257</v>
      </c>
      <c r="B155" t="s">
        <v>1124</v>
      </c>
      <c r="C155">
        <v>3</v>
      </c>
      <c r="D155" t="s">
        <v>715</v>
      </c>
      <c r="E155" t="s">
        <v>359</v>
      </c>
      <c r="F155" t="s">
        <v>360</v>
      </c>
      <c r="G155" t="s">
        <v>360</v>
      </c>
      <c r="H155" t="s">
        <v>1125</v>
      </c>
      <c r="I155">
        <v>12900</v>
      </c>
      <c r="J155" t="s">
        <v>1</v>
      </c>
      <c r="K155" t="s">
        <v>1</v>
      </c>
      <c r="L155">
        <v>400</v>
      </c>
      <c r="M155">
        <v>2</v>
      </c>
      <c r="N155">
        <v>0</v>
      </c>
      <c r="O155" t="s">
        <v>1</v>
      </c>
      <c r="P155" t="s">
        <v>1</v>
      </c>
      <c r="Q155" t="s">
        <v>1</v>
      </c>
      <c r="R155" t="s">
        <v>1</v>
      </c>
      <c r="S155" t="s">
        <v>1</v>
      </c>
      <c r="T155" t="s">
        <v>1</v>
      </c>
      <c r="U155" t="s">
        <v>1</v>
      </c>
      <c r="V155" t="s">
        <v>1</v>
      </c>
      <c r="W155" t="s">
        <v>1</v>
      </c>
      <c r="X155" t="s">
        <v>1</v>
      </c>
      <c r="Y155" t="s">
        <v>1</v>
      </c>
      <c r="Z155" t="s">
        <v>1</v>
      </c>
      <c r="AA155">
        <v>0</v>
      </c>
      <c r="AB155" t="s">
        <v>1126</v>
      </c>
      <c r="AC155" t="s">
        <v>830</v>
      </c>
      <c r="AD155" t="s">
        <v>1127</v>
      </c>
      <c r="AE155">
        <v>0</v>
      </c>
      <c r="AF155" t="s">
        <v>1</v>
      </c>
      <c r="AG155" t="s">
        <v>1</v>
      </c>
      <c r="AH155" t="s">
        <v>1258</v>
      </c>
      <c r="AI155" t="s">
        <v>1129</v>
      </c>
      <c r="AJ155" t="s">
        <v>1</v>
      </c>
      <c r="AK155">
        <v>9934088194</v>
      </c>
      <c r="AL155" t="s">
        <v>1130</v>
      </c>
      <c r="AM155" t="s">
        <v>1131</v>
      </c>
      <c r="AN155">
        <v>0</v>
      </c>
      <c r="AO155" t="s">
        <v>1258</v>
      </c>
      <c r="AP155" t="s">
        <v>1</v>
      </c>
      <c r="AQ155">
        <v>3</v>
      </c>
      <c r="AR155">
        <v>0</v>
      </c>
      <c r="AS155">
        <v>0</v>
      </c>
      <c r="AT155" t="s">
        <v>1</v>
      </c>
      <c r="AU155" t="s">
        <v>1</v>
      </c>
      <c r="AV155" t="s">
        <v>1</v>
      </c>
      <c r="AW155">
        <v>0</v>
      </c>
      <c r="AX155">
        <v>4000</v>
      </c>
      <c r="AY155">
        <v>8900</v>
      </c>
      <c r="AZ155">
        <v>0</v>
      </c>
      <c r="BA155">
        <v>0</v>
      </c>
      <c r="BB155" t="s">
        <v>1</v>
      </c>
      <c r="BC155" t="s">
        <v>862</v>
      </c>
      <c r="BD155" t="s">
        <v>863</v>
      </c>
      <c r="BE155" t="s">
        <v>1</v>
      </c>
      <c r="BF155" t="s">
        <v>1</v>
      </c>
      <c r="BG155" t="s">
        <v>1</v>
      </c>
      <c r="BH155">
        <v>0</v>
      </c>
      <c r="BI155">
        <v>0</v>
      </c>
      <c r="BJ155" t="s">
        <v>722</v>
      </c>
      <c r="BK155" t="s">
        <v>1</v>
      </c>
      <c r="BL155" t="s">
        <v>1138</v>
      </c>
      <c r="BM155">
        <v>0</v>
      </c>
      <c r="BN155">
        <v>12900</v>
      </c>
      <c r="BO155">
        <v>0</v>
      </c>
      <c r="BP155">
        <v>0</v>
      </c>
      <c r="BQ155">
        <v>0</v>
      </c>
      <c r="BR155" t="s">
        <v>1</v>
      </c>
      <c r="BS155" t="s">
        <v>1</v>
      </c>
      <c r="BT155" t="s">
        <v>1</v>
      </c>
      <c r="BU155" t="s">
        <v>1</v>
      </c>
      <c r="BV155" t="s">
        <v>1</v>
      </c>
      <c r="BW155" t="s">
        <v>360</v>
      </c>
      <c r="BX155" t="s">
        <v>1</v>
      </c>
      <c r="BY155">
        <v>0</v>
      </c>
      <c r="BZ155">
        <v>0</v>
      </c>
      <c r="CA155">
        <v>0</v>
      </c>
      <c r="CB155">
        <v>0</v>
      </c>
      <c r="CD155" t="str" cm="1">
        <f t="array" aca="1" ref="CD155" ca="1">eConcatenar(A155:CB155,"|")</f>
        <v>Z44hutrl46C9NXKy|VSA2020-1198|3|IMPERIAL DE LUJO|TABASCO|VILLAHERMOSA |VILLAHERMOSA |2020-11-23|12900|X|X|400|2|0|X|X|X|X|X|X|X|X|X|X|X|X|0|AGUILERA|BAUTISTA|MARIA DE LOURDES|0|X|X|CARRETERA A CAMPO SAMARIA SIN NUMERO|RANCHERIA CUMUAPA SEGUNDA SECCCION|X|9934088194|NATIVIDAD GARCIA AGUILERA|JESUS GARCIA AGUILERA|0|CARRETERA A CAMPO SAMARIA SIN NUMERO|X|3|0|0|X|X|X|0|4000|8900|0|0|X|2021-03-11|2021-03-12|X|X|X|0|0|S35D6D3Y9KVTQ1|X|MUJER|0|12900|0|0|0|X|X|X|X|X|VILLAHERMOSA |X|0|0|0|0</v>
      </c>
    </row>
    <row r="156" spans="1:82" x14ac:dyDescent="0.25">
      <c r="A156" t="s">
        <v>1259</v>
      </c>
      <c r="B156" t="s">
        <v>1260</v>
      </c>
      <c r="C156">
        <v>3</v>
      </c>
      <c r="D156" t="s">
        <v>715</v>
      </c>
      <c r="E156" t="s">
        <v>359</v>
      </c>
      <c r="F156" t="s">
        <v>360</v>
      </c>
      <c r="G156" t="s">
        <v>360</v>
      </c>
      <c r="H156" t="s">
        <v>1261</v>
      </c>
      <c r="I156">
        <v>12900</v>
      </c>
      <c r="J156" t="s">
        <v>1</v>
      </c>
      <c r="K156" t="s">
        <v>1</v>
      </c>
      <c r="L156">
        <v>100</v>
      </c>
      <c r="M156">
        <v>0</v>
      </c>
      <c r="N156">
        <v>0</v>
      </c>
      <c r="O156" t="s">
        <v>1</v>
      </c>
      <c r="P156" t="s">
        <v>1</v>
      </c>
      <c r="Q156" t="s">
        <v>1</v>
      </c>
      <c r="R156" t="s">
        <v>1</v>
      </c>
      <c r="S156" t="s">
        <v>1</v>
      </c>
      <c r="T156" t="s">
        <v>1</v>
      </c>
      <c r="U156" t="s">
        <v>1</v>
      </c>
      <c r="V156" t="s">
        <v>1</v>
      </c>
      <c r="W156" t="s">
        <v>1</v>
      </c>
      <c r="X156" t="s">
        <v>1</v>
      </c>
      <c r="Y156" t="s">
        <v>1</v>
      </c>
      <c r="Z156" t="s">
        <v>1</v>
      </c>
      <c r="AA156">
        <v>0</v>
      </c>
      <c r="AB156" t="s">
        <v>1262</v>
      </c>
      <c r="AC156" t="s">
        <v>1263</v>
      </c>
      <c r="AD156" t="s">
        <v>1264</v>
      </c>
      <c r="AE156">
        <v>0</v>
      </c>
      <c r="AF156" t="s">
        <v>1</v>
      </c>
      <c r="AG156" t="s">
        <v>1</v>
      </c>
      <c r="AH156" t="s">
        <v>1221</v>
      </c>
      <c r="AI156" t="s">
        <v>1265</v>
      </c>
      <c r="AJ156" t="s">
        <v>1</v>
      </c>
      <c r="AK156">
        <v>9931328525</v>
      </c>
      <c r="AL156" t="s">
        <v>1266</v>
      </c>
      <c r="AM156" t="s">
        <v>1267</v>
      </c>
      <c r="AN156">
        <v>0</v>
      </c>
      <c r="AO156" t="s">
        <v>1221</v>
      </c>
      <c r="AP156" t="s">
        <v>1</v>
      </c>
      <c r="AQ156">
        <v>3</v>
      </c>
      <c r="AR156">
        <v>0</v>
      </c>
      <c r="AS156">
        <v>0</v>
      </c>
      <c r="AT156" t="s">
        <v>1</v>
      </c>
      <c r="AU156" t="s">
        <v>1</v>
      </c>
      <c r="AV156" t="s">
        <v>1</v>
      </c>
      <c r="AW156">
        <v>0</v>
      </c>
      <c r="AX156">
        <v>3250</v>
      </c>
      <c r="AY156">
        <v>9650</v>
      </c>
      <c r="AZ156">
        <v>0</v>
      </c>
      <c r="BA156">
        <v>0</v>
      </c>
      <c r="BB156" t="s">
        <v>1</v>
      </c>
      <c r="BC156" t="s">
        <v>837</v>
      </c>
      <c r="BD156" t="s">
        <v>1268</v>
      </c>
      <c r="BE156" t="s">
        <v>1</v>
      </c>
      <c r="BF156" t="s">
        <v>1</v>
      </c>
      <c r="BG156" t="s">
        <v>1</v>
      </c>
      <c r="BH156">
        <v>0</v>
      </c>
      <c r="BI156">
        <v>0</v>
      </c>
      <c r="BJ156" t="s">
        <v>722</v>
      </c>
      <c r="BK156" t="s">
        <v>1</v>
      </c>
      <c r="BL156" t="s">
        <v>1138</v>
      </c>
      <c r="BM156">
        <v>0</v>
      </c>
      <c r="BN156">
        <v>12900</v>
      </c>
      <c r="BO156">
        <v>0</v>
      </c>
      <c r="BP156">
        <v>0</v>
      </c>
      <c r="BQ156">
        <v>0</v>
      </c>
      <c r="BR156" t="s">
        <v>1</v>
      </c>
      <c r="BS156" t="s">
        <v>1</v>
      </c>
      <c r="BT156" t="s">
        <v>1</v>
      </c>
      <c r="BU156" t="s">
        <v>1</v>
      </c>
      <c r="BV156" t="s">
        <v>1</v>
      </c>
      <c r="BW156" t="s">
        <v>360</v>
      </c>
      <c r="BX156" t="s">
        <v>1</v>
      </c>
      <c r="BY156">
        <v>0</v>
      </c>
      <c r="BZ156">
        <v>0</v>
      </c>
      <c r="CA156">
        <v>0</v>
      </c>
      <c r="CB156">
        <v>0</v>
      </c>
      <c r="CD156" t="str" cm="1">
        <f t="array" aca="1" ref="CD156" ca="1">eConcatenar(A156:CB156,"|")</f>
        <v>HeJTJwfUFQJk3M2j|VSA2020-1254|3|IMPERIAL DE LUJO|TABASCO|VILLAHERMOSA |VILLAHERMOSA |2020-11-28|12900|X|X|100|0|0|X|X|X|X|X|X|X|X|X|X|X|X|0|RIVERA |PEDRAZA |YESICA|0|X|X|PRINCIPAL SIN NUMERO |RANCHERIA GONZALEZ CUARTA SECCION |X|9931328525|JOSE DE LA CRUZ ALEJO HERNANDEZ|ARELI PEDRAZA DE LOS SANTOS |0|PRINCIPAL SIN NUMERO |X|3|0|0|X|X|X|0|3250|9650|0|0|X|2021-08-19|2021-08-26|X|X|X|0|0|S35D6D3Y9KVTQ1|X|MUJER|0|12900|0|0|0|X|X|X|X|X|VILLAHERMOSA |X|0|0|0|0</v>
      </c>
    </row>
    <row r="157" spans="1:82" x14ac:dyDescent="0.25">
      <c r="A157" t="s">
        <v>1269</v>
      </c>
      <c r="B157" t="s">
        <v>1270</v>
      </c>
      <c r="C157">
        <v>3</v>
      </c>
      <c r="D157" t="s">
        <v>715</v>
      </c>
      <c r="E157" t="s">
        <v>359</v>
      </c>
      <c r="F157" t="s">
        <v>360</v>
      </c>
      <c r="G157" t="s">
        <v>360</v>
      </c>
      <c r="H157" t="s">
        <v>781</v>
      </c>
      <c r="I157">
        <v>12900</v>
      </c>
      <c r="J157" t="s">
        <v>1</v>
      </c>
      <c r="K157" t="s">
        <v>1</v>
      </c>
      <c r="L157">
        <v>400</v>
      </c>
      <c r="M157">
        <v>2</v>
      </c>
      <c r="N157">
        <v>0</v>
      </c>
      <c r="O157" t="s">
        <v>1</v>
      </c>
      <c r="P157" t="s">
        <v>1</v>
      </c>
      <c r="Q157" t="s">
        <v>1</v>
      </c>
      <c r="R157" t="s">
        <v>1</v>
      </c>
      <c r="S157" t="s">
        <v>1</v>
      </c>
      <c r="T157" t="s">
        <v>1</v>
      </c>
      <c r="U157" t="s">
        <v>1</v>
      </c>
      <c r="V157" t="s">
        <v>1</v>
      </c>
      <c r="W157" t="s">
        <v>1</v>
      </c>
      <c r="X157" t="s">
        <v>1</v>
      </c>
      <c r="Y157" t="s">
        <v>1</v>
      </c>
      <c r="Z157" t="s">
        <v>1</v>
      </c>
      <c r="AA157">
        <v>0</v>
      </c>
      <c r="AB157" t="s">
        <v>1271</v>
      </c>
      <c r="AC157" t="s">
        <v>1272</v>
      </c>
      <c r="AD157" t="s">
        <v>1273</v>
      </c>
      <c r="AE157">
        <v>0</v>
      </c>
      <c r="AF157" t="s">
        <v>1</v>
      </c>
      <c r="AG157" t="s">
        <v>1</v>
      </c>
      <c r="AH157" t="s">
        <v>545</v>
      </c>
      <c r="AI157" t="s">
        <v>1274</v>
      </c>
      <c r="AJ157" t="s">
        <v>1</v>
      </c>
      <c r="AK157">
        <v>9931369189</v>
      </c>
      <c r="AL157" t="s">
        <v>1275</v>
      </c>
      <c r="AM157" t="s">
        <v>1276</v>
      </c>
      <c r="AN157">
        <v>0</v>
      </c>
      <c r="AO157" t="s">
        <v>545</v>
      </c>
      <c r="AP157" t="s">
        <v>1</v>
      </c>
      <c r="AQ157">
        <v>2</v>
      </c>
      <c r="AR157">
        <v>0</v>
      </c>
      <c r="AS157">
        <v>0</v>
      </c>
      <c r="AT157" t="s">
        <v>1</v>
      </c>
      <c r="AU157" t="s">
        <v>1</v>
      </c>
      <c r="AV157" t="s">
        <v>1</v>
      </c>
      <c r="AW157">
        <v>0</v>
      </c>
      <c r="AX157">
        <v>2000</v>
      </c>
      <c r="AY157">
        <v>10900</v>
      </c>
      <c r="AZ157">
        <v>0</v>
      </c>
      <c r="BA157">
        <v>0</v>
      </c>
      <c r="BB157" t="s">
        <v>1</v>
      </c>
      <c r="BC157" t="s">
        <v>757</v>
      </c>
      <c r="BD157" t="s">
        <v>815</v>
      </c>
      <c r="BE157" t="s">
        <v>1</v>
      </c>
      <c r="BF157" t="s">
        <v>1</v>
      </c>
      <c r="BG157" t="s">
        <v>1</v>
      </c>
      <c r="BH157">
        <v>0</v>
      </c>
      <c r="BI157">
        <v>0</v>
      </c>
      <c r="BJ157" t="s">
        <v>722</v>
      </c>
      <c r="BK157" t="s">
        <v>1</v>
      </c>
      <c r="BL157" t="s">
        <v>1138</v>
      </c>
      <c r="BM157">
        <v>0</v>
      </c>
      <c r="BN157">
        <v>12900</v>
      </c>
      <c r="BO157">
        <v>0</v>
      </c>
      <c r="BP157">
        <v>0</v>
      </c>
      <c r="BQ157">
        <v>0</v>
      </c>
      <c r="BR157" t="s">
        <v>1</v>
      </c>
      <c r="BS157" t="s">
        <v>1</v>
      </c>
      <c r="BT157" t="s">
        <v>1</v>
      </c>
      <c r="BU157" t="s">
        <v>1</v>
      </c>
      <c r="BV157" t="s">
        <v>1</v>
      </c>
      <c r="BW157" t="s">
        <v>360</v>
      </c>
      <c r="BX157" t="s">
        <v>1</v>
      </c>
      <c r="BY157">
        <v>0</v>
      </c>
      <c r="BZ157">
        <v>0</v>
      </c>
      <c r="CA157">
        <v>0</v>
      </c>
      <c r="CB157">
        <v>0</v>
      </c>
      <c r="CD157" t="str" cm="1">
        <f t="array" aca="1" ref="CD157" ca="1">eConcatenar(A157:CB157,"|")</f>
        <v>MnmdYcBcrPzQ8N8E|VSA2020-1260|3|IMPERIAL DE LUJO|TABASCO|VILLAHERMOSA |VILLAHERMOSA |2020-11-30|12900|X|X|400|2|0|X|X|X|X|X|X|X|X|X|X|X|X|0|USCANGA|SANTOS |ROSITA |0|X|X|CARRETERA PRINCIPAL SIN NUMERO |RANCHERIA CUARTA SECCION |X|9931369189|HUGO ALBERTO ALEJO USCANGA |MODESTA USCANGA DE LOS SANTOS |0|CARRETERA PRINCIPAL SIN NUMERO |X|2|0|0|X|X|X|0|2000|10900|0|0|X|2021-01-12|2022-01-01|X|X|X|0|0|S35D6D3Y9KVTQ1|X|MUJER|0|12900|0|0|0|X|X|X|X|X|VILLAHERMOSA |X|0|0|0|0</v>
      </c>
    </row>
    <row r="158" spans="1:82" x14ac:dyDescent="0.25">
      <c r="A158" t="s">
        <v>1277</v>
      </c>
      <c r="B158" t="s">
        <v>1278</v>
      </c>
      <c r="C158">
        <v>3</v>
      </c>
      <c r="D158" t="s">
        <v>891</v>
      </c>
      <c r="E158" t="s">
        <v>359</v>
      </c>
      <c r="F158" t="s">
        <v>360</v>
      </c>
      <c r="G158" t="s">
        <v>360</v>
      </c>
      <c r="H158" t="s">
        <v>1279</v>
      </c>
      <c r="I158">
        <v>12900</v>
      </c>
      <c r="J158" t="s">
        <v>1</v>
      </c>
      <c r="K158" t="s">
        <v>1</v>
      </c>
      <c r="L158">
        <v>200</v>
      </c>
      <c r="M158">
        <v>1</v>
      </c>
      <c r="N158">
        <v>0</v>
      </c>
      <c r="O158" t="s">
        <v>1</v>
      </c>
      <c r="P158" t="s">
        <v>1</v>
      </c>
      <c r="Q158" t="s">
        <v>1</v>
      </c>
      <c r="R158" t="s">
        <v>1</v>
      </c>
      <c r="S158" t="s">
        <v>1</v>
      </c>
      <c r="T158" t="s">
        <v>1</v>
      </c>
      <c r="U158" t="s">
        <v>1</v>
      </c>
      <c r="V158" t="s">
        <v>1</v>
      </c>
      <c r="W158" t="s">
        <v>1</v>
      </c>
      <c r="X158" t="s">
        <v>1</v>
      </c>
      <c r="Y158" t="s">
        <v>1</v>
      </c>
      <c r="Z158" t="s">
        <v>1</v>
      </c>
      <c r="AA158">
        <v>0</v>
      </c>
      <c r="AB158" t="s">
        <v>217</v>
      </c>
      <c r="AC158" t="s">
        <v>248</v>
      </c>
      <c r="AD158" t="s">
        <v>1280</v>
      </c>
      <c r="AE158">
        <v>0</v>
      </c>
      <c r="AF158" t="s">
        <v>1</v>
      </c>
      <c r="AG158" t="s">
        <v>1</v>
      </c>
      <c r="AH158" t="s">
        <v>1281</v>
      </c>
      <c r="AI158" t="s">
        <v>1282</v>
      </c>
      <c r="AJ158" t="s">
        <v>1</v>
      </c>
      <c r="AK158">
        <v>9933043373</v>
      </c>
      <c r="AL158" t="s">
        <v>1283</v>
      </c>
      <c r="AM158" t="s">
        <v>1284</v>
      </c>
      <c r="AN158">
        <v>0</v>
      </c>
      <c r="AO158" t="s">
        <v>1281</v>
      </c>
      <c r="AP158" t="s">
        <v>1</v>
      </c>
      <c r="AQ158">
        <v>2</v>
      </c>
      <c r="AR158">
        <v>0</v>
      </c>
      <c r="AS158">
        <v>0</v>
      </c>
      <c r="AT158" t="s">
        <v>1</v>
      </c>
      <c r="AU158" t="s">
        <v>1</v>
      </c>
      <c r="AV158" t="s">
        <v>1</v>
      </c>
      <c r="AW158">
        <v>0</v>
      </c>
      <c r="AX158">
        <v>6200</v>
      </c>
      <c r="AY158">
        <v>6700</v>
      </c>
      <c r="AZ158">
        <v>0</v>
      </c>
      <c r="BA158">
        <v>0</v>
      </c>
      <c r="BB158" t="s">
        <v>1</v>
      </c>
      <c r="BC158" t="s">
        <v>758</v>
      </c>
      <c r="BD158" t="s">
        <v>198</v>
      </c>
      <c r="BE158" t="s">
        <v>1</v>
      </c>
      <c r="BF158" t="s">
        <v>1</v>
      </c>
      <c r="BG158" t="s">
        <v>1</v>
      </c>
      <c r="BH158">
        <v>0</v>
      </c>
      <c r="BI158">
        <v>0</v>
      </c>
      <c r="BJ158" t="s">
        <v>722</v>
      </c>
      <c r="BK158" t="s">
        <v>1</v>
      </c>
      <c r="BL158" t="s">
        <v>1138</v>
      </c>
      <c r="BM158">
        <v>0</v>
      </c>
      <c r="BN158">
        <v>12900</v>
      </c>
      <c r="BO158">
        <v>0</v>
      </c>
      <c r="BP158">
        <v>0</v>
      </c>
      <c r="BQ158">
        <v>0</v>
      </c>
      <c r="BR158" t="s">
        <v>1</v>
      </c>
      <c r="BS158" t="s">
        <v>1</v>
      </c>
      <c r="BT158" t="s">
        <v>1</v>
      </c>
      <c r="BU158" t="s">
        <v>1</v>
      </c>
      <c r="BV158" t="s">
        <v>1</v>
      </c>
      <c r="BW158" t="s">
        <v>360</v>
      </c>
      <c r="BX158" t="s">
        <v>1</v>
      </c>
      <c r="BY158">
        <v>0</v>
      </c>
      <c r="BZ158">
        <v>0</v>
      </c>
      <c r="CA158">
        <v>0</v>
      </c>
      <c r="CB158">
        <v>0</v>
      </c>
      <c r="CD158" t="str" cm="1">
        <f t="array" aca="1" ref="CD158" ca="1">eConcatenar(A158:CB158,"|")</f>
        <v>oxC8iT4Vl9b6fLws|VSA2020-0570|3|ECONOLINE|TABASCO|VILLAHERMOSA |VILLAHERMOSA |2020-12-09|12900|X|X|200|1|0|X|X|X|X|X|X|X|X|X|X|X|X|0|HERNANDEZ|MORALES|MARIA NERY |0|X|X|CALLEJON LA MANGA SIN NUMERO |RANCHERIA ANANCLETO CANABAL SEGUNDA SECCION |X|9933043373|MARIO TORRES HERNANDEZ |LIZBETH ANTONIA TORRES HERNANDEZ |0|CALLEJON LA MANGA SIN NUMERO |X|2|0|0|X|X|X|0|6200|6700|0|0|X|2021-12-15|2021-12-30|X|X|X|0|0|S35D6D3Y9KVTQ1|X|MUJER|0|12900|0|0|0|X|X|X|X|X|VILLAHERMOSA |X|0|0|0|0</v>
      </c>
    </row>
    <row r="159" spans="1:82" x14ac:dyDescent="0.25">
      <c r="A159" t="s">
        <v>1285</v>
      </c>
      <c r="B159" t="s">
        <v>1286</v>
      </c>
      <c r="C159">
        <v>3</v>
      </c>
      <c r="D159" t="s">
        <v>891</v>
      </c>
      <c r="E159" t="s">
        <v>359</v>
      </c>
      <c r="F159" t="s">
        <v>360</v>
      </c>
      <c r="G159" t="s">
        <v>360</v>
      </c>
      <c r="H159" t="s">
        <v>1279</v>
      </c>
      <c r="I159">
        <v>12900</v>
      </c>
      <c r="J159" t="s">
        <v>1</v>
      </c>
      <c r="K159" t="s">
        <v>1</v>
      </c>
      <c r="L159">
        <v>200</v>
      </c>
      <c r="M159">
        <v>1</v>
      </c>
      <c r="N159">
        <v>0</v>
      </c>
      <c r="O159" t="s">
        <v>1</v>
      </c>
      <c r="P159" t="s">
        <v>1</v>
      </c>
      <c r="Q159" t="s">
        <v>1</v>
      </c>
      <c r="R159" t="s">
        <v>1</v>
      </c>
      <c r="S159" t="s">
        <v>1</v>
      </c>
      <c r="T159" t="s">
        <v>1</v>
      </c>
      <c r="U159" t="s">
        <v>1</v>
      </c>
      <c r="V159" t="s">
        <v>1</v>
      </c>
      <c r="W159" t="s">
        <v>1</v>
      </c>
      <c r="X159" t="s">
        <v>1</v>
      </c>
      <c r="Y159" t="s">
        <v>1</v>
      </c>
      <c r="Z159" t="s">
        <v>1</v>
      </c>
      <c r="AA159">
        <v>0</v>
      </c>
      <c r="AB159" t="s">
        <v>761</v>
      </c>
      <c r="AC159" t="s">
        <v>576</v>
      </c>
      <c r="AD159" t="s">
        <v>1287</v>
      </c>
      <c r="AE159">
        <v>0</v>
      </c>
      <c r="AF159" t="s">
        <v>1</v>
      </c>
      <c r="AG159" t="s">
        <v>1</v>
      </c>
      <c r="AH159" t="s">
        <v>1288</v>
      </c>
      <c r="AI159" t="s">
        <v>728</v>
      </c>
      <c r="AJ159" t="s">
        <v>1</v>
      </c>
      <c r="AK159">
        <v>9932206600</v>
      </c>
      <c r="AL159" t="s">
        <v>1289</v>
      </c>
      <c r="AM159" t="s">
        <v>1290</v>
      </c>
      <c r="AN159">
        <v>0</v>
      </c>
      <c r="AO159" t="s">
        <v>1288</v>
      </c>
      <c r="AP159" t="s">
        <v>1</v>
      </c>
      <c r="AQ159">
        <v>2</v>
      </c>
      <c r="AR159">
        <v>0</v>
      </c>
      <c r="AS159">
        <v>0</v>
      </c>
      <c r="AT159" t="s">
        <v>1</v>
      </c>
      <c r="AU159" t="s">
        <v>1</v>
      </c>
      <c r="AV159" t="s">
        <v>1</v>
      </c>
      <c r="AW159">
        <v>0</v>
      </c>
      <c r="AX159">
        <v>7200</v>
      </c>
      <c r="AY159">
        <v>5700</v>
      </c>
      <c r="AZ159">
        <v>0</v>
      </c>
      <c r="BA159">
        <v>0</v>
      </c>
      <c r="BB159" t="s">
        <v>1</v>
      </c>
      <c r="BC159" t="s">
        <v>758</v>
      </c>
      <c r="BD159" t="s">
        <v>198</v>
      </c>
      <c r="BE159" t="s">
        <v>1</v>
      </c>
      <c r="BF159" t="s">
        <v>1</v>
      </c>
      <c r="BG159" t="s">
        <v>1</v>
      </c>
      <c r="BH159">
        <v>0</v>
      </c>
      <c r="BI159">
        <v>0</v>
      </c>
      <c r="BJ159" t="s">
        <v>722</v>
      </c>
      <c r="BK159" t="s">
        <v>1</v>
      </c>
      <c r="BL159" t="s">
        <v>132</v>
      </c>
      <c r="BM159">
        <v>0</v>
      </c>
      <c r="BN159">
        <v>12900</v>
      </c>
      <c r="BO159">
        <v>0</v>
      </c>
      <c r="BP159">
        <v>0</v>
      </c>
      <c r="BQ159">
        <v>0</v>
      </c>
      <c r="BR159" t="s">
        <v>1</v>
      </c>
      <c r="BS159" t="s">
        <v>1</v>
      </c>
      <c r="BT159" t="s">
        <v>1</v>
      </c>
      <c r="BU159" t="s">
        <v>1</v>
      </c>
      <c r="BV159" t="s">
        <v>1</v>
      </c>
      <c r="BW159" t="s">
        <v>360</v>
      </c>
      <c r="BX159" t="s">
        <v>1</v>
      </c>
      <c r="BY159">
        <v>0</v>
      </c>
      <c r="BZ159">
        <v>0</v>
      </c>
      <c r="CA159">
        <v>0</v>
      </c>
      <c r="CB159">
        <v>0</v>
      </c>
      <c r="CD159" t="str" cm="1">
        <f t="array" aca="1" ref="CD159" ca="1">eConcatenar(A159:CB159,"|")</f>
        <v>yegSNN7S1JRXps6M|VSA2020-0568|3|ECONOLINE|TABASCO|VILLAHERMOSA |VILLAHERMOSA |2020-12-09|12900|X|X|200|1|0|X|X|X|X|X|X|X|X|X|X|X|X|0|TORRES |BAUTISTA |JOSE |0|X|X|CALLE LOS MANGOS SIN NUMERO |RANCHERIA ANACLETO CANABAL SEGUNDA SECCION |X|9932206600|LAURA TORRES HERNANDEZ |MARIO TORRES HERNANDEZ|0|CALLE LOS MANGOS SIN NUMERO |X|2|0|0|X|X|X|0|7200|5700|0|0|X|2021-12-15|2021-12-30|X|X|X|0|0|S35D6D3Y9KVTQ1|X|HOMBRE|0|12900|0|0|0|X|X|X|X|X|VILLAHERMOSA |X|0|0|0|0</v>
      </c>
    </row>
    <row r="160" spans="1:82" x14ac:dyDescent="0.25">
      <c r="A160" t="s">
        <v>1291</v>
      </c>
      <c r="B160" t="s">
        <v>1292</v>
      </c>
      <c r="C160">
        <v>3</v>
      </c>
      <c r="D160" t="s">
        <v>891</v>
      </c>
      <c r="E160" t="s">
        <v>359</v>
      </c>
      <c r="F160" t="s">
        <v>360</v>
      </c>
      <c r="G160" t="s">
        <v>360</v>
      </c>
      <c r="H160" t="s">
        <v>999</v>
      </c>
      <c r="I160">
        <v>12900</v>
      </c>
      <c r="J160" t="s">
        <v>1</v>
      </c>
      <c r="K160" t="s">
        <v>1</v>
      </c>
      <c r="L160">
        <v>100</v>
      </c>
      <c r="M160">
        <v>0</v>
      </c>
      <c r="N160">
        <v>0</v>
      </c>
      <c r="O160" t="s">
        <v>1</v>
      </c>
      <c r="P160" t="s">
        <v>1</v>
      </c>
      <c r="Q160" t="s">
        <v>1</v>
      </c>
      <c r="R160" t="s">
        <v>1</v>
      </c>
      <c r="S160" t="s">
        <v>1</v>
      </c>
      <c r="T160" t="s">
        <v>1</v>
      </c>
      <c r="U160" t="s">
        <v>1</v>
      </c>
      <c r="V160" t="s">
        <v>1</v>
      </c>
      <c r="W160" t="s">
        <v>1</v>
      </c>
      <c r="X160" t="s">
        <v>1</v>
      </c>
      <c r="Y160" t="s">
        <v>1</v>
      </c>
      <c r="Z160" t="s">
        <v>1</v>
      </c>
      <c r="AA160">
        <v>0</v>
      </c>
      <c r="AB160" t="s">
        <v>159</v>
      </c>
      <c r="AC160" t="s">
        <v>1293</v>
      </c>
      <c r="AD160" t="s">
        <v>1294</v>
      </c>
      <c r="AE160">
        <v>0</v>
      </c>
      <c r="AF160" t="s">
        <v>1</v>
      </c>
      <c r="AG160" t="s">
        <v>1</v>
      </c>
      <c r="AH160" t="s">
        <v>1221</v>
      </c>
      <c r="AI160" t="s">
        <v>728</v>
      </c>
      <c r="AJ160" t="s">
        <v>1</v>
      </c>
      <c r="AK160">
        <v>9934303064</v>
      </c>
      <c r="AL160" t="s">
        <v>1295</v>
      </c>
      <c r="AM160" t="s">
        <v>1296</v>
      </c>
      <c r="AN160">
        <v>0</v>
      </c>
      <c r="AO160" t="s">
        <v>1221</v>
      </c>
      <c r="AP160" t="s">
        <v>1</v>
      </c>
      <c r="AQ160">
        <v>2</v>
      </c>
      <c r="AR160">
        <v>0</v>
      </c>
      <c r="AS160">
        <v>0</v>
      </c>
      <c r="AT160" t="s">
        <v>1</v>
      </c>
      <c r="AU160" t="s">
        <v>1</v>
      </c>
      <c r="AV160" t="s">
        <v>1</v>
      </c>
      <c r="AW160">
        <v>0</v>
      </c>
      <c r="AX160">
        <v>4300</v>
      </c>
      <c r="AY160">
        <v>8600</v>
      </c>
      <c r="AZ160">
        <v>0</v>
      </c>
      <c r="BA160">
        <v>0</v>
      </c>
      <c r="BB160" t="s">
        <v>1</v>
      </c>
      <c r="BC160" t="s">
        <v>1105</v>
      </c>
      <c r="BD160" t="s">
        <v>280</v>
      </c>
      <c r="BE160" t="s">
        <v>1</v>
      </c>
      <c r="BF160" t="s">
        <v>1</v>
      </c>
      <c r="BG160" t="s">
        <v>1</v>
      </c>
      <c r="BH160">
        <v>0</v>
      </c>
      <c r="BI160">
        <v>0</v>
      </c>
      <c r="BJ160" t="s">
        <v>722</v>
      </c>
      <c r="BK160" t="s">
        <v>1</v>
      </c>
      <c r="BL160" t="s">
        <v>132</v>
      </c>
      <c r="BM160">
        <v>0</v>
      </c>
      <c r="BN160">
        <v>12900</v>
      </c>
      <c r="BO160">
        <v>0</v>
      </c>
      <c r="BP160">
        <v>0</v>
      </c>
      <c r="BQ160">
        <v>0</v>
      </c>
      <c r="BR160" t="s">
        <v>1</v>
      </c>
      <c r="BS160" t="s">
        <v>1</v>
      </c>
      <c r="BT160" t="s">
        <v>1</v>
      </c>
      <c r="BU160" t="s">
        <v>1</v>
      </c>
      <c r="BV160" t="s">
        <v>1</v>
      </c>
      <c r="BW160" t="s">
        <v>360</v>
      </c>
      <c r="BX160" t="s">
        <v>1</v>
      </c>
      <c r="BY160">
        <v>0</v>
      </c>
      <c r="BZ160">
        <v>0</v>
      </c>
      <c r="CA160">
        <v>0</v>
      </c>
      <c r="CB160">
        <v>0</v>
      </c>
      <c r="CD160" t="str" cm="1">
        <f t="array" aca="1" ref="CD160" ca="1">eConcatenar(A160:CB160,"|")</f>
        <v>PvWIKul0lFB1lOTA|VSA2020-0541|3|ECONOLINE|TABASCO|VILLAHERMOSA |VILLAHERMOSA |2020-09-09|12900|X|X|100|0|0|X|X|X|X|X|X|X|X|X|X|X|X|0|GARCIA|GONGORA |ANDRES|0|X|X|PRINCIPAL SIN NUMERO |RANCHERIA ANACLETO CANABAL SEGUNDA SECCION |X|9934303064|MARIA CRUZ GARCIA GONGORA |KARLA FERNANDA CORNELIO GARCIA |0|PRINCIPAL SIN NUMERO |X|2|0|0|X|X|X|0|4300|8600|0|0|X|2021-12-22|2021-12-29|X|X|X|0|0|S35D6D3Y9KVTQ1|X|HOMBRE|0|12900|0|0|0|X|X|X|X|X|VILLAHERMOSA |X|0|0|0|0</v>
      </c>
    </row>
    <row r="161" spans="1:82" x14ac:dyDescent="0.25">
      <c r="A161" t="s">
        <v>1297</v>
      </c>
      <c r="B161" t="s">
        <v>1298</v>
      </c>
      <c r="C161">
        <v>3</v>
      </c>
      <c r="D161" t="s">
        <v>891</v>
      </c>
      <c r="E161" t="s">
        <v>359</v>
      </c>
      <c r="F161" t="s">
        <v>360</v>
      </c>
      <c r="G161" t="s">
        <v>360</v>
      </c>
      <c r="H161" t="s">
        <v>954</v>
      </c>
      <c r="I161">
        <v>12900</v>
      </c>
      <c r="J161" t="s">
        <v>1</v>
      </c>
      <c r="K161" t="s">
        <v>1</v>
      </c>
      <c r="L161">
        <v>200</v>
      </c>
      <c r="M161">
        <v>1</v>
      </c>
      <c r="N161">
        <v>0</v>
      </c>
      <c r="O161" t="s">
        <v>1</v>
      </c>
      <c r="P161" t="s">
        <v>1</v>
      </c>
      <c r="Q161" t="s">
        <v>1</v>
      </c>
      <c r="R161" t="s">
        <v>1</v>
      </c>
      <c r="S161" t="s">
        <v>1</v>
      </c>
      <c r="T161" t="s">
        <v>1</v>
      </c>
      <c r="U161" t="s">
        <v>1</v>
      </c>
      <c r="V161" t="s">
        <v>1</v>
      </c>
      <c r="W161" t="s">
        <v>1</v>
      </c>
      <c r="X161" t="s">
        <v>1</v>
      </c>
      <c r="Y161" t="s">
        <v>1</v>
      </c>
      <c r="Z161" t="s">
        <v>1</v>
      </c>
      <c r="AA161">
        <v>0</v>
      </c>
      <c r="AB161" t="s">
        <v>1299</v>
      </c>
      <c r="AC161" t="s">
        <v>15</v>
      </c>
      <c r="AD161" t="s">
        <v>1300</v>
      </c>
      <c r="AE161">
        <v>0</v>
      </c>
      <c r="AF161" t="s">
        <v>1</v>
      </c>
      <c r="AG161" t="s">
        <v>1</v>
      </c>
      <c r="AH161" t="s">
        <v>1301</v>
      </c>
      <c r="AI161" t="s">
        <v>1302</v>
      </c>
      <c r="AJ161" t="s">
        <v>1</v>
      </c>
      <c r="AK161">
        <v>9932859301</v>
      </c>
      <c r="AL161" t="s">
        <v>1303</v>
      </c>
      <c r="AM161" t="s">
        <v>1304</v>
      </c>
      <c r="AN161">
        <v>0</v>
      </c>
      <c r="AO161" t="s">
        <v>1301</v>
      </c>
      <c r="AP161" t="s">
        <v>1</v>
      </c>
      <c r="AQ161">
        <v>2</v>
      </c>
      <c r="AR161">
        <v>0</v>
      </c>
      <c r="AS161">
        <v>0</v>
      </c>
      <c r="AT161" t="s">
        <v>1</v>
      </c>
      <c r="AU161" t="s">
        <v>1</v>
      </c>
      <c r="AV161" t="s">
        <v>1</v>
      </c>
      <c r="AW161">
        <v>0</v>
      </c>
      <c r="AX161">
        <v>4800</v>
      </c>
      <c r="AY161">
        <v>8100</v>
      </c>
      <c r="AZ161">
        <v>0</v>
      </c>
      <c r="BA161">
        <v>0</v>
      </c>
      <c r="BB161" t="s">
        <v>1</v>
      </c>
      <c r="BC161" t="s">
        <v>757</v>
      </c>
      <c r="BD161" t="s">
        <v>758</v>
      </c>
      <c r="BE161" t="s">
        <v>1</v>
      </c>
      <c r="BF161" t="s">
        <v>1</v>
      </c>
      <c r="BG161" t="s">
        <v>1</v>
      </c>
      <c r="BH161">
        <v>0</v>
      </c>
      <c r="BI161">
        <v>0</v>
      </c>
      <c r="BJ161" t="s">
        <v>722</v>
      </c>
      <c r="BK161" t="s">
        <v>1</v>
      </c>
      <c r="BL161" t="s">
        <v>1138</v>
      </c>
      <c r="BM161">
        <v>0</v>
      </c>
      <c r="BN161">
        <v>12900</v>
      </c>
      <c r="BO161">
        <v>0</v>
      </c>
      <c r="BP161">
        <v>0</v>
      </c>
      <c r="BQ161">
        <v>0</v>
      </c>
      <c r="BR161" t="s">
        <v>1</v>
      </c>
      <c r="BS161" t="s">
        <v>1</v>
      </c>
      <c r="BT161" t="s">
        <v>1</v>
      </c>
      <c r="BU161" t="s">
        <v>1</v>
      </c>
      <c r="BV161" t="s">
        <v>1</v>
      </c>
      <c r="BW161" t="s">
        <v>360</v>
      </c>
      <c r="BX161" t="s">
        <v>1</v>
      </c>
      <c r="BY161">
        <v>0</v>
      </c>
      <c r="BZ161">
        <v>0</v>
      </c>
      <c r="CA161">
        <v>0</v>
      </c>
      <c r="CB161">
        <v>0</v>
      </c>
      <c r="CD161" t="str" cm="1">
        <f t="array" aca="1" ref="CD161" ca="1">eConcatenar(A161:CB161,"|")</f>
        <v>yxGpjttuY5Gg4Nuo|VSA2020-0484|3|ECONOLINE|TABASCO|VILLAHERMOSA |VILLAHERMOSA |2020-02-09|12900|X|X|200|1|0|X|X|X|X|X|X|X|X|X|X|X|X|0|VIDAL |PEREZ |MARITZA ISABEL|0|X|X|SECTOR LA GLORIA  KILOMETRO 8.5 |RANCHERIA LAZARO CARDENAS SEGUNDA SECCION |X|9932859301|JESUS JIMENEZ LOPEZ |JUAN CARLOS VIDAL PEREZ|0|SECTOR LA GLORIA  KILOMETRO 8.5 |X|2|0|0|X|X|X|0|4800|8100|0|0|X|2021-01-12|2021-12-15|X|X|X|0|0|S35D6D3Y9KVTQ1|X|MUJER|0|12900|0|0|0|X|X|X|X|X|VILLAHERMOSA |X|0|0|0|0</v>
      </c>
    </row>
    <row r="162" spans="1:82" x14ac:dyDescent="0.25">
      <c r="A162" t="s">
        <v>1305</v>
      </c>
      <c r="B162" t="s">
        <v>1306</v>
      </c>
      <c r="C162">
        <v>3</v>
      </c>
      <c r="D162" t="s">
        <v>891</v>
      </c>
      <c r="E162" t="s">
        <v>359</v>
      </c>
      <c r="F162" t="s">
        <v>360</v>
      </c>
      <c r="G162" t="s">
        <v>360</v>
      </c>
      <c r="H162" t="s">
        <v>1235</v>
      </c>
      <c r="I162">
        <v>12900</v>
      </c>
      <c r="J162" t="s">
        <v>1</v>
      </c>
      <c r="K162" t="s">
        <v>1</v>
      </c>
      <c r="L162">
        <v>100</v>
      </c>
      <c r="M162">
        <v>0</v>
      </c>
      <c r="N162">
        <v>0</v>
      </c>
      <c r="O162" t="s">
        <v>1</v>
      </c>
      <c r="P162" t="s">
        <v>1</v>
      </c>
      <c r="Q162" t="s">
        <v>1</v>
      </c>
      <c r="R162" t="s">
        <v>1</v>
      </c>
      <c r="S162" t="s">
        <v>1</v>
      </c>
      <c r="T162" t="s">
        <v>1</v>
      </c>
      <c r="U162" t="s">
        <v>1</v>
      </c>
      <c r="V162" t="s">
        <v>1</v>
      </c>
      <c r="W162" t="s">
        <v>1</v>
      </c>
      <c r="X162" t="s">
        <v>1</v>
      </c>
      <c r="Y162" t="s">
        <v>1</v>
      </c>
      <c r="Z162" t="s">
        <v>1</v>
      </c>
      <c r="AA162">
        <v>0</v>
      </c>
      <c r="AB162" t="s">
        <v>1227</v>
      </c>
      <c r="AC162" t="s">
        <v>543</v>
      </c>
      <c r="AD162" t="s">
        <v>1307</v>
      </c>
      <c r="AE162">
        <v>0</v>
      </c>
      <c r="AF162" t="s">
        <v>1</v>
      </c>
      <c r="AG162" t="s">
        <v>1</v>
      </c>
      <c r="AH162" t="s">
        <v>1308</v>
      </c>
      <c r="AI162" t="s">
        <v>728</v>
      </c>
      <c r="AJ162" t="s">
        <v>1</v>
      </c>
      <c r="AK162">
        <v>9931676250</v>
      </c>
      <c r="AL162" t="s">
        <v>1309</v>
      </c>
      <c r="AM162" t="s">
        <v>1310</v>
      </c>
      <c r="AN162">
        <v>0</v>
      </c>
      <c r="AO162" t="s">
        <v>1308</v>
      </c>
      <c r="AP162" t="s">
        <v>1</v>
      </c>
      <c r="AQ162">
        <v>2</v>
      </c>
      <c r="AR162">
        <v>0</v>
      </c>
      <c r="AS162">
        <v>0</v>
      </c>
      <c r="AT162" t="s">
        <v>1</v>
      </c>
      <c r="AU162" t="s">
        <v>1</v>
      </c>
      <c r="AV162" t="s">
        <v>1</v>
      </c>
      <c r="AW162">
        <v>0</v>
      </c>
      <c r="AX162">
        <v>2200</v>
      </c>
      <c r="AY162">
        <v>10700</v>
      </c>
      <c r="AZ162">
        <v>0</v>
      </c>
      <c r="BA162">
        <v>0</v>
      </c>
      <c r="BB162" t="s">
        <v>1</v>
      </c>
      <c r="BC162" t="s">
        <v>1105</v>
      </c>
      <c r="BD162" t="s">
        <v>280</v>
      </c>
      <c r="BE162" t="s">
        <v>1</v>
      </c>
      <c r="BF162" t="s">
        <v>1</v>
      </c>
      <c r="BG162" t="s">
        <v>1</v>
      </c>
      <c r="BH162">
        <v>0</v>
      </c>
      <c r="BI162">
        <v>0</v>
      </c>
      <c r="BJ162" t="s">
        <v>722</v>
      </c>
      <c r="BK162" t="s">
        <v>1</v>
      </c>
      <c r="BL162" t="s">
        <v>1138</v>
      </c>
      <c r="BM162">
        <v>0</v>
      </c>
      <c r="BN162">
        <v>12900</v>
      </c>
      <c r="BO162">
        <v>0</v>
      </c>
      <c r="BP162">
        <v>0</v>
      </c>
      <c r="BQ162">
        <v>0</v>
      </c>
      <c r="BR162" t="s">
        <v>1</v>
      </c>
      <c r="BS162" t="s">
        <v>1</v>
      </c>
      <c r="BT162" t="s">
        <v>1</v>
      </c>
      <c r="BU162" t="s">
        <v>1</v>
      </c>
      <c r="BV162" t="s">
        <v>1</v>
      </c>
      <c r="BW162" t="s">
        <v>360</v>
      </c>
      <c r="BX162" t="s">
        <v>1</v>
      </c>
      <c r="BY162">
        <v>0</v>
      </c>
      <c r="BZ162">
        <v>0</v>
      </c>
      <c r="CA162">
        <v>0</v>
      </c>
      <c r="CB162">
        <v>0</v>
      </c>
      <c r="CD162" t="str" cm="1">
        <f t="array" aca="1" ref="CD162" ca="1">eConcatenar(A162:CB162,"|")</f>
        <v>PuG96BHZHY7zy4bd|VSA2020-0482|3|ECONOLINE|TABASCO|VILLAHERMOSA |VILLAHERMOSA |2021-02-09|12900|X|X|100|0|0|X|X|X|X|X|X|X|X|X|X|X|X|0|VILLEGAS |ARIAS |ANA RUTH|0|X|X|CALLE LA GLORIA SIN NUMERO SECTOR LA GLORIA |RANCHERIA ANACLETO CANABAL SEGUNDA SECCION |X|9931676250|SAUL VILLEGAS OLAN |SAUL VILLEGAS ARIAS |0|CALLE LA GLORIA SIN NUMERO SECTOR LA GLORIA |X|2|0|0|X|X|X|0|2200|10700|0|0|X|2021-12-22|2021-12-29|X|X|X|0|0|S35D6D3Y9KVTQ1|X|MUJER|0|12900|0|0|0|X|X|X|X|X|VILLAHERMOSA |X|0|0|0|0</v>
      </c>
    </row>
    <row r="163" spans="1:82" x14ac:dyDescent="0.25">
      <c r="A163" t="s">
        <v>1311</v>
      </c>
      <c r="B163" t="s">
        <v>1312</v>
      </c>
      <c r="C163">
        <v>3</v>
      </c>
      <c r="D163" t="s">
        <v>891</v>
      </c>
      <c r="E163" t="s">
        <v>359</v>
      </c>
      <c r="F163" t="s">
        <v>360</v>
      </c>
      <c r="G163" t="s">
        <v>360</v>
      </c>
      <c r="H163" t="s">
        <v>1313</v>
      </c>
      <c r="I163">
        <v>12900</v>
      </c>
      <c r="J163" t="s">
        <v>1</v>
      </c>
      <c r="K163" t="s">
        <v>1</v>
      </c>
      <c r="L163">
        <v>100</v>
      </c>
      <c r="M163">
        <v>0</v>
      </c>
      <c r="N163">
        <v>0</v>
      </c>
      <c r="O163" t="s">
        <v>1</v>
      </c>
      <c r="P163" t="s">
        <v>1</v>
      </c>
      <c r="Q163" t="s">
        <v>1</v>
      </c>
      <c r="R163" t="s">
        <v>1</v>
      </c>
      <c r="S163" t="s">
        <v>1</v>
      </c>
      <c r="T163" t="s">
        <v>1</v>
      </c>
      <c r="U163" t="s">
        <v>1</v>
      </c>
      <c r="V163" t="s">
        <v>1</v>
      </c>
      <c r="W163" t="s">
        <v>1</v>
      </c>
      <c r="X163" t="s">
        <v>1</v>
      </c>
      <c r="Y163" t="s">
        <v>1</v>
      </c>
      <c r="Z163" t="s">
        <v>1</v>
      </c>
      <c r="AA163">
        <v>0</v>
      </c>
      <c r="AB163" t="s">
        <v>7</v>
      </c>
      <c r="AC163" t="s">
        <v>627</v>
      </c>
      <c r="AD163" t="s">
        <v>503</v>
      </c>
      <c r="AE163">
        <v>0</v>
      </c>
      <c r="AF163" t="s">
        <v>1</v>
      </c>
      <c r="AG163" t="s">
        <v>1</v>
      </c>
      <c r="AH163" t="s">
        <v>1314</v>
      </c>
      <c r="AI163" t="s">
        <v>719</v>
      </c>
      <c r="AJ163" t="s">
        <v>1</v>
      </c>
      <c r="AK163">
        <v>9984026130</v>
      </c>
      <c r="AL163" t="s">
        <v>1315</v>
      </c>
      <c r="AM163" t="s">
        <v>1316</v>
      </c>
      <c r="AN163">
        <v>0</v>
      </c>
      <c r="AO163" t="s">
        <v>1314</v>
      </c>
      <c r="AP163" t="s">
        <v>1</v>
      </c>
      <c r="AQ163">
        <v>3</v>
      </c>
      <c r="AR163">
        <v>0</v>
      </c>
      <c r="AS163">
        <v>0</v>
      </c>
      <c r="AT163" t="s">
        <v>1</v>
      </c>
      <c r="AU163" t="s">
        <v>1</v>
      </c>
      <c r="AV163" t="s">
        <v>1</v>
      </c>
      <c r="AW163">
        <v>0</v>
      </c>
      <c r="AX163">
        <v>4750</v>
      </c>
      <c r="AY163">
        <v>8150</v>
      </c>
      <c r="AZ163">
        <v>0</v>
      </c>
      <c r="BA163">
        <v>0</v>
      </c>
      <c r="BB163" t="s">
        <v>1</v>
      </c>
      <c r="BC163" t="s">
        <v>1159</v>
      </c>
      <c r="BD163" t="s">
        <v>198</v>
      </c>
      <c r="BE163" t="s">
        <v>1</v>
      </c>
      <c r="BF163" t="s">
        <v>1</v>
      </c>
      <c r="BG163" t="s">
        <v>1</v>
      </c>
      <c r="BH163">
        <v>0</v>
      </c>
      <c r="BI163">
        <v>0</v>
      </c>
      <c r="BJ163" t="s">
        <v>722</v>
      </c>
      <c r="BK163" t="s">
        <v>1</v>
      </c>
      <c r="BL163" t="s">
        <v>132</v>
      </c>
      <c r="BM163">
        <v>0</v>
      </c>
      <c r="BN163">
        <v>129900</v>
      </c>
      <c r="BO163">
        <v>0</v>
      </c>
      <c r="BP163">
        <v>0</v>
      </c>
      <c r="BQ163">
        <v>0</v>
      </c>
      <c r="BR163" t="s">
        <v>1</v>
      </c>
      <c r="BS163" t="s">
        <v>1</v>
      </c>
      <c r="BT163" t="s">
        <v>1</v>
      </c>
      <c r="BU163" t="s">
        <v>1</v>
      </c>
      <c r="BV163" t="s">
        <v>1</v>
      </c>
      <c r="BW163" t="s">
        <v>360</v>
      </c>
      <c r="BX163" t="s">
        <v>1</v>
      </c>
      <c r="BY163">
        <v>0</v>
      </c>
      <c r="BZ163">
        <v>0</v>
      </c>
      <c r="CA163">
        <v>0</v>
      </c>
      <c r="CB163">
        <v>0</v>
      </c>
      <c r="CD163" t="str" cm="1">
        <f t="array" aca="1" ref="CD163" ca="1">eConcatenar(A163:CB163,"|")</f>
        <v>bb0cVtZ8rKxUW9xz|VSA2020-0457|3|ECONOLINE|TABASCO|VILLAHERMOSA |VILLAHERMOSA |2020-08-24|12900|X|X|100|0|0|X|X|X|X|X|X|X|X|X|X|X|X|0|LOPEZ|OVANDO |JESUS|0|X|X|CALLE OLVIDADOS CALLEJON EL MANGO |RANCHERIA ANACLETO CANABAL TERCERA SECCION |X|9984026130|JAZMIN PEREZ FELIX |DULCE MARIA PEREZ FELIX |0|CALLE OLVIDADOS CALLEJON EL MANGO |X|3|0|0|X|X|X|0|4750|8150|0|0|X|2021-12-23|2021-12-30|X|X|X|0|0|S35D6D3Y9KVTQ1|X|HOMBRE|0|129900|0|0|0|X|X|X|X|X|VILLAHERMOSA |X|0|0|0|0</v>
      </c>
    </row>
    <row r="164" spans="1:82" x14ac:dyDescent="0.25">
      <c r="A164" t="s">
        <v>1317</v>
      </c>
      <c r="B164" t="s">
        <v>1318</v>
      </c>
      <c r="C164">
        <v>3</v>
      </c>
      <c r="D164" t="s">
        <v>1073</v>
      </c>
      <c r="E164" t="s">
        <v>359</v>
      </c>
      <c r="F164" t="s">
        <v>360</v>
      </c>
      <c r="G164" t="s">
        <v>360</v>
      </c>
      <c r="H164" t="s">
        <v>413</v>
      </c>
      <c r="I164">
        <v>19800</v>
      </c>
      <c r="J164" t="s">
        <v>1</v>
      </c>
      <c r="K164" t="s">
        <v>1</v>
      </c>
      <c r="L164">
        <v>200</v>
      </c>
      <c r="M164">
        <v>1</v>
      </c>
      <c r="N164">
        <v>0</v>
      </c>
      <c r="O164" t="s">
        <v>1</v>
      </c>
      <c r="P164" t="s">
        <v>1</v>
      </c>
      <c r="Q164" t="s">
        <v>1</v>
      </c>
      <c r="R164" t="s">
        <v>1</v>
      </c>
      <c r="S164" t="s">
        <v>1</v>
      </c>
      <c r="T164" t="s">
        <v>1</v>
      </c>
      <c r="U164" t="s">
        <v>1</v>
      </c>
      <c r="V164" t="s">
        <v>1</v>
      </c>
      <c r="W164" t="s">
        <v>1</v>
      </c>
      <c r="X164" t="s">
        <v>1</v>
      </c>
      <c r="Y164" t="s">
        <v>1</v>
      </c>
      <c r="Z164" t="s">
        <v>1</v>
      </c>
      <c r="AA164">
        <v>0</v>
      </c>
      <c r="AB164" t="s">
        <v>810</v>
      </c>
      <c r="AC164" t="s">
        <v>273</v>
      </c>
      <c r="AD164" t="s">
        <v>1319</v>
      </c>
      <c r="AE164">
        <v>0</v>
      </c>
      <c r="AF164" t="s">
        <v>1</v>
      </c>
      <c r="AG164" t="s">
        <v>1</v>
      </c>
      <c r="AH164" t="s">
        <v>545</v>
      </c>
      <c r="AI164" t="s">
        <v>1320</v>
      </c>
      <c r="AJ164" t="s">
        <v>1</v>
      </c>
      <c r="AK164">
        <v>9932790542</v>
      </c>
      <c r="AL164" t="s">
        <v>1321</v>
      </c>
      <c r="AM164" t="s">
        <v>1322</v>
      </c>
      <c r="AN164">
        <v>0</v>
      </c>
      <c r="AO164" t="s">
        <v>545</v>
      </c>
      <c r="AP164" t="s">
        <v>1</v>
      </c>
      <c r="AQ164">
        <v>3</v>
      </c>
      <c r="AR164">
        <v>0</v>
      </c>
      <c r="AS164">
        <v>0</v>
      </c>
      <c r="AT164" t="s">
        <v>1</v>
      </c>
      <c r="AU164" t="s">
        <v>1</v>
      </c>
      <c r="AV164" t="s">
        <v>1</v>
      </c>
      <c r="AW164">
        <v>0</v>
      </c>
      <c r="AX164">
        <v>6100</v>
      </c>
      <c r="AY164">
        <v>13700</v>
      </c>
      <c r="AZ164">
        <v>0</v>
      </c>
      <c r="BA164">
        <v>0</v>
      </c>
      <c r="BB164" t="s">
        <v>1</v>
      </c>
      <c r="BC164" t="s">
        <v>730</v>
      </c>
      <c r="BD164" t="s">
        <v>198</v>
      </c>
      <c r="BE164" t="s">
        <v>1</v>
      </c>
      <c r="BF164" t="s">
        <v>1</v>
      </c>
      <c r="BG164" t="s">
        <v>1</v>
      </c>
      <c r="BH164">
        <v>0</v>
      </c>
      <c r="BI164">
        <v>0</v>
      </c>
      <c r="BJ164" t="s">
        <v>722</v>
      </c>
      <c r="BK164" t="s">
        <v>1</v>
      </c>
      <c r="BL164" t="s">
        <v>1138</v>
      </c>
      <c r="BM164">
        <v>0</v>
      </c>
      <c r="BN164">
        <v>19800</v>
      </c>
      <c r="BO164">
        <v>0</v>
      </c>
      <c r="BP164">
        <v>0</v>
      </c>
      <c r="BQ164">
        <v>0</v>
      </c>
      <c r="BR164" t="s">
        <v>1</v>
      </c>
      <c r="BS164" t="s">
        <v>1</v>
      </c>
      <c r="BT164" t="s">
        <v>1</v>
      </c>
      <c r="BU164" t="s">
        <v>1</v>
      </c>
      <c r="BV164" t="s">
        <v>1</v>
      </c>
      <c r="BW164" t="s">
        <v>360</v>
      </c>
      <c r="BX164" t="s">
        <v>1</v>
      </c>
      <c r="BY164">
        <v>0</v>
      </c>
      <c r="BZ164">
        <v>0</v>
      </c>
      <c r="CA164">
        <v>0</v>
      </c>
      <c r="CB164">
        <v>0</v>
      </c>
      <c r="CD164" t="str" cm="1">
        <f t="array" aca="1" ref="CD164" ca="1">eConcatenar(A164:CB164,"|")</f>
        <v>X7YWjQf4DCyKtVQM|VSA2020-0452|3|ZAFIRO|TABASCO|VILLAHERMOSA |VILLAHERMOSA |2020-08-29|19800|X|X|200|1|0|X|X|X|X|X|X|X|X|X|X|X|X|0|CAMPOS|TORRES|SILVIA DEL CARMEN |0|X|X|CARRETERA PRINCIPAL SIN NUMERO |RANCHERIA ANACLETO CANABAL|X|9932790542|PABLO CONTRERA  SANCHEZ |JUAN RUSBEL CAMPOS ESCOBAR |0|CARRETERA PRINCIPAL SIN NUMERO |X|3|0|0|X|X|X|0|6100|13700|0|0|X|2021-12-16|2021-12-30|X|X|X|0|0|S35D6D3Y9KVTQ1|X|MUJER|0|19800|0|0|0|X|X|X|X|X|VILLAHERMOSA |X|0|0|0|0</v>
      </c>
    </row>
    <row r="165" spans="1:82" x14ac:dyDescent="0.25">
      <c r="A165" t="s">
        <v>1323</v>
      </c>
      <c r="B165" t="s">
        <v>1324</v>
      </c>
      <c r="C165">
        <v>3</v>
      </c>
      <c r="D165" t="s">
        <v>891</v>
      </c>
      <c r="E165" t="s">
        <v>359</v>
      </c>
      <c r="F165" t="s">
        <v>360</v>
      </c>
      <c r="G165" t="s">
        <v>360</v>
      </c>
      <c r="H165" t="s">
        <v>1325</v>
      </c>
      <c r="I165">
        <v>12900</v>
      </c>
      <c r="J165" t="s">
        <v>1</v>
      </c>
      <c r="K165" t="s">
        <v>1</v>
      </c>
      <c r="L165">
        <v>200</v>
      </c>
      <c r="M165">
        <v>1</v>
      </c>
      <c r="N165">
        <v>0</v>
      </c>
      <c r="O165" t="s">
        <v>1</v>
      </c>
      <c r="P165" t="s">
        <v>1</v>
      </c>
      <c r="Q165" t="s">
        <v>1</v>
      </c>
      <c r="R165" t="s">
        <v>1</v>
      </c>
      <c r="S165" t="s">
        <v>1</v>
      </c>
      <c r="T165" t="s">
        <v>1</v>
      </c>
      <c r="U165" t="s">
        <v>1</v>
      </c>
      <c r="V165" t="s">
        <v>1</v>
      </c>
      <c r="W165" t="s">
        <v>1</v>
      </c>
      <c r="X165" t="s">
        <v>1</v>
      </c>
      <c r="Y165" t="s">
        <v>1</v>
      </c>
      <c r="Z165" t="s">
        <v>1</v>
      </c>
      <c r="AA165">
        <v>0</v>
      </c>
      <c r="AB165" t="s">
        <v>148</v>
      </c>
      <c r="AC165" t="s">
        <v>1326</v>
      </c>
      <c r="AD165" t="s">
        <v>1327</v>
      </c>
      <c r="AE165">
        <v>0</v>
      </c>
      <c r="AF165" t="s">
        <v>1</v>
      </c>
      <c r="AG165" t="s">
        <v>1</v>
      </c>
      <c r="AH165" t="s">
        <v>1328</v>
      </c>
      <c r="AI165" t="s">
        <v>719</v>
      </c>
      <c r="AJ165" t="s">
        <v>1</v>
      </c>
      <c r="AK165">
        <v>9931284765</v>
      </c>
      <c r="AL165" t="s">
        <v>1329</v>
      </c>
      <c r="AM165" t="s">
        <v>1330</v>
      </c>
      <c r="AN165">
        <v>0</v>
      </c>
      <c r="AO165" t="s">
        <v>1328</v>
      </c>
      <c r="AP165" t="s">
        <v>1</v>
      </c>
      <c r="AQ165">
        <v>2</v>
      </c>
      <c r="AR165">
        <v>0</v>
      </c>
      <c r="AS165">
        <v>0</v>
      </c>
      <c r="AT165" t="s">
        <v>1</v>
      </c>
      <c r="AU165" t="s">
        <v>1</v>
      </c>
      <c r="AV165" t="s">
        <v>1</v>
      </c>
      <c r="AW165">
        <v>0</v>
      </c>
      <c r="AX165">
        <v>5000</v>
      </c>
      <c r="AY165">
        <v>7900</v>
      </c>
      <c r="AZ165">
        <v>0</v>
      </c>
      <c r="BA165">
        <v>0</v>
      </c>
      <c r="BB165" t="s">
        <v>1</v>
      </c>
      <c r="BC165" t="s">
        <v>758</v>
      </c>
      <c r="BD165" t="s">
        <v>198</v>
      </c>
      <c r="BE165" t="s">
        <v>1</v>
      </c>
      <c r="BF165" t="s">
        <v>1</v>
      </c>
      <c r="BG165" t="s">
        <v>1</v>
      </c>
      <c r="BH165">
        <v>0</v>
      </c>
      <c r="BI165">
        <v>0</v>
      </c>
      <c r="BJ165" t="s">
        <v>722</v>
      </c>
      <c r="BK165" t="s">
        <v>1</v>
      </c>
      <c r="BL165" t="s">
        <v>132</v>
      </c>
      <c r="BM165">
        <v>0</v>
      </c>
      <c r="BN165">
        <v>12900</v>
      </c>
      <c r="BO165">
        <v>0</v>
      </c>
      <c r="BP165">
        <v>0</v>
      </c>
      <c r="BQ165">
        <v>0</v>
      </c>
      <c r="BR165" t="s">
        <v>1</v>
      </c>
      <c r="BS165" t="s">
        <v>1</v>
      </c>
      <c r="BT165" t="s">
        <v>1</v>
      </c>
      <c r="BU165" t="s">
        <v>1</v>
      </c>
      <c r="BV165" t="s">
        <v>1</v>
      </c>
      <c r="BW165" t="s">
        <v>360</v>
      </c>
      <c r="BX165" t="s">
        <v>1</v>
      </c>
      <c r="BY165">
        <v>0</v>
      </c>
      <c r="BZ165">
        <v>0</v>
      </c>
      <c r="CA165">
        <v>0</v>
      </c>
      <c r="CB165">
        <v>0</v>
      </c>
      <c r="CD165" t="str" cm="1">
        <f t="array" aca="1" ref="CD165" ca="1">eConcatenar(A165:CB165,"|")</f>
        <v>t9OqhxWLEHWoZYQi|VSA2020-0447|3|ECONOLINE|TABASCO|VILLAHERMOSA |VILLAHERMOSA |2021-08-28|12900|X|X|200|1|0|X|X|X|X|X|X|X|X|X|X|X|X|0|CORDOVA |IZQUIERDO |JUAN|0|X|X|ANDADOR EL TIGRE |RANCHERIA ANACLETO CANABAL TERCERA SECCION |X|9931284765|EDUARDA PEREZ DIAZ|ESTEBAN DARWIN CENTENO PEREZ |0|ANDADOR EL TIGRE |X|2|0|0|X|X|X|0|5000|7900|0|0|X|2021-12-15|2021-12-30|X|X|X|0|0|S35D6D3Y9KVTQ1|X|HOMBRE|0|12900|0|0|0|X|X|X|X|X|VILLAHERMOSA |X|0|0|0|0</v>
      </c>
    </row>
    <row r="166" spans="1:82" x14ac:dyDescent="0.25">
      <c r="A166" t="s">
        <v>1331</v>
      </c>
      <c r="B166" t="s">
        <v>1332</v>
      </c>
      <c r="C166">
        <v>3</v>
      </c>
      <c r="D166" t="s">
        <v>891</v>
      </c>
      <c r="E166" t="s">
        <v>359</v>
      </c>
      <c r="F166" t="s">
        <v>360</v>
      </c>
      <c r="G166" t="s">
        <v>360</v>
      </c>
      <c r="H166" t="s">
        <v>470</v>
      </c>
      <c r="I166">
        <v>12900</v>
      </c>
      <c r="J166" t="s">
        <v>1</v>
      </c>
      <c r="K166" t="s">
        <v>1</v>
      </c>
      <c r="L166">
        <v>200</v>
      </c>
      <c r="M166">
        <v>1</v>
      </c>
      <c r="N166">
        <v>0</v>
      </c>
      <c r="O166" t="s">
        <v>1</v>
      </c>
      <c r="P166" t="s">
        <v>1</v>
      </c>
      <c r="Q166" t="s">
        <v>1</v>
      </c>
      <c r="R166" t="s">
        <v>1</v>
      </c>
      <c r="S166" t="s">
        <v>1</v>
      </c>
      <c r="T166" t="s">
        <v>1</v>
      </c>
      <c r="U166" t="s">
        <v>1</v>
      </c>
      <c r="V166" t="s">
        <v>1</v>
      </c>
      <c r="W166" t="s">
        <v>1</v>
      </c>
      <c r="X166" t="s">
        <v>1</v>
      </c>
      <c r="Y166" t="s">
        <v>1</v>
      </c>
      <c r="Z166" t="s">
        <v>1</v>
      </c>
      <c r="AA166">
        <v>0</v>
      </c>
      <c r="AB166" t="s">
        <v>15</v>
      </c>
      <c r="AC166" t="s">
        <v>1211</v>
      </c>
      <c r="AD166" t="s">
        <v>1333</v>
      </c>
      <c r="AE166">
        <v>0</v>
      </c>
      <c r="AF166" t="s">
        <v>1</v>
      </c>
      <c r="AG166" t="s">
        <v>1</v>
      </c>
      <c r="AH166" t="s">
        <v>1334</v>
      </c>
      <c r="AI166" t="s">
        <v>756</v>
      </c>
      <c r="AJ166" t="s">
        <v>1</v>
      </c>
      <c r="AK166">
        <v>9932612896</v>
      </c>
      <c r="AL166" t="s">
        <v>1335</v>
      </c>
      <c r="AM166" t="s">
        <v>1336</v>
      </c>
      <c r="AN166">
        <v>0</v>
      </c>
      <c r="AO166" t="s">
        <v>1334</v>
      </c>
      <c r="AP166" t="s">
        <v>1</v>
      </c>
      <c r="AQ166">
        <v>3</v>
      </c>
      <c r="AR166">
        <v>0</v>
      </c>
      <c r="AS166">
        <v>0</v>
      </c>
      <c r="AT166" t="s">
        <v>1</v>
      </c>
      <c r="AU166" t="s">
        <v>1</v>
      </c>
      <c r="AV166" t="s">
        <v>1</v>
      </c>
      <c r="AW166">
        <v>0</v>
      </c>
      <c r="AX166">
        <v>6200</v>
      </c>
      <c r="AY166">
        <v>6700</v>
      </c>
      <c r="AZ166">
        <v>0</v>
      </c>
      <c r="BA166">
        <v>0</v>
      </c>
      <c r="BB166" t="s">
        <v>1</v>
      </c>
      <c r="BC166" t="s">
        <v>730</v>
      </c>
      <c r="BD166" t="s">
        <v>198</v>
      </c>
      <c r="BE166" t="s">
        <v>1</v>
      </c>
      <c r="BF166" t="s">
        <v>1</v>
      </c>
      <c r="BG166" t="s">
        <v>1</v>
      </c>
      <c r="BH166">
        <v>0</v>
      </c>
      <c r="BI166">
        <v>0</v>
      </c>
      <c r="BJ166" t="s">
        <v>722</v>
      </c>
      <c r="BK166" t="s">
        <v>1</v>
      </c>
      <c r="BL166" t="s">
        <v>132</v>
      </c>
      <c r="BM166">
        <v>0</v>
      </c>
      <c r="BN166">
        <v>12900</v>
      </c>
      <c r="BO166">
        <v>0</v>
      </c>
      <c r="BP166">
        <v>0</v>
      </c>
      <c r="BQ166">
        <v>0</v>
      </c>
      <c r="BR166" t="s">
        <v>1</v>
      </c>
      <c r="BS166" t="s">
        <v>1</v>
      </c>
      <c r="BT166" t="s">
        <v>1</v>
      </c>
      <c r="BU166" t="s">
        <v>1</v>
      </c>
      <c r="BV166" t="s">
        <v>1</v>
      </c>
      <c r="BW166" t="s">
        <v>360</v>
      </c>
      <c r="BX166" t="s">
        <v>1</v>
      </c>
      <c r="BY166">
        <v>0</v>
      </c>
      <c r="BZ166">
        <v>0</v>
      </c>
      <c r="CA166">
        <v>0</v>
      </c>
      <c r="CB166">
        <v>0</v>
      </c>
      <c r="CD166" t="str" cm="1">
        <f t="array" aca="1" ref="CD166" ca="1">eConcatenar(A166:CB166,"|")</f>
        <v>P5W2TTJrmqQ4HAeU|VSA2020-0421|3|ECONOLINE|TABASCO|VILLAHERMOSA |VILLAHERMOSA |2020-08-26|12900|X|X|200|1|0|X|X|X|X|X|X|X|X|X|X|X|X|0|PEREZ |DE LA CRUZ |JOSE DE LA CRUZ |0|X|X|CARRETERA A BOSQUE DE SALOYA KILOMETRO 1.3|RANCHERIA EMILIANO ZAPATA |X|9932612896|ROMANA LEON GERONIMO|JOHANA FRANCISCA DE LA CRUZ ARELLANO|0|CARRETERA A BOSQUE DE SALOYA KILOMETRO 1.3|X|3|0|0|X|X|X|0|6200|6700|0|0|X|2021-12-16|2021-12-30|X|X|X|0|0|S35D6D3Y9KVTQ1|X|HOMBRE|0|12900|0|0|0|X|X|X|X|X|VILLAHERMOSA |X|0|0|0|0</v>
      </c>
    </row>
    <row r="167" spans="1:82" x14ac:dyDescent="0.25">
      <c r="A167" t="s">
        <v>1337</v>
      </c>
      <c r="B167" t="s">
        <v>1338</v>
      </c>
      <c r="C167">
        <v>3</v>
      </c>
      <c r="D167" t="s">
        <v>891</v>
      </c>
      <c r="E167" t="s">
        <v>359</v>
      </c>
      <c r="F167" t="s">
        <v>360</v>
      </c>
      <c r="G167" t="s">
        <v>360</v>
      </c>
      <c r="H167" t="s">
        <v>1268</v>
      </c>
      <c r="I167">
        <v>12900</v>
      </c>
      <c r="J167" t="s">
        <v>1</v>
      </c>
      <c r="K167" t="s">
        <v>1</v>
      </c>
      <c r="L167">
        <v>200</v>
      </c>
      <c r="M167">
        <v>1</v>
      </c>
      <c r="N167">
        <v>0</v>
      </c>
      <c r="O167" t="s">
        <v>1</v>
      </c>
      <c r="P167" t="s">
        <v>1</v>
      </c>
      <c r="Q167" t="s">
        <v>1</v>
      </c>
      <c r="R167" t="s">
        <v>1</v>
      </c>
      <c r="S167" t="s">
        <v>1</v>
      </c>
      <c r="T167" t="s">
        <v>1</v>
      </c>
      <c r="U167" t="s">
        <v>1</v>
      </c>
      <c r="V167" t="s">
        <v>1</v>
      </c>
      <c r="W167" t="s">
        <v>1</v>
      </c>
      <c r="X167" t="s">
        <v>1</v>
      </c>
      <c r="Y167" t="s">
        <v>1</v>
      </c>
      <c r="Z167" t="s">
        <v>1</v>
      </c>
      <c r="AA167">
        <v>0</v>
      </c>
      <c r="AB167" t="s">
        <v>1339</v>
      </c>
      <c r="AC167" t="s">
        <v>752</v>
      </c>
      <c r="AD167" t="s">
        <v>1340</v>
      </c>
      <c r="AE167">
        <v>0</v>
      </c>
      <c r="AF167" t="s">
        <v>1</v>
      </c>
      <c r="AG167" t="s">
        <v>1</v>
      </c>
      <c r="AH167" t="s">
        <v>1341</v>
      </c>
      <c r="AI167" t="s">
        <v>756</v>
      </c>
      <c r="AJ167" t="s">
        <v>1342</v>
      </c>
      <c r="AK167">
        <v>9935617276</v>
      </c>
      <c r="AL167" t="s">
        <v>1343</v>
      </c>
      <c r="AM167" t="s">
        <v>1344</v>
      </c>
      <c r="AN167">
        <v>0</v>
      </c>
      <c r="AO167" t="s">
        <v>1341</v>
      </c>
      <c r="AP167" t="s">
        <v>1</v>
      </c>
      <c r="AQ167">
        <v>2</v>
      </c>
      <c r="AR167">
        <v>0</v>
      </c>
      <c r="AS167">
        <v>0</v>
      </c>
      <c r="AT167" t="s">
        <v>1</v>
      </c>
      <c r="AU167" t="s">
        <v>1</v>
      </c>
      <c r="AV167" t="s">
        <v>1</v>
      </c>
      <c r="AW167">
        <v>0</v>
      </c>
      <c r="AX167">
        <v>6500</v>
      </c>
      <c r="AY167">
        <v>6400</v>
      </c>
      <c r="AZ167">
        <v>0</v>
      </c>
      <c r="BA167">
        <v>0</v>
      </c>
      <c r="BB167" t="s">
        <v>1</v>
      </c>
      <c r="BC167" t="s">
        <v>758</v>
      </c>
      <c r="BD167" t="s">
        <v>198</v>
      </c>
      <c r="BE167" t="s">
        <v>1</v>
      </c>
      <c r="BF167" t="s">
        <v>1</v>
      </c>
      <c r="BG167" t="s">
        <v>1</v>
      </c>
      <c r="BH167">
        <v>0</v>
      </c>
      <c r="BI167">
        <v>0</v>
      </c>
      <c r="BJ167" t="s">
        <v>722</v>
      </c>
      <c r="BK167" t="s">
        <v>1</v>
      </c>
      <c r="BL167" t="s">
        <v>1138</v>
      </c>
      <c r="BM167">
        <v>0</v>
      </c>
      <c r="BN167">
        <v>12900</v>
      </c>
      <c r="BO167">
        <v>0</v>
      </c>
      <c r="BP167">
        <v>0</v>
      </c>
      <c r="BQ167">
        <v>0</v>
      </c>
      <c r="BR167" t="s">
        <v>1</v>
      </c>
      <c r="BS167" t="s">
        <v>1</v>
      </c>
      <c r="BT167" t="s">
        <v>1</v>
      </c>
      <c r="BU167" t="s">
        <v>1</v>
      </c>
      <c r="BV167" t="s">
        <v>1</v>
      </c>
      <c r="BW167" t="s">
        <v>360</v>
      </c>
      <c r="BX167" t="s">
        <v>1</v>
      </c>
      <c r="BY167">
        <v>0</v>
      </c>
      <c r="BZ167">
        <v>0</v>
      </c>
      <c r="CA167">
        <v>0</v>
      </c>
      <c r="CB167">
        <v>0</v>
      </c>
      <c r="CD167" t="str" cm="1">
        <f t="array" aca="1" ref="CD167" ca="1">eConcatenar(A167:CB167,"|")</f>
        <v>nVKqEuBbceCs5Pdi|VSA2020-0420|3|ECONOLINE|TABASCO|VILLAHERMOSA |VILLAHERMOSA |2021-08-26|12900|X|X|200|1|0|X|X|X|X|X|X|X|X|X|X|X|X|0|PALMA |IZQUIERDO|CANDELARIA |0|X|X|CALLEJON EL MANGO SIN NUMERO |RANCHERIA EMILIANO ZAPATA |CARRETERA A BOSQUE DE SALOYA A UN  KILOMETR0|9935617276|GERARDO DIAZ PALMA |OTILIA DIAZ PALMA |0|CALLEJON EL MANGO SIN NUMERO |X|2|0|0|X|X|X|0|6500|6400|0|0|X|2021-12-15|2021-12-30|X|X|X|0|0|S35D6D3Y9KVTQ1|X|MUJER|0|12900|0|0|0|X|X|X|X|X|VILLAHERMOSA |X|0|0|0|0</v>
      </c>
    </row>
    <row r="168" spans="1:82" x14ac:dyDescent="0.25">
      <c r="A168" t="s">
        <v>1345</v>
      </c>
      <c r="B168" t="s">
        <v>1346</v>
      </c>
      <c r="C168">
        <v>3</v>
      </c>
      <c r="D168" t="s">
        <v>891</v>
      </c>
      <c r="E168" t="s">
        <v>359</v>
      </c>
      <c r="F168" t="s">
        <v>360</v>
      </c>
      <c r="G168" t="s">
        <v>360</v>
      </c>
      <c r="H168" t="s">
        <v>1007</v>
      </c>
      <c r="I168">
        <v>12900</v>
      </c>
      <c r="J168" t="s">
        <v>1</v>
      </c>
      <c r="K168" t="s">
        <v>1</v>
      </c>
      <c r="L168">
        <v>100</v>
      </c>
      <c r="M168">
        <v>0</v>
      </c>
      <c r="N168">
        <v>0</v>
      </c>
      <c r="O168" t="s">
        <v>1</v>
      </c>
      <c r="P168" t="s">
        <v>1</v>
      </c>
      <c r="Q168" t="s">
        <v>1</v>
      </c>
      <c r="R168" t="s">
        <v>1</v>
      </c>
      <c r="S168" t="s">
        <v>1</v>
      </c>
      <c r="T168" t="s">
        <v>1</v>
      </c>
      <c r="U168" t="s">
        <v>1</v>
      </c>
      <c r="V168" t="s">
        <v>1</v>
      </c>
      <c r="W168" t="s">
        <v>1</v>
      </c>
      <c r="X168" t="s">
        <v>1</v>
      </c>
      <c r="Y168" t="s">
        <v>1</v>
      </c>
      <c r="Z168" t="s">
        <v>1</v>
      </c>
      <c r="AA168">
        <v>0</v>
      </c>
      <c r="AB168" t="s">
        <v>1347</v>
      </c>
      <c r="AC168" t="s">
        <v>734</v>
      </c>
      <c r="AD168" t="s">
        <v>1348</v>
      </c>
      <c r="AE168">
        <v>0</v>
      </c>
      <c r="AF168" t="s">
        <v>1</v>
      </c>
      <c r="AG168" t="s">
        <v>1</v>
      </c>
      <c r="AH168" t="s">
        <v>1349</v>
      </c>
      <c r="AI168" t="s">
        <v>728</v>
      </c>
      <c r="AJ168" t="s">
        <v>1350</v>
      </c>
      <c r="AK168">
        <v>993379675</v>
      </c>
      <c r="AL168" t="s">
        <v>1351</v>
      </c>
      <c r="AM168" t="s">
        <v>1352</v>
      </c>
      <c r="AN168">
        <v>0</v>
      </c>
      <c r="AO168" t="s">
        <v>1349</v>
      </c>
      <c r="AP168" t="s">
        <v>1</v>
      </c>
      <c r="AQ168">
        <v>2</v>
      </c>
      <c r="AR168">
        <v>0</v>
      </c>
      <c r="AS168">
        <v>0</v>
      </c>
      <c r="AT168" t="s">
        <v>1</v>
      </c>
      <c r="AU168" t="s">
        <v>1</v>
      </c>
      <c r="AV168" t="s">
        <v>1</v>
      </c>
      <c r="AW168">
        <v>0</v>
      </c>
      <c r="AX168">
        <v>4300</v>
      </c>
      <c r="AY168">
        <v>8600</v>
      </c>
      <c r="AZ168">
        <v>0</v>
      </c>
      <c r="BA168">
        <v>0</v>
      </c>
      <c r="BB168" t="s">
        <v>1</v>
      </c>
      <c r="BC168" t="s">
        <v>1105</v>
      </c>
      <c r="BD168" t="s">
        <v>280</v>
      </c>
      <c r="BE168" t="s">
        <v>1</v>
      </c>
      <c r="BF168" t="s">
        <v>1</v>
      </c>
      <c r="BG168" t="s">
        <v>1</v>
      </c>
      <c r="BH168">
        <v>0</v>
      </c>
      <c r="BI168">
        <v>0</v>
      </c>
      <c r="BJ168" t="s">
        <v>722</v>
      </c>
      <c r="BK168" t="s">
        <v>1</v>
      </c>
      <c r="BL168" t="s">
        <v>132</v>
      </c>
      <c r="BM168">
        <v>0</v>
      </c>
      <c r="BN168">
        <v>12900</v>
      </c>
      <c r="BO168">
        <v>0</v>
      </c>
      <c r="BP168">
        <v>0</v>
      </c>
      <c r="BQ168">
        <v>0</v>
      </c>
      <c r="BR168" t="s">
        <v>1</v>
      </c>
      <c r="BS168" t="s">
        <v>1</v>
      </c>
      <c r="BT168" t="s">
        <v>1</v>
      </c>
      <c r="BU168" t="s">
        <v>1</v>
      </c>
      <c r="BV168" t="s">
        <v>1</v>
      </c>
      <c r="BW168" t="s">
        <v>360</v>
      </c>
      <c r="BX168" t="s">
        <v>1</v>
      </c>
      <c r="BY168">
        <v>0</v>
      </c>
      <c r="BZ168">
        <v>0</v>
      </c>
      <c r="CA168">
        <v>0</v>
      </c>
      <c r="CB168">
        <v>0</v>
      </c>
      <c r="CD168" t="str" cm="1">
        <f t="array" aca="1" ref="CD168" ca="1">eConcatenar(A168:CB168,"|")</f>
        <v>5nIwDIsOjrvhIh6k|VSA2020-0544|3|ECONOLINE|TABASCO|VILLAHERMOSA |VILLAHERMOSA |2020-10-09|12900|X|X|100|0|0|X|X|X|X|X|X|X|X|X|X|X|X|0|LANGUREN |OLAN|RAFAEL |0|X|X|CALLE LA COLSA|RANCHERIA ANACLETO CANABAL SEGUNDA SECCION |EN EL CALLEJON DEL PANADERO CASA AZUL |993379675|VIRGINIA CAMACHO AREVALO |RAFAEL LAGUREN CAMACHO |0|CALLE LA COLSA|X|2|0|0|X|X|X|0|4300|8600|0|0|X|2021-12-22|2021-12-29|X|X|X|0|0|S35D6D3Y9KVTQ1|X|HOMBRE|0|12900|0|0|0|X|X|X|X|X|VILLAHERMOSA |X|0|0|0|0</v>
      </c>
    </row>
    <row r="169" spans="1:82" x14ac:dyDescent="0.25">
      <c r="A169" t="s">
        <v>1353</v>
      </c>
      <c r="B169" t="s">
        <v>1354</v>
      </c>
      <c r="C169">
        <v>3</v>
      </c>
      <c r="D169" t="s">
        <v>891</v>
      </c>
      <c r="E169" t="s">
        <v>359</v>
      </c>
      <c r="F169" t="s">
        <v>360</v>
      </c>
      <c r="G169" t="s">
        <v>360</v>
      </c>
      <c r="H169" t="s">
        <v>393</v>
      </c>
      <c r="I169">
        <v>12900</v>
      </c>
      <c r="J169" t="s">
        <v>1</v>
      </c>
      <c r="K169" t="s">
        <v>1</v>
      </c>
      <c r="L169">
        <v>200</v>
      </c>
      <c r="M169">
        <v>1</v>
      </c>
      <c r="N169">
        <v>0</v>
      </c>
      <c r="O169" t="s">
        <v>1</v>
      </c>
      <c r="P169" t="s">
        <v>1</v>
      </c>
      <c r="Q169" t="s">
        <v>1</v>
      </c>
      <c r="R169" t="s">
        <v>1</v>
      </c>
      <c r="S169" t="s">
        <v>1</v>
      </c>
      <c r="T169" t="s">
        <v>1</v>
      </c>
      <c r="U169" t="s">
        <v>1</v>
      </c>
      <c r="V169" t="s">
        <v>1</v>
      </c>
      <c r="W169" t="s">
        <v>1</v>
      </c>
      <c r="X169" t="s">
        <v>1</v>
      </c>
      <c r="Y169" t="s">
        <v>1</v>
      </c>
      <c r="Z169" t="s">
        <v>1</v>
      </c>
      <c r="AA169">
        <v>0</v>
      </c>
      <c r="AB169" t="s">
        <v>479</v>
      </c>
      <c r="AC169" t="s">
        <v>1355</v>
      </c>
      <c r="AD169" t="s">
        <v>1356</v>
      </c>
      <c r="AE169">
        <v>0</v>
      </c>
      <c r="AF169" t="s">
        <v>1</v>
      </c>
      <c r="AG169" t="s">
        <v>1</v>
      </c>
      <c r="AH169" t="s">
        <v>1357</v>
      </c>
      <c r="AI169" t="s">
        <v>994</v>
      </c>
      <c r="AJ169" t="s">
        <v>1</v>
      </c>
      <c r="AK169">
        <v>9931487106</v>
      </c>
      <c r="AL169" t="s">
        <v>1358</v>
      </c>
      <c r="AM169" t="s">
        <v>1359</v>
      </c>
      <c r="AN169">
        <v>0</v>
      </c>
      <c r="AO169" t="s">
        <v>1357</v>
      </c>
      <c r="AP169" t="s">
        <v>1</v>
      </c>
      <c r="AQ169">
        <v>2</v>
      </c>
      <c r="AR169">
        <v>0</v>
      </c>
      <c r="AS169">
        <v>0</v>
      </c>
      <c r="AT169" t="s">
        <v>1</v>
      </c>
      <c r="AU169" t="s">
        <v>1</v>
      </c>
      <c r="AV169" t="s">
        <v>1</v>
      </c>
      <c r="AW169">
        <v>0</v>
      </c>
      <c r="AX169">
        <v>4400</v>
      </c>
      <c r="AY169">
        <v>8500</v>
      </c>
      <c r="AZ169">
        <v>0</v>
      </c>
      <c r="BA169">
        <v>0</v>
      </c>
      <c r="BB169" t="s">
        <v>1</v>
      </c>
      <c r="BC169" t="s">
        <v>1360</v>
      </c>
      <c r="BD169" t="s">
        <v>757</v>
      </c>
      <c r="BE169" t="s">
        <v>1</v>
      </c>
      <c r="BF169" t="s">
        <v>1</v>
      </c>
      <c r="BG169" t="s">
        <v>1</v>
      </c>
      <c r="BH169">
        <v>0</v>
      </c>
      <c r="BI169">
        <v>0</v>
      </c>
      <c r="BJ169" t="s">
        <v>722</v>
      </c>
      <c r="BK169" t="s">
        <v>1</v>
      </c>
      <c r="BL169" t="s">
        <v>132</v>
      </c>
      <c r="BM169">
        <v>0</v>
      </c>
      <c r="BN169">
        <v>12900</v>
      </c>
      <c r="BO169">
        <v>0</v>
      </c>
      <c r="BP169">
        <v>0</v>
      </c>
      <c r="BQ169">
        <v>0</v>
      </c>
      <c r="BR169" t="s">
        <v>1</v>
      </c>
      <c r="BS169" t="s">
        <v>1</v>
      </c>
      <c r="BT169" t="s">
        <v>1</v>
      </c>
      <c r="BU169" t="s">
        <v>1</v>
      </c>
      <c r="BV169" t="s">
        <v>1</v>
      </c>
      <c r="BW169" t="s">
        <v>360</v>
      </c>
      <c r="BX169" t="s">
        <v>1</v>
      </c>
      <c r="BY169">
        <v>0</v>
      </c>
      <c r="BZ169">
        <v>0</v>
      </c>
      <c r="CA169">
        <v>0</v>
      </c>
      <c r="CB169">
        <v>0</v>
      </c>
      <c r="CD169" t="str" cm="1">
        <f t="array" aca="1" ref="CD169" ca="1">eConcatenar(A169:CB169,"|")</f>
        <v>RY1KJj8hevakt7Po|VSA2020-0526|3|ECONOLINE|TABASCO|VILLAHERMOSA |VILLAHERMOSA |2020-08-09|12900|X|X|200|1|0|X|X|X|X|X|X|X|X|X|X|X|X|0|SANCHEZ |MAGAÃ‘A |JOSE ANGEL|0|X|X|CARRETERA PRINCIPAL |RANCHERIA LAZARO CARDENAS PRIMERA SECCION |X|9931487106|CONSUELO FRIAS MAGAÃ‘A |NAYELI DEL CARMEN SANCHEZ FRIAS |0|CARRETERA PRINCIPAL |X|2|0|0|X|X|X|0|4400|8500|0|0|X|2021-11-17|2021-01-12|X|X|X|0|0|S35D6D3Y9KVTQ1|X|HOMBRE|0|12900|0|0|0|X|X|X|X|X|VILLAHERMOSA |X|0|0|0|0</v>
      </c>
    </row>
    <row r="170" spans="1:82" x14ac:dyDescent="0.25">
      <c r="A170" t="s">
        <v>1361</v>
      </c>
      <c r="B170" t="s">
        <v>1362</v>
      </c>
      <c r="C170">
        <v>3</v>
      </c>
      <c r="D170" t="s">
        <v>1363</v>
      </c>
      <c r="E170" t="s">
        <v>359</v>
      </c>
      <c r="F170" t="s">
        <v>360</v>
      </c>
      <c r="G170" t="s">
        <v>360</v>
      </c>
      <c r="H170" t="s">
        <v>1364</v>
      </c>
      <c r="I170">
        <v>31500</v>
      </c>
      <c r="J170" t="s">
        <v>1</v>
      </c>
      <c r="K170" t="s">
        <v>1</v>
      </c>
      <c r="L170">
        <v>200</v>
      </c>
      <c r="M170">
        <v>1</v>
      </c>
      <c r="N170">
        <v>0</v>
      </c>
      <c r="O170" t="s">
        <v>1</v>
      </c>
      <c r="P170" t="s">
        <v>1</v>
      </c>
      <c r="Q170" t="s">
        <v>1</v>
      </c>
      <c r="R170" t="s">
        <v>1</v>
      </c>
      <c r="S170" t="s">
        <v>1</v>
      </c>
      <c r="T170" t="s">
        <v>1</v>
      </c>
      <c r="U170" t="s">
        <v>1</v>
      </c>
      <c r="V170" t="s">
        <v>1</v>
      </c>
      <c r="W170" t="s">
        <v>1</v>
      </c>
      <c r="X170" t="s">
        <v>1</v>
      </c>
      <c r="Y170" t="s">
        <v>1</v>
      </c>
      <c r="Z170" t="s">
        <v>1</v>
      </c>
      <c r="AA170">
        <v>0</v>
      </c>
      <c r="AB170" t="s">
        <v>248</v>
      </c>
      <c r="AC170" t="s">
        <v>1365</v>
      </c>
      <c r="AD170" t="s">
        <v>848</v>
      </c>
      <c r="AE170">
        <v>0</v>
      </c>
      <c r="AF170" t="s">
        <v>1</v>
      </c>
      <c r="AG170" t="s">
        <v>1</v>
      </c>
      <c r="AH170" t="s">
        <v>1366</v>
      </c>
      <c r="AI170" t="s">
        <v>1023</v>
      </c>
      <c r="AJ170" t="s">
        <v>1</v>
      </c>
      <c r="AK170">
        <v>9935900710</v>
      </c>
      <c r="AL170" t="s">
        <v>1367</v>
      </c>
      <c r="AM170" t="s">
        <v>1368</v>
      </c>
      <c r="AN170">
        <v>0</v>
      </c>
      <c r="AO170" t="s">
        <v>1366</v>
      </c>
      <c r="AP170" t="s">
        <v>1</v>
      </c>
      <c r="AQ170">
        <v>3</v>
      </c>
      <c r="AR170">
        <v>0</v>
      </c>
      <c r="AS170">
        <v>0</v>
      </c>
      <c r="AT170" t="s">
        <v>1</v>
      </c>
      <c r="AU170" t="s">
        <v>1</v>
      </c>
      <c r="AV170" t="s">
        <v>1</v>
      </c>
      <c r="AW170">
        <v>0</v>
      </c>
      <c r="AX170">
        <v>7900</v>
      </c>
      <c r="AY170">
        <v>23600</v>
      </c>
      <c r="AZ170">
        <v>0</v>
      </c>
      <c r="BA170">
        <v>0</v>
      </c>
      <c r="BB170" t="s">
        <v>1</v>
      </c>
      <c r="BC170" t="s">
        <v>730</v>
      </c>
      <c r="BD170" t="s">
        <v>198</v>
      </c>
      <c r="BE170" t="s">
        <v>1</v>
      </c>
      <c r="BF170" t="s">
        <v>1</v>
      </c>
      <c r="BG170" t="s">
        <v>1</v>
      </c>
      <c r="BH170">
        <v>0</v>
      </c>
      <c r="BI170">
        <v>0</v>
      </c>
      <c r="BJ170" t="s">
        <v>722</v>
      </c>
      <c r="BK170" t="s">
        <v>1</v>
      </c>
      <c r="BL170" t="s">
        <v>1138</v>
      </c>
      <c r="BM170">
        <v>0</v>
      </c>
      <c r="BN170">
        <v>31500</v>
      </c>
      <c r="BO170">
        <v>0</v>
      </c>
      <c r="BP170">
        <v>0</v>
      </c>
      <c r="BQ170">
        <v>0</v>
      </c>
      <c r="BR170" t="s">
        <v>1</v>
      </c>
      <c r="BS170" t="s">
        <v>1</v>
      </c>
      <c r="BT170" t="s">
        <v>1</v>
      </c>
      <c r="BU170" t="s">
        <v>1</v>
      </c>
      <c r="BV170" t="s">
        <v>1</v>
      </c>
      <c r="BW170" t="s">
        <v>360</v>
      </c>
      <c r="BX170" t="s">
        <v>1</v>
      </c>
      <c r="BY170">
        <v>0</v>
      </c>
      <c r="BZ170">
        <v>0</v>
      </c>
      <c r="CA170">
        <v>0</v>
      </c>
      <c r="CB170">
        <v>0</v>
      </c>
      <c r="CD170" t="str" cm="1">
        <f t="array" aca="1" ref="CD170" ca="1">eConcatenar(A170:CB170,"|")</f>
        <v>RKQvcDXFQeB0EocN|VSA2020-0587|3|PRESIDENCIAL|TABASCO|VILLAHERMOSA |VILLAHERMOSA |2020-09-16|31500|X|X|200|1|0|X|X|X|X|X|X|X|X|X|X|X|X|0|MORALES|GUTIEERREZ|LETICIA|0|X|X|CALLEJON LOS MORALES 5|RANCHERIA ANACLETO CANABAL PRIMERA SECCION.|X|9935900710|ALIPIO GOMEZ SANTIAGO |JESUS GOMEZ MORALES|0|CALLEJON LOS MORALES 5|X|3|0|0|X|X|X|0|7900|23600|0|0|X|2021-12-16|2021-12-30|X|X|X|0|0|S35D6D3Y9KVTQ1|X|MUJER|0|31500|0|0|0|X|X|X|X|X|VILLAHERMOSA |X|0|0|0|0</v>
      </c>
    </row>
    <row r="171" spans="1:82" x14ac:dyDescent="0.25">
      <c r="A171" t="s">
        <v>1369</v>
      </c>
      <c r="B171" t="s">
        <v>1370</v>
      </c>
      <c r="C171">
        <v>3</v>
      </c>
      <c r="D171" t="s">
        <v>891</v>
      </c>
      <c r="E171" t="s">
        <v>359</v>
      </c>
      <c r="F171" t="s">
        <v>360</v>
      </c>
      <c r="G171" t="s">
        <v>360</v>
      </c>
      <c r="H171" t="s">
        <v>1371</v>
      </c>
      <c r="I171">
        <v>12900</v>
      </c>
      <c r="J171" t="s">
        <v>1</v>
      </c>
      <c r="K171" t="s">
        <v>1</v>
      </c>
      <c r="L171">
        <v>200</v>
      </c>
      <c r="M171">
        <v>1</v>
      </c>
      <c r="N171">
        <v>0</v>
      </c>
      <c r="O171" t="s">
        <v>1</v>
      </c>
      <c r="P171" t="s">
        <v>1</v>
      </c>
      <c r="Q171" t="s">
        <v>1</v>
      </c>
      <c r="R171" t="s">
        <v>1</v>
      </c>
      <c r="S171" t="s">
        <v>1</v>
      </c>
      <c r="T171" t="s">
        <v>1</v>
      </c>
      <c r="U171" t="s">
        <v>1</v>
      </c>
      <c r="V171" t="s">
        <v>1</v>
      </c>
      <c r="W171" t="s">
        <v>1</v>
      </c>
      <c r="X171" t="s">
        <v>1</v>
      </c>
      <c r="Y171" t="s">
        <v>1</v>
      </c>
      <c r="Z171" t="s">
        <v>1</v>
      </c>
      <c r="AA171">
        <v>0</v>
      </c>
      <c r="AB171" t="s">
        <v>1372</v>
      </c>
      <c r="AC171" t="s">
        <v>217</v>
      </c>
      <c r="AD171" t="s">
        <v>503</v>
      </c>
      <c r="AE171">
        <v>0</v>
      </c>
      <c r="AF171" t="s">
        <v>1</v>
      </c>
      <c r="AG171" t="s">
        <v>1</v>
      </c>
      <c r="AH171" t="s">
        <v>981</v>
      </c>
      <c r="AI171" t="s">
        <v>1373</v>
      </c>
      <c r="AJ171" t="s">
        <v>1</v>
      </c>
      <c r="AK171">
        <v>9931192794</v>
      </c>
      <c r="AL171" t="s">
        <v>1374</v>
      </c>
      <c r="AM171" t="s">
        <v>1375</v>
      </c>
      <c r="AN171">
        <v>0</v>
      </c>
      <c r="AO171" t="s">
        <v>981</v>
      </c>
      <c r="AP171" t="s">
        <v>1</v>
      </c>
      <c r="AQ171">
        <v>2</v>
      </c>
      <c r="AR171">
        <v>0</v>
      </c>
      <c r="AS171">
        <v>0</v>
      </c>
      <c r="AT171" t="s">
        <v>1</v>
      </c>
      <c r="AU171" t="s">
        <v>1</v>
      </c>
      <c r="AV171" t="s">
        <v>1</v>
      </c>
      <c r="AW171">
        <v>0</v>
      </c>
      <c r="AX171">
        <v>3845</v>
      </c>
      <c r="AY171">
        <v>9055</v>
      </c>
      <c r="AZ171">
        <v>0</v>
      </c>
      <c r="BA171">
        <v>0</v>
      </c>
      <c r="BB171" t="s">
        <v>1</v>
      </c>
      <c r="BC171" t="s">
        <v>758</v>
      </c>
      <c r="BD171" t="s">
        <v>198</v>
      </c>
      <c r="BE171" t="s">
        <v>1</v>
      </c>
      <c r="BF171" t="s">
        <v>1</v>
      </c>
      <c r="BG171" t="s">
        <v>1</v>
      </c>
      <c r="BH171">
        <v>0</v>
      </c>
      <c r="BI171">
        <v>0</v>
      </c>
      <c r="BJ171" t="s">
        <v>722</v>
      </c>
      <c r="BK171" t="s">
        <v>1</v>
      </c>
      <c r="BL171" t="s">
        <v>132</v>
      </c>
      <c r="BM171">
        <v>0</v>
      </c>
      <c r="BN171">
        <v>12900</v>
      </c>
      <c r="BO171">
        <v>0</v>
      </c>
      <c r="BP171">
        <v>0</v>
      </c>
      <c r="BQ171">
        <v>0</v>
      </c>
      <c r="BR171" t="s">
        <v>1</v>
      </c>
      <c r="BS171" t="s">
        <v>1</v>
      </c>
      <c r="BT171" t="s">
        <v>1</v>
      </c>
      <c r="BU171" t="s">
        <v>1</v>
      </c>
      <c r="BV171" t="s">
        <v>1</v>
      </c>
      <c r="BW171" t="s">
        <v>360</v>
      </c>
      <c r="BX171" t="s">
        <v>1</v>
      </c>
      <c r="BY171">
        <v>0</v>
      </c>
      <c r="BZ171">
        <v>0</v>
      </c>
      <c r="CA171">
        <v>0</v>
      </c>
      <c r="CB171">
        <v>0</v>
      </c>
      <c r="CD171" t="str" cm="1">
        <f t="array" aca="1" ref="CD171" ca="1">eConcatenar(A171:CB171,"|")</f>
        <v>CZduCH8XqRhOBOD4|VSA2020-0621|3|ECONOLINE|TABASCO|VILLAHERMOSA |VILLAHERMOSA |2020-09-21|12900|X|X|200|1|0|X|X|X|X|X|X|X|X|X|X|X|X|0|CERINO |HERNANDEZ|JESUS|0|X|X|CALLE PRINCIPAL|RANCHERIA GONZALEZ SECTOR PUNTA BRAVA |X|9931192794|ISIDRO CERINO HERNANDEZ |EHACIT CERINO TOSCA|0|CALLE PRINCIPAL|X|2|0|0|X|X|X|0|3845|9055|0|0|X|2021-12-15|2021-12-30|X|X|X|0|0|S35D6D3Y9KVTQ1|X|HOMBRE|0|12900|0|0|0|X|X|X|X|X|VILLAHERMOSA |X|0|0|0|0</v>
      </c>
    </row>
    <row r="172" spans="1:82" x14ac:dyDescent="0.25">
      <c r="A172" t="s">
        <v>1376</v>
      </c>
      <c r="B172" t="s">
        <v>1377</v>
      </c>
      <c r="C172">
        <v>3</v>
      </c>
      <c r="D172" t="s">
        <v>891</v>
      </c>
      <c r="E172" t="s">
        <v>359</v>
      </c>
      <c r="F172" t="s">
        <v>360</v>
      </c>
      <c r="G172" t="s">
        <v>360</v>
      </c>
      <c r="H172" t="s">
        <v>1378</v>
      </c>
      <c r="I172">
        <v>12900</v>
      </c>
      <c r="J172" t="s">
        <v>1</v>
      </c>
      <c r="K172" t="s">
        <v>1</v>
      </c>
      <c r="L172">
        <v>200</v>
      </c>
      <c r="M172">
        <v>1</v>
      </c>
      <c r="N172">
        <v>0</v>
      </c>
      <c r="O172" t="s">
        <v>1</v>
      </c>
      <c r="P172" t="s">
        <v>1</v>
      </c>
      <c r="Q172" t="s">
        <v>1</v>
      </c>
      <c r="R172" t="s">
        <v>1</v>
      </c>
      <c r="S172" t="s">
        <v>1</v>
      </c>
      <c r="T172" t="s">
        <v>1</v>
      </c>
      <c r="U172" t="s">
        <v>1</v>
      </c>
      <c r="V172" t="s">
        <v>1</v>
      </c>
      <c r="W172" t="s">
        <v>1</v>
      </c>
      <c r="X172" t="s">
        <v>1</v>
      </c>
      <c r="Y172" t="s">
        <v>1</v>
      </c>
      <c r="Z172" t="s">
        <v>1</v>
      </c>
      <c r="AA172">
        <v>0</v>
      </c>
      <c r="AB172" t="s">
        <v>236</v>
      </c>
      <c r="AC172" t="s">
        <v>1111</v>
      </c>
      <c r="AD172" t="s">
        <v>987</v>
      </c>
      <c r="AE172">
        <v>0</v>
      </c>
      <c r="AF172" t="s">
        <v>1</v>
      </c>
      <c r="AG172" t="s">
        <v>1</v>
      </c>
      <c r="AH172" t="s">
        <v>1379</v>
      </c>
      <c r="AI172" t="s">
        <v>1023</v>
      </c>
      <c r="AJ172" t="s">
        <v>1</v>
      </c>
      <c r="AK172">
        <v>9931289600</v>
      </c>
      <c r="AL172" t="s">
        <v>1380</v>
      </c>
      <c r="AM172" t="s">
        <v>1381</v>
      </c>
      <c r="AN172">
        <v>0</v>
      </c>
      <c r="AO172" t="s">
        <v>1379</v>
      </c>
      <c r="AP172" t="s">
        <v>1</v>
      </c>
      <c r="AQ172">
        <v>3</v>
      </c>
      <c r="AR172">
        <v>0</v>
      </c>
      <c r="AS172">
        <v>0</v>
      </c>
      <c r="AT172" t="s">
        <v>1</v>
      </c>
      <c r="AU172" t="s">
        <v>1</v>
      </c>
      <c r="AV172" t="s">
        <v>1</v>
      </c>
      <c r="AW172">
        <v>0</v>
      </c>
      <c r="AX172">
        <v>5650</v>
      </c>
      <c r="AY172">
        <v>7250</v>
      </c>
      <c r="AZ172">
        <v>0</v>
      </c>
      <c r="BA172">
        <v>0</v>
      </c>
      <c r="BB172" t="s">
        <v>1</v>
      </c>
      <c r="BC172" t="s">
        <v>730</v>
      </c>
      <c r="BD172" t="s">
        <v>198</v>
      </c>
      <c r="BE172" t="s">
        <v>1</v>
      </c>
      <c r="BF172" t="s">
        <v>1</v>
      </c>
      <c r="BG172" t="s">
        <v>1</v>
      </c>
      <c r="BH172">
        <v>0</v>
      </c>
      <c r="BI172">
        <v>0</v>
      </c>
      <c r="BJ172" t="s">
        <v>722</v>
      </c>
      <c r="BK172" t="s">
        <v>1</v>
      </c>
      <c r="BL172" t="s">
        <v>132</v>
      </c>
      <c r="BM172">
        <v>0</v>
      </c>
      <c r="BN172">
        <v>12900</v>
      </c>
      <c r="BO172">
        <v>0</v>
      </c>
      <c r="BP172">
        <v>0</v>
      </c>
      <c r="BQ172">
        <v>0</v>
      </c>
      <c r="BR172" t="s">
        <v>1</v>
      </c>
      <c r="BS172" t="s">
        <v>1</v>
      </c>
      <c r="BT172" t="s">
        <v>1</v>
      </c>
      <c r="BU172" t="s">
        <v>1</v>
      </c>
      <c r="BV172" t="s">
        <v>1</v>
      </c>
      <c r="BW172" t="s">
        <v>360</v>
      </c>
      <c r="BX172" t="s">
        <v>1</v>
      </c>
      <c r="BY172">
        <v>0</v>
      </c>
      <c r="BZ172">
        <v>0</v>
      </c>
      <c r="CA172">
        <v>0</v>
      </c>
      <c r="CB172">
        <v>0</v>
      </c>
      <c r="CD172" t="str" cm="1">
        <f t="array" aca="1" ref="CD172" ca="1">eConcatenar(A172:CB172,"|")</f>
        <v>RhAjEr4zbjFaD6Ya|VSA2020-0652|3|ECONOLINE|TABASCO|VILLAHERMOSA |VILLAHERMOSA |2020-09-24|12900|X|X|200|1|0|X|X|X|X|X|X|X|X|X|X|X|X|0|JIMENEZ|SUAREZ|PABLO|0|X|X|CALLEJON TULIPANES SIN NUMERO |RANCHERIA ANACLETO CANABAL PRIMERA SECCION.|X|9931289600|LILI RODRIGUEZ MORALES |PATRICIA RODRIGUEZ |0|CALLEJON TULIPANES SIN NUMERO |X|3|0|0|X|X|X|0|5650|7250|0|0|X|2021-12-16|2021-12-30|X|X|X|0|0|S35D6D3Y9KVTQ1|X|HOMBRE|0|12900|0|0|0|X|X|X|X|X|VILLAHERMOSA |X|0|0|0|0</v>
      </c>
    </row>
    <row r="173" spans="1:82" x14ac:dyDescent="0.25">
      <c r="A173" t="s">
        <v>1382</v>
      </c>
      <c r="B173" t="s">
        <v>1383</v>
      </c>
      <c r="C173">
        <v>3</v>
      </c>
      <c r="D173" t="s">
        <v>891</v>
      </c>
      <c r="E173" t="s">
        <v>359</v>
      </c>
      <c r="F173" t="s">
        <v>360</v>
      </c>
      <c r="G173" t="s">
        <v>360</v>
      </c>
      <c r="H173" t="s">
        <v>1384</v>
      </c>
      <c r="I173">
        <v>12900</v>
      </c>
      <c r="J173" t="s">
        <v>1</v>
      </c>
      <c r="K173" t="s">
        <v>1</v>
      </c>
      <c r="L173">
        <v>100</v>
      </c>
      <c r="M173">
        <v>0</v>
      </c>
      <c r="N173">
        <v>0</v>
      </c>
      <c r="O173" t="s">
        <v>1</v>
      </c>
      <c r="P173" t="s">
        <v>1</v>
      </c>
      <c r="Q173" t="s">
        <v>1</v>
      </c>
      <c r="R173" t="s">
        <v>1</v>
      </c>
      <c r="S173" t="s">
        <v>1</v>
      </c>
      <c r="T173" t="s">
        <v>1</v>
      </c>
      <c r="U173" t="s">
        <v>1</v>
      </c>
      <c r="V173" t="s">
        <v>1</v>
      </c>
      <c r="W173" t="s">
        <v>1</v>
      </c>
      <c r="X173" t="s">
        <v>1</v>
      </c>
      <c r="Y173" t="s">
        <v>1</v>
      </c>
      <c r="Z173" t="s">
        <v>1</v>
      </c>
      <c r="AA173">
        <v>0</v>
      </c>
      <c r="AB173" t="s">
        <v>1385</v>
      </c>
      <c r="AC173" t="s">
        <v>1386</v>
      </c>
      <c r="AD173" t="s">
        <v>1340</v>
      </c>
      <c r="AE173">
        <v>0</v>
      </c>
      <c r="AF173" t="s">
        <v>1</v>
      </c>
      <c r="AG173" t="s">
        <v>1</v>
      </c>
      <c r="AH173" t="s">
        <v>1387</v>
      </c>
      <c r="AI173" t="s">
        <v>1023</v>
      </c>
      <c r="AJ173" t="s">
        <v>1</v>
      </c>
      <c r="AK173">
        <v>9931950364</v>
      </c>
      <c r="AL173" t="s">
        <v>1388</v>
      </c>
      <c r="AM173" t="s">
        <v>1389</v>
      </c>
      <c r="AN173">
        <v>0</v>
      </c>
      <c r="AO173" t="s">
        <v>1387</v>
      </c>
      <c r="AP173" t="s">
        <v>1</v>
      </c>
      <c r="AQ173">
        <v>3</v>
      </c>
      <c r="AR173">
        <v>0</v>
      </c>
      <c r="AS173">
        <v>0</v>
      </c>
      <c r="AT173" t="s">
        <v>1</v>
      </c>
      <c r="AU173" t="s">
        <v>1</v>
      </c>
      <c r="AV173" t="s">
        <v>1</v>
      </c>
      <c r="AW173">
        <v>0</v>
      </c>
      <c r="AX173">
        <v>5050</v>
      </c>
      <c r="AY173">
        <v>7850</v>
      </c>
      <c r="AZ173">
        <v>0</v>
      </c>
      <c r="BA173">
        <v>0</v>
      </c>
      <c r="BB173" t="s">
        <v>1</v>
      </c>
      <c r="BC173" t="s">
        <v>1159</v>
      </c>
      <c r="BD173" t="s">
        <v>198</v>
      </c>
      <c r="BE173" t="s">
        <v>1</v>
      </c>
      <c r="BF173" t="s">
        <v>1</v>
      </c>
      <c r="BG173" t="s">
        <v>1</v>
      </c>
      <c r="BH173">
        <v>0</v>
      </c>
      <c r="BI173">
        <v>0</v>
      </c>
      <c r="BJ173" t="s">
        <v>722</v>
      </c>
      <c r="BK173" t="s">
        <v>1</v>
      </c>
      <c r="BL173" t="s">
        <v>1138</v>
      </c>
      <c r="BM173">
        <v>0</v>
      </c>
      <c r="BN173">
        <v>12900</v>
      </c>
      <c r="BO173">
        <v>0</v>
      </c>
      <c r="BP173">
        <v>0</v>
      </c>
      <c r="BQ173">
        <v>0</v>
      </c>
      <c r="BR173" t="s">
        <v>1</v>
      </c>
      <c r="BS173" t="s">
        <v>1</v>
      </c>
      <c r="BT173" t="s">
        <v>1</v>
      </c>
      <c r="BU173" t="s">
        <v>1</v>
      </c>
      <c r="BV173" t="s">
        <v>1</v>
      </c>
      <c r="BW173" t="s">
        <v>360</v>
      </c>
      <c r="BX173" t="s">
        <v>1</v>
      </c>
      <c r="BY173">
        <v>0</v>
      </c>
      <c r="BZ173">
        <v>0</v>
      </c>
      <c r="CA173">
        <v>0</v>
      </c>
      <c r="CB173">
        <v>0</v>
      </c>
      <c r="CD173" t="str" cm="1">
        <f t="array" aca="1" ref="CD173" ca="1">eConcatenar(A173:CB173,"|")</f>
        <v>HzXHO6Ec7UbCaARU|VSA2020-0658|3|ECONOLINE|TABASCO|VILLAHERMOSA |VILLAHERMOSA |2020-09-25|12900|X|X|100|0|0|X|X|X|X|X|X|X|X|X|X|X|X|0|CADENA |CAMARA|CANDELARIA |0|X|X|CARRETERA PRINCIPAL INDUSTRA MORELET |RANCHERIA ANACLETO CANABAL PRIMERA SECCION.|X|9931950364|MARIA DEL ROSARIO DE LA CRUZ CADENA |DORA ISELA CADENA CAMARA |0|CARRETERA PRINCIPAL INDUSTRA MORELET |X|3|0|0|X|X|X|0|5050|7850|0|0|X|2021-12-23|2021-12-30|X|X|X|0|0|S35D6D3Y9KVTQ1|X|MUJER|0|12900|0|0|0|X|X|X|X|X|VILLAHERMOSA |X|0|0|0|0</v>
      </c>
    </row>
    <row r="174" spans="1:82" x14ac:dyDescent="0.25">
      <c r="A174" t="s">
        <v>1390</v>
      </c>
      <c r="B174" t="s">
        <v>1391</v>
      </c>
      <c r="C174">
        <v>3</v>
      </c>
      <c r="D174" t="s">
        <v>715</v>
      </c>
      <c r="E174" t="s">
        <v>359</v>
      </c>
      <c r="F174" t="s">
        <v>360</v>
      </c>
      <c r="G174" t="s">
        <v>360</v>
      </c>
      <c r="H174" t="s">
        <v>1125</v>
      </c>
      <c r="I174">
        <v>12900</v>
      </c>
      <c r="J174" t="s">
        <v>1</v>
      </c>
      <c r="K174" t="s">
        <v>1</v>
      </c>
      <c r="L174">
        <v>100</v>
      </c>
      <c r="M174">
        <v>0</v>
      </c>
      <c r="N174">
        <v>0</v>
      </c>
      <c r="O174" t="s">
        <v>1</v>
      </c>
      <c r="P174" t="s">
        <v>1</v>
      </c>
      <c r="Q174" t="s">
        <v>1</v>
      </c>
      <c r="R174" t="s">
        <v>1</v>
      </c>
      <c r="S174" t="s">
        <v>1</v>
      </c>
      <c r="T174" t="s">
        <v>1</v>
      </c>
      <c r="U174" t="s">
        <v>1</v>
      </c>
      <c r="V174" t="s">
        <v>1</v>
      </c>
      <c r="W174" t="s">
        <v>1</v>
      </c>
      <c r="X174" t="s">
        <v>1</v>
      </c>
      <c r="Y174" t="s">
        <v>1</v>
      </c>
      <c r="Z174" t="s">
        <v>1</v>
      </c>
      <c r="AA174">
        <v>0</v>
      </c>
      <c r="AB174" t="s">
        <v>627</v>
      </c>
      <c r="AC174" t="s">
        <v>829</v>
      </c>
      <c r="AD174" t="s">
        <v>1392</v>
      </c>
      <c r="AE174">
        <v>0</v>
      </c>
      <c r="AF174" t="s">
        <v>1</v>
      </c>
      <c r="AG174" t="s">
        <v>1</v>
      </c>
      <c r="AH174" t="s">
        <v>1393</v>
      </c>
      <c r="AI174" t="s">
        <v>1394</v>
      </c>
      <c r="AJ174" t="s">
        <v>1</v>
      </c>
      <c r="AK174">
        <v>9932345493</v>
      </c>
      <c r="AL174" t="s">
        <v>1395</v>
      </c>
      <c r="AM174" t="s">
        <v>1396</v>
      </c>
      <c r="AN174">
        <v>0</v>
      </c>
      <c r="AO174" t="s">
        <v>1393</v>
      </c>
      <c r="AP174" t="s">
        <v>1</v>
      </c>
      <c r="AQ174">
        <v>2</v>
      </c>
      <c r="AR174">
        <v>0</v>
      </c>
      <c r="AS174">
        <v>0</v>
      </c>
      <c r="AT174" t="s">
        <v>1</v>
      </c>
      <c r="AU174" t="s">
        <v>1</v>
      </c>
      <c r="AV174" t="s">
        <v>1</v>
      </c>
      <c r="AW174">
        <v>0</v>
      </c>
      <c r="AX174">
        <v>7200</v>
      </c>
      <c r="AY174">
        <v>5700</v>
      </c>
      <c r="AZ174">
        <v>0</v>
      </c>
      <c r="BA174">
        <v>0</v>
      </c>
      <c r="BB174" t="s">
        <v>1</v>
      </c>
      <c r="BC174" t="s">
        <v>280</v>
      </c>
      <c r="BD174" t="s">
        <v>1397</v>
      </c>
      <c r="BE174" t="s">
        <v>1</v>
      </c>
      <c r="BF174" t="s">
        <v>1</v>
      </c>
      <c r="BG174" t="s">
        <v>1</v>
      </c>
      <c r="BH174">
        <v>0</v>
      </c>
      <c r="BI174">
        <v>0</v>
      </c>
      <c r="BJ174" t="s">
        <v>722</v>
      </c>
      <c r="BK174" t="s">
        <v>1</v>
      </c>
      <c r="BL174" t="s">
        <v>132</v>
      </c>
      <c r="BM174">
        <v>0</v>
      </c>
      <c r="BN174">
        <v>12900</v>
      </c>
      <c r="BO174">
        <v>0</v>
      </c>
      <c r="BP174">
        <v>0</v>
      </c>
      <c r="BQ174">
        <v>0</v>
      </c>
      <c r="BR174" t="s">
        <v>1</v>
      </c>
      <c r="BS174" t="s">
        <v>1</v>
      </c>
      <c r="BT174" t="s">
        <v>1</v>
      </c>
      <c r="BU174" t="s">
        <v>1</v>
      </c>
      <c r="BV174" t="s">
        <v>1</v>
      </c>
      <c r="BW174" t="s">
        <v>360</v>
      </c>
      <c r="BX174" t="s">
        <v>1</v>
      </c>
      <c r="BY174">
        <v>0</v>
      </c>
      <c r="BZ174">
        <v>0</v>
      </c>
      <c r="CA174">
        <v>0</v>
      </c>
      <c r="CB174">
        <v>0</v>
      </c>
      <c r="CD174" t="str" cm="1">
        <f t="array" aca="1" ref="CD174" ca="1">eConcatenar(A174:CB174,"|")</f>
        <v>1eE1pWgsbaYBYeaj|VSA2020-1189|3|IMPERIAL DE LUJO|TABASCO|VILLAHERMOSA |VILLAHERMOSA |2020-11-23|12900|X|X|100|0|0|X|X|X|X|X|X|X|X|X|X|X|X|0|OVANDO |PEREZ|OSCAR |0|X|X|ENTRADA LA GLORIA CALLEJON LA LAGUNA |RANCHERIA ANACLETO SEGUNDA SECCION |X|9932345493|ALONDRA PEREZ RODRIGUEZ |MARCOS OVANDO ALVAREZ|0|ENTRADA LA GLORIA CALLEJON LA LAGUNA |X|2|0|0|X|X|X|0|7200|5700|0|0|X|2021-12-29|2022-05-01|X|X|X|0|0|S35D6D3Y9KVTQ1|X|HOMBRE|0|12900|0|0|0|X|X|X|X|X|VILLAHERMOSA |X|0|0|0|0</v>
      </c>
    </row>
    <row r="175" spans="1:82" x14ac:dyDescent="0.25">
      <c r="A175" t="s">
        <v>1398</v>
      </c>
      <c r="B175" t="s">
        <v>1399</v>
      </c>
      <c r="C175">
        <v>3</v>
      </c>
      <c r="D175" t="s">
        <v>715</v>
      </c>
      <c r="E175" t="s">
        <v>359</v>
      </c>
      <c r="F175" t="s">
        <v>360</v>
      </c>
      <c r="G175" t="s">
        <v>360</v>
      </c>
      <c r="H175" t="s">
        <v>1074</v>
      </c>
      <c r="I175">
        <v>12900</v>
      </c>
      <c r="J175" t="s">
        <v>1</v>
      </c>
      <c r="K175" t="s">
        <v>1</v>
      </c>
      <c r="L175">
        <v>100</v>
      </c>
      <c r="M175">
        <v>0</v>
      </c>
      <c r="N175">
        <v>0</v>
      </c>
      <c r="O175" t="s">
        <v>1</v>
      </c>
      <c r="P175" t="s">
        <v>1</v>
      </c>
      <c r="Q175" t="s">
        <v>1</v>
      </c>
      <c r="R175" t="s">
        <v>1</v>
      </c>
      <c r="S175" t="s">
        <v>1</v>
      </c>
      <c r="T175" t="s">
        <v>1</v>
      </c>
      <c r="U175" t="s">
        <v>1</v>
      </c>
      <c r="V175" t="s">
        <v>1</v>
      </c>
      <c r="W175" t="s">
        <v>1</v>
      </c>
      <c r="X175" t="s">
        <v>1</v>
      </c>
      <c r="Y175" t="s">
        <v>1</v>
      </c>
      <c r="Z175" t="s">
        <v>1</v>
      </c>
      <c r="AA175">
        <v>0</v>
      </c>
      <c r="AB175" t="s">
        <v>1400</v>
      </c>
      <c r="AC175" t="s">
        <v>628</v>
      </c>
      <c r="AD175" t="s">
        <v>1401</v>
      </c>
      <c r="AE175">
        <v>0</v>
      </c>
      <c r="AF175" t="s">
        <v>1</v>
      </c>
      <c r="AG175" t="s">
        <v>1</v>
      </c>
      <c r="AH175" t="s">
        <v>1402</v>
      </c>
      <c r="AI175" t="s">
        <v>886</v>
      </c>
      <c r="AJ175" t="s">
        <v>1</v>
      </c>
      <c r="AK175">
        <v>9933189445</v>
      </c>
      <c r="AL175" t="s">
        <v>1403</v>
      </c>
      <c r="AM175" t="s">
        <v>1404</v>
      </c>
      <c r="AN175">
        <v>0</v>
      </c>
      <c r="AO175" t="s">
        <v>1402</v>
      </c>
      <c r="AP175" t="s">
        <v>1</v>
      </c>
      <c r="AQ175">
        <v>2</v>
      </c>
      <c r="AR175">
        <v>0</v>
      </c>
      <c r="AS175">
        <v>0</v>
      </c>
      <c r="AT175" t="s">
        <v>1</v>
      </c>
      <c r="AU175" t="s">
        <v>1</v>
      </c>
      <c r="AV175" t="s">
        <v>1</v>
      </c>
      <c r="AW175">
        <v>0</v>
      </c>
      <c r="AX175">
        <v>5100</v>
      </c>
      <c r="AY175">
        <v>7800</v>
      </c>
      <c r="AZ175">
        <v>0</v>
      </c>
      <c r="BA175">
        <v>0</v>
      </c>
      <c r="BB175" t="s">
        <v>1</v>
      </c>
      <c r="BC175" t="s">
        <v>280</v>
      </c>
      <c r="BD175" t="s">
        <v>1397</v>
      </c>
      <c r="BE175" t="s">
        <v>1</v>
      </c>
      <c r="BF175" t="s">
        <v>1</v>
      </c>
      <c r="BG175" t="s">
        <v>1</v>
      </c>
      <c r="BH175">
        <v>0</v>
      </c>
      <c r="BI175">
        <v>0</v>
      </c>
      <c r="BJ175" t="s">
        <v>722</v>
      </c>
      <c r="BK175" t="s">
        <v>1</v>
      </c>
      <c r="BL175" t="s">
        <v>1138</v>
      </c>
      <c r="BM175">
        <v>0</v>
      </c>
      <c r="BN175">
        <v>12900</v>
      </c>
      <c r="BO175">
        <v>0</v>
      </c>
      <c r="BP175">
        <v>0</v>
      </c>
      <c r="BQ175">
        <v>0</v>
      </c>
      <c r="BR175" t="s">
        <v>1</v>
      </c>
      <c r="BS175" t="s">
        <v>1</v>
      </c>
      <c r="BT175" t="s">
        <v>1</v>
      </c>
      <c r="BU175" t="s">
        <v>1</v>
      </c>
      <c r="BV175" t="s">
        <v>1</v>
      </c>
      <c r="BW175" t="s">
        <v>360</v>
      </c>
      <c r="BX175" t="s">
        <v>1</v>
      </c>
      <c r="BY175">
        <v>0</v>
      </c>
      <c r="BZ175">
        <v>0</v>
      </c>
      <c r="CA175">
        <v>0</v>
      </c>
      <c r="CB175">
        <v>0</v>
      </c>
      <c r="CD175" t="str" cm="1">
        <f t="array" aca="1" ref="CD175" ca="1">eConcatenar(A175:CB175,"|")</f>
        <v>QgVe2WBR36N2WBIR|VSA2020-0770|3|IMPERIAL DE LUJO|TABASCO|VILLAHERMOSA |VILLAHERMOSA |2020-10-10|12900|X|X|100|0|0|X|X|X|X|X|X|X|X|X|X|X|X|0|CORNEL|ALVAREZ |PATRICIA |0|X|X|SECTOR ALEJO CALLE PRINCIPAL |RANCHERIA GONZALEZ TERCERA SECCION |X|9933189445|JORGE LUIS ROMERO ALEJO|URSULA ALVAREZ VIDAL |0|SECTOR ALEJO CALLE PRINCIPAL |X|2|0|0|X|X|X|0|5100|7800|0|0|X|2021-12-29|2022-05-01|X|X|X|0|0|S35D6D3Y9KVTQ1|X|MUJER|0|12900|0|0|0|X|X|X|X|X|VILLAHERMOSA |X|0|0|0|0</v>
      </c>
    </row>
    <row r="176" spans="1:82" x14ac:dyDescent="0.25">
      <c r="A176" t="s">
        <v>1405</v>
      </c>
      <c r="B176" t="s">
        <v>1406</v>
      </c>
      <c r="C176">
        <v>3</v>
      </c>
      <c r="D176" t="s">
        <v>741</v>
      </c>
      <c r="E176" t="s">
        <v>359</v>
      </c>
      <c r="F176" t="s">
        <v>360</v>
      </c>
      <c r="G176" t="s">
        <v>360</v>
      </c>
      <c r="H176" t="s">
        <v>828</v>
      </c>
      <c r="I176">
        <v>14800</v>
      </c>
      <c r="J176" t="s">
        <v>1</v>
      </c>
      <c r="K176" t="s">
        <v>1</v>
      </c>
      <c r="L176">
        <v>100</v>
      </c>
      <c r="M176">
        <v>0</v>
      </c>
      <c r="N176">
        <v>0</v>
      </c>
      <c r="O176" t="s">
        <v>1</v>
      </c>
      <c r="P176" t="s">
        <v>1</v>
      </c>
      <c r="Q176" t="s">
        <v>1</v>
      </c>
      <c r="R176" t="s">
        <v>1</v>
      </c>
      <c r="S176" t="s">
        <v>1</v>
      </c>
      <c r="T176" t="s">
        <v>1</v>
      </c>
      <c r="U176" t="s">
        <v>1</v>
      </c>
      <c r="V176" t="s">
        <v>1</v>
      </c>
      <c r="W176" t="s">
        <v>1</v>
      </c>
      <c r="X176" t="s">
        <v>1</v>
      </c>
      <c r="Y176" t="s">
        <v>1</v>
      </c>
      <c r="Z176" t="s">
        <v>1</v>
      </c>
      <c r="AA176">
        <v>0</v>
      </c>
      <c r="AB176" t="s">
        <v>1407</v>
      </c>
      <c r="AC176" t="s">
        <v>1204</v>
      </c>
      <c r="AD176" t="s">
        <v>1408</v>
      </c>
      <c r="AE176">
        <v>0</v>
      </c>
      <c r="AF176" t="s">
        <v>1</v>
      </c>
      <c r="AG176" t="s">
        <v>1</v>
      </c>
      <c r="AH176" t="s">
        <v>545</v>
      </c>
      <c r="AI176" t="s">
        <v>1409</v>
      </c>
      <c r="AJ176" t="s">
        <v>1</v>
      </c>
      <c r="AK176">
        <v>9371401074</v>
      </c>
      <c r="AL176" t="s">
        <v>1410</v>
      </c>
      <c r="AM176" t="s">
        <v>1411</v>
      </c>
      <c r="AN176">
        <v>0</v>
      </c>
      <c r="AO176" t="s">
        <v>545</v>
      </c>
      <c r="AP176" t="s">
        <v>1</v>
      </c>
      <c r="AQ176">
        <v>2</v>
      </c>
      <c r="AR176">
        <v>0</v>
      </c>
      <c r="AS176">
        <v>0</v>
      </c>
      <c r="AT176" t="s">
        <v>1</v>
      </c>
      <c r="AU176" t="s">
        <v>1</v>
      </c>
      <c r="AV176" t="s">
        <v>1</v>
      </c>
      <c r="AW176">
        <v>0</v>
      </c>
      <c r="AX176">
        <v>2100</v>
      </c>
      <c r="AY176">
        <v>12700</v>
      </c>
      <c r="AZ176">
        <v>0</v>
      </c>
      <c r="BA176">
        <v>0</v>
      </c>
      <c r="BB176" t="s">
        <v>1</v>
      </c>
      <c r="BC176" t="s">
        <v>280</v>
      </c>
      <c r="BD176" t="s">
        <v>1397</v>
      </c>
      <c r="BE176" t="s">
        <v>1</v>
      </c>
      <c r="BF176" t="s">
        <v>1</v>
      </c>
      <c r="BG176" t="s">
        <v>1</v>
      </c>
      <c r="BH176">
        <v>0</v>
      </c>
      <c r="BI176">
        <v>0</v>
      </c>
      <c r="BJ176" t="s">
        <v>722</v>
      </c>
      <c r="BK176" t="s">
        <v>1</v>
      </c>
      <c r="BL176" t="s">
        <v>1138</v>
      </c>
      <c r="BM176">
        <v>0</v>
      </c>
      <c r="BN176">
        <v>14800</v>
      </c>
      <c r="BO176">
        <v>0</v>
      </c>
      <c r="BP176">
        <v>0</v>
      </c>
      <c r="BQ176">
        <v>0</v>
      </c>
      <c r="BR176" t="s">
        <v>1</v>
      </c>
      <c r="BS176" t="s">
        <v>1</v>
      </c>
      <c r="BT176" t="s">
        <v>1</v>
      </c>
      <c r="BU176" t="s">
        <v>1</v>
      </c>
      <c r="BV176" t="s">
        <v>1</v>
      </c>
      <c r="BW176" t="s">
        <v>360</v>
      </c>
      <c r="BX176" t="s">
        <v>1</v>
      </c>
      <c r="BY176">
        <v>0</v>
      </c>
      <c r="BZ176">
        <v>0</v>
      </c>
      <c r="CA176">
        <v>0</v>
      </c>
      <c r="CB176">
        <v>0</v>
      </c>
      <c r="CD176" t="str" cm="1">
        <f t="array" aca="1" ref="CD176" ca="1">eConcatenar(A176:CB176,"|")</f>
        <v>ZqLf5hKim2fM8sLh|VSA2021-1298|3|MEMORIAL|TABASCO|VILLAHERMOSA |VILLAHERMOSA |2021-08-17|14800|X|X|100|0|0|X|X|X|X|X|X|X|X|X|X|X|X|0|RAMOS |DE DIOS |RUBI ELISABETH|0|X|X|CARRETERA PRINCIPAL SIN NUMERO |COLONIA LOS RAMOS POBLADO CUCUYULAPA |X|9371401074|MARIA DEL CARMEN DE DIOS HERNANDEZ |JAIRO ALBERTO RAMOS DE DIOS |0|CARRETERA PRINCIPAL SIN NUMERO |X|2|0|0|X|X|X|0|2100|12700|0|0|X|2021-12-29|2022-05-01|X|X|X|0|0|S35D6D3Y9KVTQ1|X|MUJER|0|14800|0|0|0|X|X|X|X|X|VILLAHERMOSA |X|0|0|0|0</v>
      </c>
    </row>
    <row r="177" spans="1:82" x14ac:dyDescent="0.25">
      <c r="A177" t="s">
        <v>1412</v>
      </c>
      <c r="B177" t="s">
        <v>1413</v>
      </c>
      <c r="C177">
        <v>3</v>
      </c>
      <c r="D177" t="s">
        <v>741</v>
      </c>
      <c r="E177" t="s">
        <v>359</v>
      </c>
      <c r="F177" t="s">
        <v>360</v>
      </c>
      <c r="G177" t="s">
        <v>360</v>
      </c>
      <c r="H177" t="s">
        <v>828</v>
      </c>
      <c r="I177">
        <v>14800</v>
      </c>
      <c r="J177" t="s">
        <v>1</v>
      </c>
      <c r="K177" t="s">
        <v>1</v>
      </c>
      <c r="L177">
        <v>100</v>
      </c>
      <c r="M177">
        <v>0</v>
      </c>
      <c r="N177">
        <v>0</v>
      </c>
      <c r="O177" t="s">
        <v>1</v>
      </c>
      <c r="P177" t="s">
        <v>1</v>
      </c>
      <c r="Q177" t="s">
        <v>1</v>
      </c>
      <c r="R177" t="s">
        <v>1</v>
      </c>
      <c r="S177" t="s">
        <v>1</v>
      </c>
      <c r="T177" t="s">
        <v>1</v>
      </c>
      <c r="U177" t="s">
        <v>1</v>
      </c>
      <c r="V177" t="s">
        <v>1</v>
      </c>
      <c r="W177" t="s">
        <v>1</v>
      </c>
      <c r="X177" t="s">
        <v>1</v>
      </c>
      <c r="Y177" t="s">
        <v>1</v>
      </c>
      <c r="Z177" t="s">
        <v>1</v>
      </c>
      <c r="AA177">
        <v>0</v>
      </c>
      <c r="AB177" t="s">
        <v>1204</v>
      </c>
      <c r="AC177" t="s">
        <v>1414</v>
      </c>
      <c r="AD177" t="s">
        <v>1415</v>
      </c>
      <c r="AE177">
        <v>0</v>
      </c>
      <c r="AF177" t="s">
        <v>1</v>
      </c>
      <c r="AG177" t="s">
        <v>1</v>
      </c>
      <c r="AH177" t="s">
        <v>1416</v>
      </c>
      <c r="AI177" t="s">
        <v>1417</v>
      </c>
      <c r="AJ177" t="s">
        <v>1</v>
      </c>
      <c r="AK177">
        <v>9141180126</v>
      </c>
      <c r="AL177" t="s">
        <v>1418</v>
      </c>
      <c r="AM177" t="s">
        <v>1419</v>
      </c>
      <c r="AN177">
        <v>0</v>
      </c>
      <c r="AO177" t="s">
        <v>1416</v>
      </c>
      <c r="AP177" t="s">
        <v>1</v>
      </c>
      <c r="AQ177">
        <v>2</v>
      </c>
      <c r="AR177">
        <v>0</v>
      </c>
      <c r="AS177">
        <v>0</v>
      </c>
      <c r="AT177" t="s">
        <v>1</v>
      </c>
      <c r="AU177" t="s">
        <v>1</v>
      </c>
      <c r="AV177" t="s">
        <v>1</v>
      </c>
      <c r="AW177">
        <v>0</v>
      </c>
      <c r="AX177">
        <v>2000</v>
      </c>
      <c r="AY177">
        <v>12800</v>
      </c>
      <c r="AZ177">
        <v>0</v>
      </c>
      <c r="BA177">
        <v>0</v>
      </c>
      <c r="BB177" t="s">
        <v>1</v>
      </c>
      <c r="BC177" t="s">
        <v>280</v>
      </c>
      <c r="BD177" t="s">
        <v>1397</v>
      </c>
      <c r="BE177" t="s">
        <v>1</v>
      </c>
      <c r="BF177" t="s">
        <v>1</v>
      </c>
      <c r="BG177" t="s">
        <v>1</v>
      </c>
      <c r="BH177">
        <v>0</v>
      </c>
      <c r="BI177">
        <v>0</v>
      </c>
      <c r="BJ177" t="s">
        <v>722</v>
      </c>
      <c r="BK177" t="s">
        <v>1</v>
      </c>
      <c r="BL177" t="s">
        <v>132</v>
      </c>
      <c r="BM177">
        <v>0</v>
      </c>
      <c r="BN177">
        <v>14800</v>
      </c>
      <c r="BO177">
        <v>0</v>
      </c>
      <c r="BP177">
        <v>0</v>
      </c>
      <c r="BQ177">
        <v>0</v>
      </c>
      <c r="BR177" t="s">
        <v>1</v>
      </c>
      <c r="BS177" t="s">
        <v>1</v>
      </c>
      <c r="BT177" t="s">
        <v>1</v>
      </c>
      <c r="BU177" t="s">
        <v>1</v>
      </c>
      <c r="BV177" t="s">
        <v>1</v>
      </c>
      <c r="BW177" t="s">
        <v>360</v>
      </c>
      <c r="BX177" t="s">
        <v>1</v>
      </c>
      <c r="BY177">
        <v>0</v>
      </c>
      <c r="BZ177">
        <v>0</v>
      </c>
      <c r="CA177">
        <v>0</v>
      </c>
      <c r="CB177">
        <v>0</v>
      </c>
      <c r="CD177" t="str" cm="1">
        <f t="array" aca="1" ref="CD177" ca="1">eConcatenar(A177:CB177,"|")</f>
        <v>TCDSDb0DrL9AIyRf|VSA2021-1294|3|MEMORIAL|TABASCO|VILLAHERMOSA |VILLAHERMOSA |2021-08-17|14800|X|X|100|0|0|X|X|X|X|X|X|X|X|X|X|X|X|0|DE DIOS |BADAL|JOSE REYES|0|X|X|CARRETERA VILLAHERMOSA A CARDENAS SIN NUMERO KILOMETRO 136 CUNDUACAN |ENTRADA DE LOS RAMOS ENFRENTE DE LA VULCANIZADORA |X|9141180126|LILIA HERNANDEZ GOMEZ |LEYDI MARIA DE DIOS HERNANDEZ |0|CARRETERA VILLAHERMOSA A CARDENAS SIN NUMERO KILOMETRO 136 CUNDUACAN |X|2|0|0|X|X|X|0|2000|12800|0|0|X|2021-12-29|2022-05-01|X|X|X|0|0|S35D6D3Y9KVTQ1|X|HOMBRE|0|14800|0|0|0|X|X|X|X|X|VILLAHERMOSA |X|0|0|0|0</v>
      </c>
    </row>
    <row r="178" spans="1:82" x14ac:dyDescent="0.25">
      <c r="A178" t="s">
        <v>1420</v>
      </c>
      <c r="B178" t="s">
        <v>1421</v>
      </c>
      <c r="C178">
        <v>3</v>
      </c>
      <c r="D178" t="s">
        <v>741</v>
      </c>
      <c r="E178" t="s">
        <v>359</v>
      </c>
      <c r="F178" t="s">
        <v>360</v>
      </c>
      <c r="G178" t="s">
        <v>360</v>
      </c>
      <c r="H178" t="s">
        <v>1180</v>
      </c>
      <c r="I178">
        <v>14800</v>
      </c>
      <c r="J178" t="s">
        <v>1</v>
      </c>
      <c r="K178" t="s">
        <v>1</v>
      </c>
      <c r="L178">
        <v>100</v>
      </c>
      <c r="M178">
        <v>0</v>
      </c>
      <c r="N178">
        <v>0</v>
      </c>
      <c r="O178" t="s">
        <v>1</v>
      </c>
      <c r="P178" t="s">
        <v>1</v>
      </c>
      <c r="Q178" t="s">
        <v>1</v>
      </c>
      <c r="R178" t="s">
        <v>1</v>
      </c>
      <c r="S178" t="s">
        <v>1</v>
      </c>
      <c r="T178" t="s">
        <v>1</v>
      </c>
      <c r="U178" t="s">
        <v>1</v>
      </c>
      <c r="V178" t="s">
        <v>1</v>
      </c>
      <c r="W178" t="s">
        <v>1</v>
      </c>
      <c r="X178" t="s">
        <v>1</v>
      </c>
      <c r="Y178" t="s">
        <v>1</v>
      </c>
      <c r="Z178" t="s">
        <v>1</v>
      </c>
      <c r="AA178">
        <v>0</v>
      </c>
      <c r="AB178" t="s">
        <v>191</v>
      </c>
      <c r="AC178" t="s">
        <v>7</v>
      </c>
      <c r="AD178" t="s">
        <v>1422</v>
      </c>
      <c r="AE178">
        <v>0</v>
      </c>
      <c r="AF178" t="s">
        <v>1</v>
      </c>
      <c r="AG178" t="s">
        <v>1</v>
      </c>
      <c r="AH178" t="s">
        <v>1423</v>
      </c>
      <c r="AI178" t="s">
        <v>1164</v>
      </c>
      <c r="AJ178" t="s">
        <v>1</v>
      </c>
      <c r="AK178">
        <v>9371548376</v>
      </c>
      <c r="AL178" t="s">
        <v>1424</v>
      </c>
      <c r="AM178" t="s">
        <v>1425</v>
      </c>
      <c r="AN178">
        <v>0</v>
      </c>
      <c r="AO178" t="s">
        <v>1423</v>
      </c>
      <c r="AP178" t="s">
        <v>1</v>
      </c>
      <c r="AQ178">
        <v>2</v>
      </c>
      <c r="AR178">
        <v>0</v>
      </c>
      <c r="AS178">
        <v>0</v>
      </c>
      <c r="AT178" t="s">
        <v>1</v>
      </c>
      <c r="AU178" t="s">
        <v>1</v>
      </c>
      <c r="AV178" t="s">
        <v>1</v>
      </c>
      <c r="AW178">
        <v>0</v>
      </c>
      <c r="AX178">
        <v>2200</v>
      </c>
      <c r="AY178">
        <v>12600</v>
      </c>
      <c r="AZ178">
        <v>0</v>
      </c>
      <c r="BA178">
        <v>0</v>
      </c>
      <c r="BB178" t="s">
        <v>1</v>
      </c>
      <c r="BC178" t="s">
        <v>280</v>
      </c>
      <c r="BD178" t="s">
        <v>1397</v>
      </c>
      <c r="BE178" t="s">
        <v>1</v>
      </c>
      <c r="BF178" t="s">
        <v>1</v>
      </c>
      <c r="BG178" t="s">
        <v>1</v>
      </c>
      <c r="BH178">
        <v>0</v>
      </c>
      <c r="BI178">
        <v>0</v>
      </c>
      <c r="BJ178" t="s">
        <v>722</v>
      </c>
      <c r="BK178" t="s">
        <v>1</v>
      </c>
      <c r="BL178" t="s">
        <v>1138</v>
      </c>
      <c r="BM178">
        <v>0</v>
      </c>
      <c r="BN178">
        <v>14800</v>
      </c>
      <c r="BO178">
        <v>0</v>
      </c>
      <c r="BP178">
        <v>0</v>
      </c>
      <c r="BQ178">
        <v>0</v>
      </c>
      <c r="BR178" t="s">
        <v>1</v>
      </c>
      <c r="BS178" t="s">
        <v>1</v>
      </c>
      <c r="BT178" t="s">
        <v>1</v>
      </c>
      <c r="BU178" t="s">
        <v>1</v>
      </c>
      <c r="BV178" t="s">
        <v>1</v>
      </c>
      <c r="BW178" t="s">
        <v>360</v>
      </c>
      <c r="BX178" t="s">
        <v>1</v>
      </c>
      <c r="BY178">
        <v>0</v>
      </c>
      <c r="BZ178">
        <v>0</v>
      </c>
      <c r="CA178">
        <v>0</v>
      </c>
      <c r="CB178">
        <v>0</v>
      </c>
      <c r="CD178" t="str" cm="1">
        <f t="array" aca="1" ref="CD178" ca="1">eConcatenar(A178:CB178,"|")</f>
        <v>mptVfIauN6sEWipj|VSA2021-1316|3|MEMORIAL|TABASCO|VILLAHERMOSA |VILLAHERMOSA |2021-08-18|14800|X|X|100|0|0|X|X|X|X|X|X|X|X|X|X|X|X|0|MARTINEZ |LOPEZ|MANUELA DE JESUS |0|X|X|CARRETERA AL PANTEON SIN NUMERO |POBLADO CUCUYULAPA CUNDUACAN |X|9371548376|JAVIT MARTINEZ LOPEZ |JESUS RAMOS HERNANDEZ |0|CARRETERA AL PANTEON SIN NUMERO |X|2|0|0|X|X|X|0|2200|12600|0|0|X|2021-12-29|2022-05-01|X|X|X|0|0|S35D6D3Y9KVTQ1|X|MUJER|0|14800|0|0|0|X|X|X|X|X|VILLAHERMOSA |X|0|0|0|0</v>
      </c>
    </row>
    <row r="179" spans="1:82" x14ac:dyDescent="0.25">
      <c r="A179" t="s">
        <v>1426</v>
      </c>
      <c r="B179" t="s">
        <v>1427</v>
      </c>
      <c r="C179">
        <v>3</v>
      </c>
      <c r="D179" t="s">
        <v>246</v>
      </c>
      <c r="E179" t="s">
        <v>359</v>
      </c>
      <c r="F179" t="s">
        <v>360</v>
      </c>
      <c r="G179" t="s">
        <v>360</v>
      </c>
      <c r="H179" t="s">
        <v>1428</v>
      </c>
      <c r="I179">
        <v>24500</v>
      </c>
      <c r="J179" t="s">
        <v>1</v>
      </c>
      <c r="K179" t="s">
        <v>1</v>
      </c>
      <c r="L179">
        <v>100</v>
      </c>
      <c r="M179">
        <v>0</v>
      </c>
      <c r="N179">
        <v>0</v>
      </c>
      <c r="O179" t="s">
        <v>1</v>
      </c>
      <c r="P179" t="s">
        <v>1</v>
      </c>
      <c r="Q179" t="s">
        <v>1</v>
      </c>
      <c r="R179" t="s">
        <v>1</v>
      </c>
      <c r="S179" t="s">
        <v>1</v>
      </c>
      <c r="T179" t="s">
        <v>1</v>
      </c>
      <c r="U179" t="s">
        <v>1</v>
      </c>
      <c r="V179" t="s">
        <v>1</v>
      </c>
      <c r="W179" t="s">
        <v>1</v>
      </c>
      <c r="X179" t="s">
        <v>1</v>
      </c>
      <c r="Y179" t="s">
        <v>1</v>
      </c>
      <c r="Z179" t="s">
        <v>1</v>
      </c>
      <c r="AA179">
        <v>0</v>
      </c>
      <c r="AB179" t="s">
        <v>395</v>
      </c>
      <c r="AC179" t="s">
        <v>993</v>
      </c>
      <c r="AD179" t="s">
        <v>1429</v>
      </c>
      <c r="AE179">
        <v>0</v>
      </c>
      <c r="AF179" t="s">
        <v>1</v>
      </c>
      <c r="AG179" t="s">
        <v>1</v>
      </c>
      <c r="AH179" t="s">
        <v>545</v>
      </c>
      <c r="AI179" t="s">
        <v>1184</v>
      </c>
      <c r="AJ179" t="s">
        <v>1</v>
      </c>
      <c r="AK179">
        <v>9931929640</v>
      </c>
      <c r="AL179" t="s">
        <v>1430</v>
      </c>
      <c r="AM179" t="s">
        <v>1431</v>
      </c>
      <c r="AN179">
        <v>0</v>
      </c>
      <c r="AO179" t="s">
        <v>545</v>
      </c>
      <c r="AP179" t="s">
        <v>1</v>
      </c>
      <c r="AQ179">
        <v>2</v>
      </c>
      <c r="AR179">
        <v>0</v>
      </c>
      <c r="AS179">
        <v>0</v>
      </c>
      <c r="AT179" t="s">
        <v>1</v>
      </c>
      <c r="AU179" t="s">
        <v>1</v>
      </c>
      <c r="AV179" t="s">
        <v>1</v>
      </c>
      <c r="AW179">
        <v>0</v>
      </c>
      <c r="AX179">
        <v>5300</v>
      </c>
      <c r="AY179">
        <v>19200</v>
      </c>
      <c r="AZ179">
        <v>0</v>
      </c>
      <c r="BA179">
        <v>0</v>
      </c>
      <c r="BB179" t="s">
        <v>1</v>
      </c>
      <c r="BC179" t="s">
        <v>280</v>
      </c>
      <c r="BD179" t="s">
        <v>1397</v>
      </c>
      <c r="BE179" t="s">
        <v>1</v>
      </c>
      <c r="BF179" t="s">
        <v>1</v>
      </c>
      <c r="BG179" t="s">
        <v>1</v>
      </c>
      <c r="BH179">
        <v>0</v>
      </c>
      <c r="BI179">
        <v>0</v>
      </c>
      <c r="BJ179" t="s">
        <v>722</v>
      </c>
      <c r="BK179" t="s">
        <v>1</v>
      </c>
      <c r="BL179" t="s">
        <v>1138</v>
      </c>
      <c r="BM179">
        <v>0</v>
      </c>
      <c r="BN179">
        <v>24500</v>
      </c>
      <c r="BO179">
        <v>0</v>
      </c>
      <c r="BP179">
        <v>0</v>
      </c>
      <c r="BQ179">
        <v>0</v>
      </c>
      <c r="BR179" t="s">
        <v>1</v>
      </c>
      <c r="BS179" t="s">
        <v>1</v>
      </c>
      <c r="BT179" t="s">
        <v>1</v>
      </c>
      <c r="BU179" t="s">
        <v>1</v>
      </c>
      <c r="BV179" t="s">
        <v>1</v>
      </c>
      <c r="BW179" t="s">
        <v>360</v>
      </c>
      <c r="BX179" t="s">
        <v>1</v>
      </c>
      <c r="BY179">
        <v>0</v>
      </c>
      <c r="BZ179">
        <v>0</v>
      </c>
      <c r="CA179">
        <v>0</v>
      </c>
      <c r="CB179">
        <v>0</v>
      </c>
      <c r="CD179" t="str" cm="1">
        <f t="array" aca="1" ref="CD179" ca="1">eConcatenar(A179:CB179,"|")</f>
        <v>c0Ohc6AqswXt9EqV|VSA2021-1286|3|DIGNITY|TABASCO|VILLAHERMOSA |VILLAHERMOSA |2021-08-14|24500|X|X|100|0|0|X|X|X|X|X|X|X|X|X|X|X|X|0|GARCIA |CONTRERAS|ANEL |0|X|X|CARRETERA PRINCIPAL SIN NUMERO |RANCHERIA PLATANO Y CACAO PRIMERA SECCION |X|9931929640|ISIDRO SANCHEZ SANCHEZ |ALMA RUBI GARCIA CONTRERAS |0|CARRETERA PRINCIPAL SIN NUMERO |X|2|0|0|X|X|X|0|5300|19200|0|0|X|2021-12-29|2022-05-01|X|X|X|0|0|S35D6D3Y9KVTQ1|X|MUJER|0|24500|0|0|0|X|X|X|X|X|VILLAHERMOSA |X|0|0|0|0</v>
      </c>
    </row>
    <row r="180" spans="1:82" x14ac:dyDescent="0.25">
      <c r="A180" t="s">
        <v>1432</v>
      </c>
      <c r="B180" t="s">
        <v>1433</v>
      </c>
      <c r="C180">
        <v>3</v>
      </c>
      <c r="D180" t="s">
        <v>741</v>
      </c>
      <c r="E180" t="s">
        <v>359</v>
      </c>
      <c r="F180" t="s">
        <v>360</v>
      </c>
      <c r="G180" t="s">
        <v>360</v>
      </c>
      <c r="H180" t="s">
        <v>846</v>
      </c>
      <c r="I180">
        <v>14800</v>
      </c>
      <c r="J180" t="s">
        <v>1</v>
      </c>
      <c r="K180" t="s">
        <v>1</v>
      </c>
      <c r="L180">
        <v>100</v>
      </c>
      <c r="M180">
        <v>0</v>
      </c>
      <c r="N180">
        <v>0</v>
      </c>
      <c r="O180" t="s">
        <v>1</v>
      </c>
      <c r="P180" t="s">
        <v>1</v>
      </c>
      <c r="Q180" t="s">
        <v>1</v>
      </c>
      <c r="R180" t="s">
        <v>1</v>
      </c>
      <c r="S180" t="s">
        <v>1</v>
      </c>
      <c r="T180" t="s">
        <v>1</v>
      </c>
      <c r="U180" t="s">
        <v>1</v>
      </c>
      <c r="V180" t="s">
        <v>1</v>
      </c>
      <c r="W180" t="s">
        <v>1</v>
      </c>
      <c r="X180" t="s">
        <v>1</v>
      </c>
      <c r="Y180" t="s">
        <v>1</v>
      </c>
      <c r="Z180" t="s">
        <v>1</v>
      </c>
      <c r="AA180">
        <v>0</v>
      </c>
      <c r="AB180" t="s">
        <v>236</v>
      </c>
      <c r="AC180" t="s">
        <v>1434</v>
      </c>
      <c r="AD180" t="s">
        <v>1435</v>
      </c>
      <c r="AE180">
        <v>0</v>
      </c>
      <c r="AF180" t="s">
        <v>1</v>
      </c>
      <c r="AG180" t="s">
        <v>1</v>
      </c>
      <c r="AH180" t="s">
        <v>1436</v>
      </c>
      <c r="AI180" t="s">
        <v>1184</v>
      </c>
      <c r="AJ180" t="s">
        <v>1</v>
      </c>
      <c r="AK180">
        <v>9932154767</v>
      </c>
      <c r="AL180" t="s">
        <v>1437</v>
      </c>
      <c r="AM180" t="s">
        <v>1438</v>
      </c>
      <c r="AN180">
        <v>0</v>
      </c>
      <c r="AO180" t="s">
        <v>1436</v>
      </c>
      <c r="AP180" t="s">
        <v>1</v>
      </c>
      <c r="AQ180">
        <v>2</v>
      </c>
      <c r="AR180">
        <v>0</v>
      </c>
      <c r="AS180">
        <v>0</v>
      </c>
      <c r="AT180" t="s">
        <v>1</v>
      </c>
      <c r="AU180" t="s">
        <v>1</v>
      </c>
      <c r="AV180" t="s">
        <v>1</v>
      </c>
      <c r="AW180">
        <v>0</v>
      </c>
      <c r="AX180">
        <v>2100</v>
      </c>
      <c r="AY180">
        <v>12700</v>
      </c>
      <c r="AZ180">
        <v>0</v>
      </c>
      <c r="BA180">
        <v>0</v>
      </c>
      <c r="BB180" t="s">
        <v>1</v>
      </c>
      <c r="BC180" t="s">
        <v>280</v>
      </c>
      <c r="BD180" t="s">
        <v>1397</v>
      </c>
      <c r="BE180" t="s">
        <v>1</v>
      </c>
      <c r="BF180" t="s">
        <v>1</v>
      </c>
      <c r="BG180" t="s">
        <v>1</v>
      </c>
      <c r="BH180">
        <v>0</v>
      </c>
      <c r="BI180">
        <v>0</v>
      </c>
      <c r="BJ180" t="s">
        <v>722</v>
      </c>
      <c r="BK180" t="s">
        <v>1</v>
      </c>
      <c r="BL180" t="s">
        <v>132</v>
      </c>
      <c r="BM180">
        <v>0</v>
      </c>
      <c r="BN180">
        <v>14800</v>
      </c>
      <c r="BO180">
        <v>0</v>
      </c>
      <c r="BP180">
        <v>0</v>
      </c>
      <c r="BQ180">
        <v>0</v>
      </c>
      <c r="BR180" t="s">
        <v>1</v>
      </c>
      <c r="BS180" t="s">
        <v>1</v>
      </c>
      <c r="BT180" t="s">
        <v>1</v>
      </c>
      <c r="BU180" t="s">
        <v>1</v>
      </c>
      <c r="BV180" t="s">
        <v>1</v>
      </c>
      <c r="BW180" t="s">
        <v>360</v>
      </c>
      <c r="BX180" t="s">
        <v>1</v>
      </c>
      <c r="BY180">
        <v>0</v>
      </c>
      <c r="BZ180">
        <v>0</v>
      </c>
      <c r="CA180">
        <v>0</v>
      </c>
      <c r="CB180">
        <v>0</v>
      </c>
      <c r="CD180" t="str" cm="1">
        <f t="array" aca="1" ref="CD180" ca="1">eConcatenar(A180:CB180,"|")</f>
        <v>XFZYY9H3Gv2rRsLf|VSA2021-1342|3|MEMORIAL|TABASCO|VILLAHERMOSA |VILLAHERMOSA |2021-08-20|14800|X|X|100|0|0|X|X|X|X|X|X|X|X|X|X|X|X|0|JIMENEZ|ALEJO |JESUS MANUEL |0|X|X|SECTOR EL PASO SIN NUMERO |RANCHERIA PLATANO Y CACAO PRIMERA SECCION |X|9932154767|JENNY GARCIA BAUTISTA |MARTHA LORENA BAUTISTA VASCONCELOS |0|SECTOR EL PASO SIN NUMERO |X|2|0|0|X|X|X|0|2100|12700|0|0|X|2021-12-29|2022-05-01|X|X|X|0|0|S35D6D3Y9KVTQ1|X|HOMBRE|0|14800|0|0|0|X|X|X|X|X|VILLAHERMOSA |X|0|0|0|0</v>
      </c>
    </row>
    <row r="181" spans="1:82" x14ac:dyDescent="0.25">
      <c r="A181" t="s">
        <v>1439</v>
      </c>
      <c r="B181" t="s">
        <v>1440</v>
      </c>
      <c r="C181">
        <v>3</v>
      </c>
      <c r="D181" t="s">
        <v>715</v>
      </c>
      <c r="E181" t="s">
        <v>359</v>
      </c>
      <c r="F181" t="s">
        <v>360</v>
      </c>
      <c r="G181" t="s">
        <v>360</v>
      </c>
      <c r="H181" t="s">
        <v>1441</v>
      </c>
      <c r="I181">
        <v>12900</v>
      </c>
      <c r="J181" t="s">
        <v>1</v>
      </c>
      <c r="K181" t="s">
        <v>1</v>
      </c>
      <c r="L181">
        <v>100</v>
      </c>
      <c r="M181">
        <v>0</v>
      </c>
      <c r="N181">
        <v>0</v>
      </c>
      <c r="O181" t="s">
        <v>1</v>
      </c>
      <c r="P181" t="s">
        <v>1</v>
      </c>
      <c r="Q181" t="s">
        <v>1</v>
      </c>
      <c r="R181" t="s">
        <v>1</v>
      </c>
      <c r="S181" t="s">
        <v>1</v>
      </c>
      <c r="T181" t="s">
        <v>1</v>
      </c>
      <c r="U181" t="s">
        <v>1</v>
      </c>
      <c r="V181" t="s">
        <v>1</v>
      </c>
      <c r="W181" t="s">
        <v>1</v>
      </c>
      <c r="X181" t="s">
        <v>1</v>
      </c>
      <c r="Y181" t="s">
        <v>1</v>
      </c>
      <c r="Z181" t="s">
        <v>1</v>
      </c>
      <c r="AA181">
        <v>0</v>
      </c>
      <c r="AB181" t="s">
        <v>1197</v>
      </c>
      <c r="AC181" t="s">
        <v>921</v>
      </c>
      <c r="AD181" t="s">
        <v>946</v>
      </c>
      <c r="AE181">
        <v>0</v>
      </c>
      <c r="AF181" t="s">
        <v>1</v>
      </c>
      <c r="AG181" t="s">
        <v>1</v>
      </c>
      <c r="AH181" t="s">
        <v>1442</v>
      </c>
      <c r="AI181" t="s">
        <v>1443</v>
      </c>
      <c r="AJ181" t="s">
        <v>1</v>
      </c>
      <c r="AK181">
        <v>9372289608</v>
      </c>
      <c r="AL181" t="s">
        <v>1444</v>
      </c>
      <c r="AM181" t="s">
        <v>1445</v>
      </c>
      <c r="AN181">
        <v>0</v>
      </c>
      <c r="AO181" t="s">
        <v>1442</v>
      </c>
      <c r="AP181" t="s">
        <v>1</v>
      </c>
      <c r="AQ181">
        <v>2</v>
      </c>
      <c r="AR181">
        <v>0</v>
      </c>
      <c r="AS181">
        <v>0</v>
      </c>
      <c r="AT181" t="s">
        <v>1</v>
      </c>
      <c r="AU181" t="s">
        <v>1</v>
      </c>
      <c r="AV181" t="s">
        <v>1</v>
      </c>
      <c r="AW181">
        <v>0</v>
      </c>
      <c r="AX181">
        <v>6800</v>
      </c>
      <c r="AY181">
        <v>6100</v>
      </c>
      <c r="AZ181">
        <v>0</v>
      </c>
      <c r="BA181">
        <v>0</v>
      </c>
      <c r="BB181" t="s">
        <v>1</v>
      </c>
      <c r="BC181" t="s">
        <v>280</v>
      </c>
      <c r="BD181" t="s">
        <v>1397</v>
      </c>
      <c r="BE181" t="s">
        <v>1</v>
      </c>
      <c r="BF181" t="s">
        <v>1</v>
      </c>
      <c r="BG181" t="s">
        <v>1</v>
      </c>
      <c r="BH181">
        <v>0</v>
      </c>
      <c r="BI181">
        <v>0</v>
      </c>
      <c r="BJ181" t="s">
        <v>722</v>
      </c>
      <c r="BK181" t="s">
        <v>1</v>
      </c>
      <c r="BL181" t="s">
        <v>132</v>
      </c>
      <c r="BM181">
        <v>0</v>
      </c>
      <c r="BN181">
        <v>12900</v>
      </c>
      <c r="BO181">
        <v>0</v>
      </c>
      <c r="BP181">
        <v>0</v>
      </c>
      <c r="BQ181">
        <v>0</v>
      </c>
      <c r="BR181" t="s">
        <v>1</v>
      </c>
      <c r="BS181" t="s">
        <v>1</v>
      </c>
      <c r="BT181" t="s">
        <v>1</v>
      </c>
      <c r="BU181" t="s">
        <v>1</v>
      </c>
      <c r="BV181" t="s">
        <v>1</v>
      </c>
      <c r="BW181" t="s">
        <v>360</v>
      </c>
      <c r="BX181" t="s">
        <v>1</v>
      </c>
      <c r="BY181">
        <v>0</v>
      </c>
      <c r="BZ181">
        <v>0</v>
      </c>
      <c r="CA181">
        <v>0</v>
      </c>
      <c r="CB181">
        <v>0</v>
      </c>
      <c r="CD181" t="str" cm="1">
        <f t="array" aca="1" ref="CD181" ca="1">eConcatenar(A181:CB181,"|")</f>
        <v>EvMZCJQXZ5hJ6oxc|VSA2020-1129|3|IMPERIAL DE LUJO|TABASCO|VILLAHERMOSA |VILLAHERMOSA |2020-11-18|12900|X|X|100|0|0|X|X|X|X|X|X|X|X|X|X|X|X|0|ANTONIO|RODRIGUEZ |MARCO ANTONIO|0|X|X|CARRETERA A TULIPAN SIN NUMERO |EL PORVENIR SANTA ROSALIA CARDENAS |X|9372289608|RODOLFO RODRIGUEZ ALVAREZ |DAMARIS SANCHEZ SILVA |0|CARRETERA A TULIPAN SIN NUMERO |X|2|0|0|X|X|X|0|6800|6100|0|0|X|2021-12-29|2022-05-01|X|X|X|0|0|S35D6D3Y9KVTQ1|X|HOMBRE|0|12900|0|0|0|X|X|X|X|X|VILLAHERMOSA |X|0|0|0|0</v>
      </c>
    </row>
    <row r="182" spans="1:82" x14ac:dyDescent="0.25">
      <c r="A182" t="s">
        <v>1446</v>
      </c>
      <c r="B182" t="s">
        <v>1447</v>
      </c>
      <c r="C182">
        <v>3</v>
      </c>
      <c r="D182" t="s">
        <v>741</v>
      </c>
      <c r="E182" t="s">
        <v>359</v>
      </c>
      <c r="F182" t="s">
        <v>360</v>
      </c>
      <c r="G182" t="s">
        <v>360</v>
      </c>
      <c r="H182" t="s">
        <v>846</v>
      </c>
      <c r="I182">
        <v>14800</v>
      </c>
      <c r="J182" t="s">
        <v>1</v>
      </c>
      <c r="K182" t="s">
        <v>1</v>
      </c>
      <c r="L182">
        <v>100</v>
      </c>
      <c r="M182">
        <v>0</v>
      </c>
      <c r="N182">
        <v>0</v>
      </c>
      <c r="O182" t="s">
        <v>1</v>
      </c>
      <c r="P182" t="s">
        <v>1</v>
      </c>
      <c r="Q182" t="s">
        <v>1</v>
      </c>
      <c r="R182" t="s">
        <v>1</v>
      </c>
      <c r="S182" t="s">
        <v>1</v>
      </c>
      <c r="T182" t="s">
        <v>1</v>
      </c>
      <c r="U182" t="s">
        <v>1</v>
      </c>
      <c r="V182" t="s">
        <v>1</v>
      </c>
      <c r="W182" t="s">
        <v>1</v>
      </c>
      <c r="X182" t="s">
        <v>1</v>
      </c>
      <c r="Y182" t="s">
        <v>1</v>
      </c>
      <c r="Z182" t="s">
        <v>1</v>
      </c>
      <c r="AA182">
        <v>0</v>
      </c>
      <c r="AB182" t="s">
        <v>1143</v>
      </c>
      <c r="AC182" t="s">
        <v>584</v>
      </c>
      <c r="AD182" t="s">
        <v>1448</v>
      </c>
      <c r="AE182">
        <v>0</v>
      </c>
      <c r="AF182" t="s">
        <v>1</v>
      </c>
      <c r="AG182" t="s">
        <v>1</v>
      </c>
      <c r="AH182" t="s">
        <v>849</v>
      </c>
      <c r="AI182" t="s">
        <v>1254</v>
      </c>
      <c r="AJ182" t="s">
        <v>1</v>
      </c>
      <c r="AK182">
        <v>9933981820</v>
      </c>
      <c r="AL182" t="s">
        <v>1449</v>
      </c>
      <c r="AM182" t="s">
        <v>1450</v>
      </c>
      <c r="AN182">
        <v>0</v>
      </c>
      <c r="AO182" t="s">
        <v>849</v>
      </c>
      <c r="AP182" t="s">
        <v>1</v>
      </c>
      <c r="AQ182">
        <v>2</v>
      </c>
      <c r="AR182">
        <v>0</v>
      </c>
      <c r="AS182">
        <v>0</v>
      </c>
      <c r="AT182" t="s">
        <v>1</v>
      </c>
      <c r="AU182" t="s">
        <v>1</v>
      </c>
      <c r="AV182" t="s">
        <v>1</v>
      </c>
      <c r="AW182">
        <v>0</v>
      </c>
      <c r="AX182">
        <v>2000</v>
      </c>
      <c r="AY182">
        <v>12800</v>
      </c>
      <c r="AZ182">
        <v>0</v>
      </c>
      <c r="BA182">
        <v>0</v>
      </c>
      <c r="BB182" t="s">
        <v>1</v>
      </c>
      <c r="BC182" t="s">
        <v>280</v>
      </c>
      <c r="BD182" t="s">
        <v>1451</v>
      </c>
      <c r="BE182" t="s">
        <v>1</v>
      </c>
      <c r="BF182" t="s">
        <v>1</v>
      </c>
      <c r="BG182" t="s">
        <v>1</v>
      </c>
      <c r="BH182">
        <v>0</v>
      </c>
      <c r="BI182">
        <v>0</v>
      </c>
      <c r="BJ182" t="s">
        <v>722</v>
      </c>
      <c r="BK182" t="s">
        <v>1</v>
      </c>
      <c r="BL182" t="s">
        <v>1138</v>
      </c>
      <c r="BM182">
        <v>0</v>
      </c>
      <c r="BN182">
        <v>14800</v>
      </c>
      <c r="BO182">
        <v>0</v>
      </c>
      <c r="BP182">
        <v>0</v>
      </c>
      <c r="BQ182">
        <v>0</v>
      </c>
      <c r="BR182" t="s">
        <v>1</v>
      </c>
      <c r="BS182" t="s">
        <v>1</v>
      </c>
      <c r="BT182" t="s">
        <v>1</v>
      </c>
      <c r="BU182" t="s">
        <v>1</v>
      </c>
      <c r="BV182" t="s">
        <v>1</v>
      </c>
      <c r="BW182" t="s">
        <v>360</v>
      </c>
      <c r="BX182" t="s">
        <v>1</v>
      </c>
      <c r="BY182">
        <v>0</v>
      </c>
      <c r="BZ182">
        <v>0</v>
      </c>
      <c r="CA182">
        <v>0</v>
      </c>
      <c r="CB182">
        <v>0</v>
      </c>
      <c r="CD182" t="str" cm="1">
        <f t="array" aca="1" ref="CD182" ca="1">eConcatenar(A182:CB182,"|")</f>
        <v>cD6qB4XJzsarS0r1|VSA202I-1338|3|MEMORIAL|TABASCO|VILLAHERMOSA |VILLAHERMOSA |2021-08-20|14800|X|X|100|0|0|X|X|X|X|X|X|X|X|X|X|X|X|0|OCHOA |HERNANDEZ |LITZY CRISTELL|0|X|X|ENTRADA LA FLECHA SIN NUMERO|RANCHERIA PLATANO Y CACAO SEGUNDA SECCION|X|9933981820|VICENTE OCHOA MAGAÃ‘A |CRISTOBAL DIAZ JIMENEZ|0|ENTRADA LA FLECHA SIN NUMERO|X|2|0|0|X|X|X|0|2000|12800|0|0|X|2021-12-29|2021-05-01|X|X|X|0|0|S35D6D3Y9KVTQ1|X|MUJER|0|14800|0|0|0|X|X|X|X|X|VILLAHERMOSA |X|0|0|0|0</v>
      </c>
    </row>
    <row r="183" spans="1:82" x14ac:dyDescent="0.25">
      <c r="A183" t="s">
        <v>1452</v>
      </c>
      <c r="B183" t="s">
        <v>1453</v>
      </c>
      <c r="C183">
        <v>3</v>
      </c>
      <c r="D183" t="s">
        <v>715</v>
      </c>
      <c r="E183" t="s">
        <v>359</v>
      </c>
      <c r="F183" t="s">
        <v>360</v>
      </c>
      <c r="G183" t="s">
        <v>360</v>
      </c>
      <c r="H183" t="s">
        <v>790</v>
      </c>
      <c r="I183">
        <v>12900</v>
      </c>
      <c r="J183" t="s">
        <v>1</v>
      </c>
      <c r="K183" t="s">
        <v>1</v>
      </c>
      <c r="L183">
        <v>100</v>
      </c>
      <c r="M183">
        <v>0</v>
      </c>
      <c r="N183">
        <v>0</v>
      </c>
      <c r="O183" t="s">
        <v>1</v>
      </c>
      <c r="P183" t="s">
        <v>1</v>
      </c>
      <c r="Q183" t="s">
        <v>1</v>
      </c>
      <c r="R183" t="s">
        <v>1</v>
      </c>
      <c r="S183" t="s">
        <v>1</v>
      </c>
      <c r="T183" t="s">
        <v>1</v>
      </c>
      <c r="U183" t="s">
        <v>1</v>
      </c>
      <c r="V183" t="s">
        <v>1</v>
      </c>
      <c r="W183" t="s">
        <v>1</v>
      </c>
      <c r="X183" t="s">
        <v>1</v>
      </c>
      <c r="Y183" t="s">
        <v>1</v>
      </c>
      <c r="Z183" t="s">
        <v>1</v>
      </c>
      <c r="AA183">
        <v>0</v>
      </c>
      <c r="AB183" t="s">
        <v>921</v>
      </c>
      <c r="AC183" t="s">
        <v>1454</v>
      </c>
      <c r="AD183" t="s">
        <v>1455</v>
      </c>
      <c r="AE183">
        <v>0</v>
      </c>
      <c r="AF183" t="s">
        <v>1</v>
      </c>
      <c r="AG183" t="s">
        <v>1</v>
      </c>
      <c r="AH183" t="s">
        <v>1456</v>
      </c>
      <c r="AI183" t="s">
        <v>1265</v>
      </c>
      <c r="AJ183" t="s">
        <v>1</v>
      </c>
      <c r="AK183">
        <v>9932363888</v>
      </c>
      <c r="AL183" t="s">
        <v>1457</v>
      </c>
      <c r="AM183" t="s">
        <v>1458</v>
      </c>
      <c r="AN183">
        <v>0</v>
      </c>
      <c r="AO183" t="s">
        <v>1456</v>
      </c>
      <c r="AP183" t="s">
        <v>1</v>
      </c>
      <c r="AQ183">
        <v>2</v>
      </c>
      <c r="AR183">
        <v>0</v>
      </c>
      <c r="AS183">
        <v>0</v>
      </c>
      <c r="AT183" t="s">
        <v>1</v>
      </c>
      <c r="AU183" t="s">
        <v>1</v>
      </c>
      <c r="AV183" t="s">
        <v>1</v>
      </c>
      <c r="AW183">
        <v>0</v>
      </c>
      <c r="AX183">
        <v>5400</v>
      </c>
      <c r="AY183">
        <v>7500</v>
      </c>
      <c r="AZ183">
        <v>0</v>
      </c>
      <c r="BA183">
        <v>0</v>
      </c>
      <c r="BB183" t="s">
        <v>1</v>
      </c>
      <c r="BC183" t="s">
        <v>280</v>
      </c>
      <c r="BD183" t="s">
        <v>1397</v>
      </c>
      <c r="BE183" t="s">
        <v>1</v>
      </c>
      <c r="BF183" t="s">
        <v>1</v>
      </c>
      <c r="BG183" t="s">
        <v>1</v>
      </c>
      <c r="BH183">
        <v>0</v>
      </c>
      <c r="BI183">
        <v>0</v>
      </c>
      <c r="BJ183" t="s">
        <v>722</v>
      </c>
      <c r="BK183" t="s">
        <v>1</v>
      </c>
      <c r="BL183" t="s">
        <v>1138</v>
      </c>
      <c r="BM183">
        <v>0</v>
      </c>
      <c r="BN183">
        <v>12900</v>
      </c>
      <c r="BO183">
        <v>0</v>
      </c>
      <c r="BP183">
        <v>0</v>
      </c>
      <c r="BQ183">
        <v>0</v>
      </c>
      <c r="BR183" t="s">
        <v>1</v>
      </c>
      <c r="BS183" t="s">
        <v>1</v>
      </c>
      <c r="BT183" t="s">
        <v>1</v>
      </c>
      <c r="BU183" t="s">
        <v>1</v>
      </c>
      <c r="BV183" t="s">
        <v>1</v>
      </c>
      <c r="BW183" t="s">
        <v>360</v>
      </c>
      <c r="BX183" t="s">
        <v>1</v>
      </c>
      <c r="BY183">
        <v>0</v>
      </c>
      <c r="BZ183">
        <v>0</v>
      </c>
      <c r="CA183">
        <v>0</v>
      </c>
      <c r="CB183">
        <v>0</v>
      </c>
      <c r="CD183" t="str" cm="1">
        <f t="array" aca="1" ref="CD183" ca="1">eConcatenar(A183:CB183,"|")</f>
        <v>NXRrPhxXqiH6hGeV|VSA2020-1249|3|IMPERIAL DE LUJO|TABASCO|VILLAHERMOSA |VILLAHERMOSA |2020-11-27|12900|X|X|100|0|0|X|X|X|X|X|X|X|X|X|X|X|X|0|RODRIGUEZ |ZAPATA|MARIA ANITA |0|X|X|CARRETERA A LA ISLA 5 |RANCHERIA GONZALEZ CUARTA SECCION |X|9932363888|CARLOS ALEXIS MORENO RODRIGUEZ |ALEX GABRIEL MORENO RODRIGUEZ|0|CARRETERA A LA ISLA 5 |X|2|0|0|X|X|X|0|5400|7500|0|0|X|2021-12-29|2022-05-01|X|X|X|0|0|S35D6D3Y9KVTQ1|X|MUJER|0|12900|0|0|0|X|X|X|X|X|VILLAHERMOSA |X|0|0|0|0</v>
      </c>
    </row>
    <row r="184" spans="1:82" x14ac:dyDescent="0.25">
      <c r="A184" t="s">
        <v>1459</v>
      </c>
      <c r="B184" t="s">
        <v>1460</v>
      </c>
      <c r="C184">
        <v>3</v>
      </c>
      <c r="D184" t="s">
        <v>891</v>
      </c>
      <c r="E184" t="s">
        <v>359</v>
      </c>
      <c r="F184" t="s">
        <v>360</v>
      </c>
      <c r="G184" t="s">
        <v>360</v>
      </c>
      <c r="H184" t="s">
        <v>1371</v>
      </c>
      <c r="I184">
        <v>12900</v>
      </c>
      <c r="J184" t="s">
        <v>1</v>
      </c>
      <c r="K184" t="s">
        <v>1</v>
      </c>
      <c r="L184">
        <v>100</v>
      </c>
      <c r="M184">
        <v>0</v>
      </c>
      <c r="N184">
        <v>0</v>
      </c>
      <c r="O184" t="s">
        <v>1</v>
      </c>
      <c r="P184" t="s">
        <v>1</v>
      </c>
      <c r="Q184" t="s">
        <v>1</v>
      </c>
      <c r="R184" t="s">
        <v>1</v>
      </c>
      <c r="S184" t="s">
        <v>1</v>
      </c>
      <c r="T184" t="s">
        <v>1</v>
      </c>
      <c r="U184" t="s">
        <v>1</v>
      </c>
      <c r="V184" t="s">
        <v>1</v>
      </c>
      <c r="W184" t="s">
        <v>1</v>
      </c>
      <c r="X184" t="s">
        <v>1</v>
      </c>
      <c r="Y184" t="s">
        <v>1</v>
      </c>
      <c r="Z184" t="s">
        <v>1</v>
      </c>
      <c r="AA184">
        <v>0</v>
      </c>
      <c r="AB184" t="s">
        <v>15</v>
      </c>
      <c r="AC184" t="s">
        <v>217</v>
      </c>
      <c r="AD184" t="s">
        <v>1461</v>
      </c>
      <c r="AE184">
        <v>0</v>
      </c>
      <c r="AF184" t="s">
        <v>1</v>
      </c>
      <c r="AG184" t="s">
        <v>1</v>
      </c>
      <c r="AH184" t="s">
        <v>1357</v>
      </c>
      <c r="AI184" t="s">
        <v>914</v>
      </c>
      <c r="AJ184" t="s">
        <v>1</v>
      </c>
      <c r="AK184">
        <v>9931367115</v>
      </c>
      <c r="AL184" t="s">
        <v>1462</v>
      </c>
      <c r="AM184" t="s">
        <v>1463</v>
      </c>
      <c r="AN184">
        <v>0</v>
      </c>
      <c r="AO184" t="s">
        <v>1357</v>
      </c>
      <c r="AP184" t="s">
        <v>1</v>
      </c>
      <c r="AQ184">
        <v>2</v>
      </c>
      <c r="AR184">
        <v>0</v>
      </c>
      <c r="AS184">
        <v>0</v>
      </c>
      <c r="AT184" t="s">
        <v>1</v>
      </c>
      <c r="AU184" t="s">
        <v>1</v>
      </c>
      <c r="AV184" t="s">
        <v>1</v>
      </c>
      <c r="AW184">
        <v>0</v>
      </c>
      <c r="AX184">
        <v>4800</v>
      </c>
      <c r="AY184">
        <v>8100</v>
      </c>
      <c r="AZ184">
        <v>0</v>
      </c>
      <c r="BA184">
        <v>0</v>
      </c>
      <c r="BB184" t="s">
        <v>1</v>
      </c>
      <c r="BC184" t="s">
        <v>280</v>
      </c>
      <c r="BD184" t="s">
        <v>1397</v>
      </c>
      <c r="BE184" t="s">
        <v>1</v>
      </c>
      <c r="BF184" t="s">
        <v>1</v>
      </c>
      <c r="BG184" t="s">
        <v>1</v>
      </c>
      <c r="BH184">
        <v>0</v>
      </c>
      <c r="BI184">
        <v>0</v>
      </c>
      <c r="BJ184" t="s">
        <v>722</v>
      </c>
      <c r="BK184" t="s">
        <v>1</v>
      </c>
      <c r="BL184" t="s">
        <v>1138</v>
      </c>
      <c r="BM184">
        <v>0</v>
      </c>
      <c r="BN184">
        <v>12900</v>
      </c>
      <c r="BO184">
        <v>0</v>
      </c>
      <c r="BP184">
        <v>0</v>
      </c>
      <c r="BQ184">
        <v>0</v>
      </c>
      <c r="BR184" t="s">
        <v>1</v>
      </c>
      <c r="BS184" t="s">
        <v>1</v>
      </c>
      <c r="BT184" t="s">
        <v>1</v>
      </c>
      <c r="BU184" t="s">
        <v>1</v>
      </c>
      <c r="BV184" t="s">
        <v>1</v>
      </c>
      <c r="BW184" t="s">
        <v>360</v>
      </c>
      <c r="BX184" t="s">
        <v>1</v>
      </c>
      <c r="BY184">
        <v>0</v>
      </c>
      <c r="BZ184">
        <v>0</v>
      </c>
      <c r="CA184">
        <v>0</v>
      </c>
      <c r="CB184">
        <v>0</v>
      </c>
      <c r="CD184" t="str" cm="1">
        <f t="array" aca="1" ref="CD184" ca="1">eConcatenar(A184:CB184,"|")</f>
        <v>KcZ5BZMFOUWohaXM|VSA2020-0628|3|ECONOLINE|TABASCO|VILLAHERMOSA |VILLAHERMOSA |2020-09-21|12900|X|X|100|0|0|X|X|X|X|X|X|X|X|X|X|X|X|0|PEREZ |HERNANDEZ|MARIA DEL CARMEN |0|X|X|CARRETERA PRINCIPAL |RANCHERIA GONZALEZ PRIMERA SECCION |X|9931367115|ELIAS LOPEZ GERONIMO|SANDRA LOPEZ PEREZ|0|CARRETERA PRINCIPAL |X|2|0|0|X|X|X|0|4800|8100|0|0|X|2021-12-29|2022-05-01|X|X|X|0|0|S35D6D3Y9KVTQ1|X|MUJER|0|12900|0|0|0|X|X|X|X|X|VILLAHERMOSA |X|0|0|0|0</v>
      </c>
    </row>
    <row r="185" spans="1:82" x14ac:dyDescent="0.25">
      <c r="A185" t="s">
        <v>1464</v>
      </c>
      <c r="B185" t="s">
        <v>1465</v>
      </c>
      <c r="C185">
        <v>3</v>
      </c>
      <c r="D185" t="s">
        <v>891</v>
      </c>
      <c r="E185" t="s">
        <v>359</v>
      </c>
      <c r="F185" t="s">
        <v>360</v>
      </c>
      <c r="G185" t="s">
        <v>360</v>
      </c>
      <c r="H185" t="s">
        <v>1371</v>
      </c>
      <c r="I185">
        <v>12900</v>
      </c>
      <c r="J185" t="s">
        <v>1</v>
      </c>
      <c r="K185" t="s">
        <v>1</v>
      </c>
      <c r="L185">
        <v>100</v>
      </c>
      <c r="M185">
        <v>0</v>
      </c>
      <c r="N185">
        <v>0</v>
      </c>
      <c r="O185" t="s">
        <v>1</v>
      </c>
      <c r="P185" t="s">
        <v>1</v>
      </c>
      <c r="Q185" t="s">
        <v>1</v>
      </c>
      <c r="R185" t="s">
        <v>1</v>
      </c>
      <c r="S185" t="s">
        <v>1</v>
      </c>
      <c r="T185" t="s">
        <v>1</v>
      </c>
      <c r="U185" t="s">
        <v>1</v>
      </c>
      <c r="V185" t="s">
        <v>1</v>
      </c>
      <c r="W185" t="s">
        <v>1</v>
      </c>
      <c r="X185" t="s">
        <v>1</v>
      </c>
      <c r="Y185" t="s">
        <v>1</v>
      </c>
      <c r="Z185" t="s">
        <v>1</v>
      </c>
      <c r="AA185">
        <v>0</v>
      </c>
      <c r="AB185" t="s">
        <v>1029</v>
      </c>
      <c r="AC185" t="s">
        <v>800</v>
      </c>
      <c r="AD185" t="s">
        <v>1021</v>
      </c>
      <c r="AE185">
        <v>0</v>
      </c>
      <c r="AF185" t="s">
        <v>1</v>
      </c>
      <c r="AG185" t="s">
        <v>1</v>
      </c>
      <c r="AH185" t="s">
        <v>1466</v>
      </c>
      <c r="AI185" t="s">
        <v>728</v>
      </c>
      <c r="AJ185" t="s">
        <v>1</v>
      </c>
      <c r="AK185">
        <v>9932096439</v>
      </c>
      <c r="AL185" t="s">
        <v>1467</v>
      </c>
      <c r="AM185" t="s">
        <v>1468</v>
      </c>
      <c r="AN185">
        <v>0</v>
      </c>
      <c r="AO185" t="s">
        <v>1466</v>
      </c>
      <c r="AP185" t="s">
        <v>1</v>
      </c>
      <c r="AQ185">
        <v>2</v>
      </c>
      <c r="AR185">
        <v>0</v>
      </c>
      <c r="AS185">
        <v>0</v>
      </c>
      <c r="AT185" t="s">
        <v>1</v>
      </c>
      <c r="AU185" t="s">
        <v>1</v>
      </c>
      <c r="AV185" t="s">
        <v>1</v>
      </c>
      <c r="AW185">
        <v>0</v>
      </c>
      <c r="AX185">
        <v>6845</v>
      </c>
      <c r="AY185">
        <v>6055</v>
      </c>
      <c r="AZ185">
        <v>0</v>
      </c>
      <c r="BA185">
        <v>0</v>
      </c>
      <c r="BB185" t="s">
        <v>1</v>
      </c>
      <c r="BC185" t="s">
        <v>280</v>
      </c>
      <c r="BD185" t="s">
        <v>1397</v>
      </c>
      <c r="BE185" t="s">
        <v>1</v>
      </c>
      <c r="BF185" t="s">
        <v>1</v>
      </c>
      <c r="BG185" t="s">
        <v>1</v>
      </c>
      <c r="BH185">
        <v>0</v>
      </c>
      <c r="BI185">
        <v>0</v>
      </c>
      <c r="BJ185" t="s">
        <v>722</v>
      </c>
      <c r="BK185" t="s">
        <v>1</v>
      </c>
      <c r="BL185" t="s">
        <v>1138</v>
      </c>
      <c r="BM185">
        <v>0</v>
      </c>
      <c r="BN185">
        <v>12900</v>
      </c>
      <c r="BO185">
        <v>0</v>
      </c>
      <c r="BP185">
        <v>0</v>
      </c>
      <c r="BQ185">
        <v>0</v>
      </c>
      <c r="BR185" t="s">
        <v>1</v>
      </c>
      <c r="BS185" t="s">
        <v>1</v>
      </c>
      <c r="BT185" t="s">
        <v>1</v>
      </c>
      <c r="BU185" t="s">
        <v>1</v>
      </c>
      <c r="BV185" t="s">
        <v>1</v>
      </c>
      <c r="BW185" t="s">
        <v>360</v>
      </c>
      <c r="BX185" t="s">
        <v>1</v>
      </c>
      <c r="BY185">
        <v>0</v>
      </c>
      <c r="BZ185">
        <v>0</v>
      </c>
      <c r="CA185">
        <v>0</v>
      </c>
      <c r="CB185">
        <v>0</v>
      </c>
      <c r="CD185" t="str" cm="1">
        <f t="array" aca="1" ref="CD185" ca="1">eConcatenar(A185:CB185,"|")</f>
        <v>8rqlybMfJ7wrVnoA|VSA2020-0624|3|ECONOLINE|TABASCO|VILLAHERMOSA |VILLAHERMOSA |2020-09-21|12900|X|X|100|0|0|X|X|X|X|X|X|X|X|X|X|X|X|0|LEON|SOBERANO|ISABEL|0|X|X|CARLOS MADRAZO SIN NUMERO |RANCHERIA ANACLETO CANABAL SEGUNDA SECCION |X|9932096439|ADALBERTO DEL C.CLEMENTE ARPAIZ|VERONICA LEON SOBERANO|0|CARLOS MADRAZO SIN NUMERO |X|2|0|0|X|X|X|0|6845|6055|0|0|X|2021-12-29|2022-05-01|X|X|X|0|0|S35D6D3Y9KVTQ1|X|MUJER|0|12900|0|0|0|X|X|X|X|X|VILLAHERMOSA |X|0|0|0|0</v>
      </c>
    </row>
    <row r="186" spans="1:82" x14ac:dyDescent="0.25">
      <c r="A186" t="s">
        <v>1469</v>
      </c>
      <c r="B186" t="s">
        <v>1470</v>
      </c>
      <c r="C186">
        <v>3</v>
      </c>
      <c r="D186" t="s">
        <v>891</v>
      </c>
      <c r="E186" t="s">
        <v>359</v>
      </c>
      <c r="F186" t="s">
        <v>360</v>
      </c>
      <c r="G186" t="s">
        <v>360</v>
      </c>
      <c r="H186" t="s">
        <v>527</v>
      </c>
      <c r="I186">
        <v>12900</v>
      </c>
      <c r="J186" t="s">
        <v>1</v>
      </c>
      <c r="K186" t="s">
        <v>1</v>
      </c>
      <c r="L186">
        <v>100</v>
      </c>
      <c r="M186">
        <v>0</v>
      </c>
      <c r="N186">
        <v>0</v>
      </c>
      <c r="O186" t="s">
        <v>1</v>
      </c>
      <c r="P186" t="s">
        <v>1</v>
      </c>
      <c r="Q186" t="s">
        <v>1</v>
      </c>
      <c r="R186" t="s">
        <v>1</v>
      </c>
      <c r="S186" t="s">
        <v>1</v>
      </c>
      <c r="T186" t="s">
        <v>1</v>
      </c>
      <c r="U186" t="s">
        <v>1</v>
      </c>
      <c r="V186" t="s">
        <v>1</v>
      </c>
      <c r="W186" t="s">
        <v>1</v>
      </c>
      <c r="X186" t="s">
        <v>1</v>
      </c>
      <c r="Y186" t="s">
        <v>1</v>
      </c>
      <c r="Z186" t="s">
        <v>1</v>
      </c>
      <c r="AA186">
        <v>0</v>
      </c>
      <c r="AB186" t="s">
        <v>1471</v>
      </c>
      <c r="AC186" t="s">
        <v>543</v>
      </c>
      <c r="AD186" t="s">
        <v>678</v>
      </c>
      <c r="AE186">
        <v>0</v>
      </c>
      <c r="AF186" t="s">
        <v>1</v>
      </c>
      <c r="AG186" t="s">
        <v>1</v>
      </c>
      <c r="AH186" t="s">
        <v>1472</v>
      </c>
      <c r="AI186" t="s">
        <v>1023</v>
      </c>
      <c r="AJ186" t="s">
        <v>1</v>
      </c>
      <c r="AK186">
        <v>9333482127</v>
      </c>
      <c r="AL186" t="s">
        <v>1473</v>
      </c>
      <c r="AM186" t="s">
        <v>1474</v>
      </c>
      <c r="AN186">
        <v>0</v>
      </c>
      <c r="AO186" t="s">
        <v>1472</v>
      </c>
      <c r="AP186" t="s">
        <v>1</v>
      </c>
      <c r="AQ186">
        <v>2</v>
      </c>
      <c r="AR186">
        <v>0</v>
      </c>
      <c r="AS186">
        <v>0</v>
      </c>
      <c r="AT186" t="s">
        <v>1</v>
      </c>
      <c r="AU186" t="s">
        <v>1</v>
      </c>
      <c r="AV186" t="s">
        <v>1</v>
      </c>
      <c r="AW186">
        <v>0</v>
      </c>
      <c r="AX186">
        <v>6945</v>
      </c>
      <c r="AY186">
        <v>5955</v>
      </c>
      <c r="AZ186">
        <v>0</v>
      </c>
      <c r="BA186">
        <v>0</v>
      </c>
      <c r="BB186" t="s">
        <v>1</v>
      </c>
      <c r="BC186" t="s">
        <v>280</v>
      </c>
      <c r="BD186" t="s">
        <v>1397</v>
      </c>
      <c r="BE186" t="s">
        <v>1</v>
      </c>
      <c r="BF186" t="s">
        <v>1</v>
      </c>
      <c r="BG186" t="s">
        <v>1</v>
      </c>
      <c r="BH186">
        <v>0</v>
      </c>
      <c r="BI186">
        <v>0</v>
      </c>
      <c r="BJ186" t="s">
        <v>722</v>
      </c>
      <c r="BK186" t="s">
        <v>1</v>
      </c>
      <c r="BL186" t="s">
        <v>132</v>
      </c>
      <c r="BM186">
        <v>0</v>
      </c>
      <c r="BN186">
        <v>12900</v>
      </c>
      <c r="BO186">
        <v>0</v>
      </c>
      <c r="BP186">
        <v>0</v>
      </c>
      <c r="BQ186">
        <v>0</v>
      </c>
      <c r="BR186" t="s">
        <v>1</v>
      </c>
      <c r="BS186" t="s">
        <v>1</v>
      </c>
      <c r="BT186" t="s">
        <v>1</v>
      </c>
      <c r="BU186" t="s">
        <v>1</v>
      </c>
      <c r="BV186" t="s">
        <v>1</v>
      </c>
      <c r="BW186" t="s">
        <v>360</v>
      </c>
      <c r="BX186" t="s">
        <v>1</v>
      </c>
      <c r="BY186">
        <v>0</v>
      </c>
      <c r="BZ186">
        <v>0</v>
      </c>
      <c r="CA186">
        <v>0</v>
      </c>
      <c r="CB186">
        <v>0</v>
      </c>
      <c r="CD186" t="str" cm="1">
        <f t="array" aca="1" ref="CD186" ca="1">eConcatenar(A186:CB186,"|")</f>
        <v>LCYkYMiZcOmgTYmX|VSA2020-0641|3|ECONOLINE|TABASCO|VILLAHERMOSA |VILLAHERMOSA |2020-09-23|12900|X|X|100|0|0|X|X|X|X|X|X|X|X|X|X|X|X|0|VALENCIA|ARIAS |FRANCISCO |0|X|X|CALLEJON EL TAMARINDO SIN NUMERO |RANCHERIA ANACLETO CANABAL PRIMERA SECCION.|X|9333482127|ANTONIA JIMENEZ GONZALEZ |ANA LINDA VALENCIA JIMENEZ |0|CALLEJON EL TAMARINDO SIN NUMERO |X|2|0|0|X|X|X|0|6945|5955|0|0|X|2021-12-29|2022-05-01|X|X|X|0|0|S35D6D3Y9KVTQ1|X|HOMBRE|0|12900|0|0|0|X|X|X|X|X|VILLAHERMOSA |X|0|0|0|0</v>
      </c>
    </row>
    <row r="187" spans="1:82" x14ac:dyDescent="0.25">
      <c r="A187" t="s">
        <v>1475</v>
      </c>
      <c r="B187" t="s">
        <v>1476</v>
      </c>
      <c r="C187">
        <v>3</v>
      </c>
      <c r="D187" t="s">
        <v>715</v>
      </c>
      <c r="E187" t="s">
        <v>359</v>
      </c>
      <c r="F187" t="s">
        <v>360</v>
      </c>
      <c r="G187" t="s">
        <v>360</v>
      </c>
      <c r="H187" t="s">
        <v>1477</v>
      </c>
      <c r="I187">
        <v>12900</v>
      </c>
      <c r="J187" t="s">
        <v>1</v>
      </c>
      <c r="K187" t="s">
        <v>1</v>
      </c>
      <c r="L187">
        <v>100</v>
      </c>
      <c r="M187">
        <v>0</v>
      </c>
      <c r="N187">
        <v>0</v>
      </c>
      <c r="O187" t="s">
        <v>1</v>
      </c>
      <c r="P187" t="s">
        <v>1</v>
      </c>
      <c r="Q187" t="s">
        <v>1</v>
      </c>
      <c r="R187" t="s">
        <v>1</v>
      </c>
      <c r="S187" t="s">
        <v>1</v>
      </c>
      <c r="T187" t="s">
        <v>1</v>
      </c>
      <c r="U187" t="s">
        <v>1</v>
      </c>
      <c r="V187" t="s">
        <v>1</v>
      </c>
      <c r="W187" t="s">
        <v>1</v>
      </c>
      <c r="X187" t="s">
        <v>1</v>
      </c>
      <c r="Y187" t="s">
        <v>1</v>
      </c>
      <c r="Z187" t="s">
        <v>1</v>
      </c>
      <c r="AA187">
        <v>0</v>
      </c>
      <c r="AB187" t="s">
        <v>479</v>
      </c>
      <c r="AC187" t="s">
        <v>217</v>
      </c>
      <c r="AD187" t="s">
        <v>658</v>
      </c>
      <c r="AE187">
        <v>0</v>
      </c>
      <c r="AF187" t="s">
        <v>1</v>
      </c>
      <c r="AG187" t="s">
        <v>1</v>
      </c>
      <c r="AH187" t="s">
        <v>1478</v>
      </c>
      <c r="AI187" t="s">
        <v>728</v>
      </c>
      <c r="AJ187" t="s">
        <v>1479</v>
      </c>
      <c r="AK187">
        <v>9932875530</v>
      </c>
      <c r="AL187" t="s">
        <v>1480</v>
      </c>
      <c r="AM187" t="s">
        <v>1481</v>
      </c>
      <c r="AN187">
        <v>0</v>
      </c>
      <c r="AO187" t="s">
        <v>1478</v>
      </c>
      <c r="AP187" t="s">
        <v>1</v>
      </c>
      <c r="AQ187">
        <v>3</v>
      </c>
      <c r="AR187">
        <v>0</v>
      </c>
      <c r="AS187">
        <v>0</v>
      </c>
      <c r="AT187" t="s">
        <v>1</v>
      </c>
      <c r="AU187" t="s">
        <v>1</v>
      </c>
      <c r="AV187" t="s">
        <v>1</v>
      </c>
      <c r="AW187">
        <v>0</v>
      </c>
      <c r="AX187">
        <v>4100</v>
      </c>
      <c r="AY187">
        <v>8800</v>
      </c>
      <c r="AZ187">
        <v>0</v>
      </c>
      <c r="BA187">
        <v>0</v>
      </c>
      <c r="BB187" t="s">
        <v>1</v>
      </c>
      <c r="BC187" t="s">
        <v>1159</v>
      </c>
      <c r="BD187" t="s">
        <v>198</v>
      </c>
      <c r="BE187" t="s">
        <v>1</v>
      </c>
      <c r="BF187" t="s">
        <v>1</v>
      </c>
      <c r="BG187" t="s">
        <v>1</v>
      </c>
      <c r="BH187">
        <v>0</v>
      </c>
      <c r="BI187">
        <v>0</v>
      </c>
      <c r="BJ187" t="s">
        <v>722</v>
      </c>
      <c r="BK187" t="s">
        <v>1</v>
      </c>
      <c r="BL187" t="s">
        <v>132</v>
      </c>
      <c r="BM187">
        <v>0</v>
      </c>
      <c r="BN187">
        <v>12900</v>
      </c>
      <c r="BO187">
        <v>0</v>
      </c>
      <c r="BP187">
        <v>0</v>
      </c>
      <c r="BQ187">
        <v>0</v>
      </c>
      <c r="BR187" t="s">
        <v>1</v>
      </c>
      <c r="BS187" t="s">
        <v>1</v>
      </c>
      <c r="BT187" t="s">
        <v>1</v>
      </c>
      <c r="BU187" t="s">
        <v>1</v>
      </c>
      <c r="BV187" t="s">
        <v>1</v>
      </c>
      <c r="BW187" t="s">
        <v>360</v>
      </c>
      <c r="BX187" t="s">
        <v>1</v>
      </c>
      <c r="BY187">
        <v>0</v>
      </c>
      <c r="BZ187">
        <v>0</v>
      </c>
      <c r="CA187">
        <v>0</v>
      </c>
      <c r="CB187">
        <v>0</v>
      </c>
      <c r="CD187" t="str" cm="1">
        <f t="array" aca="1" ref="CD187" ca="1">eConcatenar(A187:CB187,"|")</f>
        <v>eYNv68oRTNDDNRYB|VSA2020-0584BIS|3|IMPERIAL DE LUJO|TABASCO|VILLAHERMOSA |VILLAHERMOSA |2020-07-10|12900|X|X|100|0|0|X|X|X|X|X|X|X|X|X|X|X|X|0|SANCHEZ |HERNANDEZ|MANUEL |0|X|X|CALLE EL GUACIMO |RANCHERIA ANACLETO CANABAL SEGUNDA SECCION |100 METROS DEL SEÃ‘OR DE TILA|9932875530|MANUEL ALBERTO SANCHEZ LEON |SUSANA ELISABETH SANCHEZ LEON |0|CALLE EL GUACIMO |X|3|0|0|X|X|X|0|4100|8800|0|0|X|2021-12-23|2021-12-30|X|X|X|0|0|S35D6D3Y9KVTQ1|X|HOMBRE|0|12900|0|0|0|X|X|X|X|X|VILLAHERMOSA |X|0|0|0|0</v>
      </c>
    </row>
    <row r="188" spans="1:82" x14ac:dyDescent="0.25">
      <c r="A188" t="s">
        <v>1482</v>
      </c>
      <c r="B188" t="s">
        <v>1483</v>
      </c>
      <c r="C188">
        <v>3</v>
      </c>
      <c r="D188" t="s">
        <v>891</v>
      </c>
      <c r="E188" t="s">
        <v>359</v>
      </c>
      <c r="F188" t="s">
        <v>360</v>
      </c>
      <c r="G188" t="s">
        <v>360</v>
      </c>
      <c r="H188" t="s">
        <v>1056</v>
      </c>
      <c r="I188">
        <v>12900</v>
      </c>
      <c r="J188" t="s">
        <v>1</v>
      </c>
      <c r="K188" t="s">
        <v>1</v>
      </c>
      <c r="L188">
        <v>100</v>
      </c>
      <c r="M188">
        <v>0</v>
      </c>
      <c r="N188">
        <v>0</v>
      </c>
      <c r="O188" t="s">
        <v>1</v>
      </c>
      <c r="P188" t="s">
        <v>1</v>
      </c>
      <c r="Q188" t="s">
        <v>1</v>
      </c>
      <c r="R188" t="s">
        <v>1</v>
      </c>
      <c r="S188" t="s">
        <v>1</v>
      </c>
      <c r="T188" t="s">
        <v>1</v>
      </c>
      <c r="U188" t="s">
        <v>1</v>
      </c>
      <c r="V188" t="s">
        <v>1</v>
      </c>
      <c r="W188" t="s">
        <v>1</v>
      </c>
      <c r="X188" t="s">
        <v>1</v>
      </c>
      <c r="Y188" t="s">
        <v>1</v>
      </c>
      <c r="Z188" t="s">
        <v>1</v>
      </c>
      <c r="AA188">
        <v>0</v>
      </c>
      <c r="AB188" t="s">
        <v>1372</v>
      </c>
      <c r="AC188" t="s">
        <v>1484</v>
      </c>
      <c r="AD188" t="s">
        <v>1485</v>
      </c>
      <c r="AE188">
        <v>0</v>
      </c>
      <c r="AF188" t="s">
        <v>1</v>
      </c>
      <c r="AG188" t="s">
        <v>1</v>
      </c>
      <c r="AH188" t="s">
        <v>1039</v>
      </c>
      <c r="AI188" t="s">
        <v>914</v>
      </c>
      <c r="AJ188" t="s">
        <v>1</v>
      </c>
      <c r="AK188">
        <v>9931708719</v>
      </c>
      <c r="AL188" t="s">
        <v>1486</v>
      </c>
      <c r="AM188" t="s">
        <v>1487</v>
      </c>
      <c r="AN188">
        <v>0</v>
      </c>
      <c r="AO188" t="s">
        <v>1039</v>
      </c>
      <c r="AP188" t="s">
        <v>1</v>
      </c>
      <c r="AQ188">
        <v>2</v>
      </c>
      <c r="AR188">
        <v>0</v>
      </c>
      <c r="AS188">
        <v>0</v>
      </c>
      <c r="AT188" t="s">
        <v>1</v>
      </c>
      <c r="AU188" t="s">
        <v>1</v>
      </c>
      <c r="AV188" t="s">
        <v>1</v>
      </c>
      <c r="AW188">
        <v>0</v>
      </c>
      <c r="AX188">
        <v>6800</v>
      </c>
      <c r="AY188">
        <v>6100</v>
      </c>
      <c r="AZ188">
        <v>0</v>
      </c>
      <c r="BA188">
        <v>0</v>
      </c>
      <c r="BB188" t="s">
        <v>1</v>
      </c>
      <c r="BC188" t="s">
        <v>1105</v>
      </c>
      <c r="BD188" t="s">
        <v>280</v>
      </c>
      <c r="BE188" t="s">
        <v>1</v>
      </c>
      <c r="BF188" t="s">
        <v>1</v>
      </c>
      <c r="BG188" t="s">
        <v>1</v>
      </c>
      <c r="BH188">
        <v>0</v>
      </c>
      <c r="BI188">
        <v>0</v>
      </c>
      <c r="BJ188" t="s">
        <v>722</v>
      </c>
      <c r="BK188" t="s">
        <v>1</v>
      </c>
      <c r="BL188" t="s">
        <v>132</v>
      </c>
      <c r="BM188">
        <v>0</v>
      </c>
      <c r="BN188">
        <v>12900</v>
      </c>
      <c r="BO188">
        <v>0</v>
      </c>
      <c r="BP188">
        <v>0</v>
      </c>
      <c r="BQ188">
        <v>0</v>
      </c>
      <c r="BR188" t="s">
        <v>1</v>
      </c>
      <c r="BS188" t="s">
        <v>1</v>
      </c>
      <c r="BT188" t="s">
        <v>1</v>
      </c>
      <c r="BU188" t="s">
        <v>1</v>
      </c>
      <c r="BV188" t="s">
        <v>1</v>
      </c>
      <c r="BW188" t="s">
        <v>360</v>
      </c>
      <c r="BX188" t="s">
        <v>1</v>
      </c>
      <c r="BY188">
        <v>0</v>
      </c>
      <c r="BZ188">
        <v>0</v>
      </c>
      <c r="CA188">
        <v>0</v>
      </c>
      <c r="CB188">
        <v>0</v>
      </c>
      <c r="CD188" t="str" cm="1">
        <f t="array" aca="1" ref="CD188" ca="1">eConcatenar(A188:CB188,"|")</f>
        <v>CoH4dLoAFqPv8V2H|VSA2020-0617|3|ECONOLINE|TABASCO|VILLAHERMOSA |VILLAHERMOSA |2020-09-19|12900|X|X|100|0|0|X|X|X|X|X|X|X|X|X|X|X|X|0|CERINO |ALMEIDA|BARTOLO|0|X|X|SECTOR PUNTA BRAVA SIN NUMERO |RANCHERIA GONZALEZ PRIMERA SECCION |X|9931708719|MARIA GUADALUPE CERINO ZAPATA |LUCIA CERINO ZAPATA |0|SECTOR PUNTA BRAVA SIN NUMERO |X|2|0|0|X|X|X|0|6800|6100|0|0|X|2021-12-22|2021-12-29|X|X|X|0|0|S35D6D3Y9KVTQ1|X|HOMBRE|0|12900|0|0|0|X|X|X|X|X|VILLAHERMOSA |X|0|0|0|0</v>
      </c>
    </row>
    <row r="189" spans="1:82" x14ac:dyDescent="0.25">
      <c r="A189" t="s">
        <v>1488</v>
      </c>
      <c r="B189" t="s">
        <v>1489</v>
      </c>
      <c r="C189">
        <v>3</v>
      </c>
      <c r="D189" t="s">
        <v>1363</v>
      </c>
      <c r="E189" t="s">
        <v>359</v>
      </c>
      <c r="F189" t="s">
        <v>360</v>
      </c>
      <c r="G189" t="s">
        <v>360</v>
      </c>
      <c r="H189" t="s">
        <v>1490</v>
      </c>
      <c r="I189">
        <v>31500</v>
      </c>
      <c r="J189" t="s">
        <v>1</v>
      </c>
      <c r="K189" t="s">
        <v>1</v>
      </c>
      <c r="L189">
        <v>100</v>
      </c>
      <c r="M189">
        <v>0</v>
      </c>
      <c r="N189">
        <v>0</v>
      </c>
      <c r="O189" t="s">
        <v>1</v>
      </c>
      <c r="P189" t="s">
        <v>1</v>
      </c>
      <c r="Q189" t="s">
        <v>1</v>
      </c>
      <c r="R189" t="s">
        <v>1</v>
      </c>
      <c r="S189" t="s">
        <v>1</v>
      </c>
      <c r="T189" t="s">
        <v>1</v>
      </c>
      <c r="U189" t="s">
        <v>1</v>
      </c>
      <c r="V189" t="s">
        <v>1</v>
      </c>
      <c r="W189" t="s">
        <v>1</v>
      </c>
      <c r="X189" t="s">
        <v>1</v>
      </c>
      <c r="Y189" t="s">
        <v>1</v>
      </c>
      <c r="Z189" t="s">
        <v>1</v>
      </c>
      <c r="AA189">
        <v>0</v>
      </c>
      <c r="AB189" t="s">
        <v>1491</v>
      </c>
      <c r="AC189" t="s">
        <v>636</v>
      </c>
      <c r="AD189" t="s">
        <v>408</v>
      </c>
      <c r="AE189">
        <v>0</v>
      </c>
      <c r="AF189" t="s">
        <v>1</v>
      </c>
      <c r="AG189" t="s">
        <v>1</v>
      </c>
      <c r="AH189" t="s">
        <v>1492</v>
      </c>
      <c r="AI189" t="s">
        <v>1493</v>
      </c>
      <c r="AJ189" t="s">
        <v>1</v>
      </c>
      <c r="AK189">
        <v>9931268936</v>
      </c>
      <c r="AL189" t="s">
        <v>1494</v>
      </c>
      <c r="AM189" t="s">
        <v>1495</v>
      </c>
      <c r="AN189">
        <v>0</v>
      </c>
      <c r="AO189" t="s">
        <v>1492</v>
      </c>
      <c r="AP189" t="s">
        <v>1</v>
      </c>
      <c r="AQ189">
        <v>2</v>
      </c>
      <c r="AR189">
        <v>0</v>
      </c>
      <c r="AS189">
        <v>0</v>
      </c>
      <c r="AT189" t="s">
        <v>1</v>
      </c>
      <c r="AU189" t="s">
        <v>1</v>
      </c>
      <c r="AV189" t="s">
        <v>1</v>
      </c>
      <c r="AW189">
        <v>0</v>
      </c>
      <c r="AX189">
        <v>9250</v>
      </c>
      <c r="AY189">
        <v>22250</v>
      </c>
      <c r="AZ189">
        <v>0</v>
      </c>
      <c r="BA189">
        <v>0</v>
      </c>
      <c r="BB189" t="s">
        <v>1</v>
      </c>
      <c r="BC189" t="s">
        <v>280</v>
      </c>
      <c r="BD189" t="s">
        <v>1397</v>
      </c>
      <c r="BE189" t="s">
        <v>1</v>
      </c>
      <c r="BF189" t="s">
        <v>1</v>
      </c>
      <c r="BG189" t="s">
        <v>1</v>
      </c>
      <c r="BH189">
        <v>0</v>
      </c>
      <c r="BI189">
        <v>0</v>
      </c>
      <c r="BJ189" t="s">
        <v>722</v>
      </c>
      <c r="BK189" t="s">
        <v>1</v>
      </c>
      <c r="BL189" t="s">
        <v>1138</v>
      </c>
      <c r="BM189">
        <v>0</v>
      </c>
      <c r="BN189">
        <v>31500</v>
      </c>
      <c r="BO189">
        <v>0</v>
      </c>
      <c r="BP189">
        <v>0</v>
      </c>
      <c r="BQ189">
        <v>0</v>
      </c>
      <c r="BR189" t="s">
        <v>1</v>
      </c>
      <c r="BS189" t="s">
        <v>1</v>
      </c>
      <c r="BT189" t="s">
        <v>1</v>
      </c>
      <c r="BU189" t="s">
        <v>1</v>
      </c>
      <c r="BV189" t="s">
        <v>1</v>
      </c>
      <c r="BW189" t="s">
        <v>360</v>
      </c>
      <c r="BX189" t="s">
        <v>1</v>
      </c>
      <c r="BY189">
        <v>0</v>
      </c>
      <c r="BZ189">
        <v>0</v>
      </c>
      <c r="CA189">
        <v>0</v>
      </c>
      <c r="CB189">
        <v>0</v>
      </c>
      <c r="CD189" t="str" cm="1">
        <f t="array" aca="1" ref="CD189" ca="1">eConcatenar(A189:CB189,"|")</f>
        <v>XPNGxHp4XUjJ4c8X|VSA2020-1173|3|PRESIDENCIAL|TABASCO|VILLAHERMOSA |VILLAHERMOSA |2020-11-21|31500|X|X|100|0|0|X|X|X|X|X|X|X|X|X|X|X|X|0|FRANCISCA|MENDOZA |MARIA |0|X|X|CALLE PRINCIPAL SAN ELEGIO|SAN ELEGIO CENTRO |X|9931268936|GUADALUPE MENDOZA DE LOS SANTOS |CECILIA MENDOZA DE LOS SANTOS |0|CALLE PRINCIPAL SAN ELEGIO|X|2|0|0|X|X|X|0|9250|22250|0|0|X|2021-12-29|2022-05-01|X|X|X|0|0|S35D6D3Y9KVTQ1|X|MUJER|0|31500|0|0|0|X|X|X|X|X|VILLAHERMOSA |X|0|0|0|0</v>
      </c>
    </row>
    <row r="190" spans="1:82" x14ac:dyDescent="0.25">
      <c r="A190" t="s">
        <v>1496</v>
      </c>
      <c r="B190" t="s">
        <v>1497</v>
      </c>
      <c r="C190">
        <v>3</v>
      </c>
      <c r="D190" t="s">
        <v>891</v>
      </c>
      <c r="E190" t="s">
        <v>359</v>
      </c>
      <c r="F190" t="s">
        <v>360</v>
      </c>
      <c r="G190" t="s">
        <v>360</v>
      </c>
      <c r="H190" t="s">
        <v>963</v>
      </c>
      <c r="I190">
        <v>12900</v>
      </c>
      <c r="J190" t="s">
        <v>1</v>
      </c>
      <c r="K190" t="s">
        <v>1</v>
      </c>
      <c r="L190">
        <v>100</v>
      </c>
      <c r="M190">
        <v>0</v>
      </c>
      <c r="N190">
        <v>0</v>
      </c>
      <c r="O190" t="s">
        <v>1</v>
      </c>
      <c r="P190" t="s">
        <v>1</v>
      </c>
      <c r="Q190" t="s">
        <v>1</v>
      </c>
      <c r="R190" t="s">
        <v>1</v>
      </c>
      <c r="S190" t="s">
        <v>1</v>
      </c>
      <c r="T190" t="s">
        <v>1</v>
      </c>
      <c r="U190" t="s">
        <v>1</v>
      </c>
      <c r="V190" t="s">
        <v>1</v>
      </c>
      <c r="W190" t="s">
        <v>1</v>
      </c>
      <c r="X190" t="s">
        <v>1</v>
      </c>
      <c r="Y190" t="s">
        <v>1</v>
      </c>
      <c r="Z190" t="s">
        <v>1</v>
      </c>
      <c r="AA190">
        <v>0</v>
      </c>
      <c r="AB190" t="s">
        <v>1498</v>
      </c>
      <c r="AC190" t="s">
        <v>7</v>
      </c>
      <c r="AD190" t="s">
        <v>1499</v>
      </c>
      <c r="AE190">
        <v>0</v>
      </c>
      <c r="AF190" t="s">
        <v>1</v>
      </c>
      <c r="AG190" t="s">
        <v>1</v>
      </c>
      <c r="AH190" t="s">
        <v>1045</v>
      </c>
      <c r="AI190" t="s">
        <v>1302</v>
      </c>
      <c r="AJ190" t="s">
        <v>1</v>
      </c>
      <c r="AK190">
        <v>9935931885</v>
      </c>
      <c r="AL190" t="s">
        <v>1500</v>
      </c>
      <c r="AM190" t="s">
        <v>1501</v>
      </c>
      <c r="AN190">
        <v>0</v>
      </c>
      <c r="AO190" t="s">
        <v>1045</v>
      </c>
      <c r="AP190" t="s">
        <v>1</v>
      </c>
      <c r="AQ190">
        <v>3</v>
      </c>
      <c r="AR190">
        <v>0</v>
      </c>
      <c r="AS190">
        <v>0</v>
      </c>
      <c r="AT190" t="s">
        <v>1</v>
      </c>
      <c r="AU190" t="s">
        <v>1</v>
      </c>
      <c r="AV190" t="s">
        <v>1</v>
      </c>
      <c r="AW190">
        <v>0</v>
      </c>
      <c r="AX190">
        <v>6300</v>
      </c>
      <c r="AY190">
        <v>6600</v>
      </c>
      <c r="AZ190">
        <v>0</v>
      </c>
      <c r="BA190">
        <v>0</v>
      </c>
      <c r="BB190" t="s">
        <v>1</v>
      </c>
      <c r="BC190" t="s">
        <v>730</v>
      </c>
      <c r="BD190" t="s">
        <v>1159</v>
      </c>
      <c r="BE190" t="s">
        <v>1</v>
      </c>
      <c r="BF190" t="s">
        <v>1</v>
      </c>
      <c r="BG190" t="s">
        <v>1</v>
      </c>
      <c r="BH190">
        <v>0</v>
      </c>
      <c r="BI190">
        <v>0</v>
      </c>
      <c r="BJ190" t="s">
        <v>722</v>
      </c>
      <c r="BK190" t="s">
        <v>1</v>
      </c>
      <c r="BL190" t="s">
        <v>1138</v>
      </c>
      <c r="BM190">
        <v>0</v>
      </c>
      <c r="BN190">
        <v>12900</v>
      </c>
      <c r="BO190">
        <v>0</v>
      </c>
      <c r="BP190">
        <v>0</v>
      </c>
      <c r="BQ190">
        <v>0</v>
      </c>
      <c r="BR190" t="s">
        <v>1</v>
      </c>
      <c r="BS190" t="s">
        <v>1</v>
      </c>
      <c r="BT190" t="s">
        <v>1</v>
      </c>
      <c r="BU190" t="s">
        <v>1</v>
      </c>
      <c r="BV190" t="s">
        <v>1</v>
      </c>
      <c r="BW190" t="s">
        <v>360</v>
      </c>
      <c r="BX190" t="s">
        <v>1</v>
      </c>
      <c r="BY190">
        <v>0</v>
      </c>
      <c r="BZ190">
        <v>0</v>
      </c>
      <c r="CA190">
        <v>0</v>
      </c>
      <c r="CB190">
        <v>0</v>
      </c>
      <c r="CD190" t="str" cm="1">
        <f t="array" aca="1" ref="CD190" ca="1">eConcatenar(A190:CB190,"|")</f>
        <v>lIjK7JD0H5d42pIb|VSA2020-0494|3|ECONOLINE|TABASCO|VILLAHERMOSA |VILLAHERMOSA |2020-03-09|12900|X|X|100|0|0|X|X|X|X|X|X|X|X|X|X|X|X|0|FRIAS|LOPEZ|LEYDI|0|X|X|CARRETERA VILLAHERMOSA A CARDENAS SIN NUMERO|RANCHERIA LAZARO CARDENAS SEGUNDA SECCION |X|9935931885|JESUS MANUEL PEREZ BRITO |GERARDO FRIAS LOPEZ|0|CARRETERA VILLAHERMOSA A CARDENAS SIN NUMERO|X|3|0|0|X|X|X|0|6300|6600|0|0|X|2021-12-16|2021-12-23|X|X|X|0|0|S35D6D3Y9KVTQ1|X|MUJER|0|12900|0|0|0|X|X|X|X|X|VILLAHERMOSA |X|0|0|0|0</v>
      </c>
    </row>
    <row r="191" spans="1:82" x14ac:dyDescent="0.25">
      <c r="A191" t="s">
        <v>1502</v>
      </c>
      <c r="B191" t="s">
        <v>1503</v>
      </c>
      <c r="C191">
        <v>3</v>
      </c>
      <c r="D191" t="s">
        <v>891</v>
      </c>
      <c r="E191" t="s">
        <v>359</v>
      </c>
      <c r="F191" t="s">
        <v>360</v>
      </c>
      <c r="G191" t="s">
        <v>360</v>
      </c>
      <c r="H191" t="s">
        <v>1384</v>
      </c>
      <c r="I191">
        <v>12900</v>
      </c>
      <c r="J191" t="s">
        <v>1</v>
      </c>
      <c r="K191" t="s">
        <v>1</v>
      </c>
      <c r="L191">
        <v>100</v>
      </c>
      <c r="M191">
        <v>0</v>
      </c>
      <c r="N191">
        <v>0</v>
      </c>
      <c r="O191" t="s">
        <v>1</v>
      </c>
      <c r="P191" t="s">
        <v>1</v>
      </c>
      <c r="Q191" t="s">
        <v>1</v>
      </c>
      <c r="R191" t="s">
        <v>1</v>
      </c>
      <c r="S191" t="s">
        <v>1</v>
      </c>
      <c r="T191" t="s">
        <v>1</v>
      </c>
      <c r="U191" t="s">
        <v>1</v>
      </c>
      <c r="V191" t="s">
        <v>1</v>
      </c>
      <c r="W191" t="s">
        <v>1</v>
      </c>
      <c r="X191" t="s">
        <v>1</v>
      </c>
      <c r="Y191" t="s">
        <v>1</v>
      </c>
      <c r="Z191" t="s">
        <v>1</v>
      </c>
      <c r="AA191">
        <v>0</v>
      </c>
      <c r="AB191" t="s">
        <v>1211</v>
      </c>
      <c r="AC191" t="s">
        <v>1504</v>
      </c>
      <c r="AD191" t="s">
        <v>1505</v>
      </c>
      <c r="AE191">
        <v>0</v>
      </c>
      <c r="AF191" t="s">
        <v>1</v>
      </c>
      <c r="AG191" t="s">
        <v>1</v>
      </c>
      <c r="AH191" t="s">
        <v>1221</v>
      </c>
      <c r="AI191" t="s">
        <v>1506</v>
      </c>
      <c r="AJ191" t="s">
        <v>1</v>
      </c>
      <c r="AK191">
        <v>9931562608</v>
      </c>
      <c r="AL191" t="s">
        <v>1507</v>
      </c>
      <c r="AM191" t="s">
        <v>1508</v>
      </c>
      <c r="AN191">
        <v>0</v>
      </c>
      <c r="AO191" t="s">
        <v>1221</v>
      </c>
      <c r="AP191" t="s">
        <v>1</v>
      </c>
      <c r="AQ191">
        <v>3</v>
      </c>
      <c r="AR191">
        <v>0</v>
      </c>
      <c r="AS191">
        <v>0</v>
      </c>
      <c r="AT191" t="s">
        <v>1</v>
      </c>
      <c r="AU191" t="s">
        <v>1</v>
      </c>
      <c r="AV191" t="s">
        <v>1</v>
      </c>
      <c r="AW191">
        <v>0</v>
      </c>
      <c r="AX191">
        <v>3800</v>
      </c>
      <c r="AY191">
        <v>9100</v>
      </c>
      <c r="AZ191">
        <v>0</v>
      </c>
      <c r="BA191">
        <v>0</v>
      </c>
      <c r="BB191" t="s">
        <v>1</v>
      </c>
      <c r="BC191" t="s">
        <v>1159</v>
      </c>
      <c r="BD191" t="s">
        <v>198</v>
      </c>
      <c r="BE191" t="s">
        <v>1</v>
      </c>
      <c r="BF191" t="s">
        <v>1</v>
      </c>
      <c r="BG191" t="s">
        <v>1</v>
      </c>
      <c r="BH191">
        <v>0</v>
      </c>
      <c r="BI191">
        <v>0</v>
      </c>
      <c r="BJ191" t="s">
        <v>722</v>
      </c>
      <c r="BK191" t="s">
        <v>1</v>
      </c>
      <c r="BL191" t="s">
        <v>132</v>
      </c>
      <c r="BM191">
        <v>0</v>
      </c>
      <c r="BN191">
        <v>12900</v>
      </c>
      <c r="BO191">
        <v>0</v>
      </c>
      <c r="BP191">
        <v>0</v>
      </c>
      <c r="BQ191">
        <v>0</v>
      </c>
      <c r="BR191" t="s">
        <v>1</v>
      </c>
      <c r="BS191" t="s">
        <v>1</v>
      </c>
      <c r="BT191" t="s">
        <v>1</v>
      </c>
      <c r="BU191" t="s">
        <v>1</v>
      </c>
      <c r="BV191" t="s">
        <v>1</v>
      </c>
      <c r="BW191" t="s">
        <v>360</v>
      </c>
      <c r="BX191" t="s">
        <v>1</v>
      </c>
      <c r="BY191">
        <v>0</v>
      </c>
      <c r="BZ191">
        <v>0</v>
      </c>
      <c r="CA191">
        <v>0</v>
      </c>
      <c r="CB191">
        <v>0</v>
      </c>
      <c r="CD191" t="str" cm="1">
        <f t="array" aca="1" ref="CD191" ca="1">eConcatenar(A191:CB191,"|")</f>
        <v>M4N0wZQ4xCKLi9oE|VSA2020-0659|3|ECONOLINE|TABASCO|VILLAHERMOSA |VILLAHERMOSA |2020-09-25|12900|X|X|100|0|0|X|X|X|X|X|X|X|X|X|X|X|X|0|DE LA CRUZ |LLERGO |YSIDRO |0|X|X|PRINCIPAL SIN NUMERO |RANCHERIA ANACLETO CANABAL PRIMERA SECCION |X|9931562608|CANDELARIA CADENA CAMARA |ISIDRO DE LA CRUZ CADENA |0|PRINCIPAL SIN NUMERO |X|3|0|0|X|X|X|0|3800|9100|0|0|X|2021-12-23|2021-12-30|X|X|X|0|0|S35D6D3Y9KVTQ1|X|HOMBRE|0|12900|0|0|0|X|X|X|X|X|VILLAHERMOSA |X|0|0|0|0</v>
      </c>
    </row>
    <row r="192" spans="1:82" x14ac:dyDescent="0.25">
      <c r="A192" t="s">
        <v>1509</v>
      </c>
      <c r="B192" t="s">
        <v>1510</v>
      </c>
      <c r="C192">
        <v>3</v>
      </c>
      <c r="D192" t="s">
        <v>715</v>
      </c>
      <c r="E192" t="s">
        <v>359</v>
      </c>
      <c r="F192" t="s">
        <v>360</v>
      </c>
      <c r="G192" t="s">
        <v>360</v>
      </c>
      <c r="H192" t="s">
        <v>1064</v>
      </c>
      <c r="I192">
        <v>12900</v>
      </c>
      <c r="J192" t="s">
        <v>1</v>
      </c>
      <c r="K192" t="s">
        <v>1</v>
      </c>
      <c r="L192">
        <v>200</v>
      </c>
      <c r="M192">
        <v>1</v>
      </c>
      <c r="N192">
        <v>0</v>
      </c>
      <c r="O192" t="s">
        <v>1</v>
      </c>
      <c r="P192" t="s">
        <v>1</v>
      </c>
      <c r="Q192" t="s">
        <v>1</v>
      </c>
      <c r="R192" t="s">
        <v>1</v>
      </c>
      <c r="S192" t="s">
        <v>1</v>
      </c>
      <c r="T192" t="s">
        <v>1</v>
      </c>
      <c r="U192" t="s">
        <v>1</v>
      </c>
      <c r="V192" t="s">
        <v>1</v>
      </c>
      <c r="W192" t="s">
        <v>1</v>
      </c>
      <c r="X192" t="s">
        <v>1</v>
      </c>
      <c r="Y192" t="s">
        <v>1</v>
      </c>
      <c r="Z192" t="s">
        <v>1</v>
      </c>
      <c r="AA192">
        <v>0</v>
      </c>
      <c r="AB192" t="s">
        <v>800</v>
      </c>
      <c r="AC192" t="s">
        <v>407</v>
      </c>
      <c r="AD192" t="s">
        <v>1461</v>
      </c>
      <c r="AE192">
        <v>0</v>
      </c>
      <c r="AF192" t="s">
        <v>1</v>
      </c>
      <c r="AG192" t="s">
        <v>1</v>
      </c>
      <c r="AH192" t="s">
        <v>1511</v>
      </c>
      <c r="AI192" t="s">
        <v>1302</v>
      </c>
      <c r="AJ192" t="s">
        <v>1512</v>
      </c>
      <c r="AK192">
        <v>9934447997</v>
      </c>
      <c r="AL192" t="s">
        <v>1070</v>
      </c>
      <c r="AM192" t="s">
        <v>1513</v>
      </c>
      <c r="AN192">
        <v>0</v>
      </c>
      <c r="AO192" t="s">
        <v>1511</v>
      </c>
      <c r="AP192" t="s">
        <v>1</v>
      </c>
      <c r="AQ192">
        <v>2</v>
      </c>
      <c r="AR192">
        <v>0</v>
      </c>
      <c r="AS192">
        <v>0</v>
      </c>
      <c r="AT192" t="s">
        <v>1</v>
      </c>
      <c r="AU192" t="s">
        <v>1</v>
      </c>
      <c r="AV192" t="s">
        <v>1</v>
      </c>
      <c r="AW192">
        <v>0</v>
      </c>
      <c r="AX192">
        <v>6700</v>
      </c>
      <c r="AY192">
        <v>6200</v>
      </c>
      <c r="AZ192">
        <v>0</v>
      </c>
      <c r="BA192">
        <v>0</v>
      </c>
      <c r="BB192" t="s">
        <v>1</v>
      </c>
      <c r="BC192" t="s">
        <v>758</v>
      </c>
      <c r="BD192" t="s">
        <v>198</v>
      </c>
      <c r="BE192" t="s">
        <v>1</v>
      </c>
      <c r="BF192" t="s">
        <v>1</v>
      </c>
      <c r="BG192" t="s">
        <v>1</v>
      </c>
      <c r="BH192">
        <v>0</v>
      </c>
      <c r="BI192">
        <v>0</v>
      </c>
      <c r="BJ192" t="s">
        <v>722</v>
      </c>
      <c r="BK192" t="s">
        <v>1</v>
      </c>
      <c r="BL192" t="s">
        <v>1138</v>
      </c>
      <c r="BM192">
        <v>0</v>
      </c>
      <c r="BN192">
        <v>12900</v>
      </c>
      <c r="BO192">
        <v>0</v>
      </c>
      <c r="BP192">
        <v>0</v>
      </c>
      <c r="BQ192">
        <v>0</v>
      </c>
      <c r="BR192" t="s">
        <v>1</v>
      </c>
      <c r="BS192" t="s">
        <v>1</v>
      </c>
      <c r="BT192" t="s">
        <v>1</v>
      </c>
      <c r="BU192" t="s">
        <v>1</v>
      </c>
      <c r="BV192" t="s">
        <v>1</v>
      </c>
      <c r="BW192" t="s">
        <v>360</v>
      </c>
      <c r="BX192" t="s">
        <v>1</v>
      </c>
      <c r="BY192">
        <v>0</v>
      </c>
      <c r="BZ192">
        <v>0</v>
      </c>
      <c r="CA192">
        <v>0</v>
      </c>
      <c r="CB192">
        <v>0</v>
      </c>
      <c r="CD192" t="str" cm="1">
        <f t="array" aca="1" ref="CD192" ca="1">eConcatenar(A192:CB192,"|")</f>
        <v>38wpLNLKhF2LoJsV|VSA2020-0680|3|IMPERIAL DE LUJO|TABASCO|VILLAHERMOSA |VILLAHERMOSA |2020-09-26|12900|X|X|200|1|0|X|X|X|X|X|X|X|X|X|X|X|X|0|SOBERANO|LOPEZ |MARIA DEL CARMEN |0|X|X|CARRETERA VILLAHERMOSA A CARDENAS KILOMETRO 8/5|RANCHERIA LAZARO CARDENAS SEGUNDA SECCION |CALLEJON DOMINGUEZ A UN COSTADO DE DEPOSITO DE CORONA |9934447997|MARIA JESUS CRUZ SOBERANO|LETICIA CRUZ SOBERANO |0|CARRETERA VILLAHERMOSA A CARDENAS KILOMETRO 8/5|X|2|0|0|X|X|X|0|6700|6200|0|0|X|2021-12-15|2021-12-30|X|X|X|0|0|S35D6D3Y9KVTQ1|X|MUJER|0|12900|0|0|0|X|X|X|X|X|VILLAHERMOSA |X|0|0|0|0</v>
      </c>
    </row>
    <row r="193" spans="1:82" x14ac:dyDescent="0.25">
      <c r="A193" t="s">
        <v>1514</v>
      </c>
      <c r="B193" t="s">
        <v>1515</v>
      </c>
      <c r="C193">
        <v>3</v>
      </c>
      <c r="D193" t="s">
        <v>715</v>
      </c>
      <c r="E193" t="s">
        <v>359</v>
      </c>
      <c r="F193" t="s">
        <v>360</v>
      </c>
      <c r="G193" t="s">
        <v>360</v>
      </c>
      <c r="H193" t="s">
        <v>1516</v>
      </c>
      <c r="I193">
        <v>12900</v>
      </c>
      <c r="J193" t="s">
        <v>1</v>
      </c>
      <c r="K193" t="s">
        <v>1</v>
      </c>
      <c r="L193">
        <v>200</v>
      </c>
      <c r="M193">
        <v>1</v>
      </c>
      <c r="N193">
        <v>0</v>
      </c>
      <c r="O193" t="s">
        <v>1</v>
      </c>
      <c r="P193" t="s">
        <v>1</v>
      </c>
      <c r="Q193" t="s">
        <v>1</v>
      </c>
      <c r="R193" t="s">
        <v>1</v>
      </c>
      <c r="S193" t="s">
        <v>1</v>
      </c>
      <c r="T193" t="s">
        <v>1</v>
      </c>
      <c r="U193" t="s">
        <v>1</v>
      </c>
      <c r="V193" t="s">
        <v>1</v>
      </c>
      <c r="W193" t="s">
        <v>1</v>
      </c>
      <c r="X193" t="s">
        <v>1</v>
      </c>
      <c r="Y193" t="s">
        <v>1</v>
      </c>
      <c r="Z193" t="s">
        <v>1</v>
      </c>
      <c r="AA193">
        <v>0</v>
      </c>
      <c r="AB193" t="s">
        <v>598</v>
      </c>
      <c r="AC193" t="s">
        <v>1517</v>
      </c>
      <c r="AD193" t="s">
        <v>1518</v>
      </c>
      <c r="AE193">
        <v>0</v>
      </c>
      <c r="AF193" t="s">
        <v>1</v>
      </c>
      <c r="AG193" t="s">
        <v>1</v>
      </c>
      <c r="AH193" t="s">
        <v>1519</v>
      </c>
      <c r="AI193" t="s">
        <v>1520</v>
      </c>
      <c r="AJ193" t="s">
        <v>1</v>
      </c>
      <c r="AK193">
        <v>9931115968</v>
      </c>
      <c r="AL193" t="s">
        <v>1521</v>
      </c>
      <c r="AM193" t="s">
        <v>1522</v>
      </c>
      <c r="AN193">
        <v>0</v>
      </c>
      <c r="AO193" t="s">
        <v>1519</v>
      </c>
      <c r="AP193" t="s">
        <v>1</v>
      </c>
      <c r="AQ193">
        <v>3</v>
      </c>
      <c r="AR193">
        <v>0</v>
      </c>
      <c r="AS193">
        <v>0</v>
      </c>
      <c r="AT193" t="s">
        <v>1</v>
      </c>
      <c r="AU193" t="s">
        <v>1</v>
      </c>
      <c r="AV193" t="s">
        <v>1</v>
      </c>
      <c r="AW193">
        <v>0</v>
      </c>
      <c r="AX193">
        <v>3650</v>
      </c>
      <c r="AY193">
        <v>9250</v>
      </c>
      <c r="AZ193">
        <v>0</v>
      </c>
      <c r="BA193">
        <v>0</v>
      </c>
      <c r="BB193" t="s">
        <v>1</v>
      </c>
      <c r="BC193" t="s">
        <v>1523</v>
      </c>
      <c r="BD193" t="s">
        <v>729</v>
      </c>
      <c r="BE193" t="s">
        <v>1</v>
      </c>
      <c r="BF193" t="s">
        <v>1</v>
      </c>
      <c r="BG193" t="s">
        <v>1</v>
      </c>
      <c r="BH193">
        <v>0</v>
      </c>
      <c r="BI193">
        <v>0</v>
      </c>
      <c r="BJ193" t="s">
        <v>722</v>
      </c>
      <c r="BK193" t="s">
        <v>1</v>
      </c>
      <c r="BL193" t="s">
        <v>1138</v>
      </c>
      <c r="BM193">
        <v>0</v>
      </c>
      <c r="BN193">
        <v>12900</v>
      </c>
      <c r="BO193">
        <v>0</v>
      </c>
      <c r="BP193">
        <v>0</v>
      </c>
      <c r="BQ193">
        <v>0</v>
      </c>
      <c r="BR193" t="s">
        <v>1</v>
      </c>
      <c r="BS193" t="s">
        <v>1</v>
      </c>
      <c r="BT193" t="s">
        <v>1</v>
      </c>
      <c r="BU193" t="s">
        <v>1</v>
      </c>
      <c r="BV193" t="s">
        <v>1</v>
      </c>
      <c r="BW193" t="s">
        <v>360</v>
      </c>
      <c r="BX193" t="s">
        <v>1</v>
      </c>
      <c r="BY193">
        <v>0</v>
      </c>
      <c r="BZ193">
        <v>0</v>
      </c>
      <c r="CA193">
        <v>0</v>
      </c>
      <c r="CB193">
        <v>0</v>
      </c>
      <c r="CD193" t="str" cm="1">
        <f t="array" aca="1" ref="CD193" ca="1">eConcatenar(A193:CB193,"|")</f>
        <v>TvhLtrwKYJZCLqRh|VSA2020-0711|3|IMPERIAL DE LUJO|TABASCO|VILLAHERMOSA |VILLAHERMOSA |2020-01-10|12900|X|X|200|1|0|X|X|X|X|X|X|X|X|X|X|X|X|0|JIMENEZ |ORDOÃ‘EZ|KARLA MARIA |0|X|X|CARRETERA FEDERAL LAZARO CARDENAS |COLONIA LAZARO CARDENAS |X|9931115968|ISABEL TORRES SANCHEZ|CARLOS EMMANUEL J.A.|0|CARRETERA FEDERAL LAZARO CARDENAS |X|3|0|0|X|X|X|0|3650|9250|0|0|X|2021-11-25|2021-09-12|X|X|X|0|0|S35D6D3Y9KVTQ1|X|MUJER|0|12900|0|0|0|X|X|X|X|X|VILLAHERMOSA |X|0|0|0|0</v>
      </c>
    </row>
    <row r="194" spans="1:82" x14ac:dyDescent="0.25">
      <c r="A194" t="s">
        <v>1524</v>
      </c>
      <c r="B194" t="s">
        <v>1525</v>
      </c>
      <c r="C194">
        <v>3</v>
      </c>
      <c r="D194" t="s">
        <v>715</v>
      </c>
      <c r="E194" t="s">
        <v>359</v>
      </c>
      <c r="F194" t="s">
        <v>360</v>
      </c>
      <c r="G194" t="s">
        <v>360</v>
      </c>
      <c r="H194" t="s">
        <v>426</v>
      </c>
      <c r="I194">
        <v>12900</v>
      </c>
      <c r="J194" t="s">
        <v>1</v>
      </c>
      <c r="K194" t="s">
        <v>1</v>
      </c>
      <c r="L194">
        <v>200</v>
      </c>
      <c r="M194">
        <v>1</v>
      </c>
      <c r="N194">
        <v>0</v>
      </c>
      <c r="O194" t="s">
        <v>1</v>
      </c>
      <c r="P194" t="s">
        <v>1</v>
      </c>
      <c r="Q194" t="s">
        <v>1</v>
      </c>
      <c r="R194" t="s">
        <v>1</v>
      </c>
      <c r="S194" t="s">
        <v>1</v>
      </c>
      <c r="T194" t="s">
        <v>1</v>
      </c>
      <c r="U194" t="s">
        <v>1</v>
      </c>
      <c r="V194" t="s">
        <v>1</v>
      </c>
      <c r="W194" t="s">
        <v>1</v>
      </c>
      <c r="X194" t="s">
        <v>1</v>
      </c>
      <c r="Y194" t="s">
        <v>1</v>
      </c>
      <c r="Z194" t="s">
        <v>1</v>
      </c>
      <c r="AA194">
        <v>0</v>
      </c>
      <c r="AB194" t="s">
        <v>791</v>
      </c>
      <c r="AC194" t="s">
        <v>217</v>
      </c>
      <c r="AD194" t="s">
        <v>1526</v>
      </c>
      <c r="AE194">
        <v>0</v>
      </c>
      <c r="AF194" t="s">
        <v>1</v>
      </c>
      <c r="AG194" t="s">
        <v>1</v>
      </c>
      <c r="AH194" t="s">
        <v>1527</v>
      </c>
      <c r="AI194" t="s">
        <v>886</v>
      </c>
      <c r="AJ194" t="s">
        <v>1</v>
      </c>
      <c r="AK194">
        <v>9931159049</v>
      </c>
      <c r="AL194" t="s">
        <v>1528</v>
      </c>
      <c r="AM194" t="s">
        <v>1529</v>
      </c>
      <c r="AN194">
        <v>0</v>
      </c>
      <c r="AO194" t="s">
        <v>1527</v>
      </c>
      <c r="AP194" t="s">
        <v>1</v>
      </c>
      <c r="AQ194">
        <v>2</v>
      </c>
      <c r="AR194">
        <v>0</v>
      </c>
      <c r="AS194">
        <v>0</v>
      </c>
      <c r="AT194" t="s">
        <v>1</v>
      </c>
      <c r="AU194" t="s">
        <v>1</v>
      </c>
      <c r="AV194" t="s">
        <v>1</v>
      </c>
      <c r="AW194">
        <v>0</v>
      </c>
      <c r="AX194">
        <v>3550</v>
      </c>
      <c r="AY194">
        <v>9350</v>
      </c>
      <c r="AZ194">
        <v>0</v>
      </c>
      <c r="BA194">
        <v>0</v>
      </c>
      <c r="BB194" t="s">
        <v>1</v>
      </c>
      <c r="BC194" t="s">
        <v>758</v>
      </c>
      <c r="BD194" t="s">
        <v>198</v>
      </c>
      <c r="BE194" t="s">
        <v>1</v>
      </c>
      <c r="BF194" t="s">
        <v>1</v>
      </c>
      <c r="BG194" t="s">
        <v>1</v>
      </c>
      <c r="BH194">
        <v>0</v>
      </c>
      <c r="BI194">
        <v>0</v>
      </c>
      <c r="BJ194" t="s">
        <v>722</v>
      </c>
      <c r="BK194" t="s">
        <v>1</v>
      </c>
      <c r="BL194" t="s">
        <v>1138</v>
      </c>
      <c r="BM194">
        <v>0</v>
      </c>
      <c r="BN194">
        <v>12900</v>
      </c>
      <c r="BO194">
        <v>0</v>
      </c>
      <c r="BP194">
        <v>0</v>
      </c>
      <c r="BQ194">
        <v>0</v>
      </c>
      <c r="BR194" t="s">
        <v>1</v>
      </c>
      <c r="BS194" t="s">
        <v>1</v>
      </c>
      <c r="BT194" t="s">
        <v>1</v>
      </c>
      <c r="BU194" t="s">
        <v>1</v>
      </c>
      <c r="BV194" t="s">
        <v>1</v>
      </c>
      <c r="BW194" t="s">
        <v>360</v>
      </c>
      <c r="BX194" t="s">
        <v>1</v>
      </c>
      <c r="BY194">
        <v>0</v>
      </c>
      <c r="BZ194">
        <v>0</v>
      </c>
      <c r="CA194">
        <v>0</v>
      </c>
      <c r="CB194">
        <v>0</v>
      </c>
      <c r="CD194" t="str" cm="1">
        <f t="array" aca="1" ref="CD194" ca="1">eConcatenar(A194:CB194,"|")</f>
        <v>Udtn2Pf5kHg3dNIl|VSA2020-0772|3|IMPERIAL DE LUJO|TABASCO|VILLAHERMOSA |VILLAHERMOSA |2020-12-10|12900|X|X|200|1|0|X|X|X|X|X|X|X|X|X|X|X|X|0|DE LOS SANTOS|HERNANDEZ|MARLENE |0|X|X|SECTOR LOS SANTOS |RANCHERIA GONZALEZ TERCERA SECCION |X|9931159049|FREDY SOLIS TORRES |LORENZA TORRES PEREZ |0|SECTOR LOS SANTOS |X|2|0|0|X|X|X|0|3550|9350|0|0|X|2021-12-15|2021-12-30|X|X|X|0|0|S35D6D3Y9KVTQ1|X|MUJER|0|12900|0|0|0|X|X|X|X|X|VILLAHERMOSA |X|0|0|0|0</v>
      </c>
    </row>
    <row r="195" spans="1:82" x14ac:dyDescent="0.25">
      <c r="A195" t="s">
        <v>1530</v>
      </c>
      <c r="B195" t="s">
        <v>1531</v>
      </c>
      <c r="C195">
        <v>3</v>
      </c>
      <c r="D195" t="s">
        <v>1073</v>
      </c>
      <c r="E195" t="s">
        <v>359</v>
      </c>
      <c r="F195" t="s">
        <v>360</v>
      </c>
      <c r="G195" t="s">
        <v>360</v>
      </c>
      <c r="H195" t="s">
        <v>1532</v>
      </c>
      <c r="I195">
        <v>19800</v>
      </c>
      <c r="J195" t="s">
        <v>1</v>
      </c>
      <c r="K195" t="s">
        <v>1</v>
      </c>
      <c r="L195">
        <v>200</v>
      </c>
      <c r="M195">
        <v>1</v>
      </c>
      <c r="N195">
        <v>0</v>
      </c>
      <c r="O195" t="s">
        <v>1</v>
      </c>
      <c r="P195" t="s">
        <v>1</v>
      </c>
      <c r="Q195" t="s">
        <v>1</v>
      </c>
      <c r="R195" t="s">
        <v>1</v>
      </c>
      <c r="S195" t="s">
        <v>1</v>
      </c>
      <c r="T195" t="s">
        <v>1</v>
      </c>
      <c r="U195" t="s">
        <v>1</v>
      </c>
      <c r="V195" t="s">
        <v>1</v>
      </c>
      <c r="W195" t="s">
        <v>1</v>
      </c>
      <c r="X195" t="s">
        <v>1</v>
      </c>
      <c r="Y195" t="s">
        <v>1</v>
      </c>
      <c r="Z195" t="s">
        <v>1</v>
      </c>
      <c r="AA195">
        <v>0</v>
      </c>
      <c r="AB195" t="s">
        <v>1533</v>
      </c>
      <c r="AC195" t="s">
        <v>584</v>
      </c>
      <c r="AD195" t="s">
        <v>1534</v>
      </c>
      <c r="AE195">
        <v>0</v>
      </c>
      <c r="AF195" t="s">
        <v>1</v>
      </c>
      <c r="AG195" t="s">
        <v>1</v>
      </c>
      <c r="AH195" t="s">
        <v>1535</v>
      </c>
      <c r="AI195" t="s">
        <v>1536</v>
      </c>
      <c r="AJ195" t="s">
        <v>1</v>
      </c>
      <c r="AK195">
        <v>9931548373</v>
      </c>
      <c r="AL195" t="s">
        <v>1537</v>
      </c>
      <c r="AM195" t="s">
        <v>1538</v>
      </c>
      <c r="AN195">
        <v>0</v>
      </c>
      <c r="AO195" t="s">
        <v>1535</v>
      </c>
      <c r="AP195" t="s">
        <v>1</v>
      </c>
      <c r="AQ195">
        <v>2</v>
      </c>
      <c r="AR195">
        <v>0</v>
      </c>
      <c r="AS195">
        <v>0</v>
      </c>
      <c r="AT195" t="s">
        <v>1</v>
      </c>
      <c r="AU195" t="s">
        <v>1</v>
      </c>
      <c r="AV195" t="s">
        <v>1</v>
      </c>
      <c r="AW195">
        <v>0</v>
      </c>
      <c r="AX195">
        <v>4150</v>
      </c>
      <c r="AY195">
        <v>15650</v>
      </c>
      <c r="AZ195">
        <v>0</v>
      </c>
      <c r="BA195">
        <v>0</v>
      </c>
      <c r="BB195" t="s">
        <v>1</v>
      </c>
      <c r="BC195" t="s">
        <v>758</v>
      </c>
      <c r="BD195" t="s">
        <v>198</v>
      </c>
      <c r="BE195" t="s">
        <v>1</v>
      </c>
      <c r="BF195" t="s">
        <v>1</v>
      </c>
      <c r="BG195" t="s">
        <v>1</v>
      </c>
      <c r="BH195">
        <v>0</v>
      </c>
      <c r="BI195">
        <v>0</v>
      </c>
      <c r="BJ195" t="s">
        <v>722</v>
      </c>
      <c r="BK195" t="s">
        <v>1</v>
      </c>
      <c r="BL195" t="s">
        <v>132</v>
      </c>
      <c r="BM195">
        <v>0</v>
      </c>
      <c r="BN195">
        <v>19800</v>
      </c>
      <c r="BO195">
        <v>0</v>
      </c>
      <c r="BP195">
        <v>0</v>
      </c>
      <c r="BQ195">
        <v>0</v>
      </c>
      <c r="BR195" t="s">
        <v>1</v>
      </c>
      <c r="BS195" t="s">
        <v>1</v>
      </c>
      <c r="BT195" t="s">
        <v>1</v>
      </c>
      <c r="BU195" t="s">
        <v>1</v>
      </c>
      <c r="BV195" t="s">
        <v>1</v>
      </c>
      <c r="BW195" t="s">
        <v>360</v>
      </c>
      <c r="BX195" t="s">
        <v>1</v>
      </c>
      <c r="BY195">
        <v>0</v>
      </c>
      <c r="BZ195">
        <v>0</v>
      </c>
      <c r="CA195">
        <v>0</v>
      </c>
      <c r="CB195">
        <v>0</v>
      </c>
      <c r="CD195" t="str" cm="1">
        <f t="array" aca="1" ref="CD195" ca="1">eConcatenar(A195:CB195,"|")</f>
        <v>yY5tDOOQdQ4bvDBm|VSA2020-0928|3|ZAFIRO|TABASCO|VILLAHERMOSA |VILLAHERMOSA |2020-03-11|19800|X|X|200|1|0|X|X|X|X|X|X|X|X|X|X|X|X|0|ZAPATA |HERNANDEZ |ADAN |0|X|X|ENTRADA LOS ZAPATAS SIN NUMERO |EJIDO SAN ELEGIDO CUNDUACAN |X|9931548373|ELSY MARIN AQUINO |ARLETH OSIRIS ZAPATA MARIN |0|ENTRADA LOS ZAPATAS SIN NUMERO |X|2|0|0|X|X|X|0|4150|15650|0|0|X|2021-12-15|2021-12-30|X|X|X|0|0|S35D6D3Y9KVTQ1|X|HOMBRE|0|19800|0|0|0|X|X|X|X|X|VILLAHERMOSA |X|0|0|0|0</v>
      </c>
    </row>
    <row r="196" spans="1:82" x14ac:dyDescent="0.25">
      <c r="A196" t="s">
        <v>1539</v>
      </c>
      <c r="B196" t="s">
        <v>1540</v>
      </c>
      <c r="C196">
        <v>3</v>
      </c>
      <c r="D196" t="s">
        <v>1073</v>
      </c>
      <c r="E196" t="s">
        <v>359</v>
      </c>
      <c r="F196" t="s">
        <v>360</v>
      </c>
      <c r="G196" t="s">
        <v>360</v>
      </c>
      <c r="H196" t="s">
        <v>970</v>
      </c>
      <c r="I196">
        <v>19800</v>
      </c>
      <c r="J196" t="s">
        <v>1</v>
      </c>
      <c r="K196" t="s">
        <v>1</v>
      </c>
      <c r="L196">
        <v>200</v>
      </c>
      <c r="M196">
        <v>1</v>
      </c>
      <c r="N196">
        <v>0</v>
      </c>
      <c r="O196" t="s">
        <v>1</v>
      </c>
      <c r="P196" t="s">
        <v>1</v>
      </c>
      <c r="Q196" t="s">
        <v>1</v>
      </c>
      <c r="R196" t="s">
        <v>1</v>
      </c>
      <c r="S196" t="s">
        <v>1</v>
      </c>
      <c r="T196" t="s">
        <v>1</v>
      </c>
      <c r="U196" t="s">
        <v>1</v>
      </c>
      <c r="V196" t="s">
        <v>1</v>
      </c>
      <c r="W196" t="s">
        <v>1</v>
      </c>
      <c r="X196" t="s">
        <v>1</v>
      </c>
      <c r="Y196" t="s">
        <v>1</v>
      </c>
      <c r="Z196" t="s">
        <v>1</v>
      </c>
      <c r="AA196">
        <v>0</v>
      </c>
      <c r="AB196" t="s">
        <v>248</v>
      </c>
      <c r="AC196" t="s">
        <v>13</v>
      </c>
      <c r="AD196" t="s">
        <v>1541</v>
      </c>
      <c r="AE196">
        <v>0</v>
      </c>
      <c r="AF196" t="s">
        <v>1</v>
      </c>
      <c r="AG196" t="s">
        <v>1</v>
      </c>
      <c r="AH196" t="s">
        <v>1039</v>
      </c>
      <c r="AI196" t="s">
        <v>914</v>
      </c>
      <c r="AJ196" t="s">
        <v>1</v>
      </c>
      <c r="AK196">
        <v>9932126455</v>
      </c>
      <c r="AL196" t="s">
        <v>1542</v>
      </c>
      <c r="AM196" t="s">
        <v>1543</v>
      </c>
      <c r="AN196">
        <v>0</v>
      </c>
      <c r="AO196" t="s">
        <v>1039</v>
      </c>
      <c r="AP196" t="s">
        <v>1</v>
      </c>
      <c r="AQ196">
        <v>3</v>
      </c>
      <c r="AR196">
        <v>0</v>
      </c>
      <c r="AS196">
        <v>0</v>
      </c>
      <c r="AT196" t="s">
        <v>1</v>
      </c>
      <c r="AU196" t="s">
        <v>1</v>
      </c>
      <c r="AV196" t="s">
        <v>1</v>
      </c>
      <c r="AW196">
        <v>0</v>
      </c>
      <c r="AX196">
        <v>6000</v>
      </c>
      <c r="AY196">
        <v>13800</v>
      </c>
      <c r="AZ196">
        <v>0</v>
      </c>
      <c r="BA196">
        <v>0</v>
      </c>
      <c r="BB196" t="s">
        <v>1</v>
      </c>
      <c r="BC196" t="s">
        <v>730</v>
      </c>
      <c r="BD196" t="s">
        <v>198</v>
      </c>
      <c r="BE196" t="s">
        <v>1</v>
      </c>
      <c r="BF196" t="s">
        <v>1</v>
      </c>
      <c r="BG196" t="s">
        <v>1</v>
      </c>
      <c r="BH196">
        <v>0</v>
      </c>
      <c r="BI196">
        <v>0</v>
      </c>
      <c r="BJ196" t="s">
        <v>722</v>
      </c>
      <c r="BK196" t="s">
        <v>1</v>
      </c>
      <c r="BL196" t="s">
        <v>1138</v>
      </c>
      <c r="BM196">
        <v>0</v>
      </c>
      <c r="BN196">
        <v>19800</v>
      </c>
      <c r="BO196">
        <v>0</v>
      </c>
      <c r="BP196">
        <v>0</v>
      </c>
      <c r="BQ196">
        <v>0</v>
      </c>
      <c r="BR196" t="s">
        <v>1</v>
      </c>
      <c r="BS196" t="s">
        <v>1</v>
      </c>
      <c r="BT196" t="s">
        <v>1</v>
      </c>
      <c r="BU196" t="s">
        <v>1</v>
      </c>
      <c r="BV196" t="s">
        <v>1</v>
      </c>
      <c r="BW196" t="s">
        <v>360</v>
      </c>
      <c r="BX196" t="s">
        <v>1</v>
      </c>
      <c r="BY196">
        <v>0</v>
      </c>
      <c r="BZ196">
        <v>0</v>
      </c>
      <c r="CA196">
        <v>0</v>
      </c>
      <c r="CB196">
        <v>0</v>
      </c>
      <c r="CD196" t="str" cm="1">
        <f t="array" aca="1" ref="CD196" ca="1">eConcatenar(A196:CB196,"|")</f>
        <v>dcWDG5aq2NwAFT0d|VSA2020-0511|3|ZAFIRO|TABASCO|VILLAHERMOSA |VILLAHERMOSA |2020-05-09|19800|X|X|200|1|0|X|X|X|X|X|X|X|X|X|X|X|X|0|MORALES|GUTIERREZ|HILDA|0|X|X|SECTOR PUNTA BRAVA SIN NUMERO |RANCHERIA GONZALEZ PRIMERA SECCION |X|9932126455|VICTORIO JERONIMO CHABLE |ROMAN JERONIMO MORALES |0|SECTOR PUNTA BRAVA SIN NUMERO |X|3|0|0|X|X|X|0|6000|13800|0|0|X|2021-12-16|2021-12-30|X|X|X|0|0|S35D6D3Y9KVTQ1|X|MUJER|0|19800|0|0|0|X|X|X|X|X|VILLAHERMOSA |X|0|0|0|0</v>
      </c>
    </row>
    <row r="197" spans="1:82" x14ac:dyDescent="0.25">
      <c r="A197" t="s">
        <v>1544</v>
      </c>
      <c r="B197" t="s">
        <v>1545</v>
      </c>
      <c r="C197">
        <v>3</v>
      </c>
      <c r="D197" t="s">
        <v>891</v>
      </c>
      <c r="E197" t="s">
        <v>359</v>
      </c>
      <c r="F197" t="s">
        <v>360</v>
      </c>
      <c r="G197" t="s">
        <v>360</v>
      </c>
      <c r="H197" t="s">
        <v>1546</v>
      </c>
      <c r="I197">
        <v>12900</v>
      </c>
      <c r="J197" t="s">
        <v>1</v>
      </c>
      <c r="K197" t="s">
        <v>1</v>
      </c>
      <c r="L197">
        <v>200</v>
      </c>
      <c r="M197">
        <v>1</v>
      </c>
      <c r="N197">
        <v>0</v>
      </c>
      <c r="O197" t="s">
        <v>1</v>
      </c>
      <c r="P197" t="s">
        <v>1</v>
      </c>
      <c r="Q197" t="s">
        <v>1</v>
      </c>
      <c r="R197" t="s">
        <v>1</v>
      </c>
      <c r="S197" t="s">
        <v>1</v>
      </c>
      <c r="T197" t="s">
        <v>1</v>
      </c>
      <c r="U197" t="s">
        <v>1</v>
      </c>
      <c r="V197" t="s">
        <v>1</v>
      </c>
      <c r="W197" t="s">
        <v>1</v>
      </c>
      <c r="X197" t="s">
        <v>1</v>
      </c>
      <c r="Y197" t="s">
        <v>1</v>
      </c>
      <c r="Z197" t="s">
        <v>1</v>
      </c>
      <c r="AA197">
        <v>0</v>
      </c>
      <c r="AB197" t="s">
        <v>1407</v>
      </c>
      <c r="AC197" t="s">
        <v>455</v>
      </c>
      <c r="AD197" t="s">
        <v>1547</v>
      </c>
      <c r="AE197">
        <v>0</v>
      </c>
      <c r="AF197" t="s">
        <v>1</v>
      </c>
      <c r="AG197" t="s">
        <v>1</v>
      </c>
      <c r="AH197" t="s">
        <v>466</v>
      </c>
      <c r="AI197" t="s">
        <v>994</v>
      </c>
      <c r="AJ197" t="s">
        <v>1</v>
      </c>
      <c r="AK197">
        <v>9933858588</v>
      </c>
      <c r="AL197" t="s">
        <v>1548</v>
      </c>
      <c r="AM197" t="s">
        <v>1549</v>
      </c>
      <c r="AN197">
        <v>0</v>
      </c>
      <c r="AO197" t="s">
        <v>466</v>
      </c>
      <c r="AP197" t="s">
        <v>1</v>
      </c>
      <c r="AQ197">
        <v>2</v>
      </c>
      <c r="AR197">
        <v>0</v>
      </c>
      <c r="AS197">
        <v>0</v>
      </c>
      <c r="AT197" t="s">
        <v>1</v>
      </c>
      <c r="AU197" t="s">
        <v>1</v>
      </c>
      <c r="AV197" t="s">
        <v>1</v>
      </c>
      <c r="AW197">
        <v>0</v>
      </c>
      <c r="AX197">
        <v>3500</v>
      </c>
      <c r="AY197">
        <v>9400</v>
      </c>
      <c r="AZ197">
        <v>0</v>
      </c>
      <c r="BA197">
        <v>0</v>
      </c>
      <c r="BB197" t="s">
        <v>1</v>
      </c>
      <c r="BC197" t="s">
        <v>1360</v>
      </c>
      <c r="BD197" t="s">
        <v>757</v>
      </c>
      <c r="BE197" t="s">
        <v>1</v>
      </c>
      <c r="BF197" t="s">
        <v>1</v>
      </c>
      <c r="BG197" t="s">
        <v>1</v>
      </c>
      <c r="BH197">
        <v>0</v>
      </c>
      <c r="BI197">
        <v>0</v>
      </c>
      <c r="BJ197" t="s">
        <v>722</v>
      </c>
      <c r="BK197" t="s">
        <v>1</v>
      </c>
      <c r="BL197" t="s">
        <v>1138</v>
      </c>
      <c r="BM197">
        <v>0</v>
      </c>
      <c r="BN197">
        <v>12900</v>
      </c>
      <c r="BO197">
        <v>0</v>
      </c>
      <c r="BP197">
        <v>0</v>
      </c>
      <c r="BQ197">
        <v>0</v>
      </c>
      <c r="BR197" t="s">
        <v>1</v>
      </c>
      <c r="BS197" t="s">
        <v>1</v>
      </c>
      <c r="BT197" t="s">
        <v>1</v>
      </c>
      <c r="BU197" t="s">
        <v>1</v>
      </c>
      <c r="BV197" t="s">
        <v>1</v>
      </c>
      <c r="BW197" t="s">
        <v>360</v>
      </c>
      <c r="BX197" t="s">
        <v>1</v>
      </c>
      <c r="BY197">
        <v>0</v>
      </c>
      <c r="BZ197">
        <v>0</v>
      </c>
      <c r="CA197">
        <v>0</v>
      </c>
      <c r="CB197">
        <v>0</v>
      </c>
      <c r="CD197" t="str" cm="1">
        <f t="array" aca="1" ref="CD197" ca="1">eConcatenar(A197:CB197,"|")</f>
        <v>dI2BDJoIA6VKqE5l|VSA2020-0515|3|ECONOLINE|TABASCO|VILLAHERMOSA |VILLAHERMOSA |2020-07-09|12900|X|X|200|1|0|X|X|X|X|X|X|X|X|X|X|X|X|0|RAMOS |CRUZ |ANGELA |0|X|X|CALLE PRINCIPAL SIN NUMERO |RANCHERIA LAZARO CARDENAS PRIMERA SECCION |X|9933858588|RUBEN IGNACIO GONZALEZ ESTRADA |LEYDI GONZALEZ RAMOS |0|CALLE PRINCIPAL SIN NUMERO |X|2|0|0|X|X|X|0|3500|9400|0|0|X|2021-11-17|2021-01-12|X|X|X|0|0|S35D6D3Y9KVTQ1|X|MUJER|0|12900|0|0|0|X|X|X|X|X|VILLAHERMOSA |X|0|0|0|0</v>
      </c>
    </row>
    <row r="198" spans="1:82" x14ac:dyDescent="0.25">
      <c r="A198" t="s">
        <v>1550</v>
      </c>
      <c r="B198" t="s">
        <v>1551</v>
      </c>
      <c r="C198">
        <v>3</v>
      </c>
      <c r="D198" t="s">
        <v>891</v>
      </c>
      <c r="E198" t="s">
        <v>359</v>
      </c>
      <c r="F198" t="s">
        <v>360</v>
      </c>
      <c r="G198" t="s">
        <v>360</v>
      </c>
      <c r="H198" t="s">
        <v>393</v>
      </c>
      <c r="I198">
        <v>12900</v>
      </c>
      <c r="J198" t="s">
        <v>1</v>
      </c>
      <c r="K198" t="s">
        <v>1</v>
      </c>
      <c r="L198">
        <v>200</v>
      </c>
      <c r="M198">
        <v>1</v>
      </c>
      <c r="N198">
        <v>0</v>
      </c>
      <c r="O198" t="s">
        <v>1</v>
      </c>
      <c r="P198" t="s">
        <v>1</v>
      </c>
      <c r="Q198" t="s">
        <v>1</v>
      </c>
      <c r="R198" t="s">
        <v>1</v>
      </c>
      <c r="S198" t="s">
        <v>1</v>
      </c>
      <c r="T198" t="s">
        <v>1</v>
      </c>
      <c r="U198" t="s">
        <v>1</v>
      </c>
      <c r="V198" t="s">
        <v>1</v>
      </c>
      <c r="W198" t="s">
        <v>1</v>
      </c>
      <c r="X198" t="s">
        <v>1</v>
      </c>
      <c r="Y198" t="s">
        <v>1</v>
      </c>
      <c r="Z198" t="s">
        <v>1</v>
      </c>
      <c r="AA198">
        <v>0</v>
      </c>
      <c r="AB198" t="s">
        <v>7</v>
      </c>
      <c r="AC198" t="s">
        <v>7</v>
      </c>
      <c r="AD198" t="s">
        <v>338</v>
      </c>
      <c r="AE198">
        <v>0</v>
      </c>
      <c r="AF198" t="s">
        <v>1</v>
      </c>
      <c r="AG198" t="s">
        <v>1</v>
      </c>
      <c r="AH198" t="s">
        <v>466</v>
      </c>
      <c r="AI198" t="s">
        <v>994</v>
      </c>
      <c r="AJ198" t="s">
        <v>1</v>
      </c>
      <c r="AK198">
        <v>9932299642</v>
      </c>
      <c r="AL198" t="s">
        <v>1552</v>
      </c>
      <c r="AM198" t="s">
        <v>1553</v>
      </c>
      <c r="AN198">
        <v>0</v>
      </c>
      <c r="AO198" t="s">
        <v>466</v>
      </c>
      <c r="AP198" t="s">
        <v>1</v>
      </c>
      <c r="AQ198">
        <v>2</v>
      </c>
      <c r="AR198">
        <v>0</v>
      </c>
      <c r="AS198">
        <v>0</v>
      </c>
      <c r="AT198" t="s">
        <v>1</v>
      </c>
      <c r="AU198" t="s">
        <v>1</v>
      </c>
      <c r="AV198" t="s">
        <v>1</v>
      </c>
      <c r="AW198">
        <v>0</v>
      </c>
      <c r="AX198">
        <v>5200</v>
      </c>
      <c r="AY198">
        <v>7700</v>
      </c>
      <c r="AZ198">
        <v>0</v>
      </c>
      <c r="BA198">
        <v>0</v>
      </c>
      <c r="BB198" t="s">
        <v>1</v>
      </c>
      <c r="BC198" t="s">
        <v>758</v>
      </c>
      <c r="BD198" t="s">
        <v>198</v>
      </c>
      <c r="BE198" t="s">
        <v>1</v>
      </c>
      <c r="BF198" t="s">
        <v>1</v>
      </c>
      <c r="BG198" t="s">
        <v>1</v>
      </c>
      <c r="BH198">
        <v>0</v>
      </c>
      <c r="BI198">
        <v>0</v>
      </c>
      <c r="BJ198" t="s">
        <v>722</v>
      </c>
      <c r="BK198" t="s">
        <v>1</v>
      </c>
      <c r="BL198" t="s">
        <v>132</v>
      </c>
      <c r="BM198">
        <v>0</v>
      </c>
      <c r="BN198">
        <v>12900</v>
      </c>
      <c r="BO198">
        <v>0</v>
      </c>
      <c r="BP198">
        <v>0</v>
      </c>
      <c r="BQ198">
        <v>0</v>
      </c>
      <c r="BR198" t="s">
        <v>1</v>
      </c>
      <c r="BS198" t="s">
        <v>1</v>
      </c>
      <c r="BT198" t="s">
        <v>1</v>
      </c>
      <c r="BU198" t="s">
        <v>1</v>
      </c>
      <c r="BV198" t="s">
        <v>1</v>
      </c>
      <c r="BW198" t="s">
        <v>360</v>
      </c>
      <c r="BX198" t="s">
        <v>1</v>
      </c>
      <c r="BY198">
        <v>0</v>
      </c>
      <c r="BZ198">
        <v>0</v>
      </c>
      <c r="CA198">
        <v>0</v>
      </c>
      <c r="CB198">
        <v>0</v>
      </c>
      <c r="CD198" t="str" cm="1">
        <f t="array" aca="1" ref="CD198" ca="1">eConcatenar(A198:CB198,"|")</f>
        <v>27QFfFVBRFS2MFaV|VSA2020-0524|3|ECONOLINE|TABASCO|VILLAHERMOSA |VILLAHERMOSA |2020-08-09|12900|X|X|200|1|0|X|X|X|X|X|X|X|X|X|X|X|X|0|LOPEZ|LOPEZ|MIGUEL|0|X|X|CALLE PRINCIPAL SIN NUMERO |RANCHERIA LAZARO CARDENAS PRIMERA SECCION |X|9932299642|CINTHIA MARTINEZ  ARIAS |PRISCILA LOPEZ REYES |0|CALLE PRINCIPAL SIN NUMERO |X|2|0|0|X|X|X|0|5200|7700|0|0|X|2021-12-15|2021-12-30|X|X|X|0|0|S35D6D3Y9KVTQ1|X|HOMBRE|0|12900|0|0|0|X|X|X|X|X|VILLAHERMOSA |X|0|0|0|0</v>
      </c>
    </row>
    <row r="199" spans="1:82" x14ac:dyDescent="0.25">
      <c r="A199" t="s">
        <v>1554</v>
      </c>
      <c r="B199" t="s">
        <v>1555</v>
      </c>
      <c r="C199">
        <v>3</v>
      </c>
      <c r="D199" t="s">
        <v>715</v>
      </c>
      <c r="E199" t="s">
        <v>359</v>
      </c>
      <c r="F199" t="s">
        <v>360</v>
      </c>
      <c r="G199" t="s">
        <v>360</v>
      </c>
      <c r="H199" t="s">
        <v>1556</v>
      </c>
      <c r="I199">
        <v>12900</v>
      </c>
      <c r="J199">
        <v>0</v>
      </c>
      <c r="K199" t="s">
        <v>1</v>
      </c>
      <c r="L199">
        <v>200</v>
      </c>
      <c r="M199">
        <v>1</v>
      </c>
      <c r="N199">
        <v>0</v>
      </c>
      <c r="O199" t="s">
        <v>1</v>
      </c>
      <c r="P199" t="s">
        <v>1</v>
      </c>
      <c r="Q199" t="s">
        <v>1</v>
      </c>
      <c r="R199" t="s">
        <v>1</v>
      </c>
      <c r="S199" t="s">
        <v>1</v>
      </c>
      <c r="T199" t="s">
        <v>1</v>
      </c>
      <c r="U199" t="s">
        <v>1</v>
      </c>
      <c r="V199" t="s">
        <v>1</v>
      </c>
      <c r="W199" t="s">
        <v>1</v>
      </c>
      <c r="X199" t="s">
        <v>1</v>
      </c>
      <c r="Y199" t="s">
        <v>1</v>
      </c>
      <c r="Z199" t="s">
        <v>1</v>
      </c>
      <c r="AA199">
        <v>0</v>
      </c>
      <c r="AB199" t="s">
        <v>395</v>
      </c>
      <c r="AC199" t="s">
        <v>1044</v>
      </c>
      <c r="AD199" t="s">
        <v>373</v>
      </c>
      <c r="AE199">
        <v>0</v>
      </c>
      <c r="AF199" t="s">
        <v>1</v>
      </c>
      <c r="AG199" t="s">
        <v>1</v>
      </c>
      <c r="AH199" t="s">
        <v>1557</v>
      </c>
      <c r="AI199" t="s">
        <v>914</v>
      </c>
      <c r="AJ199" t="s">
        <v>1</v>
      </c>
      <c r="AK199">
        <v>9932019748</v>
      </c>
      <c r="AL199" t="s">
        <v>1558</v>
      </c>
      <c r="AM199" t="s">
        <v>1559</v>
      </c>
      <c r="AN199">
        <v>0</v>
      </c>
      <c r="AO199" t="s">
        <v>1557</v>
      </c>
      <c r="AP199" t="s">
        <v>1</v>
      </c>
      <c r="AQ199">
        <v>2</v>
      </c>
      <c r="AR199">
        <v>0</v>
      </c>
      <c r="AS199">
        <v>0</v>
      </c>
      <c r="AT199" t="s">
        <v>1</v>
      </c>
      <c r="AU199" t="s">
        <v>1</v>
      </c>
      <c r="AV199" t="s">
        <v>1</v>
      </c>
      <c r="AW199">
        <v>0</v>
      </c>
      <c r="AX199">
        <v>3050</v>
      </c>
      <c r="AY199">
        <v>9850</v>
      </c>
      <c r="AZ199">
        <v>0</v>
      </c>
      <c r="BA199">
        <v>0</v>
      </c>
      <c r="BB199" t="s">
        <v>1</v>
      </c>
      <c r="BC199" t="s">
        <v>757</v>
      </c>
      <c r="BD199" t="s">
        <v>758</v>
      </c>
      <c r="BE199" t="s">
        <v>1</v>
      </c>
      <c r="BF199" t="s">
        <v>1</v>
      </c>
      <c r="BG199" t="s">
        <v>1</v>
      </c>
      <c r="BH199">
        <v>0</v>
      </c>
      <c r="BI199">
        <v>0</v>
      </c>
      <c r="BJ199" t="s">
        <v>722</v>
      </c>
      <c r="BK199" t="s">
        <v>1</v>
      </c>
      <c r="BL199" t="s">
        <v>1138</v>
      </c>
      <c r="BM199">
        <v>0</v>
      </c>
      <c r="BN199">
        <v>12900</v>
      </c>
      <c r="BO199">
        <v>0</v>
      </c>
      <c r="BP199">
        <v>0</v>
      </c>
      <c r="BQ199">
        <v>0</v>
      </c>
      <c r="BR199" t="s">
        <v>1</v>
      </c>
      <c r="BS199" t="s">
        <v>1</v>
      </c>
      <c r="BT199" t="s">
        <v>1</v>
      </c>
      <c r="BU199" t="s">
        <v>1</v>
      </c>
      <c r="BV199" t="s">
        <v>1</v>
      </c>
      <c r="BW199" t="s">
        <v>360</v>
      </c>
      <c r="BX199" t="s">
        <v>1</v>
      </c>
      <c r="BY199">
        <v>0</v>
      </c>
      <c r="BZ199">
        <v>0</v>
      </c>
      <c r="CA199">
        <v>0</v>
      </c>
      <c r="CB199">
        <v>0</v>
      </c>
      <c r="CD199" t="str" cm="1">
        <f t="array" aca="1" ref="CD199" ca="1">eConcatenar(A199:CB199,"|")</f>
        <v>FjZCJRzXVVW8DUqt|VSA2020-1158BIS|3|IMPERIAL DE LUJO|TABASCO|VILLAHERMOSA |VILLAHERMOSA |2020-03-12|12900|0|X|200|1|0|X|X|X|X|X|X|X|X|X|X|X|X|0|GARCIA |GERONIMO|GUADALUPE |0|X|X|AVENIDA PRINCIPAL SINN NUMERO |RANCHERIA GONZALEZ PRIMERA SECCION |X|9932019748|FERNANDO ARIIAS GARCIA |YULY DEL CARMEN ARIAS GARCIA |0|AVENIDA PRINCIPAL SINN NUMERO |X|2|0|0|X|X|X|0|3050|9850|0|0|X|2021-01-12|2021-12-15|X|X|X|0|0|S35D6D3Y9KVTQ1|X|MUJER|0|12900|0|0|0|X|X|X|X|X|VILLAHERMOSA |X|0|0|0|0</v>
      </c>
    </row>
    <row r="200" spans="1:82" x14ac:dyDescent="0.25">
      <c r="A200" t="s">
        <v>1560</v>
      </c>
      <c r="B200" t="s">
        <v>1561</v>
      </c>
      <c r="C200">
        <v>3</v>
      </c>
      <c r="D200" t="s">
        <v>715</v>
      </c>
      <c r="E200" t="s">
        <v>359</v>
      </c>
      <c r="F200" t="s">
        <v>360</v>
      </c>
      <c r="G200" t="s">
        <v>360</v>
      </c>
      <c r="H200" t="s">
        <v>1125</v>
      </c>
      <c r="I200">
        <v>12900</v>
      </c>
      <c r="J200" t="s">
        <v>1</v>
      </c>
      <c r="K200" t="s">
        <v>1</v>
      </c>
      <c r="L200">
        <v>200</v>
      </c>
      <c r="M200">
        <v>1</v>
      </c>
      <c r="N200">
        <v>0</v>
      </c>
      <c r="O200" t="s">
        <v>1</v>
      </c>
      <c r="P200" t="s">
        <v>1</v>
      </c>
      <c r="Q200" t="s">
        <v>1</v>
      </c>
      <c r="R200" t="s">
        <v>1</v>
      </c>
      <c r="S200" t="s">
        <v>1</v>
      </c>
      <c r="T200" t="s">
        <v>1</v>
      </c>
      <c r="U200" t="s">
        <v>1</v>
      </c>
      <c r="V200" t="s">
        <v>1</v>
      </c>
      <c r="W200" t="s">
        <v>1</v>
      </c>
      <c r="X200" t="s">
        <v>1</v>
      </c>
      <c r="Y200" t="s">
        <v>1</v>
      </c>
      <c r="Z200" t="s">
        <v>1</v>
      </c>
      <c r="AA200">
        <v>0</v>
      </c>
      <c r="AB200" t="s">
        <v>125</v>
      </c>
      <c r="AC200" t="s">
        <v>1562</v>
      </c>
      <c r="AD200" t="s">
        <v>1563</v>
      </c>
      <c r="AE200">
        <v>0</v>
      </c>
      <c r="AF200" t="s">
        <v>1</v>
      </c>
      <c r="AG200" t="s">
        <v>1</v>
      </c>
      <c r="AH200" t="s">
        <v>1564</v>
      </c>
      <c r="AI200" t="s">
        <v>1</v>
      </c>
      <c r="AJ200" t="s">
        <v>1565</v>
      </c>
      <c r="AK200">
        <v>9931072539</v>
      </c>
      <c r="AL200" t="s">
        <v>1566</v>
      </c>
      <c r="AM200" t="s">
        <v>1567</v>
      </c>
      <c r="AN200">
        <v>0</v>
      </c>
      <c r="AO200" t="s">
        <v>1564</v>
      </c>
      <c r="AP200" t="s">
        <v>1</v>
      </c>
      <c r="AQ200">
        <v>3</v>
      </c>
      <c r="AR200">
        <v>0</v>
      </c>
      <c r="AS200">
        <v>0</v>
      </c>
      <c r="AT200" t="s">
        <v>1</v>
      </c>
      <c r="AU200" t="s">
        <v>1</v>
      </c>
      <c r="AV200" t="s">
        <v>1</v>
      </c>
      <c r="AW200">
        <v>0</v>
      </c>
      <c r="AX200">
        <v>6200</v>
      </c>
      <c r="AY200">
        <v>6700</v>
      </c>
      <c r="AZ200">
        <v>0</v>
      </c>
      <c r="BA200">
        <v>0</v>
      </c>
      <c r="BB200" t="s">
        <v>1</v>
      </c>
      <c r="BC200" t="s">
        <v>730</v>
      </c>
      <c r="BD200" t="s">
        <v>198</v>
      </c>
      <c r="BE200" t="s">
        <v>1</v>
      </c>
      <c r="BF200" t="s">
        <v>1</v>
      </c>
      <c r="BG200" t="s">
        <v>1</v>
      </c>
      <c r="BH200">
        <v>0</v>
      </c>
      <c r="BI200">
        <v>0</v>
      </c>
      <c r="BJ200" t="s">
        <v>722</v>
      </c>
      <c r="BK200" t="s">
        <v>1</v>
      </c>
      <c r="BL200" t="s">
        <v>1138</v>
      </c>
      <c r="BM200">
        <v>0</v>
      </c>
      <c r="BN200">
        <v>12900</v>
      </c>
      <c r="BO200">
        <v>0</v>
      </c>
      <c r="BP200">
        <v>0</v>
      </c>
      <c r="BQ200">
        <v>0</v>
      </c>
      <c r="BR200" t="s">
        <v>1</v>
      </c>
      <c r="BS200" t="s">
        <v>1</v>
      </c>
      <c r="BT200" t="s">
        <v>1</v>
      </c>
      <c r="BU200" t="s">
        <v>1</v>
      </c>
      <c r="BV200" t="s">
        <v>1</v>
      </c>
      <c r="BW200" t="s">
        <v>360</v>
      </c>
      <c r="BX200" t="s">
        <v>1</v>
      </c>
      <c r="BY200">
        <v>0</v>
      </c>
      <c r="BZ200">
        <v>0</v>
      </c>
      <c r="CA200">
        <v>0</v>
      </c>
      <c r="CB200">
        <v>0</v>
      </c>
      <c r="CD200" t="str" cm="1">
        <f t="array" aca="1" ref="CD200" ca="1">eConcatenar(A200:CB200,"|")</f>
        <v>L9mtGvhuMdxrCpI2|VSA2020-1190|3|IMPERIAL DE LUJO|TABASCO|VILLAHERMOSA |VILLAHERMOSA |2020-11-23|12900|X|X|200|1|0|X|X|X|X|X|X|X|X|X|X|X|X|0|ROMERO |MARIN |ALICIA |0|X|X|PRINCIPAL  SIN NUMERO GONZALEZ TERCERA SECCION  CENTRO |X|ENTRADA A LA BASCULA A 30 METROS DE LA IGLESIA CATOLICA |9931072539|JUAN GARCIA ALEJO  |BLANCA ESTELA GARCIA ROMERO |0|PRINCIPAL  SIN NUMERO GONZALEZ TERCERA SECCION  CENTRO |X|3|0|0|X|X|X|0|6200|6700|0|0|X|2021-12-16|2021-12-30|X|X|X|0|0|S35D6D3Y9KVTQ1|X|MUJER|0|12900|0|0|0|X|X|X|X|X|VILLAHERMOSA |X|0|0|0|0</v>
      </c>
    </row>
    <row r="201" spans="1:82" x14ac:dyDescent="0.25">
      <c r="A201" t="s">
        <v>1568</v>
      </c>
      <c r="B201" t="s">
        <v>1569</v>
      </c>
      <c r="C201">
        <v>3</v>
      </c>
      <c r="D201" t="s">
        <v>715</v>
      </c>
      <c r="E201" t="s">
        <v>359</v>
      </c>
      <c r="F201" t="s">
        <v>360</v>
      </c>
      <c r="G201" t="s">
        <v>360</v>
      </c>
      <c r="H201" t="s">
        <v>716</v>
      </c>
      <c r="I201">
        <v>12900</v>
      </c>
      <c r="J201" t="s">
        <v>1</v>
      </c>
      <c r="K201" t="s">
        <v>1</v>
      </c>
      <c r="L201">
        <v>100</v>
      </c>
      <c r="M201">
        <v>0</v>
      </c>
      <c r="N201">
        <v>0</v>
      </c>
      <c r="O201" t="s">
        <v>1</v>
      </c>
      <c r="P201" t="s">
        <v>1</v>
      </c>
      <c r="Q201" t="s">
        <v>1</v>
      </c>
      <c r="R201" t="s">
        <v>1</v>
      </c>
      <c r="S201" t="s">
        <v>1</v>
      </c>
      <c r="T201" t="s">
        <v>1</v>
      </c>
      <c r="U201" t="s">
        <v>1</v>
      </c>
      <c r="V201" t="s">
        <v>1</v>
      </c>
      <c r="W201" t="s">
        <v>1</v>
      </c>
      <c r="X201" t="s">
        <v>1</v>
      </c>
      <c r="Y201" t="s">
        <v>1</v>
      </c>
      <c r="Z201" t="s">
        <v>1</v>
      </c>
      <c r="AA201">
        <v>0</v>
      </c>
      <c r="AB201" t="s">
        <v>1570</v>
      </c>
      <c r="AC201" t="s">
        <v>1571</v>
      </c>
      <c r="AD201" t="s">
        <v>763</v>
      </c>
      <c r="AE201">
        <v>0</v>
      </c>
      <c r="AF201" t="s">
        <v>1</v>
      </c>
      <c r="AG201" t="s">
        <v>1</v>
      </c>
      <c r="AH201" t="s">
        <v>1572</v>
      </c>
      <c r="AI201" t="s">
        <v>1573</v>
      </c>
      <c r="AJ201" t="s">
        <v>1</v>
      </c>
      <c r="AK201">
        <v>9931135768</v>
      </c>
      <c r="AL201" t="s">
        <v>1574</v>
      </c>
      <c r="AM201" t="s">
        <v>1575</v>
      </c>
      <c r="AN201">
        <v>0</v>
      </c>
      <c r="AO201" t="s">
        <v>1572</v>
      </c>
      <c r="AP201" t="s">
        <v>1</v>
      </c>
      <c r="AQ201">
        <v>2</v>
      </c>
      <c r="AR201">
        <v>0</v>
      </c>
      <c r="AS201">
        <v>0</v>
      </c>
      <c r="AT201" t="s">
        <v>1</v>
      </c>
      <c r="AU201" t="s">
        <v>1</v>
      </c>
      <c r="AV201" t="s">
        <v>1</v>
      </c>
      <c r="AW201">
        <v>0</v>
      </c>
      <c r="AX201">
        <v>5690</v>
      </c>
      <c r="AY201">
        <v>7210</v>
      </c>
      <c r="AZ201">
        <v>0</v>
      </c>
      <c r="BA201">
        <v>0</v>
      </c>
      <c r="BB201" t="s">
        <v>1</v>
      </c>
      <c r="BC201" t="s">
        <v>1576</v>
      </c>
      <c r="BD201" t="s">
        <v>1577</v>
      </c>
      <c r="BE201" t="s">
        <v>1</v>
      </c>
      <c r="BF201" t="s">
        <v>1</v>
      </c>
      <c r="BG201" t="s">
        <v>1</v>
      </c>
      <c r="BH201">
        <v>0</v>
      </c>
      <c r="BI201">
        <v>0</v>
      </c>
      <c r="BJ201" t="s">
        <v>722</v>
      </c>
      <c r="BK201" t="s">
        <v>1</v>
      </c>
      <c r="BL201" t="s">
        <v>1138</v>
      </c>
      <c r="BM201">
        <v>0</v>
      </c>
      <c r="BN201">
        <v>12900</v>
      </c>
      <c r="BO201">
        <v>0</v>
      </c>
      <c r="BP201">
        <v>0</v>
      </c>
      <c r="BQ201">
        <v>0</v>
      </c>
      <c r="BR201" t="s">
        <v>1</v>
      </c>
      <c r="BS201" t="s">
        <v>1</v>
      </c>
      <c r="BT201" t="s">
        <v>1</v>
      </c>
      <c r="BU201" t="s">
        <v>1</v>
      </c>
      <c r="BV201" t="s">
        <v>1</v>
      </c>
      <c r="BW201" t="s">
        <v>360</v>
      </c>
      <c r="BX201" t="s">
        <v>1</v>
      </c>
      <c r="BY201">
        <v>0</v>
      </c>
      <c r="BZ201">
        <v>0</v>
      </c>
      <c r="CA201">
        <v>0</v>
      </c>
      <c r="CB201">
        <v>0</v>
      </c>
      <c r="CD201" t="str" cm="1">
        <f t="array" aca="1" ref="CD201" ca="1">eConcatenar(A201:CB201,"|")</f>
        <v>1aJ8DRsxInCpQScP|VSA2020-1049|3|IMPERIAL DE LUJO|TABASCO|VILLAHERMOSA |VILLAHERMOSA |2020-11-13|12900|X|X|100|0|0|X|X|X|X|X|X|X|X|X|X|X|X|0|SOBERANO |CASTILLO|CONCEPCION|0|X|X|CALLE LAS GARZAS SIN NUMERO |COLONIA ISABEL DE LA PARRA CENTRO |X|9931135768|MARIA FELIX REYES MENDEZ|MARTHA ELENA MENDOZA REYES |0|CALLE LAS GARZAS SIN NUMERO |X|2|0|0|X|X|X|0|5690|7210|0|0|X|2021-10-23|2021-10-30|X|X|X|0|0|S35D6D3Y9KVTQ1|X|MUJER|0|12900|0|0|0|X|X|X|X|X|VILLAHERMOSA |X|0|0|0|0</v>
      </c>
    </row>
    <row r="202" spans="1:82" x14ac:dyDescent="0.25">
      <c r="A202" t="s">
        <v>1578</v>
      </c>
      <c r="B202" t="s">
        <v>1579</v>
      </c>
      <c r="C202">
        <v>3</v>
      </c>
      <c r="D202" t="s">
        <v>715</v>
      </c>
      <c r="E202" t="s">
        <v>359</v>
      </c>
      <c r="F202" t="s">
        <v>360</v>
      </c>
      <c r="G202" t="s">
        <v>360</v>
      </c>
      <c r="H202" t="s">
        <v>1580</v>
      </c>
      <c r="I202">
        <v>12900</v>
      </c>
      <c r="J202" t="s">
        <v>1</v>
      </c>
      <c r="K202" t="s">
        <v>1</v>
      </c>
      <c r="L202">
        <v>200</v>
      </c>
      <c r="M202">
        <v>1</v>
      </c>
      <c r="N202">
        <v>0</v>
      </c>
      <c r="O202" t="s">
        <v>1</v>
      </c>
      <c r="P202" t="s">
        <v>1</v>
      </c>
      <c r="Q202" t="s">
        <v>1</v>
      </c>
      <c r="R202" t="s">
        <v>1</v>
      </c>
      <c r="S202" t="s">
        <v>1</v>
      </c>
      <c r="T202" t="s">
        <v>1</v>
      </c>
      <c r="U202" t="s">
        <v>1</v>
      </c>
      <c r="V202" t="s">
        <v>1</v>
      </c>
      <c r="W202" t="s">
        <v>1</v>
      </c>
      <c r="X202" t="s">
        <v>1</v>
      </c>
      <c r="Y202" t="s">
        <v>1</v>
      </c>
      <c r="Z202" t="s">
        <v>1</v>
      </c>
      <c r="AA202">
        <v>0</v>
      </c>
      <c r="AB202" t="s">
        <v>1581</v>
      </c>
      <c r="AC202" t="s">
        <v>1211</v>
      </c>
      <c r="AD202" t="s">
        <v>1582</v>
      </c>
      <c r="AE202">
        <v>0</v>
      </c>
      <c r="AF202" t="s">
        <v>1</v>
      </c>
      <c r="AG202" t="s">
        <v>1</v>
      </c>
      <c r="AH202" t="s">
        <v>545</v>
      </c>
      <c r="AI202" t="s">
        <v>914</v>
      </c>
      <c r="AJ202" t="s">
        <v>1</v>
      </c>
      <c r="AK202">
        <v>9931287703</v>
      </c>
      <c r="AL202" t="s">
        <v>1583</v>
      </c>
      <c r="AM202" t="s">
        <v>1584</v>
      </c>
      <c r="AN202">
        <v>0</v>
      </c>
      <c r="AO202" t="s">
        <v>545</v>
      </c>
      <c r="AP202" t="s">
        <v>1</v>
      </c>
      <c r="AQ202">
        <v>3</v>
      </c>
      <c r="AR202">
        <v>0</v>
      </c>
      <c r="AS202">
        <v>0</v>
      </c>
      <c r="AT202" t="s">
        <v>1</v>
      </c>
      <c r="AU202" t="s">
        <v>1</v>
      </c>
      <c r="AV202" t="s">
        <v>1</v>
      </c>
      <c r="AW202">
        <v>0</v>
      </c>
      <c r="AX202">
        <v>4600</v>
      </c>
      <c r="AY202">
        <v>8300</v>
      </c>
      <c r="AZ202">
        <v>0</v>
      </c>
      <c r="BA202">
        <v>0</v>
      </c>
      <c r="BB202" t="s">
        <v>1</v>
      </c>
      <c r="BC202" t="s">
        <v>730</v>
      </c>
      <c r="BD202" t="s">
        <v>1159</v>
      </c>
      <c r="BE202" t="s">
        <v>1</v>
      </c>
      <c r="BF202" t="s">
        <v>1</v>
      </c>
      <c r="BG202" t="s">
        <v>1</v>
      </c>
      <c r="BH202">
        <v>0</v>
      </c>
      <c r="BI202">
        <v>0</v>
      </c>
      <c r="BJ202" t="s">
        <v>722</v>
      </c>
      <c r="BK202" t="s">
        <v>1</v>
      </c>
      <c r="BL202" t="s">
        <v>1138</v>
      </c>
      <c r="BM202">
        <v>0</v>
      </c>
      <c r="BN202">
        <v>12900</v>
      </c>
      <c r="BO202">
        <v>0</v>
      </c>
      <c r="BP202">
        <v>0</v>
      </c>
      <c r="BQ202">
        <v>0</v>
      </c>
      <c r="BR202" t="s">
        <v>1</v>
      </c>
      <c r="BS202" t="s">
        <v>1</v>
      </c>
      <c r="BT202" t="s">
        <v>1</v>
      </c>
      <c r="BU202" t="s">
        <v>1</v>
      </c>
      <c r="BV202" t="s">
        <v>1</v>
      </c>
      <c r="BW202" t="s">
        <v>360</v>
      </c>
      <c r="BX202" t="s">
        <v>1</v>
      </c>
      <c r="BY202">
        <v>0</v>
      </c>
      <c r="BZ202">
        <v>0</v>
      </c>
      <c r="CA202">
        <v>0</v>
      </c>
      <c r="CB202">
        <v>0</v>
      </c>
      <c r="CD202" t="str" cm="1">
        <f t="array" aca="1" ref="CD202" ca="1">eConcatenar(A202:CB202,"|")</f>
        <v>66YrqEm2n90yJ6aE|VSA2020-1192BIS|3|IMPERIAL DE LUJO|TABASCO|VILLAHERMOSA |VILLAHERMOSA |2020-02-12|12900|X|X|200|1|0|X|X|X|X|X|X|X|X|X|X|X|X|0|OLIVA|DE LA CRUZ |AURELIA |0|X|X|CARRETERA PRINCIPAL SIN NUMERO |RANCHERIA GONZALEZ PRIMERA SECCION |X|9931287703|JAVIER ARTURO OLIVA DE LA CRUZ |YANET OLIVA DE LA CRUZ |0|CARRETERA PRINCIPAL SIN NUMERO |X|3|0|0|X|X|X|0|4600|8300|0|0|X|2021-12-16|2021-12-23|X|X|X|0|0|S35D6D3Y9KVTQ1|X|MUJER|0|12900|0|0|0|X|X|X|X|X|VILLAHERMOSA |X|0|0|0|0</v>
      </c>
    </row>
    <row r="203" spans="1:82" x14ac:dyDescent="0.25">
      <c r="A203" t="s">
        <v>1585</v>
      </c>
      <c r="B203" t="s">
        <v>1586</v>
      </c>
      <c r="C203">
        <v>3</v>
      </c>
      <c r="D203" t="s">
        <v>715</v>
      </c>
      <c r="E203" t="s">
        <v>359</v>
      </c>
      <c r="F203" t="s">
        <v>360</v>
      </c>
      <c r="G203" t="s">
        <v>360</v>
      </c>
      <c r="H203" t="s">
        <v>1125</v>
      </c>
      <c r="I203">
        <v>12900</v>
      </c>
      <c r="J203" t="s">
        <v>1</v>
      </c>
      <c r="K203" t="s">
        <v>1</v>
      </c>
      <c r="L203">
        <v>100</v>
      </c>
      <c r="M203">
        <v>0</v>
      </c>
      <c r="N203">
        <v>0</v>
      </c>
      <c r="O203" t="s">
        <v>1</v>
      </c>
      <c r="P203" t="s">
        <v>1</v>
      </c>
      <c r="Q203" t="s">
        <v>1</v>
      </c>
      <c r="R203" t="s">
        <v>1</v>
      </c>
      <c r="S203" t="s">
        <v>1</v>
      </c>
      <c r="T203" t="s">
        <v>1</v>
      </c>
      <c r="U203" t="s">
        <v>1</v>
      </c>
      <c r="V203" t="s">
        <v>1</v>
      </c>
      <c r="W203" t="s">
        <v>1</v>
      </c>
      <c r="X203" t="s">
        <v>1</v>
      </c>
      <c r="Y203" t="s">
        <v>1</v>
      </c>
      <c r="Z203" t="s">
        <v>1</v>
      </c>
      <c r="AA203">
        <v>0</v>
      </c>
      <c r="AB203" t="s">
        <v>1204</v>
      </c>
      <c r="AC203" t="s">
        <v>584</v>
      </c>
      <c r="AD203" t="s">
        <v>1587</v>
      </c>
      <c r="AE203">
        <v>0</v>
      </c>
      <c r="AF203" t="s">
        <v>1</v>
      </c>
      <c r="AG203" t="s">
        <v>1</v>
      </c>
      <c r="AH203" t="s">
        <v>1588</v>
      </c>
      <c r="AI203" t="s">
        <v>1589</v>
      </c>
      <c r="AJ203" t="s">
        <v>1</v>
      </c>
      <c r="AK203">
        <v>9932231469</v>
      </c>
      <c r="AL203" t="s">
        <v>1590</v>
      </c>
      <c r="AM203" t="s">
        <v>1591</v>
      </c>
      <c r="AN203">
        <v>0</v>
      </c>
      <c r="AO203" t="s">
        <v>1588</v>
      </c>
      <c r="AP203" t="s">
        <v>1</v>
      </c>
      <c r="AQ203">
        <v>2</v>
      </c>
      <c r="AR203">
        <v>0</v>
      </c>
      <c r="AS203">
        <v>0</v>
      </c>
      <c r="AT203" t="s">
        <v>1</v>
      </c>
      <c r="AU203" t="s">
        <v>1</v>
      </c>
      <c r="AV203" t="s">
        <v>1</v>
      </c>
      <c r="AW203">
        <v>0</v>
      </c>
      <c r="AX203">
        <v>3500</v>
      </c>
      <c r="AY203">
        <v>9400</v>
      </c>
      <c r="AZ203">
        <v>0</v>
      </c>
      <c r="BA203">
        <v>0</v>
      </c>
      <c r="BB203" t="s">
        <v>1</v>
      </c>
      <c r="BC203" t="s">
        <v>1105</v>
      </c>
      <c r="BD203" t="s">
        <v>280</v>
      </c>
      <c r="BE203" t="s">
        <v>1</v>
      </c>
      <c r="BF203" t="s">
        <v>1</v>
      </c>
      <c r="BG203" t="s">
        <v>1</v>
      </c>
      <c r="BH203">
        <v>0</v>
      </c>
      <c r="BI203">
        <v>0</v>
      </c>
      <c r="BJ203" t="s">
        <v>722</v>
      </c>
      <c r="BK203" t="s">
        <v>1</v>
      </c>
      <c r="BL203" t="s">
        <v>1138</v>
      </c>
      <c r="BM203">
        <v>0</v>
      </c>
      <c r="BN203">
        <v>12900</v>
      </c>
      <c r="BO203">
        <v>0</v>
      </c>
      <c r="BP203">
        <v>0</v>
      </c>
      <c r="BQ203">
        <v>0</v>
      </c>
      <c r="BR203" t="s">
        <v>1</v>
      </c>
      <c r="BS203" t="s">
        <v>1</v>
      </c>
      <c r="BT203" t="s">
        <v>1</v>
      </c>
      <c r="BU203" t="s">
        <v>1</v>
      </c>
      <c r="BV203" t="s">
        <v>1</v>
      </c>
      <c r="BW203" t="s">
        <v>360</v>
      </c>
      <c r="BX203" t="s">
        <v>1</v>
      </c>
      <c r="BY203">
        <v>0</v>
      </c>
      <c r="BZ203">
        <v>0</v>
      </c>
      <c r="CA203">
        <v>0</v>
      </c>
      <c r="CB203">
        <v>0</v>
      </c>
      <c r="CD203" t="str" cm="1">
        <f t="array" aca="1" ref="CD203" ca="1">eConcatenar(A203:CB203,"|")</f>
        <v>YozF46muL754xvgK|VSA202O-1195|3|IMPERIAL DE LUJO|TABASCO|VILLAHERMOSA |VILLAHERMOSA |2020-11-23|12900|X|X|100|0|0|X|X|X|X|X|X|X|X|X|X|X|X|0|DE DIOS |HERNANDEZ |IGNACIA|0|X|X|CARRETERA A SAMARIA SIN NUMERO |EJIDO CUMUAPA SEGUNDA SECCION |X|9932231469|LAURA RIVERA DE DIOS |IDELFONSO RIVERA DE DIOS |0|CARRETERA A SAMARIA SIN NUMERO |X|2|0|0|X|X|X|0|3500|9400|0|0|X|2021-12-22|2021-12-29|X|X|X|0|0|S35D6D3Y9KVTQ1|X|MUJER|0|12900|0|0|0|X|X|X|X|X|VILLAHERMOSA |X|0|0|0|0</v>
      </c>
    </row>
    <row r="204" spans="1:82" x14ac:dyDescent="0.25">
      <c r="A204" t="s">
        <v>1592</v>
      </c>
      <c r="B204" t="s">
        <v>1593</v>
      </c>
      <c r="C204">
        <v>3</v>
      </c>
      <c r="D204" t="s">
        <v>715</v>
      </c>
      <c r="E204" t="s">
        <v>359</v>
      </c>
      <c r="F204" t="s">
        <v>360</v>
      </c>
      <c r="G204" t="s">
        <v>360</v>
      </c>
      <c r="H204" t="s">
        <v>1594</v>
      </c>
      <c r="I204">
        <v>12900</v>
      </c>
      <c r="J204" t="s">
        <v>1</v>
      </c>
      <c r="K204" t="s">
        <v>1</v>
      </c>
      <c r="L204">
        <v>200</v>
      </c>
      <c r="M204">
        <v>1</v>
      </c>
      <c r="N204">
        <v>0</v>
      </c>
      <c r="O204" t="s">
        <v>1</v>
      </c>
      <c r="P204" t="s">
        <v>1</v>
      </c>
      <c r="Q204" t="s">
        <v>1</v>
      </c>
      <c r="R204" t="s">
        <v>1</v>
      </c>
      <c r="S204" t="s">
        <v>1</v>
      </c>
      <c r="T204" t="s">
        <v>1</v>
      </c>
      <c r="U204" t="s">
        <v>1</v>
      </c>
      <c r="V204" t="s">
        <v>1</v>
      </c>
      <c r="W204" t="s">
        <v>1</v>
      </c>
      <c r="X204" t="s">
        <v>1</v>
      </c>
      <c r="Y204" t="s">
        <v>1</v>
      </c>
      <c r="Z204" t="s">
        <v>1</v>
      </c>
      <c r="AA204">
        <v>0</v>
      </c>
      <c r="AB204" t="s">
        <v>1595</v>
      </c>
      <c r="AC204" t="s">
        <v>1596</v>
      </c>
      <c r="AD204" t="s">
        <v>1597</v>
      </c>
      <c r="AE204">
        <v>0</v>
      </c>
      <c r="AF204" t="s">
        <v>1</v>
      </c>
      <c r="AG204" t="s">
        <v>1</v>
      </c>
      <c r="AH204" t="s">
        <v>1598</v>
      </c>
      <c r="AI204" t="s">
        <v>1032</v>
      </c>
      <c r="AJ204" t="s">
        <v>1</v>
      </c>
      <c r="AK204">
        <v>9931213800</v>
      </c>
      <c r="AL204" t="s">
        <v>1599</v>
      </c>
      <c r="AM204" t="s">
        <v>1600</v>
      </c>
      <c r="AN204">
        <v>0</v>
      </c>
      <c r="AO204" t="s">
        <v>1598</v>
      </c>
      <c r="AP204" t="s">
        <v>1</v>
      </c>
      <c r="AQ204">
        <v>3</v>
      </c>
      <c r="AR204">
        <v>0</v>
      </c>
      <c r="AS204">
        <v>0</v>
      </c>
      <c r="AT204" t="s">
        <v>1</v>
      </c>
      <c r="AU204" t="s">
        <v>1</v>
      </c>
      <c r="AV204" t="s">
        <v>1</v>
      </c>
      <c r="AW204">
        <v>0</v>
      </c>
      <c r="AX204">
        <v>5300</v>
      </c>
      <c r="AY204">
        <v>7600</v>
      </c>
      <c r="AZ204">
        <v>0</v>
      </c>
      <c r="BA204">
        <v>0</v>
      </c>
      <c r="BB204" t="s">
        <v>1</v>
      </c>
      <c r="BC204" t="s">
        <v>730</v>
      </c>
      <c r="BD204" t="s">
        <v>198</v>
      </c>
      <c r="BE204" t="s">
        <v>1</v>
      </c>
      <c r="BF204" t="s">
        <v>1</v>
      </c>
      <c r="BG204" t="s">
        <v>1</v>
      </c>
      <c r="BH204">
        <v>0</v>
      </c>
      <c r="BI204">
        <v>0</v>
      </c>
      <c r="BJ204" t="s">
        <v>722</v>
      </c>
      <c r="BK204" t="s">
        <v>1</v>
      </c>
      <c r="BL204" t="s">
        <v>132</v>
      </c>
      <c r="BM204">
        <v>0</v>
      </c>
      <c r="BN204">
        <v>12900</v>
      </c>
      <c r="BO204">
        <v>0</v>
      </c>
      <c r="BP204">
        <v>0</v>
      </c>
      <c r="BQ204">
        <v>0</v>
      </c>
      <c r="BR204" t="s">
        <v>1</v>
      </c>
      <c r="BS204" t="s">
        <v>1</v>
      </c>
      <c r="BT204" t="s">
        <v>1</v>
      </c>
      <c r="BU204" t="s">
        <v>1</v>
      </c>
      <c r="BV204" t="s">
        <v>1</v>
      </c>
      <c r="BW204" t="s">
        <v>360</v>
      </c>
      <c r="BX204" t="s">
        <v>1</v>
      </c>
      <c r="BY204">
        <v>0</v>
      </c>
      <c r="BZ204">
        <v>0</v>
      </c>
      <c r="CA204">
        <v>0</v>
      </c>
      <c r="CB204">
        <v>0</v>
      </c>
      <c r="CD204" t="str" cm="1">
        <f t="array" aca="1" ref="CD204" ca="1">eConcatenar(A204:CB204,"|")</f>
        <v>0kRWPPjHu3INjNEK|VSA2020-1283|3|IMPERIAL DE LUJO|TABASCO|VILLAHERMOSA |VILLAHERMOSA |2020-04-12|12900|X|X|200|1|0|X|X|X|X|X|X|X|X|X|X|X|X|0|OLIVA |LEON |GERVACIO |0|X|X|CARRETERA PRINCIPAL 237 |RANCHERIA GONZALEZ PRIMERA |X|9931213800|GUSTAVO OLIVA LOPEZ |OMAR OLIVA LOPEZ |0|CARRETERA PRINCIPAL 237 |X|3|0|0|X|X|X|0|5300|7600|0|0|X|2021-12-16|2021-12-30|X|X|X|0|0|S35D6D3Y9KVTQ1|X|HOMBRE|0|12900|0|0|0|X|X|X|X|X|VILLAHERMOSA |X|0|0|0|0</v>
      </c>
    </row>
    <row r="205" spans="1:82" x14ac:dyDescent="0.25">
      <c r="A205" t="s">
        <v>1601</v>
      </c>
      <c r="B205" t="s">
        <v>1602</v>
      </c>
      <c r="C205">
        <v>3</v>
      </c>
      <c r="D205" t="s">
        <v>715</v>
      </c>
      <c r="E205" t="s">
        <v>359</v>
      </c>
      <c r="F205" t="s">
        <v>360</v>
      </c>
      <c r="G205" t="s">
        <v>360</v>
      </c>
      <c r="H205" t="s">
        <v>1603</v>
      </c>
      <c r="I205">
        <v>12900</v>
      </c>
      <c r="J205" t="s">
        <v>1</v>
      </c>
      <c r="K205" t="s">
        <v>1</v>
      </c>
      <c r="L205">
        <v>400</v>
      </c>
      <c r="M205">
        <v>2</v>
      </c>
      <c r="N205">
        <v>0</v>
      </c>
      <c r="O205" t="s">
        <v>1</v>
      </c>
      <c r="P205" t="s">
        <v>1</v>
      </c>
      <c r="Q205" t="s">
        <v>1</v>
      </c>
      <c r="R205" t="s">
        <v>1</v>
      </c>
      <c r="S205" t="s">
        <v>1</v>
      </c>
      <c r="T205" t="s">
        <v>1</v>
      </c>
      <c r="U205" t="s">
        <v>1</v>
      </c>
      <c r="V205" t="s">
        <v>1</v>
      </c>
      <c r="W205" t="s">
        <v>1</v>
      </c>
      <c r="X205" t="s">
        <v>1</v>
      </c>
      <c r="Y205" t="s">
        <v>1</v>
      </c>
      <c r="Z205" t="s">
        <v>1</v>
      </c>
      <c r="AA205">
        <v>0</v>
      </c>
      <c r="AB205" t="s">
        <v>921</v>
      </c>
      <c r="AC205" t="s">
        <v>407</v>
      </c>
      <c r="AD205" t="s">
        <v>1435</v>
      </c>
      <c r="AE205">
        <v>0</v>
      </c>
      <c r="AF205" t="s">
        <v>1</v>
      </c>
      <c r="AG205" t="s">
        <v>1</v>
      </c>
      <c r="AH205" t="s">
        <v>1604</v>
      </c>
      <c r="AI205" t="s">
        <v>1032</v>
      </c>
      <c r="AJ205" t="s">
        <v>1</v>
      </c>
      <c r="AK205">
        <v>9931942194</v>
      </c>
      <c r="AL205" t="s">
        <v>1605</v>
      </c>
      <c r="AM205" t="s">
        <v>1606</v>
      </c>
      <c r="AN205">
        <v>0</v>
      </c>
      <c r="AO205" t="s">
        <v>1604</v>
      </c>
      <c r="AP205" t="s">
        <v>1</v>
      </c>
      <c r="AQ205">
        <v>3</v>
      </c>
      <c r="AR205">
        <v>0</v>
      </c>
      <c r="AS205">
        <v>0</v>
      </c>
      <c r="AT205" t="s">
        <v>1</v>
      </c>
      <c r="AU205" t="s">
        <v>1</v>
      </c>
      <c r="AV205" t="s">
        <v>1</v>
      </c>
      <c r="AW205">
        <v>0</v>
      </c>
      <c r="AX205">
        <v>6200</v>
      </c>
      <c r="AY205">
        <v>6700</v>
      </c>
      <c r="AZ205">
        <v>0</v>
      </c>
      <c r="BA205">
        <v>0</v>
      </c>
      <c r="BB205" t="s">
        <v>1</v>
      </c>
      <c r="BC205" t="s">
        <v>730</v>
      </c>
      <c r="BD205" t="s">
        <v>198</v>
      </c>
      <c r="BE205" t="s">
        <v>1</v>
      </c>
      <c r="BF205" t="s">
        <v>1</v>
      </c>
      <c r="BG205" t="s">
        <v>1</v>
      </c>
      <c r="BH205">
        <v>0</v>
      </c>
      <c r="BI205">
        <v>0</v>
      </c>
      <c r="BJ205" t="s">
        <v>722</v>
      </c>
      <c r="BK205" t="s">
        <v>1</v>
      </c>
      <c r="BL205" t="s">
        <v>132</v>
      </c>
      <c r="BM205">
        <v>0</v>
      </c>
      <c r="BN205">
        <v>12900</v>
      </c>
      <c r="BO205">
        <v>0</v>
      </c>
      <c r="BP205">
        <v>0</v>
      </c>
      <c r="BQ205">
        <v>0</v>
      </c>
      <c r="BR205" t="s">
        <v>1</v>
      </c>
      <c r="BS205" t="s">
        <v>1</v>
      </c>
      <c r="BT205" t="s">
        <v>1</v>
      </c>
      <c r="BU205" t="s">
        <v>1</v>
      </c>
      <c r="BV205" t="s">
        <v>1</v>
      </c>
      <c r="BW205" t="s">
        <v>360</v>
      </c>
      <c r="BX205" t="s">
        <v>1</v>
      </c>
      <c r="BY205">
        <v>0</v>
      </c>
      <c r="BZ205">
        <v>0</v>
      </c>
      <c r="CA205">
        <v>0</v>
      </c>
      <c r="CB205">
        <v>0</v>
      </c>
      <c r="CD205" t="str" cm="1">
        <f t="array" aca="1" ref="CD205" ca="1">eConcatenar(A205:CB205,"|")</f>
        <v>D99BgN4wlhD1El2E|VSA2020-1329|3|IMPERIAL DE LUJO|TABASCO|VILLAHERMOSA |VILLAHERMOSA |2020-12-15|12900|X|X|400|2|0|X|X|X|X|X|X|X|X|X|X|X|X|0|RODRIGUEZ |LOPEZ |JESUS MANUEL |0|X|X|CALLEJON LOS RODRIGUEZ |RANCHERIA GONZALEZ PRIMERA |X|9931942194|MATILDE BAUTISTA SANCHEZ |OSVALDO RODRIGUEZ BAUTISTA |0|CALLEJON LOS RODRIGUEZ |X|3|0|0|X|X|X|0|6200|6700|0|0|X|2021-12-16|2021-12-30|X|X|X|0|0|S35D6D3Y9KVTQ1|X|HOMBRE|0|12900|0|0|0|X|X|X|X|X|VILLAHERMOSA |X|0|0|0|0</v>
      </c>
    </row>
    <row r="206" spans="1:82" x14ac:dyDescent="0.25">
      <c r="A206" t="s">
        <v>1607</v>
      </c>
      <c r="B206" t="s">
        <v>1608</v>
      </c>
      <c r="C206">
        <v>3</v>
      </c>
      <c r="D206" t="s">
        <v>741</v>
      </c>
      <c r="E206" t="s">
        <v>359</v>
      </c>
      <c r="F206" t="s">
        <v>360</v>
      </c>
      <c r="G206" t="s">
        <v>360</v>
      </c>
      <c r="H206" t="s">
        <v>828</v>
      </c>
      <c r="I206">
        <v>14800</v>
      </c>
      <c r="J206" t="s">
        <v>1</v>
      </c>
      <c r="K206" t="s">
        <v>1</v>
      </c>
      <c r="L206">
        <v>100</v>
      </c>
      <c r="M206">
        <v>0</v>
      </c>
      <c r="N206">
        <v>0</v>
      </c>
      <c r="O206" t="s">
        <v>1</v>
      </c>
      <c r="P206" t="s">
        <v>1</v>
      </c>
      <c r="Q206" t="s">
        <v>1</v>
      </c>
      <c r="R206" t="s">
        <v>1</v>
      </c>
      <c r="S206" t="s">
        <v>1</v>
      </c>
      <c r="T206" t="s">
        <v>1</v>
      </c>
      <c r="U206" t="s">
        <v>1</v>
      </c>
      <c r="V206" t="s">
        <v>1</v>
      </c>
      <c r="W206" t="s">
        <v>1</v>
      </c>
      <c r="X206" t="s">
        <v>1</v>
      </c>
      <c r="Y206" t="s">
        <v>1</v>
      </c>
      <c r="Z206" t="s">
        <v>1</v>
      </c>
      <c r="AA206">
        <v>0</v>
      </c>
      <c r="AB206" t="s">
        <v>598</v>
      </c>
      <c r="AC206" t="s">
        <v>1609</v>
      </c>
      <c r="AD206" t="s">
        <v>1610</v>
      </c>
      <c r="AE206">
        <v>0</v>
      </c>
      <c r="AF206" t="s">
        <v>1</v>
      </c>
      <c r="AG206" t="s">
        <v>1</v>
      </c>
      <c r="AH206" t="s">
        <v>1611</v>
      </c>
      <c r="AI206" t="s">
        <v>1164</v>
      </c>
      <c r="AJ206" t="s">
        <v>1</v>
      </c>
      <c r="AK206">
        <v>91411822158</v>
      </c>
      <c r="AL206" t="s">
        <v>1</v>
      </c>
      <c r="AM206" t="s">
        <v>1</v>
      </c>
      <c r="AN206">
        <v>0</v>
      </c>
      <c r="AO206" t="s">
        <v>1611</v>
      </c>
      <c r="AP206" t="s">
        <v>1</v>
      </c>
      <c r="AQ206">
        <v>2</v>
      </c>
      <c r="AR206">
        <v>0</v>
      </c>
      <c r="AS206">
        <v>0</v>
      </c>
      <c r="AT206" t="s">
        <v>1</v>
      </c>
      <c r="AU206" t="s">
        <v>1</v>
      </c>
      <c r="AV206" t="s">
        <v>1</v>
      </c>
      <c r="AW206">
        <v>0</v>
      </c>
      <c r="AX206">
        <v>2100</v>
      </c>
      <c r="AY206">
        <v>12700</v>
      </c>
      <c r="AZ206">
        <v>0</v>
      </c>
      <c r="BA206">
        <v>0</v>
      </c>
      <c r="BB206" t="s">
        <v>1</v>
      </c>
      <c r="BC206" t="s">
        <v>280</v>
      </c>
      <c r="BD206" t="s">
        <v>1397</v>
      </c>
      <c r="BE206" t="s">
        <v>1</v>
      </c>
      <c r="BF206" t="s">
        <v>1</v>
      </c>
      <c r="BG206" t="s">
        <v>1</v>
      </c>
      <c r="BH206">
        <v>0</v>
      </c>
      <c r="BI206">
        <v>0</v>
      </c>
      <c r="BJ206" t="s">
        <v>722</v>
      </c>
      <c r="BK206" t="s">
        <v>1</v>
      </c>
      <c r="BL206" t="s">
        <v>1138</v>
      </c>
      <c r="BM206">
        <v>0</v>
      </c>
      <c r="BN206">
        <v>14800</v>
      </c>
      <c r="BO206">
        <v>0</v>
      </c>
      <c r="BP206">
        <v>0</v>
      </c>
      <c r="BQ206">
        <v>0</v>
      </c>
      <c r="BR206" t="s">
        <v>1</v>
      </c>
      <c r="BS206" t="s">
        <v>1</v>
      </c>
      <c r="BT206" t="s">
        <v>1</v>
      </c>
      <c r="BU206" t="s">
        <v>1</v>
      </c>
      <c r="BV206" t="s">
        <v>1</v>
      </c>
      <c r="BW206" t="s">
        <v>360</v>
      </c>
      <c r="BX206" t="s">
        <v>1</v>
      </c>
      <c r="BY206">
        <v>0</v>
      </c>
      <c r="BZ206">
        <v>0</v>
      </c>
      <c r="CA206">
        <v>0</v>
      </c>
      <c r="CB206">
        <v>0</v>
      </c>
      <c r="CD206" t="str" cm="1">
        <f t="array" aca="1" ref="CD206" ca="1">eConcatenar(A206:CB206,"|")</f>
        <v>QgnS6n5XEtrK81jP|VSA2021-1300|3|MEMORIAL|TABASCO|VILLAHERMOSA |VILLAHERMOSA |2021-08-17|14800|X|X|100|0|0|X|X|X|X|X|X|X|X|X|X|X|X|0|JIMENEZ |RUBALCABA|MARIA REMEDIOS |0|X|X|CARRETERA VILLAHERMOSA CARDENAS SIN NUMERO |POBLADO CUCUYULAPA CUNDUACAN |X|91411822158|X|X|0|CARRETERA VILLAHERMOSA CARDENAS SIN NUMERO |X|2|0|0|X|X|X|0|2100|12700|0|0|X|2021-12-29|2022-05-01|X|X|X|0|0|S35D6D3Y9KVTQ1|X|MUJER|0|14800|0|0|0|X|X|X|X|X|VILLAHERMOSA |X|0|0|0|0</v>
      </c>
    </row>
    <row r="207" spans="1:82" x14ac:dyDescent="0.25">
      <c r="A207" t="s">
        <v>1612</v>
      </c>
      <c r="B207" t="s">
        <v>1613</v>
      </c>
      <c r="C207">
        <v>3</v>
      </c>
      <c r="D207" t="s">
        <v>741</v>
      </c>
      <c r="E207" t="s">
        <v>359</v>
      </c>
      <c r="F207" t="s">
        <v>360</v>
      </c>
      <c r="G207" t="s">
        <v>360</v>
      </c>
      <c r="H207" t="s">
        <v>1325</v>
      </c>
      <c r="I207">
        <v>14800</v>
      </c>
      <c r="J207" t="s">
        <v>1</v>
      </c>
      <c r="K207" t="s">
        <v>1</v>
      </c>
      <c r="L207">
        <v>100</v>
      </c>
      <c r="M207">
        <v>0</v>
      </c>
      <c r="N207">
        <v>0</v>
      </c>
      <c r="O207" t="s">
        <v>1</v>
      </c>
      <c r="P207" t="s">
        <v>1</v>
      </c>
      <c r="Q207" t="s">
        <v>1</v>
      </c>
      <c r="R207" t="s">
        <v>1</v>
      </c>
      <c r="S207" t="s">
        <v>1</v>
      </c>
      <c r="T207" t="s">
        <v>1</v>
      </c>
      <c r="U207" t="s">
        <v>1</v>
      </c>
      <c r="V207" t="s">
        <v>1</v>
      </c>
      <c r="W207" t="s">
        <v>1</v>
      </c>
      <c r="X207" t="s">
        <v>1</v>
      </c>
      <c r="Y207" t="s">
        <v>1</v>
      </c>
      <c r="Z207" t="s">
        <v>1</v>
      </c>
      <c r="AA207">
        <v>0</v>
      </c>
      <c r="AB207" t="s">
        <v>217</v>
      </c>
      <c r="AC207" t="s">
        <v>971</v>
      </c>
      <c r="AD207" t="s">
        <v>1614</v>
      </c>
      <c r="AE207">
        <v>0</v>
      </c>
      <c r="AF207" t="s">
        <v>1</v>
      </c>
      <c r="AG207" t="s">
        <v>1</v>
      </c>
      <c r="AH207" t="s">
        <v>1615</v>
      </c>
      <c r="AI207" t="s">
        <v>1616</v>
      </c>
      <c r="AJ207" t="s">
        <v>1</v>
      </c>
      <c r="AK207">
        <v>9371003298</v>
      </c>
      <c r="AL207" t="s">
        <v>1</v>
      </c>
      <c r="AM207" t="s">
        <v>1</v>
      </c>
      <c r="AN207">
        <v>0</v>
      </c>
      <c r="AO207" t="s">
        <v>1615</v>
      </c>
      <c r="AP207" t="s">
        <v>1</v>
      </c>
      <c r="AQ207">
        <v>2</v>
      </c>
      <c r="AR207">
        <v>0</v>
      </c>
      <c r="AS207">
        <v>0</v>
      </c>
      <c r="AT207" t="s">
        <v>1</v>
      </c>
      <c r="AU207" t="s">
        <v>1</v>
      </c>
      <c r="AV207" t="s">
        <v>1</v>
      </c>
      <c r="AW207">
        <v>0</v>
      </c>
      <c r="AX207">
        <v>2300</v>
      </c>
      <c r="AY207">
        <v>12500</v>
      </c>
      <c r="AZ207">
        <v>0</v>
      </c>
      <c r="BA207">
        <v>0</v>
      </c>
      <c r="BB207" t="s">
        <v>1</v>
      </c>
      <c r="BC207" t="s">
        <v>280</v>
      </c>
      <c r="BD207" t="s">
        <v>1397</v>
      </c>
      <c r="BE207" t="s">
        <v>1</v>
      </c>
      <c r="BF207" t="s">
        <v>1</v>
      </c>
      <c r="BG207" t="s">
        <v>1</v>
      </c>
      <c r="BH207">
        <v>0</v>
      </c>
      <c r="BI207">
        <v>0</v>
      </c>
      <c r="BJ207" t="s">
        <v>722</v>
      </c>
      <c r="BK207" t="s">
        <v>1</v>
      </c>
      <c r="BL207" t="s">
        <v>1138</v>
      </c>
      <c r="BM207">
        <v>0</v>
      </c>
      <c r="BN207">
        <v>14800</v>
      </c>
      <c r="BO207">
        <v>0</v>
      </c>
      <c r="BP207">
        <v>0</v>
      </c>
      <c r="BQ207">
        <v>0</v>
      </c>
      <c r="BR207" t="s">
        <v>1</v>
      </c>
      <c r="BS207" t="s">
        <v>1</v>
      </c>
      <c r="BT207" t="s">
        <v>1</v>
      </c>
      <c r="BU207" t="s">
        <v>1</v>
      </c>
      <c r="BV207" t="s">
        <v>1</v>
      </c>
      <c r="BW207" t="s">
        <v>360</v>
      </c>
      <c r="BX207" t="s">
        <v>1</v>
      </c>
      <c r="BY207">
        <v>0</v>
      </c>
      <c r="BZ207">
        <v>0</v>
      </c>
      <c r="CA207">
        <v>0</v>
      </c>
      <c r="CB207">
        <v>0</v>
      </c>
      <c r="CD207" t="str" cm="1">
        <f t="array" aca="1" ref="CD207" ca="1">eConcatenar(A207:CB207,"|")</f>
        <v>UQOB1tdQ0H8souRg|VSA2021-1412|3|MEMORIAL|TABASCO|VILLAHERMOSA |VILLAHERMOSA |2021-08-28|14800|X|X|100|0|0|X|X|X|X|X|X|X|X|X|X|X|X|0|HERNANDEZ|MARTINEZ|AINERIS|0|X|X|CARRETERA AL CAMELLON SIN NUMERO |RANCHERIA PLATANO SEGUNDA SECCION |X|9371003298|X|X|0|CARRETERA AL CAMELLON SIN NUMERO |X|2|0|0|X|X|X|0|2300|12500|0|0|X|2021-12-29|2022-05-01|X|X|X|0|0|S35D6D3Y9KVTQ1|X|MUJER|0|14800|0|0|0|X|X|X|X|X|VILLAHERMOSA |X|0|0|0|0</v>
      </c>
    </row>
    <row r="208" spans="1:82" x14ac:dyDescent="0.25">
      <c r="A208" t="s">
        <v>1617</v>
      </c>
      <c r="B208" t="s">
        <v>1618</v>
      </c>
      <c r="C208">
        <v>3</v>
      </c>
      <c r="D208" t="s">
        <v>741</v>
      </c>
      <c r="E208" t="s">
        <v>359</v>
      </c>
      <c r="F208" t="s">
        <v>360</v>
      </c>
      <c r="G208" t="s">
        <v>360</v>
      </c>
      <c r="H208" t="s">
        <v>1619</v>
      </c>
      <c r="I208">
        <v>14800</v>
      </c>
      <c r="J208" t="s">
        <v>1</v>
      </c>
      <c r="K208" t="s">
        <v>1</v>
      </c>
      <c r="L208">
        <v>100</v>
      </c>
      <c r="M208">
        <v>0</v>
      </c>
      <c r="N208">
        <v>0</v>
      </c>
      <c r="O208" t="s">
        <v>1</v>
      </c>
      <c r="P208" t="s">
        <v>1</v>
      </c>
      <c r="Q208" t="s">
        <v>1</v>
      </c>
      <c r="R208" t="s">
        <v>1</v>
      </c>
      <c r="S208" t="s">
        <v>1</v>
      </c>
      <c r="T208" t="s">
        <v>1</v>
      </c>
      <c r="U208" t="s">
        <v>1</v>
      </c>
      <c r="V208" t="s">
        <v>1</v>
      </c>
      <c r="W208" t="s">
        <v>1</v>
      </c>
      <c r="X208" t="s">
        <v>1</v>
      </c>
      <c r="Y208" t="s">
        <v>1</v>
      </c>
      <c r="Z208" t="s">
        <v>1</v>
      </c>
      <c r="AA208">
        <v>0</v>
      </c>
      <c r="AB208" t="s">
        <v>1620</v>
      </c>
      <c r="AC208" t="s">
        <v>1621</v>
      </c>
      <c r="AD208" t="s">
        <v>1622</v>
      </c>
      <c r="AE208">
        <v>0</v>
      </c>
      <c r="AF208" t="s">
        <v>1</v>
      </c>
      <c r="AG208" t="s">
        <v>1</v>
      </c>
      <c r="AH208" t="s">
        <v>545</v>
      </c>
      <c r="AI208" t="s">
        <v>841</v>
      </c>
      <c r="AJ208" t="s">
        <v>1</v>
      </c>
      <c r="AK208">
        <v>9141288193</v>
      </c>
      <c r="AL208" t="s">
        <v>1</v>
      </c>
      <c r="AM208" t="s">
        <v>1</v>
      </c>
      <c r="AN208">
        <v>0</v>
      </c>
      <c r="AO208" t="s">
        <v>545</v>
      </c>
      <c r="AP208" t="s">
        <v>1</v>
      </c>
      <c r="AQ208">
        <v>2</v>
      </c>
      <c r="AR208">
        <v>0</v>
      </c>
      <c r="AS208">
        <v>0</v>
      </c>
      <c r="AT208" t="s">
        <v>1</v>
      </c>
      <c r="AU208" t="s">
        <v>1</v>
      </c>
      <c r="AV208" t="s">
        <v>1</v>
      </c>
      <c r="AW208">
        <v>0</v>
      </c>
      <c r="AX208">
        <v>2900</v>
      </c>
      <c r="AY208">
        <v>11900</v>
      </c>
      <c r="AZ208">
        <v>0</v>
      </c>
      <c r="BA208">
        <v>0</v>
      </c>
      <c r="BB208" t="s">
        <v>1</v>
      </c>
      <c r="BC208" t="s">
        <v>280</v>
      </c>
      <c r="BD208" t="s">
        <v>1397</v>
      </c>
      <c r="BE208" t="s">
        <v>1</v>
      </c>
      <c r="BF208" t="s">
        <v>1</v>
      </c>
      <c r="BG208" t="s">
        <v>1</v>
      </c>
      <c r="BH208">
        <v>0</v>
      </c>
      <c r="BI208">
        <v>0</v>
      </c>
      <c r="BJ208" t="s">
        <v>722</v>
      </c>
      <c r="BK208" t="s">
        <v>1</v>
      </c>
      <c r="BL208" t="s">
        <v>1138</v>
      </c>
      <c r="BM208">
        <v>0</v>
      </c>
      <c r="BN208">
        <v>14800</v>
      </c>
      <c r="BO208">
        <v>0</v>
      </c>
      <c r="BP208">
        <v>0</v>
      </c>
      <c r="BQ208">
        <v>0</v>
      </c>
      <c r="BR208" t="s">
        <v>1</v>
      </c>
      <c r="BS208" t="s">
        <v>1</v>
      </c>
      <c r="BT208" t="s">
        <v>1</v>
      </c>
      <c r="BU208" t="s">
        <v>1</v>
      </c>
      <c r="BV208" t="s">
        <v>1</v>
      </c>
      <c r="BW208" t="s">
        <v>360</v>
      </c>
      <c r="BX208" t="s">
        <v>1</v>
      </c>
      <c r="BY208">
        <v>0</v>
      </c>
      <c r="BZ208">
        <v>0</v>
      </c>
      <c r="CA208">
        <v>0</v>
      </c>
      <c r="CB208">
        <v>0</v>
      </c>
      <c r="CD208" t="str" cm="1">
        <f t="array" aca="1" ref="CD208" ca="1">eConcatenar(A208:CB208,"|")</f>
        <v>70GF5ebxM6dsjeqQ|VSA2021-1358|3|MEMORIAL|TABASCO|VILLAHERMOSA |VILLAHERMOSA |2021-08-21|14800|X|X|100|0|0|X|X|X|X|X|X|X|X|X|X|X|X|0|SILBAN |MORENO |MARISELA |0|X|X|CARRETERA PRINCIPAL SIN NUMERO |POBLADO CUCUYULAPA |X|9141288193|X|X|0|CARRETERA PRINCIPAL SIN NUMERO |X|2|0|0|X|X|X|0|2900|11900|0|0|X|2021-12-29|2022-05-01|X|X|X|0|0|S35D6D3Y9KVTQ1|X|MUJER|0|14800|0|0|0|X|X|X|X|X|VILLAHERMOSA |X|0|0|0|0</v>
      </c>
    </row>
    <row r="209" spans="1:82" x14ac:dyDescent="0.25">
      <c r="A209" t="s">
        <v>1623</v>
      </c>
      <c r="B209" t="s">
        <v>1624</v>
      </c>
      <c r="C209">
        <v>3</v>
      </c>
      <c r="D209" t="s">
        <v>741</v>
      </c>
      <c r="E209" t="s">
        <v>359</v>
      </c>
      <c r="F209" t="s">
        <v>360</v>
      </c>
      <c r="G209" t="s">
        <v>360</v>
      </c>
      <c r="H209" t="s">
        <v>778</v>
      </c>
      <c r="I209">
        <v>14800</v>
      </c>
      <c r="J209" t="s">
        <v>1</v>
      </c>
      <c r="K209" t="s">
        <v>1</v>
      </c>
      <c r="L209">
        <v>100</v>
      </c>
      <c r="M209">
        <v>0</v>
      </c>
      <c r="N209">
        <v>0</v>
      </c>
      <c r="O209" t="s">
        <v>1</v>
      </c>
      <c r="P209" t="s">
        <v>1</v>
      </c>
      <c r="Q209" t="s">
        <v>1</v>
      </c>
      <c r="R209" t="s">
        <v>1</v>
      </c>
      <c r="S209" t="s">
        <v>1</v>
      </c>
      <c r="T209" t="s">
        <v>1</v>
      </c>
      <c r="U209" t="s">
        <v>1</v>
      </c>
      <c r="V209" t="s">
        <v>1</v>
      </c>
      <c r="W209" t="s">
        <v>1</v>
      </c>
      <c r="X209" t="s">
        <v>1</v>
      </c>
      <c r="Y209" t="s">
        <v>1</v>
      </c>
      <c r="Z209" t="s">
        <v>1</v>
      </c>
      <c r="AA209">
        <v>0</v>
      </c>
      <c r="AB209" t="s">
        <v>1625</v>
      </c>
      <c r="AC209" t="s">
        <v>1626</v>
      </c>
      <c r="AD209" t="s">
        <v>1627</v>
      </c>
      <c r="AE209">
        <v>0</v>
      </c>
      <c r="AF209" t="s">
        <v>1</v>
      </c>
      <c r="AG209" t="s">
        <v>1</v>
      </c>
      <c r="AH209" t="s">
        <v>1628</v>
      </c>
      <c r="AI209" t="s">
        <v>1629</v>
      </c>
      <c r="AJ209" t="s">
        <v>1</v>
      </c>
      <c r="AK209">
        <v>9371029448</v>
      </c>
      <c r="AL209" t="s">
        <v>1</v>
      </c>
      <c r="AM209" t="s">
        <v>1</v>
      </c>
      <c r="AN209">
        <v>0</v>
      </c>
      <c r="AO209" t="s">
        <v>1628</v>
      </c>
      <c r="AP209" t="s">
        <v>1</v>
      </c>
      <c r="AQ209">
        <v>2</v>
      </c>
      <c r="AR209">
        <v>0</v>
      </c>
      <c r="AS209">
        <v>0</v>
      </c>
      <c r="AT209" t="s">
        <v>1</v>
      </c>
      <c r="AU209" t="s">
        <v>1</v>
      </c>
      <c r="AV209" t="s">
        <v>1</v>
      </c>
      <c r="AW209">
        <v>0</v>
      </c>
      <c r="AX209">
        <v>2000</v>
      </c>
      <c r="AY209">
        <v>12800</v>
      </c>
      <c r="AZ209">
        <v>0</v>
      </c>
      <c r="BA209">
        <v>0</v>
      </c>
      <c r="BB209" t="s">
        <v>1</v>
      </c>
      <c r="BC209" t="s">
        <v>280</v>
      </c>
      <c r="BD209" t="s">
        <v>1397</v>
      </c>
      <c r="BE209" t="s">
        <v>1</v>
      </c>
      <c r="BF209" t="s">
        <v>1</v>
      </c>
      <c r="BG209" t="s">
        <v>1</v>
      </c>
      <c r="BH209">
        <v>0</v>
      </c>
      <c r="BI209">
        <v>0</v>
      </c>
      <c r="BJ209" t="s">
        <v>722</v>
      </c>
      <c r="BK209" t="s">
        <v>1</v>
      </c>
      <c r="BL209" t="s">
        <v>1138</v>
      </c>
      <c r="BM209">
        <v>0</v>
      </c>
      <c r="BN209">
        <v>14800</v>
      </c>
      <c r="BO209">
        <v>0</v>
      </c>
      <c r="BP209">
        <v>0</v>
      </c>
      <c r="BQ209">
        <v>0</v>
      </c>
      <c r="BR209" t="s">
        <v>1</v>
      </c>
      <c r="BS209" t="s">
        <v>1</v>
      </c>
      <c r="BT209" t="s">
        <v>1</v>
      </c>
      <c r="BU209" t="s">
        <v>1</v>
      </c>
      <c r="BV209" t="s">
        <v>1</v>
      </c>
      <c r="BW209" t="s">
        <v>360</v>
      </c>
      <c r="BX209" t="s">
        <v>1</v>
      </c>
      <c r="BY209">
        <v>0</v>
      </c>
      <c r="BZ209">
        <v>0</v>
      </c>
      <c r="CA209">
        <v>0</v>
      </c>
      <c r="CB209">
        <v>0</v>
      </c>
      <c r="CD209" t="str" cm="1">
        <f t="array" aca="1" ref="CD209" ca="1">eConcatenar(A209:CB209,"|")</f>
        <v>wmUulxKwhyl72bKR|VSA2021-1386|3|MEMORIAL|TABASCO|VILLAHERMOSA |VILLAHERMOSA |2021-08-25|14800|X|X|100|0|0|X|X|X|X|X|X|X|X|X|X|X|X|0|TORREZ|COLORADO |ANTONIA |0|X|X|POBLADO CUCUYULAPA CASA DE CARNITAS |COLONIA OSCAR GOMEZ SAUL|X|9371029448|X|X|0|POBLADO CUCUYULAPA CASA DE CARNITAS |X|2|0|0|X|X|X|0|2000|12800|0|0|X|2021-12-29|2022-05-01|X|X|X|0|0|S35D6D3Y9KVTQ1|X|MUJER|0|14800|0|0|0|X|X|X|X|X|VILLAHERMOSA |X|0|0|0|0</v>
      </c>
    </row>
    <row r="210" spans="1:82" x14ac:dyDescent="0.25">
      <c r="A210" t="s">
        <v>1630</v>
      </c>
      <c r="B210" t="s">
        <v>1631</v>
      </c>
      <c r="C210">
        <v>3</v>
      </c>
      <c r="D210" t="s">
        <v>741</v>
      </c>
      <c r="E210" t="s">
        <v>359</v>
      </c>
      <c r="F210" t="s">
        <v>360</v>
      </c>
      <c r="G210" t="s">
        <v>360</v>
      </c>
      <c r="H210" t="s">
        <v>399</v>
      </c>
      <c r="I210">
        <v>14800</v>
      </c>
      <c r="J210" t="s">
        <v>1</v>
      </c>
      <c r="K210" t="s">
        <v>1</v>
      </c>
      <c r="L210">
        <v>100</v>
      </c>
      <c r="M210">
        <v>0</v>
      </c>
      <c r="N210">
        <v>0</v>
      </c>
      <c r="O210" t="s">
        <v>1</v>
      </c>
      <c r="P210" t="s">
        <v>1</v>
      </c>
      <c r="Q210" t="s">
        <v>1</v>
      </c>
      <c r="R210" t="s">
        <v>1</v>
      </c>
      <c r="S210" t="s">
        <v>1</v>
      </c>
      <c r="T210" t="s">
        <v>1</v>
      </c>
      <c r="U210" t="s">
        <v>1</v>
      </c>
      <c r="V210" t="s">
        <v>1</v>
      </c>
      <c r="W210" t="s">
        <v>1</v>
      </c>
      <c r="X210" t="s">
        <v>1</v>
      </c>
      <c r="Y210" t="s">
        <v>1</v>
      </c>
      <c r="Z210" t="s">
        <v>1</v>
      </c>
      <c r="AA210">
        <v>0</v>
      </c>
      <c r="AB210" t="s">
        <v>217</v>
      </c>
      <c r="AC210" t="s">
        <v>1632</v>
      </c>
      <c r="AD210" t="s">
        <v>1633</v>
      </c>
      <c r="AE210">
        <v>0</v>
      </c>
      <c r="AF210" t="s">
        <v>1</v>
      </c>
      <c r="AG210" t="s">
        <v>1</v>
      </c>
      <c r="AH210" t="s">
        <v>1634</v>
      </c>
      <c r="AI210" t="s">
        <v>1635</v>
      </c>
      <c r="AJ210" t="s">
        <v>1</v>
      </c>
      <c r="AK210">
        <v>9371616314</v>
      </c>
      <c r="AL210" t="s">
        <v>1</v>
      </c>
      <c r="AM210" t="s">
        <v>1</v>
      </c>
      <c r="AN210">
        <v>0</v>
      </c>
      <c r="AO210" t="s">
        <v>1634</v>
      </c>
      <c r="AP210" t="s">
        <v>1</v>
      </c>
      <c r="AQ210">
        <v>3</v>
      </c>
      <c r="AR210">
        <v>0</v>
      </c>
      <c r="AS210">
        <v>0</v>
      </c>
      <c r="AT210" t="s">
        <v>1</v>
      </c>
      <c r="AU210" t="s">
        <v>1</v>
      </c>
      <c r="AV210" t="s">
        <v>1</v>
      </c>
      <c r="AW210">
        <v>0</v>
      </c>
      <c r="AX210">
        <v>500</v>
      </c>
      <c r="AY210">
        <v>14300</v>
      </c>
      <c r="AZ210">
        <v>0</v>
      </c>
      <c r="BA210">
        <v>0</v>
      </c>
      <c r="BB210" t="s">
        <v>1</v>
      </c>
      <c r="BC210" t="s">
        <v>198</v>
      </c>
      <c r="BD210" t="s">
        <v>1636</v>
      </c>
      <c r="BE210" t="s">
        <v>1</v>
      </c>
      <c r="BF210" t="s">
        <v>1</v>
      </c>
      <c r="BG210" t="s">
        <v>1</v>
      </c>
      <c r="BH210">
        <v>0</v>
      </c>
      <c r="BI210">
        <v>0</v>
      </c>
      <c r="BJ210" t="s">
        <v>722</v>
      </c>
      <c r="BK210" t="s">
        <v>1</v>
      </c>
      <c r="BL210" t="s">
        <v>132</v>
      </c>
      <c r="BM210">
        <v>0</v>
      </c>
      <c r="BN210">
        <v>14800</v>
      </c>
      <c r="BO210">
        <v>0</v>
      </c>
      <c r="BP210">
        <v>0</v>
      </c>
      <c r="BQ210">
        <v>0</v>
      </c>
      <c r="BR210" t="s">
        <v>1</v>
      </c>
      <c r="BS210" t="s">
        <v>1</v>
      </c>
      <c r="BT210" t="s">
        <v>1</v>
      </c>
      <c r="BU210" t="s">
        <v>1</v>
      </c>
      <c r="BV210" t="s">
        <v>1</v>
      </c>
      <c r="BW210" t="s">
        <v>360</v>
      </c>
      <c r="BX210" t="s">
        <v>1</v>
      </c>
      <c r="BY210">
        <v>0</v>
      </c>
      <c r="BZ210">
        <v>0</v>
      </c>
      <c r="CA210">
        <v>0</v>
      </c>
      <c r="CB210">
        <v>0</v>
      </c>
      <c r="CD210" t="str" cm="1">
        <f t="array" aca="1" ref="CD210" ca="1">eConcatenar(A210:CB210,"|")</f>
        <v>xkRewEGLLAsdYW2D|VSA2021-7083|3|MEMORIAL|TABASCO|VILLAHERMOSA |VILLAHERMOSA |2021-11-20|14800|X|X|100|0|0|X|X|X|X|X|X|X|X|X|X|X|X|0|HERNANDEZ|VENTURA |GERMAN |0|X|X|RANCHERIA CUCUYULAPA |ENTRADA POR TORTILLERIA BETHEL COMO A 150 METROS DE LA IGLESIA CATOLICA |X|9371616314|X|X|0|RANCHERIA CUCUYULAPA |X|3|0|0|X|X|X|0|500|14300|0|0|X|2021-12-30|2022-06-01|X|X|X|0|0|S35D6D3Y9KVTQ1|X|HOMBRE|0|14800|0|0|0|X|X|X|X|X|VILLAHERMOSA |X|0|0|0|0</v>
      </c>
    </row>
    <row r="211" spans="1:82" x14ac:dyDescent="0.25">
      <c r="A211" t="s">
        <v>1637</v>
      </c>
      <c r="B211" t="s">
        <v>1638</v>
      </c>
      <c r="C211">
        <v>3</v>
      </c>
      <c r="D211" t="s">
        <v>891</v>
      </c>
      <c r="E211" t="s">
        <v>359</v>
      </c>
      <c r="F211" t="s">
        <v>360</v>
      </c>
      <c r="G211" t="s">
        <v>360</v>
      </c>
      <c r="H211" t="s">
        <v>920</v>
      </c>
      <c r="I211">
        <v>12900</v>
      </c>
      <c r="J211" t="s">
        <v>1</v>
      </c>
      <c r="K211" t="s">
        <v>1</v>
      </c>
      <c r="L211">
        <v>100</v>
      </c>
      <c r="M211">
        <v>0</v>
      </c>
      <c r="N211">
        <v>0</v>
      </c>
      <c r="O211" t="s">
        <v>1</v>
      </c>
      <c r="P211" t="s">
        <v>1</v>
      </c>
      <c r="Q211" t="s">
        <v>1</v>
      </c>
      <c r="R211" t="s">
        <v>1</v>
      </c>
      <c r="S211" t="s">
        <v>1</v>
      </c>
      <c r="T211" t="s">
        <v>1</v>
      </c>
      <c r="U211" t="s">
        <v>1</v>
      </c>
      <c r="V211" t="s">
        <v>1</v>
      </c>
      <c r="W211" t="s">
        <v>1</v>
      </c>
      <c r="X211" t="s">
        <v>1</v>
      </c>
      <c r="Y211" t="s">
        <v>1</v>
      </c>
      <c r="Z211" t="s">
        <v>1</v>
      </c>
      <c r="AA211">
        <v>0</v>
      </c>
      <c r="AB211" t="s">
        <v>1639</v>
      </c>
      <c r="AC211" t="s">
        <v>782</v>
      </c>
      <c r="AD211" t="s">
        <v>290</v>
      </c>
      <c r="AE211">
        <v>0</v>
      </c>
      <c r="AF211" t="s">
        <v>1</v>
      </c>
      <c r="AG211" t="s">
        <v>1</v>
      </c>
      <c r="AH211" t="s">
        <v>756</v>
      </c>
      <c r="AI211" t="s">
        <v>1640</v>
      </c>
      <c r="AJ211" t="s">
        <v>1</v>
      </c>
      <c r="AK211">
        <v>9931255706</v>
      </c>
      <c r="AL211" t="s">
        <v>1641</v>
      </c>
      <c r="AM211" t="s">
        <v>1642</v>
      </c>
      <c r="AN211">
        <v>0</v>
      </c>
      <c r="AO211" t="s">
        <v>756</v>
      </c>
      <c r="AP211" t="s">
        <v>1</v>
      </c>
      <c r="AQ211">
        <v>3</v>
      </c>
      <c r="AR211">
        <v>0</v>
      </c>
      <c r="AS211">
        <v>0</v>
      </c>
      <c r="AT211" t="s">
        <v>1</v>
      </c>
      <c r="AU211" t="s">
        <v>1</v>
      </c>
      <c r="AV211" t="s">
        <v>1</v>
      </c>
      <c r="AW211">
        <v>0</v>
      </c>
      <c r="AX211">
        <v>5100</v>
      </c>
      <c r="AY211">
        <v>7800</v>
      </c>
      <c r="AZ211">
        <v>0</v>
      </c>
      <c r="BA211">
        <v>0</v>
      </c>
      <c r="BB211" t="s">
        <v>1</v>
      </c>
      <c r="BC211" t="s">
        <v>198</v>
      </c>
      <c r="BD211" t="s">
        <v>1636</v>
      </c>
      <c r="BE211" t="s">
        <v>1</v>
      </c>
      <c r="BF211" t="s">
        <v>1</v>
      </c>
      <c r="BG211" t="s">
        <v>1</v>
      </c>
      <c r="BH211">
        <v>0</v>
      </c>
      <c r="BI211">
        <v>0</v>
      </c>
      <c r="BJ211" t="s">
        <v>722</v>
      </c>
      <c r="BK211" t="s">
        <v>1</v>
      </c>
      <c r="BL211" t="s">
        <v>132</v>
      </c>
      <c r="BM211">
        <v>0</v>
      </c>
      <c r="BN211">
        <v>12900</v>
      </c>
      <c r="BO211">
        <v>0</v>
      </c>
      <c r="BP211">
        <v>0</v>
      </c>
      <c r="BQ211">
        <v>0</v>
      </c>
      <c r="BR211" t="s">
        <v>1</v>
      </c>
      <c r="BS211" t="s">
        <v>1</v>
      </c>
      <c r="BT211" t="s">
        <v>1</v>
      </c>
      <c r="BU211" t="s">
        <v>1</v>
      </c>
      <c r="BV211" t="s">
        <v>1</v>
      </c>
      <c r="BW211" t="s">
        <v>360</v>
      </c>
      <c r="BX211" t="s">
        <v>1</v>
      </c>
      <c r="BY211">
        <v>0</v>
      </c>
      <c r="BZ211">
        <v>0</v>
      </c>
      <c r="CA211">
        <v>0</v>
      </c>
      <c r="CB211">
        <v>0</v>
      </c>
      <c r="CD211" t="str" cm="1">
        <f t="array" aca="1" ref="CD211" ca="1">eConcatenar(A211:CB211,"|")</f>
        <v>MHzwzgW2cTqrud1M|VSA2020-0417|3|ECONOLINE|TABASCO|VILLAHERMOSA |VILLAHERMOSA |2020-08-25|12900|X|X|100|0|0|X|X|X|X|X|X|X|X|X|X|X|X|0|VALENCIA |DIAZ|JORGE|0|X|X|RANCHERIA EMILIANO ZAPATA |BOSQUE DE SALOYA |X|9931255706|NORMA AGUILAR RUIZ |MANUELA DIAZ HERNANDEZ |0|RANCHERIA EMILIANO ZAPATA |X|3|0|0|X|X|X|0|5100|7800|0|0|X|2021-12-30|2022-06-01|X|X|X|0|0|S35D6D3Y9KVTQ1|X|HOMBRE|0|12900|0|0|0|X|X|X|X|X|VILLAHERMOSA |X|0|0|0|0</v>
      </c>
    </row>
    <row r="212" spans="1:82" x14ac:dyDescent="0.25">
      <c r="A212" t="s">
        <v>1643</v>
      </c>
      <c r="B212" t="s">
        <v>1644</v>
      </c>
      <c r="C212">
        <v>3</v>
      </c>
      <c r="D212" t="s">
        <v>891</v>
      </c>
      <c r="E212" t="s">
        <v>359</v>
      </c>
      <c r="F212" t="s">
        <v>360</v>
      </c>
      <c r="G212" t="s">
        <v>360</v>
      </c>
      <c r="H212" t="s">
        <v>495</v>
      </c>
      <c r="I212">
        <v>12900</v>
      </c>
      <c r="J212" t="s">
        <v>1</v>
      </c>
      <c r="K212" t="s">
        <v>1</v>
      </c>
      <c r="L212">
        <v>100</v>
      </c>
      <c r="M212">
        <v>0</v>
      </c>
      <c r="N212">
        <v>0</v>
      </c>
      <c r="O212" t="s">
        <v>1</v>
      </c>
      <c r="P212" t="s">
        <v>1</v>
      </c>
      <c r="Q212" t="s">
        <v>1</v>
      </c>
      <c r="R212" t="s">
        <v>1</v>
      </c>
      <c r="S212" t="s">
        <v>1</v>
      </c>
      <c r="T212" t="s">
        <v>1</v>
      </c>
      <c r="U212" t="s">
        <v>1</v>
      </c>
      <c r="V212" t="s">
        <v>1</v>
      </c>
      <c r="W212" t="s">
        <v>1</v>
      </c>
      <c r="X212" t="s">
        <v>1</v>
      </c>
      <c r="Y212" t="s">
        <v>1</v>
      </c>
      <c r="Z212" t="s">
        <v>1</v>
      </c>
      <c r="AA212">
        <v>0</v>
      </c>
      <c r="AB212" t="s">
        <v>1645</v>
      </c>
      <c r="AC212" t="s">
        <v>1646</v>
      </c>
      <c r="AD212" t="s">
        <v>831</v>
      </c>
      <c r="AE212">
        <v>0</v>
      </c>
      <c r="AF212" t="s">
        <v>1</v>
      </c>
      <c r="AG212" t="s">
        <v>1</v>
      </c>
      <c r="AH212" t="s">
        <v>545</v>
      </c>
      <c r="AI212" t="s">
        <v>719</v>
      </c>
      <c r="AJ212" t="s">
        <v>1</v>
      </c>
      <c r="AK212">
        <v>9934327210</v>
      </c>
      <c r="AL212" t="s">
        <v>1647</v>
      </c>
      <c r="AM212" t="s">
        <v>1648</v>
      </c>
      <c r="AN212">
        <v>0</v>
      </c>
      <c r="AO212" t="s">
        <v>545</v>
      </c>
      <c r="AP212" t="s">
        <v>1</v>
      </c>
      <c r="AQ212">
        <v>3</v>
      </c>
      <c r="AR212">
        <v>0</v>
      </c>
      <c r="AS212">
        <v>0</v>
      </c>
      <c r="AT212" t="s">
        <v>1</v>
      </c>
      <c r="AU212" t="s">
        <v>1</v>
      </c>
      <c r="AV212" t="s">
        <v>1</v>
      </c>
      <c r="AW212">
        <v>0</v>
      </c>
      <c r="AX212">
        <v>5600</v>
      </c>
      <c r="AY212">
        <v>7300</v>
      </c>
      <c r="AZ212">
        <v>0</v>
      </c>
      <c r="BA212">
        <v>0</v>
      </c>
      <c r="BB212" t="s">
        <v>1</v>
      </c>
      <c r="BC212" t="s">
        <v>198</v>
      </c>
      <c r="BD212" t="s">
        <v>1636</v>
      </c>
      <c r="BE212" t="s">
        <v>1</v>
      </c>
      <c r="BF212" t="s">
        <v>1</v>
      </c>
      <c r="BG212" t="s">
        <v>1</v>
      </c>
      <c r="BH212">
        <v>0</v>
      </c>
      <c r="BI212">
        <v>0</v>
      </c>
      <c r="BJ212" t="s">
        <v>722</v>
      </c>
      <c r="BK212" t="s">
        <v>1</v>
      </c>
      <c r="BL212" t="s">
        <v>1138</v>
      </c>
      <c r="BM212">
        <v>0</v>
      </c>
      <c r="BN212">
        <v>12900</v>
      </c>
      <c r="BO212">
        <v>0</v>
      </c>
      <c r="BP212">
        <v>0</v>
      </c>
      <c r="BQ212">
        <v>0</v>
      </c>
      <c r="BR212" t="s">
        <v>1</v>
      </c>
      <c r="BS212" t="s">
        <v>1</v>
      </c>
      <c r="BT212" t="s">
        <v>1</v>
      </c>
      <c r="BU212" t="s">
        <v>1</v>
      </c>
      <c r="BV212" t="s">
        <v>1</v>
      </c>
      <c r="BW212" t="s">
        <v>360</v>
      </c>
      <c r="BX212" t="s">
        <v>1</v>
      </c>
      <c r="BY212">
        <v>0</v>
      </c>
      <c r="BZ212">
        <v>0</v>
      </c>
      <c r="CA212">
        <v>0</v>
      </c>
      <c r="CB212">
        <v>0</v>
      </c>
      <c r="CD212" t="str" cm="1">
        <f t="array" aca="1" ref="CD212" ca="1">eConcatenar(A212:CB212,"|")</f>
        <v>2FgGmTe3u0N61x73|VSA2020-0438|3|ECONOLINE|TABASCO|VILLAHERMOSA |VILLAHERMOSA |2020-08-27|12900|X|X|100|0|0|X|X|X|X|X|X|X|X|X|X|X|X|0|DE LOS SANTOS |CAMPOS |JOSEFINA|0|X|X|CARRETERA PRINCIPAL SIN NUMERO |RANCHERIA ANACLETO CANABAL TERCERA SECCION |X|9934327210|JESUS CONTRERAS DE LOS SANTOS |LUIS ANGEL CONTRERAS DE LOS SANTOS |0|CARRETERA PRINCIPAL SIN NUMERO |X|3|0|0|X|X|X|0|5600|7300|0|0|X|2021-12-30|2022-06-01|X|X|X|0|0|S35D6D3Y9KVTQ1|X|MUJER|0|12900|0|0|0|X|X|X|X|X|VILLAHERMOSA |X|0|0|0|0</v>
      </c>
    </row>
    <row r="213" spans="1:82" x14ac:dyDescent="0.25">
      <c r="A213" t="s">
        <v>1649</v>
      </c>
      <c r="B213" t="s">
        <v>1650</v>
      </c>
      <c r="C213">
        <v>3</v>
      </c>
      <c r="D213" t="s">
        <v>891</v>
      </c>
      <c r="E213" t="s">
        <v>359</v>
      </c>
      <c r="F213" t="s">
        <v>360</v>
      </c>
      <c r="G213" t="s">
        <v>360</v>
      </c>
      <c r="H213" t="s">
        <v>1019</v>
      </c>
      <c r="I213">
        <v>12900</v>
      </c>
      <c r="J213" t="s">
        <v>1</v>
      </c>
      <c r="K213" t="s">
        <v>1</v>
      </c>
      <c r="L213">
        <v>100</v>
      </c>
      <c r="M213">
        <v>0</v>
      </c>
      <c r="N213">
        <v>0</v>
      </c>
      <c r="O213" t="s">
        <v>1</v>
      </c>
      <c r="P213" t="s">
        <v>1</v>
      </c>
      <c r="Q213" t="s">
        <v>1</v>
      </c>
      <c r="R213" t="s">
        <v>1</v>
      </c>
      <c r="S213" t="s">
        <v>1</v>
      </c>
      <c r="T213" t="s">
        <v>1</v>
      </c>
      <c r="U213" t="s">
        <v>1</v>
      </c>
      <c r="V213" t="s">
        <v>1</v>
      </c>
      <c r="W213" t="s">
        <v>1</v>
      </c>
      <c r="X213" t="s">
        <v>1</v>
      </c>
      <c r="Y213" t="s">
        <v>1</v>
      </c>
      <c r="Z213" t="s">
        <v>1</v>
      </c>
      <c r="AA213">
        <v>0</v>
      </c>
      <c r="AB213" t="s">
        <v>479</v>
      </c>
      <c r="AC213" t="s">
        <v>1651</v>
      </c>
      <c r="AD213" t="s">
        <v>1652</v>
      </c>
      <c r="AE213">
        <v>0</v>
      </c>
      <c r="AF213" t="s">
        <v>1</v>
      </c>
      <c r="AG213" t="s">
        <v>1</v>
      </c>
      <c r="AH213" t="s">
        <v>1653</v>
      </c>
      <c r="AI213" t="s">
        <v>994</v>
      </c>
      <c r="AJ213" t="s">
        <v>1</v>
      </c>
      <c r="AK213">
        <v>9933443170</v>
      </c>
      <c r="AL213" t="s">
        <v>1654</v>
      </c>
      <c r="AM213" t="s">
        <v>1655</v>
      </c>
      <c r="AN213">
        <v>0</v>
      </c>
      <c r="AO213" t="s">
        <v>1653</v>
      </c>
      <c r="AP213" t="s">
        <v>1</v>
      </c>
      <c r="AQ213">
        <v>3</v>
      </c>
      <c r="AR213">
        <v>0</v>
      </c>
      <c r="AS213">
        <v>0</v>
      </c>
      <c r="AT213" t="s">
        <v>1</v>
      </c>
      <c r="AU213" t="s">
        <v>1</v>
      </c>
      <c r="AV213" t="s">
        <v>1</v>
      </c>
      <c r="AW213">
        <v>0</v>
      </c>
      <c r="AX213">
        <v>4700</v>
      </c>
      <c r="AY213">
        <v>8700</v>
      </c>
      <c r="AZ213">
        <v>0</v>
      </c>
      <c r="BA213">
        <v>0</v>
      </c>
      <c r="BB213" t="s">
        <v>1</v>
      </c>
      <c r="BC213" t="s">
        <v>198</v>
      </c>
      <c r="BD213" t="s">
        <v>1636</v>
      </c>
      <c r="BE213" t="s">
        <v>1</v>
      </c>
      <c r="BF213" t="s">
        <v>1</v>
      </c>
      <c r="BG213" t="s">
        <v>1</v>
      </c>
      <c r="BH213">
        <v>0</v>
      </c>
      <c r="BI213">
        <v>0</v>
      </c>
      <c r="BJ213" t="s">
        <v>722</v>
      </c>
      <c r="BK213" t="s">
        <v>1</v>
      </c>
      <c r="BL213" t="s">
        <v>1138</v>
      </c>
      <c r="BM213">
        <v>0</v>
      </c>
      <c r="BN213">
        <v>12900</v>
      </c>
      <c r="BO213">
        <v>0</v>
      </c>
      <c r="BP213">
        <v>0</v>
      </c>
      <c r="BQ213">
        <v>0</v>
      </c>
      <c r="BR213" t="s">
        <v>1</v>
      </c>
      <c r="BS213" t="s">
        <v>1</v>
      </c>
      <c r="BT213" t="s">
        <v>1</v>
      </c>
      <c r="BU213" t="s">
        <v>1</v>
      </c>
      <c r="BV213" t="s">
        <v>1</v>
      </c>
      <c r="BW213" t="s">
        <v>360</v>
      </c>
      <c r="BX213" t="s">
        <v>1</v>
      </c>
      <c r="BY213">
        <v>0</v>
      </c>
      <c r="BZ213">
        <v>0</v>
      </c>
      <c r="CA213">
        <v>0</v>
      </c>
      <c r="CB213">
        <v>0</v>
      </c>
      <c r="CD213" t="str" cm="1">
        <f t="array" aca="1" ref="CD213" ca="1">eConcatenar(A213:CB213,"|")</f>
        <v>LzUsne7XX7w6xtkF|VSA2020-0554|3|ECONOLINE|TABASCO|VILLAHERMOSA |VILLAHERMOSA |2020-11-09|12900|X|X|100|0|0|X|X|X|X|X|X|X|X|X|X|X|X|0|SANCHEZ |ESTRADA |SUSANA |0|X|X|CALLE ESTRADA LOS COCOS SIN NUMERO |RANCHERIA LAZARO CARDENAS PRIMERA SECCION |X|9933443170|MARLENE ESTRADA PEREZ |ERIKA SANCHEZ ESTRADA |0|CALLE ESTRADA LOS COCOS SIN NUMERO |X|3|0|0|X|X|X|0|4700|8700|0|0|X|2021-12-30|2022-06-01|X|X|X|0|0|S35D6D3Y9KVTQ1|X|MUJER|0|12900|0|0|0|X|X|X|X|X|VILLAHERMOSA |X|0|0|0|0</v>
      </c>
    </row>
    <row r="214" spans="1:82" x14ac:dyDescent="0.25">
      <c r="A214" t="s">
        <v>1656</v>
      </c>
      <c r="B214" t="s">
        <v>1657</v>
      </c>
      <c r="C214">
        <v>3</v>
      </c>
      <c r="D214" t="s">
        <v>891</v>
      </c>
      <c r="E214" t="s">
        <v>359</v>
      </c>
      <c r="F214" t="s">
        <v>360</v>
      </c>
      <c r="G214" t="s">
        <v>360</v>
      </c>
      <c r="H214" t="s">
        <v>963</v>
      </c>
      <c r="I214">
        <v>12900</v>
      </c>
      <c r="J214" t="s">
        <v>1</v>
      </c>
      <c r="K214" t="s">
        <v>1</v>
      </c>
      <c r="L214">
        <v>100</v>
      </c>
      <c r="M214">
        <v>0</v>
      </c>
      <c r="N214">
        <v>0</v>
      </c>
      <c r="O214" t="s">
        <v>1</v>
      </c>
      <c r="P214" t="s">
        <v>1</v>
      </c>
      <c r="Q214" t="s">
        <v>1</v>
      </c>
      <c r="R214" t="s">
        <v>1</v>
      </c>
      <c r="S214" t="s">
        <v>1</v>
      </c>
      <c r="T214" t="s">
        <v>1</v>
      </c>
      <c r="U214" t="s">
        <v>1</v>
      </c>
      <c r="V214" t="s">
        <v>1</v>
      </c>
      <c r="W214" t="s">
        <v>1</v>
      </c>
      <c r="X214" t="s">
        <v>1</v>
      </c>
      <c r="Y214" t="s">
        <v>1</v>
      </c>
      <c r="Z214" t="s">
        <v>1</v>
      </c>
      <c r="AA214">
        <v>0</v>
      </c>
      <c r="AB214" t="s">
        <v>1658</v>
      </c>
      <c r="AC214" t="s">
        <v>726</v>
      </c>
      <c r="AD214" t="s">
        <v>1659</v>
      </c>
      <c r="AE214">
        <v>0</v>
      </c>
      <c r="AF214" t="s">
        <v>1</v>
      </c>
      <c r="AG214" t="s">
        <v>1</v>
      </c>
      <c r="AH214" t="s">
        <v>1660</v>
      </c>
      <c r="AI214" t="s">
        <v>1302</v>
      </c>
      <c r="AJ214" t="s">
        <v>1</v>
      </c>
      <c r="AK214">
        <v>99311009643</v>
      </c>
      <c r="AL214" t="s">
        <v>1661</v>
      </c>
      <c r="AM214" t="s">
        <v>1662</v>
      </c>
      <c r="AN214">
        <v>0</v>
      </c>
      <c r="AO214" t="s">
        <v>1660</v>
      </c>
      <c r="AP214" t="s">
        <v>1</v>
      </c>
      <c r="AQ214">
        <v>2</v>
      </c>
      <c r="AR214">
        <v>0</v>
      </c>
      <c r="AS214">
        <v>0</v>
      </c>
      <c r="AT214" t="s">
        <v>1</v>
      </c>
      <c r="AU214" t="s">
        <v>1</v>
      </c>
      <c r="AV214" t="s">
        <v>1</v>
      </c>
      <c r="AW214">
        <v>0</v>
      </c>
      <c r="AX214">
        <v>6200</v>
      </c>
      <c r="AY214">
        <v>6700</v>
      </c>
      <c r="AZ214">
        <v>0</v>
      </c>
      <c r="BA214">
        <v>0</v>
      </c>
      <c r="BB214" t="s">
        <v>1</v>
      </c>
      <c r="BC214" t="s">
        <v>1105</v>
      </c>
      <c r="BD214" t="s">
        <v>280</v>
      </c>
      <c r="BE214" t="s">
        <v>1</v>
      </c>
      <c r="BF214" t="s">
        <v>1</v>
      </c>
      <c r="BG214" t="s">
        <v>1</v>
      </c>
      <c r="BH214">
        <v>0</v>
      </c>
      <c r="BI214">
        <v>0</v>
      </c>
      <c r="BJ214" t="s">
        <v>722</v>
      </c>
      <c r="BK214" t="s">
        <v>1</v>
      </c>
      <c r="BL214" t="s">
        <v>1138</v>
      </c>
      <c r="BM214">
        <v>0</v>
      </c>
      <c r="BN214">
        <v>12900</v>
      </c>
      <c r="BO214">
        <v>0</v>
      </c>
      <c r="BP214">
        <v>0</v>
      </c>
      <c r="BQ214">
        <v>0</v>
      </c>
      <c r="BR214" t="s">
        <v>1</v>
      </c>
      <c r="BS214" t="s">
        <v>1</v>
      </c>
      <c r="BT214" t="s">
        <v>1</v>
      </c>
      <c r="BU214" t="s">
        <v>1</v>
      </c>
      <c r="BV214" t="s">
        <v>1</v>
      </c>
      <c r="BW214" t="s">
        <v>360</v>
      </c>
      <c r="BX214" t="s">
        <v>1</v>
      </c>
      <c r="BY214">
        <v>0</v>
      </c>
      <c r="BZ214">
        <v>0</v>
      </c>
      <c r="CA214">
        <v>0</v>
      </c>
      <c r="CB214">
        <v>0</v>
      </c>
      <c r="CD214" t="str" cm="1">
        <f t="array" aca="1" ref="CD214" ca="1">eConcatenar(A214:CB214,"|")</f>
        <v>DgSPpsy34G0ZP8wP|VSA2020-0495|3|ECONOLINE|TABASCO|VILLAHERMOSA |VILLAHERMOSA |2020-03-09|12900|X|X|100|0|0|X|X|X|X|X|X|X|X|X|X|X|X|0|VALIER|CRUZ|LUZ DEL ALBA|0|X|X|SECTOR LOS FRIAS |RANCHERIA LAZARO CARDENAS SEGUNDA SECCION |X|99311009643|JUAN TOSCA VENTURA |JUAN MANUEL TOSCA VALIER |0|SECTOR LOS FRIAS |X|2|0|0|X|X|X|0|6200|6700|0|0|X|2021-12-22|2021-12-29|X|X|X|0|0|S35D6D3Y9KVTQ1|X|MUJER|0|12900|0|0|0|X|X|X|X|X|VILLAHERMOSA |X|0|0|0|0</v>
      </c>
    </row>
    <row r="215" spans="1:82" x14ac:dyDescent="0.25">
      <c r="A215" t="s">
        <v>1663</v>
      </c>
      <c r="B215" t="s">
        <v>1664</v>
      </c>
      <c r="C215">
        <v>3</v>
      </c>
      <c r="D215" t="s">
        <v>741</v>
      </c>
      <c r="E215" t="s">
        <v>359</v>
      </c>
      <c r="F215" t="s">
        <v>360</v>
      </c>
      <c r="G215" t="s">
        <v>360</v>
      </c>
      <c r="H215" t="s">
        <v>828</v>
      </c>
      <c r="I215">
        <v>14800</v>
      </c>
      <c r="J215" t="s">
        <v>1</v>
      </c>
      <c r="K215" t="s">
        <v>1</v>
      </c>
      <c r="L215">
        <v>100</v>
      </c>
      <c r="M215">
        <v>0</v>
      </c>
      <c r="N215">
        <v>0</v>
      </c>
      <c r="O215" t="s">
        <v>1</v>
      </c>
      <c r="P215" t="s">
        <v>1</v>
      </c>
      <c r="Q215" t="s">
        <v>1</v>
      </c>
      <c r="R215" t="s">
        <v>1</v>
      </c>
      <c r="S215" t="s">
        <v>1</v>
      </c>
      <c r="T215" t="s">
        <v>1</v>
      </c>
      <c r="U215" t="s">
        <v>1</v>
      </c>
      <c r="V215" t="s">
        <v>1</v>
      </c>
      <c r="W215" t="s">
        <v>1</v>
      </c>
      <c r="X215" t="s">
        <v>1</v>
      </c>
      <c r="Y215" t="s">
        <v>1</v>
      </c>
      <c r="Z215" t="s">
        <v>1</v>
      </c>
      <c r="AA215">
        <v>0</v>
      </c>
      <c r="AB215" t="s">
        <v>1204</v>
      </c>
      <c r="AC215" t="s">
        <v>993</v>
      </c>
      <c r="AD215" t="s">
        <v>1197</v>
      </c>
      <c r="AE215">
        <v>0</v>
      </c>
      <c r="AF215" t="s">
        <v>1</v>
      </c>
      <c r="AG215" t="s">
        <v>1</v>
      </c>
      <c r="AH215" t="s">
        <v>1665</v>
      </c>
      <c r="AI215" t="s">
        <v>1666</v>
      </c>
      <c r="AJ215" t="s">
        <v>1</v>
      </c>
      <c r="AK215">
        <v>9141301487</v>
      </c>
      <c r="AL215" t="s">
        <v>1667</v>
      </c>
      <c r="AM215" t="s">
        <v>1668</v>
      </c>
      <c r="AN215">
        <v>0</v>
      </c>
      <c r="AO215" t="s">
        <v>1665</v>
      </c>
      <c r="AP215" t="s">
        <v>1</v>
      </c>
      <c r="AQ215">
        <v>3</v>
      </c>
      <c r="AR215">
        <v>0</v>
      </c>
      <c r="AS215">
        <v>0</v>
      </c>
      <c r="AT215" t="s">
        <v>1</v>
      </c>
      <c r="AU215" t="s">
        <v>1</v>
      </c>
      <c r="AV215" t="s">
        <v>1</v>
      </c>
      <c r="AW215">
        <v>0</v>
      </c>
      <c r="AX215">
        <v>2000</v>
      </c>
      <c r="AY215">
        <v>12800</v>
      </c>
      <c r="AZ215">
        <v>0</v>
      </c>
      <c r="BA215">
        <v>0</v>
      </c>
      <c r="BB215" t="s">
        <v>1</v>
      </c>
      <c r="BC215" t="s">
        <v>198</v>
      </c>
      <c r="BD215" t="s">
        <v>1636</v>
      </c>
      <c r="BE215" t="s">
        <v>1</v>
      </c>
      <c r="BF215" t="s">
        <v>1</v>
      </c>
      <c r="BG215" t="s">
        <v>1</v>
      </c>
      <c r="BH215">
        <v>0</v>
      </c>
      <c r="BI215">
        <v>0</v>
      </c>
      <c r="BJ215" t="s">
        <v>722</v>
      </c>
      <c r="BK215" t="s">
        <v>1</v>
      </c>
      <c r="BL215" t="s">
        <v>132</v>
      </c>
      <c r="BM215">
        <v>0</v>
      </c>
      <c r="BN215">
        <v>14800</v>
      </c>
      <c r="BO215">
        <v>0</v>
      </c>
      <c r="BP215">
        <v>0</v>
      </c>
      <c r="BQ215">
        <v>0</v>
      </c>
      <c r="BR215" t="s">
        <v>1</v>
      </c>
      <c r="BS215" t="s">
        <v>1</v>
      </c>
      <c r="BT215" t="s">
        <v>1</v>
      </c>
      <c r="BU215" t="s">
        <v>1</v>
      </c>
      <c r="BV215" t="s">
        <v>1</v>
      </c>
      <c r="BW215" t="s">
        <v>360</v>
      </c>
      <c r="BX215" t="s">
        <v>1</v>
      </c>
      <c r="BY215">
        <v>0</v>
      </c>
      <c r="BZ215">
        <v>0</v>
      </c>
      <c r="CA215">
        <v>0</v>
      </c>
      <c r="CB215">
        <v>0</v>
      </c>
      <c r="CD215" t="str" cm="1">
        <f t="array" aca="1" ref="CD215" ca="1">eConcatenar(A215:CB215,"|")</f>
        <v>wQuTLtwU54DK1OpJ|VSA2021-1302|3|MEMORIAL|TABASCO|VILLAHERMOSA |VILLAHERMOSA |2021-08-17|14800|X|X|100|0|0|X|X|X|X|X|X|X|X|X|X|X|X|0|DE DIOS |CONTRERAS|ANTONIO|0|X|X|LOCALIDAD MARIN SIN NUMERO |RANCHERIA MARIN KILOMETRO 142 |X|9141301487|VICTORIA DE DIOS JIMENEZ|MANUEL DE DIOS JIMENEZ |0|LOCALIDAD MARIN SIN NUMERO |X|3|0|0|X|X|X|0|2000|12800|0|0|X|2021-12-30|2022-06-01|X|X|X|0|0|S35D6D3Y9KVTQ1|X|HOMBRE|0|14800|0|0|0|X|X|X|X|X|VILLAHERMOSA |X|0|0|0|0</v>
      </c>
    </row>
    <row r="216" spans="1:82" x14ac:dyDescent="0.25">
      <c r="A216" t="s">
        <v>1669</v>
      </c>
      <c r="B216" t="s">
        <v>1670</v>
      </c>
      <c r="C216">
        <v>3</v>
      </c>
      <c r="D216" t="s">
        <v>741</v>
      </c>
      <c r="E216" t="s">
        <v>359</v>
      </c>
      <c r="F216" t="s">
        <v>360</v>
      </c>
      <c r="G216" t="s">
        <v>360</v>
      </c>
      <c r="H216" t="s">
        <v>828</v>
      </c>
      <c r="I216">
        <v>14800</v>
      </c>
      <c r="J216" t="s">
        <v>1</v>
      </c>
      <c r="K216" t="s">
        <v>1</v>
      </c>
      <c r="L216">
        <v>100</v>
      </c>
      <c r="M216">
        <v>0</v>
      </c>
      <c r="N216">
        <v>0</v>
      </c>
      <c r="O216" t="s">
        <v>1</v>
      </c>
      <c r="P216" t="s">
        <v>1</v>
      </c>
      <c r="Q216" t="s">
        <v>1</v>
      </c>
      <c r="R216" t="s">
        <v>1</v>
      </c>
      <c r="S216" t="s">
        <v>1</v>
      </c>
      <c r="T216" t="s">
        <v>1</v>
      </c>
      <c r="U216" t="s">
        <v>1</v>
      </c>
      <c r="V216" t="s">
        <v>1</v>
      </c>
      <c r="W216" t="s">
        <v>1</v>
      </c>
      <c r="X216" t="s">
        <v>1</v>
      </c>
      <c r="Y216" t="s">
        <v>1</v>
      </c>
      <c r="Z216" t="s">
        <v>1</v>
      </c>
      <c r="AA216">
        <v>0</v>
      </c>
      <c r="AB216" t="s">
        <v>217</v>
      </c>
      <c r="AC216" t="s">
        <v>257</v>
      </c>
      <c r="AD216" t="s">
        <v>1671</v>
      </c>
      <c r="AE216">
        <v>0</v>
      </c>
      <c r="AF216" t="s">
        <v>1</v>
      </c>
      <c r="AG216" t="s">
        <v>1</v>
      </c>
      <c r="AH216" t="s">
        <v>1672</v>
      </c>
      <c r="AI216" t="s">
        <v>1673</v>
      </c>
      <c r="AJ216" t="s">
        <v>1</v>
      </c>
      <c r="AK216">
        <v>9935160070</v>
      </c>
      <c r="AL216" t="s">
        <v>1674</v>
      </c>
      <c r="AM216" t="s">
        <v>1</v>
      </c>
      <c r="AN216">
        <v>0</v>
      </c>
      <c r="AO216" t="s">
        <v>1672</v>
      </c>
      <c r="AP216" t="s">
        <v>1</v>
      </c>
      <c r="AQ216">
        <v>3</v>
      </c>
      <c r="AR216">
        <v>0</v>
      </c>
      <c r="AS216">
        <v>0</v>
      </c>
      <c r="AT216" t="s">
        <v>1</v>
      </c>
      <c r="AU216" t="s">
        <v>1</v>
      </c>
      <c r="AV216" t="s">
        <v>1</v>
      </c>
      <c r="AW216">
        <v>0</v>
      </c>
      <c r="AX216">
        <v>1630</v>
      </c>
      <c r="AY216">
        <v>13170</v>
      </c>
      <c r="AZ216">
        <v>0</v>
      </c>
      <c r="BA216">
        <v>0</v>
      </c>
      <c r="BB216" t="s">
        <v>1</v>
      </c>
      <c r="BC216" t="s">
        <v>198</v>
      </c>
      <c r="BD216" t="s">
        <v>1636</v>
      </c>
      <c r="BE216" t="s">
        <v>1</v>
      </c>
      <c r="BF216" t="s">
        <v>1</v>
      </c>
      <c r="BG216" t="s">
        <v>1</v>
      </c>
      <c r="BH216">
        <v>0</v>
      </c>
      <c r="BI216">
        <v>0</v>
      </c>
      <c r="BJ216" t="s">
        <v>722</v>
      </c>
      <c r="BK216" t="s">
        <v>1</v>
      </c>
      <c r="BL216" t="s">
        <v>1138</v>
      </c>
      <c r="BM216">
        <v>0</v>
      </c>
      <c r="BN216">
        <v>14800</v>
      </c>
      <c r="BO216">
        <v>0</v>
      </c>
      <c r="BP216">
        <v>0</v>
      </c>
      <c r="BQ216">
        <v>0</v>
      </c>
      <c r="BR216" t="s">
        <v>1</v>
      </c>
      <c r="BS216" t="s">
        <v>1</v>
      </c>
      <c r="BT216" t="s">
        <v>1</v>
      </c>
      <c r="BU216" t="s">
        <v>1</v>
      </c>
      <c r="BV216" t="s">
        <v>1</v>
      </c>
      <c r="BW216" t="s">
        <v>360</v>
      </c>
      <c r="BX216" t="s">
        <v>1</v>
      </c>
      <c r="BY216">
        <v>0</v>
      </c>
      <c r="BZ216">
        <v>0</v>
      </c>
      <c r="CA216">
        <v>0</v>
      </c>
      <c r="CB216">
        <v>0</v>
      </c>
      <c r="CD216" t="str" cm="1">
        <f t="array" aca="1" ref="CD216" ca="1">eConcatenar(A216:CB216,"|")</f>
        <v>08x1HK1VSuuDmu3Q|VSA2021-1293|3|MEMORIAL|TABASCO|VILLAHERMOSA |VILLAHERMOSA |2021-08-17|14800|X|X|100|0|0|X|X|X|X|X|X|X|X|X|X|X|X|0|HERNANDEZ|DE LA CRUZ|AMALIA |0|X|X|CARRETERA FEDERAL VILLAHERMOSA CARDENAS SIN NUMERO |RANCHERIA MARIN CENTRO|X|9935160070|ARACELY HERNANDEZ HERNANDEZ |X|0|CARRETERA FEDERAL VILLAHERMOSA CARDENAS SIN NUMERO |X|3|0|0|X|X|X|0|1630|13170|0|0|X|2021-12-30|2022-06-01|X|X|X|0|0|S35D6D3Y9KVTQ1|X|MUJER|0|14800|0|0|0|X|X|X|X|X|VILLAHERMOSA |X|0|0|0|0</v>
      </c>
    </row>
    <row r="217" spans="1:82" x14ac:dyDescent="0.25">
      <c r="A217" t="s">
        <v>1675</v>
      </c>
      <c r="B217" t="s">
        <v>1676</v>
      </c>
      <c r="C217">
        <v>3</v>
      </c>
      <c r="D217" t="s">
        <v>741</v>
      </c>
      <c r="E217" t="s">
        <v>359</v>
      </c>
      <c r="F217" t="s">
        <v>360</v>
      </c>
      <c r="G217" t="s">
        <v>360</v>
      </c>
      <c r="H217" t="s">
        <v>828</v>
      </c>
      <c r="I217">
        <v>14800</v>
      </c>
      <c r="J217" t="s">
        <v>1</v>
      </c>
      <c r="K217" t="s">
        <v>1</v>
      </c>
      <c r="L217">
        <v>100</v>
      </c>
      <c r="M217">
        <v>0</v>
      </c>
      <c r="N217">
        <v>0</v>
      </c>
      <c r="O217" t="s">
        <v>1</v>
      </c>
      <c r="P217" t="s">
        <v>1</v>
      </c>
      <c r="Q217" t="s">
        <v>1</v>
      </c>
      <c r="R217" t="s">
        <v>1</v>
      </c>
      <c r="S217" t="s">
        <v>1</v>
      </c>
      <c r="T217" t="s">
        <v>1</v>
      </c>
      <c r="U217" t="s">
        <v>1</v>
      </c>
      <c r="V217" t="s">
        <v>1</v>
      </c>
      <c r="W217" t="s">
        <v>1</v>
      </c>
      <c r="X217" t="s">
        <v>1</v>
      </c>
      <c r="Y217" t="s">
        <v>1</v>
      </c>
      <c r="Z217" t="s">
        <v>1</v>
      </c>
      <c r="AA217">
        <v>0</v>
      </c>
      <c r="AB217" t="s">
        <v>479</v>
      </c>
      <c r="AC217" t="s">
        <v>829</v>
      </c>
      <c r="AD217" t="s">
        <v>1677</v>
      </c>
      <c r="AE217">
        <v>0</v>
      </c>
      <c r="AF217" t="s">
        <v>1</v>
      </c>
      <c r="AG217" t="s">
        <v>1</v>
      </c>
      <c r="AH217" t="s">
        <v>1244</v>
      </c>
      <c r="AI217" t="s">
        <v>841</v>
      </c>
      <c r="AJ217" t="s">
        <v>1</v>
      </c>
      <c r="AK217">
        <v>9371107909</v>
      </c>
      <c r="AL217" t="s">
        <v>1678</v>
      </c>
      <c r="AM217" t="s">
        <v>1679</v>
      </c>
      <c r="AN217">
        <v>0</v>
      </c>
      <c r="AO217" t="s">
        <v>1244</v>
      </c>
      <c r="AP217" t="s">
        <v>1</v>
      </c>
      <c r="AQ217">
        <v>3</v>
      </c>
      <c r="AR217">
        <v>0</v>
      </c>
      <c r="AS217">
        <v>0</v>
      </c>
      <c r="AT217" t="s">
        <v>1</v>
      </c>
      <c r="AU217" t="s">
        <v>1</v>
      </c>
      <c r="AV217" t="s">
        <v>1</v>
      </c>
      <c r="AW217">
        <v>0</v>
      </c>
      <c r="AX217">
        <v>1900</v>
      </c>
      <c r="AY217">
        <v>12900</v>
      </c>
      <c r="AZ217">
        <v>0</v>
      </c>
      <c r="BA217">
        <v>0</v>
      </c>
      <c r="BB217" t="s">
        <v>1</v>
      </c>
      <c r="BC217" t="s">
        <v>198</v>
      </c>
      <c r="BD217" t="s">
        <v>1636</v>
      </c>
      <c r="BE217" t="s">
        <v>1</v>
      </c>
      <c r="BF217">
        <v>0</v>
      </c>
      <c r="BG217" t="s">
        <v>1</v>
      </c>
      <c r="BH217">
        <v>0</v>
      </c>
      <c r="BI217">
        <v>0</v>
      </c>
      <c r="BJ217" t="s">
        <v>722</v>
      </c>
      <c r="BK217" t="s">
        <v>1</v>
      </c>
      <c r="BL217" t="s">
        <v>1138</v>
      </c>
      <c r="BM217">
        <v>0</v>
      </c>
      <c r="BN217">
        <v>14800</v>
      </c>
      <c r="BO217">
        <v>0</v>
      </c>
      <c r="BP217">
        <v>0</v>
      </c>
      <c r="BQ217">
        <v>0</v>
      </c>
      <c r="BR217" t="s">
        <v>1</v>
      </c>
      <c r="BS217" t="s">
        <v>1</v>
      </c>
      <c r="BT217" t="s">
        <v>1</v>
      </c>
      <c r="BU217" t="s">
        <v>1</v>
      </c>
      <c r="BV217" t="s">
        <v>1</v>
      </c>
      <c r="BW217" t="s">
        <v>360</v>
      </c>
      <c r="BX217" t="s">
        <v>1</v>
      </c>
      <c r="BY217">
        <v>0</v>
      </c>
      <c r="BZ217">
        <v>0</v>
      </c>
      <c r="CA217">
        <v>0</v>
      </c>
      <c r="CB217">
        <v>0</v>
      </c>
      <c r="CD217" t="str" cm="1">
        <f t="array" aca="1" ref="CD217" ca="1">eConcatenar(A217:CB217,"|")</f>
        <v>57TiiiErINADRPnI|VSA2021-1299|3|MEMORIAL|TABASCO|VILLAHERMOSA |VILLAHERMOSA |2021-08-17|14800|X|X|100|0|0|X|X|X|X|X|X|X|X|X|X|X|X|0|SANCHEZ |PEREZ|ETELVINA |0|X|X|CARRETERA FEDERAL CARDENAS VILLAHERMOSA |POBLADO CUCUYULAPA |X|9371107909|MARIA PEREZ ESCOBAR |EDUARDO PEREZ SANCHEZ|0|CARRETERA FEDERAL CARDENAS VILLAHERMOSA |X|3|0|0|X|X|X|0|1900|12900|0|0|X|2021-12-30|2022-06-01|X|0|X|0|0|S35D6D3Y9KVTQ1|X|MUJER|0|14800|0|0|0|X|X|X|X|X|VILLAHERMOSA |X|0|0|0|0</v>
      </c>
    </row>
    <row r="218" spans="1:82" x14ac:dyDescent="0.25">
      <c r="A218" t="s">
        <v>1680</v>
      </c>
      <c r="B218" t="s">
        <v>1681</v>
      </c>
      <c r="C218">
        <v>3</v>
      </c>
      <c r="D218" t="s">
        <v>891</v>
      </c>
      <c r="E218" t="s">
        <v>359</v>
      </c>
      <c r="F218" t="s">
        <v>360</v>
      </c>
      <c r="G218" t="s">
        <v>360</v>
      </c>
      <c r="H218" t="s">
        <v>1682</v>
      </c>
      <c r="I218">
        <v>12900</v>
      </c>
      <c r="J218" t="s">
        <v>1</v>
      </c>
      <c r="K218" t="s">
        <v>1</v>
      </c>
      <c r="L218">
        <v>100</v>
      </c>
      <c r="M218">
        <v>0</v>
      </c>
      <c r="N218">
        <v>0</v>
      </c>
      <c r="O218" t="s">
        <v>1</v>
      </c>
      <c r="P218" t="s">
        <v>1</v>
      </c>
      <c r="Q218" t="s">
        <v>1</v>
      </c>
      <c r="R218" t="s">
        <v>1</v>
      </c>
      <c r="S218" t="s">
        <v>1</v>
      </c>
      <c r="T218" t="s">
        <v>1</v>
      </c>
      <c r="U218" t="s">
        <v>1</v>
      </c>
      <c r="V218" t="s">
        <v>1</v>
      </c>
      <c r="W218" t="s">
        <v>1</v>
      </c>
      <c r="X218" t="s">
        <v>1</v>
      </c>
      <c r="Y218" t="s">
        <v>1</v>
      </c>
      <c r="Z218" t="s">
        <v>1</v>
      </c>
      <c r="AA218">
        <v>0</v>
      </c>
      <c r="AB218" t="s">
        <v>439</v>
      </c>
      <c r="AC218" t="s">
        <v>1683</v>
      </c>
      <c r="AD218" t="s">
        <v>1684</v>
      </c>
      <c r="AE218">
        <v>0</v>
      </c>
      <c r="AF218" t="s">
        <v>1</v>
      </c>
      <c r="AG218" t="s">
        <v>1</v>
      </c>
      <c r="AH218" t="s">
        <v>1685</v>
      </c>
      <c r="AI218" t="s">
        <v>728</v>
      </c>
      <c r="AJ218" t="s">
        <v>1</v>
      </c>
      <c r="AK218">
        <v>9934369081</v>
      </c>
      <c r="AL218" t="s">
        <v>1686</v>
      </c>
      <c r="AM218" t="s">
        <v>1687</v>
      </c>
      <c r="AN218">
        <v>0</v>
      </c>
      <c r="AO218" t="s">
        <v>1685</v>
      </c>
      <c r="AP218" t="s">
        <v>1</v>
      </c>
      <c r="AQ218">
        <v>3</v>
      </c>
      <c r="AR218">
        <v>0</v>
      </c>
      <c r="AS218">
        <v>0</v>
      </c>
      <c r="AT218" t="s">
        <v>1</v>
      </c>
      <c r="AU218" t="s">
        <v>1</v>
      </c>
      <c r="AV218" t="s">
        <v>1</v>
      </c>
      <c r="AW218">
        <v>0</v>
      </c>
      <c r="AX218">
        <v>5500</v>
      </c>
      <c r="AY218">
        <v>7400</v>
      </c>
      <c r="AZ218">
        <v>0</v>
      </c>
      <c r="BA218">
        <v>0</v>
      </c>
      <c r="BB218" t="s">
        <v>1</v>
      </c>
      <c r="BC218" t="s">
        <v>730</v>
      </c>
      <c r="BD218" t="s">
        <v>1159</v>
      </c>
      <c r="BE218" t="s">
        <v>1</v>
      </c>
      <c r="BF218">
        <v>0</v>
      </c>
      <c r="BG218" t="s">
        <v>1</v>
      </c>
      <c r="BH218">
        <v>0</v>
      </c>
      <c r="BI218">
        <v>0</v>
      </c>
      <c r="BJ218" t="s">
        <v>722</v>
      </c>
      <c r="BK218" t="s">
        <v>1</v>
      </c>
      <c r="BL218" t="s">
        <v>1138</v>
      </c>
      <c r="BM218">
        <v>0</v>
      </c>
      <c r="BN218">
        <v>12900</v>
      </c>
      <c r="BO218">
        <v>0</v>
      </c>
      <c r="BP218">
        <v>0</v>
      </c>
      <c r="BQ218">
        <v>0</v>
      </c>
      <c r="BR218" t="s">
        <v>1</v>
      </c>
      <c r="BS218" t="s">
        <v>1</v>
      </c>
      <c r="BT218" t="s">
        <v>1</v>
      </c>
      <c r="BU218" t="s">
        <v>1</v>
      </c>
      <c r="BV218" t="s">
        <v>1</v>
      </c>
      <c r="BW218" t="s">
        <v>360</v>
      </c>
      <c r="BX218" t="s">
        <v>1</v>
      </c>
      <c r="BY218">
        <v>0</v>
      </c>
      <c r="BZ218">
        <v>0</v>
      </c>
      <c r="CA218">
        <v>0</v>
      </c>
      <c r="CB218">
        <v>0</v>
      </c>
      <c r="CD218" t="str" cm="1">
        <f t="array" aca="1" ref="CD218" ca="1">eConcatenar(A218:CB218,"|")</f>
        <v>I7C63fc129F21OYp|VSA2020-0579|3|ECONOLINE|TABASCO|VILLAHERMOSA |VILLAHERMOSA |2020-09-15|12900|X|X|100|0|0|X|X|X|X|X|X|X|X|X|X|X|X|0|REYES |CARRASCO |MARTELIS |0|X|X|CALLEJON ESPERANZA SIN NUMERO |RANCHERIA ANACLETO CANABAL SEGUNDA SECCION |X|9934369081|RICARDO CARRASCO REYES |LUISA JANET RODRIGUEZ REYES |0|CALLEJON ESPERANZA SIN NUMERO |X|3|0|0|X|X|X|0|5500|7400|0|0|X|2021-12-16|2021-12-23|X|0|X|0|0|S35D6D3Y9KVTQ1|X|MUJER|0|12900|0|0|0|X|X|X|X|X|VILLAHERMOSA |X|0|0|0|0</v>
      </c>
    </row>
    <row r="219" spans="1:82" x14ac:dyDescent="0.25">
      <c r="A219" t="s">
        <v>1688</v>
      </c>
      <c r="B219" t="s">
        <v>1689</v>
      </c>
      <c r="C219">
        <v>3</v>
      </c>
      <c r="D219" t="s">
        <v>891</v>
      </c>
      <c r="E219" t="s">
        <v>359</v>
      </c>
      <c r="F219" t="s">
        <v>360</v>
      </c>
      <c r="G219" t="s">
        <v>360</v>
      </c>
      <c r="H219" t="s">
        <v>1056</v>
      </c>
      <c r="I219">
        <v>12900</v>
      </c>
      <c r="J219" t="s">
        <v>1</v>
      </c>
      <c r="K219" t="s">
        <v>1</v>
      </c>
      <c r="L219">
        <v>100</v>
      </c>
      <c r="M219">
        <v>0</v>
      </c>
      <c r="N219">
        <v>0</v>
      </c>
      <c r="O219" t="s">
        <v>1</v>
      </c>
      <c r="P219" t="s">
        <v>1</v>
      </c>
      <c r="Q219" t="s">
        <v>1</v>
      </c>
      <c r="R219" t="s">
        <v>1</v>
      </c>
      <c r="S219" t="s">
        <v>1</v>
      </c>
      <c r="T219" t="s">
        <v>1</v>
      </c>
      <c r="U219" t="s">
        <v>1</v>
      </c>
      <c r="V219" t="s">
        <v>1</v>
      </c>
      <c r="W219" t="s">
        <v>1</v>
      </c>
      <c r="X219" t="s">
        <v>1</v>
      </c>
      <c r="Y219" t="s">
        <v>1</v>
      </c>
      <c r="Z219" t="s">
        <v>1</v>
      </c>
      <c r="AA219">
        <v>0</v>
      </c>
      <c r="AB219" t="s">
        <v>761</v>
      </c>
      <c r="AC219" t="s">
        <v>217</v>
      </c>
      <c r="AD219" t="s">
        <v>1690</v>
      </c>
      <c r="AE219">
        <v>0</v>
      </c>
      <c r="AF219" t="s">
        <v>1</v>
      </c>
      <c r="AG219" t="s">
        <v>1</v>
      </c>
      <c r="AH219" t="s">
        <v>1691</v>
      </c>
      <c r="AI219" t="s">
        <v>728</v>
      </c>
      <c r="AJ219" t="s">
        <v>1</v>
      </c>
      <c r="AK219">
        <v>99312995152</v>
      </c>
      <c r="AL219" t="s">
        <v>1692</v>
      </c>
      <c r="AM219" t="s">
        <v>1693</v>
      </c>
      <c r="AN219">
        <v>0</v>
      </c>
      <c r="AO219" t="s">
        <v>1691</v>
      </c>
      <c r="AP219" t="s">
        <v>1</v>
      </c>
      <c r="AQ219">
        <v>2</v>
      </c>
      <c r="AR219">
        <v>0</v>
      </c>
      <c r="AS219">
        <v>0</v>
      </c>
      <c r="AT219" t="s">
        <v>1</v>
      </c>
      <c r="AU219" t="s">
        <v>1</v>
      </c>
      <c r="AV219" t="s">
        <v>1</v>
      </c>
      <c r="AW219">
        <v>0</v>
      </c>
      <c r="AX219">
        <v>5730</v>
      </c>
      <c r="AY219">
        <v>7170</v>
      </c>
      <c r="AZ219">
        <v>0</v>
      </c>
      <c r="BA219">
        <v>0</v>
      </c>
      <c r="BB219" t="s">
        <v>1</v>
      </c>
      <c r="BC219" t="s">
        <v>1105</v>
      </c>
      <c r="BD219" t="s">
        <v>280</v>
      </c>
      <c r="BE219" t="s">
        <v>1</v>
      </c>
      <c r="BF219">
        <v>0</v>
      </c>
      <c r="BG219" t="s">
        <v>1</v>
      </c>
      <c r="BH219">
        <v>0</v>
      </c>
      <c r="BI219">
        <v>0</v>
      </c>
      <c r="BJ219" t="s">
        <v>722</v>
      </c>
      <c r="BK219" t="s">
        <v>1</v>
      </c>
      <c r="BL219" t="s">
        <v>1138</v>
      </c>
      <c r="BM219">
        <v>0</v>
      </c>
      <c r="BN219">
        <v>12900</v>
      </c>
      <c r="BO219">
        <v>0</v>
      </c>
      <c r="BP219">
        <v>0</v>
      </c>
      <c r="BQ219">
        <v>0</v>
      </c>
      <c r="BR219" t="s">
        <v>1</v>
      </c>
      <c r="BS219" t="s">
        <v>1</v>
      </c>
      <c r="BT219" t="s">
        <v>1</v>
      </c>
      <c r="BU219" t="s">
        <v>1</v>
      </c>
      <c r="BV219" t="s">
        <v>1</v>
      </c>
      <c r="BW219" t="s">
        <v>360</v>
      </c>
      <c r="BX219" t="s">
        <v>1</v>
      </c>
      <c r="BY219">
        <v>0</v>
      </c>
      <c r="BZ219">
        <v>0</v>
      </c>
      <c r="CA219">
        <v>0</v>
      </c>
      <c r="CB219">
        <v>0</v>
      </c>
      <c r="CD219" t="str" cm="1">
        <f t="array" aca="1" ref="CD219" ca="1">eConcatenar(A219:CB219,"|")</f>
        <v>y2SiFLXJJHR6Oz8X|VSA2020-0615|3|ECONOLINE|TABASCO|VILLAHERMOSA |VILLAHERMOSA |2020-09-19|12900|X|X|100|0|0|X|X|X|X|X|X|X|X|X|X|X|X|0|TORRES |HERNANDEZ|LAURA|0|X|X|ENTRADA EL GUASIMO SIN NUMERO |RANCHERIA ANACLETO CANABAL SEGUNDA SECCION |X|99312995152|JOSE FRANCISCO ALEJO TORRES|MIGUEL GARCIA JIMENEZ|0|ENTRADA EL GUASIMO SIN NUMERO |X|2|0|0|X|X|X|0|5730|7170|0|0|X|2021-12-22|2021-12-29|X|0|X|0|0|S35D6D3Y9KVTQ1|X|MUJER|0|12900|0|0|0|X|X|X|X|X|VILLAHERMOSA |X|0|0|0|0</v>
      </c>
    </row>
    <row r="220" spans="1:82" x14ac:dyDescent="0.25">
      <c r="A220" t="s">
        <v>1694</v>
      </c>
      <c r="B220" t="s">
        <v>1695</v>
      </c>
      <c r="C220">
        <v>3</v>
      </c>
      <c r="D220" t="s">
        <v>715</v>
      </c>
      <c r="E220" t="s">
        <v>359</v>
      </c>
      <c r="F220" t="s">
        <v>360</v>
      </c>
      <c r="G220" t="s">
        <v>360</v>
      </c>
      <c r="H220" t="s">
        <v>1081</v>
      </c>
      <c r="I220">
        <v>12900</v>
      </c>
      <c r="J220" t="s">
        <v>1</v>
      </c>
      <c r="K220" t="s">
        <v>1</v>
      </c>
      <c r="L220">
        <v>100</v>
      </c>
      <c r="M220">
        <v>0</v>
      </c>
      <c r="N220">
        <v>0</v>
      </c>
      <c r="O220" t="s">
        <v>1</v>
      </c>
      <c r="P220" t="s">
        <v>1</v>
      </c>
      <c r="Q220" t="s">
        <v>1</v>
      </c>
      <c r="R220" t="s">
        <v>1</v>
      </c>
      <c r="S220" t="s">
        <v>1</v>
      </c>
      <c r="T220" t="s">
        <v>1</v>
      </c>
      <c r="U220" t="s">
        <v>1</v>
      </c>
      <c r="V220" t="s">
        <v>1</v>
      </c>
      <c r="W220" t="s">
        <v>1</v>
      </c>
      <c r="X220" t="s">
        <v>1</v>
      </c>
      <c r="Y220" t="s">
        <v>1</v>
      </c>
      <c r="Z220" t="s">
        <v>1</v>
      </c>
      <c r="AA220">
        <v>0</v>
      </c>
      <c r="AB220" t="s">
        <v>1533</v>
      </c>
      <c r="AC220" t="s">
        <v>1696</v>
      </c>
      <c r="AD220" t="s">
        <v>1697</v>
      </c>
      <c r="AE220">
        <v>0</v>
      </c>
      <c r="AF220" t="s">
        <v>1</v>
      </c>
      <c r="AG220" t="s">
        <v>1</v>
      </c>
      <c r="AH220" t="s">
        <v>1357</v>
      </c>
      <c r="AI220" t="s">
        <v>1112</v>
      </c>
      <c r="AJ220" t="s">
        <v>1</v>
      </c>
      <c r="AK220">
        <v>9933419069</v>
      </c>
      <c r="AL220" t="s">
        <v>1698</v>
      </c>
      <c r="AM220" t="s">
        <v>1699</v>
      </c>
      <c r="AN220">
        <v>0</v>
      </c>
      <c r="AO220" t="s">
        <v>1357</v>
      </c>
      <c r="AP220" t="s">
        <v>1</v>
      </c>
      <c r="AQ220">
        <v>3</v>
      </c>
      <c r="AR220">
        <v>0</v>
      </c>
      <c r="AS220">
        <v>0</v>
      </c>
      <c r="AT220" t="s">
        <v>1</v>
      </c>
      <c r="AU220" t="s">
        <v>1</v>
      </c>
      <c r="AV220" t="s">
        <v>1</v>
      </c>
      <c r="AW220">
        <v>0</v>
      </c>
      <c r="AX220">
        <v>6300</v>
      </c>
      <c r="AY220">
        <v>6600</v>
      </c>
      <c r="AZ220">
        <v>0</v>
      </c>
      <c r="BA220">
        <v>0</v>
      </c>
      <c r="BB220" t="s">
        <v>1</v>
      </c>
      <c r="BC220" t="s">
        <v>198</v>
      </c>
      <c r="BD220" t="s">
        <v>1636</v>
      </c>
      <c r="BE220" t="s">
        <v>1</v>
      </c>
      <c r="BF220">
        <v>0</v>
      </c>
      <c r="BG220" t="s">
        <v>1</v>
      </c>
      <c r="BH220">
        <v>0</v>
      </c>
      <c r="BI220">
        <v>0</v>
      </c>
      <c r="BJ220" t="s">
        <v>722</v>
      </c>
      <c r="BK220" t="s">
        <v>1</v>
      </c>
      <c r="BL220" t="s">
        <v>1138</v>
      </c>
      <c r="BM220">
        <v>0</v>
      </c>
      <c r="BN220">
        <v>12900</v>
      </c>
      <c r="BO220">
        <v>0</v>
      </c>
      <c r="BP220">
        <v>0</v>
      </c>
      <c r="BQ220">
        <v>0</v>
      </c>
      <c r="BR220" t="s">
        <v>1</v>
      </c>
      <c r="BS220" t="s">
        <v>1</v>
      </c>
      <c r="BT220" t="s">
        <v>1</v>
      </c>
      <c r="BU220" t="s">
        <v>1</v>
      </c>
      <c r="BV220" t="s">
        <v>1</v>
      </c>
      <c r="BW220" t="s">
        <v>360</v>
      </c>
      <c r="BX220" t="s">
        <v>1</v>
      </c>
      <c r="BY220">
        <v>0</v>
      </c>
      <c r="BZ220">
        <v>0</v>
      </c>
      <c r="CA220">
        <v>0</v>
      </c>
      <c r="CB220">
        <v>0</v>
      </c>
      <c r="CD220" t="str" cm="1">
        <f t="array" aca="1" ref="CD220" ca="1">eConcatenar(A220:CB220,"|")</f>
        <v>5qmyriVoINLnvyKv|VSA2020-0779|3|IMPERIAL DE LUJO|TABASCO|VILLAHERMOSA |VILLAHERMOSA |2020-10-14|12900|X|X|100|0|0|X|X|X|X|X|X|X|X|X|X|X|X|0|ZAPATA |ZUAREZ|DORA MARIA |0|X|X|CARRETERA PRINCIPAL |RANCHERIA GONZALEZ SEGUNDA SECCION|X|9933419069|FABIOLA SUAREZ ZAPATA |B.MIGUEL CONTRERAS SUAREZ|0|CARRETERA PRINCIPAL |X|3|0|0|X|X|X|0|6300|6600|0|0|X|2021-12-30|2022-06-01|X|0|X|0|0|S35D6D3Y9KVTQ1|X|MUJER|0|12900|0|0|0|X|X|X|X|X|VILLAHERMOSA |X|0|0|0|0</v>
      </c>
    </row>
    <row r="221" spans="1:82" x14ac:dyDescent="0.25">
      <c r="A221" t="s">
        <v>1700</v>
      </c>
      <c r="B221" t="s">
        <v>1701</v>
      </c>
      <c r="C221">
        <v>3</v>
      </c>
      <c r="D221" t="s">
        <v>715</v>
      </c>
      <c r="E221" t="s">
        <v>359</v>
      </c>
      <c r="F221" t="s">
        <v>360</v>
      </c>
      <c r="G221" t="s">
        <v>360</v>
      </c>
      <c r="H221" t="s">
        <v>1532</v>
      </c>
      <c r="I221">
        <v>12900</v>
      </c>
      <c r="J221" t="s">
        <v>1</v>
      </c>
      <c r="K221" t="s">
        <v>1</v>
      </c>
      <c r="L221">
        <v>100</v>
      </c>
      <c r="M221">
        <v>0</v>
      </c>
      <c r="N221">
        <v>0</v>
      </c>
      <c r="O221" t="s">
        <v>1</v>
      </c>
      <c r="P221" t="s">
        <v>1</v>
      </c>
      <c r="Q221" t="s">
        <v>1</v>
      </c>
      <c r="R221" t="s">
        <v>1</v>
      </c>
      <c r="S221" t="s">
        <v>1</v>
      </c>
      <c r="T221" t="s">
        <v>1</v>
      </c>
      <c r="U221" t="s">
        <v>1</v>
      </c>
      <c r="V221" t="s">
        <v>1</v>
      </c>
      <c r="W221" t="s">
        <v>1</v>
      </c>
      <c r="X221" t="s">
        <v>1</v>
      </c>
      <c r="Y221" t="s">
        <v>1</v>
      </c>
      <c r="Z221" t="s">
        <v>1</v>
      </c>
      <c r="AA221">
        <v>0</v>
      </c>
      <c r="AB221" t="s">
        <v>1702</v>
      </c>
      <c r="AC221" t="s">
        <v>7</v>
      </c>
      <c r="AD221" t="s">
        <v>923</v>
      </c>
      <c r="AE221">
        <v>0</v>
      </c>
      <c r="AF221" t="s">
        <v>1</v>
      </c>
      <c r="AG221" t="s">
        <v>1</v>
      </c>
      <c r="AH221" t="s">
        <v>1703</v>
      </c>
      <c r="AI221" t="s">
        <v>886</v>
      </c>
      <c r="AJ221" t="s">
        <v>1</v>
      </c>
      <c r="AK221">
        <v>9933740578</v>
      </c>
      <c r="AL221" t="s">
        <v>1704</v>
      </c>
      <c r="AM221" t="s">
        <v>1705</v>
      </c>
      <c r="AN221">
        <v>0</v>
      </c>
      <c r="AO221" t="s">
        <v>1703</v>
      </c>
      <c r="AP221" t="s">
        <v>1</v>
      </c>
      <c r="AQ221">
        <v>3</v>
      </c>
      <c r="AR221">
        <v>0</v>
      </c>
      <c r="AS221">
        <v>0</v>
      </c>
      <c r="AT221" t="s">
        <v>1</v>
      </c>
      <c r="AU221" t="s">
        <v>1</v>
      </c>
      <c r="AV221" t="s">
        <v>1</v>
      </c>
      <c r="AW221">
        <v>0</v>
      </c>
      <c r="AX221">
        <v>7500</v>
      </c>
      <c r="AY221">
        <v>5400</v>
      </c>
      <c r="AZ221">
        <v>0</v>
      </c>
      <c r="BA221">
        <v>0</v>
      </c>
      <c r="BB221" t="s">
        <v>1</v>
      </c>
      <c r="BC221" t="s">
        <v>198</v>
      </c>
      <c r="BD221" t="s">
        <v>1636</v>
      </c>
      <c r="BE221" t="s">
        <v>1</v>
      </c>
      <c r="BF221">
        <v>0</v>
      </c>
      <c r="BG221" t="s">
        <v>1</v>
      </c>
      <c r="BH221">
        <v>0</v>
      </c>
      <c r="BI221">
        <v>0</v>
      </c>
      <c r="BJ221" t="s">
        <v>722</v>
      </c>
      <c r="BK221" t="s">
        <v>1</v>
      </c>
      <c r="BL221" t="s">
        <v>1138</v>
      </c>
      <c r="BM221">
        <v>0</v>
      </c>
      <c r="BN221">
        <v>12900</v>
      </c>
      <c r="BO221">
        <v>0</v>
      </c>
      <c r="BP221">
        <v>0</v>
      </c>
      <c r="BQ221">
        <v>0</v>
      </c>
      <c r="BR221" t="s">
        <v>1</v>
      </c>
      <c r="BS221" t="s">
        <v>1</v>
      </c>
      <c r="BT221" t="s">
        <v>1</v>
      </c>
      <c r="BU221" t="s">
        <v>1</v>
      </c>
      <c r="BV221" t="s">
        <v>1</v>
      </c>
      <c r="BW221" t="s">
        <v>360</v>
      </c>
      <c r="BX221" t="s">
        <v>1</v>
      </c>
      <c r="BY221">
        <v>0</v>
      </c>
      <c r="BZ221">
        <v>0</v>
      </c>
      <c r="CA221">
        <v>0</v>
      </c>
      <c r="CB221">
        <v>0</v>
      </c>
      <c r="CD221" t="str" cm="1">
        <f t="array" aca="1" ref="CD221" ca="1">eConcatenar(A221:CB221,"|")</f>
        <v>lDtHetY5vvRStLuN|VSA2020-0929|3|IMPERIAL DE LUJO|TABASCO|VILLAHERMOSA |VILLAHERMOSA |2020-03-11|12900|X|X|100|0|0|X|X|X|X|X|X|X|X|X|X|X|X|0|ALEJO|LOPEZ|JUANA |0|X|X|ENTRADA SAN ANTONIO SIN NUMERO|RANCHERIA GONZALEZ TERCERA SECCION |X|9933740578|CLARO LUNA ALEJO |ANTONIO LUNA ALEJO|0|ENTRADA SAN ANTONIO SIN NUMERO|X|3|0|0|X|X|X|0|7500|5400|0|0|X|2021-12-30|2022-06-01|X|0|X|0|0|S35D6D3Y9KVTQ1|X|MUJER|0|12900|0|0|0|X|X|X|X|X|VILLAHERMOSA |X|0|0|0|0</v>
      </c>
    </row>
    <row r="222" spans="1:82" x14ac:dyDescent="0.25">
      <c r="A222" t="s">
        <v>1706</v>
      </c>
      <c r="B222" t="s">
        <v>1707</v>
      </c>
      <c r="C222">
        <v>3</v>
      </c>
      <c r="D222" t="s">
        <v>715</v>
      </c>
      <c r="E222" t="s">
        <v>359</v>
      </c>
      <c r="F222" t="s">
        <v>360</v>
      </c>
      <c r="G222" t="s">
        <v>360</v>
      </c>
      <c r="H222" t="s">
        <v>1708</v>
      </c>
      <c r="I222">
        <v>12900</v>
      </c>
      <c r="J222" t="s">
        <v>1</v>
      </c>
      <c r="K222" t="s">
        <v>1</v>
      </c>
      <c r="L222">
        <v>100</v>
      </c>
      <c r="M222">
        <v>0</v>
      </c>
      <c r="N222">
        <v>0</v>
      </c>
      <c r="O222" t="s">
        <v>1</v>
      </c>
      <c r="P222" t="s">
        <v>1</v>
      </c>
      <c r="Q222" t="s">
        <v>1</v>
      </c>
      <c r="R222" t="s">
        <v>1</v>
      </c>
      <c r="S222" t="s">
        <v>1</v>
      </c>
      <c r="T222" t="s">
        <v>1</v>
      </c>
      <c r="U222" t="s">
        <v>1</v>
      </c>
      <c r="V222" t="s">
        <v>1</v>
      </c>
      <c r="W222" t="s">
        <v>1</v>
      </c>
      <c r="X222" t="s">
        <v>1</v>
      </c>
      <c r="Y222" t="s">
        <v>1</v>
      </c>
      <c r="Z222" t="s">
        <v>1</v>
      </c>
      <c r="AA222">
        <v>0</v>
      </c>
      <c r="AB222" t="s">
        <v>479</v>
      </c>
      <c r="AC222" t="s">
        <v>685</v>
      </c>
      <c r="AD222" t="s">
        <v>1709</v>
      </c>
      <c r="AE222">
        <v>0</v>
      </c>
      <c r="AF222" t="s">
        <v>1</v>
      </c>
      <c r="AG222" t="s">
        <v>1</v>
      </c>
      <c r="AH222" t="s">
        <v>1710</v>
      </c>
      <c r="AI222" t="s">
        <v>1711</v>
      </c>
      <c r="AJ222" t="s">
        <v>1</v>
      </c>
      <c r="AK222">
        <v>9931478798</v>
      </c>
      <c r="AL222" t="s">
        <v>1712</v>
      </c>
      <c r="AM222" t="s">
        <v>1713</v>
      </c>
      <c r="AN222">
        <v>0</v>
      </c>
      <c r="AO222" t="s">
        <v>1710</v>
      </c>
      <c r="AP222" t="s">
        <v>1</v>
      </c>
      <c r="AQ222">
        <v>3</v>
      </c>
      <c r="AR222">
        <v>0</v>
      </c>
      <c r="AS222">
        <v>0</v>
      </c>
      <c r="AT222" t="s">
        <v>1</v>
      </c>
      <c r="AU222" t="s">
        <v>1</v>
      </c>
      <c r="AV222" t="s">
        <v>1</v>
      </c>
      <c r="AW222">
        <v>0</v>
      </c>
      <c r="AX222">
        <v>4790</v>
      </c>
      <c r="AY222">
        <v>8110</v>
      </c>
      <c r="AZ222">
        <v>0</v>
      </c>
      <c r="BA222">
        <v>0</v>
      </c>
      <c r="BB222" t="s">
        <v>1</v>
      </c>
      <c r="BC222" t="s">
        <v>1092</v>
      </c>
      <c r="BD222" t="s">
        <v>748</v>
      </c>
      <c r="BE222" t="s">
        <v>1</v>
      </c>
      <c r="BF222">
        <v>0</v>
      </c>
      <c r="BG222" t="s">
        <v>1</v>
      </c>
      <c r="BH222">
        <v>0</v>
      </c>
      <c r="BI222">
        <v>0</v>
      </c>
      <c r="BJ222" t="s">
        <v>722</v>
      </c>
      <c r="BK222" t="s">
        <v>1</v>
      </c>
      <c r="BL222" t="s">
        <v>1138</v>
      </c>
      <c r="BM222">
        <v>0</v>
      </c>
      <c r="BN222">
        <v>12900</v>
      </c>
      <c r="BO222">
        <v>0</v>
      </c>
      <c r="BP222">
        <v>0</v>
      </c>
      <c r="BQ222">
        <v>0</v>
      </c>
      <c r="BR222" t="s">
        <v>1</v>
      </c>
      <c r="BS222" t="s">
        <v>1</v>
      </c>
      <c r="BT222" t="s">
        <v>1</v>
      </c>
      <c r="BU222" t="s">
        <v>1</v>
      </c>
      <c r="BV222" t="s">
        <v>1</v>
      </c>
      <c r="BW222" t="s">
        <v>360</v>
      </c>
      <c r="BX222" t="s">
        <v>1</v>
      </c>
      <c r="BY222">
        <v>0</v>
      </c>
      <c r="BZ222">
        <v>0</v>
      </c>
      <c r="CA222">
        <v>0</v>
      </c>
      <c r="CB222">
        <v>0</v>
      </c>
      <c r="CD222" t="str" cm="1">
        <f t="array" aca="1" ref="CD222" ca="1">eConcatenar(A222:CB222,"|")</f>
        <v>w0sJlQfTS1lKZXHh|VSA2020-0972|3|IMPERIAL DE LUJO|TABASCO|VILLAHERMOSA |VILLAHERMOSA |2020-07-11|12900|X|X|100|0|0|X|X|X|X|X|X|X|X|X|X|X|X|0|SANCHEZ |CUSTODIO |CELFIDA|0|X|X|ENTRADA A ZABALA SIN NUMERO |RANCHERIA PLATANO Y CACAO SEGUNDA SECCION |X|9931478798|LUIS JESUS MARTINEZ SANCHEZ |AMAIRANI MARTINEZ SANCHEZ|0|ENTRADA A ZABALA SIN NUMERO |X|3|0|0|X|X|X|0|4790|8110|0|0|X|2021-11-24|2021-02-12|X|0|X|0|0|S35D6D3Y9KVTQ1|X|MUJER|0|12900|0|0|0|X|X|X|X|X|VILLAHERMOSA |X|0|0|0|0</v>
      </c>
    </row>
    <row r="223" spans="1:82" x14ac:dyDescent="0.25">
      <c r="A223" t="s">
        <v>1714</v>
      </c>
      <c r="B223" t="s">
        <v>1715</v>
      </c>
      <c r="C223">
        <v>3</v>
      </c>
      <c r="D223" t="s">
        <v>715</v>
      </c>
      <c r="E223" t="s">
        <v>359</v>
      </c>
      <c r="F223" t="s">
        <v>360</v>
      </c>
      <c r="G223" t="s">
        <v>360</v>
      </c>
      <c r="H223" t="s">
        <v>1125</v>
      </c>
      <c r="I223">
        <v>12900</v>
      </c>
      <c r="J223" t="s">
        <v>1</v>
      </c>
      <c r="K223" t="s">
        <v>1</v>
      </c>
      <c r="L223">
        <v>100</v>
      </c>
      <c r="M223">
        <v>0</v>
      </c>
      <c r="N223">
        <v>0</v>
      </c>
      <c r="O223" t="s">
        <v>1</v>
      </c>
      <c r="P223" t="s">
        <v>1</v>
      </c>
      <c r="Q223" t="s">
        <v>1</v>
      </c>
      <c r="R223" t="s">
        <v>1</v>
      </c>
      <c r="S223" t="s">
        <v>1</v>
      </c>
      <c r="T223" t="s">
        <v>1</v>
      </c>
      <c r="U223" t="s">
        <v>1</v>
      </c>
      <c r="V223" t="s">
        <v>1</v>
      </c>
      <c r="W223" t="s">
        <v>1</v>
      </c>
      <c r="X223" t="s">
        <v>1</v>
      </c>
      <c r="Y223" t="s">
        <v>1</v>
      </c>
      <c r="Z223" t="s">
        <v>1</v>
      </c>
      <c r="AA223">
        <v>0</v>
      </c>
      <c r="AB223" t="s">
        <v>7</v>
      </c>
      <c r="AC223" t="s">
        <v>1716</v>
      </c>
      <c r="AD223" t="s">
        <v>1176</v>
      </c>
      <c r="AE223">
        <v>0</v>
      </c>
      <c r="AF223" t="s">
        <v>1</v>
      </c>
      <c r="AG223" t="s">
        <v>1</v>
      </c>
      <c r="AH223" t="s">
        <v>1717</v>
      </c>
      <c r="AI223" t="s">
        <v>1302</v>
      </c>
      <c r="AJ223" t="s">
        <v>1</v>
      </c>
      <c r="AK223">
        <v>9932869905</v>
      </c>
      <c r="AL223" t="s">
        <v>1718</v>
      </c>
      <c r="AM223" t="s">
        <v>1719</v>
      </c>
      <c r="AN223">
        <v>0</v>
      </c>
      <c r="AO223" t="s">
        <v>1717</v>
      </c>
      <c r="AP223" t="s">
        <v>1</v>
      </c>
      <c r="AQ223">
        <v>2</v>
      </c>
      <c r="AR223">
        <v>0</v>
      </c>
      <c r="AS223">
        <v>0</v>
      </c>
      <c r="AT223" t="s">
        <v>1</v>
      </c>
      <c r="AU223" t="s">
        <v>1</v>
      </c>
      <c r="AV223" t="s">
        <v>1</v>
      </c>
      <c r="AW223">
        <v>0</v>
      </c>
      <c r="AX223">
        <v>6400</v>
      </c>
      <c r="AY223">
        <v>6500</v>
      </c>
      <c r="AZ223">
        <v>0</v>
      </c>
      <c r="BA223">
        <v>0</v>
      </c>
      <c r="BB223" t="s">
        <v>1</v>
      </c>
      <c r="BC223" t="s">
        <v>758</v>
      </c>
      <c r="BD223" t="s">
        <v>1105</v>
      </c>
      <c r="BE223" t="s">
        <v>1</v>
      </c>
      <c r="BF223">
        <v>0</v>
      </c>
      <c r="BG223" t="s">
        <v>1</v>
      </c>
      <c r="BH223">
        <v>0</v>
      </c>
      <c r="BI223">
        <v>0</v>
      </c>
      <c r="BJ223" t="s">
        <v>722</v>
      </c>
      <c r="BK223" t="s">
        <v>1</v>
      </c>
      <c r="BL223" t="s">
        <v>132</v>
      </c>
      <c r="BM223">
        <v>0</v>
      </c>
      <c r="BN223">
        <v>12900</v>
      </c>
      <c r="BO223">
        <v>0</v>
      </c>
      <c r="BP223">
        <v>0</v>
      </c>
      <c r="BQ223">
        <v>0</v>
      </c>
      <c r="BR223" t="s">
        <v>1</v>
      </c>
      <c r="BS223" t="s">
        <v>1</v>
      </c>
      <c r="BT223" t="s">
        <v>1</v>
      </c>
      <c r="BU223" t="s">
        <v>1</v>
      </c>
      <c r="BV223" t="s">
        <v>1</v>
      </c>
      <c r="BW223" t="s">
        <v>360</v>
      </c>
      <c r="BX223" t="s">
        <v>1</v>
      </c>
      <c r="BY223">
        <v>0</v>
      </c>
      <c r="BZ223">
        <v>0</v>
      </c>
      <c r="CA223">
        <v>0</v>
      </c>
      <c r="CB223">
        <v>0</v>
      </c>
      <c r="CD223" t="str" cm="1">
        <f t="array" aca="1" ref="CD223" ca="1">eConcatenar(A223:CB223,"|")</f>
        <v>WsnKchVWeEUi69dH|VSA2020-1196|3|IMPERIAL DE LUJO|TABASCO|VILLAHERMOSA |VILLAHERMOSA |2020-11-23|12900|X|X|100|0|0|X|X|X|X|X|X|X|X|X|X|X|X|0|LOPEZ|SANDOVAL|PEDRO|0|X|X|SECTOR LA GLORIA SIN NUMERO |RANCHERIA LAZARO CARDENAS SEGUNDA SECCION |X|9932869905|SAMUEL LOPEZ LOPEZ |MARIA MAGDALENA LOPEZ LOPEZ |0|SECTOR LA GLORIA SIN NUMERO |X|2|0|0|X|X|X|0|6400|6500|0|0|X|2021-12-15|2021-12-22|X|0|X|0|0|S35D6D3Y9KVTQ1|X|HOMBRE|0|12900|0|0|0|X|X|X|X|X|VILLAHERMOSA |X|0|0|0|0</v>
      </c>
    </row>
    <row r="224" spans="1:82" x14ac:dyDescent="0.25">
      <c r="A224" t="s">
        <v>1720</v>
      </c>
      <c r="B224" t="s">
        <v>1721</v>
      </c>
      <c r="C224">
        <v>3</v>
      </c>
      <c r="D224" t="s">
        <v>715</v>
      </c>
      <c r="E224" t="s">
        <v>359</v>
      </c>
      <c r="F224" t="s">
        <v>360</v>
      </c>
      <c r="G224" t="s">
        <v>360</v>
      </c>
      <c r="H224" t="s">
        <v>1261</v>
      </c>
      <c r="I224">
        <v>12900</v>
      </c>
      <c r="J224" t="s">
        <v>1</v>
      </c>
      <c r="K224" t="s">
        <v>1</v>
      </c>
      <c r="L224">
        <v>100</v>
      </c>
      <c r="M224">
        <v>0</v>
      </c>
      <c r="N224">
        <v>0</v>
      </c>
      <c r="O224" t="s">
        <v>1</v>
      </c>
      <c r="P224" t="s">
        <v>1</v>
      </c>
      <c r="Q224" t="s">
        <v>1</v>
      </c>
      <c r="R224" t="s">
        <v>1</v>
      </c>
      <c r="S224" t="s">
        <v>1</v>
      </c>
      <c r="T224" t="s">
        <v>1</v>
      </c>
      <c r="U224" t="s">
        <v>1</v>
      </c>
      <c r="V224" t="s">
        <v>1</v>
      </c>
      <c r="W224" t="s">
        <v>1</v>
      </c>
      <c r="X224" t="s">
        <v>1</v>
      </c>
      <c r="Y224" t="s">
        <v>1</v>
      </c>
      <c r="Z224" t="s">
        <v>1</v>
      </c>
      <c r="AA224">
        <v>0</v>
      </c>
      <c r="AB224" t="s">
        <v>395</v>
      </c>
      <c r="AC224" t="s">
        <v>7</v>
      </c>
      <c r="AD224" t="s">
        <v>1722</v>
      </c>
      <c r="AE224">
        <v>0</v>
      </c>
      <c r="AF224" t="s">
        <v>1</v>
      </c>
      <c r="AG224" t="s">
        <v>1</v>
      </c>
      <c r="AH224" t="s">
        <v>545</v>
      </c>
      <c r="AI224" t="s">
        <v>1265</v>
      </c>
      <c r="AJ224" t="s">
        <v>1</v>
      </c>
      <c r="AK224">
        <v>9932199634</v>
      </c>
      <c r="AL224" t="s">
        <v>1723</v>
      </c>
      <c r="AM224" t="s">
        <v>1724</v>
      </c>
      <c r="AN224">
        <v>0</v>
      </c>
      <c r="AO224" t="s">
        <v>545</v>
      </c>
      <c r="AP224" t="s">
        <v>1</v>
      </c>
      <c r="AQ224">
        <v>3</v>
      </c>
      <c r="AR224">
        <v>0</v>
      </c>
      <c r="AS224">
        <v>0</v>
      </c>
      <c r="AT224" t="s">
        <v>1</v>
      </c>
      <c r="AU224" t="s">
        <v>1</v>
      </c>
      <c r="AV224" t="s">
        <v>1</v>
      </c>
      <c r="AW224">
        <v>0</v>
      </c>
      <c r="AX224">
        <v>5050</v>
      </c>
      <c r="AY224">
        <v>7850</v>
      </c>
      <c r="AZ224">
        <v>0</v>
      </c>
      <c r="BA224">
        <v>0</v>
      </c>
      <c r="BB224" t="s">
        <v>1</v>
      </c>
      <c r="BC224" t="s">
        <v>198</v>
      </c>
      <c r="BD224" t="s">
        <v>663</v>
      </c>
      <c r="BE224" t="s">
        <v>1</v>
      </c>
      <c r="BF224">
        <v>0</v>
      </c>
      <c r="BG224" t="s">
        <v>1</v>
      </c>
      <c r="BH224">
        <v>0</v>
      </c>
      <c r="BI224">
        <v>0</v>
      </c>
      <c r="BJ224" t="s">
        <v>722</v>
      </c>
      <c r="BK224" t="s">
        <v>1</v>
      </c>
      <c r="BL224" t="s">
        <v>1138</v>
      </c>
      <c r="BM224">
        <v>0</v>
      </c>
      <c r="BN224">
        <v>12900</v>
      </c>
      <c r="BO224">
        <v>0</v>
      </c>
      <c r="BP224">
        <v>0</v>
      </c>
      <c r="BQ224">
        <v>0</v>
      </c>
      <c r="BR224" t="s">
        <v>1</v>
      </c>
      <c r="BS224" t="s">
        <v>1</v>
      </c>
      <c r="BT224" t="s">
        <v>1</v>
      </c>
      <c r="BU224" t="s">
        <v>1</v>
      </c>
      <c r="BV224" t="s">
        <v>1</v>
      </c>
      <c r="BW224" t="s">
        <v>360</v>
      </c>
      <c r="BX224" t="s">
        <v>1</v>
      </c>
      <c r="BY224">
        <v>0</v>
      </c>
      <c r="BZ224">
        <v>0</v>
      </c>
      <c r="CA224">
        <v>0</v>
      </c>
      <c r="CB224">
        <v>0</v>
      </c>
      <c r="CD224" t="str" cm="1">
        <f t="array" aca="1" ref="CD224" ca="1">eConcatenar(A224:CB224,"|")</f>
        <v>GuIwmh3sLOHRuIVn|VSA2020-1251|3|IMPERIAL DE LUJO|TABASCO|VILLAHERMOSA |VILLAHERMOSA |2020-11-28|12900|X|X|100|0|0|X|X|X|X|X|X|X|X|X|X|X|X|0|GARCIA |LOPEZ|NATIVIDAD |0|X|X|CARRETERA PRINCIPAL SIN NUMERO |RANCHERIA GONZALEZ CUARTA SECCION |X|9932199634|ERIKA CARRASCO GARCIA |JOSE ISABEL CARRASCO SUAREZ|0|CARRETERA PRINCIPAL SIN NUMERO |X|3|0|0|X|X|X|0|5050|7850|0|0|X|2021-12-30|2021-06-01|X|0|X|0|0|S35D6D3Y9KVTQ1|X|MUJER|0|12900|0|0|0|X|X|X|X|X|VILLAHERMOSA |X|0|0|0|0</v>
      </c>
    </row>
    <row r="225" spans="1:82" x14ac:dyDescent="0.25">
      <c r="A225" t="s">
        <v>1725</v>
      </c>
      <c r="B225" t="s">
        <v>1726</v>
      </c>
      <c r="C225">
        <v>3</v>
      </c>
      <c r="D225" t="s">
        <v>715</v>
      </c>
      <c r="E225" t="s">
        <v>359</v>
      </c>
      <c r="F225" t="s">
        <v>360</v>
      </c>
      <c r="G225" t="s">
        <v>360</v>
      </c>
      <c r="H225" t="s">
        <v>781</v>
      </c>
      <c r="I225">
        <v>12900</v>
      </c>
      <c r="J225" t="s">
        <v>1</v>
      </c>
      <c r="K225" t="s">
        <v>1</v>
      </c>
      <c r="L225">
        <v>100</v>
      </c>
      <c r="M225">
        <v>0</v>
      </c>
      <c r="N225">
        <v>0</v>
      </c>
      <c r="O225" t="s">
        <v>1</v>
      </c>
      <c r="P225" t="s">
        <v>1</v>
      </c>
      <c r="Q225" t="s">
        <v>1</v>
      </c>
      <c r="R225" t="s">
        <v>1</v>
      </c>
      <c r="S225" t="s">
        <v>1</v>
      </c>
      <c r="T225" t="s">
        <v>1</v>
      </c>
      <c r="U225" t="s">
        <v>1</v>
      </c>
      <c r="V225" t="s">
        <v>1</v>
      </c>
      <c r="W225" t="s">
        <v>1</v>
      </c>
      <c r="X225" t="s">
        <v>1</v>
      </c>
      <c r="Y225" t="s">
        <v>1</v>
      </c>
      <c r="Z225" t="s">
        <v>1</v>
      </c>
      <c r="AA225">
        <v>0</v>
      </c>
      <c r="AB225" t="s">
        <v>1727</v>
      </c>
      <c r="AC225" t="s">
        <v>584</v>
      </c>
      <c r="AD225" t="s">
        <v>408</v>
      </c>
      <c r="AE225">
        <v>0</v>
      </c>
      <c r="AF225" t="s">
        <v>1</v>
      </c>
      <c r="AG225" t="s">
        <v>1</v>
      </c>
      <c r="AH225" t="s">
        <v>466</v>
      </c>
      <c r="AI225" t="s">
        <v>914</v>
      </c>
      <c r="AJ225" t="s">
        <v>1</v>
      </c>
      <c r="AK225">
        <v>9933775428</v>
      </c>
      <c r="AL225" t="s">
        <v>1728</v>
      </c>
      <c r="AM225" t="s">
        <v>1729</v>
      </c>
      <c r="AN225">
        <v>0</v>
      </c>
      <c r="AO225" t="s">
        <v>466</v>
      </c>
      <c r="AP225" t="s">
        <v>1</v>
      </c>
      <c r="AQ225">
        <v>2</v>
      </c>
      <c r="AR225">
        <v>0</v>
      </c>
      <c r="AS225">
        <v>0</v>
      </c>
      <c r="AT225" t="s">
        <v>1</v>
      </c>
      <c r="AU225" t="s">
        <v>1</v>
      </c>
      <c r="AV225" t="s">
        <v>1</v>
      </c>
      <c r="AW225">
        <v>0</v>
      </c>
      <c r="AX225">
        <v>5600</v>
      </c>
      <c r="AY225">
        <v>7300</v>
      </c>
      <c r="AZ225">
        <v>0</v>
      </c>
      <c r="BA225">
        <v>0</v>
      </c>
      <c r="BB225" t="s">
        <v>1</v>
      </c>
      <c r="BC225" t="s">
        <v>1105</v>
      </c>
      <c r="BD225" t="s">
        <v>280</v>
      </c>
      <c r="BE225" t="s">
        <v>1</v>
      </c>
      <c r="BF225">
        <v>0</v>
      </c>
      <c r="BG225" t="s">
        <v>1</v>
      </c>
      <c r="BH225">
        <v>0</v>
      </c>
      <c r="BI225">
        <v>0</v>
      </c>
      <c r="BJ225" t="s">
        <v>722</v>
      </c>
      <c r="BK225" t="s">
        <v>1</v>
      </c>
      <c r="BL225" t="s">
        <v>1138</v>
      </c>
      <c r="BM225">
        <v>0</v>
      </c>
      <c r="BN225">
        <v>12900</v>
      </c>
      <c r="BO225">
        <v>0</v>
      </c>
      <c r="BP225">
        <v>0</v>
      </c>
      <c r="BQ225">
        <v>0</v>
      </c>
      <c r="BR225" t="s">
        <v>1</v>
      </c>
      <c r="BS225" t="s">
        <v>1</v>
      </c>
      <c r="BT225" t="s">
        <v>1</v>
      </c>
      <c r="BU225" t="s">
        <v>1</v>
      </c>
      <c r="BV225" t="s">
        <v>1</v>
      </c>
      <c r="BW225" t="s">
        <v>360</v>
      </c>
      <c r="BX225" t="s">
        <v>1</v>
      </c>
      <c r="BY225">
        <v>0</v>
      </c>
      <c r="BZ225">
        <v>0</v>
      </c>
      <c r="CA225">
        <v>0</v>
      </c>
      <c r="CB225">
        <v>0</v>
      </c>
      <c r="CD225" t="str" cm="1">
        <f t="array" aca="1" ref="CD225" ca="1">eConcatenar(A225:CB225,"|")</f>
        <v>Fhh0ycIJmxabzhIb|VSA2020-1273|3|IMPERIAL DE LUJO|TABASCO|VILLAHERMOSA |VILLAHERMOSA |2020-11-30|12900|X|X|100|0|0|X|X|X|X|X|X|X|X|X|X|X|X|0|ESTEBAN |HERNANDEZ |MARIA |0|X|X|CALLE PRINCIPAL SIN NUMERO |RANCHERIA GONZALEZ PRIMERA SECCION |X|9933775428|ASUNCION HERNANDEZ JIMENEZ |NINIVE HERNANDEZ ZAPATA |0|CALLE PRINCIPAL SIN NUMERO |X|2|0|0|X|X|X|0|5600|7300|0|0|X|2021-12-22|2021-12-29|X|0|X|0|0|S35D6D3Y9KVTQ1|X|MUJER|0|12900|0|0|0|X|X|X|X|X|VILLAHERMOSA |X|0|0|0|0</v>
      </c>
    </row>
    <row r="226" spans="1:82" x14ac:dyDescent="0.25">
      <c r="A226" t="s">
        <v>1730</v>
      </c>
      <c r="B226" t="s">
        <v>1731</v>
      </c>
      <c r="C226">
        <v>3</v>
      </c>
      <c r="D226" t="s">
        <v>741</v>
      </c>
      <c r="E226" t="s">
        <v>359</v>
      </c>
      <c r="F226" t="s">
        <v>360</v>
      </c>
      <c r="G226" t="s">
        <v>360</v>
      </c>
      <c r="H226" t="s">
        <v>1619</v>
      </c>
      <c r="I226">
        <v>14800</v>
      </c>
      <c r="J226" t="s">
        <v>1</v>
      </c>
      <c r="K226" t="s">
        <v>1</v>
      </c>
      <c r="L226">
        <v>100</v>
      </c>
      <c r="M226">
        <v>0</v>
      </c>
      <c r="N226">
        <v>0</v>
      </c>
      <c r="O226" t="s">
        <v>1</v>
      </c>
      <c r="P226" t="s">
        <v>1</v>
      </c>
      <c r="Q226" t="s">
        <v>1</v>
      </c>
      <c r="R226" t="s">
        <v>1</v>
      </c>
      <c r="S226" t="s">
        <v>1</v>
      </c>
      <c r="T226" t="s">
        <v>1</v>
      </c>
      <c r="U226" t="s">
        <v>1</v>
      </c>
      <c r="V226" t="s">
        <v>1</v>
      </c>
      <c r="W226" t="s">
        <v>1</v>
      </c>
      <c r="X226" t="s">
        <v>1</v>
      </c>
      <c r="Y226" t="s">
        <v>1</v>
      </c>
      <c r="Z226" t="s">
        <v>1</v>
      </c>
      <c r="AA226">
        <v>0</v>
      </c>
      <c r="AB226" t="s">
        <v>855</v>
      </c>
      <c r="AC226" t="s">
        <v>856</v>
      </c>
      <c r="AD226" t="s">
        <v>1732</v>
      </c>
      <c r="AE226">
        <v>0</v>
      </c>
      <c r="AF226" t="s">
        <v>1</v>
      </c>
      <c r="AG226" t="s">
        <v>1</v>
      </c>
      <c r="AH226" t="s">
        <v>840</v>
      </c>
      <c r="AI226" t="s">
        <v>841</v>
      </c>
      <c r="AJ226" t="s">
        <v>1</v>
      </c>
      <c r="AK226">
        <v>9141023590</v>
      </c>
      <c r="AL226" t="s">
        <v>1733</v>
      </c>
      <c r="AM226" t="s">
        <v>1734</v>
      </c>
      <c r="AN226">
        <v>0</v>
      </c>
      <c r="AO226" t="s">
        <v>840</v>
      </c>
      <c r="AP226" t="s">
        <v>1</v>
      </c>
      <c r="AQ226">
        <v>3</v>
      </c>
      <c r="AR226">
        <v>0</v>
      </c>
      <c r="AS226">
        <v>0</v>
      </c>
      <c r="AT226" t="s">
        <v>1</v>
      </c>
      <c r="AU226" t="s">
        <v>1</v>
      </c>
      <c r="AV226" t="s">
        <v>1</v>
      </c>
      <c r="AW226">
        <v>0</v>
      </c>
      <c r="AX226">
        <v>2000</v>
      </c>
      <c r="AY226">
        <v>12800</v>
      </c>
      <c r="AZ226">
        <v>0</v>
      </c>
      <c r="BA226">
        <v>0</v>
      </c>
      <c r="BB226" t="s">
        <v>1</v>
      </c>
      <c r="BC226" t="s">
        <v>198</v>
      </c>
      <c r="BD226" t="s">
        <v>1636</v>
      </c>
      <c r="BE226" t="s">
        <v>1</v>
      </c>
      <c r="BF226" t="s">
        <v>1</v>
      </c>
      <c r="BG226" t="s">
        <v>1</v>
      </c>
      <c r="BH226">
        <v>0</v>
      </c>
      <c r="BI226">
        <v>0</v>
      </c>
      <c r="BJ226" t="s">
        <v>722</v>
      </c>
      <c r="BK226" t="s">
        <v>1</v>
      </c>
      <c r="BL226" t="s">
        <v>1138</v>
      </c>
      <c r="BM226">
        <v>0</v>
      </c>
      <c r="BN226">
        <v>14800</v>
      </c>
      <c r="BO226">
        <v>0</v>
      </c>
      <c r="BP226">
        <v>0</v>
      </c>
      <c r="BQ226">
        <v>0</v>
      </c>
      <c r="BR226" t="s">
        <v>1</v>
      </c>
      <c r="BS226" t="s">
        <v>1</v>
      </c>
      <c r="BT226" t="s">
        <v>1</v>
      </c>
      <c r="BU226" t="s">
        <v>1</v>
      </c>
      <c r="BV226" t="s">
        <v>1</v>
      </c>
      <c r="BW226" t="s">
        <v>360</v>
      </c>
      <c r="BX226" t="s">
        <v>1</v>
      </c>
      <c r="BY226">
        <v>0</v>
      </c>
      <c r="BZ226">
        <v>0</v>
      </c>
      <c r="CA226">
        <v>0</v>
      </c>
      <c r="CB226">
        <v>0</v>
      </c>
      <c r="CD226" t="str" cm="1">
        <f t="array" aca="1" ref="CD226" ca="1">eConcatenar(A226:CB226,"|")</f>
        <v>MoVSPYGkcnW5dAXB|VSA2021-1346|3|MEMORIAL|TABASCO|VILLAHERMOSA |VILLAHERMOSA |2021-08-21|14800|X|X|100|0|0|X|X|X|X|X|X|X|X|X|X|X|X|0|VELAZQUEZ|RIVERA|ROSA DEL CARMEN |0|X|X|CALLE DEL PANTEON SIN NUMERO |POBLADO CUCUYULAPA |X|9141023590|FRANCISCA CUSTODIO VELAZQUEZ|JOSUE CUSTODIO VELAZQUEZ |0|CALLE DEL PANTEON SIN NUMERO |X|3|0|0|X|X|X|0|2000|12800|0|0|X|2021-12-30|2022-06-01|X|X|X|0|0|S35D6D3Y9KVTQ1|X|MUJER|0|14800|0|0|0|X|X|X|X|X|VILLAHERMOSA |X|0|0|0|0</v>
      </c>
    </row>
    <row r="227" spans="1:82" x14ac:dyDescent="0.25">
      <c r="A227" t="s">
        <v>1735</v>
      </c>
      <c r="B227" t="s">
        <v>1736</v>
      </c>
      <c r="C227">
        <v>3</v>
      </c>
      <c r="D227" t="s">
        <v>741</v>
      </c>
      <c r="E227" t="s">
        <v>359</v>
      </c>
      <c r="F227" t="s">
        <v>360</v>
      </c>
      <c r="G227" t="s">
        <v>360</v>
      </c>
      <c r="H227" t="s">
        <v>1619</v>
      </c>
      <c r="I227">
        <v>14800</v>
      </c>
      <c r="J227" t="s">
        <v>1</v>
      </c>
      <c r="K227" t="s">
        <v>1</v>
      </c>
      <c r="L227">
        <v>100</v>
      </c>
      <c r="M227">
        <v>0</v>
      </c>
      <c r="N227">
        <v>0</v>
      </c>
      <c r="O227" t="s">
        <v>1</v>
      </c>
      <c r="P227" t="s">
        <v>1</v>
      </c>
      <c r="Q227" t="s">
        <v>1</v>
      </c>
      <c r="R227" t="s">
        <v>1</v>
      </c>
      <c r="S227" t="s">
        <v>1</v>
      </c>
      <c r="T227" t="s">
        <v>1</v>
      </c>
      <c r="U227" t="s">
        <v>1</v>
      </c>
      <c r="V227" t="s">
        <v>1</v>
      </c>
      <c r="W227" t="s">
        <v>1</v>
      </c>
      <c r="X227" t="s">
        <v>1</v>
      </c>
      <c r="Y227" t="s">
        <v>1</v>
      </c>
      <c r="Z227" t="s">
        <v>1</v>
      </c>
      <c r="AA227">
        <v>0</v>
      </c>
      <c r="AB227" t="s">
        <v>479</v>
      </c>
      <c r="AC227" t="s">
        <v>584</v>
      </c>
      <c r="AD227" t="s">
        <v>1737</v>
      </c>
      <c r="AE227">
        <v>0</v>
      </c>
      <c r="AF227" t="s">
        <v>1</v>
      </c>
      <c r="AG227" t="s">
        <v>1</v>
      </c>
      <c r="AH227" t="s">
        <v>1738</v>
      </c>
      <c r="AI227" t="s">
        <v>841</v>
      </c>
      <c r="AJ227" t="s">
        <v>1</v>
      </c>
      <c r="AK227">
        <v>9372036811</v>
      </c>
      <c r="AL227" t="s">
        <v>1739</v>
      </c>
      <c r="AM227" t="s">
        <v>1740</v>
      </c>
      <c r="AN227">
        <v>0</v>
      </c>
      <c r="AO227" t="s">
        <v>1738</v>
      </c>
      <c r="AP227" t="s">
        <v>1</v>
      </c>
      <c r="AQ227">
        <v>3</v>
      </c>
      <c r="AR227">
        <v>0</v>
      </c>
      <c r="AS227">
        <v>0</v>
      </c>
      <c r="AT227" t="s">
        <v>1</v>
      </c>
      <c r="AU227" t="s">
        <v>1</v>
      </c>
      <c r="AV227" t="s">
        <v>1</v>
      </c>
      <c r="AW227">
        <v>0</v>
      </c>
      <c r="AX227">
        <v>2000</v>
      </c>
      <c r="AY227">
        <v>12800</v>
      </c>
      <c r="AZ227">
        <v>0</v>
      </c>
      <c r="BA227">
        <v>0</v>
      </c>
      <c r="BB227" t="s">
        <v>1</v>
      </c>
      <c r="BC227" t="s">
        <v>198</v>
      </c>
      <c r="BD227" t="s">
        <v>1636</v>
      </c>
      <c r="BE227" t="s">
        <v>1</v>
      </c>
      <c r="BF227" t="s">
        <v>1</v>
      </c>
      <c r="BG227" t="s">
        <v>1</v>
      </c>
      <c r="BH227">
        <v>0</v>
      </c>
      <c r="BI227">
        <v>0</v>
      </c>
      <c r="BJ227" t="s">
        <v>722</v>
      </c>
      <c r="BK227" t="s">
        <v>1</v>
      </c>
      <c r="BL227" t="s">
        <v>1138</v>
      </c>
      <c r="BM227">
        <v>0</v>
      </c>
      <c r="BN227">
        <v>14800</v>
      </c>
      <c r="BO227">
        <v>0</v>
      </c>
      <c r="BP227">
        <v>0</v>
      </c>
      <c r="BQ227">
        <v>0</v>
      </c>
      <c r="BR227" t="s">
        <v>1</v>
      </c>
      <c r="BS227" t="s">
        <v>1</v>
      </c>
      <c r="BT227" t="s">
        <v>1</v>
      </c>
      <c r="BU227" t="s">
        <v>1</v>
      </c>
      <c r="BV227" t="s">
        <v>1</v>
      </c>
      <c r="BW227" t="s">
        <v>360</v>
      </c>
      <c r="BX227" t="s">
        <v>1</v>
      </c>
      <c r="BY227">
        <v>0</v>
      </c>
      <c r="BZ227">
        <v>0</v>
      </c>
      <c r="CA227">
        <v>0</v>
      </c>
      <c r="CB227">
        <v>0</v>
      </c>
      <c r="CD227" t="str" cm="1">
        <f t="array" aca="1" ref="CD227" ca="1">eConcatenar(A227:CB227,"|")</f>
        <v>MnB2DnPhweOWsbqf|VSA2021-1357|3|MEMORIAL|TABASCO|VILLAHERMOSA |VILLAHERMOSA |2021-08-21|14800|X|X|100|0|0|X|X|X|X|X|X|X|X|X|X|X|X|0|SANCHEZ |HERNANDEZ |IRMA YOLANDA |0|X|X|ENTRADA DE LA TORTILLERIA SIN NUMERO |POBLADO CUCUYULAPA |X|9372036811|GERMAN HERNANDEZ VENTURA |ELSA PATRICIA HERNANDEZ SANCHEZ|0|ENTRADA DE LA TORTILLERIA SIN NUMERO |X|3|0|0|X|X|X|0|2000|12800|0|0|X|2021-12-30|2022-06-01|X|X|X|0|0|S35D6D3Y9KVTQ1|X|MUJER|0|14800|0|0|0|X|X|X|X|X|VILLAHERMOSA |X|0|0|0|0</v>
      </c>
    </row>
    <row r="228" spans="1:82" x14ac:dyDescent="0.25">
      <c r="A228" t="s">
        <v>1741</v>
      </c>
      <c r="B228" t="s">
        <v>1742</v>
      </c>
      <c r="C228">
        <v>3</v>
      </c>
      <c r="D228" t="s">
        <v>741</v>
      </c>
      <c r="E228" t="s">
        <v>359</v>
      </c>
      <c r="F228" t="s">
        <v>360</v>
      </c>
      <c r="G228" t="s">
        <v>360</v>
      </c>
      <c r="H228" t="s">
        <v>882</v>
      </c>
      <c r="I228">
        <v>14800</v>
      </c>
      <c r="J228" t="s">
        <v>1</v>
      </c>
      <c r="K228" t="s">
        <v>1</v>
      </c>
      <c r="L228">
        <v>100</v>
      </c>
      <c r="M228">
        <v>0</v>
      </c>
      <c r="N228">
        <v>0</v>
      </c>
      <c r="O228" t="s">
        <v>1</v>
      </c>
      <c r="P228" t="s">
        <v>1</v>
      </c>
      <c r="Q228" t="s">
        <v>1</v>
      </c>
      <c r="R228" t="s">
        <v>1</v>
      </c>
      <c r="S228" t="s">
        <v>1</v>
      </c>
      <c r="T228" t="s">
        <v>1</v>
      </c>
      <c r="U228" t="s">
        <v>1</v>
      </c>
      <c r="V228" t="s">
        <v>1</v>
      </c>
      <c r="W228" t="s">
        <v>1</v>
      </c>
      <c r="X228" t="s">
        <v>1</v>
      </c>
      <c r="Y228" t="s">
        <v>1</v>
      </c>
      <c r="Z228" t="s">
        <v>1</v>
      </c>
      <c r="AA228">
        <v>0</v>
      </c>
      <c r="AB228" t="s">
        <v>820</v>
      </c>
      <c r="AC228" t="s">
        <v>575</v>
      </c>
      <c r="AD228" t="s">
        <v>1743</v>
      </c>
      <c r="AE228">
        <v>0</v>
      </c>
      <c r="AF228" t="s">
        <v>1</v>
      </c>
      <c r="AG228" t="s">
        <v>1</v>
      </c>
      <c r="AH228" t="s">
        <v>1744</v>
      </c>
      <c r="AI228" t="s">
        <v>746</v>
      </c>
      <c r="AJ228" t="s">
        <v>1</v>
      </c>
      <c r="AK228">
        <v>9381448927</v>
      </c>
      <c r="AL228" t="s">
        <v>1745</v>
      </c>
      <c r="AM228" t="s">
        <v>1</v>
      </c>
      <c r="AN228">
        <v>0</v>
      </c>
      <c r="AO228" t="s">
        <v>1744</v>
      </c>
      <c r="AP228" t="s">
        <v>1</v>
      </c>
      <c r="AQ228">
        <v>3</v>
      </c>
      <c r="AR228">
        <v>0</v>
      </c>
      <c r="AS228">
        <v>0</v>
      </c>
      <c r="AT228" t="s">
        <v>1</v>
      </c>
      <c r="AU228" t="s">
        <v>1</v>
      </c>
      <c r="AV228" t="s">
        <v>1</v>
      </c>
      <c r="AW228">
        <v>0</v>
      </c>
      <c r="AX228">
        <v>1800</v>
      </c>
      <c r="AY228">
        <v>13000</v>
      </c>
      <c r="AZ228">
        <v>0</v>
      </c>
      <c r="BA228">
        <v>0</v>
      </c>
      <c r="BB228" t="s">
        <v>1</v>
      </c>
      <c r="BC228" t="s">
        <v>198</v>
      </c>
      <c r="BD228" t="s">
        <v>1636</v>
      </c>
      <c r="BE228" t="s">
        <v>1</v>
      </c>
      <c r="BF228" t="s">
        <v>1</v>
      </c>
      <c r="BG228" t="s">
        <v>1</v>
      </c>
      <c r="BH228">
        <v>0</v>
      </c>
      <c r="BI228">
        <v>0</v>
      </c>
      <c r="BJ228" t="s">
        <v>722</v>
      </c>
      <c r="BK228" t="s">
        <v>1</v>
      </c>
      <c r="BL228" t="s">
        <v>132</v>
      </c>
      <c r="BM228">
        <v>0</v>
      </c>
      <c r="BN228">
        <v>14800</v>
      </c>
      <c r="BO228">
        <v>0</v>
      </c>
      <c r="BP228">
        <v>0</v>
      </c>
      <c r="BQ228">
        <v>0</v>
      </c>
      <c r="BR228" t="s">
        <v>1</v>
      </c>
      <c r="BS228" t="s">
        <v>1</v>
      </c>
      <c r="BT228" t="s">
        <v>1</v>
      </c>
      <c r="BU228" t="s">
        <v>1</v>
      </c>
      <c r="BV228" t="s">
        <v>1</v>
      </c>
      <c r="BW228" t="s">
        <v>360</v>
      </c>
      <c r="BX228" t="s">
        <v>1</v>
      </c>
      <c r="BY228">
        <v>0</v>
      </c>
      <c r="BZ228">
        <v>0</v>
      </c>
      <c r="CA228">
        <v>0</v>
      </c>
      <c r="CB228">
        <v>0</v>
      </c>
      <c r="CD228" t="str" cm="1">
        <f t="array" aca="1" ref="CD228" ca="1">eConcatenar(A228:CB228,"|")</f>
        <v>WJLoo9k54zdjRz9e|VSA2021-1384|3|MEMORIAL|TABASCO|VILLAHERMOSA |VILLAHERMOSA |2021-08-24|14800|X|X|100|0|0|X|X|X|X|X|X|X|X|X|X|X|X|0|LAZARO|MORALES |ARNNULFO |0|X|X|CARRETERA CARDENAS VILLAHERMOSA KILOMETRO 139|RANCHERIA MARIN |X|9381448927|AURA MERODO HERNANDEZ |X|0|CARRETERA CARDENAS VILLAHERMOSA KILOMETRO 139|X|3|0|0|X|X|X|0|1800|13000|0|0|X|2021-12-30|2022-06-01|X|X|X|0|0|S35D6D3Y9KVTQ1|X|HOMBRE|0|14800|0|0|0|X|X|X|X|X|VILLAHERMOSA |X|0|0|0|0</v>
      </c>
    </row>
    <row r="229" spans="1:82" x14ac:dyDescent="0.25">
      <c r="A229" t="s">
        <v>1746</v>
      </c>
      <c r="B229" t="s">
        <v>1747</v>
      </c>
      <c r="C229">
        <v>3</v>
      </c>
      <c r="D229" t="s">
        <v>741</v>
      </c>
      <c r="E229" t="s">
        <v>359</v>
      </c>
      <c r="F229" t="s">
        <v>360</v>
      </c>
      <c r="G229" t="s">
        <v>360</v>
      </c>
      <c r="H229" t="s">
        <v>558</v>
      </c>
      <c r="I229">
        <v>14800</v>
      </c>
      <c r="J229" t="s">
        <v>1</v>
      </c>
      <c r="K229" t="s">
        <v>1</v>
      </c>
      <c r="L229">
        <v>100</v>
      </c>
      <c r="M229">
        <v>0</v>
      </c>
      <c r="N229">
        <v>0</v>
      </c>
      <c r="O229" t="s">
        <v>1</v>
      </c>
      <c r="P229" t="s">
        <v>1</v>
      </c>
      <c r="Q229" t="s">
        <v>1</v>
      </c>
      <c r="R229" t="s">
        <v>1</v>
      </c>
      <c r="S229" t="s">
        <v>1</v>
      </c>
      <c r="T229" t="s">
        <v>1</v>
      </c>
      <c r="U229" t="s">
        <v>1</v>
      </c>
      <c r="V229" t="s">
        <v>1</v>
      </c>
      <c r="W229" t="s">
        <v>1</v>
      </c>
      <c r="X229" t="s">
        <v>1</v>
      </c>
      <c r="Y229" t="s">
        <v>1</v>
      </c>
      <c r="Z229" t="s">
        <v>1</v>
      </c>
      <c r="AA229">
        <v>0</v>
      </c>
      <c r="AB229" t="s">
        <v>1748</v>
      </c>
      <c r="AC229" t="s">
        <v>1749</v>
      </c>
      <c r="AD229" t="s">
        <v>1401</v>
      </c>
      <c r="AE229">
        <v>0</v>
      </c>
      <c r="AF229" t="s">
        <v>1</v>
      </c>
      <c r="AG229" t="s">
        <v>1</v>
      </c>
      <c r="AH229" t="s">
        <v>1750</v>
      </c>
      <c r="AI229" t="s">
        <v>1751</v>
      </c>
      <c r="AJ229" t="s">
        <v>1</v>
      </c>
      <c r="AK229">
        <v>9931927493</v>
      </c>
      <c r="AL229" t="s">
        <v>1752</v>
      </c>
      <c r="AM229" t="s">
        <v>1753</v>
      </c>
      <c r="AN229">
        <v>0</v>
      </c>
      <c r="AO229" t="s">
        <v>1750</v>
      </c>
      <c r="AP229" t="s">
        <v>1</v>
      </c>
      <c r="AQ229">
        <v>3</v>
      </c>
      <c r="AR229">
        <v>0</v>
      </c>
      <c r="AS229">
        <v>0</v>
      </c>
      <c r="AT229" t="s">
        <v>1</v>
      </c>
      <c r="AU229" t="s">
        <v>1</v>
      </c>
      <c r="AV229" t="s">
        <v>1</v>
      </c>
      <c r="AW229">
        <v>0</v>
      </c>
      <c r="AX229">
        <v>2700</v>
      </c>
      <c r="AY229">
        <v>12100</v>
      </c>
      <c r="AZ229">
        <v>0</v>
      </c>
      <c r="BA229">
        <v>0</v>
      </c>
      <c r="BB229" t="s">
        <v>1</v>
      </c>
      <c r="BC229" t="s">
        <v>198</v>
      </c>
      <c r="BD229" t="s">
        <v>1636</v>
      </c>
      <c r="BE229" t="s">
        <v>1</v>
      </c>
      <c r="BF229" t="s">
        <v>1</v>
      </c>
      <c r="BG229" t="s">
        <v>1</v>
      </c>
      <c r="BH229">
        <v>0</v>
      </c>
      <c r="BI229">
        <v>0</v>
      </c>
      <c r="BJ229" t="s">
        <v>722</v>
      </c>
      <c r="BK229" t="s">
        <v>1</v>
      </c>
      <c r="BL229" t="s">
        <v>1138</v>
      </c>
      <c r="BM229">
        <v>0</v>
      </c>
      <c r="BN229">
        <v>14800</v>
      </c>
      <c r="BO229">
        <v>0</v>
      </c>
      <c r="BP229">
        <v>0</v>
      </c>
      <c r="BQ229">
        <v>0</v>
      </c>
      <c r="BR229" t="s">
        <v>1</v>
      </c>
      <c r="BS229" t="s">
        <v>1</v>
      </c>
      <c r="BT229" t="s">
        <v>1</v>
      </c>
      <c r="BU229" t="s">
        <v>1</v>
      </c>
      <c r="BV229" t="s">
        <v>1</v>
      </c>
      <c r="BW229" t="s">
        <v>360</v>
      </c>
      <c r="BX229" t="s">
        <v>1</v>
      </c>
      <c r="BY229">
        <v>0</v>
      </c>
      <c r="BZ229">
        <v>0</v>
      </c>
      <c r="CA229">
        <v>0</v>
      </c>
      <c r="CB229">
        <v>0</v>
      </c>
      <c r="CD229" t="str" cm="1">
        <f t="array" aca="1" ref="CD229" ca="1">eConcatenar(A229:CB229,"|")</f>
        <v>YTPErp6ZiMWSKV08|VSA2021-1426|3|MEMORIAL|TABASCO|VILLAHERMOSA |VILLAHERMOSA |2021-08-30|14800|X|X|100|0|0|X|X|X|X|X|X|X|X|X|X|X|X|0|ESCOBAR |BAHENA|PATRICIA |0|X|X|ENTRADA LA RATONERA SIN NUMERO |RANCHERIA PLATANO Y CACAO CUARTA |X|9931927493|JOSE MANUEL DE DIOS SANCHEZ |JOSE MANUEL DE DIOS ESCOBAR |0|ENTRADA LA RATONERA SIN NUMERO |X|3|0|0|X|X|X|0|2700|12100|0|0|X|2021-12-30|2022-06-01|X|X|X|0|0|S35D6D3Y9KVTQ1|X|MUJER|0|14800|0|0|0|X|X|X|X|X|VILLAHERMOSA |X|0|0|0|0</v>
      </c>
    </row>
    <row r="230" spans="1:82" x14ac:dyDescent="0.25">
      <c r="A230" t="s">
        <v>1754</v>
      </c>
      <c r="B230" t="s">
        <v>1755</v>
      </c>
      <c r="C230">
        <v>3</v>
      </c>
      <c r="D230" t="s">
        <v>741</v>
      </c>
      <c r="E230" t="s">
        <v>359</v>
      </c>
      <c r="F230" t="s">
        <v>360</v>
      </c>
      <c r="G230" t="s">
        <v>360</v>
      </c>
      <c r="H230" t="s">
        <v>1619</v>
      </c>
      <c r="I230">
        <v>14800</v>
      </c>
      <c r="J230" t="s">
        <v>1</v>
      </c>
      <c r="K230" t="s">
        <v>1</v>
      </c>
      <c r="L230">
        <v>100</v>
      </c>
      <c r="M230">
        <v>0</v>
      </c>
      <c r="N230">
        <v>0</v>
      </c>
      <c r="O230" t="s">
        <v>1</v>
      </c>
      <c r="P230" t="s">
        <v>1</v>
      </c>
      <c r="Q230" t="s">
        <v>1</v>
      </c>
      <c r="R230" t="s">
        <v>1</v>
      </c>
      <c r="S230" t="s">
        <v>1</v>
      </c>
      <c r="T230" t="s">
        <v>1</v>
      </c>
      <c r="U230" t="s">
        <v>1</v>
      </c>
      <c r="V230" t="s">
        <v>1</v>
      </c>
      <c r="W230" t="s">
        <v>1</v>
      </c>
      <c r="X230" t="s">
        <v>1</v>
      </c>
      <c r="Y230" t="s">
        <v>1</v>
      </c>
      <c r="Z230" t="s">
        <v>1</v>
      </c>
      <c r="AA230">
        <v>0</v>
      </c>
      <c r="AB230" t="s">
        <v>856</v>
      </c>
      <c r="AC230" t="s">
        <v>199</v>
      </c>
      <c r="AD230" t="s">
        <v>1756</v>
      </c>
      <c r="AE230">
        <v>0</v>
      </c>
      <c r="AF230" t="s">
        <v>1</v>
      </c>
      <c r="AG230" t="s">
        <v>1</v>
      </c>
      <c r="AH230" t="s">
        <v>840</v>
      </c>
      <c r="AI230" t="s">
        <v>841</v>
      </c>
      <c r="AJ230" t="s">
        <v>1</v>
      </c>
      <c r="AK230">
        <v>9371106660</v>
      </c>
      <c r="AL230" t="s">
        <v>1757</v>
      </c>
      <c r="AM230" t="s">
        <v>1758</v>
      </c>
      <c r="AN230">
        <v>0</v>
      </c>
      <c r="AO230" t="s">
        <v>840</v>
      </c>
      <c r="AP230" t="s">
        <v>1</v>
      </c>
      <c r="AQ230">
        <v>3</v>
      </c>
      <c r="AR230">
        <v>0</v>
      </c>
      <c r="AS230">
        <v>0</v>
      </c>
      <c r="AT230" t="s">
        <v>1</v>
      </c>
      <c r="AU230" t="s">
        <v>1</v>
      </c>
      <c r="AV230" t="s">
        <v>1</v>
      </c>
      <c r="AW230">
        <v>0</v>
      </c>
      <c r="AX230">
        <v>1600</v>
      </c>
      <c r="AY230">
        <v>13200</v>
      </c>
      <c r="AZ230">
        <v>0</v>
      </c>
      <c r="BA230">
        <v>0</v>
      </c>
      <c r="BB230" t="s">
        <v>1</v>
      </c>
      <c r="BC230" t="s">
        <v>730</v>
      </c>
      <c r="BD230" t="s">
        <v>1159</v>
      </c>
      <c r="BE230" t="s">
        <v>1</v>
      </c>
      <c r="BF230" t="s">
        <v>1</v>
      </c>
      <c r="BG230" t="s">
        <v>1</v>
      </c>
      <c r="BH230">
        <v>0</v>
      </c>
      <c r="BI230">
        <v>0</v>
      </c>
      <c r="BJ230" t="s">
        <v>722</v>
      </c>
      <c r="BK230" t="s">
        <v>1</v>
      </c>
      <c r="BL230" t="s">
        <v>1138</v>
      </c>
      <c r="BM230">
        <v>0</v>
      </c>
      <c r="BN230">
        <v>14800</v>
      </c>
      <c r="BO230">
        <v>0</v>
      </c>
      <c r="BP230">
        <v>0</v>
      </c>
      <c r="BQ230">
        <v>0</v>
      </c>
      <c r="BR230" t="s">
        <v>1</v>
      </c>
      <c r="BS230" t="s">
        <v>1</v>
      </c>
      <c r="BT230" t="s">
        <v>1</v>
      </c>
      <c r="BU230" t="s">
        <v>1</v>
      </c>
      <c r="BV230" t="s">
        <v>1</v>
      </c>
      <c r="BW230" t="s">
        <v>360</v>
      </c>
      <c r="BX230" t="s">
        <v>1</v>
      </c>
      <c r="BY230">
        <v>0</v>
      </c>
      <c r="BZ230">
        <v>0</v>
      </c>
      <c r="CA230">
        <v>0</v>
      </c>
      <c r="CB230">
        <v>0</v>
      </c>
      <c r="CD230" t="str" cm="1">
        <f t="array" aca="1" ref="CD230" ca="1">eConcatenar(A230:CB230,"|")</f>
        <v>T4ZnQzK9H04bEYfS|VSA2021-1345|3|MEMORIAL|TABASCO|VILLAHERMOSA |VILLAHERMOSA |2021-08-21|14800|X|X|100|0|0|X|X|X|X|X|X|X|X|X|X|X|X|0|RIVERA|RAMOS|MAGALI|0|X|X|CALLE DEL PANTEON SIN NUMERO |POBLADO CUCUYULAPA |X|9371106660|ANA GABRIEL PERALTA RIVERA |VERONICA RIVERA RAMOS|0|CALLE DEL PANTEON SIN NUMERO |X|3|0|0|X|X|X|0|1600|13200|0|0|X|2021-12-16|2021-12-23|X|X|X|0|0|S35D6D3Y9KVTQ1|X|MUJER|0|14800|0|0|0|X|X|X|X|X|VILLAHERMOSA |X|0|0|0|0</v>
      </c>
    </row>
    <row r="231" spans="1:82" x14ac:dyDescent="0.25">
      <c r="A231" t="s">
        <v>1759</v>
      </c>
      <c r="B231" t="s">
        <v>1760</v>
      </c>
      <c r="C231">
        <v>3</v>
      </c>
      <c r="D231" t="s">
        <v>741</v>
      </c>
      <c r="E231" t="s">
        <v>359</v>
      </c>
      <c r="F231" t="s">
        <v>360</v>
      </c>
      <c r="G231" t="s">
        <v>360</v>
      </c>
      <c r="H231" t="s">
        <v>778</v>
      </c>
      <c r="I231">
        <v>14800</v>
      </c>
      <c r="J231" t="s">
        <v>1</v>
      </c>
      <c r="K231" t="s">
        <v>1</v>
      </c>
      <c r="L231">
        <v>100</v>
      </c>
      <c r="M231">
        <v>0</v>
      </c>
      <c r="N231">
        <v>0</v>
      </c>
      <c r="O231" t="s">
        <v>1</v>
      </c>
      <c r="P231" t="s">
        <v>1</v>
      </c>
      <c r="Q231" t="s">
        <v>1</v>
      </c>
      <c r="R231" t="s">
        <v>1</v>
      </c>
      <c r="S231" t="s">
        <v>1</v>
      </c>
      <c r="T231" t="s">
        <v>1</v>
      </c>
      <c r="U231" t="s">
        <v>1</v>
      </c>
      <c r="V231" t="s">
        <v>1</v>
      </c>
      <c r="W231" t="s">
        <v>1</v>
      </c>
      <c r="X231" t="s">
        <v>1</v>
      </c>
      <c r="Y231" t="s">
        <v>1</v>
      </c>
      <c r="Z231" t="s">
        <v>1</v>
      </c>
      <c r="AA231">
        <v>0</v>
      </c>
      <c r="AB231" t="s">
        <v>1645</v>
      </c>
      <c r="AC231" t="s">
        <v>209</v>
      </c>
      <c r="AD231" t="s">
        <v>1761</v>
      </c>
      <c r="AE231">
        <v>0</v>
      </c>
      <c r="AF231" t="s">
        <v>1</v>
      </c>
      <c r="AG231" t="s">
        <v>1</v>
      </c>
      <c r="AH231" t="s">
        <v>1145</v>
      </c>
      <c r="AI231" t="s">
        <v>1762</v>
      </c>
      <c r="AJ231" t="s">
        <v>1</v>
      </c>
      <c r="AK231">
        <v>9932186261</v>
      </c>
      <c r="AL231" t="s">
        <v>1763</v>
      </c>
      <c r="AM231" t="s">
        <v>1764</v>
      </c>
      <c r="AN231">
        <v>0</v>
      </c>
      <c r="AO231" t="s">
        <v>1145</v>
      </c>
      <c r="AP231" t="s">
        <v>1</v>
      </c>
      <c r="AQ231">
        <v>2</v>
      </c>
      <c r="AR231">
        <v>0</v>
      </c>
      <c r="AS231">
        <v>0</v>
      </c>
      <c r="AT231" t="s">
        <v>1</v>
      </c>
      <c r="AU231" t="s">
        <v>1</v>
      </c>
      <c r="AV231" t="s">
        <v>1</v>
      </c>
      <c r="AW231">
        <v>0</v>
      </c>
      <c r="AX231">
        <v>1200</v>
      </c>
      <c r="AY231">
        <v>13600</v>
      </c>
      <c r="AZ231">
        <v>0</v>
      </c>
      <c r="BA231">
        <v>0</v>
      </c>
      <c r="BB231" t="s">
        <v>1</v>
      </c>
      <c r="BC231" t="s">
        <v>1105</v>
      </c>
      <c r="BD231" t="s">
        <v>280</v>
      </c>
      <c r="BE231" t="s">
        <v>1</v>
      </c>
      <c r="BF231" t="s">
        <v>1</v>
      </c>
      <c r="BG231" t="s">
        <v>1</v>
      </c>
      <c r="BH231">
        <v>0</v>
      </c>
      <c r="BI231">
        <v>0</v>
      </c>
      <c r="BJ231" t="s">
        <v>722</v>
      </c>
      <c r="BK231" t="s">
        <v>1</v>
      </c>
      <c r="BL231" t="s">
        <v>132</v>
      </c>
      <c r="BM231">
        <v>0</v>
      </c>
      <c r="BN231">
        <v>14800</v>
      </c>
      <c r="BO231">
        <v>0</v>
      </c>
      <c r="BP231">
        <v>0</v>
      </c>
      <c r="BQ231">
        <v>0</v>
      </c>
      <c r="BR231" t="s">
        <v>1</v>
      </c>
      <c r="BS231" t="s">
        <v>1</v>
      </c>
      <c r="BT231" t="s">
        <v>1</v>
      </c>
      <c r="BU231" t="s">
        <v>1</v>
      </c>
      <c r="BV231" t="s">
        <v>1</v>
      </c>
      <c r="BW231" t="s">
        <v>360</v>
      </c>
      <c r="BX231" t="s">
        <v>1</v>
      </c>
      <c r="BY231">
        <v>0</v>
      </c>
      <c r="BZ231">
        <v>0</v>
      </c>
      <c r="CA231">
        <v>0</v>
      </c>
      <c r="CB231">
        <v>0</v>
      </c>
      <c r="CD231" t="str" cm="1">
        <f t="array" aca="1" ref="CD231" ca="1">eConcatenar(A231:CB231,"|")</f>
        <v>Tx8of3eakAwXIb0z|VSA2021-1398|3|MEMORIAL|TABASCO|VILLAHERMOSA |VILLAHERMOSA |2021-08-25|14800|X|X|100|0|0|X|X|X|X|X|X|X|X|X|X|X|X|0|DE LOS SANTOS |SANCHEZ|RAUL|0|X|X|RANCHERIA PLATANO Y CACAO SEGUNDA SECO|ENTRADA LA FLECHA 2 |X|9932186261|JOSEFINA DE LOS SANTOS ALEJO |NELLY SANCHEZ HERNANDEZ |0|RANCHERIA PLATANO Y CACAO SEGUNDA SECO|X|2|0|0|X|X|X|0|1200|13600|0|0|X|2021-12-22|2021-12-29|X|X|X|0|0|S35D6D3Y9KVTQ1|X|HOMBRE|0|14800|0|0|0|X|X|X|X|X|VILLAHERMOSA |X|0|0|0|0</v>
      </c>
    </row>
    <row r="232" spans="1:82" x14ac:dyDescent="0.25">
      <c r="A232" t="s">
        <v>1765</v>
      </c>
      <c r="B232" t="s">
        <v>1766</v>
      </c>
      <c r="C232">
        <v>3</v>
      </c>
      <c r="D232" t="s">
        <v>741</v>
      </c>
      <c r="E232" t="s">
        <v>359</v>
      </c>
      <c r="F232" t="s">
        <v>360</v>
      </c>
      <c r="G232" t="s">
        <v>360</v>
      </c>
      <c r="H232" t="s">
        <v>1767</v>
      </c>
      <c r="I232">
        <v>14800</v>
      </c>
      <c r="J232" t="s">
        <v>1</v>
      </c>
      <c r="K232" t="s">
        <v>1</v>
      </c>
      <c r="L232">
        <v>100</v>
      </c>
      <c r="M232">
        <v>0</v>
      </c>
      <c r="N232">
        <v>0</v>
      </c>
      <c r="O232" t="s">
        <v>1</v>
      </c>
      <c r="P232" t="s">
        <v>1</v>
      </c>
      <c r="Q232" t="s">
        <v>1</v>
      </c>
      <c r="R232" t="s">
        <v>1</v>
      </c>
      <c r="S232" t="s">
        <v>1</v>
      </c>
      <c r="T232" t="s">
        <v>1</v>
      </c>
      <c r="U232" t="s">
        <v>1</v>
      </c>
      <c r="V232" t="s">
        <v>1</v>
      </c>
      <c r="W232" t="s">
        <v>1</v>
      </c>
      <c r="X232" t="s">
        <v>1</v>
      </c>
      <c r="Y232" t="s">
        <v>1</v>
      </c>
      <c r="Z232" t="s">
        <v>1</v>
      </c>
      <c r="AA232">
        <v>0</v>
      </c>
      <c r="AB232" t="s">
        <v>921</v>
      </c>
      <c r="AC232" t="s">
        <v>1204</v>
      </c>
      <c r="AD232" t="s">
        <v>1096</v>
      </c>
      <c r="AE232">
        <v>0</v>
      </c>
      <c r="AF232" t="s">
        <v>1</v>
      </c>
      <c r="AG232" t="s">
        <v>1</v>
      </c>
      <c r="AH232" t="s">
        <v>466</v>
      </c>
      <c r="AI232" t="s">
        <v>1768</v>
      </c>
      <c r="AJ232" t="s">
        <v>1</v>
      </c>
      <c r="AK232">
        <v>9371023396</v>
      </c>
      <c r="AL232" t="s">
        <v>1769</v>
      </c>
      <c r="AM232" t="s">
        <v>1770</v>
      </c>
      <c r="AN232">
        <v>0</v>
      </c>
      <c r="AO232" t="s">
        <v>466</v>
      </c>
      <c r="AP232" t="s">
        <v>1</v>
      </c>
      <c r="AQ232">
        <v>2</v>
      </c>
      <c r="AR232">
        <v>0</v>
      </c>
      <c r="AS232">
        <v>0</v>
      </c>
      <c r="AT232" t="s">
        <v>1</v>
      </c>
      <c r="AU232" t="s">
        <v>1</v>
      </c>
      <c r="AV232" t="s">
        <v>1</v>
      </c>
      <c r="AW232">
        <v>0</v>
      </c>
      <c r="AX232">
        <v>1600</v>
      </c>
      <c r="AY232">
        <v>13200</v>
      </c>
      <c r="AZ232">
        <v>0</v>
      </c>
      <c r="BA232">
        <v>0</v>
      </c>
      <c r="BB232" t="s">
        <v>1</v>
      </c>
      <c r="BC232" t="s">
        <v>1105</v>
      </c>
      <c r="BD232" t="s">
        <v>280</v>
      </c>
      <c r="BE232" t="s">
        <v>1</v>
      </c>
      <c r="BF232" t="s">
        <v>1</v>
      </c>
      <c r="BG232" t="s">
        <v>1</v>
      </c>
      <c r="BH232">
        <v>0</v>
      </c>
      <c r="BI232">
        <v>0</v>
      </c>
      <c r="BJ232" t="s">
        <v>722</v>
      </c>
      <c r="BK232" t="s">
        <v>1</v>
      </c>
      <c r="BL232" t="s">
        <v>1138</v>
      </c>
      <c r="BM232">
        <v>0</v>
      </c>
      <c r="BN232">
        <v>14800</v>
      </c>
      <c r="BO232">
        <v>0</v>
      </c>
      <c r="BP232">
        <v>0</v>
      </c>
      <c r="BQ232">
        <v>0</v>
      </c>
      <c r="BR232" t="s">
        <v>1</v>
      </c>
      <c r="BS232" t="s">
        <v>1</v>
      </c>
      <c r="BT232" t="s">
        <v>1</v>
      </c>
      <c r="BU232" t="s">
        <v>1</v>
      </c>
      <c r="BV232" t="s">
        <v>1</v>
      </c>
      <c r="BW232" t="s">
        <v>360</v>
      </c>
      <c r="BX232" t="s">
        <v>1</v>
      </c>
      <c r="BY232">
        <v>0</v>
      </c>
      <c r="BZ232">
        <v>0</v>
      </c>
      <c r="CA232">
        <v>0</v>
      </c>
      <c r="CB232">
        <v>0</v>
      </c>
      <c r="CD232" t="str" cm="1">
        <f t="array" aca="1" ref="CD232" ca="1">eConcatenar(A232:CB232,"|")</f>
        <v>rpm8I365enu9yLfI|VSA2021-1405|3|MEMORIAL|TABASCO|VILLAHERMOSA |VILLAHERMOSA |2021-08-27|14800|X|X|100|0|0|X|X|X|X|X|X|X|X|X|X|X|X|0|RODRIGUEZ |DE DIOS |NATIVIDAD|0|X|X|CALLE PRINCIPAL SIN NUMERO |EJIDO LAGUNA DE CUCUYULAPA |X|9371023396|ERICK DEL CARMEN CALIX BOLAINA |SUCELY YALITH CALIX RODRIGUEZ |0|CALLE PRINCIPAL SIN NUMERO |X|2|0|0|X|X|X|0|1600|13200|0|0|X|2021-12-22|2021-12-29|X|X|X|0|0|S35D6D3Y9KVTQ1|X|MUJER|0|14800|0|0|0|X|X|X|X|X|VILLAHERMOSA |X|0|0|0|0</v>
      </c>
    </row>
    <row r="233" spans="1:82" x14ac:dyDescent="0.25">
      <c r="A233" t="s">
        <v>1771</v>
      </c>
      <c r="B233" t="s">
        <v>1772</v>
      </c>
      <c r="C233">
        <v>3</v>
      </c>
      <c r="D233" t="s">
        <v>741</v>
      </c>
      <c r="E233" t="s">
        <v>359</v>
      </c>
      <c r="F233" t="s">
        <v>360</v>
      </c>
      <c r="G233" t="s">
        <v>360</v>
      </c>
      <c r="H233" t="s">
        <v>882</v>
      </c>
      <c r="I233">
        <v>14800</v>
      </c>
      <c r="J233" t="s">
        <v>1</v>
      </c>
      <c r="K233" t="s">
        <v>1</v>
      </c>
      <c r="L233">
        <v>100</v>
      </c>
      <c r="M233">
        <v>0</v>
      </c>
      <c r="N233">
        <v>0</v>
      </c>
      <c r="O233" t="s">
        <v>1</v>
      </c>
      <c r="P233" t="s">
        <v>1</v>
      </c>
      <c r="Q233" t="s">
        <v>1</v>
      </c>
      <c r="R233" t="s">
        <v>1</v>
      </c>
      <c r="S233" t="s">
        <v>1</v>
      </c>
      <c r="T233" t="s">
        <v>1</v>
      </c>
      <c r="U233" t="s">
        <v>1</v>
      </c>
      <c r="V233" t="s">
        <v>1</v>
      </c>
      <c r="W233" t="s">
        <v>1</v>
      </c>
      <c r="X233" t="s">
        <v>1</v>
      </c>
      <c r="Y233" t="s">
        <v>1</v>
      </c>
      <c r="Z233" t="s">
        <v>1</v>
      </c>
      <c r="AA233">
        <v>0</v>
      </c>
      <c r="AB233" t="s">
        <v>838</v>
      </c>
      <c r="AC233" t="s">
        <v>1773</v>
      </c>
      <c r="AD233" t="s">
        <v>1774</v>
      </c>
      <c r="AE233">
        <v>0</v>
      </c>
      <c r="AF233" t="s">
        <v>1</v>
      </c>
      <c r="AG233" t="s">
        <v>1</v>
      </c>
      <c r="AH233" t="s">
        <v>545</v>
      </c>
      <c r="AI233" t="s">
        <v>1775</v>
      </c>
      <c r="AJ233" t="s">
        <v>1</v>
      </c>
      <c r="AK233">
        <v>9934318572</v>
      </c>
      <c r="AL233" t="s">
        <v>1776</v>
      </c>
      <c r="AM233" t="s">
        <v>1777</v>
      </c>
      <c r="AN233">
        <v>0</v>
      </c>
      <c r="AO233" t="s">
        <v>545</v>
      </c>
      <c r="AP233" t="s">
        <v>1</v>
      </c>
      <c r="AQ233">
        <v>2</v>
      </c>
      <c r="AR233">
        <v>0</v>
      </c>
      <c r="AS233">
        <v>0</v>
      </c>
      <c r="AT233" t="s">
        <v>1</v>
      </c>
      <c r="AU233" t="s">
        <v>1</v>
      </c>
      <c r="AV233" t="s">
        <v>1</v>
      </c>
      <c r="AW233">
        <v>0</v>
      </c>
      <c r="AX233">
        <v>1500</v>
      </c>
      <c r="AY233">
        <v>13300</v>
      </c>
      <c r="AZ233">
        <v>0</v>
      </c>
      <c r="BA233">
        <v>0</v>
      </c>
      <c r="BB233" t="s">
        <v>1</v>
      </c>
      <c r="BC233" t="s">
        <v>1105</v>
      </c>
      <c r="BD233" t="s">
        <v>280</v>
      </c>
      <c r="BE233" t="s">
        <v>1</v>
      </c>
      <c r="BF233" t="s">
        <v>1</v>
      </c>
      <c r="BG233" t="s">
        <v>1</v>
      </c>
      <c r="BH233">
        <v>0</v>
      </c>
      <c r="BI233">
        <v>0</v>
      </c>
      <c r="BJ233" t="s">
        <v>722</v>
      </c>
      <c r="BK233" t="s">
        <v>1</v>
      </c>
      <c r="BL233" t="s">
        <v>1138</v>
      </c>
      <c r="BM233">
        <v>0</v>
      </c>
      <c r="BN233">
        <v>14800</v>
      </c>
      <c r="BO233">
        <v>0</v>
      </c>
      <c r="BP233">
        <v>0</v>
      </c>
      <c r="BQ233">
        <v>0</v>
      </c>
      <c r="BR233" t="s">
        <v>1</v>
      </c>
      <c r="BS233" t="s">
        <v>1</v>
      </c>
      <c r="BT233" t="s">
        <v>1</v>
      </c>
      <c r="BU233" t="s">
        <v>1</v>
      </c>
      <c r="BV233" t="s">
        <v>1</v>
      </c>
      <c r="BW233" t="s">
        <v>360</v>
      </c>
      <c r="BX233" t="s">
        <v>1</v>
      </c>
      <c r="BY233">
        <v>0</v>
      </c>
      <c r="BZ233">
        <v>0</v>
      </c>
      <c r="CA233">
        <v>0</v>
      </c>
      <c r="CB233">
        <v>0</v>
      </c>
      <c r="CD233" t="str" cm="1">
        <f t="array" aca="1" ref="CD233" ca="1">eConcatenar(A233:CB233,"|")</f>
        <v>EjCq5QUuvc8VCF60|VSA2021-1380|3|MEMORIAL|TABASCO|VILLAHERMOSA |VILLAHERMOSA |2021-08-24|14800|X|X|100|0|0|X|X|X|X|X|X|X|X|X|X|X|X|0|VENTURA|OLAN |PAULA |0|X|X|CARRETERA PRINCIPAL SIN NUMERO |COLONIA MARIO BARRUETA GARCIA |X|9934318572|ROSARIO PEREZ VENTURA |RICARDO PEREZ PEREZ|0|CARRETERA PRINCIPAL SIN NUMERO |X|2|0|0|X|X|X|0|1500|13300|0|0|X|2021-12-22|2021-12-29|X|X|X|0|0|S35D6D3Y9KVTQ1|X|MUJER|0|14800|0|0|0|X|X|X|X|X|VILLAHERMOSA |X|0|0|0|0</v>
      </c>
    </row>
    <row r="234" spans="1:82" x14ac:dyDescent="0.25">
      <c r="A234" t="s">
        <v>1778</v>
      </c>
      <c r="B234" t="s">
        <v>1779</v>
      </c>
      <c r="C234">
        <v>3</v>
      </c>
      <c r="D234" t="s">
        <v>741</v>
      </c>
      <c r="E234" t="s">
        <v>359</v>
      </c>
      <c r="F234" t="s">
        <v>360</v>
      </c>
      <c r="G234" t="s">
        <v>360</v>
      </c>
      <c r="H234" t="s">
        <v>828</v>
      </c>
      <c r="I234">
        <v>14800</v>
      </c>
      <c r="J234" t="s">
        <v>1</v>
      </c>
      <c r="K234" t="s">
        <v>1</v>
      </c>
      <c r="L234">
        <v>100</v>
      </c>
      <c r="M234">
        <v>0</v>
      </c>
      <c r="N234">
        <v>0</v>
      </c>
      <c r="O234" t="s">
        <v>1</v>
      </c>
      <c r="P234" t="s">
        <v>1</v>
      </c>
      <c r="Q234" t="s">
        <v>1</v>
      </c>
      <c r="R234" t="s">
        <v>1</v>
      </c>
      <c r="S234" t="s">
        <v>1</v>
      </c>
      <c r="T234" t="s">
        <v>1</v>
      </c>
      <c r="U234" t="s">
        <v>1</v>
      </c>
      <c r="V234" t="s">
        <v>1</v>
      </c>
      <c r="W234" t="s">
        <v>1</v>
      </c>
      <c r="X234" t="s">
        <v>1</v>
      </c>
      <c r="Y234" t="s">
        <v>1</v>
      </c>
      <c r="Z234" t="s">
        <v>1</v>
      </c>
      <c r="AA234">
        <v>0</v>
      </c>
      <c r="AB234" t="s">
        <v>1029</v>
      </c>
      <c r="AC234" t="s">
        <v>1029</v>
      </c>
      <c r="AD234" t="s">
        <v>1780</v>
      </c>
      <c r="AE234">
        <v>0</v>
      </c>
      <c r="AF234" t="s">
        <v>1</v>
      </c>
      <c r="AG234" t="s">
        <v>1</v>
      </c>
      <c r="AH234" t="s">
        <v>1750</v>
      </c>
      <c r="AI234" t="s">
        <v>1781</v>
      </c>
      <c r="AJ234" t="s">
        <v>1</v>
      </c>
      <c r="AK234">
        <v>9934511019</v>
      </c>
      <c r="AL234" t="s">
        <v>1782</v>
      </c>
      <c r="AM234" t="s">
        <v>1783</v>
      </c>
      <c r="AN234">
        <v>0</v>
      </c>
      <c r="AO234" t="s">
        <v>1750</v>
      </c>
      <c r="AP234" t="s">
        <v>1</v>
      </c>
      <c r="AQ234">
        <v>3</v>
      </c>
      <c r="AR234">
        <v>0</v>
      </c>
      <c r="AS234">
        <v>0</v>
      </c>
      <c r="AT234" t="s">
        <v>1</v>
      </c>
      <c r="AU234" t="s">
        <v>1</v>
      </c>
      <c r="AV234" t="s">
        <v>1</v>
      </c>
      <c r="AW234">
        <v>0</v>
      </c>
      <c r="AX234">
        <v>1900</v>
      </c>
      <c r="AY234">
        <v>12900</v>
      </c>
      <c r="AZ234">
        <v>0</v>
      </c>
      <c r="BA234">
        <v>0</v>
      </c>
      <c r="BB234" t="s">
        <v>1</v>
      </c>
      <c r="BC234" t="s">
        <v>730</v>
      </c>
      <c r="BD234" t="s">
        <v>1159</v>
      </c>
      <c r="BE234" t="s">
        <v>1</v>
      </c>
      <c r="BF234" t="s">
        <v>1</v>
      </c>
      <c r="BG234" t="s">
        <v>1</v>
      </c>
      <c r="BH234">
        <v>0</v>
      </c>
      <c r="BI234">
        <v>0</v>
      </c>
      <c r="BJ234" t="s">
        <v>722</v>
      </c>
      <c r="BK234" t="s">
        <v>1</v>
      </c>
      <c r="BL234" t="s">
        <v>1138</v>
      </c>
      <c r="BM234">
        <v>0</v>
      </c>
      <c r="BN234">
        <v>14800</v>
      </c>
      <c r="BO234">
        <v>0</v>
      </c>
      <c r="BP234">
        <v>0</v>
      </c>
      <c r="BQ234">
        <v>0</v>
      </c>
      <c r="BR234" t="s">
        <v>1</v>
      </c>
      <c r="BS234" t="s">
        <v>1</v>
      </c>
      <c r="BT234" t="s">
        <v>1</v>
      </c>
      <c r="BU234" t="s">
        <v>1</v>
      </c>
      <c r="BV234" t="s">
        <v>1</v>
      </c>
      <c r="BW234" t="s">
        <v>360</v>
      </c>
      <c r="BX234" t="s">
        <v>1</v>
      </c>
      <c r="BY234">
        <v>0</v>
      </c>
      <c r="BZ234">
        <v>0</v>
      </c>
      <c r="CA234">
        <v>0</v>
      </c>
      <c r="CB234">
        <v>0</v>
      </c>
      <c r="CD234" t="str" cm="1">
        <f t="array" aca="1" ref="CD234" ca="1">eConcatenar(A234:CB234,"|")</f>
        <v>yq6XKQugCTFwmQaJ|VSA2021-1301|3|MEMORIAL|TABASCO|VILLAHERMOSA |VILLAHERMOSA |2021-08-17|14800|X|X|100|0|0|X|X|X|X|X|X|X|X|X|X|X|X|0|LEON|LEON|LEONOR|0|X|X|ENTRADA LA RATONERA SIN NUMERO |RANCHERIA PLATANO Y CACAO |X|9934511019|ELMER TORRES SUAREZ |JOSE ANGEL TORRES LEON |0|ENTRADA LA RATONERA SIN NUMERO |X|3|0|0|X|X|X|0|1900|12900|0|0|X|2021-12-16|2021-12-23|X|X|X|0|0|S35D6D3Y9KVTQ1|X|MUJER|0|14800|0|0|0|X|X|X|X|X|VILLAHERMOSA |X|0|0|0|0</v>
      </c>
    </row>
    <row r="235" spans="1:82" x14ac:dyDescent="0.25">
      <c r="A235" t="s">
        <v>1784</v>
      </c>
      <c r="B235" t="s">
        <v>1260</v>
      </c>
      <c r="C235">
        <v>3</v>
      </c>
      <c r="D235" t="s">
        <v>741</v>
      </c>
      <c r="E235" t="s">
        <v>359</v>
      </c>
      <c r="F235" t="s">
        <v>360</v>
      </c>
      <c r="G235" t="s">
        <v>360</v>
      </c>
      <c r="H235" t="s">
        <v>1261</v>
      </c>
      <c r="I235">
        <v>14800</v>
      </c>
      <c r="J235" t="s">
        <v>1</v>
      </c>
      <c r="K235" t="s">
        <v>1</v>
      </c>
      <c r="L235">
        <v>100</v>
      </c>
      <c r="M235">
        <v>0</v>
      </c>
      <c r="N235">
        <v>0</v>
      </c>
      <c r="O235" t="s">
        <v>1</v>
      </c>
      <c r="P235" t="s">
        <v>1</v>
      </c>
      <c r="Q235" t="s">
        <v>1</v>
      </c>
      <c r="R235" t="s">
        <v>1</v>
      </c>
      <c r="S235" t="s">
        <v>1</v>
      </c>
      <c r="T235" t="s">
        <v>1</v>
      </c>
      <c r="U235" t="s">
        <v>1</v>
      </c>
      <c r="V235" t="s">
        <v>1</v>
      </c>
      <c r="W235" t="s">
        <v>1</v>
      </c>
      <c r="X235" t="s">
        <v>1</v>
      </c>
      <c r="Y235" t="s">
        <v>1</v>
      </c>
      <c r="Z235" t="s">
        <v>1</v>
      </c>
      <c r="AA235">
        <v>0</v>
      </c>
      <c r="AB235" t="s">
        <v>856</v>
      </c>
      <c r="AC235" t="s">
        <v>1263</v>
      </c>
      <c r="AD235" t="s">
        <v>1264</v>
      </c>
      <c r="AE235">
        <v>0</v>
      </c>
      <c r="AF235" t="s">
        <v>1</v>
      </c>
      <c r="AG235" t="s">
        <v>1</v>
      </c>
      <c r="AH235" t="s">
        <v>1221</v>
      </c>
      <c r="AI235" t="s">
        <v>1785</v>
      </c>
      <c r="AJ235" t="s">
        <v>1</v>
      </c>
      <c r="AK235">
        <v>9931328525</v>
      </c>
      <c r="AL235" t="s">
        <v>1</v>
      </c>
      <c r="AM235" t="s">
        <v>1</v>
      </c>
      <c r="AN235">
        <v>0</v>
      </c>
      <c r="AO235" t="s">
        <v>1221</v>
      </c>
      <c r="AP235" t="s">
        <v>1</v>
      </c>
      <c r="AQ235">
        <v>3</v>
      </c>
      <c r="AR235">
        <v>0</v>
      </c>
      <c r="AS235">
        <v>0</v>
      </c>
      <c r="AT235" t="s">
        <v>1</v>
      </c>
      <c r="AU235" t="s">
        <v>1</v>
      </c>
      <c r="AV235" t="s">
        <v>1</v>
      </c>
      <c r="AW235">
        <v>0</v>
      </c>
      <c r="AX235">
        <v>6450</v>
      </c>
      <c r="AY235">
        <v>8350</v>
      </c>
      <c r="AZ235">
        <v>0</v>
      </c>
      <c r="BA235">
        <v>0</v>
      </c>
      <c r="BB235" t="s">
        <v>1</v>
      </c>
      <c r="BC235" t="s">
        <v>1159</v>
      </c>
      <c r="BD235" t="s">
        <v>198</v>
      </c>
      <c r="BE235" t="s">
        <v>1</v>
      </c>
      <c r="BF235" t="s">
        <v>1</v>
      </c>
      <c r="BG235" t="s">
        <v>1</v>
      </c>
      <c r="BH235">
        <v>0</v>
      </c>
      <c r="BI235">
        <v>0</v>
      </c>
      <c r="BJ235" t="s">
        <v>722</v>
      </c>
      <c r="BK235" t="s">
        <v>1</v>
      </c>
      <c r="BL235" t="s">
        <v>1138</v>
      </c>
      <c r="BM235">
        <v>0</v>
      </c>
      <c r="BN235">
        <v>14800</v>
      </c>
      <c r="BO235">
        <v>0</v>
      </c>
      <c r="BP235">
        <v>0</v>
      </c>
      <c r="BQ235">
        <v>0</v>
      </c>
      <c r="BR235" t="s">
        <v>1</v>
      </c>
      <c r="BS235" t="s">
        <v>1</v>
      </c>
      <c r="BT235" t="s">
        <v>1</v>
      </c>
      <c r="BU235" t="s">
        <v>1</v>
      </c>
      <c r="BV235" t="s">
        <v>1</v>
      </c>
      <c r="BW235" t="s">
        <v>360</v>
      </c>
      <c r="BX235" t="s">
        <v>1</v>
      </c>
      <c r="BY235">
        <v>0</v>
      </c>
      <c r="BZ235">
        <v>0</v>
      </c>
      <c r="CA235">
        <v>0</v>
      </c>
      <c r="CB235">
        <v>0</v>
      </c>
      <c r="CD235" t="str" cm="1">
        <f t="array" aca="1" ref="CD235" ca="1">eConcatenar(A235:CB235,"|")</f>
        <v>VhPBX86GE1lZNwYi|VSA2020-1254|3|MEMORIAL|TABASCO|VILLAHERMOSA |VILLAHERMOSA |2020-11-28|14800|X|X|100|0|0|X|X|X|X|X|X|X|X|X|X|X|X|0|RIVERA|PEDRAZA |YESICA|0|X|X|PRINCIPAL SIN NUMERO |RANCHERIA GONZALEZ CUARTA SECCION .|X|9931328525|X|X|0|PRINCIPAL SIN NUMERO |X|3|0|0|X|X|X|0|6450|8350|0|0|X|2021-12-23|2021-12-30|X|X|X|0|0|S35D6D3Y9KVTQ1|X|MUJER|0|14800|0|0|0|X|X|X|X|X|VILLAHERMOSA |X|0|0|0|0</v>
      </c>
    </row>
    <row r="236" spans="1:82" x14ac:dyDescent="0.25">
      <c r="A236" t="s">
        <v>1786</v>
      </c>
      <c r="B236" t="s">
        <v>1787</v>
      </c>
      <c r="C236">
        <v>3</v>
      </c>
      <c r="D236" t="s">
        <v>891</v>
      </c>
      <c r="E236" t="s">
        <v>359</v>
      </c>
      <c r="F236" t="s">
        <v>360</v>
      </c>
      <c r="G236" t="s">
        <v>360</v>
      </c>
      <c r="H236" t="s">
        <v>963</v>
      </c>
      <c r="I236">
        <v>12900</v>
      </c>
      <c r="J236" t="s">
        <v>1</v>
      </c>
      <c r="K236" t="s">
        <v>1</v>
      </c>
      <c r="L236">
        <v>100</v>
      </c>
      <c r="M236">
        <v>0</v>
      </c>
      <c r="N236">
        <v>0</v>
      </c>
      <c r="O236" t="s">
        <v>1</v>
      </c>
      <c r="P236" t="s">
        <v>1</v>
      </c>
      <c r="Q236" t="s">
        <v>1</v>
      </c>
      <c r="R236" t="s">
        <v>1</v>
      </c>
      <c r="S236" t="s">
        <v>1</v>
      </c>
      <c r="T236" t="s">
        <v>1</v>
      </c>
      <c r="U236" t="s">
        <v>1</v>
      </c>
      <c r="V236" t="s">
        <v>1</v>
      </c>
      <c r="W236" t="s">
        <v>1</v>
      </c>
      <c r="X236" t="s">
        <v>1</v>
      </c>
      <c r="Y236" t="s">
        <v>1</v>
      </c>
      <c r="Z236" t="s">
        <v>1</v>
      </c>
      <c r="AA236">
        <v>0</v>
      </c>
      <c r="AB236" t="s">
        <v>1788</v>
      </c>
      <c r="AC236" t="s">
        <v>1</v>
      </c>
      <c r="AD236" t="s">
        <v>1789</v>
      </c>
      <c r="AE236">
        <v>0</v>
      </c>
      <c r="AF236" t="s">
        <v>1</v>
      </c>
      <c r="AG236" t="s">
        <v>1</v>
      </c>
      <c r="AH236" t="s">
        <v>1790</v>
      </c>
      <c r="AI236" t="s">
        <v>1791</v>
      </c>
      <c r="AJ236" t="s">
        <v>1</v>
      </c>
      <c r="AK236">
        <v>9934466571</v>
      </c>
      <c r="AL236" t="s">
        <v>1</v>
      </c>
      <c r="AM236" t="s">
        <v>1</v>
      </c>
      <c r="AN236">
        <v>0</v>
      </c>
      <c r="AO236" t="s">
        <v>1790</v>
      </c>
      <c r="AP236" t="s">
        <v>1</v>
      </c>
      <c r="AQ236">
        <v>3</v>
      </c>
      <c r="AR236">
        <v>0</v>
      </c>
      <c r="AS236">
        <v>0</v>
      </c>
      <c r="AT236" t="s">
        <v>1</v>
      </c>
      <c r="AU236" t="s">
        <v>1</v>
      </c>
      <c r="AV236" t="s">
        <v>1</v>
      </c>
      <c r="AW236">
        <v>0</v>
      </c>
      <c r="AX236">
        <v>6800</v>
      </c>
      <c r="AY236">
        <v>6100</v>
      </c>
      <c r="AZ236">
        <v>0</v>
      </c>
      <c r="BA236">
        <v>0</v>
      </c>
      <c r="BB236" t="s">
        <v>1</v>
      </c>
      <c r="BC236" t="s">
        <v>730</v>
      </c>
      <c r="BD236" t="s">
        <v>1105</v>
      </c>
      <c r="BE236" t="s">
        <v>1</v>
      </c>
      <c r="BF236" t="s">
        <v>1</v>
      </c>
      <c r="BG236" t="s">
        <v>1</v>
      </c>
      <c r="BH236">
        <v>0</v>
      </c>
      <c r="BI236">
        <v>0</v>
      </c>
      <c r="BJ236" t="s">
        <v>722</v>
      </c>
      <c r="BK236" t="s">
        <v>1</v>
      </c>
      <c r="BL236" t="s">
        <v>1138</v>
      </c>
      <c r="BM236">
        <v>0</v>
      </c>
      <c r="BN236">
        <v>12900</v>
      </c>
      <c r="BO236">
        <v>0</v>
      </c>
      <c r="BP236">
        <v>0</v>
      </c>
      <c r="BQ236">
        <v>0</v>
      </c>
      <c r="BR236" t="s">
        <v>1</v>
      </c>
      <c r="BS236" t="s">
        <v>1</v>
      </c>
      <c r="BT236" t="s">
        <v>1</v>
      </c>
      <c r="BU236" t="s">
        <v>1</v>
      </c>
      <c r="BV236" t="s">
        <v>1</v>
      </c>
      <c r="BW236" t="s">
        <v>360</v>
      </c>
      <c r="BX236" t="s">
        <v>1</v>
      </c>
      <c r="BY236">
        <v>0</v>
      </c>
      <c r="BZ236">
        <v>0</v>
      </c>
      <c r="CA236">
        <v>0</v>
      </c>
      <c r="CB236">
        <v>0</v>
      </c>
      <c r="CD236" t="str" cm="1">
        <f t="array" aca="1" ref="CD236" ca="1">eConcatenar(A236:CB236,"|")</f>
        <v>sxrMpqm0Sml8qxKD|VSA2020-0498|3|ECONOLINE|TABASCO|VILLAHERMOSA |VILLAHERMOSA |2020-03-09|12900|X|X|100|0|0|X|X|X|X|X|X|X|X|X|X|X|X|0|PERERA|X|IRIS CRISTINA |0|X|X|EJIDO CONSTITUCION |CALLE LA FLORIDA SIN NUMERO |X|9934466571|X|X|0|EJIDO CONSTITUCION |X|3|0|0|X|X|X|0|6800|6100|0|0|X|2021-12-16|2021-12-22|X|X|X|0|0|S35D6D3Y9KVTQ1|X|MUJER|0|12900|0|0|0|X|X|X|X|X|VILLAHERMOSA |X|0|0|0|0</v>
      </c>
    </row>
    <row r="237" spans="1:82" x14ac:dyDescent="0.25">
      <c r="A237" t="s">
        <v>1792</v>
      </c>
      <c r="B237" t="s">
        <v>1793</v>
      </c>
      <c r="C237">
        <v>3</v>
      </c>
      <c r="D237" t="s">
        <v>891</v>
      </c>
      <c r="E237" t="s">
        <v>359</v>
      </c>
      <c r="F237" t="s">
        <v>360</v>
      </c>
      <c r="G237" t="s">
        <v>360</v>
      </c>
      <c r="H237" t="s">
        <v>495</v>
      </c>
      <c r="I237">
        <v>12900</v>
      </c>
      <c r="J237" t="s">
        <v>1</v>
      </c>
      <c r="K237" t="s">
        <v>1</v>
      </c>
      <c r="L237">
        <v>100</v>
      </c>
      <c r="M237">
        <v>0</v>
      </c>
      <c r="N237">
        <v>0</v>
      </c>
      <c r="O237" t="s">
        <v>1</v>
      </c>
      <c r="P237" t="s">
        <v>1</v>
      </c>
      <c r="Q237" t="s">
        <v>1</v>
      </c>
      <c r="R237" t="s">
        <v>1</v>
      </c>
      <c r="S237" t="s">
        <v>1</v>
      </c>
      <c r="T237" t="s">
        <v>1</v>
      </c>
      <c r="U237" t="s">
        <v>1</v>
      </c>
      <c r="V237" t="s">
        <v>1</v>
      </c>
      <c r="W237" t="s">
        <v>1</v>
      </c>
      <c r="X237" t="s">
        <v>1</v>
      </c>
      <c r="Y237" t="s">
        <v>1</v>
      </c>
      <c r="Z237" t="s">
        <v>1</v>
      </c>
      <c r="AA237">
        <v>0</v>
      </c>
      <c r="AB237" t="s">
        <v>236</v>
      </c>
      <c r="AC237" t="s">
        <v>1326</v>
      </c>
      <c r="AD237" t="s">
        <v>1794</v>
      </c>
      <c r="AE237">
        <v>0</v>
      </c>
      <c r="AF237" t="s">
        <v>1</v>
      </c>
      <c r="AG237" t="s">
        <v>1</v>
      </c>
      <c r="AH237" t="s">
        <v>756</v>
      </c>
      <c r="AI237" t="s">
        <v>1795</v>
      </c>
      <c r="AJ237" t="s">
        <v>1</v>
      </c>
      <c r="AK237">
        <v>9931126166</v>
      </c>
      <c r="AL237" t="s">
        <v>1</v>
      </c>
      <c r="AM237" t="s">
        <v>1</v>
      </c>
      <c r="AN237">
        <v>0</v>
      </c>
      <c r="AO237" t="s">
        <v>756</v>
      </c>
      <c r="AP237" t="s">
        <v>1</v>
      </c>
      <c r="AQ237">
        <v>2</v>
      </c>
      <c r="AR237">
        <v>0</v>
      </c>
      <c r="AS237">
        <v>0</v>
      </c>
      <c r="AT237" t="s">
        <v>1</v>
      </c>
      <c r="AU237" t="s">
        <v>1</v>
      </c>
      <c r="AV237" t="s">
        <v>1</v>
      </c>
      <c r="AW237">
        <v>0</v>
      </c>
      <c r="AX237">
        <v>3270</v>
      </c>
      <c r="AY237">
        <v>9630</v>
      </c>
      <c r="AZ237">
        <v>0</v>
      </c>
      <c r="BA237">
        <v>0</v>
      </c>
      <c r="BB237" t="s">
        <v>1</v>
      </c>
      <c r="BC237" t="s">
        <v>280</v>
      </c>
      <c r="BD237" t="s">
        <v>1397</v>
      </c>
      <c r="BE237" t="s">
        <v>1</v>
      </c>
      <c r="BF237" t="s">
        <v>1</v>
      </c>
      <c r="BG237" t="s">
        <v>1</v>
      </c>
      <c r="BH237">
        <v>0</v>
      </c>
      <c r="BI237">
        <v>0</v>
      </c>
      <c r="BJ237" t="s">
        <v>722</v>
      </c>
      <c r="BK237" t="s">
        <v>1</v>
      </c>
      <c r="BL237" t="s">
        <v>1138</v>
      </c>
      <c r="BM237">
        <v>0</v>
      </c>
      <c r="BN237">
        <v>12900</v>
      </c>
      <c r="BO237">
        <v>0</v>
      </c>
      <c r="BP237">
        <v>0</v>
      </c>
      <c r="BQ237">
        <v>0</v>
      </c>
      <c r="BR237" t="s">
        <v>1</v>
      </c>
      <c r="BS237" t="s">
        <v>1</v>
      </c>
      <c r="BT237" t="s">
        <v>1</v>
      </c>
      <c r="BU237" t="s">
        <v>1</v>
      </c>
      <c r="BV237" t="s">
        <v>1</v>
      </c>
      <c r="BW237" t="s">
        <v>360</v>
      </c>
      <c r="BX237" t="s">
        <v>1</v>
      </c>
      <c r="BY237">
        <v>0</v>
      </c>
      <c r="BZ237">
        <v>0</v>
      </c>
      <c r="CA237">
        <v>0</v>
      </c>
      <c r="CB237">
        <v>0</v>
      </c>
      <c r="CD237" t="str" cm="1">
        <f t="array" aca="1" ref="CD237" ca="1">eConcatenar(A237:CB237,"|")</f>
        <v>QWA2O36LQHFMHsPL|VSA2020-0431|3|ECONOLINE|TABASCO|VILLAHERMOSA |VILLAHERMOSA |2020-08-27|12900|X|X|100|0|0|X|X|X|X|X|X|X|X|X|X|X|X|0|JIMENEZ|IZQUIERDO |MARGARITA |0|X|X|RANCHERIA EMILIANO ZAPATA |CARRETERA VILLAHERMOSA A BOSQUE DE SALOYA |X|9931126166|X|X|0|RANCHERIA EMILIANO ZAPATA |X|2|0|0|X|X|X|0|3270|9630|0|0|X|2021-12-29|2022-05-01|X|X|X|0|0|S35D6D3Y9KVTQ1|X|MUJER|0|12900|0|0|0|X|X|X|X|X|VILLAHERMOSA |X|0|0|0|0</v>
      </c>
    </row>
    <row r="238" spans="1:82" x14ac:dyDescent="0.25">
      <c r="A238" t="s">
        <v>1796</v>
      </c>
      <c r="B238" t="s">
        <v>1797</v>
      </c>
      <c r="C238">
        <v>3</v>
      </c>
      <c r="D238" t="s">
        <v>891</v>
      </c>
      <c r="E238" t="s">
        <v>359</v>
      </c>
      <c r="F238" t="s">
        <v>360</v>
      </c>
      <c r="G238" t="s">
        <v>360</v>
      </c>
      <c r="H238" t="s">
        <v>954</v>
      </c>
      <c r="I238">
        <v>12900</v>
      </c>
      <c r="J238" t="s">
        <v>1</v>
      </c>
      <c r="K238" t="s">
        <v>1</v>
      </c>
      <c r="L238">
        <v>100</v>
      </c>
      <c r="M238">
        <v>0</v>
      </c>
      <c r="N238">
        <v>0</v>
      </c>
      <c r="O238" t="s">
        <v>1</v>
      </c>
      <c r="P238" t="s">
        <v>1</v>
      </c>
      <c r="Q238" t="s">
        <v>1</v>
      </c>
      <c r="R238" t="s">
        <v>1</v>
      </c>
      <c r="S238" t="s">
        <v>1</v>
      </c>
      <c r="T238" t="s">
        <v>1</v>
      </c>
      <c r="U238" t="s">
        <v>1</v>
      </c>
      <c r="V238" t="s">
        <v>1</v>
      </c>
      <c r="W238" t="s">
        <v>1</v>
      </c>
      <c r="X238" t="s">
        <v>1</v>
      </c>
      <c r="Y238" t="s">
        <v>1</v>
      </c>
      <c r="Z238" t="s">
        <v>1</v>
      </c>
      <c r="AA238">
        <v>0</v>
      </c>
      <c r="AB238" t="s">
        <v>1798</v>
      </c>
      <c r="AC238" t="s">
        <v>584</v>
      </c>
      <c r="AD238" t="s">
        <v>1799</v>
      </c>
      <c r="AE238">
        <v>0</v>
      </c>
      <c r="AF238" t="s">
        <v>1</v>
      </c>
      <c r="AG238" t="s">
        <v>1</v>
      </c>
      <c r="AH238" t="s">
        <v>903</v>
      </c>
      <c r="AI238" t="s">
        <v>1800</v>
      </c>
      <c r="AJ238" t="s">
        <v>1</v>
      </c>
      <c r="AK238" t="s">
        <v>1</v>
      </c>
      <c r="AL238" t="s">
        <v>1</v>
      </c>
      <c r="AM238" t="s">
        <v>1</v>
      </c>
      <c r="AN238">
        <v>0</v>
      </c>
      <c r="AO238" t="s">
        <v>903</v>
      </c>
      <c r="AP238" t="s">
        <v>1</v>
      </c>
      <c r="AQ238">
        <v>2</v>
      </c>
      <c r="AR238">
        <v>0</v>
      </c>
      <c r="AS238">
        <v>0</v>
      </c>
      <c r="AT238" t="s">
        <v>1</v>
      </c>
      <c r="AU238" t="s">
        <v>1</v>
      </c>
      <c r="AV238" t="s">
        <v>1</v>
      </c>
      <c r="AW238">
        <v>0</v>
      </c>
      <c r="AX238">
        <v>7000</v>
      </c>
      <c r="AY238">
        <v>5900</v>
      </c>
      <c r="AZ238">
        <v>0</v>
      </c>
      <c r="BA238">
        <v>0</v>
      </c>
      <c r="BB238" t="s">
        <v>1</v>
      </c>
      <c r="BC238" t="s">
        <v>280</v>
      </c>
      <c r="BD238" t="s">
        <v>1397</v>
      </c>
      <c r="BE238" t="s">
        <v>1</v>
      </c>
      <c r="BF238" t="s">
        <v>1</v>
      </c>
      <c r="BG238" t="s">
        <v>1</v>
      </c>
      <c r="BH238">
        <v>0</v>
      </c>
      <c r="BI238">
        <v>0</v>
      </c>
      <c r="BJ238" t="s">
        <v>722</v>
      </c>
      <c r="BK238" t="s">
        <v>1</v>
      </c>
      <c r="BL238" t="s">
        <v>1138</v>
      </c>
      <c r="BM238">
        <v>0</v>
      </c>
      <c r="BN238">
        <v>12900</v>
      </c>
      <c r="BO238">
        <v>0</v>
      </c>
      <c r="BP238">
        <v>0</v>
      </c>
      <c r="BQ238">
        <v>0</v>
      </c>
      <c r="BR238" t="s">
        <v>1</v>
      </c>
      <c r="BS238" t="s">
        <v>1</v>
      </c>
      <c r="BT238" t="s">
        <v>1</v>
      </c>
      <c r="BU238" t="s">
        <v>1</v>
      </c>
      <c r="BV238" t="s">
        <v>1</v>
      </c>
      <c r="BW238" t="s">
        <v>360</v>
      </c>
      <c r="BX238" t="s">
        <v>1</v>
      </c>
      <c r="BY238">
        <v>0</v>
      </c>
      <c r="BZ238">
        <v>0</v>
      </c>
      <c r="CA238">
        <v>0</v>
      </c>
      <c r="CB238">
        <v>0</v>
      </c>
      <c r="CD238" t="str" cm="1">
        <f t="array" aca="1" ref="CD238" ca="1">eConcatenar(A238:CB238,"|")</f>
        <v>PwGPZQDBuo3Qqpm8|VSA2020-0485|3|ECONOLINE|TABASCO|VILLAHERMOSA |VILLAHERMOSA |2020-02-09|12900|X|X|100|0|0|X|X|X|X|X|X|X|X|X|X|X|X|0|ROBLES |HERNANDEZ |MARIA DEL CIELO |0|X|X|RANCHERIA ANACLETO CANABAL PRIMERA |ENTRADA LA GURIA |X|X|X|X|0|RANCHERIA ANACLETO CANABAL PRIMERA |X|2|0|0|X|X|X|0|7000|5900|0|0|X|2021-12-29|2022-05-01|X|X|X|0|0|S35D6D3Y9KVTQ1|X|MUJER|0|12900|0|0|0|X|X|X|X|X|VILLAHERMOSA |X|0|0|0|0</v>
      </c>
    </row>
    <row r="239" spans="1:82" x14ac:dyDescent="0.25">
      <c r="A239" t="s">
        <v>1801</v>
      </c>
      <c r="B239" t="s">
        <v>1802</v>
      </c>
      <c r="C239">
        <v>3</v>
      </c>
      <c r="D239" t="s">
        <v>741</v>
      </c>
      <c r="E239" t="s">
        <v>359</v>
      </c>
      <c r="F239" t="s">
        <v>360</v>
      </c>
      <c r="G239" t="s">
        <v>360</v>
      </c>
      <c r="H239" t="s">
        <v>1556</v>
      </c>
      <c r="I239">
        <v>14800</v>
      </c>
      <c r="J239" t="s">
        <v>1</v>
      </c>
      <c r="K239" t="s">
        <v>1</v>
      </c>
      <c r="L239">
        <v>100</v>
      </c>
      <c r="M239">
        <v>0</v>
      </c>
      <c r="N239">
        <v>0</v>
      </c>
      <c r="O239" t="s">
        <v>1</v>
      </c>
      <c r="P239" t="s">
        <v>1</v>
      </c>
      <c r="Q239" t="s">
        <v>1</v>
      </c>
      <c r="R239" t="s">
        <v>1</v>
      </c>
      <c r="S239" t="s">
        <v>1</v>
      </c>
      <c r="T239" t="s">
        <v>1</v>
      </c>
      <c r="U239" t="s">
        <v>1</v>
      </c>
      <c r="V239" t="s">
        <v>1</v>
      </c>
      <c r="W239" t="s">
        <v>1</v>
      </c>
      <c r="X239" t="s">
        <v>1</v>
      </c>
      <c r="Y239" t="s">
        <v>1</v>
      </c>
      <c r="Z239" t="s">
        <v>1</v>
      </c>
      <c r="AA239">
        <v>0</v>
      </c>
      <c r="AB239" t="s">
        <v>1645</v>
      </c>
      <c r="AC239" t="s">
        <v>1434</v>
      </c>
      <c r="AD239" t="s">
        <v>1803</v>
      </c>
      <c r="AE239">
        <v>0</v>
      </c>
      <c r="AF239" t="s">
        <v>1</v>
      </c>
      <c r="AG239" t="s">
        <v>1</v>
      </c>
      <c r="AH239" t="s">
        <v>1611</v>
      </c>
      <c r="AI239" t="s">
        <v>886</v>
      </c>
      <c r="AJ239" t="s">
        <v>1</v>
      </c>
      <c r="AK239">
        <v>9931256529</v>
      </c>
      <c r="AL239" t="s">
        <v>1</v>
      </c>
      <c r="AM239" t="s">
        <v>1</v>
      </c>
      <c r="AN239">
        <v>0</v>
      </c>
      <c r="AO239" t="s">
        <v>1611</v>
      </c>
      <c r="AP239" t="s">
        <v>1</v>
      </c>
      <c r="AQ239">
        <v>2</v>
      </c>
      <c r="AR239">
        <v>0</v>
      </c>
      <c r="AS239">
        <v>0</v>
      </c>
      <c r="AT239" t="s">
        <v>1</v>
      </c>
      <c r="AU239" t="s">
        <v>1</v>
      </c>
      <c r="AV239" t="s">
        <v>1</v>
      </c>
      <c r="AW239">
        <v>0</v>
      </c>
      <c r="AX239">
        <v>5200</v>
      </c>
      <c r="AY239">
        <v>9600</v>
      </c>
      <c r="AZ239">
        <v>0</v>
      </c>
      <c r="BA239">
        <v>0</v>
      </c>
      <c r="BB239" t="s">
        <v>1</v>
      </c>
      <c r="BC239" t="s">
        <v>280</v>
      </c>
      <c r="BD239" t="s">
        <v>1397</v>
      </c>
      <c r="BE239" t="s">
        <v>1</v>
      </c>
      <c r="BF239" t="s">
        <v>1</v>
      </c>
      <c r="BG239" t="s">
        <v>1</v>
      </c>
      <c r="BH239">
        <v>0</v>
      </c>
      <c r="BI239">
        <v>0</v>
      </c>
      <c r="BJ239" t="s">
        <v>722</v>
      </c>
      <c r="BK239" t="s">
        <v>1</v>
      </c>
      <c r="BL239" t="s">
        <v>132</v>
      </c>
      <c r="BM239">
        <v>0</v>
      </c>
      <c r="BN239">
        <v>14800</v>
      </c>
      <c r="BO239">
        <v>0</v>
      </c>
      <c r="BP239">
        <v>0</v>
      </c>
      <c r="BQ239">
        <v>0</v>
      </c>
      <c r="BR239" t="s">
        <v>1</v>
      </c>
      <c r="BS239" t="s">
        <v>1</v>
      </c>
      <c r="BT239" t="s">
        <v>1</v>
      </c>
      <c r="BU239" t="s">
        <v>1</v>
      </c>
      <c r="BV239" t="s">
        <v>1</v>
      </c>
      <c r="BW239" t="s">
        <v>360</v>
      </c>
      <c r="BX239" t="s">
        <v>1</v>
      </c>
      <c r="BY239">
        <v>0</v>
      </c>
      <c r="BZ239">
        <v>0</v>
      </c>
      <c r="CA239">
        <v>0</v>
      </c>
      <c r="CB239">
        <v>0</v>
      </c>
      <c r="CD239" t="str" cm="1">
        <f t="array" aca="1" ref="CD239" ca="1">eConcatenar(A239:CB239,"|")</f>
        <v>SBE8lEqJ8sniiRqh|VSA2020-2061|3|MEMORIAL|TABASCO|VILLAHERMOSA |VILLAHERMOSA |2020-03-12|14800|X|X|100|0|0|X|X|X|X|X|X|X|X|X|X|X|X|0|DE LOS SANTOS |ALEJO |JORGE |0|X|X|CARRETERA VILLAHERMOSA CARDENAS SIN NUMERO |RANCHERIA GONZALEZ TERCERA SECCION |X|9931256529|X|X|0|CARRETERA VILLAHERMOSA CARDENAS SIN NUMERO |X|2|0|0|X|X|X|0|5200|9600|0|0|X|2021-12-29|2022-05-01|X|X|X|0|0|S35D6D3Y9KVTQ1|X|HOMBRE|0|14800|0|0|0|X|X|X|X|X|VILLAHERMOSA |X|0|0|0|0</v>
      </c>
    </row>
    <row r="240" spans="1:82" x14ac:dyDescent="0.25">
      <c r="A240" t="s">
        <v>1804</v>
      </c>
      <c r="B240" t="s">
        <v>724</v>
      </c>
      <c r="C240">
        <v>3</v>
      </c>
      <c r="D240" t="s">
        <v>891</v>
      </c>
      <c r="E240" t="s">
        <v>359</v>
      </c>
      <c r="F240" t="s">
        <v>360</v>
      </c>
      <c r="G240" t="s">
        <v>360</v>
      </c>
      <c r="H240" t="s">
        <v>725</v>
      </c>
      <c r="I240">
        <v>12900</v>
      </c>
      <c r="J240" t="s">
        <v>1</v>
      </c>
      <c r="K240" t="s">
        <v>1</v>
      </c>
      <c r="L240">
        <v>100</v>
      </c>
      <c r="M240">
        <v>0</v>
      </c>
      <c r="N240">
        <v>0</v>
      </c>
      <c r="O240" t="s">
        <v>1</v>
      </c>
      <c r="P240" t="s">
        <v>1</v>
      </c>
      <c r="Q240" t="s">
        <v>1</v>
      </c>
      <c r="R240" t="s">
        <v>1</v>
      </c>
      <c r="S240" t="s">
        <v>1</v>
      </c>
      <c r="T240" t="s">
        <v>1</v>
      </c>
      <c r="U240" t="s">
        <v>1</v>
      </c>
      <c r="V240" t="s">
        <v>1</v>
      </c>
      <c r="W240" t="s">
        <v>1</v>
      </c>
      <c r="X240" t="s">
        <v>1</v>
      </c>
      <c r="Y240" t="s">
        <v>1</v>
      </c>
      <c r="Z240" t="s">
        <v>1</v>
      </c>
      <c r="AA240">
        <v>0</v>
      </c>
      <c r="AB240" t="s">
        <v>726</v>
      </c>
      <c r="AC240" t="s">
        <v>1</v>
      </c>
      <c r="AD240" t="s">
        <v>1461</v>
      </c>
      <c r="AE240">
        <v>0</v>
      </c>
      <c r="AF240" t="s">
        <v>1</v>
      </c>
      <c r="AG240" t="s">
        <v>1</v>
      </c>
      <c r="AH240" t="s">
        <v>1805</v>
      </c>
      <c r="AI240" t="s">
        <v>1806</v>
      </c>
      <c r="AJ240" t="s">
        <v>1</v>
      </c>
      <c r="AK240">
        <v>9935359415</v>
      </c>
      <c r="AL240" t="s">
        <v>1</v>
      </c>
      <c r="AM240" t="s">
        <v>1</v>
      </c>
      <c r="AN240">
        <v>0</v>
      </c>
      <c r="AO240" t="s">
        <v>1805</v>
      </c>
      <c r="AP240" t="s">
        <v>1</v>
      </c>
      <c r="AQ240">
        <v>3</v>
      </c>
      <c r="AR240">
        <v>0</v>
      </c>
      <c r="AS240">
        <v>0</v>
      </c>
      <c r="AT240" t="s">
        <v>1</v>
      </c>
      <c r="AU240" t="s">
        <v>1</v>
      </c>
      <c r="AV240" t="s">
        <v>1</v>
      </c>
      <c r="AW240">
        <v>0</v>
      </c>
      <c r="AX240">
        <v>2900</v>
      </c>
      <c r="AY240">
        <v>10000</v>
      </c>
      <c r="AZ240">
        <v>0</v>
      </c>
      <c r="BA240">
        <v>0</v>
      </c>
      <c r="BB240" t="s">
        <v>1</v>
      </c>
      <c r="BC240" t="s">
        <v>1159</v>
      </c>
      <c r="BD240" t="s">
        <v>198</v>
      </c>
      <c r="BE240" t="s">
        <v>1</v>
      </c>
      <c r="BF240" t="s">
        <v>1</v>
      </c>
      <c r="BG240" t="s">
        <v>1</v>
      </c>
      <c r="BH240">
        <v>0</v>
      </c>
      <c r="BI240">
        <v>0</v>
      </c>
      <c r="BJ240" t="s">
        <v>722</v>
      </c>
      <c r="BK240" t="s">
        <v>1</v>
      </c>
      <c r="BL240" t="s">
        <v>1138</v>
      </c>
      <c r="BM240">
        <v>0</v>
      </c>
      <c r="BN240">
        <v>12900</v>
      </c>
      <c r="BO240">
        <v>0</v>
      </c>
      <c r="BP240">
        <v>0</v>
      </c>
      <c r="BQ240">
        <v>0</v>
      </c>
      <c r="BR240" t="s">
        <v>1</v>
      </c>
      <c r="BS240" t="s">
        <v>1</v>
      </c>
      <c r="BT240" t="s">
        <v>1</v>
      </c>
      <c r="BU240" t="s">
        <v>1</v>
      </c>
      <c r="BV240" t="s">
        <v>1</v>
      </c>
      <c r="BW240" t="s">
        <v>360</v>
      </c>
      <c r="BX240" t="s">
        <v>1</v>
      </c>
      <c r="BY240">
        <v>0</v>
      </c>
      <c r="BZ240">
        <v>0</v>
      </c>
      <c r="CA240">
        <v>0</v>
      </c>
      <c r="CB240">
        <v>0</v>
      </c>
      <c r="CD240" t="str" cm="1">
        <f t="array" aca="1" ref="CD240" ca="1">eConcatenar(A240:CB240,"|")</f>
        <v>AiqmGIEJRzPGN6BY|VSA2020-0798|3|ECONOLINE|TABASCO|VILLAHERMOSA |VILLAHERMOSA |2020-10-16|12900|X|X|100|0|0|X|X|X|X|X|X|X|X|X|X|X|X|0|CRUZ|X|MARIA DEL CARMEN |0|X|X|CALLE PRINCIPAL 811|RANCHERIA ANACLETO CANABAL SEGUNDA |X|9935359415|X|X|0|CALLE PRINCIPAL 811|X|3|0|0|X|X|X|0|2900|10000|0|0|X|2021-12-23|2021-12-30|X|X|X|0|0|S35D6D3Y9KVTQ1|X|MUJER|0|12900|0|0|0|X|X|X|X|X|VILLAHERMOSA |X|0|0|0|0</v>
      </c>
    </row>
    <row r="241" spans="1:82" x14ac:dyDescent="0.25">
      <c r="A241" t="s">
        <v>1807</v>
      </c>
      <c r="B241" t="s">
        <v>1808</v>
      </c>
      <c r="C241">
        <v>3</v>
      </c>
      <c r="D241" t="s">
        <v>891</v>
      </c>
      <c r="E241" t="s">
        <v>359</v>
      </c>
      <c r="F241" t="s">
        <v>360</v>
      </c>
      <c r="G241" t="s">
        <v>360</v>
      </c>
      <c r="H241" t="s">
        <v>1378</v>
      </c>
      <c r="I241">
        <v>12900</v>
      </c>
      <c r="J241" t="s">
        <v>1</v>
      </c>
      <c r="K241" t="s">
        <v>1</v>
      </c>
      <c r="L241">
        <v>100</v>
      </c>
      <c r="M241">
        <v>0</v>
      </c>
      <c r="N241">
        <v>0</v>
      </c>
      <c r="O241" t="s">
        <v>1</v>
      </c>
      <c r="P241" t="s">
        <v>1</v>
      </c>
      <c r="Q241" t="s">
        <v>1</v>
      </c>
      <c r="R241" t="s">
        <v>1</v>
      </c>
      <c r="S241" t="s">
        <v>1</v>
      </c>
      <c r="T241" t="s">
        <v>1</v>
      </c>
      <c r="U241" t="s">
        <v>1</v>
      </c>
      <c r="V241" t="s">
        <v>1</v>
      </c>
      <c r="W241" t="s">
        <v>1</v>
      </c>
      <c r="X241" t="s">
        <v>1</v>
      </c>
      <c r="Y241" t="s">
        <v>1</v>
      </c>
      <c r="Z241" t="s">
        <v>1</v>
      </c>
      <c r="AA241">
        <v>0</v>
      </c>
      <c r="AB241" t="s">
        <v>575</v>
      </c>
      <c r="AC241" t="s">
        <v>1809</v>
      </c>
      <c r="AD241" t="s">
        <v>923</v>
      </c>
      <c r="AE241">
        <v>0</v>
      </c>
      <c r="AF241" t="s">
        <v>1</v>
      </c>
      <c r="AG241" t="s">
        <v>1</v>
      </c>
      <c r="AH241" t="s">
        <v>1810</v>
      </c>
      <c r="AI241" t="s">
        <v>1811</v>
      </c>
      <c r="AJ241" t="s">
        <v>1</v>
      </c>
      <c r="AK241">
        <v>9932185982</v>
      </c>
      <c r="AL241" t="s">
        <v>1812</v>
      </c>
      <c r="AM241" t="s">
        <v>1813</v>
      </c>
      <c r="AN241">
        <v>0</v>
      </c>
      <c r="AO241" t="s">
        <v>1810</v>
      </c>
      <c r="AP241" t="s">
        <v>1</v>
      </c>
      <c r="AQ241">
        <v>3</v>
      </c>
      <c r="AR241">
        <v>0</v>
      </c>
      <c r="AS241">
        <v>0</v>
      </c>
      <c r="AT241" t="s">
        <v>1</v>
      </c>
      <c r="AU241" t="s">
        <v>1</v>
      </c>
      <c r="AV241" t="s">
        <v>1</v>
      </c>
      <c r="AW241">
        <v>0</v>
      </c>
      <c r="AX241">
        <v>6900</v>
      </c>
      <c r="AY241">
        <v>6000</v>
      </c>
      <c r="AZ241">
        <v>0</v>
      </c>
      <c r="BA241">
        <v>0</v>
      </c>
      <c r="BB241" t="s">
        <v>1</v>
      </c>
      <c r="BC241" t="s">
        <v>198</v>
      </c>
      <c r="BD241" t="s">
        <v>1636</v>
      </c>
      <c r="BE241" t="s">
        <v>1</v>
      </c>
      <c r="BF241" t="s">
        <v>1</v>
      </c>
      <c r="BG241" t="s">
        <v>1</v>
      </c>
      <c r="BH241">
        <v>0</v>
      </c>
      <c r="BI241">
        <v>0</v>
      </c>
      <c r="BJ241" t="s">
        <v>722</v>
      </c>
      <c r="BK241" t="s">
        <v>1</v>
      </c>
      <c r="BL241" t="s">
        <v>1138</v>
      </c>
      <c r="BM241">
        <v>0</v>
      </c>
      <c r="BN241">
        <v>12900</v>
      </c>
      <c r="BO241">
        <v>0</v>
      </c>
      <c r="BP241">
        <v>0</v>
      </c>
      <c r="BQ241">
        <v>0</v>
      </c>
      <c r="BR241" t="s">
        <v>1</v>
      </c>
      <c r="BS241" t="s">
        <v>1</v>
      </c>
      <c r="BT241" t="s">
        <v>1</v>
      </c>
      <c r="BU241" t="s">
        <v>1</v>
      </c>
      <c r="BV241" t="s">
        <v>1</v>
      </c>
      <c r="BW241" t="s">
        <v>360</v>
      </c>
      <c r="BX241" t="s">
        <v>1</v>
      </c>
      <c r="BY241">
        <v>0</v>
      </c>
      <c r="BZ241">
        <v>0</v>
      </c>
      <c r="CA241">
        <v>0</v>
      </c>
      <c r="CB241">
        <v>0</v>
      </c>
      <c r="CD241" t="str" cm="1">
        <f t="array" aca="1" ref="CD241" ca="1">eConcatenar(A241:CB241,"|")</f>
        <v>Sxdj3RjzQZ7OycLI|VSA2020-0644|3|ECONOLINE|TABASCO|VILLAHERMOSA |VILLAHERMOSA |2020-09-24|12900|X|X|100|0|0|X|X|X|X|X|X|X|X|X|X|X|X|0|MORALES |DE LA O |JUANA |0|X|X|CALLEJON MIRANDA SIN NUMERO |RANCHERIA ANACLETO CANABAL PRIMERA SECCION  CENTRO |X|9932185982|YESSICA MIRANDA MORALES |LETICIA MORALES DE LA O|0|CALLEJON MIRANDA SIN NUMERO |X|3|0|0|X|X|X|0|6900|6000|0|0|X|2021-12-30|2022-06-01|X|X|X|0|0|S35D6D3Y9KVTQ1|X|MUJER|0|12900|0|0|0|X|X|X|X|X|VILLAHERMOSA |X|0|0|0|0</v>
      </c>
    </row>
    <row r="242" spans="1:82" x14ac:dyDescent="0.25">
      <c r="A242" t="s">
        <v>1814</v>
      </c>
      <c r="B242" t="s">
        <v>1815</v>
      </c>
      <c r="C242">
        <v>3</v>
      </c>
      <c r="D242" t="s">
        <v>891</v>
      </c>
      <c r="E242" t="s">
        <v>359</v>
      </c>
      <c r="F242" t="s">
        <v>360</v>
      </c>
      <c r="G242" t="s">
        <v>360</v>
      </c>
      <c r="H242" t="s">
        <v>1378</v>
      </c>
      <c r="I242">
        <v>12900</v>
      </c>
      <c r="J242" t="s">
        <v>1</v>
      </c>
      <c r="K242" t="s">
        <v>1</v>
      </c>
      <c r="L242">
        <v>100</v>
      </c>
      <c r="M242">
        <v>0</v>
      </c>
      <c r="N242">
        <v>0</v>
      </c>
      <c r="O242" t="s">
        <v>1</v>
      </c>
      <c r="P242" t="s">
        <v>1</v>
      </c>
      <c r="Q242" t="s">
        <v>1</v>
      </c>
      <c r="R242" t="s">
        <v>1</v>
      </c>
      <c r="S242" t="s">
        <v>1</v>
      </c>
      <c r="T242" t="s">
        <v>1</v>
      </c>
      <c r="U242" t="s">
        <v>1</v>
      </c>
      <c r="V242" t="s">
        <v>1</v>
      </c>
      <c r="W242" t="s">
        <v>1</v>
      </c>
      <c r="X242" t="s">
        <v>1</v>
      </c>
      <c r="Y242" t="s">
        <v>1</v>
      </c>
      <c r="Z242" t="s">
        <v>1</v>
      </c>
      <c r="AA242">
        <v>0</v>
      </c>
      <c r="AB242" t="s">
        <v>1181</v>
      </c>
      <c r="AC242" t="s">
        <v>320</v>
      </c>
      <c r="AD242" t="s">
        <v>1727</v>
      </c>
      <c r="AE242">
        <v>0</v>
      </c>
      <c r="AF242" t="s">
        <v>1</v>
      </c>
      <c r="AG242" t="s">
        <v>1</v>
      </c>
      <c r="AH242" t="s">
        <v>1816</v>
      </c>
      <c r="AI242" t="s">
        <v>903</v>
      </c>
      <c r="AJ242" t="s">
        <v>1</v>
      </c>
      <c r="AK242">
        <v>9932391722</v>
      </c>
      <c r="AL242" t="s">
        <v>1817</v>
      </c>
      <c r="AM242" t="s">
        <v>1818</v>
      </c>
      <c r="AN242">
        <v>0</v>
      </c>
      <c r="AO242" t="s">
        <v>1816</v>
      </c>
      <c r="AP242" t="s">
        <v>1</v>
      </c>
      <c r="AQ242">
        <v>3</v>
      </c>
      <c r="AR242">
        <v>0</v>
      </c>
      <c r="AS242">
        <v>0</v>
      </c>
      <c r="AT242" t="s">
        <v>1</v>
      </c>
      <c r="AU242" t="s">
        <v>1</v>
      </c>
      <c r="AV242" t="s">
        <v>1</v>
      </c>
      <c r="AW242">
        <v>0</v>
      </c>
      <c r="AX242">
        <v>4545</v>
      </c>
      <c r="AY242">
        <v>8355</v>
      </c>
      <c r="AZ242">
        <v>0</v>
      </c>
      <c r="BA242">
        <v>0</v>
      </c>
      <c r="BB242" t="s">
        <v>1</v>
      </c>
      <c r="BC242" t="s">
        <v>198</v>
      </c>
      <c r="BD242" t="s">
        <v>368</v>
      </c>
      <c r="BE242" t="s">
        <v>1</v>
      </c>
      <c r="BF242" t="s">
        <v>1</v>
      </c>
      <c r="BG242" t="s">
        <v>1</v>
      </c>
      <c r="BH242">
        <v>0</v>
      </c>
      <c r="BI242">
        <v>0</v>
      </c>
      <c r="BJ242" t="s">
        <v>722</v>
      </c>
      <c r="BK242" t="s">
        <v>1</v>
      </c>
      <c r="BL242" t="s">
        <v>132</v>
      </c>
      <c r="BM242">
        <v>0</v>
      </c>
      <c r="BN242">
        <v>12900</v>
      </c>
      <c r="BO242">
        <v>0</v>
      </c>
      <c r="BP242">
        <v>0</v>
      </c>
      <c r="BQ242">
        <v>0</v>
      </c>
      <c r="BR242" t="s">
        <v>1</v>
      </c>
      <c r="BS242" t="s">
        <v>1</v>
      </c>
      <c r="BT242" t="s">
        <v>1</v>
      </c>
      <c r="BU242" t="s">
        <v>1</v>
      </c>
      <c r="BV242" t="s">
        <v>1</v>
      </c>
      <c r="BW242" t="s">
        <v>360</v>
      </c>
      <c r="BX242" t="s">
        <v>1</v>
      </c>
      <c r="BY242">
        <v>0</v>
      </c>
      <c r="BZ242">
        <v>0</v>
      </c>
      <c r="CA242">
        <v>0</v>
      </c>
      <c r="CB242">
        <v>0</v>
      </c>
      <c r="CD242" t="str" cm="1">
        <f t="array" aca="1" ref="CD242" ca="1">eConcatenar(A242:CB242,"|")</f>
        <v>Htuo7Yo3rQAmpb0t|VSA2020-0650|3|ECONOLINE|TABASCO|VILLAHERMOSA |VILLAHERMOSA |2020-09-24|12900|X|X|100|0|0|X|X|X|X|X|X|X|X|X|X|X|X|0|DIAZ |ROMERO|ESTEBAN |0|X|X|CALLEJON LOS TULIPANES SIN NUMERO |RANCHERIA ANACLETO CANABAL PRIMERA |X|9932391722|JOSE ARTURO DIAZ RAMOS |HILARIO DIAZ RAMOS |0|CALLEJON LOS TULIPANES SIN NUMERO |X|3|0|0|X|X|X|0|4545|8355|0|0|X|2021-12-30|2021-06-12|X|X|X|0|0|S35D6D3Y9KVTQ1|X|HOMBRE|0|12900|0|0|0|X|X|X|X|X|VILLAHERMOSA |X|0|0|0|0</v>
      </c>
    </row>
    <row r="243" spans="1:82" x14ac:dyDescent="0.25">
      <c r="A243" t="s">
        <v>1819</v>
      </c>
      <c r="B243" t="s">
        <v>1820</v>
      </c>
      <c r="C243">
        <v>3</v>
      </c>
      <c r="D243" t="s">
        <v>891</v>
      </c>
      <c r="E243" t="s">
        <v>359</v>
      </c>
      <c r="F243" t="s">
        <v>360</v>
      </c>
      <c r="G243" t="s">
        <v>360</v>
      </c>
      <c r="H243" t="s">
        <v>1378</v>
      </c>
      <c r="I243">
        <v>12900</v>
      </c>
      <c r="J243" t="s">
        <v>1</v>
      </c>
      <c r="K243" t="s">
        <v>1</v>
      </c>
      <c r="L243">
        <v>100</v>
      </c>
      <c r="M243">
        <v>0</v>
      </c>
      <c r="N243">
        <v>0</v>
      </c>
      <c r="O243" t="s">
        <v>1</v>
      </c>
      <c r="P243" t="s">
        <v>1</v>
      </c>
      <c r="Q243" t="s">
        <v>1</v>
      </c>
      <c r="R243" t="s">
        <v>1</v>
      </c>
      <c r="S243" t="s">
        <v>1</v>
      </c>
      <c r="T243" t="s">
        <v>1</v>
      </c>
      <c r="U243" t="s">
        <v>1</v>
      </c>
      <c r="V243" t="s">
        <v>1</v>
      </c>
      <c r="W243" t="s">
        <v>1</v>
      </c>
      <c r="X243" t="s">
        <v>1</v>
      </c>
      <c r="Y243" t="s">
        <v>1</v>
      </c>
      <c r="Z243" t="s">
        <v>1</v>
      </c>
      <c r="AA243">
        <v>0</v>
      </c>
      <c r="AB243" t="s">
        <v>1407</v>
      </c>
      <c r="AC243" t="s">
        <v>1407</v>
      </c>
      <c r="AD243" t="s">
        <v>1563</v>
      </c>
      <c r="AE243">
        <v>0</v>
      </c>
      <c r="AF243" t="s">
        <v>1</v>
      </c>
      <c r="AG243" t="s">
        <v>1</v>
      </c>
      <c r="AH243" t="s">
        <v>1816</v>
      </c>
      <c r="AI243" t="s">
        <v>1506</v>
      </c>
      <c r="AJ243" t="s">
        <v>1</v>
      </c>
      <c r="AK243">
        <v>9935164029</v>
      </c>
      <c r="AL243" t="s">
        <v>1818</v>
      </c>
      <c r="AM243" t="s">
        <v>1817</v>
      </c>
      <c r="AN243">
        <v>0</v>
      </c>
      <c r="AO243" t="s">
        <v>1816</v>
      </c>
      <c r="AP243" t="s">
        <v>1</v>
      </c>
      <c r="AQ243">
        <v>3</v>
      </c>
      <c r="AR243">
        <v>0</v>
      </c>
      <c r="AS243">
        <v>0</v>
      </c>
      <c r="AT243" t="s">
        <v>1</v>
      </c>
      <c r="AU243" t="s">
        <v>1</v>
      </c>
      <c r="AV243" t="s">
        <v>1</v>
      </c>
      <c r="AW243">
        <v>0</v>
      </c>
      <c r="AX243">
        <v>5645</v>
      </c>
      <c r="AY243">
        <v>7255</v>
      </c>
      <c r="AZ243">
        <v>0</v>
      </c>
      <c r="BA243">
        <v>0</v>
      </c>
      <c r="BB243" t="s">
        <v>1</v>
      </c>
      <c r="BC243" t="s">
        <v>198</v>
      </c>
      <c r="BD243" t="s">
        <v>1636</v>
      </c>
      <c r="BE243" t="s">
        <v>1</v>
      </c>
      <c r="BF243" t="s">
        <v>1</v>
      </c>
      <c r="BG243" t="s">
        <v>1</v>
      </c>
      <c r="BH243">
        <v>0</v>
      </c>
      <c r="BI243">
        <v>0</v>
      </c>
      <c r="BJ243" t="s">
        <v>722</v>
      </c>
      <c r="BK243" t="s">
        <v>1</v>
      </c>
      <c r="BL243" t="s">
        <v>1138</v>
      </c>
      <c r="BM243">
        <v>0</v>
      </c>
      <c r="BN243">
        <v>12900</v>
      </c>
      <c r="BO243">
        <v>0</v>
      </c>
      <c r="BP243">
        <v>0</v>
      </c>
      <c r="BQ243">
        <v>0</v>
      </c>
      <c r="BR243" t="s">
        <v>1</v>
      </c>
      <c r="BS243" t="s">
        <v>1</v>
      </c>
      <c r="BT243" t="s">
        <v>1</v>
      </c>
      <c r="BU243" t="s">
        <v>1</v>
      </c>
      <c r="BV243" t="s">
        <v>1</v>
      </c>
      <c r="BW243" t="s">
        <v>360</v>
      </c>
      <c r="BX243" t="s">
        <v>1</v>
      </c>
      <c r="BY243">
        <v>0</v>
      </c>
      <c r="BZ243">
        <v>0</v>
      </c>
      <c r="CA243">
        <v>0</v>
      </c>
      <c r="CB243">
        <v>0</v>
      </c>
      <c r="CD243" t="str" cm="1">
        <f t="array" aca="1" ref="CD243" ca="1">eConcatenar(A243:CB243,"|")</f>
        <v>zsx41NwIHJUbQ56A|VSA2020-0649|3|ECONOLINE|TABASCO|VILLAHERMOSA |VILLAHERMOSA |2020-09-24|12900|X|X|100|0|0|X|X|X|X|X|X|X|X|X|X|X|X|0|RAMOS |RAMOS |ALICIA |0|X|X|CALLEJON LOS TULIPANES SIN NUMERO |RANCHERIA ANACLETO CANABAL PRIMERA SECCION |X|9935164029|HILARIO DIAZ RAMOS |JOSE ARTURO DIAZ RAMOS |0|CALLEJON LOS TULIPANES SIN NUMERO |X|3|0|0|X|X|X|0|5645|7255|0|0|X|2021-12-30|2022-06-01|X|X|X|0|0|S35D6D3Y9KVTQ1|X|MUJER|0|12900|0|0|0|X|X|X|X|X|VILLAHERMOSA |X|0|0|0|0</v>
      </c>
    </row>
    <row r="244" spans="1:82" x14ac:dyDescent="0.25">
      <c r="A244" t="s">
        <v>1821</v>
      </c>
      <c r="B244" t="s">
        <v>1822</v>
      </c>
      <c r="C244">
        <v>3</v>
      </c>
      <c r="D244" t="s">
        <v>715</v>
      </c>
      <c r="E244" t="s">
        <v>359</v>
      </c>
      <c r="F244" t="s">
        <v>360</v>
      </c>
      <c r="G244" t="s">
        <v>360</v>
      </c>
      <c r="H244" t="s">
        <v>1064</v>
      </c>
      <c r="I244">
        <v>12900</v>
      </c>
      <c r="J244" t="s">
        <v>1</v>
      </c>
      <c r="K244" t="s">
        <v>1</v>
      </c>
      <c r="L244">
        <v>100</v>
      </c>
      <c r="M244">
        <v>0</v>
      </c>
      <c r="N244">
        <v>0</v>
      </c>
      <c r="O244" t="s">
        <v>1</v>
      </c>
      <c r="P244" t="s">
        <v>1</v>
      </c>
      <c r="Q244" t="s">
        <v>1</v>
      </c>
      <c r="R244" t="s">
        <v>1</v>
      </c>
      <c r="S244" t="s">
        <v>1</v>
      </c>
      <c r="T244" t="s">
        <v>1</v>
      </c>
      <c r="U244" t="s">
        <v>1</v>
      </c>
      <c r="V244" t="s">
        <v>1</v>
      </c>
      <c r="W244" t="s">
        <v>1</v>
      </c>
      <c r="X244" t="s">
        <v>1</v>
      </c>
      <c r="Y244" t="s">
        <v>1</v>
      </c>
      <c r="Z244" t="s">
        <v>1</v>
      </c>
      <c r="AA244">
        <v>0</v>
      </c>
      <c r="AB244" t="s">
        <v>1639</v>
      </c>
      <c r="AC244" t="s">
        <v>1823</v>
      </c>
      <c r="AD244" t="s">
        <v>1824</v>
      </c>
      <c r="AE244">
        <v>0</v>
      </c>
      <c r="AF244" t="s">
        <v>1</v>
      </c>
      <c r="AG244" t="s">
        <v>1</v>
      </c>
      <c r="AH244" t="s">
        <v>1506</v>
      </c>
      <c r="AI244" t="s">
        <v>1825</v>
      </c>
      <c r="AJ244" t="s">
        <v>1826</v>
      </c>
      <c r="AK244">
        <v>9933379523</v>
      </c>
      <c r="AL244" t="s">
        <v>1827</v>
      </c>
      <c r="AM244" t="s">
        <v>1828</v>
      </c>
      <c r="AN244">
        <v>0</v>
      </c>
      <c r="AO244" t="s">
        <v>1506</v>
      </c>
      <c r="AP244" t="s">
        <v>1</v>
      </c>
      <c r="AQ244">
        <v>3</v>
      </c>
      <c r="AR244">
        <v>0</v>
      </c>
      <c r="AS244">
        <v>0</v>
      </c>
      <c r="AT244" t="s">
        <v>1</v>
      </c>
      <c r="AU244" t="s">
        <v>1</v>
      </c>
      <c r="AV244" t="s">
        <v>1</v>
      </c>
      <c r="AW244">
        <v>0</v>
      </c>
      <c r="AX244">
        <v>4945</v>
      </c>
      <c r="AY244">
        <v>7955</v>
      </c>
      <c r="AZ244">
        <v>0</v>
      </c>
      <c r="BA244">
        <v>0</v>
      </c>
      <c r="BB244" t="s">
        <v>1</v>
      </c>
      <c r="BC244" t="s">
        <v>1159</v>
      </c>
      <c r="BD244" t="s">
        <v>663</v>
      </c>
      <c r="BE244" t="s">
        <v>1</v>
      </c>
      <c r="BF244" t="s">
        <v>1</v>
      </c>
      <c r="BG244" t="s">
        <v>1</v>
      </c>
      <c r="BH244">
        <v>0</v>
      </c>
      <c r="BI244">
        <v>0</v>
      </c>
      <c r="BJ244" t="s">
        <v>722</v>
      </c>
      <c r="BK244" t="s">
        <v>1</v>
      </c>
      <c r="BL244" t="s">
        <v>132</v>
      </c>
      <c r="BM244">
        <v>0</v>
      </c>
      <c r="BN244">
        <v>12900</v>
      </c>
      <c r="BO244">
        <v>0</v>
      </c>
      <c r="BP244">
        <v>0</v>
      </c>
      <c r="BQ244">
        <v>0</v>
      </c>
      <c r="BR244" t="s">
        <v>1</v>
      </c>
      <c r="BS244" t="s">
        <v>1</v>
      </c>
      <c r="BT244" t="s">
        <v>1</v>
      </c>
      <c r="BU244" t="s">
        <v>1</v>
      </c>
      <c r="BV244" t="s">
        <v>1</v>
      </c>
      <c r="BW244" t="s">
        <v>360</v>
      </c>
      <c r="BX244" t="s">
        <v>1</v>
      </c>
      <c r="BY244">
        <v>0</v>
      </c>
      <c r="BZ244">
        <v>0</v>
      </c>
      <c r="CA244">
        <v>0</v>
      </c>
      <c r="CB244">
        <v>0</v>
      </c>
      <c r="CD244" t="str" cm="1">
        <f t="array" aca="1" ref="CD244" ca="1">eConcatenar(A244:CB244,"|")</f>
        <v>2ejRu5KLXEIOntNz|VSA2020-0678|3|IMPERIAL DE LUJO|TABASCO|VILLAHERMOSA |VILLAHERMOSA |2020-09-26|12900|X|X|100|0|0|X|X|X|X|X|X|X|X|X|X|X|X|0|VALENCIA |NARVAEZ|JOSE ANDRES |0|X|X|RANCHERIA ANACLETO CANABAL PRIMERA SECCION |CALLEJON MORALES |CALLEJON ENFRENTE DEL PUSTO DE EMPANADAS CASA DE TIENDITAS|9933379523|MARIA ISABEL GOMEZ A |CRUZ ANDRES VALENCIA GOMEZ |0|RANCHERIA ANACLETO CANABAL PRIMERA SECCION |X|3|0|0|X|X|X|0|4945|7955|0|0|X|2021-12-23|2021-06-01|X|X|X|0|0|S35D6D3Y9KVTQ1|X|HOMBRE|0|12900|0|0|0|X|X|X|X|X|VILLAHERMOSA |X|0|0|0|0</v>
      </c>
    </row>
    <row r="245" spans="1:82" x14ac:dyDescent="0.25">
      <c r="A245" t="s">
        <v>1829</v>
      </c>
      <c r="B245" t="s">
        <v>1830</v>
      </c>
      <c r="C245">
        <v>3</v>
      </c>
      <c r="D245" t="s">
        <v>715</v>
      </c>
      <c r="E245" t="s">
        <v>359</v>
      </c>
      <c r="F245" t="s">
        <v>360</v>
      </c>
      <c r="G245" t="s">
        <v>360</v>
      </c>
      <c r="H245" t="s">
        <v>1064</v>
      </c>
      <c r="I245">
        <v>12900</v>
      </c>
      <c r="J245" t="s">
        <v>1</v>
      </c>
      <c r="K245" t="s">
        <v>1</v>
      </c>
      <c r="L245">
        <v>100</v>
      </c>
      <c r="M245">
        <v>0</v>
      </c>
      <c r="N245">
        <v>0</v>
      </c>
      <c r="O245" t="s">
        <v>1</v>
      </c>
      <c r="P245" t="s">
        <v>1</v>
      </c>
      <c r="Q245" t="s">
        <v>1</v>
      </c>
      <c r="R245" t="s">
        <v>1</v>
      </c>
      <c r="S245" t="s">
        <v>1</v>
      </c>
      <c r="T245" t="s">
        <v>1</v>
      </c>
      <c r="U245" t="s">
        <v>1</v>
      </c>
      <c r="V245" t="s">
        <v>1</v>
      </c>
      <c r="W245" t="s">
        <v>1</v>
      </c>
      <c r="X245" t="s">
        <v>1</v>
      </c>
      <c r="Y245" t="s">
        <v>1</v>
      </c>
      <c r="Z245" t="s">
        <v>1</v>
      </c>
      <c r="AA245">
        <v>0</v>
      </c>
      <c r="AB245" t="s">
        <v>8</v>
      </c>
      <c r="AC245" t="s">
        <v>921</v>
      </c>
      <c r="AD245" t="s">
        <v>1803</v>
      </c>
      <c r="AE245">
        <v>0</v>
      </c>
      <c r="AF245" t="s">
        <v>1</v>
      </c>
      <c r="AG245" t="s">
        <v>1</v>
      </c>
      <c r="AH245" t="s">
        <v>1506</v>
      </c>
      <c r="AI245" t="s">
        <v>1831</v>
      </c>
      <c r="AJ245" t="s">
        <v>1832</v>
      </c>
      <c r="AK245">
        <v>9933379523</v>
      </c>
      <c r="AL245" t="s">
        <v>1833</v>
      </c>
      <c r="AM245" t="s">
        <v>1834</v>
      </c>
      <c r="AN245">
        <v>0</v>
      </c>
      <c r="AO245" t="s">
        <v>1506</v>
      </c>
      <c r="AP245" t="s">
        <v>1</v>
      </c>
      <c r="AQ245">
        <v>3</v>
      </c>
      <c r="AR245">
        <v>0</v>
      </c>
      <c r="AS245">
        <v>0</v>
      </c>
      <c r="AT245" t="s">
        <v>1</v>
      </c>
      <c r="AU245" t="s">
        <v>1</v>
      </c>
      <c r="AV245" t="s">
        <v>1</v>
      </c>
      <c r="AW245">
        <v>0</v>
      </c>
      <c r="AX245">
        <v>5245</v>
      </c>
      <c r="AY245">
        <v>7655</v>
      </c>
      <c r="AZ245">
        <v>0</v>
      </c>
      <c r="BA245">
        <v>0</v>
      </c>
      <c r="BB245" t="s">
        <v>1</v>
      </c>
      <c r="BC245" t="s">
        <v>1159</v>
      </c>
      <c r="BD245" t="s">
        <v>1636</v>
      </c>
      <c r="BE245" t="s">
        <v>1</v>
      </c>
      <c r="BF245" t="s">
        <v>1</v>
      </c>
      <c r="BG245" t="s">
        <v>1</v>
      </c>
      <c r="BH245">
        <v>0</v>
      </c>
      <c r="BI245">
        <v>0</v>
      </c>
      <c r="BJ245" t="s">
        <v>722</v>
      </c>
      <c r="BK245" t="s">
        <v>1</v>
      </c>
      <c r="BL245" t="s">
        <v>132</v>
      </c>
      <c r="BM245">
        <v>0</v>
      </c>
      <c r="BN245">
        <v>12900</v>
      </c>
      <c r="BO245">
        <v>0</v>
      </c>
      <c r="BP245">
        <v>0</v>
      </c>
      <c r="BQ245">
        <v>0</v>
      </c>
      <c r="BR245" t="s">
        <v>1</v>
      </c>
      <c r="BS245" t="s">
        <v>1</v>
      </c>
      <c r="BT245" t="s">
        <v>1</v>
      </c>
      <c r="BU245" t="s">
        <v>1</v>
      </c>
      <c r="BV245" t="s">
        <v>1</v>
      </c>
      <c r="BW245" t="s">
        <v>360</v>
      </c>
      <c r="BX245" t="s">
        <v>1</v>
      </c>
      <c r="BY245">
        <v>0</v>
      </c>
      <c r="BZ245">
        <v>0</v>
      </c>
      <c r="CA245">
        <v>0</v>
      </c>
      <c r="CB245">
        <v>0</v>
      </c>
      <c r="CD245" t="str" cm="1">
        <f t="array" aca="1" ref="CD245" ca="1">eConcatenar(A245:CB245,"|")</f>
        <v>BkPEZI1b786Sq8Ld|VSA2020-0677|3|IMPERIAL DE LUJO|TABASCO|VILLAHERMOSA |VILLAHERMOSA |2020-09-26|12900|X|X|100|0|0|X|X|X|X|X|X|X|X|X|X|X|X|0|GOMEZ|RODRIGUEZ |JORGE |0|X|X|RANCHERIA ANACLETO CANABAL PRIMERA SECCION |CALLEJON LOS MORALES SIN NUMERO |CALLEJON ENFRENTE DEL PUESTO DE EMPANADAS.|9933379523|MARIA ISABEL GOMEZ A.|MARIA DEL CARMEN ACOSTA N.|0|RANCHERIA ANACLETO CANABAL PRIMERA SECCION |X|3|0|0|X|X|X|0|5245|7655|0|0|X|2021-12-23|2022-06-01|X|X|X|0|0|S35D6D3Y9KVTQ1|X|HOMBRE|0|12900|0|0|0|X|X|X|X|X|VILLAHERMOSA |X|0|0|0|0</v>
      </c>
    </row>
    <row r="246" spans="1:82" x14ac:dyDescent="0.25">
      <c r="A246" t="s">
        <v>1835</v>
      </c>
      <c r="B246" t="s">
        <v>1836</v>
      </c>
      <c r="C246">
        <v>3</v>
      </c>
      <c r="D246" t="s">
        <v>891</v>
      </c>
      <c r="E246" t="s">
        <v>359</v>
      </c>
      <c r="F246" t="s">
        <v>360</v>
      </c>
      <c r="G246" t="s">
        <v>360</v>
      </c>
      <c r="H246" t="s">
        <v>1371</v>
      </c>
      <c r="I246">
        <v>12900</v>
      </c>
      <c r="J246" t="s">
        <v>1</v>
      </c>
      <c r="K246" t="s">
        <v>1</v>
      </c>
      <c r="L246">
        <v>200</v>
      </c>
      <c r="M246">
        <v>1</v>
      </c>
      <c r="N246">
        <v>0</v>
      </c>
      <c r="O246" t="s">
        <v>1</v>
      </c>
      <c r="P246" t="s">
        <v>1</v>
      </c>
      <c r="Q246" t="s">
        <v>1</v>
      </c>
      <c r="R246" t="s">
        <v>1</v>
      </c>
      <c r="S246" t="s">
        <v>1</v>
      </c>
      <c r="T246" t="s">
        <v>1</v>
      </c>
      <c r="U246" t="s">
        <v>1</v>
      </c>
      <c r="V246" t="s">
        <v>1</v>
      </c>
      <c r="W246" t="s">
        <v>1</v>
      </c>
      <c r="X246" t="s">
        <v>1</v>
      </c>
      <c r="Y246" t="s">
        <v>1</v>
      </c>
      <c r="Z246" t="s">
        <v>1</v>
      </c>
      <c r="AA246">
        <v>0</v>
      </c>
      <c r="AB246" t="s">
        <v>1596</v>
      </c>
      <c r="AC246" t="s">
        <v>800</v>
      </c>
      <c r="AD246" t="s">
        <v>1837</v>
      </c>
      <c r="AE246">
        <v>0</v>
      </c>
      <c r="AF246" t="s">
        <v>1</v>
      </c>
      <c r="AG246" t="s">
        <v>1</v>
      </c>
      <c r="AH246" t="s">
        <v>1838</v>
      </c>
      <c r="AI246" t="s">
        <v>728</v>
      </c>
      <c r="AJ246" t="s">
        <v>1</v>
      </c>
      <c r="AK246">
        <v>9934457701</v>
      </c>
      <c r="AL246" t="s">
        <v>1839</v>
      </c>
      <c r="AM246" t="s">
        <v>1840</v>
      </c>
      <c r="AN246">
        <v>0</v>
      </c>
      <c r="AO246" t="s">
        <v>1838</v>
      </c>
      <c r="AP246" t="s">
        <v>1</v>
      </c>
      <c r="AQ246">
        <v>3</v>
      </c>
      <c r="AR246">
        <v>0</v>
      </c>
      <c r="AS246">
        <v>0</v>
      </c>
      <c r="AT246" t="s">
        <v>1</v>
      </c>
      <c r="AU246" t="s">
        <v>1</v>
      </c>
      <c r="AV246" t="s">
        <v>1</v>
      </c>
      <c r="AW246">
        <v>0</v>
      </c>
      <c r="AX246">
        <v>6645</v>
      </c>
      <c r="AY246">
        <v>6255</v>
      </c>
      <c r="AZ246">
        <v>0</v>
      </c>
      <c r="BA246">
        <v>0</v>
      </c>
      <c r="BB246" t="s">
        <v>1</v>
      </c>
      <c r="BC246" t="s">
        <v>730</v>
      </c>
      <c r="BD246" t="s">
        <v>198</v>
      </c>
      <c r="BE246" t="s">
        <v>1</v>
      </c>
      <c r="BF246" t="s">
        <v>1</v>
      </c>
      <c r="BG246" t="s">
        <v>1</v>
      </c>
      <c r="BH246">
        <v>0</v>
      </c>
      <c r="BI246">
        <v>0</v>
      </c>
      <c r="BJ246" t="s">
        <v>722</v>
      </c>
      <c r="BK246" t="s">
        <v>1</v>
      </c>
      <c r="BL246" t="s">
        <v>1138</v>
      </c>
      <c r="BM246">
        <v>0</v>
      </c>
      <c r="BN246">
        <v>12900</v>
      </c>
      <c r="BO246">
        <v>0</v>
      </c>
      <c r="BP246">
        <v>0</v>
      </c>
      <c r="BQ246">
        <v>0</v>
      </c>
      <c r="BR246" t="s">
        <v>1</v>
      </c>
      <c r="BS246" t="s">
        <v>1</v>
      </c>
      <c r="BT246" t="s">
        <v>1</v>
      </c>
      <c r="BU246" t="s">
        <v>1</v>
      </c>
      <c r="BV246" t="s">
        <v>1</v>
      </c>
      <c r="BW246" t="s">
        <v>360</v>
      </c>
      <c r="BX246" t="s">
        <v>1</v>
      </c>
      <c r="BY246">
        <v>0</v>
      </c>
      <c r="BZ246">
        <v>0</v>
      </c>
      <c r="CA246">
        <v>0</v>
      </c>
      <c r="CB246">
        <v>0</v>
      </c>
      <c r="CD246" t="str" cm="1">
        <f t="array" aca="1" ref="CD246" ca="1">eConcatenar(A246:CB246,"|")</f>
        <v>LUJqmUTpper2wPmI|VSA2020-0627|3|ECONOLINE|TABASCO|VILLAHERMOSA |VILLAHERMOSA |2020-09-21|12900|X|X|200|1|0|X|X|X|X|X|X|X|X|X|X|X|X|0|LEON |SOBERANO|VERONICA |0|X|X|CALLE CARLOS A MADRAZO 153 |RANCHERIA ANACLETO CANABAL SEGUNDA SECCION |X|9934457701|JUAN CARLOS HERNANDEZ GALMICHE |KIANDA SOBERANO DE LA CRUZ |0|CALLE CARLOS A MADRAZO 153 |X|3|0|0|X|X|X|0|6645|6255|0|0|X|2021-12-16|2021-12-30|X|X|X|0|0|S35D6D3Y9KVTQ1|X|MUJER|0|12900|0|0|0|X|X|X|X|X|VILLAHERMOSA |X|0|0|0|0</v>
      </c>
    </row>
    <row r="247" spans="1:82" x14ac:dyDescent="0.25">
      <c r="A247" t="s">
        <v>1841</v>
      </c>
      <c r="B247" t="s">
        <v>1842</v>
      </c>
      <c r="C247">
        <v>3</v>
      </c>
      <c r="D247" t="s">
        <v>891</v>
      </c>
      <c r="E247" t="s">
        <v>359</v>
      </c>
      <c r="F247" t="s">
        <v>360</v>
      </c>
      <c r="G247" t="s">
        <v>360</v>
      </c>
      <c r="H247" t="s">
        <v>1371</v>
      </c>
      <c r="I247">
        <v>12900</v>
      </c>
      <c r="J247" t="s">
        <v>1</v>
      </c>
      <c r="K247" t="s">
        <v>1</v>
      </c>
      <c r="L247">
        <v>100</v>
      </c>
      <c r="M247">
        <v>0</v>
      </c>
      <c r="N247">
        <v>0</v>
      </c>
      <c r="O247" t="s">
        <v>1</v>
      </c>
      <c r="P247" t="s">
        <v>1</v>
      </c>
      <c r="Q247" t="s">
        <v>1</v>
      </c>
      <c r="R247" t="s">
        <v>1</v>
      </c>
      <c r="S247" t="s">
        <v>1</v>
      </c>
      <c r="T247" t="s">
        <v>1</v>
      </c>
      <c r="U247" t="s">
        <v>1</v>
      </c>
      <c r="V247" t="s">
        <v>1</v>
      </c>
      <c r="W247" t="s">
        <v>1</v>
      </c>
      <c r="X247" t="s">
        <v>1</v>
      </c>
      <c r="Y247" t="s">
        <v>1</v>
      </c>
      <c r="Z247" t="s">
        <v>1</v>
      </c>
      <c r="AA247">
        <v>0</v>
      </c>
      <c r="AB247" t="s">
        <v>1372</v>
      </c>
      <c r="AC247" t="s">
        <v>1843</v>
      </c>
      <c r="AD247" t="s">
        <v>1844</v>
      </c>
      <c r="AE247">
        <v>0</v>
      </c>
      <c r="AF247" t="s">
        <v>1</v>
      </c>
      <c r="AG247" t="s">
        <v>1</v>
      </c>
      <c r="AH247" t="s">
        <v>1039</v>
      </c>
      <c r="AI247" t="s">
        <v>914</v>
      </c>
      <c r="AJ247" t="s">
        <v>1</v>
      </c>
      <c r="AK247">
        <v>9934530644</v>
      </c>
      <c r="AL247" t="s">
        <v>1845</v>
      </c>
      <c r="AM247" t="s">
        <v>1846</v>
      </c>
      <c r="AN247">
        <v>0</v>
      </c>
      <c r="AO247" t="s">
        <v>1039</v>
      </c>
      <c r="AP247" t="s">
        <v>1</v>
      </c>
      <c r="AQ247">
        <v>2</v>
      </c>
      <c r="AR247">
        <v>0</v>
      </c>
      <c r="AS247">
        <v>0</v>
      </c>
      <c r="AT247" t="s">
        <v>1</v>
      </c>
      <c r="AU247" t="s">
        <v>1</v>
      </c>
      <c r="AV247" t="s">
        <v>1</v>
      </c>
      <c r="AW247">
        <v>0</v>
      </c>
      <c r="AX247">
        <v>4745</v>
      </c>
      <c r="AY247">
        <v>8155</v>
      </c>
      <c r="AZ247">
        <v>0</v>
      </c>
      <c r="BA247">
        <v>0</v>
      </c>
      <c r="BB247" t="s">
        <v>1</v>
      </c>
      <c r="BC247" t="s">
        <v>1105</v>
      </c>
      <c r="BD247" t="s">
        <v>280</v>
      </c>
      <c r="BE247" t="s">
        <v>1</v>
      </c>
      <c r="BF247" t="s">
        <v>1</v>
      </c>
      <c r="BG247" t="s">
        <v>1</v>
      </c>
      <c r="BH247">
        <v>0</v>
      </c>
      <c r="BI247">
        <v>0</v>
      </c>
      <c r="BJ247" t="s">
        <v>722</v>
      </c>
      <c r="BK247" t="s">
        <v>1</v>
      </c>
      <c r="BL247" t="s">
        <v>1138</v>
      </c>
      <c r="BM247">
        <v>0</v>
      </c>
      <c r="BN247">
        <v>12900</v>
      </c>
      <c r="BO247">
        <v>0</v>
      </c>
      <c r="BP247">
        <v>0</v>
      </c>
      <c r="BQ247">
        <v>0</v>
      </c>
      <c r="BR247" t="s">
        <v>1</v>
      </c>
      <c r="BS247" t="s">
        <v>1</v>
      </c>
      <c r="BT247" t="s">
        <v>1</v>
      </c>
      <c r="BU247" t="s">
        <v>1</v>
      </c>
      <c r="BV247" t="s">
        <v>1</v>
      </c>
      <c r="BW247" t="s">
        <v>360</v>
      </c>
      <c r="BX247" t="s">
        <v>1</v>
      </c>
      <c r="BY247">
        <v>0</v>
      </c>
      <c r="BZ247">
        <v>0</v>
      </c>
      <c r="CA247">
        <v>0</v>
      </c>
      <c r="CB247">
        <v>0</v>
      </c>
      <c r="CD247" t="str" cm="1">
        <f t="array" aca="1" ref="CD247" ca="1">eConcatenar(A247:CB247,"|")</f>
        <v>spl5yWy3ulcJ2SfL|VSA2020-0620|3|ECONOLINE|TABASCO|VILLAHERMOSA |VILLAHERMOSA |2020-09-21|12900|X|X|100|0|0|X|X|X|X|X|X|X|X|X|X|X|X|0|CERINO |BAUSTISTA|FRANCISCA |0|X|X|SECTOR PUNTA BRAVA SIN NUMERO |RANCHERIA GONZALEZ PRIMERA SECCION |X|9934530644|ABEL JIMENEZ MORALES |CARMEN  BAUTISTA LEON |0|SECTOR PUNTA BRAVA SIN NUMERO |X|2|0|0|X|X|X|0|4745|8155|0|0|X|2021-12-22|2021-12-29|X|X|X|0|0|S35D6D3Y9KVTQ1|X|MUJER|0|12900|0|0|0|X|X|X|X|X|VILLAHERMOSA |X|0|0|0|0</v>
      </c>
    </row>
    <row r="248" spans="1:82" x14ac:dyDescent="0.25">
      <c r="A248" t="s">
        <v>1847</v>
      </c>
      <c r="B248" t="s">
        <v>1848</v>
      </c>
      <c r="C248">
        <v>3</v>
      </c>
      <c r="D248" t="s">
        <v>891</v>
      </c>
      <c r="E248" t="s">
        <v>359</v>
      </c>
      <c r="F248" t="s">
        <v>360</v>
      </c>
      <c r="G248" t="s">
        <v>360</v>
      </c>
      <c r="H248" t="s">
        <v>1384</v>
      </c>
      <c r="I248">
        <v>12900</v>
      </c>
      <c r="J248" t="s">
        <v>1</v>
      </c>
      <c r="K248" t="s">
        <v>1</v>
      </c>
      <c r="L248">
        <v>100</v>
      </c>
      <c r="M248">
        <v>0</v>
      </c>
      <c r="N248">
        <v>0</v>
      </c>
      <c r="O248" t="s">
        <v>1</v>
      </c>
      <c r="P248" t="s">
        <v>1</v>
      </c>
      <c r="Q248" t="s">
        <v>1</v>
      </c>
      <c r="R248" t="s">
        <v>1</v>
      </c>
      <c r="S248" t="s">
        <v>1</v>
      </c>
      <c r="T248" t="s">
        <v>1</v>
      </c>
      <c r="U248" t="s">
        <v>1</v>
      </c>
      <c r="V248" t="s">
        <v>1</v>
      </c>
      <c r="W248" t="s">
        <v>1</v>
      </c>
      <c r="X248" t="s">
        <v>1</v>
      </c>
      <c r="Y248" t="s">
        <v>1</v>
      </c>
      <c r="Z248" t="s">
        <v>1</v>
      </c>
      <c r="AA248">
        <v>0</v>
      </c>
      <c r="AB248" t="s">
        <v>1849</v>
      </c>
      <c r="AC248" t="s">
        <v>395</v>
      </c>
      <c r="AD248" t="s">
        <v>1850</v>
      </c>
      <c r="AE248">
        <v>0</v>
      </c>
      <c r="AF248" t="s">
        <v>1</v>
      </c>
      <c r="AG248" t="s">
        <v>1</v>
      </c>
      <c r="AH248" t="s">
        <v>1221</v>
      </c>
      <c r="AI248" t="s">
        <v>1506</v>
      </c>
      <c r="AJ248" t="s">
        <v>1851</v>
      </c>
      <c r="AK248">
        <v>9935616777</v>
      </c>
      <c r="AL248" t="s">
        <v>1852</v>
      </c>
      <c r="AM248" t="s">
        <v>1853</v>
      </c>
      <c r="AN248">
        <v>0</v>
      </c>
      <c r="AO248" t="s">
        <v>1221</v>
      </c>
      <c r="AP248" t="s">
        <v>1</v>
      </c>
      <c r="AQ248">
        <v>2</v>
      </c>
      <c r="AR248">
        <v>0</v>
      </c>
      <c r="AS248">
        <v>0</v>
      </c>
      <c r="AT248" t="s">
        <v>1</v>
      </c>
      <c r="AU248" t="s">
        <v>1</v>
      </c>
      <c r="AV248" t="s">
        <v>1</v>
      </c>
      <c r="AW248">
        <v>0</v>
      </c>
      <c r="AX248">
        <v>6100</v>
      </c>
      <c r="AY248">
        <v>6800</v>
      </c>
      <c r="AZ248">
        <v>0</v>
      </c>
      <c r="BA248">
        <v>0</v>
      </c>
      <c r="BB248" t="s">
        <v>1</v>
      </c>
      <c r="BC248" t="s">
        <v>1105</v>
      </c>
      <c r="BD248" t="s">
        <v>280</v>
      </c>
      <c r="BE248" t="s">
        <v>1</v>
      </c>
      <c r="BF248" t="s">
        <v>1</v>
      </c>
      <c r="BG248" t="s">
        <v>1</v>
      </c>
      <c r="BH248">
        <v>0</v>
      </c>
      <c r="BI248">
        <v>0</v>
      </c>
      <c r="BJ248" t="s">
        <v>722</v>
      </c>
      <c r="BK248" t="s">
        <v>1</v>
      </c>
      <c r="BL248" t="s">
        <v>1138</v>
      </c>
      <c r="BM248">
        <v>0</v>
      </c>
      <c r="BN248">
        <v>12900</v>
      </c>
      <c r="BO248">
        <v>0</v>
      </c>
      <c r="BP248">
        <v>0</v>
      </c>
      <c r="BQ248">
        <v>0</v>
      </c>
      <c r="BR248" t="s">
        <v>1</v>
      </c>
      <c r="BS248" t="s">
        <v>1</v>
      </c>
      <c r="BT248" t="s">
        <v>1</v>
      </c>
      <c r="BU248" t="s">
        <v>1</v>
      </c>
      <c r="BV248" t="s">
        <v>1</v>
      </c>
      <c r="BW248" t="s">
        <v>360</v>
      </c>
      <c r="BX248" t="s">
        <v>1</v>
      </c>
      <c r="BY248">
        <v>0</v>
      </c>
      <c r="BZ248">
        <v>0</v>
      </c>
      <c r="CA248">
        <v>0</v>
      </c>
      <c r="CB248">
        <v>0</v>
      </c>
      <c r="CD248" t="str" cm="1">
        <f t="array" aca="1" ref="CD248" ca="1">eConcatenar(A248:CB248,"|")</f>
        <v>OGqvsjGot7vwu3QS|VSA2020-0660|3|ECONOLINE|TABASCO|VILLAHERMOSA |VILLAHERMOSA |2020-09-25|12900|X|X|100|0|0|X|X|X|X|X|X|X|X|X|X|X|X|0|ZALETA |GARCIA |MARIA GUADALUPE BERENICE |0|X|X|PRINCIPAL SIN NUMERO |RANCHERIA ANACLETO CANABAL PRIMERA SECCION |FRACCIONAMIENTO MARGARITAS MODULO 9C-CASA C-HASTA EL FINAL DEL FRACCIONAMIENTO |9935616777|FILIBERTO RAUL JIMENEZ GONZALEZ |CARLOS JIMENEZ TORRES |0|PRINCIPAL SIN NUMERO |X|2|0|0|X|X|X|0|6100|6800|0|0|X|2021-12-22|2021-12-29|X|X|X|0|0|S35D6D3Y9KVTQ1|X|MUJER|0|12900|0|0|0|X|X|X|X|X|VILLAHERMOSA |X|0|0|0|0</v>
      </c>
    </row>
    <row r="249" spans="1:82" x14ac:dyDescent="0.25">
      <c r="A249" t="s">
        <v>1854</v>
      </c>
      <c r="B249" t="s">
        <v>1855</v>
      </c>
      <c r="C249">
        <v>3</v>
      </c>
      <c r="D249" t="s">
        <v>715</v>
      </c>
      <c r="E249" t="s">
        <v>359</v>
      </c>
      <c r="F249" t="s">
        <v>360</v>
      </c>
      <c r="G249" t="s">
        <v>360</v>
      </c>
      <c r="H249" t="s">
        <v>1856</v>
      </c>
      <c r="I249">
        <v>12900</v>
      </c>
      <c r="J249" t="s">
        <v>1</v>
      </c>
      <c r="K249" t="s">
        <v>1</v>
      </c>
      <c r="L249">
        <v>200</v>
      </c>
      <c r="M249">
        <v>1</v>
      </c>
      <c r="N249">
        <v>0</v>
      </c>
      <c r="O249" t="s">
        <v>1</v>
      </c>
      <c r="P249" t="s">
        <v>1</v>
      </c>
      <c r="Q249" t="s">
        <v>1</v>
      </c>
      <c r="R249" t="s">
        <v>1</v>
      </c>
      <c r="S249" t="s">
        <v>1</v>
      </c>
      <c r="T249" t="s">
        <v>1</v>
      </c>
      <c r="U249" t="s">
        <v>1</v>
      </c>
      <c r="V249" t="s">
        <v>1</v>
      </c>
      <c r="W249" t="s">
        <v>1</v>
      </c>
      <c r="X249" t="s">
        <v>1</v>
      </c>
      <c r="Y249" t="s">
        <v>1</v>
      </c>
      <c r="Z249" t="s">
        <v>1</v>
      </c>
      <c r="AA249">
        <v>0</v>
      </c>
      <c r="AB249" t="s">
        <v>191</v>
      </c>
      <c r="AC249" t="s">
        <v>455</v>
      </c>
      <c r="AD249" t="s">
        <v>1857</v>
      </c>
      <c r="AE249">
        <v>0</v>
      </c>
      <c r="AF249" t="s">
        <v>1</v>
      </c>
      <c r="AG249" t="s">
        <v>1</v>
      </c>
      <c r="AH249" t="s">
        <v>1341</v>
      </c>
      <c r="AI249" t="s">
        <v>1506</v>
      </c>
      <c r="AJ249" t="s">
        <v>1</v>
      </c>
      <c r="AK249">
        <v>9931305772</v>
      </c>
      <c r="AL249" t="s">
        <v>1858</v>
      </c>
      <c r="AM249" t="s">
        <v>1859</v>
      </c>
      <c r="AN249">
        <v>0</v>
      </c>
      <c r="AO249" t="s">
        <v>1341</v>
      </c>
      <c r="AP249" t="s">
        <v>1</v>
      </c>
      <c r="AQ249">
        <v>3</v>
      </c>
      <c r="AR249">
        <v>0</v>
      </c>
      <c r="AS249">
        <v>0</v>
      </c>
      <c r="AT249" t="s">
        <v>1</v>
      </c>
      <c r="AU249" t="s">
        <v>1</v>
      </c>
      <c r="AV249" t="s">
        <v>1</v>
      </c>
      <c r="AW249">
        <v>0</v>
      </c>
      <c r="AX249">
        <v>4400</v>
      </c>
      <c r="AY249">
        <v>8500</v>
      </c>
      <c r="AZ249">
        <v>0</v>
      </c>
      <c r="BA249">
        <v>0</v>
      </c>
      <c r="BB249" t="s">
        <v>1</v>
      </c>
      <c r="BC249" t="s">
        <v>730</v>
      </c>
      <c r="BD249" t="s">
        <v>198</v>
      </c>
      <c r="BE249" t="s">
        <v>1</v>
      </c>
      <c r="BF249" t="s">
        <v>1</v>
      </c>
      <c r="BG249" t="s">
        <v>1</v>
      </c>
      <c r="BH249">
        <v>0</v>
      </c>
      <c r="BI249">
        <v>0</v>
      </c>
      <c r="BJ249" t="s">
        <v>722</v>
      </c>
      <c r="BK249" t="s">
        <v>1</v>
      </c>
      <c r="BL249" t="s">
        <v>132</v>
      </c>
      <c r="BM249">
        <v>0</v>
      </c>
      <c r="BN249">
        <v>12900</v>
      </c>
      <c r="BO249">
        <v>0</v>
      </c>
      <c r="BP249">
        <v>0</v>
      </c>
      <c r="BQ249">
        <v>0</v>
      </c>
      <c r="BR249" t="s">
        <v>1</v>
      </c>
      <c r="BS249" t="s">
        <v>1</v>
      </c>
      <c r="BT249" t="s">
        <v>1</v>
      </c>
      <c r="BU249" t="s">
        <v>1</v>
      </c>
      <c r="BV249" t="s">
        <v>1</v>
      </c>
      <c r="BW249" t="s">
        <v>360</v>
      </c>
      <c r="BX249" t="s">
        <v>1</v>
      </c>
      <c r="BY249">
        <v>0</v>
      </c>
      <c r="BZ249">
        <v>0</v>
      </c>
      <c r="CA249">
        <v>0</v>
      </c>
      <c r="CB249">
        <v>0</v>
      </c>
      <c r="CD249" t="str" cm="1">
        <f t="array" aca="1" ref="CD249" ca="1">eConcatenar(A249:CB249,"|")</f>
        <v>skpN1QvxHqQU4hFe|VSA2020-0688|3|IMPERIAL DE LUJO|TABASCO|VILLAHERMOSA |VILLAHERMOSA |2020-09-28|12900|X|X|200|1|0|X|X|X|X|X|X|X|X|X|X|X|X|0|MARTINEZ |CRUZ |TELESFORO |0|X|X|CALLEJON EL MANGO SIN NUMERO |RANCHERIA ANACLETO CANABAL PRIMERA SECCION |X|9931305772|ALVARO MARTINEZ VAZQUEZ |ANSELVA VAZQUEZ PEREZ |0|CALLEJON EL MANGO SIN NUMERO |X|3|0|0|X|X|X|0|4400|8500|0|0|X|2021-12-16|2021-12-30|X|X|X|0|0|S35D6D3Y9KVTQ1|X|HOMBRE|0|12900|0|0|0|X|X|X|X|X|VILLAHERMOSA |X|0|0|0|0</v>
      </c>
    </row>
    <row r="250" spans="1:82" x14ac:dyDescent="0.25">
      <c r="A250" t="s">
        <v>1860</v>
      </c>
      <c r="B250" t="s">
        <v>1861</v>
      </c>
      <c r="C250">
        <v>3</v>
      </c>
      <c r="D250" t="s">
        <v>891</v>
      </c>
      <c r="E250" t="s">
        <v>359</v>
      </c>
      <c r="F250" t="s">
        <v>360</v>
      </c>
      <c r="G250" t="s">
        <v>360</v>
      </c>
      <c r="H250" t="s">
        <v>1371</v>
      </c>
      <c r="I250">
        <v>12900</v>
      </c>
      <c r="J250" t="s">
        <v>1</v>
      </c>
      <c r="K250" t="s">
        <v>1</v>
      </c>
      <c r="L250">
        <v>100</v>
      </c>
      <c r="M250">
        <v>0</v>
      </c>
      <c r="N250">
        <v>0</v>
      </c>
      <c r="O250" t="s">
        <v>1</v>
      </c>
      <c r="P250" t="s">
        <v>1</v>
      </c>
      <c r="Q250" t="s">
        <v>1</v>
      </c>
      <c r="R250" t="s">
        <v>1</v>
      </c>
      <c r="S250" t="s">
        <v>1</v>
      </c>
      <c r="T250" t="s">
        <v>1</v>
      </c>
      <c r="U250" t="s">
        <v>1</v>
      </c>
      <c r="V250" t="s">
        <v>1</v>
      </c>
      <c r="W250" t="s">
        <v>1</v>
      </c>
      <c r="X250" t="s">
        <v>1</v>
      </c>
      <c r="Y250" t="s">
        <v>1</v>
      </c>
      <c r="Z250" t="s">
        <v>1</v>
      </c>
      <c r="AA250">
        <v>0</v>
      </c>
      <c r="AB250" t="s">
        <v>15</v>
      </c>
      <c r="AC250" t="s">
        <v>575</v>
      </c>
      <c r="AD250" t="s">
        <v>1862</v>
      </c>
      <c r="AE250">
        <v>0</v>
      </c>
      <c r="AF250" t="s">
        <v>1</v>
      </c>
      <c r="AG250" t="s">
        <v>1</v>
      </c>
      <c r="AH250" t="s">
        <v>1863</v>
      </c>
      <c r="AI250" t="s">
        <v>728</v>
      </c>
      <c r="AJ250" t="s">
        <v>1</v>
      </c>
      <c r="AK250">
        <v>9931096233</v>
      </c>
      <c r="AL250" t="s">
        <v>1864</v>
      </c>
      <c r="AM250" t="s">
        <v>1865</v>
      </c>
      <c r="AN250">
        <v>0</v>
      </c>
      <c r="AO250" t="s">
        <v>1863</v>
      </c>
      <c r="AP250" t="s">
        <v>1</v>
      </c>
      <c r="AQ250">
        <v>3</v>
      </c>
      <c r="AR250">
        <v>0</v>
      </c>
      <c r="AS250">
        <v>0</v>
      </c>
      <c r="AT250" t="s">
        <v>1</v>
      </c>
      <c r="AU250" t="s">
        <v>1</v>
      </c>
      <c r="AV250" t="s">
        <v>1</v>
      </c>
      <c r="AW250">
        <v>0</v>
      </c>
      <c r="AX250">
        <v>5600</v>
      </c>
      <c r="AY250">
        <v>7300</v>
      </c>
      <c r="AZ250">
        <v>0</v>
      </c>
      <c r="BA250">
        <v>0</v>
      </c>
      <c r="BB250" t="s">
        <v>1</v>
      </c>
      <c r="BC250" t="s">
        <v>198</v>
      </c>
      <c r="BD250" t="s">
        <v>1636</v>
      </c>
      <c r="BE250" t="s">
        <v>1</v>
      </c>
      <c r="BF250" t="s">
        <v>1</v>
      </c>
      <c r="BG250" t="s">
        <v>1</v>
      </c>
      <c r="BH250">
        <v>0</v>
      </c>
      <c r="BI250">
        <v>0</v>
      </c>
      <c r="BJ250" t="s">
        <v>722</v>
      </c>
      <c r="BK250" t="s">
        <v>1</v>
      </c>
      <c r="BL250" t="s">
        <v>1138</v>
      </c>
      <c r="BM250">
        <v>0</v>
      </c>
      <c r="BN250">
        <v>12900</v>
      </c>
      <c r="BO250">
        <v>0</v>
      </c>
      <c r="BP250">
        <v>0</v>
      </c>
      <c r="BQ250">
        <v>0</v>
      </c>
      <c r="BR250" t="s">
        <v>1</v>
      </c>
      <c r="BS250" t="s">
        <v>1</v>
      </c>
      <c r="BT250" t="s">
        <v>1</v>
      </c>
      <c r="BU250" t="s">
        <v>1</v>
      </c>
      <c r="BV250" t="s">
        <v>1</v>
      </c>
      <c r="BW250" t="s">
        <v>360</v>
      </c>
      <c r="BX250" t="s">
        <v>1</v>
      </c>
      <c r="BY250">
        <v>0</v>
      </c>
      <c r="BZ250">
        <v>0</v>
      </c>
      <c r="CA250">
        <v>0</v>
      </c>
      <c r="CB250">
        <v>0</v>
      </c>
      <c r="CD250" t="str" cm="1">
        <f t="array" aca="1" ref="CD250" ca="1">eConcatenar(A250:CB250,"|")</f>
        <v>QCSgRu2v2m55a8r0|VSA2020-0629|3|ECONOLINE|TABASCO|VILLAHERMOSA |VILLAHERMOSA |2020-09-21|12900|X|X|100|0|0|X|X|X|X|X|X|X|X|X|X|X|X|0|PEREZ |MORALES |CRISTINA |0|X|X|CALEJON LAS MARIPOSAS SIN NUMERO |RANCHERIA ANACLETO CANABAL SEGUNDA SECCION |X|9931096233|NORMA ALICIA GONGORA PEREZ|JEMIMA PEREZ NORMALES |0|CALEJON LAS MARIPOSAS SIN NUMERO |X|3|0|0|X|X|X|0|5600|7300|0|0|X|2021-12-30|2022-06-01|X|X|X|0|0|S35D6D3Y9KVTQ1|X|MUJER|0|12900|0|0|0|X|X|X|X|X|VILLAHERMOSA |X|0|0|0|0</v>
      </c>
    </row>
    <row r="251" spans="1:82" x14ac:dyDescent="0.25">
      <c r="A251" t="s">
        <v>1866</v>
      </c>
      <c r="B251" t="s">
        <v>1867</v>
      </c>
      <c r="C251">
        <v>3</v>
      </c>
      <c r="D251" t="s">
        <v>891</v>
      </c>
      <c r="E251" t="s">
        <v>359</v>
      </c>
      <c r="F251" t="s">
        <v>360</v>
      </c>
      <c r="G251" t="s">
        <v>360</v>
      </c>
      <c r="H251" t="s">
        <v>1868</v>
      </c>
      <c r="I251">
        <v>12900</v>
      </c>
      <c r="J251" t="s">
        <v>1</v>
      </c>
      <c r="K251" t="s">
        <v>1</v>
      </c>
      <c r="L251">
        <v>200</v>
      </c>
      <c r="M251">
        <v>1</v>
      </c>
      <c r="N251">
        <v>0</v>
      </c>
      <c r="O251" t="s">
        <v>1</v>
      </c>
      <c r="P251" t="s">
        <v>1</v>
      </c>
      <c r="Q251" t="s">
        <v>1</v>
      </c>
      <c r="R251" t="s">
        <v>1</v>
      </c>
      <c r="S251" t="s">
        <v>1</v>
      </c>
      <c r="T251" t="s">
        <v>1</v>
      </c>
      <c r="U251" t="s">
        <v>1</v>
      </c>
      <c r="V251" t="s">
        <v>1</v>
      </c>
      <c r="W251" t="s">
        <v>1</v>
      </c>
      <c r="X251" t="s">
        <v>1</v>
      </c>
      <c r="Y251" t="s">
        <v>1</v>
      </c>
      <c r="Z251" t="s">
        <v>1</v>
      </c>
      <c r="AA251">
        <v>0</v>
      </c>
      <c r="AB251" t="s">
        <v>174</v>
      </c>
      <c r="AC251" t="s">
        <v>1</v>
      </c>
      <c r="AD251" t="s">
        <v>1869</v>
      </c>
      <c r="AE251">
        <v>0</v>
      </c>
      <c r="AF251" t="s">
        <v>1</v>
      </c>
      <c r="AG251" t="s">
        <v>1</v>
      </c>
      <c r="AH251" t="s">
        <v>1870</v>
      </c>
      <c r="AI251" t="s">
        <v>1320</v>
      </c>
      <c r="AJ251" t="s">
        <v>1</v>
      </c>
      <c r="AK251">
        <v>9931457192</v>
      </c>
      <c r="AL251" t="s">
        <v>1871</v>
      </c>
      <c r="AM251" t="s">
        <v>1872</v>
      </c>
      <c r="AN251">
        <v>0</v>
      </c>
      <c r="AO251" t="s">
        <v>1870</v>
      </c>
      <c r="AP251" t="s">
        <v>1</v>
      </c>
      <c r="AQ251">
        <v>2</v>
      </c>
      <c r="AR251">
        <v>0</v>
      </c>
      <c r="AS251">
        <v>0</v>
      </c>
      <c r="AT251" t="s">
        <v>1</v>
      </c>
      <c r="AU251" t="s">
        <v>1</v>
      </c>
      <c r="AV251" t="s">
        <v>1</v>
      </c>
      <c r="AW251">
        <v>0</v>
      </c>
      <c r="AX251">
        <v>6545</v>
      </c>
      <c r="AY251">
        <v>6355</v>
      </c>
      <c r="AZ251">
        <v>0</v>
      </c>
      <c r="BA251">
        <v>0</v>
      </c>
      <c r="BB251" t="s">
        <v>1</v>
      </c>
      <c r="BC251" t="s">
        <v>758</v>
      </c>
      <c r="BD251" t="s">
        <v>198</v>
      </c>
      <c r="BE251" t="s">
        <v>1</v>
      </c>
      <c r="BF251" t="s">
        <v>1</v>
      </c>
      <c r="BG251" t="s">
        <v>1</v>
      </c>
      <c r="BH251">
        <v>0</v>
      </c>
      <c r="BI251">
        <v>0</v>
      </c>
      <c r="BJ251" t="s">
        <v>722</v>
      </c>
      <c r="BK251" t="s">
        <v>1</v>
      </c>
      <c r="BL251" t="s">
        <v>132</v>
      </c>
      <c r="BM251">
        <v>0</v>
      </c>
      <c r="BN251">
        <v>12900</v>
      </c>
      <c r="BO251">
        <v>0</v>
      </c>
      <c r="BP251">
        <v>0</v>
      </c>
      <c r="BQ251">
        <v>0</v>
      </c>
      <c r="BR251" t="s">
        <v>1</v>
      </c>
      <c r="BS251" t="s">
        <v>1</v>
      </c>
      <c r="BT251" t="s">
        <v>1</v>
      </c>
      <c r="BU251" t="s">
        <v>1</v>
      </c>
      <c r="BV251" t="s">
        <v>1</v>
      </c>
      <c r="BW251" t="s">
        <v>360</v>
      </c>
      <c r="BX251" t="s">
        <v>1</v>
      </c>
      <c r="BY251">
        <v>0</v>
      </c>
      <c r="BZ251">
        <v>0</v>
      </c>
      <c r="CA251">
        <v>0</v>
      </c>
      <c r="CB251">
        <v>0</v>
      </c>
      <c r="CD251" t="str" cm="1">
        <f t="array" aca="1" ref="CD251" ca="1">eConcatenar(A251:CB251,"|")</f>
        <v>CWuDByLJtmVjYLwe|VSA2020-0637|3|ECONOLINE|TABASCO|VILLAHERMOSA |VILLAHERMOSA |2020-09-22|12900|X|X|200|1|0|X|X|X|X|X|X|X|X|X|X|X|X|0|ORTIZ |X|JOSE ANTONIO |0|X|X|CALLEJON LA SALUD SIN NUMERO |RANCHERIA ANACLETO CANABAL|X|9931457192|GEORGINA CAYETANO MORALES |LUIS ANGEL ZAPATA TOVAR |0|CALLEJON LA SALUD SIN NUMERO |X|2|0|0|X|X|X|0|6545|6355|0|0|X|2021-12-15|2021-12-30|X|X|X|0|0|S35D6D3Y9KVTQ1|X|HOMBRE|0|12900|0|0|0|X|X|X|X|X|VILLAHERMOSA |X|0|0|0|0</v>
      </c>
    </row>
    <row r="252" spans="1:82" x14ac:dyDescent="0.25">
      <c r="A252" t="s">
        <v>1873</v>
      </c>
      <c r="B252" t="s">
        <v>1874</v>
      </c>
      <c r="C252">
        <v>3</v>
      </c>
      <c r="D252" t="s">
        <v>14</v>
      </c>
      <c r="E252" t="s">
        <v>359</v>
      </c>
      <c r="F252" t="s">
        <v>360</v>
      </c>
      <c r="G252" t="s">
        <v>360</v>
      </c>
      <c r="H252" t="s">
        <v>1875</v>
      </c>
      <c r="I252">
        <v>12900</v>
      </c>
      <c r="J252" t="s">
        <v>1</v>
      </c>
      <c r="K252" t="s">
        <v>1</v>
      </c>
      <c r="L252">
        <v>200</v>
      </c>
      <c r="M252">
        <v>1</v>
      </c>
      <c r="N252">
        <v>0</v>
      </c>
      <c r="O252" t="s">
        <v>1</v>
      </c>
      <c r="P252" t="s">
        <v>1</v>
      </c>
      <c r="Q252" t="s">
        <v>1</v>
      </c>
      <c r="R252" t="s">
        <v>1</v>
      </c>
      <c r="S252" t="s">
        <v>1</v>
      </c>
      <c r="T252" t="s">
        <v>1</v>
      </c>
      <c r="U252" t="s">
        <v>1</v>
      </c>
      <c r="V252" t="s">
        <v>1</v>
      </c>
      <c r="W252" t="s">
        <v>1</v>
      </c>
      <c r="X252" t="s">
        <v>1</v>
      </c>
      <c r="Y252" t="s">
        <v>1</v>
      </c>
      <c r="Z252" t="s">
        <v>1</v>
      </c>
      <c r="AA252">
        <v>0</v>
      </c>
      <c r="AB252" t="s">
        <v>993</v>
      </c>
      <c r="AC252" t="s">
        <v>856</v>
      </c>
      <c r="AD252" t="s">
        <v>1461</v>
      </c>
      <c r="AE252">
        <v>0</v>
      </c>
      <c r="AF252" t="s">
        <v>1</v>
      </c>
      <c r="AG252" t="s">
        <v>1</v>
      </c>
      <c r="AH252" t="s">
        <v>1506</v>
      </c>
      <c r="AI252" t="s">
        <v>466</v>
      </c>
      <c r="AJ252" t="s">
        <v>1</v>
      </c>
      <c r="AK252">
        <v>9932777640</v>
      </c>
      <c r="AL252" t="s">
        <v>1876</v>
      </c>
      <c r="AM252" t="s">
        <v>1</v>
      </c>
      <c r="AN252">
        <v>0</v>
      </c>
      <c r="AO252" t="s">
        <v>1506</v>
      </c>
      <c r="AP252" t="s">
        <v>1</v>
      </c>
      <c r="AQ252">
        <v>3</v>
      </c>
      <c r="AR252">
        <v>0</v>
      </c>
      <c r="AS252">
        <v>0</v>
      </c>
      <c r="AT252" t="s">
        <v>1</v>
      </c>
      <c r="AU252" t="s">
        <v>1</v>
      </c>
      <c r="AV252" t="s">
        <v>1</v>
      </c>
      <c r="AW252">
        <v>0</v>
      </c>
      <c r="AX252">
        <v>6800</v>
      </c>
      <c r="AY252">
        <v>6100</v>
      </c>
      <c r="AZ252">
        <v>0</v>
      </c>
      <c r="BA252">
        <v>0</v>
      </c>
      <c r="BB252" t="s">
        <v>1</v>
      </c>
      <c r="BC252" t="s">
        <v>730</v>
      </c>
      <c r="BD252" t="s">
        <v>198</v>
      </c>
      <c r="BE252" t="s">
        <v>1</v>
      </c>
      <c r="BF252" t="s">
        <v>1</v>
      </c>
      <c r="BG252" t="s">
        <v>1</v>
      </c>
      <c r="BH252">
        <v>0</v>
      </c>
      <c r="BI252">
        <v>0</v>
      </c>
      <c r="BJ252" t="s">
        <v>722</v>
      </c>
      <c r="BK252" t="s">
        <v>1</v>
      </c>
      <c r="BL252" t="s">
        <v>1138</v>
      </c>
      <c r="BM252">
        <v>0</v>
      </c>
      <c r="BN252">
        <v>12900</v>
      </c>
      <c r="BO252">
        <v>0</v>
      </c>
      <c r="BP252">
        <v>0</v>
      </c>
      <c r="BQ252">
        <v>0</v>
      </c>
      <c r="BR252" t="s">
        <v>1</v>
      </c>
      <c r="BS252" t="s">
        <v>1</v>
      </c>
      <c r="BT252" t="s">
        <v>1</v>
      </c>
      <c r="BU252" t="s">
        <v>1</v>
      </c>
      <c r="BV252" t="s">
        <v>1</v>
      </c>
      <c r="BW252" t="s">
        <v>360</v>
      </c>
      <c r="BX252" t="s">
        <v>1</v>
      </c>
      <c r="BY252">
        <v>0</v>
      </c>
      <c r="BZ252">
        <v>0</v>
      </c>
      <c r="CA252">
        <v>0</v>
      </c>
      <c r="CB252">
        <v>0</v>
      </c>
      <c r="CD252" t="str" cm="1">
        <f t="array" aca="1" ref="CD252" ca="1">eConcatenar(A252:CB252,"|")</f>
        <v>VdSqknjp5kmlsVsK|VSA2019-0161|3|ECONOLINE |TABASCO|VILLAHERMOSA |VILLAHERMOSA |2019-04-15|12900|X|X|200|1|0|X|X|X|X|X|X|X|X|X|X|X|X|0|CONTRERAS|RIVERA|MARIA DEL CARMEN |0|X|X|RANCHERIA ANACLETO CANABAL PRIMERA SECCION |CALLE PRINCIPAL SIN NUMERO |X|9932777640|MARIA OBDULIA TERESA VILLA GARCIA |X|0|RANCHERIA ANACLETO CANABAL PRIMERA SECCION |X|3|0|0|X|X|X|0|6800|6100|0|0|X|2021-12-16|2021-12-30|X|X|X|0|0|S35D6D3Y9KVTQ1|X|MUJER|0|12900|0|0|0|X|X|X|X|X|VILLAHERMOSA |X|0|0|0|0</v>
      </c>
    </row>
    <row r="253" spans="1:82" x14ac:dyDescent="0.25">
      <c r="A253" t="s">
        <v>1877</v>
      </c>
      <c r="B253" t="s">
        <v>1878</v>
      </c>
      <c r="C253">
        <v>3</v>
      </c>
      <c r="D253" t="s">
        <v>14</v>
      </c>
      <c r="E253" t="s">
        <v>359</v>
      </c>
      <c r="F253" t="s">
        <v>360</v>
      </c>
      <c r="G253" t="s">
        <v>360</v>
      </c>
      <c r="H253" t="s">
        <v>963</v>
      </c>
      <c r="I253">
        <v>12900</v>
      </c>
      <c r="J253" t="s">
        <v>1</v>
      </c>
      <c r="K253" t="s">
        <v>1</v>
      </c>
      <c r="L253">
        <v>200</v>
      </c>
      <c r="M253">
        <v>1</v>
      </c>
      <c r="N253">
        <v>0</v>
      </c>
      <c r="O253" t="s">
        <v>1</v>
      </c>
      <c r="P253" t="s">
        <v>1</v>
      </c>
      <c r="Q253" t="s">
        <v>1</v>
      </c>
      <c r="R253" t="s">
        <v>1</v>
      </c>
      <c r="S253" t="s">
        <v>1</v>
      </c>
      <c r="T253" t="s">
        <v>1</v>
      </c>
      <c r="U253" t="s">
        <v>1</v>
      </c>
      <c r="V253" t="s">
        <v>1</v>
      </c>
      <c r="W253" t="s">
        <v>1</v>
      </c>
      <c r="X253" t="s">
        <v>1</v>
      </c>
      <c r="Y253" t="s">
        <v>1</v>
      </c>
      <c r="Z253" t="s">
        <v>1</v>
      </c>
      <c r="AA253">
        <v>0</v>
      </c>
      <c r="AB253" t="s">
        <v>829</v>
      </c>
      <c r="AC253" t="s">
        <v>13</v>
      </c>
      <c r="AD253" t="s">
        <v>1879</v>
      </c>
      <c r="AE253">
        <v>0</v>
      </c>
      <c r="AF253" t="s">
        <v>1</v>
      </c>
      <c r="AG253" t="s">
        <v>1</v>
      </c>
      <c r="AH253" t="s">
        <v>1880</v>
      </c>
      <c r="AI253" t="s">
        <v>1506</v>
      </c>
      <c r="AJ253" t="s">
        <v>1</v>
      </c>
      <c r="AK253">
        <v>9931947948</v>
      </c>
      <c r="AL253" t="s">
        <v>1881</v>
      </c>
      <c r="AM253" t="s">
        <v>1882</v>
      </c>
      <c r="AN253">
        <v>0</v>
      </c>
      <c r="AO253" t="s">
        <v>1880</v>
      </c>
      <c r="AP253" t="s">
        <v>1</v>
      </c>
      <c r="AQ253">
        <v>3</v>
      </c>
      <c r="AR253">
        <v>0</v>
      </c>
      <c r="AS253">
        <v>0</v>
      </c>
      <c r="AT253" t="s">
        <v>1</v>
      </c>
      <c r="AU253" t="s">
        <v>1</v>
      </c>
      <c r="AV253" t="s">
        <v>1</v>
      </c>
      <c r="AW253">
        <v>0</v>
      </c>
      <c r="AX253">
        <v>5600</v>
      </c>
      <c r="AY253">
        <v>7300</v>
      </c>
      <c r="AZ253">
        <v>0</v>
      </c>
      <c r="BA253">
        <v>0</v>
      </c>
      <c r="BB253" t="s">
        <v>1</v>
      </c>
      <c r="BC253" t="s">
        <v>748</v>
      </c>
      <c r="BD253" t="s">
        <v>730</v>
      </c>
      <c r="BE253" t="s">
        <v>1</v>
      </c>
      <c r="BF253" t="s">
        <v>1</v>
      </c>
      <c r="BG253" t="s">
        <v>1</v>
      </c>
      <c r="BH253">
        <v>0</v>
      </c>
      <c r="BI253">
        <v>0</v>
      </c>
      <c r="BJ253" t="s">
        <v>722</v>
      </c>
      <c r="BK253" t="s">
        <v>1</v>
      </c>
      <c r="BL253" t="s">
        <v>1138</v>
      </c>
      <c r="BM253">
        <v>0</v>
      </c>
      <c r="BN253">
        <v>12900</v>
      </c>
      <c r="BO253">
        <v>0</v>
      </c>
      <c r="BP253">
        <v>0</v>
      </c>
      <c r="BQ253">
        <v>0</v>
      </c>
      <c r="BR253" t="s">
        <v>1</v>
      </c>
      <c r="BS253" t="s">
        <v>1</v>
      </c>
      <c r="BT253" t="s">
        <v>1</v>
      </c>
      <c r="BU253" t="s">
        <v>1</v>
      </c>
      <c r="BV253" t="s">
        <v>1</v>
      </c>
      <c r="BW253" t="s">
        <v>360</v>
      </c>
      <c r="BX253" t="s">
        <v>1</v>
      </c>
      <c r="BY253">
        <v>0</v>
      </c>
      <c r="BZ253">
        <v>0</v>
      </c>
      <c r="CA253">
        <v>0</v>
      </c>
      <c r="CB253">
        <v>0</v>
      </c>
      <c r="CD253" t="str" cm="1">
        <f t="array" aca="1" ref="CD253" ca="1">eConcatenar(A253:CB253,"|")</f>
        <v>BUxhHmarzvlyg9SG|VSA2020-0490|3|ECONOLINE |TABASCO|VILLAHERMOSA |VILLAHERMOSA |2020-03-09|12900|X|X|200|1|0|X|X|X|X|X|X|X|X|X|X|X|X|0|PEREZ|GUTIERREZ|YURIBIA|0|X|X|CALLE INDEPENDENCIA ENTRANDO CALLEJON |RANCHERIA ANACLETO CANABAL PRIMERA SECCION |X|9931947948|CARLOS CAAMAÃ‘O PEREZ |JENNIFER CAAMAÃ‘O PEREZ|0|CALLE INDEPENDENCIA ENTRANDO CALLEJON |X|3|0|0|X|X|X|0|5600|7300|0|0|X|2021-02-12|2021-12-16|X|X|X|0|0|S35D6D3Y9KVTQ1|X|MUJER|0|12900|0|0|0|X|X|X|X|X|VILLAHERMOSA |X|0|0|0|0</v>
      </c>
    </row>
    <row r="254" spans="1:82" x14ac:dyDescent="0.25">
      <c r="A254" t="s">
        <v>1883</v>
      </c>
      <c r="B254" t="s">
        <v>1884</v>
      </c>
      <c r="C254">
        <v>3</v>
      </c>
      <c r="D254" t="s">
        <v>715</v>
      </c>
      <c r="E254" t="s">
        <v>359</v>
      </c>
      <c r="F254" t="s">
        <v>360</v>
      </c>
      <c r="G254" t="s">
        <v>360</v>
      </c>
      <c r="H254" t="s">
        <v>386</v>
      </c>
      <c r="I254">
        <v>12900</v>
      </c>
      <c r="J254" t="s">
        <v>1</v>
      </c>
      <c r="K254" t="s">
        <v>1</v>
      </c>
      <c r="L254">
        <v>100</v>
      </c>
      <c r="M254">
        <v>0</v>
      </c>
      <c r="N254">
        <v>0</v>
      </c>
      <c r="O254" t="s">
        <v>1</v>
      </c>
      <c r="P254" t="s">
        <v>1</v>
      </c>
      <c r="Q254" t="s">
        <v>1</v>
      </c>
      <c r="R254" t="s">
        <v>1</v>
      </c>
      <c r="S254" t="s">
        <v>1</v>
      </c>
      <c r="T254" t="s">
        <v>1</v>
      </c>
      <c r="U254" t="s">
        <v>1</v>
      </c>
      <c r="V254" t="s">
        <v>1</v>
      </c>
      <c r="W254" t="s">
        <v>1</v>
      </c>
      <c r="X254" t="s">
        <v>1</v>
      </c>
      <c r="Y254" t="s">
        <v>1</v>
      </c>
      <c r="Z254" t="s">
        <v>1</v>
      </c>
      <c r="AA254">
        <v>0</v>
      </c>
      <c r="AB254" t="s">
        <v>407</v>
      </c>
      <c r="AC254" t="s">
        <v>1571</v>
      </c>
      <c r="AD254" t="s">
        <v>1627</v>
      </c>
      <c r="AE254">
        <v>0</v>
      </c>
      <c r="AF254" t="s">
        <v>1</v>
      </c>
      <c r="AG254" t="s">
        <v>1</v>
      </c>
      <c r="AH254" t="s">
        <v>1885</v>
      </c>
      <c r="AI254" t="s">
        <v>1886</v>
      </c>
      <c r="AJ254" t="s">
        <v>1</v>
      </c>
      <c r="AK254">
        <v>9934379972</v>
      </c>
      <c r="AL254" t="s">
        <v>1887</v>
      </c>
      <c r="AM254" t="s">
        <v>1888</v>
      </c>
      <c r="AN254">
        <v>0</v>
      </c>
      <c r="AO254" t="s">
        <v>1885</v>
      </c>
      <c r="AP254" t="s">
        <v>1</v>
      </c>
      <c r="AQ254">
        <v>3</v>
      </c>
      <c r="AR254">
        <v>0</v>
      </c>
      <c r="AS254">
        <v>0</v>
      </c>
      <c r="AT254" t="s">
        <v>1</v>
      </c>
      <c r="AU254" t="s">
        <v>1</v>
      </c>
      <c r="AV254" t="s">
        <v>1</v>
      </c>
      <c r="AW254">
        <v>0</v>
      </c>
      <c r="AX254">
        <v>6600</v>
      </c>
      <c r="AY254">
        <v>6300</v>
      </c>
      <c r="AZ254">
        <v>0</v>
      </c>
      <c r="BA254">
        <v>0</v>
      </c>
      <c r="BB254" t="s">
        <v>1</v>
      </c>
      <c r="BC254" t="s">
        <v>730</v>
      </c>
      <c r="BD254" t="s">
        <v>198</v>
      </c>
      <c r="BE254" t="s">
        <v>1</v>
      </c>
      <c r="BF254" t="s">
        <v>1</v>
      </c>
      <c r="BG254" t="s">
        <v>1</v>
      </c>
      <c r="BH254">
        <v>0</v>
      </c>
      <c r="BI254">
        <v>0</v>
      </c>
      <c r="BJ254" t="s">
        <v>722</v>
      </c>
      <c r="BK254" t="s">
        <v>1</v>
      </c>
      <c r="BL254" t="s">
        <v>1138</v>
      </c>
      <c r="BM254">
        <v>0</v>
      </c>
      <c r="BN254">
        <v>12900</v>
      </c>
      <c r="BO254">
        <v>0</v>
      </c>
      <c r="BP254">
        <v>0</v>
      </c>
      <c r="BQ254">
        <v>0</v>
      </c>
      <c r="BR254" t="s">
        <v>1</v>
      </c>
      <c r="BS254" t="s">
        <v>1</v>
      </c>
      <c r="BT254" t="s">
        <v>1</v>
      </c>
      <c r="BU254" t="s">
        <v>1</v>
      </c>
      <c r="BV254" t="s">
        <v>1</v>
      </c>
      <c r="BW254" t="s">
        <v>360</v>
      </c>
      <c r="BX254" t="s">
        <v>1</v>
      </c>
      <c r="BY254">
        <v>0</v>
      </c>
      <c r="BZ254">
        <v>0</v>
      </c>
      <c r="CA254">
        <v>0</v>
      </c>
      <c r="CB254">
        <v>0</v>
      </c>
      <c r="CD254" t="str" cm="1">
        <f t="array" aca="1" ref="CD254" ca="1">eConcatenar(A254:CB254,"|")</f>
        <v>GTxZFj3P4rRgzQiX|VSA2020-0710|3|IMPERIAL DE LUJO|TABASCO|VILLAHERMOSA |VILLAHERMOSA |2020-09-30|12900|X|X|100|0|0|X|X|X|X|X|X|X|X|X|X|X|X|0|LOPEZ |CASTILLO|ANTONIA |0|X|X|ANACLETO CANABAL SIN NUMERO |RANCHERIA ANACLETO CANABAL SIN NUMERO |X|9934379972|PATRICIA DE LA CRUZ TORRES |MAYRA JANETH LOPEZ CASTILLO|0|ANACLETO CANABAL SIN NUMERO |X|3|0|0|X|X|X|0|6600|6300|0|0|X|2021-12-16|2021-12-30|X|X|X|0|0|S35D6D3Y9KVTQ1|X|MUJER|0|12900|0|0|0|X|X|X|X|X|VILLAHERMOSA |X|0|0|0|0</v>
      </c>
    </row>
    <row r="255" spans="1:82" x14ac:dyDescent="0.25">
      <c r="A255" t="s">
        <v>1889</v>
      </c>
      <c r="B255" t="s">
        <v>1890</v>
      </c>
      <c r="C255">
        <v>3</v>
      </c>
      <c r="D255" t="s">
        <v>715</v>
      </c>
      <c r="E255" t="s">
        <v>359</v>
      </c>
      <c r="F255" t="s">
        <v>360</v>
      </c>
      <c r="G255" t="s">
        <v>360</v>
      </c>
      <c r="H255" t="s">
        <v>561</v>
      </c>
      <c r="I255">
        <v>12900</v>
      </c>
      <c r="J255" t="s">
        <v>1</v>
      </c>
      <c r="K255" t="s">
        <v>1</v>
      </c>
      <c r="L255">
        <v>200</v>
      </c>
      <c r="M255">
        <v>1</v>
      </c>
      <c r="N255">
        <v>0</v>
      </c>
      <c r="O255" t="s">
        <v>1</v>
      </c>
      <c r="P255" t="s">
        <v>1</v>
      </c>
      <c r="Q255" t="s">
        <v>1</v>
      </c>
      <c r="R255" t="s">
        <v>1</v>
      </c>
      <c r="S255" t="s">
        <v>1</v>
      </c>
      <c r="T255" t="s">
        <v>1</v>
      </c>
      <c r="U255" t="s">
        <v>1</v>
      </c>
      <c r="V255" t="s">
        <v>1</v>
      </c>
      <c r="W255" t="s">
        <v>1</v>
      </c>
      <c r="X255" t="s">
        <v>1</v>
      </c>
      <c r="Y255" t="s">
        <v>1</v>
      </c>
      <c r="Z255" t="s">
        <v>1</v>
      </c>
      <c r="AA255">
        <v>0</v>
      </c>
      <c r="AB255" t="s">
        <v>407</v>
      </c>
      <c r="AC255" t="s">
        <v>395</v>
      </c>
      <c r="AD255" t="s">
        <v>1891</v>
      </c>
      <c r="AE255">
        <v>0</v>
      </c>
      <c r="AF255" t="s">
        <v>1</v>
      </c>
      <c r="AG255" t="s">
        <v>1</v>
      </c>
      <c r="AH255" t="s">
        <v>545</v>
      </c>
      <c r="AI255" t="s">
        <v>914</v>
      </c>
      <c r="AJ255" t="s">
        <v>1</v>
      </c>
      <c r="AK255">
        <v>9932336461</v>
      </c>
      <c r="AL255" t="s">
        <v>1892</v>
      </c>
      <c r="AM255" t="s">
        <v>1893</v>
      </c>
      <c r="AN255">
        <v>0</v>
      </c>
      <c r="AO255" t="s">
        <v>545</v>
      </c>
      <c r="AP255" t="s">
        <v>1</v>
      </c>
      <c r="AQ255">
        <v>3</v>
      </c>
      <c r="AR255">
        <v>0</v>
      </c>
      <c r="AS255">
        <v>0</v>
      </c>
      <c r="AT255" t="s">
        <v>1</v>
      </c>
      <c r="AU255" t="s">
        <v>1</v>
      </c>
      <c r="AV255" t="s">
        <v>1</v>
      </c>
      <c r="AW255">
        <v>0</v>
      </c>
      <c r="AX255">
        <v>6700</v>
      </c>
      <c r="AY255">
        <v>6200</v>
      </c>
      <c r="AZ255">
        <v>0</v>
      </c>
      <c r="BA255">
        <v>0</v>
      </c>
      <c r="BB255" t="s">
        <v>1</v>
      </c>
      <c r="BC255" t="s">
        <v>730</v>
      </c>
      <c r="BD255" t="s">
        <v>198</v>
      </c>
      <c r="BE255" t="s">
        <v>1</v>
      </c>
      <c r="BF255" t="s">
        <v>1</v>
      </c>
      <c r="BG255" t="s">
        <v>1</v>
      </c>
      <c r="BH255">
        <v>0</v>
      </c>
      <c r="BI255">
        <v>0</v>
      </c>
      <c r="BJ255" t="s">
        <v>722</v>
      </c>
      <c r="BK255" t="s">
        <v>1</v>
      </c>
      <c r="BL255" t="s">
        <v>1138</v>
      </c>
      <c r="BM255">
        <v>0</v>
      </c>
      <c r="BN255">
        <v>12900</v>
      </c>
      <c r="BO255">
        <v>0</v>
      </c>
      <c r="BP255">
        <v>0</v>
      </c>
      <c r="BQ255">
        <v>0</v>
      </c>
      <c r="BR255" t="s">
        <v>1</v>
      </c>
      <c r="BS255" t="s">
        <v>1</v>
      </c>
      <c r="BT255" t="s">
        <v>1</v>
      </c>
      <c r="BU255" t="s">
        <v>1</v>
      </c>
      <c r="BV255" t="s">
        <v>1</v>
      </c>
      <c r="BW255" t="s">
        <v>360</v>
      </c>
      <c r="BX255" t="s">
        <v>1</v>
      </c>
      <c r="BY255">
        <v>0</v>
      </c>
      <c r="BZ255">
        <v>0</v>
      </c>
      <c r="CA255">
        <v>0</v>
      </c>
      <c r="CB255">
        <v>0</v>
      </c>
      <c r="CD255" t="str" cm="1">
        <f t="array" aca="1" ref="CD255" ca="1">eConcatenar(A255:CB255,"|")</f>
        <v>fvE7aXPhlWKh2MUk|VSA2020-0838|3|IMPERIAL DE LUJO|TABASCO|VILLAHERMOSA |VILLAHERMOSA |2020-10-26|12900|X|X|200|1|0|X|X|X|X|X|X|X|X|X|X|X|X|0|LOPEZ |GARCIA |ESTRELLA MARIA |0|X|X|CARRETERA PRINCIPAL SIN NUMERO |RANCHERIA GONZALEZ PRIMERA SECCION |X|9932336461|ROBERTO CARLOS LOPEZ |MANUEL LOPEZ VAZQUEZ |0|CARRETERA PRINCIPAL SIN NUMERO |X|3|0|0|X|X|X|0|6700|6200|0|0|X|2021-12-16|2021-12-30|X|X|X|0|0|S35D6D3Y9KVTQ1|X|MUJER|0|12900|0|0|0|X|X|X|X|X|VILLAHERMOSA |X|0|0|0|0</v>
      </c>
    </row>
    <row r="256" spans="1:82" x14ac:dyDescent="0.25">
      <c r="A256" t="s">
        <v>1894</v>
      </c>
      <c r="B256" t="s">
        <v>1895</v>
      </c>
      <c r="C256">
        <v>3</v>
      </c>
      <c r="D256" t="s">
        <v>433</v>
      </c>
      <c r="E256" t="s">
        <v>359</v>
      </c>
      <c r="F256" t="s">
        <v>360</v>
      </c>
      <c r="G256" t="s">
        <v>360</v>
      </c>
      <c r="H256" t="s">
        <v>1896</v>
      </c>
      <c r="I256">
        <v>19800</v>
      </c>
      <c r="J256" t="s">
        <v>1</v>
      </c>
      <c r="K256" t="s">
        <v>1</v>
      </c>
      <c r="L256">
        <v>200</v>
      </c>
      <c r="M256">
        <v>1</v>
      </c>
      <c r="N256">
        <v>0</v>
      </c>
      <c r="O256" t="s">
        <v>1</v>
      </c>
      <c r="P256" t="s">
        <v>1</v>
      </c>
      <c r="Q256" t="s">
        <v>1</v>
      </c>
      <c r="R256" t="s">
        <v>1</v>
      </c>
      <c r="S256" t="s">
        <v>1</v>
      </c>
      <c r="T256" t="s">
        <v>1</v>
      </c>
      <c r="U256" t="s">
        <v>1</v>
      </c>
      <c r="V256" t="s">
        <v>1</v>
      </c>
      <c r="W256" t="s">
        <v>1</v>
      </c>
      <c r="X256" t="s">
        <v>1</v>
      </c>
      <c r="Y256" t="s">
        <v>1</v>
      </c>
      <c r="Z256" t="s">
        <v>1</v>
      </c>
      <c r="AA256">
        <v>0</v>
      </c>
      <c r="AB256" t="s">
        <v>227</v>
      </c>
      <c r="AC256" t="s">
        <v>217</v>
      </c>
      <c r="AD256" t="s">
        <v>1897</v>
      </c>
      <c r="AE256">
        <v>0</v>
      </c>
      <c r="AF256" t="s">
        <v>1</v>
      </c>
      <c r="AG256" t="s">
        <v>1</v>
      </c>
      <c r="AH256" t="s">
        <v>1898</v>
      </c>
      <c r="AI256" t="s">
        <v>1711</v>
      </c>
      <c r="AJ256" t="s">
        <v>1</v>
      </c>
      <c r="AK256">
        <v>9931031454</v>
      </c>
      <c r="AL256" t="s">
        <v>1899</v>
      </c>
      <c r="AM256" t="s">
        <v>1103</v>
      </c>
      <c r="AN256">
        <v>0</v>
      </c>
      <c r="AO256" t="s">
        <v>1898</v>
      </c>
      <c r="AP256" t="s">
        <v>1</v>
      </c>
      <c r="AQ256">
        <v>3</v>
      </c>
      <c r="AR256">
        <v>0</v>
      </c>
      <c r="AS256">
        <v>0</v>
      </c>
      <c r="AT256" t="s">
        <v>1</v>
      </c>
      <c r="AU256" t="s">
        <v>1</v>
      </c>
      <c r="AV256" t="s">
        <v>1</v>
      </c>
      <c r="AW256">
        <v>0</v>
      </c>
      <c r="AX256">
        <v>5800</v>
      </c>
      <c r="AY256">
        <v>14000</v>
      </c>
      <c r="AZ256">
        <v>0</v>
      </c>
      <c r="BA256">
        <v>0</v>
      </c>
      <c r="BB256" t="s">
        <v>1</v>
      </c>
      <c r="BC256" t="s">
        <v>730</v>
      </c>
      <c r="BD256" t="s">
        <v>198</v>
      </c>
      <c r="BE256" t="s">
        <v>1</v>
      </c>
      <c r="BF256" t="s">
        <v>1</v>
      </c>
      <c r="BG256" t="s">
        <v>1</v>
      </c>
      <c r="BH256">
        <v>0</v>
      </c>
      <c r="BI256">
        <v>0</v>
      </c>
      <c r="BJ256" t="s">
        <v>722</v>
      </c>
      <c r="BK256" t="s">
        <v>1</v>
      </c>
      <c r="BL256" t="s">
        <v>1138</v>
      </c>
      <c r="BM256">
        <v>0</v>
      </c>
      <c r="BN256">
        <v>19800</v>
      </c>
      <c r="BO256">
        <v>0</v>
      </c>
      <c r="BP256">
        <v>0</v>
      </c>
      <c r="BQ256">
        <v>0</v>
      </c>
      <c r="BR256" t="s">
        <v>1</v>
      </c>
      <c r="BS256" t="s">
        <v>1</v>
      </c>
      <c r="BT256" t="s">
        <v>1</v>
      </c>
      <c r="BU256" t="s">
        <v>1</v>
      </c>
      <c r="BV256" t="s">
        <v>1</v>
      </c>
      <c r="BW256" t="s">
        <v>360</v>
      </c>
      <c r="BX256" t="s">
        <v>1</v>
      </c>
      <c r="BY256">
        <v>0</v>
      </c>
      <c r="BZ256">
        <v>0</v>
      </c>
      <c r="CA256">
        <v>0</v>
      </c>
      <c r="CB256">
        <v>0</v>
      </c>
      <c r="CD256" t="str" cm="1">
        <f t="array" aca="1" ref="CD256" ca="1">eConcatenar(A256:CB256,"|")</f>
        <v>0RIqUnmjeFK251lW|VSA2020-0876|3|ZAFIRO |TABASCO|VILLAHERMOSA |VILLAHERMOSA |2020-10-29|19800|X|X|200|1|0|X|X|X|X|X|X|X|X|X|X|X|X|0|CORDOVA|HERNANDEZ|YUDITH|0|X|X|CARRETERA CARDENAS A VILLAHERMOSA SIN NUMERO |RANCHERIA PLATANO Y CACAO SEGUNDA SECCION |X|9931031454|MIGUEL PEREZ ALMEIDA |GUADALUPE HERNANDEZ ZAPATA |0|CARRETERA CARDENAS A VILLAHERMOSA SIN NUMERO |X|3|0|0|X|X|X|0|5800|14000|0|0|X|2021-12-16|2021-12-30|X|X|X|0|0|S35D6D3Y9KVTQ1|X|MUJER|0|19800|0|0|0|X|X|X|X|X|VILLAHERMOSA |X|0|0|0|0</v>
      </c>
    </row>
    <row r="257" spans="1:82" x14ac:dyDescent="0.25">
      <c r="A257" t="s">
        <v>1900</v>
      </c>
      <c r="B257" t="s">
        <v>1901</v>
      </c>
      <c r="C257">
        <v>3</v>
      </c>
      <c r="D257" t="s">
        <v>715</v>
      </c>
      <c r="E257" t="s">
        <v>359</v>
      </c>
      <c r="F257" t="s">
        <v>360</v>
      </c>
      <c r="G257" t="s">
        <v>360</v>
      </c>
      <c r="H257" t="s">
        <v>1902</v>
      </c>
      <c r="I257">
        <v>12900</v>
      </c>
      <c r="J257" t="s">
        <v>1</v>
      </c>
      <c r="K257" t="s">
        <v>1</v>
      </c>
      <c r="L257">
        <v>200</v>
      </c>
      <c r="M257">
        <v>1</v>
      </c>
      <c r="N257">
        <v>0</v>
      </c>
      <c r="O257" t="s">
        <v>1</v>
      </c>
      <c r="P257" t="s">
        <v>1</v>
      </c>
      <c r="Q257" t="s">
        <v>1</v>
      </c>
      <c r="R257" t="s">
        <v>1</v>
      </c>
      <c r="S257" t="s">
        <v>1</v>
      </c>
      <c r="T257" t="s">
        <v>1</v>
      </c>
      <c r="U257" t="s">
        <v>1</v>
      </c>
      <c r="V257" t="s">
        <v>1</v>
      </c>
      <c r="W257" t="s">
        <v>1</v>
      </c>
      <c r="X257" t="s">
        <v>1</v>
      </c>
      <c r="Y257" t="s">
        <v>1</v>
      </c>
      <c r="Z257" t="s">
        <v>1</v>
      </c>
      <c r="AA257">
        <v>0</v>
      </c>
      <c r="AB257" t="s">
        <v>1903</v>
      </c>
      <c r="AC257" t="s">
        <v>1571</v>
      </c>
      <c r="AD257" t="s">
        <v>1904</v>
      </c>
      <c r="AE257">
        <v>0</v>
      </c>
      <c r="AF257" t="s">
        <v>1</v>
      </c>
      <c r="AG257" t="s">
        <v>1</v>
      </c>
      <c r="AH257" t="s">
        <v>1905</v>
      </c>
      <c r="AI257" t="s">
        <v>1506</v>
      </c>
      <c r="AJ257" t="s">
        <v>1</v>
      </c>
      <c r="AK257">
        <v>9933379478</v>
      </c>
      <c r="AL257" t="s">
        <v>1906</v>
      </c>
      <c r="AM257" t="s">
        <v>1907</v>
      </c>
      <c r="AN257">
        <v>0</v>
      </c>
      <c r="AO257" t="s">
        <v>1905</v>
      </c>
      <c r="AP257" t="s">
        <v>1</v>
      </c>
      <c r="AQ257">
        <v>3</v>
      </c>
      <c r="AR257">
        <v>0</v>
      </c>
      <c r="AS257">
        <v>0</v>
      </c>
      <c r="AT257" t="s">
        <v>1</v>
      </c>
      <c r="AU257" t="s">
        <v>1</v>
      </c>
      <c r="AV257" t="s">
        <v>1</v>
      </c>
      <c r="AW257">
        <v>0</v>
      </c>
      <c r="AX257">
        <v>6690</v>
      </c>
      <c r="AY257">
        <v>6210</v>
      </c>
      <c r="AZ257">
        <v>0</v>
      </c>
      <c r="BA257">
        <v>0</v>
      </c>
      <c r="BB257" t="s">
        <v>1</v>
      </c>
      <c r="BC257" t="s">
        <v>730</v>
      </c>
      <c r="BD257" t="s">
        <v>198</v>
      </c>
      <c r="BE257" t="s">
        <v>1</v>
      </c>
      <c r="BF257" t="s">
        <v>1</v>
      </c>
      <c r="BG257" t="s">
        <v>1</v>
      </c>
      <c r="BH257">
        <v>0</v>
      </c>
      <c r="BI257">
        <v>0</v>
      </c>
      <c r="BJ257" t="s">
        <v>722</v>
      </c>
      <c r="BK257" t="s">
        <v>1</v>
      </c>
      <c r="BL257" t="s">
        <v>1138</v>
      </c>
      <c r="BM257">
        <v>0</v>
      </c>
      <c r="BN257">
        <v>12900</v>
      </c>
      <c r="BO257">
        <v>0</v>
      </c>
      <c r="BP257">
        <v>0</v>
      </c>
      <c r="BQ257">
        <v>0</v>
      </c>
      <c r="BR257" t="s">
        <v>1</v>
      </c>
      <c r="BS257" t="s">
        <v>1</v>
      </c>
      <c r="BT257" t="s">
        <v>1</v>
      </c>
      <c r="BU257" t="s">
        <v>1</v>
      </c>
      <c r="BV257" t="s">
        <v>1</v>
      </c>
      <c r="BW257" t="s">
        <v>360</v>
      </c>
      <c r="BX257" t="s">
        <v>1</v>
      </c>
      <c r="BY257">
        <v>0</v>
      </c>
      <c r="BZ257">
        <v>0</v>
      </c>
      <c r="CA257">
        <v>0</v>
      </c>
      <c r="CB257">
        <v>0</v>
      </c>
      <c r="CD257" t="str" cm="1">
        <f t="array" aca="1" ref="CD257" ca="1">eConcatenar(A257:CB257,"|")</f>
        <v>IfDCa4zhrHb0flaQ|VSA2020-0940|3|IMPERIAL DE LUJO|TABASCO|VILLAHERMOSA |VILLAHERMOSA |2020-04-11|12900|X|X|200|1|0|X|X|X|X|X|X|X|X|X|X|X|X|0|GALMICHE |CASTILLO|LLURIS|0|X|X|CALLEJON EMIR GUZMAN SIN NUMERO |RANCHERIA ANACLETO CANABAL PRIMERA SECCION |X|9933379478|HOMERO HERNANDEZ DE DIOS |DAVID HERNANDEZ GALMICHE |0|CALLEJON EMIR GUZMAN SIN NUMERO |X|3|0|0|X|X|X|0|6690|6210|0|0|X|2021-12-16|2021-12-30|X|X|X|0|0|S35D6D3Y9KVTQ1|X|MUJER|0|12900|0|0|0|X|X|X|X|X|VILLAHERMOSA |X|0|0|0|0</v>
      </c>
    </row>
    <row r="258" spans="1:82" x14ac:dyDescent="0.25">
      <c r="A258" t="s">
        <v>1908</v>
      </c>
      <c r="B258" t="s">
        <v>1909</v>
      </c>
      <c r="C258">
        <v>3</v>
      </c>
      <c r="D258" t="s">
        <v>741</v>
      </c>
      <c r="E258" t="s">
        <v>359</v>
      </c>
      <c r="F258" t="s">
        <v>360</v>
      </c>
      <c r="G258" t="s">
        <v>360</v>
      </c>
      <c r="H258" t="s">
        <v>1910</v>
      </c>
      <c r="I258">
        <v>14800</v>
      </c>
      <c r="J258" t="s">
        <v>1</v>
      </c>
      <c r="K258" t="s">
        <v>1</v>
      </c>
      <c r="L258">
        <v>100</v>
      </c>
      <c r="M258">
        <v>0</v>
      </c>
      <c r="N258">
        <v>0</v>
      </c>
      <c r="O258" t="s">
        <v>1</v>
      </c>
      <c r="P258" t="s">
        <v>1</v>
      </c>
      <c r="Q258" t="s">
        <v>1</v>
      </c>
      <c r="R258" t="s">
        <v>1</v>
      </c>
      <c r="S258" t="s">
        <v>1</v>
      </c>
      <c r="T258" t="s">
        <v>1</v>
      </c>
      <c r="U258" t="s">
        <v>1</v>
      </c>
      <c r="V258" t="s">
        <v>1</v>
      </c>
      <c r="W258" t="s">
        <v>1</v>
      </c>
      <c r="X258" t="s">
        <v>1</v>
      </c>
      <c r="Y258" t="s">
        <v>1</v>
      </c>
      <c r="Z258" t="s">
        <v>1</v>
      </c>
      <c r="AA258">
        <v>0</v>
      </c>
      <c r="AB258" t="s">
        <v>394</v>
      </c>
      <c r="AC258" t="s">
        <v>1911</v>
      </c>
      <c r="AD258" t="s">
        <v>1401</v>
      </c>
      <c r="AE258">
        <v>0</v>
      </c>
      <c r="AF258" t="s">
        <v>1</v>
      </c>
      <c r="AG258" t="s">
        <v>1</v>
      </c>
      <c r="AH258" t="s">
        <v>545</v>
      </c>
      <c r="AI258" t="s">
        <v>1112</v>
      </c>
      <c r="AJ258" t="s">
        <v>1</v>
      </c>
      <c r="AK258">
        <v>9934426250</v>
      </c>
      <c r="AL258" t="s">
        <v>1912</v>
      </c>
      <c r="AM258" t="s">
        <v>1913</v>
      </c>
      <c r="AN258">
        <v>0</v>
      </c>
      <c r="AO258" t="s">
        <v>545</v>
      </c>
      <c r="AP258" t="s">
        <v>1</v>
      </c>
      <c r="AQ258">
        <v>3</v>
      </c>
      <c r="AR258">
        <v>0</v>
      </c>
      <c r="AS258">
        <v>0</v>
      </c>
      <c r="AT258" t="s">
        <v>1</v>
      </c>
      <c r="AU258" t="s">
        <v>1</v>
      </c>
      <c r="AV258" t="s">
        <v>1</v>
      </c>
      <c r="AW258">
        <v>0</v>
      </c>
      <c r="AX258">
        <v>1650</v>
      </c>
      <c r="AY258">
        <v>13150</v>
      </c>
      <c r="AZ258">
        <v>0</v>
      </c>
      <c r="BA258">
        <v>0</v>
      </c>
      <c r="BB258" t="s">
        <v>1</v>
      </c>
      <c r="BC258" t="s">
        <v>1159</v>
      </c>
      <c r="BD258" t="s">
        <v>198</v>
      </c>
      <c r="BE258" t="s">
        <v>1</v>
      </c>
      <c r="BF258" t="s">
        <v>1</v>
      </c>
      <c r="BG258" t="s">
        <v>1</v>
      </c>
      <c r="BH258">
        <v>0</v>
      </c>
      <c r="BI258">
        <v>0</v>
      </c>
      <c r="BJ258" t="s">
        <v>722</v>
      </c>
      <c r="BK258" t="s">
        <v>1</v>
      </c>
      <c r="BL258" t="s">
        <v>1138</v>
      </c>
      <c r="BM258">
        <v>0</v>
      </c>
      <c r="BN258">
        <v>14800</v>
      </c>
      <c r="BO258">
        <v>0</v>
      </c>
      <c r="BP258">
        <v>0</v>
      </c>
      <c r="BQ258">
        <v>0</v>
      </c>
      <c r="BR258" t="s">
        <v>1</v>
      </c>
      <c r="BS258" t="s">
        <v>1</v>
      </c>
      <c r="BT258" t="s">
        <v>1</v>
      </c>
      <c r="BU258" t="s">
        <v>1</v>
      </c>
      <c r="BV258" t="s">
        <v>1</v>
      </c>
      <c r="BW258" t="s">
        <v>360</v>
      </c>
      <c r="BX258" t="s">
        <v>1</v>
      </c>
      <c r="BY258">
        <v>0</v>
      </c>
      <c r="BZ258">
        <v>0</v>
      </c>
      <c r="CA258">
        <v>0</v>
      </c>
      <c r="CB258">
        <v>0</v>
      </c>
      <c r="CD258" t="str" cm="1">
        <f t="array" aca="1" ref="CD258" ca="1">eConcatenar(A258:CB258,"|")</f>
        <v>SElsRlvbyYQOKxLf|VSA2021-1067|3|MEMORIAL|TABASCO|VILLAHERMOSA |VILLAHERMOSA |2021-12-07|14800|X|X|100|0|0|X|X|X|X|X|X|X|X|X|X|X|X|0|VAZQUEZ |CARRETA |PATRICIA |0|X|X|CARRETERA PRINCIPAL SIN NUMERO |RANCHERIA GONZALEZ SEGUNDA SECCION|X|9934426250|OCEAN GONZALEZ GARCIA |MIGUEL RIVERA GONZALEZ |0|CARRETERA PRINCIPAL SIN NUMERO |X|3|0|0|X|X|X|0|1650|13150|0|0|X|2021-12-23|2021-12-30|X|X|X|0|0|S35D6D3Y9KVTQ1|X|MUJER|0|14800|0|0|0|X|X|X|X|X|VILLAHERMOSA |X|0|0|0|0</v>
      </c>
    </row>
    <row r="259" spans="1:82" x14ac:dyDescent="0.25">
      <c r="A259" s="5" t="s">
        <v>1914</v>
      </c>
      <c r="B259" s="5" t="s">
        <v>1915</v>
      </c>
      <c r="C259" s="5">
        <v>3</v>
      </c>
      <c r="D259" s="5" t="s">
        <v>14</v>
      </c>
      <c r="E259" s="5" t="s">
        <v>359</v>
      </c>
      <c r="F259" s="5" t="s">
        <v>360</v>
      </c>
      <c r="G259" s="5" t="s">
        <v>360</v>
      </c>
      <c r="H259" s="5" t="s">
        <v>1916</v>
      </c>
      <c r="I259" s="5">
        <v>12900</v>
      </c>
      <c r="J259" s="5" t="s">
        <v>1</v>
      </c>
      <c r="K259" s="5" t="s">
        <v>1</v>
      </c>
      <c r="L259" s="5">
        <v>200</v>
      </c>
      <c r="M259" s="5">
        <v>1</v>
      </c>
      <c r="N259" s="5">
        <v>0</v>
      </c>
      <c r="O259" s="5" t="s">
        <v>1</v>
      </c>
      <c r="P259" s="5" t="s">
        <v>1</v>
      </c>
      <c r="Q259" s="5" t="s">
        <v>1</v>
      </c>
      <c r="R259" s="5" t="s">
        <v>1</v>
      </c>
      <c r="S259" s="5" t="s">
        <v>1</v>
      </c>
      <c r="T259" s="5" t="s">
        <v>1</v>
      </c>
      <c r="U259" s="5" t="s">
        <v>1</v>
      </c>
      <c r="V259" s="5" t="s">
        <v>1</v>
      </c>
      <c r="W259" s="5" t="s">
        <v>1</v>
      </c>
      <c r="X259" s="5" t="s">
        <v>1</v>
      </c>
      <c r="Y259" s="5" t="s">
        <v>1</v>
      </c>
      <c r="Z259" s="5" t="s">
        <v>1</v>
      </c>
      <c r="AA259" s="5">
        <v>0</v>
      </c>
      <c r="AB259" s="5" t="s">
        <v>921</v>
      </c>
      <c r="AC259" s="5" t="s">
        <v>1917</v>
      </c>
      <c r="AD259" s="5" t="s">
        <v>1918</v>
      </c>
      <c r="AE259" s="5">
        <v>0</v>
      </c>
      <c r="AF259" s="5" t="s">
        <v>1</v>
      </c>
      <c r="AG259" s="5" t="s">
        <v>1</v>
      </c>
      <c r="AH259" s="5" t="s">
        <v>1919</v>
      </c>
      <c r="AI259" s="5" t="s">
        <v>1920</v>
      </c>
      <c r="AJ259" s="5" t="s">
        <v>1</v>
      </c>
      <c r="AK259" s="5">
        <v>9932056213</v>
      </c>
      <c r="AL259" s="5" t="s">
        <v>1</v>
      </c>
      <c r="AM259" s="5" t="s">
        <v>1</v>
      </c>
      <c r="AN259" s="5">
        <v>0</v>
      </c>
      <c r="AO259" s="5" t="s">
        <v>1919</v>
      </c>
      <c r="AP259" s="5" t="s">
        <v>1</v>
      </c>
      <c r="AQ259">
        <v>3</v>
      </c>
      <c r="AR259" s="5">
        <v>0</v>
      </c>
      <c r="AS259" s="5">
        <v>0</v>
      </c>
      <c r="AT259" s="5" t="s">
        <v>1</v>
      </c>
      <c r="AU259" s="5" t="s">
        <v>1</v>
      </c>
      <c r="AV259" s="5" t="s">
        <v>1</v>
      </c>
      <c r="AW259" s="5">
        <v>0</v>
      </c>
      <c r="AX259" s="5">
        <v>8150</v>
      </c>
      <c r="AY259" s="5">
        <v>4750</v>
      </c>
      <c r="AZ259" s="5">
        <v>0</v>
      </c>
      <c r="BA259" s="5">
        <v>0</v>
      </c>
      <c r="BB259" s="5" t="s">
        <v>1</v>
      </c>
      <c r="BC259" t="s">
        <v>730</v>
      </c>
      <c r="BD259" t="s">
        <v>198</v>
      </c>
      <c r="BE259" s="5" t="s">
        <v>1</v>
      </c>
      <c r="BF259" s="5" t="s">
        <v>1</v>
      </c>
      <c r="BG259" s="5" t="s">
        <v>1</v>
      </c>
      <c r="BH259" s="5">
        <v>0</v>
      </c>
      <c r="BI259" s="5">
        <v>0</v>
      </c>
      <c r="BJ259" t="s">
        <v>722</v>
      </c>
      <c r="BK259" s="5" t="s">
        <v>1</v>
      </c>
      <c r="BL259" s="5" t="s">
        <v>1138</v>
      </c>
      <c r="BM259" s="5">
        <v>0</v>
      </c>
      <c r="BN259" s="5">
        <v>12900</v>
      </c>
      <c r="BO259" s="5">
        <v>0</v>
      </c>
      <c r="BP259" s="5">
        <v>0</v>
      </c>
      <c r="BQ259" s="5">
        <v>0</v>
      </c>
      <c r="BR259" s="5" t="s">
        <v>1</v>
      </c>
      <c r="BS259" s="5" t="s">
        <v>1</v>
      </c>
      <c r="BT259" s="5" t="s">
        <v>1</v>
      </c>
      <c r="BU259" s="5" t="s">
        <v>1</v>
      </c>
      <c r="BV259" s="5" t="s">
        <v>1</v>
      </c>
      <c r="BW259" s="5" t="s">
        <v>360</v>
      </c>
      <c r="BX259" s="5" t="s">
        <v>1</v>
      </c>
      <c r="BY259" s="5">
        <v>0</v>
      </c>
      <c r="BZ259" s="5">
        <v>0</v>
      </c>
      <c r="CA259" s="5">
        <v>0</v>
      </c>
      <c r="CB259" s="5">
        <v>0</v>
      </c>
      <c r="CD259" t="str" cm="1">
        <f t="array" aca="1" ref="CD259" ca="1">eConcatenar(A259:CB259,"|")</f>
        <v>gmqDTPbOM8WW0cPJ|VSA2019-0291|3|ECONOLINE |TABASCO|VILLAHERMOSA |VILLAHERMOSA |2019-06-20|12900|X|X|200|1|0|X|X|X|X|X|X|X|X|X|X|X|X|0|RODRIGUEZ |VAZQUEZ|CECILIA DEL CARMEN |0|X|X|FRACCIONAMIENTO BICENTENARIO |CARRETERA HUACTA MAANZANA 9 C.54|X|9932056213|X|X|0|FRACCIONAMIENTO BICENTENARIO |X|3|0|0|X|X|X|0|8150|4750|0|0|X|2021-12-16|2021-12-30|X|X|X|0|0|S35D6D3Y9KVTQ1|X|MUJER|0|12900|0|0|0|X|X|X|X|X|VILLAHERMOSA |X|0|0|0|0</v>
      </c>
    </row>
    <row r="260" spans="1:82" x14ac:dyDescent="0.25">
      <c r="A260" t="s">
        <v>1921</v>
      </c>
      <c r="B260" t="s">
        <v>1922</v>
      </c>
      <c r="C260">
        <v>3</v>
      </c>
      <c r="D260" t="s">
        <v>146</v>
      </c>
      <c r="E260" t="s">
        <v>359</v>
      </c>
      <c r="F260" t="s">
        <v>360</v>
      </c>
      <c r="G260" t="s">
        <v>360</v>
      </c>
      <c r="H260" t="s">
        <v>1923</v>
      </c>
      <c r="I260">
        <v>14800</v>
      </c>
      <c r="J260" t="s">
        <v>1</v>
      </c>
      <c r="K260" t="s">
        <v>1</v>
      </c>
      <c r="L260">
        <v>100</v>
      </c>
      <c r="M260">
        <v>0</v>
      </c>
      <c r="N260">
        <v>0</v>
      </c>
      <c r="O260" t="s">
        <v>1</v>
      </c>
      <c r="P260" t="s">
        <v>1</v>
      </c>
      <c r="Q260" t="s">
        <v>1</v>
      </c>
      <c r="R260" t="s">
        <v>1</v>
      </c>
      <c r="S260" t="s">
        <v>1</v>
      </c>
      <c r="T260" t="s">
        <v>1</v>
      </c>
      <c r="U260" t="s">
        <v>1</v>
      </c>
      <c r="V260" t="s">
        <v>1</v>
      </c>
      <c r="W260" t="s">
        <v>1</v>
      </c>
      <c r="X260" t="s">
        <v>1</v>
      </c>
      <c r="Y260" t="s">
        <v>1</v>
      </c>
      <c r="Z260" t="s">
        <v>1</v>
      </c>
      <c r="AA260">
        <v>0</v>
      </c>
      <c r="AB260" t="s">
        <v>761</v>
      </c>
      <c r="AC260" t="s">
        <v>584</v>
      </c>
      <c r="AD260" t="s">
        <v>1924</v>
      </c>
      <c r="AE260">
        <v>0</v>
      </c>
      <c r="AF260" t="s">
        <v>1</v>
      </c>
      <c r="AG260" t="s">
        <v>1</v>
      </c>
      <c r="AH260" t="s">
        <v>1925</v>
      </c>
      <c r="AI260" t="s">
        <v>1926</v>
      </c>
      <c r="AJ260" t="s">
        <v>1927</v>
      </c>
      <c r="AK260">
        <v>9934354155</v>
      </c>
      <c r="AL260" t="s">
        <v>1928</v>
      </c>
      <c r="AM260" t="s">
        <v>1929</v>
      </c>
      <c r="AN260">
        <v>0</v>
      </c>
      <c r="AO260" t="s">
        <v>1925</v>
      </c>
      <c r="AP260" t="s">
        <v>1</v>
      </c>
      <c r="AQ260">
        <v>4</v>
      </c>
      <c r="AR260">
        <v>0</v>
      </c>
      <c r="AS260">
        <v>0</v>
      </c>
      <c r="AT260" t="s">
        <v>1</v>
      </c>
      <c r="AU260" t="s">
        <v>1</v>
      </c>
      <c r="AV260" t="s">
        <v>1</v>
      </c>
      <c r="AW260">
        <v>0</v>
      </c>
      <c r="AX260">
        <v>2500</v>
      </c>
      <c r="AY260">
        <v>12300</v>
      </c>
      <c r="AZ260">
        <v>0</v>
      </c>
      <c r="BA260">
        <v>0</v>
      </c>
      <c r="BB260" t="s">
        <v>1</v>
      </c>
      <c r="BC260" t="s">
        <v>312</v>
      </c>
      <c r="BD260" t="s">
        <v>147</v>
      </c>
      <c r="BE260" t="s">
        <v>1</v>
      </c>
      <c r="BF260" t="s">
        <v>1</v>
      </c>
      <c r="BG260" t="s">
        <v>1</v>
      </c>
      <c r="BH260">
        <v>0</v>
      </c>
      <c r="BI260">
        <v>0</v>
      </c>
      <c r="BJ260" t="s">
        <v>1930</v>
      </c>
      <c r="BK260" t="s">
        <v>1</v>
      </c>
      <c r="BL260" t="s">
        <v>1931</v>
      </c>
      <c r="BM260">
        <v>0</v>
      </c>
      <c r="BN260">
        <v>14800</v>
      </c>
      <c r="BO260">
        <v>0</v>
      </c>
      <c r="BP260">
        <v>0</v>
      </c>
      <c r="BQ260">
        <v>0</v>
      </c>
      <c r="BR260" t="s">
        <v>1</v>
      </c>
      <c r="BS260" t="s">
        <v>1</v>
      </c>
      <c r="BT260" t="s">
        <v>1</v>
      </c>
      <c r="BU260" t="s">
        <v>1</v>
      </c>
      <c r="BV260" t="s">
        <v>1</v>
      </c>
      <c r="BW260" t="s">
        <v>360</v>
      </c>
      <c r="BX260" t="s">
        <v>1</v>
      </c>
      <c r="BY260">
        <v>0</v>
      </c>
      <c r="BZ260">
        <v>0</v>
      </c>
      <c r="CA260">
        <v>0</v>
      </c>
      <c r="CB260">
        <v>0</v>
      </c>
      <c r="CD260" t="str" cm="1">
        <f t="array" aca="1" ref="CD260" ca="1">eConcatenar(A260:CB260,"|")</f>
        <v>xgjmCk8GT1zRUMY0|VSA2021-1042|3|MEMORIAL |TABASCO|VILLAHERMOSA |VILLAHERMOSA |2021-05-06|14800|X|X|100|0|0|X|X|X|X|X|X|X|X|X|X|X|X|0|TORRES |HERNANDEZ |ANATOLIA|0|X|X|CERRADA LA CUARTA |RANCHERIA BOQUERON CUARTA SECCION |ENTRADA GALEANA |9934354155|JOSEFINA DE LA CRUZ TORRES |BENEFICIARIO 2 AMADO DE LA CRUZ TORRES |0|CERRADA LA CUARTA |X|4|0|0|X|X|X|0|2500|12300|0|0|X|2021-12-24|2021-12-31|X|X|X|0|0|S35D6D3Y9KVTQ2|X|MUJER |0|14800|0|0|0|X|X|X|X|X|VILLAHERMOSA |X|0|0|0|0</v>
      </c>
    </row>
    <row r="261" spans="1:82" x14ac:dyDescent="0.25">
      <c r="A261" t="s">
        <v>1932</v>
      </c>
      <c r="B261" t="s">
        <v>1933</v>
      </c>
      <c r="C261">
        <v>3</v>
      </c>
      <c r="D261" t="s">
        <v>146</v>
      </c>
      <c r="E261" t="s">
        <v>359</v>
      </c>
      <c r="F261" t="s">
        <v>360</v>
      </c>
      <c r="G261" t="s">
        <v>360</v>
      </c>
      <c r="H261" t="s">
        <v>1934</v>
      </c>
      <c r="I261">
        <v>14800</v>
      </c>
      <c r="J261" t="s">
        <v>1</v>
      </c>
      <c r="K261" t="s">
        <v>1</v>
      </c>
      <c r="L261">
        <v>100</v>
      </c>
      <c r="M261">
        <v>0</v>
      </c>
      <c r="N261">
        <v>0</v>
      </c>
      <c r="O261" t="s">
        <v>1</v>
      </c>
      <c r="P261" t="s">
        <v>1</v>
      </c>
      <c r="Q261" t="s">
        <v>1</v>
      </c>
      <c r="R261" t="s">
        <v>1</v>
      </c>
      <c r="S261" t="s">
        <v>1</v>
      </c>
      <c r="T261" t="s">
        <v>1</v>
      </c>
      <c r="U261" t="s">
        <v>1</v>
      </c>
      <c r="V261" t="s">
        <v>1</v>
      </c>
      <c r="W261" t="s">
        <v>1</v>
      </c>
      <c r="X261" t="s">
        <v>1</v>
      </c>
      <c r="Y261" t="s">
        <v>1</v>
      </c>
      <c r="Z261" t="s">
        <v>1</v>
      </c>
      <c r="AA261">
        <v>0</v>
      </c>
      <c r="AB261" t="s">
        <v>1935</v>
      </c>
      <c r="AC261" t="s">
        <v>1936</v>
      </c>
      <c r="AD261" t="s">
        <v>1937</v>
      </c>
      <c r="AE261">
        <v>0</v>
      </c>
      <c r="AF261" t="s">
        <v>1</v>
      </c>
      <c r="AG261" t="s">
        <v>1</v>
      </c>
      <c r="AH261" t="s">
        <v>1938</v>
      </c>
      <c r="AI261" t="s">
        <v>1939</v>
      </c>
      <c r="AJ261" t="s">
        <v>1940</v>
      </c>
      <c r="AK261">
        <v>9932184821</v>
      </c>
      <c r="AL261" t="s">
        <v>1941</v>
      </c>
      <c r="AM261" t="s">
        <v>1942</v>
      </c>
      <c r="AN261">
        <v>0</v>
      </c>
      <c r="AO261" t="s">
        <v>1938</v>
      </c>
      <c r="AP261" t="s">
        <v>1</v>
      </c>
      <c r="AQ261">
        <v>4</v>
      </c>
      <c r="AR261">
        <v>0</v>
      </c>
      <c r="AS261">
        <v>0</v>
      </c>
      <c r="AT261" t="s">
        <v>1</v>
      </c>
      <c r="AU261" t="s">
        <v>1</v>
      </c>
      <c r="AV261" t="s">
        <v>1</v>
      </c>
      <c r="AW261">
        <v>0</v>
      </c>
      <c r="AX261">
        <v>2600</v>
      </c>
      <c r="AY261">
        <v>12200</v>
      </c>
      <c r="AZ261">
        <v>0</v>
      </c>
      <c r="BA261">
        <v>0</v>
      </c>
      <c r="BB261" t="s">
        <v>1</v>
      </c>
      <c r="BC261" t="s">
        <v>312</v>
      </c>
      <c r="BD261" t="s">
        <v>147</v>
      </c>
      <c r="BE261" t="s">
        <v>1</v>
      </c>
      <c r="BF261" t="s">
        <v>1</v>
      </c>
      <c r="BG261" t="s">
        <v>1</v>
      </c>
      <c r="BH261">
        <v>0</v>
      </c>
      <c r="BI261">
        <v>0</v>
      </c>
      <c r="BJ261" t="s">
        <v>1930</v>
      </c>
      <c r="BK261" t="s">
        <v>1</v>
      </c>
      <c r="BL261" t="s">
        <v>1931</v>
      </c>
      <c r="BM261">
        <v>0</v>
      </c>
      <c r="BN261">
        <v>14800</v>
      </c>
      <c r="BO261">
        <v>0</v>
      </c>
      <c r="BP261">
        <v>0</v>
      </c>
      <c r="BQ261">
        <v>0</v>
      </c>
      <c r="BR261" t="s">
        <v>1</v>
      </c>
      <c r="BS261" t="s">
        <v>1</v>
      </c>
      <c r="BT261" t="s">
        <v>1</v>
      </c>
      <c r="BU261" t="s">
        <v>1</v>
      </c>
      <c r="BV261" t="s">
        <v>1</v>
      </c>
      <c r="BW261" t="s">
        <v>360</v>
      </c>
      <c r="BX261" t="s">
        <v>1</v>
      </c>
      <c r="BY261">
        <v>0</v>
      </c>
      <c r="BZ261">
        <v>0</v>
      </c>
      <c r="CA261">
        <v>0</v>
      </c>
      <c r="CB261">
        <v>0</v>
      </c>
      <c r="CD261" t="str" cm="1">
        <f t="array" aca="1" ref="CD261" ca="1">eConcatenar(A261:CB261,"|")</f>
        <v>MjkgUDxLriPHIke1|VSA2021-1010|3|MEMORIAL |TABASCO|VILLAHERMOSA |VILLAHERMOSA |2021-06-28|14800|X|X|100|0|0|X|X|X|X|X|X|X|X|X|X|X|X|0|AGUILAR |MONTEJO |ANDREA |0|X|X|CALLE MACUILIS |FRACCIONAMIENTO LOMAS DEL DORADO |PROLONGACION IGNACIO ALLENDE |9932184821|MARIO ORTIZ SANTIAGO |BENEFICIARIO 2 PAULA AGUILAR MONTEJO |0|CALLE MACUILIS |X|4|0|0|X|X|X|0|2600|12200|0|0|X|2021-12-24|2021-12-31|X|X|X|0|0|S35D6D3Y9KVTQ2|X|MUJER |0|14800|0|0|0|X|X|X|X|X|VILLAHERMOSA |X|0|0|0|0</v>
      </c>
    </row>
    <row r="262" spans="1:82" x14ac:dyDescent="0.25">
      <c r="A262" t="s">
        <v>1943</v>
      </c>
      <c r="B262" t="s">
        <v>1944</v>
      </c>
      <c r="C262">
        <v>3</v>
      </c>
      <c r="D262" t="s">
        <v>1945</v>
      </c>
      <c r="E262" t="s">
        <v>359</v>
      </c>
      <c r="F262" t="s">
        <v>360</v>
      </c>
      <c r="G262" t="s">
        <v>360</v>
      </c>
      <c r="H262" t="s">
        <v>1946</v>
      </c>
      <c r="I262">
        <v>35000</v>
      </c>
      <c r="J262" t="s">
        <v>1</v>
      </c>
      <c r="K262" t="s">
        <v>1</v>
      </c>
      <c r="L262">
        <v>200</v>
      </c>
      <c r="M262">
        <v>1</v>
      </c>
      <c r="N262">
        <v>0</v>
      </c>
      <c r="O262" t="s">
        <v>1</v>
      </c>
      <c r="P262" t="s">
        <v>1</v>
      </c>
      <c r="Q262" t="s">
        <v>1</v>
      </c>
      <c r="R262" t="s">
        <v>1</v>
      </c>
      <c r="S262" t="s">
        <v>1</v>
      </c>
      <c r="T262" t="s">
        <v>1</v>
      </c>
      <c r="U262" t="s">
        <v>1</v>
      </c>
      <c r="V262" t="s">
        <v>1</v>
      </c>
      <c r="W262" t="s">
        <v>1</v>
      </c>
      <c r="X262" t="s">
        <v>1</v>
      </c>
      <c r="Y262" t="s">
        <v>1</v>
      </c>
      <c r="Z262" t="s">
        <v>1</v>
      </c>
      <c r="AA262">
        <v>0</v>
      </c>
      <c r="AB262" t="s">
        <v>1947</v>
      </c>
      <c r="AC262" t="s">
        <v>1948</v>
      </c>
      <c r="AD262" t="s">
        <v>1949</v>
      </c>
      <c r="AE262">
        <v>0</v>
      </c>
      <c r="AF262" t="s">
        <v>1</v>
      </c>
      <c r="AG262" t="s">
        <v>1</v>
      </c>
      <c r="AH262" t="s">
        <v>1950</v>
      </c>
      <c r="AI262" t="s">
        <v>1951</v>
      </c>
      <c r="AJ262" t="s">
        <v>1</v>
      </c>
      <c r="AK262">
        <v>9933703702</v>
      </c>
      <c r="AL262" t="s">
        <v>1952</v>
      </c>
      <c r="AM262" t="s">
        <v>1953</v>
      </c>
      <c r="AN262">
        <v>0</v>
      </c>
      <c r="AO262" t="s">
        <v>1950</v>
      </c>
      <c r="AP262" t="s">
        <v>1</v>
      </c>
      <c r="AQ262">
        <v>4</v>
      </c>
      <c r="AR262">
        <v>0</v>
      </c>
      <c r="AS262">
        <v>0</v>
      </c>
      <c r="AT262" t="s">
        <v>1</v>
      </c>
      <c r="AU262" t="s">
        <v>1</v>
      </c>
      <c r="AV262" t="s">
        <v>1</v>
      </c>
      <c r="AW262">
        <v>0</v>
      </c>
      <c r="AX262">
        <v>2900</v>
      </c>
      <c r="AY262">
        <v>32100</v>
      </c>
      <c r="AZ262">
        <v>0</v>
      </c>
      <c r="BA262">
        <v>0</v>
      </c>
      <c r="BB262" t="s">
        <v>1</v>
      </c>
      <c r="BC262" t="s">
        <v>1954</v>
      </c>
      <c r="BD262" t="s">
        <v>147</v>
      </c>
      <c r="BE262" t="s">
        <v>1</v>
      </c>
      <c r="BF262" t="s">
        <v>1</v>
      </c>
      <c r="BG262" t="s">
        <v>1</v>
      </c>
      <c r="BH262">
        <v>0</v>
      </c>
      <c r="BI262">
        <v>0</v>
      </c>
      <c r="BJ262" t="s">
        <v>1930</v>
      </c>
      <c r="BK262" t="s">
        <v>1</v>
      </c>
      <c r="BL262" t="s">
        <v>131</v>
      </c>
      <c r="BM262">
        <v>0</v>
      </c>
      <c r="BN262">
        <v>35000</v>
      </c>
      <c r="BO262">
        <v>0</v>
      </c>
      <c r="BP262">
        <v>0</v>
      </c>
      <c r="BQ262">
        <v>0</v>
      </c>
      <c r="BR262" t="s">
        <v>1</v>
      </c>
      <c r="BS262" t="s">
        <v>1</v>
      </c>
      <c r="BT262" t="s">
        <v>1</v>
      </c>
      <c r="BU262" t="s">
        <v>1</v>
      </c>
      <c r="BV262" t="s">
        <v>1</v>
      </c>
      <c r="BW262" t="s">
        <v>360</v>
      </c>
      <c r="BX262" t="s">
        <v>1</v>
      </c>
      <c r="BY262">
        <v>0</v>
      </c>
      <c r="BZ262">
        <v>0</v>
      </c>
      <c r="CA262">
        <v>0</v>
      </c>
      <c r="CB262">
        <v>0</v>
      </c>
      <c r="CD262" t="str" cm="1">
        <f t="array" aca="1" ref="CD262" ca="1">eConcatenar(A262:CB262,"|")</f>
        <v>VIjWq77Zd5e4qc2Q|VSA2021-0909|3|DELUX |TABASCO|VILLAHERMOSA |VILLAHERMOSA |2021-06-22|35000|X|X|200|1|0|X|X|X|X|X|X|X|X|X|X|X|X|0|ALPUIN |ACUÃ‘A |JUAN ANTONIO |0|X|X|CALLE JOSEFA ORTIZ DE DOMINGUEZ |COLONIA MIGUEL HIDALGO |X|9933703702|JULIETA ANGUIANO SUAREZ |BENEFICIARIO 2 ADDI GUADALUPE ALPUIN ACUÃ‘A |0|CALLE JOSEFA ORTIZ DE DOMINGUEZ |X|4|0|0|X|X|X|0|2900|32100|0|0|X|2021-12-17|2021-12-31|X|X|X|0|0|S35D6D3Y9KVTQ2|X|HOMBRE |0|35000|0|0|0|X|X|X|X|X|VILLAHERMOSA |X|0|0|0|0</v>
      </c>
    </row>
    <row r="263" spans="1:82" x14ac:dyDescent="0.25">
      <c r="A263" t="s">
        <v>1955</v>
      </c>
      <c r="B263" t="s">
        <v>1956</v>
      </c>
      <c r="C263">
        <v>3</v>
      </c>
      <c r="D263" t="s">
        <v>246</v>
      </c>
      <c r="E263" t="s">
        <v>359</v>
      </c>
      <c r="F263" t="s">
        <v>360</v>
      </c>
      <c r="G263" t="s">
        <v>360</v>
      </c>
      <c r="H263" t="s">
        <v>1957</v>
      </c>
      <c r="I263">
        <v>24500</v>
      </c>
      <c r="J263" t="s">
        <v>1</v>
      </c>
      <c r="K263" t="s">
        <v>1</v>
      </c>
      <c r="L263">
        <v>200</v>
      </c>
      <c r="M263">
        <v>1</v>
      </c>
      <c r="N263">
        <v>0</v>
      </c>
      <c r="O263" t="s">
        <v>1</v>
      </c>
      <c r="P263" t="s">
        <v>1</v>
      </c>
      <c r="Q263" t="s">
        <v>1</v>
      </c>
      <c r="R263" t="s">
        <v>1</v>
      </c>
      <c r="S263" t="s">
        <v>1</v>
      </c>
      <c r="T263" t="s">
        <v>1</v>
      </c>
      <c r="U263" t="s">
        <v>1</v>
      </c>
      <c r="V263" t="s">
        <v>1</v>
      </c>
      <c r="W263" t="s">
        <v>1</v>
      </c>
      <c r="X263" t="s">
        <v>1</v>
      </c>
      <c r="Y263" t="s">
        <v>1</v>
      </c>
      <c r="Z263" t="s">
        <v>1</v>
      </c>
      <c r="AA263">
        <v>0</v>
      </c>
      <c r="AB263" t="s">
        <v>628</v>
      </c>
      <c r="AC263" t="s">
        <v>598</v>
      </c>
      <c r="AD263" t="s">
        <v>1958</v>
      </c>
      <c r="AE263">
        <v>0</v>
      </c>
      <c r="AF263" t="s">
        <v>1</v>
      </c>
      <c r="AG263" t="s">
        <v>1</v>
      </c>
      <c r="AH263" t="s">
        <v>1959</v>
      </c>
      <c r="AI263" t="s">
        <v>1960</v>
      </c>
      <c r="AJ263" t="s">
        <v>1</v>
      </c>
      <c r="AK263">
        <v>9931291853</v>
      </c>
      <c r="AL263" t="s">
        <v>1961</v>
      </c>
      <c r="AM263" t="s">
        <v>1962</v>
      </c>
      <c r="AN263">
        <v>0</v>
      </c>
      <c r="AO263" t="s">
        <v>1959</v>
      </c>
      <c r="AP263" t="s">
        <v>1</v>
      </c>
      <c r="AQ263">
        <v>4</v>
      </c>
      <c r="AR263">
        <v>0</v>
      </c>
      <c r="AS263">
        <v>0</v>
      </c>
      <c r="AT263" t="s">
        <v>1</v>
      </c>
      <c r="AU263" t="s">
        <v>1</v>
      </c>
      <c r="AV263" t="s">
        <v>1</v>
      </c>
      <c r="AW263">
        <v>0</v>
      </c>
      <c r="AX263">
        <v>4650</v>
      </c>
      <c r="AY263">
        <v>19850</v>
      </c>
      <c r="AZ263">
        <v>0</v>
      </c>
      <c r="BA263">
        <v>0</v>
      </c>
      <c r="BB263" t="s">
        <v>1</v>
      </c>
      <c r="BC263" t="s">
        <v>1954</v>
      </c>
      <c r="BD263" t="s">
        <v>147</v>
      </c>
      <c r="BE263" t="s">
        <v>1</v>
      </c>
      <c r="BF263" t="s">
        <v>1</v>
      </c>
      <c r="BG263" t="s">
        <v>1</v>
      </c>
      <c r="BH263">
        <v>0</v>
      </c>
      <c r="BI263">
        <v>0</v>
      </c>
      <c r="BJ263" t="s">
        <v>1930</v>
      </c>
      <c r="BK263" t="s">
        <v>1</v>
      </c>
      <c r="BL263" t="s">
        <v>1931</v>
      </c>
      <c r="BM263">
        <v>0</v>
      </c>
      <c r="BN263">
        <v>24500</v>
      </c>
      <c r="BO263">
        <v>0</v>
      </c>
      <c r="BP263">
        <v>0</v>
      </c>
      <c r="BQ263">
        <v>0</v>
      </c>
      <c r="BR263" t="s">
        <v>1</v>
      </c>
      <c r="BS263" t="s">
        <v>1</v>
      </c>
      <c r="BT263" t="s">
        <v>1</v>
      </c>
      <c r="BU263" t="s">
        <v>1</v>
      </c>
      <c r="BV263" t="s">
        <v>1</v>
      </c>
      <c r="BW263" t="s">
        <v>360</v>
      </c>
      <c r="BX263" t="s">
        <v>1</v>
      </c>
      <c r="BY263">
        <v>0</v>
      </c>
      <c r="BZ263">
        <v>0</v>
      </c>
      <c r="CA263">
        <v>0</v>
      </c>
      <c r="CB263">
        <v>0</v>
      </c>
      <c r="CD263" t="str" cm="1">
        <f t="array" aca="1" ref="CD263" ca="1">eConcatenar(A263:CB263,"|")</f>
        <v>1ktuuUdogfoWWy5s|VSA2021-0830|3|DIGNITY|TABASCO|VILLAHERMOSA |VILLAHERMOSA |2021-03-06|24500|X|X|200|1|0|X|X|X|X|X|X|X|X|X|X|X|X|0|ALVAREZ |JIMENEZ |MARIA CRUZ |0|X|X|CALLE DEL COSTCO|CERRADA NATIVIDAD VAZQUEZ |X|9931291853|FREDY VAZQUEZ PERAZA |BENEFICIARIO 2 FREDY VAZQUEZ ALVAREZ |0|CALLE DEL COSTCO|X|4|0|0|X|X|X|0|4650|19850|0|0|X|2021-12-17|2021-12-31|X|X|X|0|0|S35D6D3Y9KVTQ2|X|MUJER |0|24500|0|0|0|X|X|X|X|X|VILLAHERMOSA |X|0|0|0|0</v>
      </c>
    </row>
    <row r="264" spans="1:82" x14ac:dyDescent="0.25">
      <c r="A264" t="s">
        <v>1963</v>
      </c>
      <c r="B264" t="s">
        <v>1964</v>
      </c>
      <c r="C264">
        <v>3</v>
      </c>
      <c r="D264" t="s">
        <v>246</v>
      </c>
      <c r="E264" t="s">
        <v>359</v>
      </c>
      <c r="F264" t="s">
        <v>360</v>
      </c>
      <c r="G264" t="s">
        <v>360</v>
      </c>
      <c r="H264" t="s">
        <v>1957</v>
      </c>
      <c r="I264">
        <v>24500</v>
      </c>
      <c r="J264" t="s">
        <v>1</v>
      </c>
      <c r="K264" t="s">
        <v>1</v>
      </c>
      <c r="L264">
        <v>200</v>
      </c>
      <c r="M264">
        <v>1</v>
      </c>
      <c r="N264">
        <v>0</v>
      </c>
      <c r="O264" t="s">
        <v>1</v>
      </c>
      <c r="P264" t="s">
        <v>1</v>
      </c>
      <c r="Q264" t="s">
        <v>1</v>
      </c>
      <c r="R264" t="s">
        <v>1</v>
      </c>
      <c r="S264" t="s">
        <v>1</v>
      </c>
      <c r="T264" t="s">
        <v>1</v>
      </c>
      <c r="U264" t="s">
        <v>1</v>
      </c>
      <c r="V264" t="s">
        <v>1</v>
      </c>
      <c r="W264" t="s">
        <v>1</v>
      </c>
      <c r="X264" t="s">
        <v>1</v>
      </c>
      <c r="Y264" t="s">
        <v>1</v>
      </c>
      <c r="Z264" t="s">
        <v>1</v>
      </c>
      <c r="AA264">
        <v>0</v>
      </c>
      <c r="AB264" t="s">
        <v>1965</v>
      </c>
      <c r="AC264" t="s">
        <v>1966</v>
      </c>
      <c r="AD264" t="s">
        <v>1967</v>
      </c>
      <c r="AE264">
        <v>0</v>
      </c>
      <c r="AF264" t="s">
        <v>1</v>
      </c>
      <c r="AG264" t="s">
        <v>1</v>
      </c>
      <c r="AH264" t="s">
        <v>1968</v>
      </c>
      <c r="AI264" t="s">
        <v>1969</v>
      </c>
      <c r="AJ264" t="s">
        <v>1</v>
      </c>
      <c r="AK264">
        <v>9934323080</v>
      </c>
      <c r="AL264" t="s">
        <v>1970</v>
      </c>
      <c r="AM264" t="s">
        <v>1971</v>
      </c>
      <c r="AN264">
        <v>0</v>
      </c>
      <c r="AO264" t="s">
        <v>1968</v>
      </c>
      <c r="AP264" t="s">
        <v>1</v>
      </c>
      <c r="AQ264">
        <v>4</v>
      </c>
      <c r="AR264">
        <v>0</v>
      </c>
      <c r="AS264">
        <v>0</v>
      </c>
      <c r="AT264" t="s">
        <v>1</v>
      </c>
      <c r="AU264" t="s">
        <v>1</v>
      </c>
      <c r="AV264" t="s">
        <v>1</v>
      </c>
      <c r="AW264">
        <v>0</v>
      </c>
      <c r="AX264">
        <v>6000</v>
      </c>
      <c r="AY264">
        <v>18500</v>
      </c>
      <c r="AZ264">
        <v>0</v>
      </c>
      <c r="BA264">
        <v>0</v>
      </c>
      <c r="BB264" t="s">
        <v>1</v>
      </c>
      <c r="BC264" t="s">
        <v>1954</v>
      </c>
      <c r="BD264" t="s">
        <v>147</v>
      </c>
      <c r="BE264" t="s">
        <v>1</v>
      </c>
      <c r="BF264" t="s">
        <v>1</v>
      </c>
      <c r="BG264" t="s">
        <v>1</v>
      </c>
      <c r="BH264">
        <v>0</v>
      </c>
      <c r="BI264">
        <v>0</v>
      </c>
      <c r="BJ264" t="s">
        <v>1930</v>
      </c>
      <c r="BK264" t="s">
        <v>1</v>
      </c>
      <c r="BL264" t="s">
        <v>1931</v>
      </c>
      <c r="BM264">
        <v>0</v>
      </c>
      <c r="BN264">
        <v>24500</v>
      </c>
      <c r="BO264">
        <v>0</v>
      </c>
      <c r="BP264">
        <v>0</v>
      </c>
      <c r="BQ264">
        <v>0</v>
      </c>
      <c r="BR264" t="s">
        <v>1</v>
      </c>
      <c r="BS264" t="s">
        <v>1</v>
      </c>
      <c r="BT264" t="s">
        <v>1</v>
      </c>
      <c r="BU264" t="s">
        <v>1</v>
      </c>
      <c r="BV264" t="s">
        <v>1</v>
      </c>
      <c r="BW264" t="s">
        <v>360</v>
      </c>
      <c r="BX264" t="s">
        <v>1</v>
      </c>
      <c r="BY264">
        <v>0</v>
      </c>
      <c r="BZ264">
        <v>0</v>
      </c>
      <c r="CA264">
        <v>0</v>
      </c>
      <c r="CB264">
        <v>0</v>
      </c>
      <c r="CD264" t="str" cm="1">
        <f t="array" aca="1" ref="CD264" ca="1">eConcatenar(A264:CB264,"|")</f>
        <v>7dkaFeg71CN7r5Nv|VSA2021-0829|3|DIGNITY|TABASCO|VILLAHERMOSA |VILLAHERMOSA |2021-03-06|24500|X|X|200|1|0|X|X|X|X|X|X|X|X|X|X|X|X|0|PERAZA |BAÃ‘UELOS |MARIA DE LOS ANGELES |0|X|X|PERIFERICO CARLOS PELLICER |CERRADA CURAHUESO |X|9934323080|SEBASTIAN VAZQUEZ ESTRADA |BENEFICIARIO 2 JUAN CARLOS VAZQUEZ PERAZA |0|PERIFERICO CARLOS PELLICER |X|4|0|0|X|X|X|0|6000|18500|0|0|X|2021-12-17|2021-12-31|X|X|X|0|0|S35D6D3Y9KVTQ2|X|MUJER |0|24500|0|0|0|X|X|X|X|X|VILLAHERMOSA |X|0|0|0|0</v>
      </c>
    </row>
    <row r="265" spans="1:82" x14ac:dyDescent="0.25">
      <c r="A265" t="s">
        <v>1972</v>
      </c>
      <c r="B265" t="s">
        <v>1973</v>
      </c>
      <c r="C265">
        <v>3</v>
      </c>
      <c r="D265" t="s">
        <v>146</v>
      </c>
      <c r="E265" t="s">
        <v>359</v>
      </c>
      <c r="F265" t="s">
        <v>360</v>
      </c>
      <c r="G265" t="s">
        <v>360</v>
      </c>
      <c r="H265" t="s">
        <v>1974</v>
      </c>
      <c r="I265">
        <v>14800</v>
      </c>
      <c r="J265" t="s">
        <v>1</v>
      </c>
      <c r="K265" t="s">
        <v>1</v>
      </c>
      <c r="L265">
        <v>200</v>
      </c>
      <c r="M265">
        <v>1</v>
      </c>
      <c r="N265">
        <v>0</v>
      </c>
      <c r="O265" t="s">
        <v>1</v>
      </c>
      <c r="P265" t="s">
        <v>1</v>
      </c>
      <c r="Q265" t="s">
        <v>1</v>
      </c>
      <c r="R265" t="s">
        <v>1</v>
      </c>
      <c r="S265" t="s">
        <v>1</v>
      </c>
      <c r="T265" t="s">
        <v>1</v>
      </c>
      <c r="U265" t="s">
        <v>1</v>
      </c>
      <c r="V265" t="s">
        <v>1</v>
      </c>
      <c r="W265" t="s">
        <v>1</v>
      </c>
      <c r="X265" t="s">
        <v>1</v>
      </c>
      <c r="Y265" t="s">
        <v>1</v>
      </c>
      <c r="Z265" t="s">
        <v>1</v>
      </c>
      <c r="AA265">
        <v>0</v>
      </c>
      <c r="AB265" t="s">
        <v>1975</v>
      </c>
      <c r="AC265" t="s">
        <v>395</v>
      </c>
      <c r="AD265" t="s">
        <v>1976</v>
      </c>
      <c r="AE265">
        <v>0</v>
      </c>
      <c r="AF265" t="s">
        <v>1</v>
      </c>
      <c r="AG265" t="s">
        <v>1</v>
      </c>
      <c r="AH265" t="s">
        <v>1977</v>
      </c>
      <c r="AI265" t="s">
        <v>1978</v>
      </c>
      <c r="AJ265" t="s">
        <v>1</v>
      </c>
      <c r="AK265">
        <v>9931341265</v>
      </c>
      <c r="AL265" t="s">
        <v>1979</v>
      </c>
      <c r="AM265" t="s">
        <v>1980</v>
      </c>
      <c r="AN265">
        <v>0</v>
      </c>
      <c r="AO265" t="s">
        <v>1977</v>
      </c>
      <c r="AP265" t="s">
        <v>1</v>
      </c>
      <c r="AQ265">
        <v>4</v>
      </c>
      <c r="AR265">
        <v>0</v>
      </c>
      <c r="AS265">
        <v>0</v>
      </c>
      <c r="AT265" t="s">
        <v>1</v>
      </c>
      <c r="AU265" t="s">
        <v>1</v>
      </c>
      <c r="AV265" t="s">
        <v>1</v>
      </c>
      <c r="AW265">
        <v>0</v>
      </c>
      <c r="AX265">
        <v>2200</v>
      </c>
      <c r="AY265">
        <v>12600</v>
      </c>
      <c r="AZ265">
        <v>0</v>
      </c>
      <c r="BA265">
        <v>0</v>
      </c>
      <c r="BB265" t="s">
        <v>1</v>
      </c>
      <c r="BC265" t="s">
        <v>399</v>
      </c>
      <c r="BD265" t="s">
        <v>147</v>
      </c>
      <c r="BE265" t="s">
        <v>1</v>
      </c>
      <c r="BF265" t="s">
        <v>1</v>
      </c>
      <c r="BG265" t="s">
        <v>1</v>
      </c>
      <c r="BH265">
        <v>0</v>
      </c>
      <c r="BI265">
        <v>0</v>
      </c>
      <c r="BJ265" t="s">
        <v>1930</v>
      </c>
      <c r="BK265" t="s">
        <v>1</v>
      </c>
      <c r="BL265" t="s">
        <v>131</v>
      </c>
      <c r="BM265">
        <v>0</v>
      </c>
      <c r="BN265">
        <v>14800</v>
      </c>
      <c r="BO265">
        <v>0</v>
      </c>
      <c r="BP265">
        <v>0</v>
      </c>
      <c r="BQ265">
        <v>0</v>
      </c>
      <c r="BR265" t="s">
        <v>1</v>
      </c>
      <c r="BS265" t="s">
        <v>1</v>
      </c>
      <c r="BT265" t="s">
        <v>1</v>
      </c>
      <c r="BU265" t="s">
        <v>1</v>
      </c>
      <c r="BV265" t="s">
        <v>1</v>
      </c>
      <c r="BW265" t="s">
        <v>360</v>
      </c>
      <c r="BX265" t="s">
        <v>1</v>
      </c>
      <c r="BY265">
        <v>0</v>
      </c>
      <c r="BZ265">
        <v>0</v>
      </c>
      <c r="CA265">
        <v>0</v>
      </c>
      <c r="CB265">
        <v>0</v>
      </c>
      <c r="CD265" t="str" cm="1">
        <f t="array" aca="1" ref="CD265" ca="1">eConcatenar(A265:CB265,"|")</f>
        <v>p4YQgvreSqhQeKgw|VSA2021-0793|3|MEMORIAL |TABASCO|VILLAHERMOSA |VILLAHERMOSA |2021-08-05|14800|X|X|200|1|0|X|X|X|X|X|X|X|X|X|X|X|X|0|ALARCON |GARCIA |MARTIN |0|X|X|CALLE AZUCENA |FRACCIONAMIENTO BLANCAS MARIPOSAS |X|9931341265|ANA MARIA GOMEZ GARCIA |BENEFICIARIO 2 CESAR AUGUSTO ALARCON GOMEZ |0|CALLE AZUCENA |X|4|0|0|X|X|X|0|2200|12600|0|0|X|2021-11-20|2021-12-31|X|X|X|0|0|S35D6D3Y9KVTQ2|X|HOMBRE |0|14800|0|0|0|X|X|X|X|X|VILLAHERMOSA |X|0|0|0|0</v>
      </c>
    </row>
    <row r="266" spans="1:82" x14ac:dyDescent="0.25">
      <c r="A266" t="s">
        <v>1981</v>
      </c>
      <c r="B266" t="s">
        <v>1982</v>
      </c>
      <c r="C266">
        <v>3</v>
      </c>
      <c r="D266" t="s">
        <v>146</v>
      </c>
      <c r="E266" t="s">
        <v>359</v>
      </c>
      <c r="F266" t="s">
        <v>360</v>
      </c>
      <c r="G266" t="s">
        <v>360</v>
      </c>
      <c r="H266" t="s">
        <v>1974</v>
      </c>
      <c r="I266">
        <v>14800</v>
      </c>
      <c r="J266" t="s">
        <v>1</v>
      </c>
      <c r="K266" t="s">
        <v>1</v>
      </c>
      <c r="L266">
        <v>100</v>
      </c>
      <c r="M266">
        <v>0</v>
      </c>
      <c r="N266">
        <v>0</v>
      </c>
      <c r="O266" t="s">
        <v>1</v>
      </c>
      <c r="P266" t="s">
        <v>1</v>
      </c>
      <c r="Q266" t="s">
        <v>1</v>
      </c>
      <c r="R266" t="s">
        <v>1</v>
      </c>
      <c r="S266" t="s">
        <v>1</v>
      </c>
      <c r="T266" t="s">
        <v>1</v>
      </c>
      <c r="U266" t="s">
        <v>1</v>
      </c>
      <c r="V266" t="s">
        <v>1</v>
      </c>
      <c r="W266" t="s">
        <v>1</v>
      </c>
      <c r="X266" t="s">
        <v>1</v>
      </c>
      <c r="Y266" t="s">
        <v>1</v>
      </c>
      <c r="Z266" t="s">
        <v>1</v>
      </c>
      <c r="AA266">
        <v>0</v>
      </c>
      <c r="AB266" t="s">
        <v>395</v>
      </c>
      <c r="AC266" t="s">
        <v>428</v>
      </c>
      <c r="AD266" t="s">
        <v>373</v>
      </c>
      <c r="AE266">
        <v>0</v>
      </c>
      <c r="AF266" t="s">
        <v>1</v>
      </c>
      <c r="AG266" t="s">
        <v>1</v>
      </c>
      <c r="AH266" t="s">
        <v>1983</v>
      </c>
      <c r="AI266" t="s">
        <v>1984</v>
      </c>
      <c r="AJ266" t="s">
        <v>1</v>
      </c>
      <c r="AK266">
        <v>9935168668</v>
      </c>
      <c r="AL266" t="s">
        <v>1985</v>
      </c>
      <c r="AM266" t="s">
        <v>1986</v>
      </c>
      <c r="AN266">
        <v>0</v>
      </c>
      <c r="AO266" t="s">
        <v>1983</v>
      </c>
      <c r="AP266" t="s">
        <v>1</v>
      </c>
      <c r="AQ266">
        <v>4</v>
      </c>
      <c r="AR266">
        <v>0</v>
      </c>
      <c r="AS266">
        <v>0</v>
      </c>
      <c r="AT266" t="s">
        <v>1</v>
      </c>
      <c r="AU266" t="s">
        <v>1</v>
      </c>
      <c r="AV266" t="s">
        <v>1</v>
      </c>
      <c r="AW266">
        <v>0</v>
      </c>
      <c r="AX266">
        <v>3400</v>
      </c>
      <c r="AY266">
        <v>11400</v>
      </c>
      <c r="AZ266">
        <v>0</v>
      </c>
      <c r="BA266">
        <v>0</v>
      </c>
      <c r="BB266" t="s">
        <v>1</v>
      </c>
      <c r="BC266" t="s">
        <v>399</v>
      </c>
      <c r="BD266" t="s">
        <v>147</v>
      </c>
      <c r="BE266" t="s">
        <v>1</v>
      </c>
      <c r="BF266" t="s">
        <v>1</v>
      </c>
      <c r="BG266" t="s">
        <v>1</v>
      </c>
      <c r="BH266">
        <v>0</v>
      </c>
      <c r="BI266">
        <v>0</v>
      </c>
      <c r="BJ266" t="s">
        <v>1930</v>
      </c>
      <c r="BK266" t="s">
        <v>1</v>
      </c>
      <c r="BL266" t="s">
        <v>1931</v>
      </c>
      <c r="BM266">
        <v>0</v>
      </c>
      <c r="BN266">
        <v>14800</v>
      </c>
      <c r="BO266">
        <v>0</v>
      </c>
      <c r="BP266">
        <v>0</v>
      </c>
      <c r="BQ266">
        <v>0</v>
      </c>
      <c r="BR266" t="s">
        <v>1</v>
      </c>
      <c r="BS266" t="s">
        <v>1</v>
      </c>
      <c r="BT266" t="s">
        <v>1</v>
      </c>
      <c r="BU266" t="s">
        <v>1</v>
      </c>
      <c r="BV266" t="s">
        <v>1</v>
      </c>
      <c r="BW266" t="s">
        <v>360</v>
      </c>
      <c r="BX266" t="s">
        <v>1</v>
      </c>
      <c r="BY266">
        <v>0</v>
      </c>
      <c r="BZ266">
        <v>0</v>
      </c>
      <c r="CA266">
        <v>0</v>
      </c>
      <c r="CB266">
        <v>0</v>
      </c>
      <c r="CD266" t="str" cm="1">
        <f t="array" aca="1" ref="CD266" ca="1">eConcatenar(A266:CB266,"|")</f>
        <v>GzP1ECr6aENCnTji|VSA2021-0788|3|MEMORIAL |TABASCO|VILLAHERMOSA |VILLAHERMOSA |2021-08-05|14800|X|X|100|0|0|X|X|X|X|X|X|X|X|X|X|X|X|0|GARCIA |GOMEZ |GUADALUPE |0|X|X|CALLE ABRAHAM BANDALA |COLONIA TAMULTE DE LAS BARRANCAS |X|9935168668|ALEJANDRO GONGORA GARCIA |BENEFICIARIO 2 JULIA GONGORA GARCIA |0|CALLE ABRAHAM BANDALA |X|4|0|0|X|X|X|0|3400|11400|0|0|X|2021-11-20|2021-12-31|X|X|X|0|0|S35D6D3Y9KVTQ2|X|MUJER |0|14800|0|0|0|X|X|X|X|X|VILLAHERMOSA |X|0|0|0|0</v>
      </c>
    </row>
    <row r="267" spans="1:82" x14ac:dyDescent="0.25">
      <c r="A267" t="s">
        <v>1987</v>
      </c>
      <c r="B267" t="s">
        <v>1988</v>
      </c>
      <c r="C267">
        <v>3</v>
      </c>
      <c r="D267" t="s">
        <v>246</v>
      </c>
      <c r="E267" t="s">
        <v>359</v>
      </c>
      <c r="F267" t="s">
        <v>360</v>
      </c>
      <c r="G267" t="s">
        <v>360</v>
      </c>
      <c r="H267" t="s">
        <v>1989</v>
      </c>
      <c r="I267">
        <v>35000</v>
      </c>
      <c r="J267" t="s">
        <v>1</v>
      </c>
      <c r="K267" t="s">
        <v>1</v>
      </c>
      <c r="L267">
        <v>100</v>
      </c>
      <c r="M267">
        <v>0</v>
      </c>
      <c r="N267">
        <v>0</v>
      </c>
      <c r="O267" t="s">
        <v>1</v>
      </c>
      <c r="P267" t="s">
        <v>1</v>
      </c>
      <c r="Q267" t="s">
        <v>1</v>
      </c>
      <c r="R267" t="s">
        <v>1</v>
      </c>
      <c r="S267" t="s">
        <v>1</v>
      </c>
      <c r="T267" t="s">
        <v>1</v>
      </c>
      <c r="U267" t="s">
        <v>1</v>
      </c>
      <c r="V267" t="s">
        <v>1</v>
      </c>
      <c r="W267" t="s">
        <v>1</v>
      </c>
      <c r="X267" t="s">
        <v>1</v>
      </c>
      <c r="Y267" t="s">
        <v>1</v>
      </c>
      <c r="Z267" t="s">
        <v>1</v>
      </c>
      <c r="AA267">
        <v>0</v>
      </c>
      <c r="AB267" t="s">
        <v>829</v>
      </c>
      <c r="AC267" t="s">
        <v>1990</v>
      </c>
      <c r="AD267" t="s">
        <v>1991</v>
      </c>
      <c r="AE267">
        <v>0</v>
      </c>
      <c r="AF267" t="s">
        <v>1</v>
      </c>
      <c r="AG267" t="s">
        <v>1</v>
      </c>
      <c r="AH267" t="s">
        <v>545</v>
      </c>
      <c r="AI267" t="s">
        <v>1992</v>
      </c>
      <c r="AJ267" t="s">
        <v>1</v>
      </c>
      <c r="AK267">
        <v>9933223463</v>
      </c>
      <c r="AL267" t="s">
        <v>1993</v>
      </c>
      <c r="AM267" t="s">
        <v>1994</v>
      </c>
      <c r="AN267">
        <v>0</v>
      </c>
      <c r="AO267" t="s">
        <v>545</v>
      </c>
      <c r="AP267" t="s">
        <v>1</v>
      </c>
      <c r="AQ267">
        <v>4</v>
      </c>
      <c r="AR267">
        <v>0</v>
      </c>
      <c r="AS267">
        <v>0</v>
      </c>
      <c r="AT267" t="s">
        <v>1</v>
      </c>
      <c r="AU267" t="s">
        <v>1</v>
      </c>
      <c r="AV267" t="s">
        <v>1</v>
      </c>
      <c r="AW267">
        <v>0</v>
      </c>
      <c r="AX267">
        <v>3800</v>
      </c>
      <c r="AY267">
        <v>20700</v>
      </c>
      <c r="AZ267">
        <v>0</v>
      </c>
      <c r="BA267">
        <v>0</v>
      </c>
      <c r="BB267" t="s">
        <v>1</v>
      </c>
      <c r="BC267" t="s">
        <v>1995</v>
      </c>
      <c r="BD267" t="s">
        <v>147</v>
      </c>
      <c r="BE267" t="s">
        <v>1</v>
      </c>
      <c r="BF267" t="s">
        <v>1</v>
      </c>
      <c r="BG267" t="s">
        <v>1</v>
      </c>
      <c r="BH267">
        <v>0</v>
      </c>
      <c r="BI267">
        <v>0</v>
      </c>
      <c r="BJ267" t="s">
        <v>1930</v>
      </c>
      <c r="BK267" t="s">
        <v>1</v>
      </c>
      <c r="BL267" t="s">
        <v>1931</v>
      </c>
      <c r="BM267">
        <v>0</v>
      </c>
      <c r="BN267">
        <v>24500</v>
      </c>
      <c r="BO267">
        <v>0</v>
      </c>
      <c r="BP267">
        <v>0</v>
      </c>
      <c r="BQ267">
        <v>0</v>
      </c>
      <c r="BR267" t="s">
        <v>1</v>
      </c>
      <c r="BS267" t="s">
        <v>1</v>
      </c>
      <c r="BT267" t="s">
        <v>1</v>
      </c>
      <c r="BU267" t="s">
        <v>1</v>
      </c>
      <c r="BV267" t="s">
        <v>1</v>
      </c>
      <c r="BW267" t="s">
        <v>360</v>
      </c>
      <c r="BX267" t="s">
        <v>1</v>
      </c>
      <c r="BY267">
        <v>0</v>
      </c>
      <c r="BZ267">
        <v>0</v>
      </c>
      <c r="CA267">
        <v>0</v>
      </c>
      <c r="CB267">
        <v>0</v>
      </c>
      <c r="CD267" t="str" cm="1">
        <f t="array" aca="1" ref="CD267" ca="1">eConcatenar(A267:CB267,"|")</f>
        <v>Dcg02O0w9T0sZ5VR|VSA2021-0776|3|DIGNITY|TABASCO|VILLAHERMOSA |VILLAHERMOSA |2021-01-05|35000|X|X|100|0|0|X|X|X|X|X|X|X|X|X|X|X|X|0|PEREZ|MONDRAGON |LUCIA |0|X|X|CARRETERA PRINCIPAL SIN NUMERO |RANCHERIA IXTACOMITAN |X|9933223463|JUDITH SILVA PEREZ |BENEFICIARIO 2 JOEL SILVA PEREZ |0|CARRETERA PRINCIPAL SIN NUMERO |X|4|0|0|X|X|X|0|3800|20700|0|0|X|2021-12-18|2021-12-31|X|X|X|0|0|S35D6D3Y9KVTQ2|X|MUJER |0|24500|0|0|0|X|X|X|X|X|VILLAHERMOSA |X|0|0|0|0</v>
      </c>
    </row>
    <row r="268" spans="1:82" x14ac:dyDescent="0.25">
      <c r="A268" t="s">
        <v>1996</v>
      </c>
      <c r="B268" t="s">
        <v>1997</v>
      </c>
      <c r="C268">
        <v>3</v>
      </c>
      <c r="D268" t="s">
        <v>146</v>
      </c>
      <c r="E268" t="s">
        <v>359</v>
      </c>
      <c r="F268" t="s">
        <v>360</v>
      </c>
      <c r="G268" t="s">
        <v>360</v>
      </c>
      <c r="H268" t="s">
        <v>1989</v>
      </c>
      <c r="I268">
        <v>14800</v>
      </c>
      <c r="J268" t="s">
        <v>1</v>
      </c>
      <c r="K268" t="s">
        <v>1</v>
      </c>
      <c r="L268">
        <v>100</v>
      </c>
      <c r="M268">
        <v>0</v>
      </c>
      <c r="N268">
        <v>0</v>
      </c>
      <c r="O268" t="s">
        <v>1</v>
      </c>
      <c r="P268" t="s">
        <v>1</v>
      </c>
      <c r="Q268" t="s">
        <v>1</v>
      </c>
      <c r="R268" t="s">
        <v>1</v>
      </c>
      <c r="S268" t="s">
        <v>1</v>
      </c>
      <c r="T268" t="s">
        <v>1</v>
      </c>
      <c r="U268" t="s">
        <v>1</v>
      </c>
      <c r="V268" t="s">
        <v>1</v>
      </c>
      <c r="W268" t="s">
        <v>1</v>
      </c>
      <c r="X268" t="s">
        <v>1</v>
      </c>
      <c r="Y268" t="s">
        <v>1</v>
      </c>
      <c r="Z268" t="s">
        <v>1</v>
      </c>
      <c r="AA268">
        <v>0</v>
      </c>
      <c r="AB268" t="s">
        <v>372</v>
      </c>
      <c r="AC268" t="s">
        <v>1990</v>
      </c>
      <c r="AD268" t="s">
        <v>1998</v>
      </c>
      <c r="AE268">
        <v>0</v>
      </c>
      <c r="AF268" t="s">
        <v>1</v>
      </c>
      <c r="AG268" t="s">
        <v>1</v>
      </c>
      <c r="AH268" t="s">
        <v>545</v>
      </c>
      <c r="AI268" t="s">
        <v>1999</v>
      </c>
      <c r="AJ268" t="s">
        <v>1</v>
      </c>
      <c r="AK268">
        <v>9931183923</v>
      </c>
      <c r="AL268" t="s">
        <v>2000</v>
      </c>
      <c r="AM268" t="s">
        <v>2001</v>
      </c>
      <c r="AN268">
        <v>0</v>
      </c>
      <c r="AO268" t="s">
        <v>545</v>
      </c>
      <c r="AP268" t="s">
        <v>1</v>
      </c>
      <c r="AQ268">
        <v>4</v>
      </c>
      <c r="AR268">
        <v>0</v>
      </c>
      <c r="AS268">
        <v>0</v>
      </c>
      <c r="AT268" t="s">
        <v>1</v>
      </c>
      <c r="AU268" t="s">
        <v>1</v>
      </c>
      <c r="AV268" t="s">
        <v>1</v>
      </c>
      <c r="AW268">
        <v>0</v>
      </c>
      <c r="AX268">
        <v>3400</v>
      </c>
      <c r="AY268">
        <v>11400</v>
      </c>
      <c r="AZ268">
        <v>0</v>
      </c>
      <c r="BA268">
        <v>0</v>
      </c>
      <c r="BB268" t="s">
        <v>1</v>
      </c>
      <c r="BC268" t="s">
        <v>312</v>
      </c>
      <c r="BD268" t="s">
        <v>147</v>
      </c>
      <c r="BE268" t="s">
        <v>1</v>
      </c>
      <c r="BF268" t="s">
        <v>1</v>
      </c>
      <c r="BG268" t="s">
        <v>1</v>
      </c>
      <c r="BH268">
        <v>0</v>
      </c>
      <c r="BI268">
        <v>0</v>
      </c>
      <c r="BJ268" t="s">
        <v>1930</v>
      </c>
      <c r="BK268" t="s">
        <v>1</v>
      </c>
      <c r="BL268" t="s">
        <v>1931</v>
      </c>
      <c r="BM268">
        <v>0</v>
      </c>
      <c r="BN268">
        <v>14800</v>
      </c>
      <c r="BO268">
        <v>0</v>
      </c>
      <c r="BP268">
        <v>0</v>
      </c>
      <c r="BQ268">
        <v>0</v>
      </c>
      <c r="BR268" t="s">
        <v>1</v>
      </c>
      <c r="BS268" t="s">
        <v>1</v>
      </c>
      <c r="BT268" t="s">
        <v>1</v>
      </c>
      <c r="BU268" t="s">
        <v>1</v>
      </c>
      <c r="BV268" t="s">
        <v>1</v>
      </c>
      <c r="BW268" t="s">
        <v>360</v>
      </c>
      <c r="BX268" t="s">
        <v>1</v>
      </c>
      <c r="BY268">
        <v>0</v>
      </c>
      <c r="BZ268">
        <v>0</v>
      </c>
      <c r="CA268">
        <v>0</v>
      </c>
      <c r="CB268">
        <v>0</v>
      </c>
      <c r="CD268" t="str" cm="1">
        <f t="array" aca="1" ref="CD268" ca="1">eConcatenar(A268:CB268,"|")</f>
        <v>MypvMnkL3qWN6HwZ|VSA2021-0774|3|MEMORIAL |TABASCO|VILLAHERMOSA |VILLAHERMOSA |2021-01-05|14800|X|X|100|0|0|X|X|X|X|X|X|X|X|X|X|X|X|0|JUAREZ |MONDRAGON |MARIA ISABEL |0|X|X|CARRETERA PRINCIPAL SIN NUMERO |COLONIA PLUTARCO ELIAS CALLES |X|9931183923|GABRIEL ANTONIO ESCAMILLA LEON |BENEFICIARIO 2 MARIA ANTONIA LEON VIDAL |0|CARRETERA PRINCIPAL SIN NUMERO |X|4|0|0|X|X|X|0|3400|11400|0|0|X|2021-12-24|2021-12-31|X|X|X|0|0|S35D6D3Y9KVTQ2|X|MUJER |0|14800|0|0|0|X|X|X|X|X|VILLAHERMOSA |X|0|0|0|0</v>
      </c>
    </row>
    <row r="269" spans="1:82" x14ac:dyDescent="0.25">
      <c r="A269" t="s">
        <v>2002</v>
      </c>
      <c r="B269" t="s">
        <v>2003</v>
      </c>
      <c r="C269">
        <v>3</v>
      </c>
      <c r="D269" t="s">
        <v>146</v>
      </c>
      <c r="E269" t="s">
        <v>359</v>
      </c>
      <c r="F269" t="s">
        <v>360</v>
      </c>
      <c r="G269" t="s">
        <v>360</v>
      </c>
      <c r="H269" t="s">
        <v>2004</v>
      </c>
      <c r="I269">
        <v>14800</v>
      </c>
      <c r="J269" t="s">
        <v>1</v>
      </c>
      <c r="K269" t="s">
        <v>1</v>
      </c>
      <c r="L269">
        <v>200</v>
      </c>
      <c r="M269">
        <v>1</v>
      </c>
      <c r="N269">
        <v>0</v>
      </c>
      <c r="O269" t="s">
        <v>1</v>
      </c>
      <c r="P269" t="s">
        <v>1</v>
      </c>
      <c r="Q269" t="s">
        <v>1</v>
      </c>
      <c r="R269" t="s">
        <v>1</v>
      </c>
      <c r="S269" t="s">
        <v>1</v>
      </c>
      <c r="T269" t="s">
        <v>1</v>
      </c>
      <c r="U269" t="s">
        <v>1</v>
      </c>
      <c r="V269" t="s">
        <v>1</v>
      </c>
      <c r="W269" t="s">
        <v>1</v>
      </c>
      <c r="X269" t="s">
        <v>1</v>
      </c>
      <c r="Y269" t="s">
        <v>1</v>
      </c>
      <c r="Z269" t="s">
        <v>1</v>
      </c>
      <c r="AA269">
        <v>0</v>
      </c>
      <c r="AB269" t="s">
        <v>200</v>
      </c>
      <c r="AC269" t="s">
        <v>598</v>
      </c>
      <c r="AD269" t="s">
        <v>408</v>
      </c>
      <c r="AE269">
        <v>0</v>
      </c>
      <c r="AF269" t="s">
        <v>1</v>
      </c>
      <c r="AG269" t="s">
        <v>1</v>
      </c>
      <c r="AH269" t="s">
        <v>2005</v>
      </c>
      <c r="AI269" t="s">
        <v>2006</v>
      </c>
      <c r="AJ269" t="s">
        <v>1</v>
      </c>
      <c r="AK269">
        <v>9931203033</v>
      </c>
      <c r="AL269" t="s">
        <v>2007</v>
      </c>
      <c r="AM269" t="s">
        <v>2008</v>
      </c>
      <c r="AN269">
        <v>0</v>
      </c>
      <c r="AO269" t="s">
        <v>2005</v>
      </c>
      <c r="AP269" t="s">
        <v>1</v>
      </c>
      <c r="AQ269">
        <v>4</v>
      </c>
      <c r="AR269">
        <v>0</v>
      </c>
      <c r="AS269">
        <v>0</v>
      </c>
      <c r="AT269" t="s">
        <v>1</v>
      </c>
      <c r="AU269" t="s">
        <v>1</v>
      </c>
      <c r="AV269" t="s">
        <v>1</v>
      </c>
      <c r="AW269">
        <v>0</v>
      </c>
      <c r="AX269">
        <v>2450</v>
      </c>
      <c r="AY269">
        <v>12350</v>
      </c>
      <c r="AZ269">
        <v>0</v>
      </c>
      <c r="BA269">
        <v>0</v>
      </c>
      <c r="BB269" t="s">
        <v>1</v>
      </c>
      <c r="BC269" t="s">
        <v>1954</v>
      </c>
      <c r="BD269" t="s">
        <v>147</v>
      </c>
      <c r="BE269" t="s">
        <v>1</v>
      </c>
      <c r="BF269" t="s">
        <v>1</v>
      </c>
      <c r="BG269" t="s">
        <v>1</v>
      </c>
      <c r="BH269">
        <v>0</v>
      </c>
      <c r="BI269">
        <v>0</v>
      </c>
      <c r="BJ269" t="s">
        <v>1930</v>
      </c>
      <c r="BK269" t="s">
        <v>1</v>
      </c>
      <c r="BL269" t="s">
        <v>1931</v>
      </c>
      <c r="BM269">
        <v>0</v>
      </c>
      <c r="BN269">
        <v>14800</v>
      </c>
      <c r="BO269">
        <v>0</v>
      </c>
      <c r="BP269">
        <v>0</v>
      </c>
      <c r="BQ269">
        <v>0</v>
      </c>
      <c r="BR269" t="s">
        <v>1</v>
      </c>
      <c r="BS269" t="s">
        <v>1</v>
      </c>
      <c r="BT269" t="s">
        <v>1</v>
      </c>
      <c r="BU269" t="s">
        <v>1</v>
      </c>
      <c r="BV269" t="s">
        <v>1</v>
      </c>
      <c r="BW269" t="s">
        <v>360</v>
      </c>
      <c r="BX269" t="s">
        <v>1</v>
      </c>
      <c r="BY269">
        <v>0</v>
      </c>
      <c r="BZ269">
        <v>0</v>
      </c>
      <c r="CA269">
        <v>0</v>
      </c>
      <c r="CB269">
        <v>0</v>
      </c>
      <c r="CD269" t="str" cm="1">
        <f t="array" aca="1" ref="CD269" ca="1">eConcatenar(A269:CB269,"|")</f>
        <v>8jElokLKFpAz7PSh|VSA2021-0755|3|MEMORIAL |TABASCO|VILLAHERMOSA |VILLAHERMOSA |2021-04-27|14800|X|X|200|1|0|X|X|X|X|X|X|X|X|X|X|X|X|0|GONZALEZ |JIMENEZ |MARIA |0|X|X|CALLE UXMAL SIN NUMERO |BOQUERON PRIMERA SECCION |X|9931203033|ARLETH MORALES GONZALEZ |BENEFICIARIO 2 JUAN CARLOS GONZALEZ MORALES |0|CALLE UXMAL SIN NUMERO |X|4|0|0|X|X|X|0|2450|12350|0|0|X|2021-12-17|2021-12-31|X|X|X|0|0|S35D6D3Y9KVTQ2|X|MUJER |0|14800|0|0|0|X|X|X|X|X|VILLAHERMOSA |X|0|0|0|0</v>
      </c>
    </row>
    <row r="270" spans="1:82" x14ac:dyDescent="0.25">
      <c r="A270" t="s">
        <v>2009</v>
      </c>
      <c r="B270" t="s">
        <v>2010</v>
      </c>
      <c r="C270">
        <v>3</v>
      </c>
      <c r="D270" t="s">
        <v>146</v>
      </c>
      <c r="E270" t="s">
        <v>359</v>
      </c>
      <c r="F270" t="s">
        <v>360</v>
      </c>
      <c r="G270" t="s">
        <v>360</v>
      </c>
      <c r="H270" t="s">
        <v>2011</v>
      </c>
      <c r="I270">
        <v>14800</v>
      </c>
      <c r="J270" t="s">
        <v>1</v>
      </c>
      <c r="K270" t="s">
        <v>1</v>
      </c>
      <c r="L270">
        <v>100</v>
      </c>
      <c r="M270">
        <v>0</v>
      </c>
      <c r="N270">
        <v>0</v>
      </c>
      <c r="O270" t="s">
        <v>1</v>
      </c>
      <c r="P270" t="s">
        <v>1</v>
      </c>
      <c r="Q270" t="s">
        <v>1</v>
      </c>
      <c r="R270" t="s">
        <v>1</v>
      </c>
      <c r="S270" t="s">
        <v>1</v>
      </c>
      <c r="T270" t="s">
        <v>1</v>
      </c>
      <c r="U270" t="s">
        <v>1</v>
      </c>
      <c r="V270" t="s">
        <v>1</v>
      </c>
      <c r="W270" t="s">
        <v>1</v>
      </c>
      <c r="X270" t="s">
        <v>1</v>
      </c>
      <c r="Y270" t="s">
        <v>1</v>
      </c>
      <c r="Z270" t="s">
        <v>1</v>
      </c>
      <c r="AA270">
        <v>0</v>
      </c>
      <c r="AB270" t="s">
        <v>1227</v>
      </c>
      <c r="AC270" t="s">
        <v>2012</v>
      </c>
      <c r="AD270" t="s">
        <v>2013</v>
      </c>
      <c r="AE270">
        <v>0</v>
      </c>
      <c r="AF270" t="s">
        <v>1</v>
      </c>
      <c r="AG270" t="s">
        <v>1</v>
      </c>
      <c r="AH270" t="s">
        <v>2014</v>
      </c>
      <c r="AI270" t="s">
        <v>1926</v>
      </c>
      <c r="AJ270" t="s">
        <v>1</v>
      </c>
      <c r="AK270">
        <v>9932638390</v>
      </c>
      <c r="AL270" t="s">
        <v>2015</v>
      </c>
      <c r="AM270" t="s">
        <v>2016</v>
      </c>
      <c r="AN270">
        <v>0</v>
      </c>
      <c r="AO270" t="s">
        <v>2014</v>
      </c>
      <c r="AP270" t="s">
        <v>1</v>
      </c>
      <c r="AQ270">
        <v>4</v>
      </c>
      <c r="AR270">
        <v>0</v>
      </c>
      <c r="AS270">
        <v>0</v>
      </c>
      <c r="AT270" t="s">
        <v>1</v>
      </c>
      <c r="AU270" t="s">
        <v>1</v>
      </c>
      <c r="AV270" t="s">
        <v>1</v>
      </c>
      <c r="AW270">
        <v>0</v>
      </c>
      <c r="AX270">
        <v>2750</v>
      </c>
      <c r="AY270">
        <v>12050</v>
      </c>
      <c r="AZ270">
        <v>0</v>
      </c>
      <c r="BA270">
        <v>0</v>
      </c>
      <c r="BB270" t="s">
        <v>1</v>
      </c>
      <c r="BC270" t="s">
        <v>1954</v>
      </c>
      <c r="BD270" t="s">
        <v>147</v>
      </c>
      <c r="BE270" t="s">
        <v>1</v>
      </c>
      <c r="BF270" t="s">
        <v>1</v>
      </c>
      <c r="BG270" t="s">
        <v>1</v>
      </c>
      <c r="BH270">
        <v>0</v>
      </c>
      <c r="BI270">
        <v>0</v>
      </c>
      <c r="BJ270" t="s">
        <v>1930</v>
      </c>
      <c r="BK270" t="s">
        <v>1</v>
      </c>
      <c r="BL270" t="s">
        <v>131</v>
      </c>
      <c r="BM270">
        <v>0</v>
      </c>
      <c r="BN270">
        <v>14800</v>
      </c>
      <c r="BO270">
        <v>0</v>
      </c>
      <c r="BP270">
        <v>0</v>
      </c>
      <c r="BQ270">
        <v>0</v>
      </c>
      <c r="BR270" t="s">
        <v>1</v>
      </c>
      <c r="BS270" t="s">
        <v>1</v>
      </c>
      <c r="BT270" t="s">
        <v>1</v>
      </c>
      <c r="BU270" t="s">
        <v>1</v>
      </c>
      <c r="BV270" t="s">
        <v>1</v>
      </c>
      <c r="BW270" t="s">
        <v>360</v>
      </c>
      <c r="BX270" t="s">
        <v>1</v>
      </c>
      <c r="BY270">
        <v>0</v>
      </c>
      <c r="BZ270">
        <v>0</v>
      </c>
      <c r="CA270">
        <v>0</v>
      </c>
      <c r="CB270">
        <v>0</v>
      </c>
      <c r="CD270" t="str" cm="1">
        <f t="array" aca="1" ref="CD270" ca="1">eConcatenar(A270:CB270,"|")</f>
        <v>PnI466xBrJrMCpcy|VSA2021-0746|3|MEMORIAL |TABASCO|VILLAHERMOSA |VILLAHERMOSA |2021-04-24|14800|X|X|100|0|0|X|X|X|X|X|X|X|X|X|X|X|X|0|VILLEGAS |VALCAZAR |DOMITILO |0|X|X|ENTRADA AL COCOHITE SIN NUMERO |RANCHERIA BOQUERON CUARTA SECCION |X|9932638390|CARMITA VILLEGAS LEON |BENEFICIARIO 2 GUADALUPE VILLEGAS LEON |0|ENTRADA AL COCOHITE SIN NUMERO |X|4|0|0|X|X|X|0|2750|12050|0|0|X|2021-12-17|2021-12-31|X|X|X|0|0|S35D6D3Y9KVTQ2|X|HOMBRE |0|14800|0|0|0|X|X|X|X|X|VILLAHERMOSA |X|0|0|0|0</v>
      </c>
    </row>
    <row r="271" spans="1:82" x14ac:dyDescent="0.25">
      <c r="A271" t="s">
        <v>2017</v>
      </c>
      <c r="B271" t="s">
        <v>2018</v>
      </c>
      <c r="C271">
        <v>3</v>
      </c>
      <c r="D271" t="s">
        <v>246</v>
      </c>
      <c r="E271" t="s">
        <v>359</v>
      </c>
      <c r="F271" t="s">
        <v>360</v>
      </c>
      <c r="G271" t="s">
        <v>360</v>
      </c>
      <c r="H271" t="s">
        <v>2011</v>
      </c>
      <c r="I271">
        <v>24500</v>
      </c>
      <c r="J271" t="s">
        <v>1</v>
      </c>
      <c r="K271" t="s">
        <v>1</v>
      </c>
      <c r="L271">
        <v>100</v>
      </c>
      <c r="M271">
        <v>0</v>
      </c>
      <c r="N271">
        <v>0</v>
      </c>
      <c r="O271" t="s">
        <v>1</v>
      </c>
      <c r="P271" t="s">
        <v>1</v>
      </c>
      <c r="Q271" t="s">
        <v>1</v>
      </c>
      <c r="R271" t="s">
        <v>1</v>
      </c>
      <c r="S271" t="s">
        <v>1</v>
      </c>
      <c r="T271" t="s">
        <v>1</v>
      </c>
      <c r="U271" t="s">
        <v>1</v>
      </c>
      <c r="V271" t="s">
        <v>1</v>
      </c>
      <c r="W271" t="s">
        <v>1</v>
      </c>
      <c r="X271" t="s">
        <v>1</v>
      </c>
      <c r="Y271" t="s">
        <v>1</v>
      </c>
      <c r="Z271" t="s">
        <v>1</v>
      </c>
      <c r="AA271">
        <v>0</v>
      </c>
      <c r="AB271" t="s">
        <v>2019</v>
      </c>
      <c r="AC271" t="s">
        <v>584</v>
      </c>
      <c r="AD271" t="s">
        <v>2020</v>
      </c>
      <c r="AE271">
        <v>0</v>
      </c>
      <c r="AF271" t="s">
        <v>1</v>
      </c>
      <c r="AG271" t="s">
        <v>1</v>
      </c>
      <c r="AH271" t="s">
        <v>2021</v>
      </c>
      <c r="AI271" t="s">
        <v>2022</v>
      </c>
      <c r="AJ271" t="s">
        <v>1</v>
      </c>
      <c r="AK271">
        <v>9932010624</v>
      </c>
      <c r="AL271" t="s">
        <v>2023</v>
      </c>
      <c r="AM271" t="s">
        <v>2024</v>
      </c>
      <c r="AN271">
        <v>0</v>
      </c>
      <c r="AO271" t="s">
        <v>2021</v>
      </c>
      <c r="AP271" t="s">
        <v>1</v>
      </c>
      <c r="AQ271">
        <v>4</v>
      </c>
      <c r="AR271">
        <v>0</v>
      </c>
      <c r="AS271">
        <v>0</v>
      </c>
      <c r="AT271" t="s">
        <v>1</v>
      </c>
      <c r="AU271" t="s">
        <v>1</v>
      </c>
      <c r="AV271" t="s">
        <v>1</v>
      </c>
      <c r="AW271">
        <v>0</v>
      </c>
      <c r="AX271">
        <v>6900</v>
      </c>
      <c r="AY271">
        <v>17600</v>
      </c>
      <c r="AZ271">
        <v>0</v>
      </c>
      <c r="BA271">
        <v>0</v>
      </c>
      <c r="BB271" t="s">
        <v>1</v>
      </c>
      <c r="BC271" t="s">
        <v>1954</v>
      </c>
      <c r="BD271" t="s">
        <v>147</v>
      </c>
      <c r="BE271" t="s">
        <v>1</v>
      </c>
      <c r="BF271" t="s">
        <v>1</v>
      </c>
      <c r="BG271" t="s">
        <v>1</v>
      </c>
      <c r="BH271">
        <v>0</v>
      </c>
      <c r="BI271">
        <v>0</v>
      </c>
      <c r="BJ271" t="s">
        <v>1930</v>
      </c>
      <c r="BK271" t="s">
        <v>1</v>
      </c>
      <c r="BL271" t="s">
        <v>1931</v>
      </c>
      <c r="BM271">
        <v>0</v>
      </c>
      <c r="BN271">
        <v>24500</v>
      </c>
      <c r="BO271">
        <v>0</v>
      </c>
      <c r="BP271">
        <v>0</v>
      </c>
      <c r="BQ271">
        <v>0</v>
      </c>
      <c r="BR271" t="s">
        <v>1</v>
      </c>
      <c r="BS271" t="s">
        <v>1</v>
      </c>
      <c r="BT271" t="s">
        <v>1</v>
      </c>
      <c r="BU271" t="s">
        <v>1</v>
      </c>
      <c r="BV271" t="s">
        <v>1</v>
      </c>
      <c r="BW271" t="s">
        <v>360</v>
      </c>
      <c r="BX271" t="s">
        <v>1</v>
      </c>
      <c r="BY271">
        <v>0</v>
      </c>
      <c r="BZ271">
        <v>0</v>
      </c>
      <c r="CA271">
        <v>0</v>
      </c>
      <c r="CB271">
        <v>0</v>
      </c>
      <c r="CD271" t="str" cm="1">
        <f t="array" aca="1" ref="CD271" ca="1">eConcatenar(A271:CB271,"|")</f>
        <v>dL3dCrDqdlYlmMuU|VSA2021-0744|3|DIGNITY|TABASCO|VILLAHERMOSA |VILLAHERMOSA |2021-04-24|24500|X|X|100|0|0|X|X|X|X|X|X|X|X|X|X|X|X|0|ALCAZAR |HERNANDEZ |ISABEL |0|X|X|ENTRADA AL JOBO|RANCHERIA BOQUERON PRIMERA SECCION |X|9932010624|JOSE DE LOURDES JIMENEZ VILLEGAS |BENEFICIARIO 2 ROMANA JIMENEZ ALCAZAR |0|ENTRADA AL JOBO|X|4|0|0|X|X|X|0|6900|17600|0|0|X|2021-12-17|2021-12-31|X|X|X|0|0|S35D6D3Y9KVTQ2|X|MUJER |0|24500|0|0|0|X|X|X|X|X|VILLAHERMOSA |X|0|0|0|0</v>
      </c>
    </row>
    <row r="272" spans="1:82" x14ac:dyDescent="0.25">
      <c r="A272" t="s">
        <v>2025</v>
      </c>
      <c r="B272" t="s">
        <v>2026</v>
      </c>
      <c r="C272">
        <v>3</v>
      </c>
      <c r="D272" t="s">
        <v>146</v>
      </c>
      <c r="E272" t="s">
        <v>359</v>
      </c>
      <c r="F272" t="s">
        <v>360</v>
      </c>
      <c r="G272" t="s">
        <v>360</v>
      </c>
      <c r="H272" t="s">
        <v>2011</v>
      </c>
      <c r="I272">
        <v>14800</v>
      </c>
      <c r="J272" t="s">
        <v>1</v>
      </c>
      <c r="K272" t="s">
        <v>1</v>
      </c>
      <c r="L272">
        <v>100</v>
      </c>
      <c r="M272">
        <v>0</v>
      </c>
      <c r="N272">
        <v>0</v>
      </c>
      <c r="O272" t="s">
        <v>1</v>
      </c>
      <c r="P272" t="s">
        <v>1</v>
      </c>
      <c r="Q272" t="s">
        <v>1</v>
      </c>
      <c r="R272" t="s">
        <v>1</v>
      </c>
      <c r="S272" t="s">
        <v>1</v>
      </c>
      <c r="T272" t="s">
        <v>1</v>
      </c>
      <c r="U272" t="s">
        <v>1</v>
      </c>
      <c r="V272" t="s">
        <v>1</v>
      </c>
      <c r="W272" t="s">
        <v>1</v>
      </c>
      <c r="X272" t="s">
        <v>1</v>
      </c>
      <c r="Y272" t="s">
        <v>1</v>
      </c>
      <c r="Z272" t="s">
        <v>1</v>
      </c>
      <c r="AA272">
        <v>0</v>
      </c>
      <c r="AB272" t="s">
        <v>921</v>
      </c>
      <c r="AC272" t="s">
        <v>395</v>
      </c>
      <c r="AD272" t="s">
        <v>2027</v>
      </c>
      <c r="AE272">
        <v>0</v>
      </c>
      <c r="AF272" t="s">
        <v>1</v>
      </c>
      <c r="AG272" t="s">
        <v>1</v>
      </c>
      <c r="AH272" t="s">
        <v>2028</v>
      </c>
      <c r="AI272" t="s">
        <v>2029</v>
      </c>
      <c r="AJ272" t="s">
        <v>1</v>
      </c>
      <c r="AK272">
        <v>9932637354</v>
      </c>
      <c r="AL272" t="s">
        <v>2030</v>
      </c>
      <c r="AM272" t="s">
        <v>2031</v>
      </c>
      <c r="AN272">
        <v>0</v>
      </c>
      <c r="AO272" t="s">
        <v>2028</v>
      </c>
      <c r="AP272" t="s">
        <v>1</v>
      </c>
      <c r="AQ272">
        <v>4</v>
      </c>
      <c r="AR272">
        <v>0</v>
      </c>
      <c r="AS272">
        <v>0</v>
      </c>
      <c r="AT272" t="s">
        <v>1</v>
      </c>
      <c r="AU272" t="s">
        <v>1</v>
      </c>
      <c r="AV272" t="s">
        <v>1</v>
      </c>
      <c r="AW272">
        <v>0</v>
      </c>
      <c r="AX272">
        <v>3400</v>
      </c>
      <c r="AY272">
        <v>11400</v>
      </c>
      <c r="AZ272">
        <v>0</v>
      </c>
      <c r="BA272">
        <v>0</v>
      </c>
      <c r="BB272" t="s">
        <v>1</v>
      </c>
      <c r="BC272" t="s">
        <v>312</v>
      </c>
      <c r="BD272" t="s">
        <v>147</v>
      </c>
      <c r="BE272" t="s">
        <v>1</v>
      </c>
      <c r="BF272" t="s">
        <v>1</v>
      </c>
      <c r="BG272" t="s">
        <v>1</v>
      </c>
      <c r="BH272">
        <v>0</v>
      </c>
      <c r="BI272">
        <v>0</v>
      </c>
      <c r="BJ272" t="s">
        <v>1930</v>
      </c>
      <c r="BK272" t="s">
        <v>1</v>
      </c>
      <c r="BL272" t="s">
        <v>1931</v>
      </c>
      <c r="BM272">
        <v>0</v>
      </c>
      <c r="BN272">
        <v>14800</v>
      </c>
      <c r="BO272">
        <v>0</v>
      </c>
      <c r="BP272">
        <v>0</v>
      </c>
      <c r="BQ272">
        <v>0</v>
      </c>
      <c r="BR272" t="s">
        <v>1</v>
      </c>
      <c r="BS272" t="s">
        <v>1</v>
      </c>
      <c r="BT272" t="s">
        <v>1</v>
      </c>
      <c r="BU272" t="s">
        <v>1</v>
      </c>
      <c r="BV272" t="s">
        <v>1</v>
      </c>
      <c r="BW272" t="s">
        <v>360</v>
      </c>
      <c r="BX272" t="s">
        <v>1</v>
      </c>
      <c r="BY272">
        <v>0</v>
      </c>
      <c r="BZ272">
        <v>0</v>
      </c>
      <c r="CA272">
        <v>0</v>
      </c>
      <c r="CB272">
        <v>0</v>
      </c>
      <c r="CD272" t="str" cm="1">
        <f t="array" aca="1" ref="CD272" ca="1">eConcatenar(A272:CB272,"|")</f>
        <v>QX2qbF05mT5v9PKk|VSA2021-0736|3|MEMORIAL |TABASCO|VILLAHERMOSA |VILLAHERMOSA |2021-04-24|14800|X|X|100|0|0|X|X|X|X|X|X|X|X|X|X|X|X|0|RODRIGUEZ |GARCIA |EMMA DEL CARMEN |0|X|X|CALLE DIANA LAURA ROJAS SIN NUMERO |RANCHERIA IXTACOMITAN SEGUNDA SECCION |X|9932637354|MIGUEL ANGEL VILLAMIL LEON |BENEFICIARIO 2 TRINIDAD CASTRO PEREZ |0|CALLE DIANA LAURA ROJAS SIN NUMERO |X|4|0|0|X|X|X|0|3400|11400|0|0|X|2021-12-24|2021-12-31|X|X|X|0|0|S35D6D3Y9KVTQ2|X|MUJER |0|14800|0|0|0|X|X|X|X|X|VILLAHERMOSA |X|0|0|0|0</v>
      </c>
    </row>
    <row r="273" spans="1:82" x14ac:dyDescent="0.25">
      <c r="A273" t="s">
        <v>2032</v>
      </c>
      <c r="B273" t="s">
        <v>2033</v>
      </c>
      <c r="C273">
        <v>3</v>
      </c>
      <c r="D273" t="s">
        <v>146</v>
      </c>
      <c r="E273" t="s">
        <v>359</v>
      </c>
      <c r="F273" t="s">
        <v>360</v>
      </c>
      <c r="G273" t="s">
        <v>360</v>
      </c>
      <c r="H273" t="s">
        <v>2034</v>
      </c>
      <c r="I273">
        <v>14800</v>
      </c>
      <c r="J273" t="s">
        <v>1</v>
      </c>
      <c r="K273" t="s">
        <v>1</v>
      </c>
      <c r="L273">
        <v>400</v>
      </c>
      <c r="M273">
        <v>2</v>
      </c>
      <c r="N273">
        <v>0</v>
      </c>
      <c r="O273" t="s">
        <v>1</v>
      </c>
      <c r="P273" t="s">
        <v>1</v>
      </c>
      <c r="Q273" t="s">
        <v>1</v>
      </c>
      <c r="R273" t="s">
        <v>1</v>
      </c>
      <c r="S273" t="s">
        <v>1</v>
      </c>
      <c r="T273" t="s">
        <v>1</v>
      </c>
      <c r="U273" t="s">
        <v>1</v>
      </c>
      <c r="V273" t="s">
        <v>1</v>
      </c>
      <c r="W273" t="s">
        <v>1</v>
      </c>
      <c r="X273" t="s">
        <v>1</v>
      </c>
      <c r="Y273" t="s">
        <v>1</v>
      </c>
      <c r="Z273" t="s">
        <v>1</v>
      </c>
      <c r="AA273">
        <v>0</v>
      </c>
      <c r="AB273" t="s">
        <v>2035</v>
      </c>
      <c r="AC273" t="s">
        <v>439</v>
      </c>
      <c r="AD273" t="s">
        <v>2036</v>
      </c>
      <c r="AE273">
        <v>0</v>
      </c>
      <c r="AF273" t="s">
        <v>1</v>
      </c>
      <c r="AG273" t="s">
        <v>1</v>
      </c>
      <c r="AH273" t="s">
        <v>2037</v>
      </c>
      <c r="AI273" t="s">
        <v>2038</v>
      </c>
      <c r="AJ273" t="s">
        <v>1</v>
      </c>
      <c r="AK273">
        <v>9934320223</v>
      </c>
      <c r="AL273" t="s">
        <v>2039</v>
      </c>
      <c r="AM273" t="s">
        <v>2040</v>
      </c>
      <c r="AN273">
        <v>0</v>
      </c>
      <c r="AO273" t="s">
        <v>2037</v>
      </c>
      <c r="AP273" t="s">
        <v>1</v>
      </c>
      <c r="AQ273">
        <v>4</v>
      </c>
      <c r="AR273">
        <v>0</v>
      </c>
      <c r="AS273">
        <v>0</v>
      </c>
      <c r="AT273" t="s">
        <v>1</v>
      </c>
      <c r="AU273" t="s">
        <v>1</v>
      </c>
      <c r="AV273" t="s">
        <v>1</v>
      </c>
      <c r="AW273">
        <v>0</v>
      </c>
      <c r="AX273">
        <v>2000</v>
      </c>
      <c r="AY273">
        <v>12800</v>
      </c>
      <c r="AZ273">
        <v>0</v>
      </c>
      <c r="BA273">
        <v>0</v>
      </c>
      <c r="BB273" t="s">
        <v>1</v>
      </c>
      <c r="BC273" t="s">
        <v>863</v>
      </c>
      <c r="BD273" t="s">
        <v>2041</v>
      </c>
      <c r="BE273" t="s">
        <v>1</v>
      </c>
      <c r="BF273" t="s">
        <v>1</v>
      </c>
      <c r="BG273" t="s">
        <v>1</v>
      </c>
      <c r="BH273">
        <v>0</v>
      </c>
      <c r="BI273">
        <v>0</v>
      </c>
      <c r="BJ273" t="s">
        <v>1930</v>
      </c>
      <c r="BK273" t="s">
        <v>1</v>
      </c>
      <c r="BL273" t="s">
        <v>131</v>
      </c>
      <c r="BM273">
        <v>0</v>
      </c>
      <c r="BN273">
        <v>14800</v>
      </c>
      <c r="BO273">
        <v>0</v>
      </c>
      <c r="BP273">
        <v>0</v>
      </c>
      <c r="BQ273">
        <v>0</v>
      </c>
      <c r="BR273" t="s">
        <v>1</v>
      </c>
      <c r="BS273" t="s">
        <v>1</v>
      </c>
      <c r="BT273" t="s">
        <v>1</v>
      </c>
      <c r="BU273" t="s">
        <v>1</v>
      </c>
      <c r="BV273" t="s">
        <v>1</v>
      </c>
      <c r="BW273" t="s">
        <v>360</v>
      </c>
      <c r="BX273" t="s">
        <v>1</v>
      </c>
      <c r="BY273">
        <v>0</v>
      </c>
      <c r="BZ273">
        <v>0</v>
      </c>
      <c r="CA273">
        <v>0</v>
      </c>
      <c r="CB273">
        <v>0</v>
      </c>
      <c r="CD273" t="str" cm="1">
        <f t="array" aca="1" ref="CD273" ca="1">eConcatenar(A273:CB273,"|")</f>
        <v>G8GoSk5PzHbq99zZ|VSA2021-0731|3|MEMORIAL |TABASCO|VILLAHERMOSA |VILLAHERMOSA |2021-04-23|14800|X|X|400|2|0|X|X|X|X|X|X|X|X|X|X|X|X|0|OSORIO |REYES |LUIS ALBERTO |0|X|X|CALLE GALEANA PRINMERA SIN NUMERO |RANCHERIA BOQUERON TERCERA SECCION |X|9934320223|LEONORA ALEJANDRA GONZALEZ RIVERA |BENEFICIARIO 2 CECILIA OSORIO REYES |0|CALLE GALEANA PRINMERA SIN NUMERO |X|4|0|0|X|X|X|0|2000|12800|0|0|X|2021-03-12|2022-03-01|X|X|X|0|0|S35D6D3Y9KVTQ2|X|HOMBRE |0|14800|0|0|0|X|X|X|X|X|VILLAHERMOSA |X|0|0|0|0</v>
      </c>
    </row>
    <row r="274" spans="1:82" x14ac:dyDescent="0.25">
      <c r="A274" t="s">
        <v>2042</v>
      </c>
      <c r="B274" t="s">
        <v>2043</v>
      </c>
      <c r="C274">
        <v>3</v>
      </c>
      <c r="D274" t="s">
        <v>146</v>
      </c>
      <c r="E274" t="s">
        <v>359</v>
      </c>
      <c r="F274" t="s">
        <v>360</v>
      </c>
      <c r="G274" t="s">
        <v>360</v>
      </c>
      <c r="H274" t="s">
        <v>2044</v>
      </c>
      <c r="I274">
        <v>14800</v>
      </c>
      <c r="J274" t="s">
        <v>1</v>
      </c>
      <c r="K274" t="s">
        <v>1</v>
      </c>
      <c r="L274">
        <v>200</v>
      </c>
      <c r="M274">
        <v>1</v>
      </c>
      <c r="N274">
        <v>0</v>
      </c>
      <c r="O274" t="s">
        <v>1</v>
      </c>
      <c r="P274" t="s">
        <v>1</v>
      </c>
      <c r="Q274" t="s">
        <v>1</v>
      </c>
      <c r="R274" t="s">
        <v>1</v>
      </c>
      <c r="S274" t="s">
        <v>1</v>
      </c>
      <c r="T274" t="s">
        <v>1</v>
      </c>
      <c r="U274" t="s">
        <v>1</v>
      </c>
      <c r="V274" t="s">
        <v>1</v>
      </c>
      <c r="W274" t="s">
        <v>1</v>
      </c>
      <c r="X274" t="s">
        <v>1</v>
      </c>
      <c r="Y274" t="s">
        <v>1</v>
      </c>
      <c r="Z274" t="s">
        <v>1</v>
      </c>
      <c r="AA274">
        <v>0</v>
      </c>
      <c r="AB274" t="s">
        <v>2045</v>
      </c>
      <c r="AC274" t="s">
        <v>2046</v>
      </c>
      <c r="AD274" t="s">
        <v>2047</v>
      </c>
      <c r="AE274">
        <v>0</v>
      </c>
      <c r="AF274" t="s">
        <v>1</v>
      </c>
      <c r="AG274" t="s">
        <v>1</v>
      </c>
      <c r="AH274" t="s">
        <v>2048</v>
      </c>
      <c r="AI274" t="s">
        <v>2038</v>
      </c>
      <c r="AJ274" t="s">
        <v>1</v>
      </c>
      <c r="AK274">
        <v>9932302986</v>
      </c>
      <c r="AL274" t="s">
        <v>2049</v>
      </c>
      <c r="AM274" t="s">
        <v>2050</v>
      </c>
      <c r="AN274">
        <v>0</v>
      </c>
      <c r="AO274" t="s">
        <v>2048</v>
      </c>
      <c r="AP274" t="s">
        <v>1</v>
      </c>
      <c r="AQ274">
        <v>4</v>
      </c>
      <c r="AR274">
        <v>0</v>
      </c>
      <c r="AS274">
        <v>0</v>
      </c>
      <c r="AT274" t="s">
        <v>1</v>
      </c>
      <c r="AU274" t="s">
        <v>1</v>
      </c>
      <c r="AV274" t="s">
        <v>1</v>
      </c>
      <c r="AW274">
        <v>0</v>
      </c>
      <c r="AX274">
        <v>2850</v>
      </c>
      <c r="AY274">
        <v>11950</v>
      </c>
      <c r="AZ274">
        <v>0</v>
      </c>
      <c r="BA274">
        <v>0</v>
      </c>
      <c r="BB274" t="s">
        <v>1</v>
      </c>
      <c r="BC274" t="s">
        <v>2044</v>
      </c>
      <c r="BD274" t="s">
        <v>147</v>
      </c>
      <c r="BE274" t="s">
        <v>1</v>
      </c>
      <c r="BF274" t="s">
        <v>1</v>
      </c>
      <c r="BG274" t="s">
        <v>1</v>
      </c>
      <c r="BH274">
        <v>0</v>
      </c>
      <c r="BI274">
        <v>0</v>
      </c>
      <c r="BJ274" t="s">
        <v>1930</v>
      </c>
      <c r="BK274" t="s">
        <v>1</v>
      </c>
      <c r="BL274" t="s">
        <v>1931</v>
      </c>
      <c r="BM274">
        <v>0</v>
      </c>
      <c r="BN274">
        <v>14800</v>
      </c>
      <c r="BO274">
        <v>0</v>
      </c>
      <c r="BP274">
        <v>0</v>
      </c>
      <c r="BQ274">
        <v>0</v>
      </c>
      <c r="BR274" t="s">
        <v>1</v>
      </c>
      <c r="BS274" t="s">
        <v>1</v>
      </c>
      <c r="BT274" t="s">
        <v>1</v>
      </c>
      <c r="BU274" t="s">
        <v>1</v>
      </c>
      <c r="BV274" t="s">
        <v>1</v>
      </c>
      <c r="BW274" t="s">
        <v>360</v>
      </c>
      <c r="BX274" t="s">
        <v>1</v>
      </c>
      <c r="BY274">
        <v>0</v>
      </c>
      <c r="BZ274">
        <v>0</v>
      </c>
      <c r="CA274">
        <v>0</v>
      </c>
      <c r="CB274">
        <v>0</v>
      </c>
      <c r="CD274" t="str" cm="1">
        <f t="array" aca="1" ref="CD274" ca="1">eConcatenar(A274:CB274,"|")</f>
        <v>RxTWWCnRQqAFguWn|VSA2021-0721|3|MEMORIAL |TABASCO|VILLAHERMOSA |VILLAHERMOSA |2021-04-21|14800|X|X|200|1|0|X|X|X|X|X|X|X|X|X|X|X|X|0|DELGADO |VALLE |MATILDE |0|X|X|ENTRADA GUANAL SIN NUMERO |RANCHERIA BOQUERON TERCERA SECCION |X|9932302986|MATILDE VALLE RUEDA |BENEFICIARIO 2 ABEL DELGADO VALLE |0|ENTRADA GUANAL SIN NUMERO |X|4|0|0|X|X|X|0|2850|11950|0|0|X|2021-04-21|2021-12-31|X|X|X|0|0|S35D6D3Y9KVTQ2|X|MUJER |0|14800|0|0|0|X|X|X|X|X|VILLAHERMOSA |X|0|0|0|0</v>
      </c>
    </row>
    <row r="275" spans="1:82" x14ac:dyDescent="0.25">
      <c r="A275" t="s">
        <v>2051</v>
      </c>
      <c r="B275" t="s">
        <v>2052</v>
      </c>
      <c r="C275">
        <v>3</v>
      </c>
      <c r="D275" t="s">
        <v>146</v>
      </c>
      <c r="E275" t="s">
        <v>359</v>
      </c>
      <c r="F275" t="s">
        <v>360</v>
      </c>
      <c r="G275" t="s">
        <v>360</v>
      </c>
      <c r="H275" t="s">
        <v>2044</v>
      </c>
      <c r="I275">
        <v>14800</v>
      </c>
      <c r="J275" t="s">
        <v>1</v>
      </c>
      <c r="K275" t="s">
        <v>1</v>
      </c>
      <c r="L275">
        <v>100</v>
      </c>
      <c r="M275">
        <v>0</v>
      </c>
      <c r="N275">
        <v>0</v>
      </c>
      <c r="O275" t="s">
        <v>1</v>
      </c>
      <c r="P275" t="s">
        <v>1</v>
      </c>
      <c r="Q275" t="s">
        <v>1</v>
      </c>
      <c r="R275" t="s">
        <v>1</v>
      </c>
      <c r="S275" t="s">
        <v>1</v>
      </c>
      <c r="T275" t="s">
        <v>1</v>
      </c>
      <c r="U275" t="s">
        <v>1</v>
      </c>
      <c r="V275" t="s">
        <v>1</v>
      </c>
      <c r="W275" t="s">
        <v>1</v>
      </c>
      <c r="X275" t="s">
        <v>1</v>
      </c>
      <c r="Y275" t="s">
        <v>1</v>
      </c>
      <c r="Z275" t="s">
        <v>1</v>
      </c>
      <c r="AA275">
        <v>0</v>
      </c>
      <c r="AB275" t="s">
        <v>2053</v>
      </c>
      <c r="AC275" t="s">
        <v>191</v>
      </c>
      <c r="AD275" t="s">
        <v>1998</v>
      </c>
      <c r="AE275">
        <v>0</v>
      </c>
      <c r="AF275" t="s">
        <v>1</v>
      </c>
      <c r="AG275" t="s">
        <v>1</v>
      </c>
      <c r="AH275" t="s">
        <v>2054</v>
      </c>
      <c r="AI275" t="s">
        <v>2022</v>
      </c>
      <c r="AJ275" t="s">
        <v>1</v>
      </c>
      <c r="AK275">
        <v>9934340273</v>
      </c>
      <c r="AL275" t="s">
        <v>2055</v>
      </c>
      <c r="AM275" t="s">
        <v>2056</v>
      </c>
      <c r="AN275">
        <v>0</v>
      </c>
      <c r="AO275" t="s">
        <v>2054</v>
      </c>
      <c r="AP275" t="s">
        <v>1</v>
      </c>
      <c r="AQ275">
        <v>5</v>
      </c>
      <c r="AR275">
        <v>0</v>
      </c>
      <c r="AS275">
        <v>0</v>
      </c>
      <c r="AT275" t="s">
        <v>1</v>
      </c>
      <c r="AU275" t="s">
        <v>1</v>
      </c>
      <c r="AV275" t="s">
        <v>1</v>
      </c>
      <c r="AW275">
        <v>0</v>
      </c>
      <c r="AX275">
        <v>2800</v>
      </c>
      <c r="AY275">
        <v>12000</v>
      </c>
      <c r="AZ275">
        <v>0</v>
      </c>
      <c r="BA275">
        <v>0</v>
      </c>
      <c r="BB275" t="s">
        <v>1</v>
      </c>
      <c r="BC275" t="s">
        <v>1995</v>
      </c>
      <c r="BD275" t="s">
        <v>147</v>
      </c>
      <c r="BE275" t="s">
        <v>1</v>
      </c>
      <c r="BF275" t="s">
        <v>1</v>
      </c>
      <c r="BG275" t="s">
        <v>1</v>
      </c>
      <c r="BH275">
        <v>0</v>
      </c>
      <c r="BI275">
        <v>0</v>
      </c>
      <c r="BJ275" t="s">
        <v>1930</v>
      </c>
      <c r="BK275" t="s">
        <v>1</v>
      </c>
      <c r="BL275" t="s">
        <v>1931</v>
      </c>
      <c r="BM275">
        <v>0</v>
      </c>
      <c r="BN275">
        <v>14800</v>
      </c>
      <c r="BO275">
        <v>0</v>
      </c>
      <c r="BP275">
        <v>0</v>
      </c>
      <c r="BQ275">
        <v>0</v>
      </c>
      <c r="BR275" t="s">
        <v>1</v>
      </c>
      <c r="BS275" t="s">
        <v>1</v>
      </c>
      <c r="BT275" t="s">
        <v>1</v>
      </c>
      <c r="BU275" t="s">
        <v>1</v>
      </c>
      <c r="BV275" t="s">
        <v>1</v>
      </c>
      <c r="BW275" t="s">
        <v>360</v>
      </c>
      <c r="BX275" t="s">
        <v>1</v>
      </c>
      <c r="BY275">
        <v>0</v>
      </c>
      <c r="BZ275">
        <v>0</v>
      </c>
      <c r="CA275">
        <v>0</v>
      </c>
      <c r="CB275">
        <v>0</v>
      </c>
      <c r="CD275" t="str" cm="1">
        <f t="array" aca="1" ref="CD275" ca="1">eConcatenar(A275:CB275,"|")</f>
        <v>RHR5W9o4s3nxdiZa|VSA2021-0720|3|MEMORIAL |TABASCO|VILLAHERMOSA |VILLAHERMOSA |2021-04-21|14800|X|X|100|0|0|X|X|X|X|X|X|X|X|X|X|X|X|0|MONTES |MARTINEZ |MARIA ISABEL |0|X|X|CALLEJON LOS MEDIDORES |RANCHERIA BOQUERON PRIMERA SECCION |X|9934340273|FRANCISCO CORDOVA CORDOVA |BENEFICIARIO 2 JOSE FRANCISCO CORDOVA MONTES |0|CALLEJON LOS MEDIDORES |X|5|0|0|X|X|X|0|2800|12000|0|0|X|2021-12-18|2021-12-31|X|X|X|0|0|S35D6D3Y9KVTQ2|X|MUJER |0|14800|0|0|0|X|X|X|X|X|VILLAHERMOSA |X|0|0|0|0</v>
      </c>
    </row>
    <row r="276" spans="1:82" x14ac:dyDescent="0.25">
      <c r="A276" t="s">
        <v>2057</v>
      </c>
      <c r="B276" t="s">
        <v>2058</v>
      </c>
      <c r="C276">
        <v>3</v>
      </c>
      <c r="D276" t="s">
        <v>146</v>
      </c>
      <c r="E276" t="s">
        <v>359</v>
      </c>
      <c r="F276" t="s">
        <v>360</v>
      </c>
      <c r="G276" t="s">
        <v>360</v>
      </c>
      <c r="H276" t="s">
        <v>2059</v>
      </c>
      <c r="I276">
        <v>14800</v>
      </c>
      <c r="J276" t="s">
        <v>1</v>
      </c>
      <c r="K276" t="s">
        <v>1</v>
      </c>
      <c r="L276">
        <v>200</v>
      </c>
      <c r="M276">
        <v>1</v>
      </c>
      <c r="N276">
        <v>0</v>
      </c>
      <c r="O276" t="s">
        <v>1</v>
      </c>
      <c r="P276" t="s">
        <v>1</v>
      </c>
      <c r="Q276" t="s">
        <v>1</v>
      </c>
      <c r="R276" t="s">
        <v>1</v>
      </c>
      <c r="S276" t="s">
        <v>1</v>
      </c>
      <c r="T276" t="s">
        <v>1</v>
      </c>
      <c r="U276" t="s">
        <v>1</v>
      </c>
      <c r="V276" t="s">
        <v>1</v>
      </c>
      <c r="W276" t="s">
        <v>1</v>
      </c>
      <c r="X276" t="s">
        <v>1</v>
      </c>
      <c r="Y276" t="s">
        <v>1</v>
      </c>
      <c r="Z276" t="s">
        <v>1</v>
      </c>
      <c r="AA276">
        <v>0</v>
      </c>
      <c r="AB276" t="s">
        <v>1181</v>
      </c>
      <c r="AC276" t="s">
        <v>2060</v>
      </c>
      <c r="AD276" t="s">
        <v>2061</v>
      </c>
      <c r="AE276">
        <v>0</v>
      </c>
      <c r="AF276" t="s">
        <v>1</v>
      </c>
      <c r="AG276" t="s">
        <v>1</v>
      </c>
      <c r="AH276" t="s">
        <v>2062</v>
      </c>
      <c r="AI276" t="s">
        <v>2063</v>
      </c>
      <c r="AJ276" t="s">
        <v>1</v>
      </c>
      <c r="AK276">
        <v>9931167177</v>
      </c>
      <c r="AL276" t="s">
        <v>2064</v>
      </c>
      <c r="AM276" t="s">
        <v>2065</v>
      </c>
      <c r="AN276">
        <v>0</v>
      </c>
      <c r="AO276" t="s">
        <v>2062</v>
      </c>
      <c r="AP276" t="s">
        <v>1</v>
      </c>
      <c r="AQ276">
        <v>4</v>
      </c>
      <c r="AR276">
        <v>0</v>
      </c>
      <c r="AS276">
        <v>0</v>
      </c>
      <c r="AT276" t="s">
        <v>1</v>
      </c>
      <c r="AU276" t="s">
        <v>1</v>
      </c>
      <c r="AV276" t="s">
        <v>1</v>
      </c>
      <c r="AW276">
        <v>0</v>
      </c>
      <c r="AX276">
        <v>1800</v>
      </c>
      <c r="AY276">
        <v>13000</v>
      </c>
      <c r="AZ276">
        <v>0</v>
      </c>
      <c r="BA276">
        <v>0</v>
      </c>
      <c r="BB276" t="s">
        <v>1</v>
      </c>
      <c r="BC276" t="s">
        <v>646</v>
      </c>
      <c r="BD276" t="s">
        <v>147</v>
      </c>
      <c r="BE276" t="s">
        <v>1</v>
      </c>
      <c r="BF276" t="s">
        <v>1</v>
      </c>
      <c r="BG276" t="s">
        <v>1</v>
      </c>
      <c r="BH276">
        <v>0</v>
      </c>
      <c r="BI276">
        <v>0</v>
      </c>
      <c r="BJ276" t="s">
        <v>1930</v>
      </c>
      <c r="BK276" t="s">
        <v>1</v>
      </c>
      <c r="BL276" t="s">
        <v>1931</v>
      </c>
      <c r="BM276">
        <v>0</v>
      </c>
      <c r="BN276">
        <v>14800</v>
      </c>
      <c r="BO276">
        <v>0</v>
      </c>
      <c r="BP276">
        <v>0</v>
      </c>
      <c r="BQ276">
        <v>0</v>
      </c>
      <c r="BR276" t="s">
        <v>1</v>
      </c>
      <c r="BS276" t="s">
        <v>1</v>
      </c>
      <c r="BT276" t="s">
        <v>1</v>
      </c>
      <c r="BU276" t="s">
        <v>1</v>
      </c>
      <c r="BV276" t="s">
        <v>1</v>
      </c>
      <c r="BW276" t="s">
        <v>360</v>
      </c>
      <c r="BX276" t="s">
        <v>1</v>
      </c>
      <c r="BY276">
        <v>0</v>
      </c>
      <c r="BZ276">
        <v>0</v>
      </c>
      <c r="CA276">
        <v>0</v>
      </c>
      <c r="CB276">
        <v>0</v>
      </c>
      <c r="CD276" t="str" cm="1">
        <f t="array" aca="1" ref="CD276" ca="1">eConcatenar(A276:CB276,"|")</f>
        <v>AIfDzEe2goIQLxdg|VSA2021-0713|3|MEMORIAL |TABASCO|VILLAHERMOSA |VILLAHERMOSA |2021-04-20|14800|X|X|200|1|0|X|X|X|X|X|X|X|X|X|X|X|X|0|DIAZ |CHABLE |ESTRELLA LEONOR |0|X|X|CALLE ENTOMOLOGOS |COLONIA GAVIOTAS SUR |X|9931167177|SERGIO DIAZ CHABLE |BENEFICIARIO 2 ROSA AURORA CRUZ DIAZ |0|CALLE ENTOMOLOGOS |X|4|0|0|X|X|X|0|1800|13000|0|0|X|2021-11-19|2021-12-31|X|X|X|0|0|S35D6D3Y9KVTQ2|X|MUJER |0|14800|0|0|0|X|X|X|X|X|VILLAHERMOSA |X|0|0|0|0</v>
      </c>
    </row>
    <row r="277" spans="1:82" x14ac:dyDescent="0.25">
      <c r="A277" t="s">
        <v>2066</v>
      </c>
      <c r="B277" t="s">
        <v>2067</v>
      </c>
      <c r="C277">
        <v>3</v>
      </c>
      <c r="D277" t="s">
        <v>146</v>
      </c>
      <c r="E277" t="s">
        <v>359</v>
      </c>
      <c r="F277" t="s">
        <v>360</v>
      </c>
      <c r="G277" t="s">
        <v>360</v>
      </c>
      <c r="H277" t="s">
        <v>2068</v>
      </c>
      <c r="I277">
        <v>14800</v>
      </c>
      <c r="J277" t="s">
        <v>1</v>
      </c>
      <c r="K277" t="s">
        <v>1</v>
      </c>
      <c r="L277">
        <v>100</v>
      </c>
      <c r="M277">
        <v>0</v>
      </c>
      <c r="N277">
        <v>0</v>
      </c>
      <c r="O277" t="s">
        <v>1</v>
      </c>
      <c r="P277" t="s">
        <v>1</v>
      </c>
      <c r="Q277" t="s">
        <v>1</v>
      </c>
      <c r="R277" t="s">
        <v>1</v>
      </c>
      <c r="S277" t="s">
        <v>1</v>
      </c>
      <c r="T277" t="s">
        <v>1</v>
      </c>
      <c r="U277" t="s">
        <v>1</v>
      </c>
      <c r="V277" t="s">
        <v>1</v>
      </c>
      <c r="W277" t="s">
        <v>1</v>
      </c>
      <c r="X277" t="s">
        <v>1</v>
      </c>
      <c r="Y277" t="s">
        <v>1</v>
      </c>
      <c r="Z277" t="s">
        <v>1</v>
      </c>
      <c r="AA277">
        <v>0</v>
      </c>
      <c r="AB277" t="s">
        <v>2069</v>
      </c>
      <c r="AC277" t="s">
        <v>1596</v>
      </c>
      <c r="AD277" t="s">
        <v>2070</v>
      </c>
      <c r="AE277">
        <v>0</v>
      </c>
      <c r="AF277" t="s">
        <v>1</v>
      </c>
      <c r="AG277" t="s">
        <v>1</v>
      </c>
      <c r="AH277" t="s">
        <v>545</v>
      </c>
      <c r="AI277" t="s">
        <v>2071</v>
      </c>
      <c r="AJ277" t="s">
        <v>1</v>
      </c>
      <c r="AK277" t="s">
        <v>1</v>
      </c>
      <c r="AL277" t="s">
        <v>2072</v>
      </c>
      <c r="AM277" t="s">
        <v>2073</v>
      </c>
      <c r="AN277">
        <v>0</v>
      </c>
      <c r="AO277" t="s">
        <v>545</v>
      </c>
      <c r="AP277" t="s">
        <v>1</v>
      </c>
      <c r="AQ277">
        <v>5</v>
      </c>
      <c r="AR277">
        <v>0</v>
      </c>
      <c r="AS277">
        <v>0</v>
      </c>
      <c r="AT277" t="s">
        <v>1</v>
      </c>
      <c r="AU277" t="s">
        <v>1</v>
      </c>
      <c r="AV277" t="s">
        <v>1</v>
      </c>
      <c r="AW277">
        <v>0</v>
      </c>
      <c r="AX277">
        <v>3350</v>
      </c>
      <c r="AY277">
        <v>11450</v>
      </c>
      <c r="AZ277">
        <v>0</v>
      </c>
      <c r="BA277">
        <v>0</v>
      </c>
      <c r="BB277" t="s">
        <v>1</v>
      </c>
      <c r="BC277" t="s">
        <v>2074</v>
      </c>
      <c r="BD277" t="s">
        <v>147</v>
      </c>
      <c r="BE277" t="s">
        <v>1</v>
      </c>
      <c r="BF277" t="s">
        <v>1</v>
      </c>
      <c r="BG277" t="s">
        <v>1</v>
      </c>
      <c r="BH277">
        <v>0</v>
      </c>
      <c r="BI277">
        <v>0</v>
      </c>
      <c r="BJ277" t="s">
        <v>1930</v>
      </c>
      <c r="BK277" t="s">
        <v>1</v>
      </c>
      <c r="BL277" t="s">
        <v>1931</v>
      </c>
      <c r="BM277">
        <v>0</v>
      </c>
      <c r="BN277">
        <v>14800</v>
      </c>
      <c r="BO277">
        <v>0</v>
      </c>
      <c r="BP277">
        <v>0</v>
      </c>
      <c r="BQ277">
        <v>0</v>
      </c>
      <c r="BR277" t="s">
        <v>1</v>
      </c>
      <c r="BS277" t="s">
        <v>1</v>
      </c>
      <c r="BT277" t="s">
        <v>1</v>
      </c>
      <c r="BU277" t="s">
        <v>1</v>
      </c>
      <c r="BV277" t="s">
        <v>1</v>
      </c>
      <c r="BW277" t="s">
        <v>360</v>
      </c>
      <c r="BX277" t="s">
        <v>1</v>
      </c>
      <c r="BY277">
        <v>0</v>
      </c>
      <c r="BZ277">
        <v>0</v>
      </c>
      <c r="CA277">
        <v>0</v>
      </c>
      <c r="CB277">
        <v>0</v>
      </c>
      <c r="CD277" t="str" cm="1">
        <f t="array" aca="1" ref="CD277" ca="1">eConcatenar(A277:CB277,"|")</f>
        <v>p5PoKPoYmSP43O6t|VSA2021-0683|3|MEMORIAL |TABASCO|VILLAHERMOSA |VILLAHERMOSA |2021-04-14|14800|X|X|100|0|0|X|X|X|X|X|X|X|X|X|X|X|X|0|VILLAMIL |LEON |MARI ANTONIA |0|X|X|CARRETERA PRINCIPAL SIN NUMERO |RANCHERIA IXTACOMITAN PRIMERA SECCION |X|X|ANTONIO DOMINGUEZ LANESTOSA|BENEFICIARIO 2 MARIA CRUZ DOMINGUEZ VILLAMIL |0|CARRETERA PRINCIPAL SIN NUMERO |X|5|0|0|X|X|X|0|3350|11450|0|0|X|2021-05-15|2021-12-31|X|X|X|0|0|S35D6D3Y9KVTQ2|X|MUJER |0|14800|0|0|0|X|X|X|X|X|VILLAHERMOSA |X|0|0|0|0</v>
      </c>
    </row>
    <row r="278" spans="1:82" x14ac:dyDescent="0.25">
      <c r="A278" t="s">
        <v>2075</v>
      </c>
      <c r="B278" t="s">
        <v>2076</v>
      </c>
      <c r="C278">
        <v>3</v>
      </c>
      <c r="D278" t="s">
        <v>146</v>
      </c>
      <c r="E278" t="s">
        <v>359</v>
      </c>
      <c r="F278" t="s">
        <v>360</v>
      </c>
      <c r="G278" t="s">
        <v>360</v>
      </c>
      <c r="H278" t="s">
        <v>2077</v>
      </c>
      <c r="I278">
        <v>14800</v>
      </c>
      <c r="J278" t="s">
        <v>1</v>
      </c>
      <c r="K278" t="s">
        <v>1</v>
      </c>
      <c r="L278">
        <v>200</v>
      </c>
      <c r="M278">
        <v>1</v>
      </c>
      <c r="N278">
        <v>0</v>
      </c>
      <c r="O278" t="s">
        <v>1</v>
      </c>
      <c r="P278" t="s">
        <v>1</v>
      </c>
      <c r="Q278" t="s">
        <v>1</v>
      </c>
      <c r="R278" t="s">
        <v>1</v>
      </c>
      <c r="S278" t="s">
        <v>1</v>
      </c>
      <c r="T278" t="s">
        <v>1</v>
      </c>
      <c r="U278" t="s">
        <v>1</v>
      </c>
      <c r="V278" t="s">
        <v>1</v>
      </c>
      <c r="W278" t="s">
        <v>1</v>
      </c>
      <c r="X278" t="s">
        <v>1</v>
      </c>
      <c r="Y278" t="s">
        <v>1</v>
      </c>
      <c r="Z278" t="s">
        <v>1</v>
      </c>
      <c r="AA278">
        <v>0</v>
      </c>
      <c r="AB278" t="s">
        <v>584</v>
      </c>
      <c r="AC278" t="s">
        <v>1203</v>
      </c>
      <c r="AD278" t="s">
        <v>2078</v>
      </c>
      <c r="AE278">
        <v>0</v>
      </c>
      <c r="AF278" t="s">
        <v>1</v>
      </c>
      <c r="AG278" t="s">
        <v>1</v>
      </c>
      <c r="AH278" t="s">
        <v>2079</v>
      </c>
      <c r="AI278" t="s">
        <v>2080</v>
      </c>
      <c r="AJ278" t="s">
        <v>1</v>
      </c>
      <c r="AK278">
        <v>9933478968</v>
      </c>
      <c r="AL278" t="s">
        <v>2081</v>
      </c>
      <c r="AM278" t="s">
        <v>2082</v>
      </c>
      <c r="AN278">
        <v>0</v>
      </c>
      <c r="AO278" t="s">
        <v>2079</v>
      </c>
      <c r="AP278" t="s">
        <v>1</v>
      </c>
      <c r="AQ278">
        <v>4</v>
      </c>
      <c r="AR278">
        <v>0</v>
      </c>
      <c r="AS278">
        <v>0</v>
      </c>
      <c r="AT278" t="s">
        <v>1</v>
      </c>
      <c r="AU278" t="s">
        <v>1</v>
      </c>
      <c r="AV278" t="s">
        <v>1</v>
      </c>
      <c r="AW278">
        <v>0</v>
      </c>
      <c r="AX278">
        <v>2300</v>
      </c>
      <c r="AY278">
        <v>12500</v>
      </c>
      <c r="AZ278">
        <v>0</v>
      </c>
      <c r="BA278">
        <v>0</v>
      </c>
      <c r="BB278" t="s">
        <v>1</v>
      </c>
      <c r="BC278" t="s">
        <v>1954</v>
      </c>
      <c r="BD278" t="s">
        <v>147</v>
      </c>
      <c r="BE278" t="s">
        <v>1</v>
      </c>
      <c r="BF278" t="s">
        <v>1</v>
      </c>
      <c r="BG278" t="s">
        <v>1</v>
      </c>
      <c r="BH278">
        <v>0</v>
      </c>
      <c r="BI278">
        <v>0</v>
      </c>
      <c r="BJ278" t="s">
        <v>1930</v>
      </c>
      <c r="BK278" t="s">
        <v>1</v>
      </c>
      <c r="BL278" t="s">
        <v>1931</v>
      </c>
      <c r="BM278">
        <v>0</v>
      </c>
      <c r="BN278">
        <v>14800</v>
      </c>
      <c r="BO278">
        <v>0</v>
      </c>
      <c r="BP278">
        <v>0</v>
      </c>
      <c r="BQ278">
        <v>0</v>
      </c>
      <c r="BR278" t="s">
        <v>1</v>
      </c>
      <c r="BS278" t="s">
        <v>1</v>
      </c>
      <c r="BT278" t="s">
        <v>1</v>
      </c>
      <c r="BU278" t="s">
        <v>1</v>
      </c>
      <c r="BV278" t="s">
        <v>1</v>
      </c>
      <c r="BW278" t="s">
        <v>360</v>
      </c>
      <c r="BX278" t="s">
        <v>1</v>
      </c>
      <c r="BY278">
        <v>0</v>
      </c>
      <c r="BZ278">
        <v>0</v>
      </c>
      <c r="CA278">
        <v>0</v>
      </c>
      <c r="CB278">
        <v>0</v>
      </c>
      <c r="CD278" t="str" cm="1">
        <f t="array" aca="1" ref="CD278" ca="1">eConcatenar(A278:CB278,"|")</f>
        <v>SwnDaZAeigYRwe39|VSA2021-0668|3|MEMORIAL |TABASCO|VILLAHERMOSA |VILLAHERMOSA |2021-08-04|14800|X|X|200|1|0|X|X|X|X|X|X|X|X|X|X|X|X|0|HERNANDEZ |DE LA ROSA |GRACIELA DEL CARMEN |0|X|X|CALLE CAMPESINO |COLONIA ATASTA |X|9933478968|AMPARO DE LA ROSA LEON |BENEFICIARIO 2 JORGE RAUL LOPEZ VILLEGAS |0|CALLE CAMPESINO |X|4|0|0|X|X|X|0|2300|12500|0|0|X|2021-12-17|2021-12-31|X|X|X|0|0|S35D6D3Y9KVTQ2|X|MUJER |0|14800|0|0|0|X|X|X|X|X|VILLAHERMOSA |X|0|0|0|0</v>
      </c>
    </row>
    <row r="279" spans="1:82" x14ac:dyDescent="0.25">
      <c r="A279" t="s">
        <v>2083</v>
      </c>
      <c r="B279" t="s">
        <v>2084</v>
      </c>
      <c r="C279">
        <v>3</v>
      </c>
      <c r="D279" t="s">
        <v>1945</v>
      </c>
      <c r="E279" t="s">
        <v>359</v>
      </c>
      <c r="F279" t="s">
        <v>360</v>
      </c>
      <c r="G279" t="s">
        <v>360</v>
      </c>
      <c r="H279" t="s">
        <v>1210</v>
      </c>
      <c r="I279">
        <v>35000</v>
      </c>
      <c r="J279" t="s">
        <v>1</v>
      </c>
      <c r="K279" t="s">
        <v>1</v>
      </c>
      <c r="L279">
        <v>200</v>
      </c>
      <c r="M279">
        <v>1</v>
      </c>
      <c r="N279">
        <v>0</v>
      </c>
      <c r="O279" t="s">
        <v>1</v>
      </c>
      <c r="P279" t="s">
        <v>1</v>
      </c>
      <c r="Q279" t="s">
        <v>1</v>
      </c>
      <c r="R279" t="s">
        <v>1</v>
      </c>
      <c r="S279" t="s">
        <v>1</v>
      </c>
      <c r="T279" t="s">
        <v>1</v>
      </c>
      <c r="U279" t="s">
        <v>1</v>
      </c>
      <c r="V279" t="s">
        <v>1</v>
      </c>
      <c r="W279" t="s">
        <v>1</v>
      </c>
      <c r="X279" t="s">
        <v>1</v>
      </c>
      <c r="Y279" t="s">
        <v>1</v>
      </c>
      <c r="Z279" t="s">
        <v>1</v>
      </c>
      <c r="AA279">
        <v>0</v>
      </c>
      <c r="AB279" t="s">
        <v>1533</v>
      </c>
      <c r="AC279" t="s">
        <v>528</v>
      </c>
      <c r="AD279" t="s">
        <v>2085</v>
      </c>
      <c r="AE279">
        <v>0</v>
      </c>
      <c r="AF279" t="s">
        <v>1</v>
      </c>
      <c r="AG279" t="s">
        <v>1</v>
      </c>
      <c r="AH279" t="s">
        <v>545</v>
      </c>
      <c r="AI279" t="s">
        <v>2086</v>
      </c>
      <c r="AJ279" t="s">
        <v>1</v>
      </c>
      <c r="AK279">
        <v>9931186491</v>
      </c>
      <c r="AL279" t="s">
        <v>2087</v>
      </c>
      <c r="AM279" t="s">
        <v>2088</v>
      </c>
      <c r="AN279">
        <v>0</v>
      </c>
      <c r="AO279" t="s">
        <v>545</v>
      </c>
      <c r="AP279" t="s">
        <v>1</v>
      </c>
      <c r="AQ279">
        <v>5</v>
      </c>
      <c r="AR279">
        <v>0</v>
      </c>
      <c r="AS279">
        <v>0</v>
      </c>
      <c r="AT279" t="s">
        <v>1</v>
      </c>
      <c r="AU279" t="s">
        <v>1</v>
      </c>
      <c r="AV279" t="s">
        <v>1</v>
      </c>
      <c r="AW279">
        <v>0</v>
      </c>
      <c r="AX279">
        <v>4500</v>
      </c>
      <c r="AY279">
        <v>30500</v>
      </c>
      <c r="AZ279">
        <v>0</v>
      </c>
      <c r="BA279">
        <v>0</v>
      </c>
      <c r="BB279" t="s">
        <v>1</v>
      </c>
      <c r="BC279" t="s">
        <v>2089</v>
      </c>
      <c r="BD279" t="s">
        <v>147</v>
      </c>
      <c r="BE279" t="s">
        <v>1</v>
      </c>
      <c r="BF279" t="s">
        <v>1</v>
      </c>
      <c r="BG279" t="s">
        <v>1</v>
      </c>
      <c r="BH279">
        <v>0</v>
      </c>
      <c r="BI279">
        <v>0</v>
      </c>
      <c r="BJ279" t="s">
        <v>1930</v>
      </c>
      <c r="BK279" t="s">
        <v>1</v>
      </c>
      <c r="BL279" t="s">
        <v>1931</v>
      </c>
      <c r="BM279">
        <v>0</v>
      </c>
      <c r="BN279">
        <v>14800</v>
      </c>
      <c r="BO279">
        <v>0</v>
      </c>
      <c r="BP279">
        <v>0</v>
      </c>
      <c r="BQ279">
        <v>0</v>
      </c>
      <c r="BR279" t="s">
        <v>1</v>
      </c>
      <c r="BS279" t="s">
        <v>1</v>
      </c>
      <c r="BT279" t="s">
        <v>1</v>
      </c>
      <c r="BU279" t="s">
        <v>1</v>
      </c>
      <c r="BV279" t="s">
        <v>1</v>
      </c>
      <c r="BW279" t="s">
        <v>360</v>
      </c>
      <c r="BX279" t="s">
        <v>1</v>
      </c>
      <c r="BY279">
        <v>0</v>
      </c>
      <c r="BZ279">
        <v>0</v>
      </c>
      <c r="CA279">
        <v>0</v>
      </c>
      <c r="CB279">
        <v>0</v>
      </c>
      <c r="CD279" t="str" cm="1">
        <f t="array" aca="1" ref="CD279" ca="1">eConcatenar(A279:CB279,"|")</f>
        <v>YhxmUmEE7yjjliI4|VSA2021-0593|3|DELUX |TABASCO|VILLAHERMOSA |VILLAHERMOSA |2021-03-26|35000|X|X|200|1|0|X|X|X|X|X|X|X|X|X|X|X|X|0|ZAPATA |RAMIREZ |ROCIO |0|X|X|CARRETERA PRINCIPAL SIN NUMERO |RANCHERIA MEDELLIN Y MADERO CUARTA SECCION |X|9931186491|JOSE ANGEL PEREYRA PEREYRA |BENEFICIARIO 2 AKETZALLI PEREYRA ZAPATA |0|CARRETERA PRINCIPAL SIN NUMERO |X|5|0|0|X|X|X|0|4500|30500|0|0|X|2021-12-19|2021-12-31|X|X|X|0|0|S35D6D3Y9KVTQ2|X|MUJER |0|14800|0|0|0|X|X|X|X|X|VILLAHERMOSA |X|0|0|0|0</v>
      </c>
    </row>
    <row r="280" spans="1:82" x14ac:dyDescent="0.25">
      <c r="A280" t="s">
        <v>2090</v>
      </c>
      <c r="B280" t="s">
        <v>2091</v>
      </c>
      <c r="C280">
        <v>3</v>
      </c>
      <c r="D280" t="s">
        <v>146</v>
      </c>
      <c r="E280" t="s">
        <v>359</v>
      </c>
      <c r="F280" t="s">
        <v>360</v>
      </c>
      <c r="G280" t="s">
        <v>360</v>
      </c>
      <c r="H280" t="s">
        <v>2092</v>
      </c>
      <c r="I280">
        <v>14800</v>
      </c>
      <c r="J280" t="s">
        <v>1</v>
      </c>
      <c r="K280" t="s">
        <v>1</v>
      </c>
      <c r="L280">
        <v>100</v>
      </c>
      <c r="M280">
        <v>0</v>
      </c>
      <c r="N280">
        <v>0</v>
      </c>
      <c r="O280" t="s">
        <v>1</v>
      </c>
      <c r="P280" t="s">
        <v>1</v>
      </c>
      <c r="Q280" t="s">
        <v>1</v>
      </c>
      <c r="R280" t="s">
        <v>1</v>
      </c>
      <c r="S280" t="s">
        <v>1</v>
      </c>
      <c r="T280" t="s">
        <v>1</v>
      </c>
      <c r="U280" t="s">
        <v>1</v>
      </c>
      <c r="V280" t="s">
        <v>1</v>
      </c>
      <c r="W280" t="s">
        <v>1</v>
      </c>
      <c r="X280" t="s">
        <v>1</v>
      </c>
      <c r="Y280" t="s">
        <v>1</v>
      </c>
      <c r="Z280" t="s">
        <v>1</v>
      </c>
      <c r="AA280">
        <v>0</v>
      </c>
      <c r="AB280" t="s">
        <v>1227</v>
      </c>
      <c r="AC280" t="s">
        <v>2093</v>
      </c>
      <c r="AD280" t="s">
        <v>2094</v>
      </c>
      <c r="AE280">
        <v>0</v>
      </c>
      <c r="AF280" t="s">
        <v>1</v>
      </c>
      <c r="AG280" t="s">
        <v>1</v>
      </c>
      <c r="AH280" t="s">
        <v>2095</v>
      </c>
      <c r="AI280" t="s">
        <v>2096</v>
      </c>
      <c r="AJ280" t="s">
        <v>1</v>
      </c>
      <c r="AK280">
        <v>9933965459</v>
      </c>
      <c r="AL280" t="s">
        <v>2097</v>
      </c>
      <c r="AM280" t="s">
        <v>2098</v>
      </c>
      <c r="AN280">
        <v>0</v>
      </c>
      <c r="AO280" t="s">
        <v>2095</v>
      </c>
      <c r="AP280" t="s">
        <v>1</v>
      </c>
      <c r="AQ280">
        <v>5</v>
      </c>
      <c r="AR280">
        <v>0</v>
      </c>
      <c r="AS280">
        <v>0</v>
      </c>
      <c r="AT280" t="s">
        <v>1</v>
      </c>
      <c r="AU280" t="s">
        <v>1</v>
      </c>
      <c r="AV280" t="s">
        <v>1</v>
      </c>
      <c r="AW280">
        <v>0</v>
      </c>
      <c r="AX280">
        <v>400</v>
      </c>
      <c r="AY280">
        <v>14400</v>
      </c>
      <c r="AZ280">
        <v>0</v>
      </c>
      <c r="BA280">
        <v>0</v>
      </c>
      <c r="BB280" t="s">
        <v>1</v>
      </c>
      <c r="BC280" t="s">
        <v>2092</v>
      </c>
      <c r="BD280" t="s">
        <v>147</v>
      </c>
      <c r="BE280" t="s">
        <v>1</v>
      </c>
      <c r="BF280" t="s">
        <v>1</v>
      </c>
      <c r="BG280" t="s">
        <v>1</v>
      </c>
      <c r="BH280">
        <v>0</v>
      </c>
      <c r="BI280">
        <v>0</v>
      </c>
      <c r="BJ280" t="s">
        <v>1930</v>
      </c>
      <c r="BK280" t="s">
        <v>1</v>
      </c>
      <c r="BL280" t="s">
        <v>131</v>
      </c>
      <c r="BM280">
        <v>0</v>
      </c>
      <c r="BN280">
        <v>14800</v>
      </c>
      <c r="BO280">
        <v>0</v>
      </c>
      <c r="BP280">
        <v>0</v>
      </c>
      <c r="BQ280">
        <v>0</v>
      </c>
      <c r="BR280" t="s">
        <v>1</v>
      </c>
      <c r="BS280" t="s">
        <v>1</v>
      </c>
      <c r="BT280" t="s">
        <v>1</v>
      </c>
      <c r="BU280" t="s">
        <v>1</v>
      </c>
      <c r="BV280" t="s">
        <v>1</v>
      </c>
      <c r="BW280" t="s">
        <v>360</v>
      </c>
      <c r="BX280" t="s">
        <v>1</v>
      </c>
      <c r="BY280">
        <v>0</v>
      </c>
      <c r="BZ280">
        <v>0</v>
      </c>
      <c r="CA280">
        <v>0</v>
      </c>
      <c r="CB280">
        <v>0</v>
      </c>
      <c r="CD280" t="str" cm="1">
        <f t="array" aca="1" ref="CD280" ca="1">eConcatenar(A280:CB280,"|")</f>
        <v>PosISTLWLpXwafiE|VSA2021-0567|3|MEMORIAL |TABASCO|VILLAHERMOSA |VILLAHERMOSA |2021-03-22|14800|X|X|100|0|0|X|X|X|X|X|X|X|X|X|X|X|X|0|VILLEGAS |CONTRERA S|JOSELITO |0|X|X|CALLE FAISAN |COLONIA JOSE MARIA PINO SUAREZ |X|9933965459|AMELIA GUZMAN LUNA |BENEFICIARIO 2 JULIO CESAR VILLEGAS GUZMAN |0|CALLE FAISAN |X|5|0|0|X|X|X|0|400|14400|0|0|X|2021-03-22|2021-12-31|X|X|X|0|0|S35D6D3Y9KVTQ2|X|HOMBRE |0|14800|0|0|0|X|X|X|X|X|VILLAHERMOSA |X|0|0|0|0</v>
      </c>
    </row>
    <row r="281" spans="1:82" x14ac:dyDescent="0.25">
      <c r="A281" t="s">
        <v>2099</v>
      </c>
      <c r="B281" t="s">
        <v>2100</v>
      </c>
      <c r="C281">
        <v>3</v>
      </c>
      <c r="D281" t="s">
        <v>121</v>
      </c>
      <c r="E281" t="s">
        <v>359</v>
      </c>
      <c r="F281" t="s">
        <v>360</v>
      </c>
      <c r="G281" t="s">
        <v>360</v>
      </c>
      <c r="H281" t="s">
        <v>2101</v>
      </c>
      <c r="I281">
        <v>12900</v>
      </c>
      <c r="J281" t="s">
        <v>1</v>
      </c>
      <c r="K281" t="s">
        <v>1</v>
      </c>
      <c r="L281">
        <v>200</v>
      </c>
      <c r="M281">
        <v>1</v>
      </c>
      <c r="N281">
        <v>0</v>
      </c>
      <c r="O281" t="s">
        <v>1</v>
      </c>
      <c r="P281" t="s">
        <v>1</v>
      </c>
      <c r="Q281" t="s">
        <v>1</v>
      </c>
      <c r="R281" t="s">
        <v>1</v>
      </c>
      <c r="S281" t="s">
        <v>1</v>
      </c>
      <c r="T281" t="s">
        <v>1</v>
      </c>
      <c r="U281" t="s">
        <v>1</v>
      </c>
      <c r="V281" t="s">
        <v>1</v>
      </c>
      <c r="W281" t="s">
        <v>1</v>
      </c>
      <c r="X281" t="s">
        <v>1</v>
      </c>
      <c r="Y281" t="s">
        <v>1</v>
      </c>
      <c r="Z281" t="s">
        <v>1</v>
      </c>
      <c r="AA281">
        <v>0</v>
      </c>
      <c r="AB281" t="s">
        <v>2102</v>
      </c>
      <c r="AC281" t="s">
        <v>479</v>
      </c>
      <c r="AD281" t="s">
        <v>2103</v>
      </c>
      <c r="AE281">
        <v>0</v>
      </c>
      <c r="AF281" t="s">
        <v>1</v>
      </c>
      <c r="AG281" t="s">
        <v>1</v>
      </c>
      <c r="AH281" t="s">
        <v>2104</v>
      </c>
      <c r="AI281" t="s">
        <v>2063</v>
      </c>
      <c r="AJ281" t="s">
        <v>1</v>
      </c>
      <c r="AK281">
        <v>9931354245</v>
      </c>
      <c r="AL281" t="s">
        <v>2105</v>
      </c>
      <c r="AM281" t="s">
        <v>2106</v>
      </c>
      <c r="AN281">
        <v>0</v>
      </c>
      <c r="AO281" t="s">
        <v>2104</v>
      </c>
      <c r="AP281" t="s">
        <v>1</v>
      </c>
      <c r="AQ281">
        <v>5</v>
      </c>
      <c r="AR281">
        <v>0</v>
      </c>
      <c r="AS281">
        <v>0</v>
      </c>
      <c r="AT281" t="s">
        <v>1</v>
      </c>
      <c r="AU281" t="s">
        <v>1</v>
      </c>
      <c r="AV281" t="s">
        <v>1</v>
      </c>
      <c r="AW281">
        <v>0</v>
      </c>
      <c r="AX281">
        <v>2000</v>
      </c>
      <c r="AY281">
        <v>10900</v>
      </c>
      <c r="AZ281">
        <v>0</v>
      </c>
      <c r="BA281">
        <v>0</v>
      </c>
      <c r="BB281" t="s">
        <v>1</v>
      </c>
      <c r="BC281" t="s">
        <v>863</v>
      </c>
      <c r="BD281" t="s">
        <v>147</v>
      </c>
      <c r="BE281" t="s">
        <v>1</v>
      </c>
      <c r="BF281" t="s">
        <v>1</v>
      </c>
      <c r="BG281" t="s">
        <v>1</v>
      </c>
      <c r="BH281">
        <v>0</v>
      </c>
      <c r="BI281">
        <v>0</v>
      </c>
      <c r="BJ281" t="s">
        <v>1930</v>
      </c>
      <c r="BK281" t="s">
        <v>1</v>
      </c>
      <c r="BL281" t="s">
        <v>131</v>
      </c>
      <c r="BM281">
        <v>0</v>
      </c>
      <c r="BN281">
        <v>12900</v>
      </c>
      <c r="BO281">
        <v>0</v>
      </c>
      <c r="BP281">
        <v>0</v>
      </c>
      <c r="BQ281">
        <v>0</v>
      </c>
      <c r="BR281" t="s">
        <v>1</v>
      </c>
      <c r="BS281" t="s">
        <v>1</v>
      </c>
      <c r="BT281" t="s">
        <v>1</v>
      </c>
      <c r="BU281" t="s">
        <v>1</v>
      </c>
      <c r="BV281" t="s">
        <v>1</v>
      </c>
      <c r="BW281" t="s">
        <v>360</v>
      </c>
      <c r="BX281" t="s">
        <v>1</v>
      </c>
      <c r="BY281">
        <v>0</v>
      </c>
      <c r="BZ281">
        <v>0</v>
      </c>
      <c r="CA281">
        <v>0</v>
      </c>
      <c r="CB281">
        <v>0</v>
      </c>
      <c r="CD281" t="str" cm="1">
        <f t="array" aca="1" ref="CD281" ca="1">eConcatenar(A281:CB281,"|")</f>
        <v>iHRmll8PH2wdMU7v|VSA2021-0505|3|IMPERIAL DE LUJO |TABASCO|VILLAHERMOSA |VILLAHERMOSA |2021-09-03|12900|X|X|200|1|0|X|X|X|X|X|X|X|X|X|X|X|X|0|CUPIDO|SANCHEZ |ALVARO |0|X|X|CALLE ESCRITORES |COLONIA GAVIOTAS SUR |X|9931354245|MARIA VICTORIA ARIAS VIDAL |BENEFICIARIO 2 VANESA CRISTINA CUPIDO ARIAS |0|CALLE ESCRITORES |X|5|0|0|X|X|X|0|2000|10900|0|0|X|2021-03-12|2021-12-31|X|X|X|0|0|S35D6D3Y9KVTQ2|X|HOMBRE |0|12900|0|0|0|X|X|X|X|X|VILLAHERMOSA |X|0|0|0|0</v>
      </c>
    </row>
    <row r="282" spans="1:82" x14ac:dyDescent="0.25">
      <c r="A282" t="s">
        <v>2107</v>
      </c>
      <c r="B282" t="s">
        <v>2108</v>
      </c>
      <c r="C282">
        <v>3</v>
      </c>
      <c r="D282" t="s">
        <v>121</v>
      </c>
      <c r="E282" t="s">
        <v>359</v>
      </c>
      <c r="F282" t="s">
        <v>360</v>
      </c>
      <c r="G282" t="s">
        <v>360</v>
      </c>
      <c r="H282" t="s">
        <v>2109</v>
      </c>
      <c r="I282">
        <v>12900</v>
      </c>
      <c r="J282" t="s">
        <v>1</v>
      </c>
      <c r="K282" t="s">
        <v>1</v>
      </c>
      <c r="L282">
        <v>200</v>
      </c>
      <c r="M282">
        <v>1</v>
      </c>
      <c r="N282">
        <v>0</v>
      </c>
      <c r="O282" t="s">
        <v>1</v>
      </c>
      <c r="P282" t="s">
        <v>1</v>
      </c>
      <c r="Q282" t="s">
        <v>1</v>
      </c>
      <c r="R282" t="s">
        <v>1</v>
      </c>
      <c r="S282" t="s">
        <v>1</v>
      </c>
      <c r="T282" t="s">
        <v>1</v>
      </c>
      <c r="U282" t="s">
        <v>1</v>
      </c>
      <c r="V282" t="s">
        <v>1</v>
      </c>
      <c r="W282" t="s">
        <v>1</v>
      </c>
      <c r="X282" t="s">
        <v>1</v>
      </c>
      <c r="Y282" t="s">
        <v>1</v>
      </c>
      <c r="Z282" t="s">
        <v>1</v>
      </c>
      <c r="AA282">
        <v>0</v>
      </c>
      <c r="AB282" t="s">
        <v>761</v>
      </c>
      <c r="AC282" t="s">
        <v>407</v>
      </c>
      <c r="AD282" t="s">
        <v>2110</v>
      </c>
      <c r="AE282">
        <v>0</v>
      </c>
      <c r="AF282" t="s">
        <v>1</v>
      </c>
      <c r="AG282" t="s">
        <v>1</v>
      </c>
      <c r="AH282" t="s">
        <v>2111</v>
      </c>
      <c r="AI282" t="s">
        <v>2112</v>
      </c>
      <c r="AJ282" t="s">
        <v>1</v>
      </c>
      <c r="AK282">
        <v>9932169605</v>
      </c>
      <c r="AL282" t="s">
        <v>2113</v>
      </c>
      <c r="AM282" t="s">
        <v>2114</v>
      </c>
      <c r="AN282">
        <v>0</v>
      </c>
      <c r="AO282" t="s">
        <v>2111</v>
      </c>
      <c r="AP282" t="s">
        <v>1</v>
      </c>
      <c r="AQ282">
        <v>5</v>
      </c>
      <c r="AR282">
        <v>0</v>
      </c>
      <c r="AS282">
        <v>0</v>
      </c>
      <c r="AT282" t="s">
        <v>1</v>
      </c>
      <c r="AU282" t="s">
        <v>1</v>
      </c>
      <c r="AV282" t="s">
        <v>1</v>
      </c>
      <c r="AW282">
        <v>0</v>
      </c>
      <c r="AX282">
        <v>5400</v>
      </c>
      <c r="AY282">
        <v>7500</v>
      </c>
      <c r="AZ282">
        <v>0</v>
      </c>
      <c r="BA282">
        <v>0</v>
      </c>
      <c r="BB282" t="s">
        <v>1</v>
      </c>
      <c r="BC282" t="s">
        <v>1954</v>
      </c>
      <c r="BD282" t="s">
        <v>147</v>
      </c>
      <c r="BE282" t="s">
        <v>1</v>
      </c>
      <c r="BF282" t="s">
        <v>1</v>
      </c>
      <c r="BG282" t="s">
        <v>1</v>
      </c>
      <c r="BH282">
        <v>0</v>
      </c>
      <c r="BI282">
        <v>0</v>
      </c>
      <c r="BJ282" t="s">
        <v>1930</v>
      </c>
      <c r="BK282" t="s">
        <v>1</v>
      </c>
      <c r="BL282" t="s">
        <v>1931</v>
      </c>
      <c r="BM282">
        <v>0</v>
      </c>
      <c r="BN282">
        <v>12900</v>
      </c>
      <c r="BO282">
        <v>0</v>
      </c>
      <c r="BP282">
        <v>0</v>
      </c>
      <c r="BQ282">
        <v>0</v>
      </c>
      <c r="BR282" t="s">
        <v>1</v>
      </c>
      <c r="BS282" t="s">
        <v>1</v>
      </c>
      <c r="BT282" t="s">
        <v>1</v>
      </c>
      <c r="BU282" t="s">
        <v>1</v>
      </c>
      <c r="BV282" t="s">
        <v>1</v>
      </c>
      <c r="BW282" t="s">
        <v>360</v>
      </c>
      <c r="BX282" t="s">
        <v>1</v>
      </c>
      <c r="BY282">
        <v>0</v>
      </c>
      <c r="BZ282">
        <v>0</v>
      </c>
      <c r="CA282">
        <v>0</v>
      </c>
      <c r="CB282">
        <v>0</v>
      </c>
      <c r="CD282" t="str" cm="1">
        <f t="array" aca="1" ref="CD282" ca="1">eConcatenar(A282:CB282,"|")</f>
        <v>6BnjneYihDmVdtpR|VSA2021-0359|3|IMPERIAL DE LUJO |TABASCO|VILLAHERMOSA |VILLAHERMOSA |2021-02-18|12900|X|X|200|1|0|X|X|X|X|X|X|X|X|X|X|X|X|0|TORRES |LOPEZ |MARIA ALICIA |0|X|X|CALLE BARQUILLO |RANCHERIA BOQUERON SEGUNDA SECCION |X|9932169605|JOSE FRANCISCO TORRES LOPEZ |BENEFICIARIO 2 LUIS ENRIQUE TORRES LOPEZ |0|CALLE BARQUILLO |X|5|0|0|X|X|X|0|5400|7500|0|0|X|2021-12-17|2021-12-31|X|X|X|0|0|S35D6D3Y9KVTQ2|X|MUJER |0|12900|0|0|0|X|X|X|X|X|VILLAHERMOSA |X|0|0|0|0</v>
      </c>
    </row>
    <row r="283" spans="1:82" x14ac:dyDescent="0.25">
      <c r="A283" t="s">
        <v>2115</v>
      </c>
      <c r="B283" t="s">
        <v>2116</v>
      </c>
      <c r="C283">
        <v>3</v>
      </c>
      <c r="D283" t="s">
        <v>121</v>
      </c>
      <c r="E283" t="s">
        <v>359</v>
      </c>
      <c r="F283" t="s">
        <v>360</v>
      </c>
      <c r="G283" t="s">
        <v>360</v>
      </c>
      <c r="H283" t="s">
        <v>2117</v>
      </c>
      <c r="I283">
        <v>12900</v>
      </c>
      <c r="J283" t="s">
        <v>1</v>
      </c>
      <c r="K283" t="s">
        <v>1</v>
      </c>
      <c r="L283">
        <v>200</v>
      </c>
      <c r="M283">
        <v>1</v>
      </c>
      <c r="N283">
        <v>0</v>
      </c>
      <c r="O283" t="s">
        <v>1</v>
      </c>
      <c r="P283" t="s">
        <v>1</v>
      </c>
      <c r="Q283" t="s">
        <v>1</v>
      </c>
      <c r="R283" t="s">
        <v>1</v>
      </c>
      <c r="S283" t="s">
        <v>1</v>
      </c>
      <c r="T283" t="s">
        <v>1</v>
      </c>
      <c r="U283" t="s">
        <v>1</v>
      </c>
      <c r="V283" t="s">
        <v>1</v>
      </c>
      <c r="W283" t="s">
        <v>1</v>
      </c>
      <c r="X283" t="s">
        <v>1</v>
      </c>
      <c r="Y283" t="s">
        <v>1</v>
      </c>
      <c r="Z283" t="s">
        <v>1</v>
      </c>
      <c r="AA283">
        <v>0</v>
      </c>
      <c r="AB283" t="s">
        <v>575</v>
      </c>
      <c r="AC283" t="s">
        <v>2118</v>
      </c>
      <c r="AD283" t="s">
        <v>2119</v>
      </c>
      <c r="AE283">
        <v>0</v>
      </c>
      <c r="AF283" t="s">
        <v>1</v>
      </c>
      <c r="AG283" t="s">
        <v>1</v>
      </c>
      <c r="AH283" t="s">
        <v>2120</v>
      </c>
      <c r="AI283" t="s">
        <v>2121</v>
      </c>
      <c r="AJ283" t="s">
        <v>1</v>
      </c>
      <c r="AK283">
        <v>9933343449</v>
      </c>
      <c r="AL283" t="s">
        <v>2122</v>
      </c>
      <c r="AM283" t="s">
        <v>2123</v>
      </c>
      <c r="AN283">
        <v>0</v>
      </c>
      <c r="AO283" t="s">
        <v>2120</v>
      </c>
      <c r="AP283" t="s">
        <v>1</v>
      </c>
      <c r="AQ283">
        <v>5</v>
      </c>
      <c r="AR283">
        <v>0</v>
      </c>
      <c r="AS283">
        <v>0</v>
      </c>
      <c r="AT283" t="s">
        <v>1</v>
      </c>
      <c r="AU283" t="s">
        <v>1</v>
      </c>
      <c r="AV283" t="s">
        <v>1</v>
      </c>
      <c r="AW283">
        <v>0</v>
      </c>
      <c r="AX283">
        <v>2250</v>
      </c>
      <c r="AY283">
        <v>10650</v>
      </c>
      <c r="AZ283">
        <v>0</v>
      </c>
      <c r="BA283">
        <v>0</v>
      </c>
      <c r="BB283" t="s">
        <v>1</v>
      </c>
      <c r="BC283" t="s">
        <v>2124</v>
      </c>
      <c r="BD283" t="s">
        <v>147</v>
      </c>
      <c r="BE283" t="s">
        <v>1</v>
      </c>
      <c r="BF283" t="s">
        <v>1</v>
      </c>
      <c r="BG283" t="s">
        <v>1</v>
      </c>
      <c r="BH283">
        <v>0</v>
      </c>
      <c r="BI283">
        <v>0</v>
      </c>
      <c r="BJ283" t="s">
        <v>1930</v>
      </c>
      <c r="BK283" t="s">
        <v>1</v>
      </c>
      <c r="BL283" t="s">
        <v>1931</v>
      </c>
      <c r="BM283">
        <v>0</v>
      </c>
      <c r="BN283">
        <v>12900</v>
      </c>
      <c r="BO283">
        <v>0</v>
      </c>
      <c r="BP283">
        <v>0</v>
      </c>
      <c r="BQ283">
        <v>0</v>
      </c>
      <c r="BR283" t="s">
        <v>1</v>
      </c>
      <c r="BS283" t="s">
        <v>1</v>
      </c>
      <c r="BT283" t="s">
        <v>1</v>
      </c>
      <c r="BU283" t="s">
        <v>1</v>
      </c>
      <c r="BV283" t="s">
        <v>1</v>
      </c>
      <c r="BW283" t="s">
        <v>360</v>
      </c>
      <c r="BX283" t="s">
        <v>1</v>
      </c>
      <c r="BY283">
        <v>0</v>
      </c>
      <c r="BZ283">
        <v>0</v>
      </c>
      <c r="CA283">
        <v>0</v>
      </c>
      <c r="CB283">
        <v>0</v>
      </c>
      <c r="CD283" t="str" cm="1">
        <f t="array" aca="1" ref="CD283" ca="1">eConcatenar(A283:CB283,"|")</f>
        <v>JvCU0IMfjOOcB6mR|VSA2021-0341|3|IMPERIAL DE LUJO |TABASCO|VILLAHERMOSA |VILLAHERMOSA |2021-02-16|12900|X|X|200|1|0|X|X|X|X|X|X|X|X|X|X|X|X|0|MORALES |GUZMAN |ESTEFANIA DE JESUS |0|X|X|CALLE JESUS REYES HEROLES |COLONIA SABINA |X|9933343449|RAQUEL ITZOYANA MORALES GUZMAN |BENEFICIARIO 2 MARLY ARELY GUZMAN GARCIA |0|CALLE JESUS REYES HEROLES |X|5|0|0|X|X|X|0|2250|10650|0|0|X|2021-04-12|2021-12-31|X|X|X|0|0|S35D6D3Y9KVTQ2|X|MUJER |0|12900|0|0|0|X|X|X|X|X|VILLAHERMOSA |X|0|0|0|0</v>
      </c>
    </row>
    <row r="284" spans="1:82" x14ac:dyDescent="0.25">
      <c r="A284" t="s">
        <v>2125</v>
      </c>
      <c r="B284" t="s">
        <v>2126</v>
      </c>
      <c r="C284">
        <v>3</v>
      </c>
      <c r="D284" t="s">
        <v>121</v>
      </c>
      <c r="E284" t="s">
        <v>359</v>
      </c>
      <c r="F284" t="s">
        <v>360</v>
      </c>
      <c r="G284" t="s">
        <v>360</v>
      </c>
      <c r="H284" t="s">
        <v>2117</v>
      </c>
      <c r="I284">
        <v>12900</v>
      </c>
      <c r="J284" t="s">
        <v>1</v>
      </c>
      <c r="K284" t="s">
        <v>1</v>
      </c>
      <c r="L284">
        <v>200</v>
      </c>
      <c r="M284">
        <v>1</v>
      </c>
      <c r="N284">
        <v>0</v>
      </c>
      <c r="O284" t="s">
        <v>1</v>
      </c>
      <c r="P284" t="s">
        <v>1</v>
      </c>
      <c r="Q284" t="s">
        <v>1</v>
      </c>
      <c r="R284" t="s">
        <v>1</v>
      </c>
      <c r="S284" t="s">
        <v>1</v>
      </c>
      <c r="T284" t="s">
        <v>1</v>
      </c>
      <c r="U284" t="s">
        <v>1</v>
      </c>
      <c r="V284" t="s">
        <v>1</v>
      </c>
      <c r="W284" t="s">
        <v>1</v>
      </c>
      <c r="X284" t="s">
        <v>1</v>
      </c>
      <c r="Y284" t="s">
        <v>1</v>
      </c>
      <c r="Z284" t="s">
        <v>1</v>
      </c>
      <c r="AA284">
        <v>0</v>
      </c>
      <c r="AB284" t="s">
        <v>575</v>
      </c>
      <c r="AC284" t="s">
        <v>2118</v>
      </c>
      <c r="AD284" t="s">
        <v>2119</v>
      </c>
      <c r="AE284">
        <v>0</v>
      </c>
      <c r="AF284" t="s">
        <v>1</v>
      </c>
      <c r="AG284" t="s">
        <v>1</v>
      </c>
      <c r="AH284" t="s">
        <v>2120</v>
      </c>
      <c r="AI284" t="s">
        <v>2121</v>
      </c>
      <c r="AJ284" t="s">
        <v>1</v>
      </c>
      <c r="AK284">
        <v>9933343449</v>
      </c>
      <c r="AL284" t="s">
        <v>2127</v>
      </c>
      <c r="AM284" t="s">
        <v>2128</v>
      </c>
      <c r="AN284">
        <v>0</v>
      </c>
      <c r="AO284" t="s">
        <v>2120</v>
      </c>
      <c r="AP284" t="s">
        <v>1</v>
      </c>
      <c r="AQ284">
        <v>5</v>
      </c>
      <c r="AR284">
        <v>0</v>
      </c>
      <c r="AS284">
        <v>0</v>
      </c>
      <c r="AT284" t="s">
        <v>1</v>
      </c>
      <c r="AU284" t="s">
        <v>1</v>
      </c>
      <c r="AV284" t="s">
        <v>1</v>
      </c>
      <c r="AW284">
        <v>0</v>
      </c>
      <c r="AX284">
        <v>2300</v>
      </c>
      <c r="AY284">
        <v>10600</v>
      </c>
      <c r="AZ284">
        <v>0</v>
      </c>
      <c r="BA284">
        <v>0</v>
      </c>
      <c r="BB284" t="s">
        <v>1</v>
      </c>
      <c r="BC284" t="s">
        <v>2124</v>
      </c>
      <c r="BD284" t="s">
        <v>147</v>
      </c>
      <c r="BE284" t="s">
        <v>1</v>
      </c>
      <c r="BF284" t="s">
        <v>1</v>
      </c>
      <c r="BG284" t="s">
        <v>1</v>
      </c>
      <c r="BH284">
        <v>0</v>
      </c>
      <c r="BI284">
        <v>0</v>
      </c>
      <c r="BJ284" t="s">
        <v>1930</v>
      </c>
      <c r="BK284" t="s">
        <v>1</v>
      </c>
      <c r="BL284" t="s">
        <v>1931</v>
      </c>
      <c r="BM284">
        <v>0</v>
      </c>
      <c r="BN284">
        <v>12900</v>
      </c>
      <c r="BO284">
        <v>0</v>
      </c>
      <c r="BP284">
        <v>0</v>
      </c>
      <c r="BQ284">
        <v>0</v>
      </c>
      <c r="BR284" t="s">
        <v>1</v>
      </c>
      <c r="BS284" t="s">
        <v>1</v>
      </c>
      <c r="BT284" t="s">
        <v>1</v>
      </c>
      <c r="BU284" t="s">
        <v>1</v>
      </c>
      <c r="BV284" t="s">
        <v>1</v>
      </c>
      <c r="BW284" t="s">
        <v>360</v>
      </c>
      <c r="BX284" t="s">
        <v>1</v>
      </c>
      <c r="BY284">
        <v>0</v>
      </c>
      <c r="BZ284">
        <v>0</v>
      </c>
      <c r="CA284">
        <v>0</v>
      </c>
      <c r="CB284">
        <v>0</v>
      </c>
      <c r="CD284" t="str" cm="1">
        <f t="array" aca="1" ref="CD284" ca="1">eConcatenar(A284:CB284,"|")</f>
        <v>gZnVkn1qJGmiP1HP|VSA2021-0340|3|IMPERIAL DE LUJO |TABASCO|VILLAHERMOSA |VILLAHERMOSA |2021-02-16|12900|X|X|200|1|0|X|X|X|X|X|X|X|X|X|X|X|X|0|MORALES |GUZMAN |ESTEFANIA DE JESUS |0|X|X|CALLE JESUS REYES HEROLES |COLONIA SABINA |X|9933343449|MARLY ARELI GUZMAN GARCIQ |BENEFICIARIO 2 RAQUEL ITZOYANA MORALES GUZMAN |0|CALLE JESUS REYES HEROLES |X|5|0|0|X|X|X|0|2300|10600|0|0|X|2021-04-12|2021-12-31|X|X|X|0|0|S35D6D3Y9KVTQ2|X|MUJER |0|12900|0|0|0|X|X|X|X|X|VILLAHERMOSA |X|0|0|0|0</v>
      </c>
    </row>
    <row r="285" spans="1:82" x14ac:dyDescent="0.25">
      <c r="A285" t="s">
        <v>2129</v>
      </c>
      <c r="B285" t="s">
        <v>2130</v>
      </c>
      <c r="C285">
        <v>3</v>
      </c>
      <c r="D285" t="s">
        <v>121</v>
      </c>
      <c r="E285" t="s">
        <v>359</v>
      </c>
      <c r="F285" t="s">
        <v>360</v>
      </c>
      <c r="G285" t="s">
        <v>360</v>
      </c>
      <c r="H285" t="s">
        <v>2131</v>
      </c>
      <c r="I285">
        <v>12900</v>
      </c>
      <c r="J285" t="s">
        <v>1</v>
      </c>
      <c r="K285" t="s">
        <v>1</v>
      </c>
      <c r="L285">
        <v>100</v>
      </c>
      <c r="M285">
        <v>0</v>
      </c>
      <c r="N285">
        <v>0</v>
      </c>
      <c r="O285" t="s">
        <v>1</v>
      </c>
      <c r="P285" t="s">
        <v>1</v>
      </c>
      <c r="Q285" t="s">
        <v>1</v>
      </c>
      <c r="R285" t="s">
        <v>1</v>
      </c>
      <c r="S285" t="s">
        <v>1</v>
      </c>
      <c r="T285" t="s">
        <v>1</v>
      </c>
      <c r="U285" t="s">
        <v>1</v>
      </c>
      <c r="V285" t="s">
        <v>1</v>
      </c>
      <c r="W285" t="s">
        <v>1</v>
      </c>
      <c r="X285" t="s">
        <v>1</v>
      </c>
      <c r="Y285" t="s">
        <v>1</v>
      </c>
      <c r="Z285" t="s">
        <v>1</v>
      </c>
      <c r="AA285">
        <v>0</v>
      </c>
      <c r="AB285" t="s">
        <v>553</v>
      </c>
      <c r="AC285" t="s">
        <v>15</v>
      </c>
      <c r="AD285" t="s">
        <v>2132</v>
      </c>
      <c r="AE285">
        <v>0</v>
      </c>
      <c r="AF285" t="s">
        <v>1</v>
      </c>
      <c r="AG285" t="s">
        <v>1</v>
      </c>
      <c r="AH285" t="s">
        <v>2133</v>
      </c>
      <c r="AI285" t="s">
        <v>2134</v>
      </c>
      <c r="AJ285" t="s">
        <v>1</v>
      </c>
      <c r="AK285">
        <v>9934372256</v>
      </c>
      <c r="AL285" t="s">
        <v>2135</v>
      </c>
      <c r="AM285" t="s">
        <v>2136</v>
      </c>
      <c r="AN285">
        <v>0</v>
      </c>
      <c r="AO285" t="s">
        <v>2133</v>
      </c>
      <c r="AP285" t="s">
        <v>1</v>
      </c>
      <c r="AQ285">
        <v>4</v>
      </c>
      <c r="AR285">
        <v>0</v>
      </c>
      <c r="AS285">
        <v>0</v>
      </c>
      <c r="AT285" t="s">
        <v>1</v>
      </c>
      <c r="AU285" t="s">
        <v>1</v>
      </c>
      <c r="AV285" t="s">
        <v>1</v>
      </c>
      <c r="AW285">
        <v>0</v>
      </c>
      <c r="AX285">
        <v>1000</v>
      </c>
      <c r="AY285">
        <v>11900</v>
      </c>
      <c r="AZ285">
        <v>0</v>
      </c>
      <c r="BA285">
        <v>0</v>
      </c>
      <c r="BB285" t="s">
        <v>1</v>
      </c>
      <c r="BC285" t="s">
        <v>1014</v>
      </c>
      <c r="BD285" t="s">
        <v>147</v>
      </c>
      <c r="BE285" t="s">
        <v>1</v>
      </c>
      <c r="BF285" t="s">
        <v>1</v>
      </c>
      <c r="BG285" t="s">
        <v>1</v>
      </c>
      <c r="BH285">
        <v>0</v>
      </c>
      <c r="BI285">
        <v>0</v>
      </c>
      <c r="BJ285" t="s">
        <v>1930</v>
      </c>
      <c r="BK285" t="s">
        <v>1</v>
      </c>
      <c r="BL285" t="s">
        <v>1931</v>
      </c>
      <c r="BM285">
        <v>0</v>
      </c>
      <c r="BN285">
        <v>12900</v>
      </c>
      <c r="BO285">
        <v>0</v>
      </c>
      <c r="BP285">
        <v>0</v>
      </c>
      <c r="BQ285">
        <v>0</v>
      </c>
      <c r="BR285" t="s">
        <v>1</v>
      </c>
      <c r="BS285" t="s">
        <v>1</v>
      </c>
      <c r="BT285" t="s">
        <v>1</v>
      </c>
      <c r="BU285" t="s">
        <v>1</v>
      </c>
      <c r="BV285" t="s">
        <v>1</v>
      </c>
      <c r="BW285" t="s">
        <v>360</v>
      </c>
      <c r="BX285" t="s">
        <v>1</v>
      </c>
      <c r="BY285">
        <v>0</v>
      </c>
      <c r="BZ285">
        <v>0</v>
      </c>
      <c r="CA285">
        <v>0</v>
      </c>
      <c r="CB285">
        <v>0</v>
      </c>
      <c r="CD285" t="str" cm="1">
        <f t="array" aca="1" ref="CD285" ca="1">eConcatenar(A285:CB285,"|")</f>
        <v>7lvIFxC8xS5mDtPM|VSA2021-0325|3|IMPERIAL DE LUJO |TABASCO|VILLAHERMOSA |VILLAHERMOSA |2021-02-13|12900|X|X|100|0|0|X|X|X|X|X|X|X|X|X|X|X|X|0|FLORES |PEREZ |LILIANA |0|X|X|CALLE ALVARO OBREGON |COLONIA INSURGENTES|X|9934372256|ALEJANDRA DOMINGUEZ DIAZ |BENEFICIARIO 2 LUZ DEL ALBA DIAZ DIAZ |0|CALLE ALVARO OBREGON |X|4|0|0|X|X|X|0|1000|11900|0|0|X|2021-06-16|2021-12-31|X|X|X|0|0|S35D6D3Y9KVTQ2|X|MUJER |0|12900|0|0|0|X|X|X|X|X|VILLAHERMOSA |X|0|0|0|0</v>
      </c>
    </row>
    <row r="286" spans="1:82" x14ac:dyDescent="0.25">
      <c r="A286" t="s">
        <v>2137</v>
      </c>
      <c r="B286" t="s">
        <v>2138</v>
      </c>
      <c r="C286">
        <v>3</v>
      </c>
      <c r="D286" t="s">
        <v>121</v>
      </c>
      <c r="E286" t="s">
        <v>359</v>
      </c>
      <c r="F286" t="s">
        <v>360</v>
      </c>
      <c r="G286" t="s">
        <v>360</v>
      </c>
      <c r="H286" t="s">
        <v>2139</v>
      </c>
      <c r="I286">
        <v>12900</v>
      </c>
      <c r="J286" t="s">
        <v>1</v>
      </c>
      <c r="K286" t="s">
        <v>1</v>
      </c>
      <c r="L286">
        <v>200</v>
      </c>
      <c r="M286">
        <v>1</v>
      </c>
      <c r="N286">
        <v>0</v>
      </c>
      <c r="O286" t="s">
        <v>1</v>
      </c>
      <c r="P286" t="s">
        <v>1</v>
      </c>
      <c r="Q286" t="s">
        <v>1</v>
      </c>
      <c r="R286" t="s">
        <v>1</v>
      </c>
      <c r="S286" t="s">
        <v>1</v>
      </c>
      <c r="T286" t="s">
        <v>1</v>
      </c>
      <c r="U286" t="s">
        <v>1</v>
      </c>
      <c r="V286" t="s">
        <v>1</v>
      </c>
      <c r="W286" t="s">
        <v>1</v>
      </c>
      <c r="X286" t="s">
        <v>1</v>
      </c>
      <c r="Y286" t="s">
        <v>1</v>
      </c>
      <c r="Z286" t="s">
        <v>1</v>
      </c>
      <c r="AA286">
        <v>0</v>
      </c>
      <c r="AB286" t="s">
        <v>628</v>
      </c>
      <c r="AC286" t="s">
        <v>2140</v>
      </c>
      <c r="AD286" t="s">
        <v>2141</v>
      </c>
      <c r="AE286">
        <v>0</v>
      </c>
      <c r="AF286" t="s">
        <v>1</v>
      </c>
      <c r="AG286" t="s">
        <v>1</v>
      </c>
      <c r="AH286" t="s">
        <v>409</v>
      </c>
      <c r="AI286" t="s">
        <v>1951</v>
      </c>
      <c r="AJ286" t="s">
        <v>1</v>
      </c>
      <c r="AK286">
        <v>9932382004</v>
      </c>
      <c r="AL286" t="s">
        <v>2142</v>
      </c>
      <c r="AM286" t="s">
        <v>2143</v>
      </c>
      <c r="AN286">
        <v>0</v>
      </c>
      <c r="AO286" t="s">
        <v>409</v>
      </c>
      <c r="AP286" t="s">
        <v>1</v>
      </c>
      <c r="AQ286">
        <v>4</v>
      </c>
      <c r="AR286">
        <v>0</v>
      </c>
      <c r="AS286">
        <v>0</v>
      </c>
      <c r="AT286" t="s">
        <v>1</v>
      </c>
      <c r="AU286" t="s">
        <v>1</v>
      </c>
      <c r="AV286" t="s">
        <v>1</v>
      </c>
      <c r="AW286">
        <v>0</v>
      </c>
      <c r="AX286">
        <v>3600</v>
      </c>
      <c r="AY286">
        <v>9300</v>
      </c>
      <c r="AZ286">
        <v>0</v>
      </c>
      <c r="BA286">
        <v>0</v>
      </c>
      <c r="BB286" t="s">
        <v>1</v>
      </c>
      <c r="BC286" t="s">
        <v>2144</v>
      </c>
      <c r="BD286" t="s">
        <v>147</v>
      </c>
      <c r="BE286" t="s">
        <v>1</v>
      </c>
      <c r="BF286" t="s">
        <v>1</v>
      </c>
      <c r="BG286" t="s">
        <v>1</v>
      </c>
      <c r="BH286">
        <v>0</v>
      </c>
      <c r="BI286">
        <v>0</v>
      </c>
      <c r="BJ286" t="s">
        <v>1930</v>
      </c>
      <c r="BK286" t="s">
        <v>1</v>
      </c>
      <c r="BL286" t="s">
        <v>1931</v>
      </c>
      <c r="BM286">
        <v>0</v>
      </c>
      <c r="BN286">
        <v>12900</v>
      </c>
      <c r="BO286">
        <v>0</v>
      </c>
      <c r="BP286">
        <v>0</v>
      </c>
      <c r="BQ286">
        <v>0</v>
      </c>
      <c r="BR286" t="s">
        <v>1</v>
      </c>
      <c r="BS286" t="s">
        <v>1</v>
      </c>
      <c r="BT286" t="s">
        <v>1</v>
      </c>
      <c r="BU286" t="s">
        <v>1</v>
      </c>
      <c r="BV286" t="s">
        <v>1</v>
      </c>
      <c r="BW286" t="s">
        <v>360</v>
      </c>
      <c r="BX286" t="s">
        <v>1</v>
      </c>
      <c r="BY286">
        <v>0</v>
      </c>
      <c r="BZ286">
        <v>0</v>
      </c>
      <c r="CA286">
        <v>0</v>
      </c>
      <c r="CB286">
        <v>0</v>
      </c>
      <c r="CD286" t="str" cm="1">
        <f t="array" aca="1" ref="CD286" ca="1">eConcatenar(A286:CB286,"|")</f>
        <v>Q1YUlk68eLduRO06|VSA2021-0497|3|IMPERIAL DE LUJO |TABASCO|VILLAHERMOSA |VILLAHERMOSA |2021-05-03|12900|X|X|200|1|0|X|X|X|X|X|X|X|X|X|X|X|X|0|ALVAREZ |MUÃ‘OZ |MARQUEZA |0|X|X|CALLE DIECISEIS DE SEPTIEMBRE |COLONIA MIGUEL HIDALGO |X|9932382004|ROSA ISELA TOSCA ALVAREZ |BENEFICIARIO 2 ANGEL CASTILLO GARCIA |0|CALLE DIECISEIS DE SEPTIEMBRE |X|4|0|0|X|X|X|0|3600|9300|0|0|X|2021-05-11|2021-12-31|X|X|X|0|0|S35D6D3Y9KVTQ2|X|MUJER |0|12900|0|0|0|X|X|X|X|X|VILLAHERMOSA |X|0|0|0|0</v>
      </c>
    </row>
    <row r="287" spans="1:82" x14ac:dyDescent="0.25">
      <c r="A287" t="s">
        <v>2145</v>
      </c>
      <c r="B287" t="s">
        <v>2146</v>
      </c>
      <c r="C287">
        <v>3</v>
      </c>
      <c r="D287" t="s">
        <v>433</v>
      </c>
      <c r="E287" t="s">
        <v>359</v>
      </c>
      <c r="F287" t="s">
        <v>360</v>
      </c>
      <c r="G287" t="s">
        <v>360</v>
      </c>
      <c r="H287" t="s">
        <v>2147</v>
      </c>
      <c r="I287">
        <v>19800</v>
      </c>
      <c r="J287" t="s">
        <v>1</v>
      </c>
      <c r="K287" t="s">
        <v>1</v>
      </c>
      <c r="L287">
        <v>400</v>
      </c>
      <c r="M287">
        <v>2</v>
      </c>
      <c r="N287">
        <v>0</v>
      </c>
      <c r="O287" t="s">
        <v>1</v>
      </c>
      <c r="P287" t="s">
        <v>1</v>
      </c>
      <c r="Q287" t="s">
        <v>1</v>
      </c>
      <c r="R287" t="s">
        <v>1</v>
      </c>
      <c r="S287" t="s">
        <v>1</v>
      </c>
      <c r="T287" t="s">
        <v>1</v>
      </c>
      <c r="U287" t="s">
        <v>1</v>
      </c>
      <c r="V287" t="s">
        <v>1</v>
      </c>
      <c r="W287" t="s">
        <v>1</v>
      </c>
      <c r="X287" t="s">
        <v>1</v>
      </c>
      <c r="Y287" t="s">
        <v>1</v>
      </c>
      <c r="Z287" t="s">
        <v>1</v>
      </c>
      <c r="AA287">
        <v>0</v>
      </c>
      <c r="AB287" t="s">
        <v>407</v>
      </c>
      <c r="AC287" t="s">
        <v>2148</v>
      </c>
      <c r="AD287" t="s">
        <v>2149</v>
      </c>
      <c r="AE287">
        <v>0</v>
      </c>
      <c r="AF287" t="s">
        <v>1</v>
      </c>
      <c r="AG287" t="s">
        <v>1</v>
      </c>
      <c r="AH287" t="s">
        <v>2150</v>
      </c>
      <c r="AI287" t="s">
        <v>2151</v>
      </c>
      <c r="AJ287" t="s">
        <v>1</v>
      </c>
      <c r="AK287">
        <v>9931721482</v>
      </c>
      <c r="AL287" t="s">
        <v>2152</v>
      </c>
      <c r="AM287" t="s">
        <v>2153</v>
      </c>
      <c r="AN287">
        <v>0</v>
      </c>
      <c r="AO287" t="s">
        <v>2150</v>
      </c>
      <c r="AP287" t="s">
        <v>1</v>
      </c>
      <c r="AQ287">
        <v>4</v>
      </c>
      <c r="AR287">
        <v>0</v>
      </c>
      <c r="AS287">
        <v>0</v>
      </c>
      <c r="AT287" t="s">
        <v>1</v>
      </c>
      <c r="AU287" t="s">
        <v>1</v>
      </c>
      <c r="AV287" t="s">
        <v>1</v>
      </c>
      <c r="AW287">
        <v>0</v>
      </c>
      <c r="AX287">
        <v>3500</v>
      </c>
      <c r="AY287">
        <v>16300</v>
      </c>
      <c r="AZ287">
        <v>0</v>
      </c>
      <c r="BA287">
        <v>0</v>
      </c>
      <c r="BB287" t="s">
        <v>1</v>
      </c>
      <c r="BC287" t="s">
        <v>2154</v>
      </c>
      <c r="BD287" t="s">
        <v>147</v>
      </c>
      <c r="BE287" t="s">
        <v>1</v>
      </c>
      <c r="BF287" t="s">
        <v>1</v>
      </c>
      <c r="BG287" t="s">
        <v>1</v>
      </c>
      <c r="BH287">
        <v>0</v>
      </c>
      <c r="BI287">
        <v>0</v>
      </c>
      <c r="BJ287" t="s">
        <v>1930</v>
      </c>
      <c r="BK287" t="s">
        <v>1</v>
      </c>
      <c r="BL287" t="s">
        <v>1931</v>
      </c>
      <c r="BM287">
        <v>0</v>
      </c>
      <c r="BN287">
        <v>19800</v>
      </c>
      <c r="BO287">
        <v>0</v>
      </c>
      <c r="BP287">
        <v>0</v>
      </c>
      <c r="BQ287">
        <v>0</v>
      </c>
      <c r="BR287" t="s">
        <v>1</v>
      </c>
      <c r="BS287" t="s">
        <v>1</v>
      </c>
      <c r="BT287" t="s">
        <v>1</v>
      </c>
      <c r="BU287" t="s">
        <v>1</v>
      </c>
      <c r="BV287" t="s">
        <v>1</v>
      </c>
      <c r="BW287" t="s">
        <v>360</v>
      </c>
      <c r="BX287" t="s">
        <v>1</v>
      </c>
      <c r="BY287">
        <v>0</v>
      </c>
      <c r="BZ287">
        <v>0</v>
      </c>
      <c r="CA287">
        <v>0</v>
      </c>
      <c r="CB287">
        <v>0</v>
      </c>
      <c r="CD287" t="str" cm="1">
        <f t="array" aca="1" ref="CD287" ca="1">eConcatenar(A287:CB287,"|")</f>
        <v>SccudFZsiTjvubV1|VSA2021-0288|3|ZAFIRO |TABASCO|VILLAHERMOSA |VILLAHERMOSA |2021-10-02|19800|X|X|400|2|0|X|X|X|X|X|X|X|X|X|X|X|X|0|LOPEZ |BALLINA |AIDA |0|X|X|CALLE AQUILES SERDAN |COLONIA GIL Y SAENZ |X|9931721482|LEAZAR HERNANDEZ LOPEZ |BENEFICIARIO 2 AIDA VIANET HERNANDEZ LOPEZ |0|CALLE AQUILES SERDAN |X|4|0|0|X|X|X|0|3500|16300|0|0|X|2021-11-09|2021-12-31|X|X|X|0|0|S35D6D3Y9KVTQ2|X|MUJER |0|19800|0|0|0|X|X|X|X|X|VILLAHERMOSA |X|0|0|0|0</v>
      </c>
    </row>
    <row r="288" spans="1:82" x14ac:dyDescent="0.25">
      <c r="A288" t="s">
        <v>2155</v>
      </c>
      <c r="B288" t="s">
        <v>2156</v>
      </c>
      <c r="C288">
        <v>3</v>
      </c>
      <c r="D288" t="s">
        <v>121</v>
      </c>
      <c r="E288" t="s">
        <v>359</v>
      </c>
      <c r="F288" t="s">
        <v>360</v>
      </c>
      <c r="G288" t="s">
        <v>360</v>
      </c>
      <c r="H288" t="s">
        <v>2157</v>
      </c>
      <c r="I288">
        <v>12900</v>
      </c>
      <c r="J288" t="s">
        <v>1</v>
      </c>
      <c r="K288" t="s">
        <v>1</v>
      </c>
      <c r="L288">
        <v>200</v>
      </c>
      <c r="M288">
        <v>1</v>
      </c>
      <c r="N288">
        <v>0</v>
      </c>
      <c r="O288" t="s">
        <v>1</v>
      </c>
      <c r="P288" t="s">
        <v>1</v>
      </c>
      <c r="Q288" t="s">
        <v>1</v>
      </c>
      <c r="R288" t="s">
        <v>1</v>
      </c>
      <c r="S288" t="s">
        <v>1</v>
      </c>
      <c r="T288" t="s">
        <v>1</v>
      </c>
      <c r="U288" t="s">
        <v>1</v>
      </c>
      <c r="V288" t="s">
        <v>1</v>
      </c>
      <c r="W288" t="s">
        <v>1</v>
      </c>
      <c r="X288" t="s">
        <v>1</v>
      </c>
      <c r="Y288" t="s">
        <v>1</v>
      </c>
      <c r="Z288" t="s">
        <v>1</v>
      </c>
      <c r="AA288">
        <v>0</v>
      </c>
      <c r="AB288" t="s">
        <v>395</v>
      </c>
      <c r="AC288" t="s">
        <v>439</v>
      </c>
      <c r="AD288" t="s">
        <v>2158</v>
      </c>
      <c r="AE288">
        <v>0</v>
      </c>
      <c r="AF288" t="s">
        <v>1</v>
      </c>
      <c r="AG288" t="s">
        <v>1</v>
      </c>
      <c r="AH288" t="s">
        <v>2159</v>
      </c>
      <c r="AI288" t="s">
        <v>2160</v>
      </c>
      <c r="AJ288" t="s">
        <v>1</v>
      </c>
      <c r="AK288">
        <v>9935503244</v>
      </c>
      <c r="AL288" t="s">
        <v>2161</v>
      </c>
      <c r="AM288" t="s">
        <v>2162</v>
      </c>
      <c r="AN288">
        <v>0</v>
      </c>
      <c r="AO288" t="s">
        <v>2159</v>
      </c>
      <c r="AP288" t="s">
        <v>1</v>
      </c>
      <c r="AQ288">
        <v>4</v>
      </c>
      <c r="AR288">
        <v>0</v>
      </c>
      <c r="AS288">
        <v>0</v>
      </c>
      <c r="AT288" t="s">
        <v>1</v>
      </c>
      <c r="AU288" t="s">
        <v>1</v>
      </c>
      <c r="AV288" t="s">
        <v>1</v>
      </c>
      <c r="AW288">
        <v>0</v>
      </c>
      <c r="AX288">
        <v>3400</v>
      </c>
      <c r="AY288">
        <v>9500</v>
      </c>
      <c r="AZ288">
        <v>0</v>
      </c>
      <c r="BA288">
        <v>0</v>
      </c>
      <c r="BB288" t="s">
        <v>1</v>
      </c>
      <c r="BC288" t="s">
        <v>1954</v>
      </c>
      <c r="BD288" t="s">
        <v>147</v>
      </c>
      <c r="BE288" t="s">
        <v>1</v>
      </c>
      <c r="BF288" t="s">
        <v>1</v>
      </c>
      <c r="BG288" t="s">
        <v>1</v>
      </c>
      <c r="BH288">
        <v>0</v>
      </c>
      <c r="BI288">
        <v>0</v>
      </c>
      <c r="BJ288" t="s">
        <v>1930</v>
      </c>
      <c r="BK288" t="s">
        <v>1</v>
      </c>
      <c r="BL288" t="s">
        <v>131</v>
      </c>
      <c r="BM288">
        <v>0</v>
      </c>
      <c r="BN288">
        <v>12900</v>
      </c>
      <c r="BO288">
        <v>0</v>
      </c>
      <c r="BP288">
        <v>0</v>
      </c>
      <c r="BQ288">
        <v>0</v>
      </c>
      <c r="BR288" t="s">
        <v>1</v>
      </c>
      <c r="BS288" t="s">
        <v>1</v>
      </c>
      <c r="BT288" t="s">
        <v>1</v>
      </c>
      <c r="BU288" t="s">
        <v>1</v>
      </c>
      <c r="BV288" t="s">
        <v>1</v>
      </c>
      <c r="BW288" t="s">
        <v>360</v>
      </c>
      <c r="BX288" t="s">
        <v>1</v>
      </c>
      <c r="BY288">
        <v>0</v>
      </c>
      <c r="BZ288">
        <v>0</v>
      </c>
      <c r="CA288">
        <v>0</v>
      </c>
      <c r="CB288">
        <v>0</v>
      </c>
      <c r="CD288" t="str" cm="1">
        <f t="array" aca="1" ref="CD288" ca="1">eConcatenar(A288:CB288,"|")</f>
        <v>12elQjFFpLsAJLGV|VSA2021-0306|3|IMPERIAL DE LUJO |TABASCO|VILLAHERMOSA |VILLAHERMOSA |2021-11-02|12900|X|X|200|1|0|X|X|X|X|X|X|X|X|X|X|X|X|0|GARCIA |REYES |OSACR |0|X|X|AVENIDA INSURGENTES |COLONIA CARLOS A MADRAZO |X|9935503244|LUIS ALFONSO GARCIA ROMAN |BENEFICIARIO 2 JENNI ELIZABETH GARCIA RAMON |0|AVENIDA INSURGENTES |X|4|0|0|X|X|X|0|3400|9500|0|0|X|2021-12-17|2021-12-31|X|X|X|0|0|S35D6D3Y9KVTQ2|X|HOMBRE |0|12900|0|0|0|X|X|X|X|X|VILLAHERMOSA |X|0|0|0|0</v>
      </c>
    </row>
    <row r="289" spans="1:82" x14ac:dyDescent="0.25">
      <c r="A289" t="s">
        <v>2163</v>
      </c>
      <c r="B289" t="s">
        <v>2164</v>
      </c>
      <c r="C289">
        <v>3</v>
      </c>
      <c r="D289" t="s">
        <v>121</v>
      </c>
      <c r="E289" t="s">
        <v>359</v>
      </c>
      <c r="F289" t="s">
        <v>360</v>
      </c>
      <c r="G289" t="s">
        <v>360</v>
      </c>
      <c r="H289" t="s">
        <v>2165</v>
      </c>
      <c r="I289">
        <v>12900</v>
      </c>
      <c r="J289" t="s">
        <v>1</v>
      </c>
      <c r="K289" t="s">
        <v>1</v>
      </c>
      <c r="L289">
        <v>200</v>
      </c>
      <c r="M289">
        <v>1</v>
      </c>
      <c r="N289">
        <v>0</v>
      </c>
      <c r="O289" t="s">
        <v>1</v>
      </c>
      <c r="P289" t="s">
        <v>1</v>
      </c>
      <c r="Q289" t="s">
        <v>1</v>
      </c>
      <c r="R289" t="s">
        <v>1</v>
      </c>
      <c r="S289" t="s">
        <v>1</v>
      </c>
      <c r="T289" t="s">
        <v>1</v>
      </c>
      <c r="U289" t="s">
        <v>1</v>
      </c>
      <c r="V289" t="s">
        <v>1</v>
      </c>
      <c r="W289" t="s">
        <v>1</v>
      </c>
      <c r="X289" t="s">
        <v>1</v>
      </c>
      <c r="Y289" t="s">
        <v>1</v>
      </c>
      <c r="Z289" t="s">
        <v>1</v>
      </c>
      <c r="AA289">
        <v>0</v>
      </c>
      <c r="AB289" t="s">
        <v>15</v>
      </c>
      <c r="AC289" t="s">
        <v>395</v>
      </c>
      <c r="AD289" t="s">
        <v>2166</v>
      </c>
      <c r="AE289">
        <v>0</v>
      </c>
      <c r="AF289" t="s">
        <v>1</v>
      </c>
      <c r="AG289" t="s">
        <v>1</v>
      </c>
      <c r="AH289" t="s">
        <v>2167</v>
      </c>
      <c r="AI289" t="s">
        <v>2168</v>
      </c>
      <c r="AJ289" t="s">
        <v>1</v>
      </c>
      <c r="AK289">
        <v>9932203167</v>
      </c>
      <c r="AL289" t="s">
        <v>2169</v>
      </c>
      <c r="AM289" t="s">
        <v>2170</v>
      </c>
      <c r="AN289">
        <v>0</v>
      </c>
      <c r="AO289" t="s">
        <v>2167</v>
      </c>
      <c r="AP289" t="s">
        <v>1</v>
      </c>
      <c r="AQ289">
        <v>5</v>
      </c>
      <c r="AR289">
        <v>0</v>
      </c>
      <c r="AS289">
        <v>0</v>
      </c>
      <c r="AT289" t="s">
        <v>1</v>
      </c>
      <c r="AU289" t="s">
        <v>1</v>
      </c>
      <c r="AV289" t="s">
        <v>1</v>
      </c>
      <c r="AW289">
        <v>0</v>
      </c>
      <c r="AX289">
        <v>3600</v>
      </c>
      <c r="AY289">
        <v>9300</v>
      </c>
      <c r="AZ289">
        <v>0</v>
      </c>
      <c r="BA289">
        <v>0</v>
      </c>
      <c r="BB289" t="s">
        <v>1</v>
      </c>
      <c r="BC289" t="s">
        <v>1954</v>
      </c>
      <c r="BD289" t="s">
        <v>147</v>
      </c>
      <c r="BE289" t="s">
        <v>1</v>
      </c>
      <c r="BF289" t="s">
        <v>1</v>
      </c>
      <c r="BG289" t="s">
        <v>1</v>
      </c>
      <c r="BH289">
        <v>0</v>
      </c>
      <c r="BI289">
        <v>0</v>
      </c>
      <c r="BJ289" t="s">
        <v>1930</v>
      </c>
      <c r="BK289" t="s">
        <v>1</v>
      </c>
      <c r="BL289" t="s">
        <v>131</v>
      </c>
      <c r="BM289">
        <v>0</v>
      </c>
      <c r="BN289">
        <v>12900</v>
      </c>
      <c r="BO289">
        <v>0</v>
      </c>
      <c r="BP289">
        <v>0</v>
      </c>
      <c r="BQ289">
        <v>0</v>
      </c>
      <c r="BR289" t="s">
        <v>1</v>
      </c>
      <c r="BS289" t="s">
        <v>1</v>
      </c>
      <c r="BT289" t="s">
        <v>1</v>
      </c>
      <c r="BU289" t="s">
        <v>1</v>
      </c>
      <c r="BV289" t="s">
        <v>1</v>
      </c>
      <c r="BW289" t="s">
        <v>360</v>
      </c>
      <c r="BX289" t="s">
        <v>1</v>
      </c>
      <c r="BY289">
        <v>0</v>
      </c>
      <c r="BZ289">
        <v>0</v>
      </c>
      <c r="CA289">
        <v>0</v>
      </c>
      <c r="CB289">
        <v>0</v>
      </c>
      <c r="CD289" t="str" cm="1">
        <f t="array" aca="1" ref="CD289" ca="1">eConcatenar(A289:CB289,"|")</f>
        <v>vnvNZcGoZbRLazhJ|VSA2021-0311|3|IMPERIAL DE LUJO |TABASCO|VILLAHERMOSA |VILLAHERMOSA |2021-12-02|12900|X|X|200|1|0|X|X|X|X|X|X|X|X|X|X|X|X|0|PEREZ |GARCIA |LENIN|0|X|X|CALLE TAMPICO |COLONIA GUADALUPE BORJA |X|9932203167|PATRICIA PEREZ GARCIA |BENEFICIARIO 2 CINDI GUADALUPE PEREZ AGUILAR |0|CALLE TAMPICO |X|5|0|0|X|X|X|0|3600|9300|0|0|X|2021-12-17|2021-12-31|X|X|X|0|0|S35D6D3Y9KVTQ2|X|HOMBRE |0|12900|0|0|0|X|X|X|X|X|VILLAHERMOSA |X|0|0|0|0</v>
      </c>
    </row>
    <row r="290" spans="1:82" x14ac:dyDescent="0.25">
      <c r="A290" t="s">
        <v>2171</v>
      </c>
      <c r="B290" t="s">
        <v>2172</v>
      </c>
      <c r="C290">
        <v>3</v>
      </c>
      <c r="D290" t="s">
        <v>121</v>
      </c>
      <c r="E290" t="s">
        <v>359</v>
      </c>
      <c r="F290" t="s">
        <v>360</v>
      </c>
      <c r="G290" t="s">
        <v>360</v>
      </c>
      <c r="H290" t="s">
        <v>2131</v>
      </c>
      <c r="I290">
        <v>12900</v>
      </c>
      <c r="J290" t="s">
        <v>1</v>
      </c>
      <c r="K290" t="s">
        <v>1</v>
      </c>
      <c r="L290">
        <v>100</v>
      </c>
      <c r="M290">
        <v>0</v>
      </c>
      <c r="N290">
        <v>0</v>
      </c>
      <c r="O290" t="s">
        <v>1</v>
      </c>
      <c r="P290" t="s">
        <v>1</v>
      </c>
      <c r="Q290" t="s">
        <v>1</v>
      </c>
      <c r="R290" t="s">
        <v>1</v>
      </c>
      <c r="S290" t="s">
        <v>1</v>
      </c>
      <c r="T290" t="s">
        <v>1</v>
      </c>
      <c r="U290" t="s">
        <v>1</v>
      </c>
      <c r="V290" t="s">
        <v>1</v>
      </c>
      <c r="W290" t="s">
        <v>1</v>
      </c>
      <c r="X290" t="s">
        <v>1</v>
      </c>
      <c r="Y290" t="s">
        <v>1</v>
      </c>
      <c r="Z290" t="s">
        <v>1</v>
      </c>
      <c r="AA290">
        <v>0</v>
      </c>
      <c r="AB290" t="s">
        <v>1211</v>
      </c>
      <c r="AC290" t="s">
        <v>584</v>
      </c>
      <c r="AD290" t="s">
        <v>2173</v>
      </c>
      <c r="AE290">
        <v>0</v>
      </c>
      <c r="AF290" t="s">
        <v>1</v>
      </c>
      <c r="AG290" t="s">
        <v>1</v>
      </c>
      <c r="AH290" t="s">
        <v>2174</v>
      </c>
      <c r="AI290" t="s">
        <v>2071</v>
      </c>
      <c r="AJ290" t="s">
        <v>1</v>
      </c>
      <c r="AK290">
        <v>9931988606</v>
      </c>
      <c r="AL290" t="s">
        <v>2175</v>
      </c>
      <c r="AM290" t="s">
        <v>2176</v>
      </c>
      <c r="AN290">
        <v>0</v>
      </c>
      <c r="AO290" t="s">
        <v>2174</v>
      </c>
      <c r="AP290" t="s">
        <v>1</v>
      </c>
      <c r="AQ290">
        <v>5</v>
      </c>
      <c r="AR290">
        <v>0</v>
      </c>
      <c r="AS290">
        <v>0</v>
      </c>
      <c r="AT290" t="s">
        <v>1</v>
      </c>
      <c r="AU290" t="s">
        <v>1</v>
      </c>
      <c r="AV290" t="s">
        <v>1</v>
      </c>
      <c r="AW290">
        <v>0</v>
      </c>
      <c r="AX290">
        <v>2100</v>
      </c>
      <c r="AY290">
        <v>10800</v>
      </c>
      <c r="AZ290">
        <v>0</v>
      </c>
      <c r="BA290">
        <v>0</v>
      </c>
      <c r="BB290" t="s">
        <v>1</v>
      </c>
      <c r="BC290" t="s">
        <v>2177</v>
      </c>
      <c r="BD290" t="s">
        <v>147</v>
      </c>
      <c r="BE290" t="s">
        <v>1</v>
      </c>
      <c r="BF290" t="s">
        <v>1</v>
      </c>
      <c r="BG290" t="s">
        <v>1</v>
      </c>
      <c r="BH290">
        <v>0</v>
      </c>
      <c r="BI290">
        <v>0</v>
      </c>
      <c r="BJ290" t="s">
        <v>1930</v>
      </c>
      <c r="BK290" t="s">
        <v>1</v>
      </c>
      <c r="BL290" t="s">
        <v>1931</v>
      </c>
      <c r="BM290">
        <v>0</v>
      </c>
      <c r="BN290">
        <v>12900</v>
      </c>
      <c r="BO290">
        <v>0</v>
      </c>
      <c r="BP290">
        <v>0</v>
      </c>
      <c r="BQ290">
        <v>0</v>
      </c>
      <c r="BR290" t="s">
        <v>1</v>
      </c>
      <c r="BS290" t="s">
        <v>1</v>
      </c>
      <c r="BT290" t="s">
        <v>1</v>
      </c>
      <c r="BU290" t="s">
        <v>1</v>
      </c>
      <c r="BV290" t="s">
        <v>1</v>
      </c>
      <c r="BW290" t="s">
        <v>360</v>
      </c>
      <c r="BX290" t="s">
        <v>1</v>
      </c>
      <c r="BY290">
        <v>0</v>
      </c>
      <c r="BZ290">
        <v>0</v>
      </c>
      <c r="CA290">
        <v>0</v>
      </c>
      <c r="CB290">
        <v>0</v>
      </c>
      <c r="CD290" t="str" cm="1">
        <f t="array" aca="1" ref="CD290" ca="1">eConcatenar(A290:CB290,"|")</f>
        <v>u5SsQ5LxHW3mlhmT|VSA2021-0323|3|IMPERIAL DE LUJO |TABASCO|VILLAHERMOSA |VILLAHERMOSA |2021-02-13|12900|X|X|100|0|0|X|X|X|X|X|X|X|X|X|X|X|X|0|DE LA CRUZ |HERNANDEZ |AANTONIA|0|X|X|CALLE CERRADA DE LAS FLORES |RANCHERIA IXTACOMITAN PRIMERA SECCION |X|9931988606|MAYTE DIAZ DE LA CRUZ |BENEFICIARIO 2 DANIEL GARCIA PEREZ |0|CALLE CERRADA DE LAS FLORES |X|5|0|0|X|X|X|0|2100|10800|0|0|X|2021-10-29|2021-12-31|X|X|X|0|0|S35D6D3Y9KVTQ2|X|MUJER |0|12900|0|0|0|X|X|X|X|X|VILLAHERMOSA |X|0|0|0|0</v>
      </c>
    </row>
    <row r="291" spans="1:82" x14ac:dyDescent="0.25">
      <c r="A291" t="s">
        <v>2178</v>
      </c>
      <c r="B291" t="s">
        <v>2179</v>
      </c>
      <c r="C291">
        <v>3</v>
      </c>
      <c r="D291" t="s">
        <v>246</v>
      </c>
      <c r="E291" t="s">
        <v>359</v>
      </c>
      <c r="F291" t="s">
        <v>360</v>
      </c>
      <c r="G291" t="s">
        <v>360</v>
      </c>
      <c r="H291" t="s">
        <v>2034</v>
      </c>
      <c r="I291">
        <v>24500</v>
      </c>
      <c r="J291" t="s">
        <v>1</v>
      </c>
      <c r="K291" t="s">
        <v>1</v>
      </c>
      <c r="L291">
        <v>100</v>
      </c>
      <c r="M291">
        <v>0</v>
      </c>
      <c r="N291">
        <v>0</v>
      </c>
      <c r="O291" t="s">
        <v>1</v>
      </c>
      <c r="P291" t="s">
        <v>1</v>
      </c>
      <c r="Q291" t="s">
        <v>1</v>
      </c>
      <c r="R291" t="s">
        <v>1</v>
      </c>
      <c r="S291" t="s">
        <v>1</v>
      </c>
      <c r="T291" t="s">
        <v>1</v>
      </c>
      <c r="U291" t="s">
        <v>1</v>
      </c>
      <c r="V291" t="s">
        <v>1</v>
      </c>
      <c r="W291" t="s">
        <v>1</v>
      </c>
      <c r="X291" t="s">
        <v>1</v>
      </c>
      <c r="Y291" t="s">
        <v>1</v>
      </c>
      <c r="Z291" t="s">
        <v>1</v>
      </c>
      <c r="AA291">
        <v>0</v>
      </c>
      <c r="AB291" t="s">
        <v>2180</v>
      </c>
      <c r="AC291" t="s">
        <v>2181</v>
      </c>
      <c r="AD291" t="s">
        <v>2182</v>
      </c>
      <c r="AE291">
        <v>0</v>
      </c>
      <c r="AF291" t="s">
        <v>1</v>
      </c>
      <c r="AG291" t="s">
        <v>1</v>
      </c>
      <c r="AH291" t="s">
        <v>2183</v>
      </c>
      <c r="AI291" t="s">
        <v>2063</v>
      </c>
      <c r="AJ291" t="s">
        <v>1</v>
      </c>
      <c r="AK291">
        <v>9932455909</v>
      </c>
      <c r="AL291" t="s">
        <v>2184</v>
      </c>
      <c r="AM291" t="s">
        <v>2185</v>
      </c>
      <c r="AN291">
        <v>0</v>
      </c>
      <c r="AO291" t="s">
        <v>2183</v>
      </c>
      <c r="AP291" t="s">
        <v>1</v>
      </c>
      <c r="AQ291">
        <v>4</v>
      </c>
      <c r="AR291">
        <v>0</v>
      </c>
      <c r="AS291">
        <v>0</v>
      </c>
      <c r="AT291" t="s">
        <v>1</v>
      </c>
      <c r="AU291" t="s">
        <v>1</v>
      </c>
      <c r="AV291" t="s">
        <v>1</v>
      </c>
      <c r="AW291">
        <v>0</v>
      </c>
      <c r="AX291">
        <v>3600</v>
      </c>
      <c r="AY291">
        <v>20900</v>
      </c>
      <c r="AZ291">
        <v>0</v>
      </c>
      <c r="BA291">
        <v>0</v>
      </c>
      <c r="BB291" t="s">
        <v>1</v>
      </c>
      <c r="BC291" t="s">
        <v>312</v>
      </c>
      <c r="BD291" t="s">
        <v>147</v>
      </c>
      <c r="BE291" t="s">
        <v>1</v>
      </c>
      <c r="BF291" t="s">
        <v>1</v>
      </c>
      <c r="BG291" t="s">
        <v>1</v>
      </c>
      <c r="BH291">
        <v>0</v>
      </c>
      <c r="BI291">
        <v>0</v>
      </c>
      <c r="BJ291" t="s">
        <v>1930</v>
      </c>
      <c r="BK291" t="s">
        <v>1</v>
      </c>
      <c r="BL291" t="s">
        <v>131</v>
      </c>
      <c r="BM291">
        <v>0</v>
      </c>
      <c r="BN291">
        <v>24500</v>
      </c>
      <c r="BO291">
        <v>0</v>
      </c>
      <c r="BP291">
        <v>0</v>
      </c>
      <c r="BQ291">
        <v>0</v>
      </c>
      <c r="BR291" t="s">
        <v>1</v>
      </c>
      <c r="BS291" t="s">
        <v>1</v>
      </c>
      <c r="BT291" t="s">
        <v>1</v>
      </c>
      <c r="BU291" t="s">
        <v>1</v>
      </c>
      <c r="BV291" t="s">
        <v>1</v>
      </c>
      <c r="BW291" t="s">
        <v>360</v>
      </c>
      <c r="BX291" t="s">
        <v>1</v>
      </c>
      <c r="BY291">
        <v>0</v>
      </c>
      <c r="BZ291">
        <v>0</v>
      </c>
      <c r="CA291">
        <v>0</v>
      </c>
      <c r="CB291">
        <v>0</v>
      </c>
      <c r="CD291" t="str" cm="1">
        <f t="array" aca="1" ref="CD291" ca="1">eConcatenar(A291:CB291,"|")</f>
        <v>poOR8p8cG2D0JaPa|VSA2021-0727|3|DIGNITY|TABASCO|VILLAHERMOSA |VILLAHERMOSA |2021-04-23|24500|X|X|100|0|0|X|X|X|X|X|X|X|X|X|X|X|X|0|CARMONA |HUY |WILIBAALDO |0|X|X|CALLE ADMINISTRACION |COLONIA GAVIOTAS SUR |X|9932455909|ROGELIO CARMON AGARCIA |BENEFICIARIO 2 TERESA CARMONA GARCIA|0|CALLE ADMINISTRACION |X|4|0|0|X|X|X|0|3600|20900|0|0|X|2021-12-24|2021-12-31|X|X|X|0|0|S35D6D3Y9KVTQ2|X|HOMBRE |0|24500|0|0|0|X|X|X|X|X|VILLAHERMOSA |X|0|0|0|0</v>
      </c>
    </row>
    <row r="292" spans="1:82" x14ac:dyDescent="0.25">
      <c r="A292" t="s">
        <v>2186</v>
      </c>
      <c r="B292" t="s">
        <v>2187</v>
      </c>
      <c r="C292">
        <v>3</v>
      </c>
      <c r="D292" t="s">
        <v>121</v>
      </c>
      <c r="E292" t="s">
        <v>359</v>
      </c>
      <c r="F292" t="s">
        <v>360</v>
      </c>
      <c r="G292" t="s">
        <v>360</v>
      </c>
      <c r="H292" t="s">
        <v>1117</v>
      </c>
      <c r="I292">
        <v>12900</v>
      </c>
      <c r="J292" t="s">
        <v>1</v>
      </c>
      <c r="K292" t="s">
        <v>1</v>
      </c>
      <c r="L292">
        <v>100</v>
      </c>
      <c r="M292">
        <v>0</v>
      </c>
      <c r="N292">
        <v>0</v>
      </c>
      <c r="O292" t="s">
        <v>1</v>
      </c>
      <c r="P292" t="s">
        <v>1</v>
      </c>
      <c r="Q292" t="s">
        <v>1</v>
      </c>
      <c r="R292" t="s">
        <v>1</v>
      </c>
      <c r="S292" t="s">
        <v>1</v>
      </c>
      <c r="T292" t="s">
        <v>1</v>
      </c>
      <c r="U292" t="s">
        <v>1</v>
      </c>
      <c r="V292" t="s">
        <v>1</v>
      </c>
      <c r="W292" t="s">
        <v>1</v>
      </c>
      <c r="X292" t="s">
        <v>1</v>
      </c>
      <c r="Y292" t="s">
        <v>1</v>
      </c>
      <c r="Z292" t="s">
        <v>1</v>
      </c>
      <c r="AA292">
        <v>0</v>
      </c>
      <c r="AB292" t="s">
        <v>1596</v>
      </c>
      <c r="AC292" t="s">
        <v>2188</v>
      </c>
      <c r="AD292" t="s">
        <v>2189</v>
      </c>
      <c r="AE292">
        <v>0</v>
      </c>
      <c r="AF292" t="s">
        <v>1</v>
      </c>
      <c r="AG292" t="s">
        <v>1</v>
      </c>
      <c r="AH292" t="s">
        <v>2190</v>
      </c>
      <c r="AI292" t="s">
        <v>2191</v>
      </c>
      <c r="AJ292" t="s">
        <v>1</v>
      </c>
      <c r="AK292">
        <v>9931346404</v>
      </c>
      <c r="AL292" t="s">
        <v>2192</v>
      </c>
      <c r="AM292" t="s">
        <v>2193</v>
      </c>
      <c r="AN292">
        <v>0</v>
      </c>
      <c r="AO292" t="s">
        <v>2190</v>
      </c>
      <c r="AP292" t="s">
        <v>1</v>
      </c>
      <c r="AQ292">
        <v>4</v>
      </c>
      <c r="AR292">
        <v>0</v>
      </c>
      <c r="AS292">
        <v>0</v>
      </c>
      <c r="AT292" t="s">
        <v>1</v>
      </c>
      <c r="AU292" t="s">
        <v>1</v>
      </c>
      <c r="AV292" t="s">
        <v>1</v>
      </c>
      <c r="AW292">
        <v>0</v>
      </c>
      <c r="AX292">
        <v>4990</v>
      </c>
      <c r="AY292">
        <v>7910</v>
      </c>
      <c r="AZ292">
        <v>0</v>
      </c>
      <c r="BA292">
        <v>0</v>
      </c>
      <c r="BB292" t="s">
        <v>1</v>
      </c>
      <c r="BC292" t="s">
        <v>312</v>
      </c>
      <c r="BD292" t="s">
        <v>147</v>
      </c>
      <c r="BE292" t="s">
        <v>1</v>
      </c>
      <c r="BF292" t="s">
        <v>1</v>
      </c>
      <c r="BG292" t="s">
        <v>1</v>
      </c>
      <c r="BH292">
        <v>0</v>
      </c>
      <c r="BI292">
        <v>0</v>
      </c>
      <c r="BJ292" t="s">
        <v>1930</v>
      </c>
      <c r="BK292" t="s">
        <v>1</v>
      </c>
      <c r="BL292" t="s">
        <v>1931</v>
      </c>
      <c r="BM292">
        <v>0</v>
      </c>
      <c r="BN292">
        <v>12900</v>
      </c>
      <c r="BO292">
        <v>0</v>
      </c>
      <c r="BP292">
        <v>0</v>
      </c>
      <c r="BQ292">
        <v>0</v>
      </c>
      <c r="BR292" t="s">
        <v>1</v>
      </c>
      <c r="BS292" t="s">
        <v>1</v>
      </c>
      <c r="BT292" t="s">
        <v>1</v>
      </c>
      <c r="BU292" t="s">
        <v>1</v>
      </c>
      <c r="BV292" t="s">
        <v>1</v>
      </c>
      <c r="BW292" t="s">
        <v>360</v>
      </c>
      <c r="BX292" t="s">
        <v>1</v>
      </c>
      <c r="BY292">
        <v>0</v>
      </c>
      <c r="BZ292">
        <v>0</v>
      </c>
      <c r="CA292">
        <v>0</v>
      </c>
      <c r="CB292">
        <v>0</v>
      </c>
      <c r="CD292" t="str" cm="1">
        <f t="array" aca="1" ref="CD292" ca="1">eConcatenar(A292:CB292,"|")</f>
        <v>MyYuCEzPrez2SC9M|VSA2020-0899|3|IMPERIAL DE LUJO |TABASCO|VILLAHERMOSA |VILLAHERMOSA |2020-10-31|12900|X|X|100|0|0|X|X|X|X|X|X|X|X|X|X|X|X|0|LEON |VAQUEZ |LAURA |0|X|X|CALLE PLUTARCO ELIAS CALLES |COLONIA CURA HUESO |X|9931346404|MARIA LEON VAZQUEZ |BENEFICIARIO 2 ANA ISABEL LEON VAZQUEZ |0|CALLE PLUTARCO ELIAS CALLES |X|4|0|0|X|X|X|0|4990|7910|0|0|X|2021-12-24|2021-12-31|X|X|X|0|0|S35D6D3Y9KVTQ2|X|MUJER |0|12900|0|0|0|X|X|X|X|X|VILLAHERMOSA |X|0|0|0|0</v>
      </c>
    </row>
    <row r="293" spans="1:82" x14ac:dyDescent="0.25">
      <c r="A293" t="s">
        <v>2194</v>
      </c>
      <c r="B293" t="s">
        <v>2195</v>
      </c>
      <c r="C293">
        <v>3</v>
      </c>
      <c r="D293" t="s">
        <v>121</v>
      </c>
      <c r="E293" t="s">
        <v>359</v>
      </c>
      <c r="F293" t="s">
        <v>360</v>
      </c>
      <c r="G293" t="s">
        <v>360</v>
      </c>
      <c r="H293" t="s">
        <v>1117</v>
      </c>
      <c r="I293">
        <v>12900</v>
      </c>
      <c r="J293" t="s">
        <v>1</v>
      </c>
      <c r="K293" t="s">
        <v>1</v>
      </c>
      <c r="L293">
        <v>200</v>
      </c>
      <c r="M293">
        <v>1</v>
      </c>
      <c r="N293">
        <v>0</v>
      </c>
      <c r="O293" t="s">
        <v>1</v>
      </c>
      <c r="P293" t="s">
        <v>1</v>
      </c>
      <c r="Q293" t="s">
        <v>1</v>
      </c>
      <c r="R293" t="s">
        <v>1</v>
      </c>
      <c r="S293" t="s">
        <v>1</v>
      </c>
      <c r="T293" t="s">
        <v>1</v>
      </c>
      <c r="U293" t="s">
        <v>1</v>
      </c>
      <c r="V293" t="s">
        <v>1</v>
      </c>
      <c r="W293" t="s">
        <v>1</v>
      </c>
      <c r="X293" t="s">
        <v>1</v>
      </c>
      <c r="Y293" t="s">
        <v>1</v>
      </c>
      <c r="Z293" t="s">
        <v>1</v>
      </c>
      <c r="AA293">
        <v>0</v>
      </c>
      <c r="AB293" t="s">
        <v>2196</v>
      </c>
      <c r="AC293" t="s">
        <v>479</v>
      </c>
      <c r="AD293" t="s">
        <v>2197</v>
      </c>
      <c r="AE293">
        <v>0</v>
      </c>
      <c r="AF293" t="s">
        <v>1</v>
      </c>
      <c r="AG293" t="s">
        <v>1</v>
      </c>
      <c r="AH293" t="s">
        <v>545</v>
      </c>
      <c r="AI293" t="s">
        <v>1999</v>
      </c>
      <c r="AJ293" t="s">
        <v>1</v>
      </c>
      <c r="AK293">
        <v>9932796809</v>
      </c>
      <c r="AL293" t="s">
        <v>2198</v>
      </c>
      <c r="AM293" t="s">
        <v>2199</v>
      </c>
      <c r="AN293">
        <v>0</v>
      </c>
      <c r="AO293" t="s">
        <v>545</v>
      </c>
      <c r="AP293" t="s">
        <v>1</v>
      </c>
      <c r="AQ293">
        <v>5</v>
      </c>
      <c r="AR293">
        <v>0</v>
      </c>
      <c r="AS293">
        <v>0</v>
      </c>
      <c r="AT293" t="s">
        <v>1</v>
      </c>
      <c r="AU293" t="s">
        <v>1</v>
      </c>
      <c r="AV293" t="s">
        <v>1</v>
      </c>
      <c r="AW293">
        <v>0</v>
      </c>
      <c r="AX293">
        <v>6900</v>
      </c>
      <c r="AY293">
        <v>6000</v>
      </c>
      <c r="AZ293">
        <v>0</v>
      </c>
      <c r="BA293">
        <v>0</v>
      </c>
      <c r="BB293" t="s">
        <v>1</v>
      </c>
      <c r="BC293" t="s">
        <v>1954</v>
      </c>
      <c r="BD293" t="s">
        <v>147</v>
      </c>
      <c r="BE293" t="s">
        <v>1</v>
      </c>
      <c r="BF293" t="s">
        <v>1</v>
      </c>
      <c r="BG293" t="s">
        <v>1</v>
      </c>
      <c r="BH293">
        <v>0</v>
      </c>
      <c r="BI293">
        <v>0</v>
      </c>
      <c r="BJ293" t="s">
        <v>1930</v>
      </c>
      <c r="BK293" t="s">
        <v>1</v>
      </c>
      <c r="BL293" t="s">
        <v>1931</v>
      </c>
      <c r="BM293">
        <v>0</v>
      </c>
      <c r="BN293">
        <v>12900</v>
      </c>
      <c r="BO293">
        <v>0</v>
      </c>
      <c r="BP293">
        <v>0</v>
      </c>
      <c r="BQ293">
        <v>0</v>
      </c>
      <c r="BR293" t="s">
        <v>1</v>
      </c>
      <c r="BS293" t="s">
        <v>1</v>
      </c>
      <c r="BT293" t="s">
        <v>1</v>
      </c>
      <c r="BU293" t="s">
        <v>1</v>
      </c>
      <c r="BV293" t="s">
        <v>1</v>
      </c>
      <c r="BW293" t="s">
        <v>360</v>
      </c>
      <c r="BX293" t="s">
        <v>1</v>
      </c>
      <c r="BY293">
        <v>0</v>
      </c>
      <c r="BZ293">
        <v>0</v>
      </c>
      <c r="CA293">
        <v>0</v>
      </c>
      <c r="CB293">
        <v>0</v>
      </c>
      <c r="CD293" t="str" cm="1">
        <f t="array" aca="1" ref="CD293" ca="1">eConcatenar(A293:CB293,"|")</f>
        <v>4eW5OB8woHfKTGMU|VSA2020-0901|3|IMPERIAL DE LUJO |TABASCO|VILLAHERMOSA |VILLAHERMOSA |2020-10-31|12900|X|X|200|1|0|X|X|X|X|X|X|X|X|X|X|X|X|0|CHICO |SANCHEZ |BEATRIZ |0|X|X|CARRETERA PRINCIPAL SIN NUMERO |COLONIA PLUTARCO ELIAS CALLES |X|9932796809|JOSE DOMINGO VIDAL PEREZ |BENEFICIARIO 2 INGRID GUADALUPE GUTIERREZ CHICO |0|CARRETERA PRINCIPAL SIN NUMERO |X|5|0|0|X|X|X|0|6900|6000|0|0|X|2021-12-17|2021-12-31|X|X|X|0|0|S35D6D3Y9KVTQ2|X|MUJER |0|12900|0|0|0|X|X|X|X|X|VILLAHERMOSA |X|0|0|0|0</v>
      </c>
    </row>
    <row r="294" spans="1:82" x14ac:dyDescent="0.25">
      <c r="A294" t="s">
        <v>2200</v>
      </c>
      <c r="B294" t="s">
        <v>2201</v>
      </c>
      <c r="C294">
        <v>3</v>
      </c>
      <c r="D294" t="s">
        <v>121</v>
      </c>
      <c r="E294" t="s">
        <v>359</v>
      </c>
      <c r="F294" t="s">
        <v>360</v>
      </c>
      <c r="G294" t="s">
        <v>360</v>
      </c>
      <c r="H294" t="s">
        <v>1117</v>
      </c>
      <c r="I294">
        <v>12900</v>
      </c>
      <c r="J294" t="s">
        <v>1</v>
      </c>
      <c r="K294" t="s">
        <v>1</v>
      </c>
      <c r="L294">
        <v>400</v>
      </c>
      <c r="M294">
        <v>2</v>
      </c>
      <c r="N294">
        <v>0</v>
      </c>
      <c r="O294" t="s">
        <v>1</v>
      </c>
      <c r="P294" t="s">
        <v>1</v>
      </c>
      <c r="Q294" t="s">
        <v>1</v>
      </c>
      <c r="R294" t="s">
        <v>1</v>
      </c>
      <c r="S294" t="s">
        <v>1</v>
      </c>
      <c r="T294" t="s">
        <v>1</v>
      </c>
      <c r="U294" t="s">
        <v>1</v>
      </c>
      <c r="V294" t="s">
        <v>1</v>
      </c>
      <c r="W294" t="s">
        <v>1</v>
      </c>
      <c r="X294" t="s">
        <v>1</v>
      </c>
      <c r="Y294" t="s">
        <v>1</v>
      </c>
      <c r="Z294" t="s">
        <v>1</v>
      </c>
      <c r="AA294">
        <v>0</v>
      </c>
      <c r="AB294" t="s">
        <v>2202</v>
      </c>
      <c r="AC294" t="s">
        <v>273</v>
      </c>
      <c r="AD294" t="s">
        <v>2203</v>
      </c>
      <c r="AE294">
        <v>0</v>
      </c>
      <c r="AF294" t="s">
        <v>1</v>
      </c>
      <c r="AG294" t="s">
        <v>1</v>
      </c>
      <c r="AH294" t="s">
        <v>2204</v>
      </c>
      <c r="AI294" t="s">
        <v>2205</v>
      </c>
      <c r="AJ294" t="s">
        <v>1</v>
      </c>
      <c r="AK294">
        <v>9932000935</v>
      </c>
      <c r="AL294" t="s">
        <v>2206</v>
      </c>
      <c r="AM294" t="s">
        <v>2207</v>
      </c>
      <c r="AN294">
        <v>0</v>
      </c>
      <c r="AO294" t="s">
        <v>2204</v>
      </c>
      <c r="AP294" t="s">
        <v>1</v>
      </c>
      <c r="AQ294">
        <v>4</v>
      </c>
      <c r="AR294">
        <v>0</v>
      </c>
      <c r="AS294">
        <v>0</v>
      </c>
      <c r="AT294" t="s">
        <v>1</v>
      </c>
      <c r="AU294" t="s">
        <v>1</v>
      </c>
      <c r="AV294" t="s">
        <v>1</v>
      </c>
      <c r="AW294">
        <v>0</v>
      </c>
      <c r="AX294">
        <v>4700</v>
      </c>
      <c r="AY294">
        <v>8200</v>
      </c>
      <c r="AZ294">
        <v>0</v>
      </c>
      <c r="BA294">
        <v>0</v>
      </c>
      <c r="BB294" t="s">
        <v>1</v>
      </c>
      <c r="BC294" t="s">
        <v>2208</v>
      </c>
      <c r="BD294" t="s">
        <v>147</v>
      </c>
      <c r="BE294" t="s">
        <v>1</v>
      </c>
      <c r="BF294" t="s">
        <v>1</v>
      </c>
      <c r="BG294" t="s">
        <v>1</v>
      </c>
      <c r="BH294">
        <v>0</v>
      </c>
      <c r="BI294">
        <v>0</v>
      </c>
      <c r="BJ294" t="s">
        <v>1930</v>
      </c>
      <c r="BK294" t="s">
        <v>1</v>
      </c>
      <c r="BL294" t="s">
        <v>1931</v>
      </c>
      <c r="BM294">
        <v>0</v>
      </c>
      <c r="BN294">
        <v>12900</v>
      </c>
      <c r="BO294">
        <v>0</v>
      </c>
      <c r="BP294">
        <v>0</v>
      </c>
      <c r="BQ294">
        <v>0</v>
      </c>
      <c r="BR294" t="s">
        <v>1</v>
      </c>
      <c r="BS294" t="s">
        <v>1</v>
      </c>
      <c r="BT294" t="s">
        <v>1</v>
      </c>
      <c r="BU294" t="s">
        <v>1</v>
      </c>
      <c r="BV294" t="s">
        <v>1</v>
      </c>
      <c r="BW294" t="s">
        <v>360</v>
      </c>
      <c r="BX294" t="s">
        <v>1</v>
      </c>
      <c r="BY294">
        <v>0</v>
      </c>
      <c r="BZ294">
        <v>0</v>
      </c>
      <c r="CA294">
        <v>0</v>
      </c>
      <c r="CB294">
        <v>0</v>
      </c>
      <c r="CD294" t="str" cm="1">
        <f t="array" aca="1" ref="CD294" ca="1">eConcatenar(A294:CB294,"|")</f>
        <v>HYr1Nb0wXxsZEh0R|VSA2020-0905|3|IMPERIAL DE LUJO |TABASCO|VILLAHERMOSA |VILLAHERMOSA |2020-10-31|12900|X|X|400|2|0|X|X|X|X|X|X|X|X|X|X|X|X|0|DE LA SOTA |TORRES|ROSA LUZ |0|X|X|CALLE QUILES SERDAN |COLONIA ROVIROSA |X|9932000935|MARIA DEL SOCORRO TORRES PEREZ |BENEFICIARIO 2 ALAN ARMANDO RINCON DE LA SOTA |0|CALLE QUILES SERDAN |X|4|0|0|X|X|X|0|4700|8200|0|0|X|2021-12-13|2021-12-31|X|X|X|0|0|S35D6D3Y9KVTQ2|X|MUJER |0|12900|0|0|0|X|X|X|X|X|VILLAHERMOSA |X|0|0|0|0</v>
      </c>
    </row>
    <row r="295" spans="1:82" x14ac:dyDescent="0.25">
      <c r="A295" t="s">
        <v>2209</v>
      </c>
      <c r="B295" t="s">
        <v>2210</v>
      </c>
      <c r="C295">
        <v>3</v>
      </c>
      <c r="D295" t="s">
        <v>121</v>
      </c>
      <c r="E295" t="s">
        <v>359</v>
      </c>
      <c r="F295" t="s">
        <v>360</v>
      </c>
      <c r="G295" t="s">
        <v>360</v>
      </c>
      <c r="H295" t="s">
        <v>2211</v>
      </c>
      <c r="I295">
        <v>12900</v>
      </c>
      <c r="J295" t="s">
        <v>1</v>
      </c>
      <c r="K295" t="s">
        <v>1</v>
      </c>
      <c r="L295">
        <v>400</v>
      </c>
      <c r="M295">
        <v>2</v>
      </c>
      <c r="N295">
        <v>0</v>
      </c>
      <c r="O295" t="s">
        <v>1</v>
      </c>
      <c r="P295" t="s">
        <v>1</v>
      </c>
      <c r="Q295" t="s">
        <v>1</v>
      </c>
      <c r="R295" t="s">
        <v>1</v>
      </c>
      <c r="S295" t="s">
        <v>1</v>
      </c>
      <c r="T295" t="s">
        <v>1</v>
      </c>
      <c r="U295" t="s">
        <v>1</v>
      </c>
      <c r="V295" t="s">
        <v>1</v>
      </c>
      <c r="W295" t="s">
        <v>1</v>
      </c>
      <c r="X295" t="s">
        <v>1</v>
      </c>
      <c r="Y295" t="s">
        <v>1</v>
      </c>
      <c r="Z295" t="s">
        <v>1</v>
      </c>
      <c r="AA295">
        <v>0</v>
      </c>
      <c r="AB295" t="s">
        <v>209</v>
      </c>
      <c r="AC295" t="s">
        <v>2212</v>
      </c>
      <c r="AD295" t="s">
        <v>2213</v>
      </c>
      <c r="AE295">
        <v>0</v>
      </c>
      <c r="AF295" t="s">
        <v>1</v>
      </c>
      <c r="AG295" t="s">
        <v>1</v>
      </c>
      <c r="AH295" t="s">
        <v>2214</v>
      </c>
      <c r="AI295" t="s">
        <v>1999</v>
      </c>
      <c r="AJ295" t="s">
        <v>1</v>
      </c>
      <c r="AK295">
        <v>9935025820</v>
      </c>
      <c r="AL295" t="s">
        <v>2215</v>
      </c>
      <c r="AM295" t="s">
        <v>2216</v>
      </c>
      <c r="AN295">
        <v>0</v>
      </c>
      <c r="AO295" t="s">
        <v>2214</v>
      </c>
      <c r="AP295" t="s">
        <v>1</v>
      </c>
      <c r="AQ295">
        <v>4</v>
      </c>
      <c r="AR295">
        <v>0</v>
      </c>
      <c r="AS295">
        <v>0</v>
      </c>
      <c r="AT295" t="s">
        <v>1</v>
      </c>
      <c r="AU295" t="s">
        <v>1</v>
      </c>
      <c r="AV295" t="s">
        <v>1</v>
      </c>
      <c r="AW295">
        <v>0</v>
      </c>
      <c r="AX295">
        <v>6940</v>
      </c>
      <c r="AY295">
        <v>5960</v>
      </c>
      <c r="AZ295">
        <v>0</v>
      </c>
      <c r="BA295">
        <v>0</v>
      </c>
      <c r="BB295" t="s">
        <v>1</v>
      </c>
      <c r="BC295" t="s">
        <v>729</v>
      </c>
      <c r="BD295" t="s">
        <v>147</v>
      </c>
      <c r="BE295" t="s">
        <v>1</v>
      </c>
      <c r="BF295" t="s">
        <v>1</v>
      </c>
      <c r="BG295" t="s">
        <v>1</v>
      </c>
      <c r="BH295">
        <v>0</v>
      </c>
      <c r="BI295">
        <v>0</v>
      </c>
      <c r="BJ295" t="s">
        <v>1930</v>
      </c>
      <c r="BK295" t="s">
        <v>1</v>
      </c>
      <c r="BL295" t="s">
        <v>1931</v>
      </c>
      <c r="BM295">
        <v>0</v>
      </c>
      <c r="BN295">
        <v>12900</v>
      </c>
      <c r="BO295">
        <v>0</v>
      </c>
      <c r="BP295">
        <v>0</v>
      </c>
      <c r="BQ295">
        <v>0</v>
      </c>
      <c r="BR295" t="s">
        <v>1</v>
      </c>
      <c r="BS295" t="s">
        <v>1</v>
      </c>
      <c r="BT295" t="s">
        <v>1</v>
      </c>
      <c r="BU295" t="s">
        <v>1</v>
      </c>
      <c r="BV295" t="s">
        <v>1</v>
      </c>
      <c r="BW295" t="s">
        <v>360</v>
      </c>
      <c r="BX295" t="s">
        <v>1</v>
      </c>
      <c r="BY295">
        <v>0</v>
      </c>
      <c r="BZ295">
        <v>0</v>
      </c>
      <c r="CA295">
        <v>0</v>
      </c>
      <c r="CB295">
        <v>0</v>
      </c>
      <c r="CD295" t="str" cm="1">
        <f t="array" aca="1" ref="CD295" ca="1">eConcatenar(A295:CB295,"|")</f>
        <v>Zz2hmocf5wnKloWM|VSA2020-0917|3|IMPERIAL DE LUJO |TABASCO|VILLAHERMOSA |VILLAHERMOSA |2020-02-11|12900|X|X|400|2|0|X|X|X|X|X|X|X|X|X|X|X|X|0|SANCHEZ|CARBALLO |JULIETA |0|X|X|CALLE CURA HUESO |COLONIA PLUTARCO ELIAS CALLES |X|9935025820|JOSE ALBERTO MARIN RUIZ |BENEFICIARIO 2 LUCI LOPEZ SANCHEZ |0|CALLE CURA HUESO |X|4|0|0|X|X|X|0|6940|5960|0|0|X|2021-09-12|2021-12-31|X|X|X|0|0|S35D6D3Y9KVTQ2|X|MUJER |0|12900|0|0|0|X|X|X|X|X|VILLAHERMOSA |X|0|0|0|0</v>
      </c>
    </row>
    <row r="296" spans="1:82" x14ac:dyDescent="0.25">
      <c r="A296" t="s">
        <v>2217</v>
      </c>
      <c r="B296" t="s">
        <v>2218</v>
      </c>
      <c r="C296">
        <v>3</v>
      </c>
      <c r="D296" t="s">
        <v>433</v>
      </c>
      <c r="E296" t="s">
        <v>359</v>
      </c>
      <c r="F296" t="s">
        <v>360</v>
      </c>
      <c r="G296" t="s">
        <v>360</v>
      </c>
      <c r="H296" t="s">
        <v>2211</v>
      </c>
      <c r="I296">
        <v>19800</v>
      </c>
      <c r="J296" t="s">
        <v>1</v>
      </c>
      <c r="K296" t="s">
        <v>1</v>
      </c>
      <c r="L296">
        <v>200</v>
      </c>
      <c r="M296">
        <v>1</v>
      </c>
      <c r="N296">
        <v>0</v>
      </c>
      <c r="O296" t="s">
        <v>1</v>
      </c>
      <c r="P296" t="s">
        <v>1</v>
      </c>
      <c r="Q296" t="s">
        <v>1</v>
      </c>
      <c r="R296" t="s">
        <v>1</v>
      </c>
      <c r="S296" t="s">
        <v>1</v>
      </c>
      <c r="T296" t="s">
        <v>1</v>
      </c>
      <c r="U296" t="s">
        <v>1</v>
      </c>
      <c r="V296" t="s">
        <v>1</v>
      </c>
      <c r="W296" t="s">
        <v>1</v>
      </c>
      <c r="X296" t="s">
        <v>1</v>
      </c>
      <c r="Y296" t="s">
        <v>1</v>
      </c>
      <c r="Z296" t="s">
        <v>1</v>
      </c>
      <c r="AA296">
        <v>0</v>
      </c>
      <c r="AB296" t="s">
        <v>2219</v>
      </c>
      <c r="AC296" t="s">
        <v>1562</v>
      </c>
      <c r="AD296" t="s">
        <v>2220</v>
      </c>
      <c r="AE296">
        <v>0</v>
      </c>
      <c r="AF296" t="s">
        <v>1</v>
      </c>
      <c r="AG296" t="s">
        <v>1</v>
      </c>
      <c r="AH296" t="s">
        <v>2221</v>
      </c>
      <c r="AI296" t="s">
        <v>2222</v>
      </c>
      <c r="AJ296" t="s">
        <v>1</v>
      </c>
      <c r="AK296">
        <v>9932071002</v>
      </c>
      <c r="AL296" t="s">
        <v>2223</v>
      </c>
      <c r="AM296" t="s">
        <v>2224</v>
      </c>
      <c r="AN296">
        <v>0</v>
      </c>
      <c r="AO296" t="s">
        <v>2221</v>
      </c>
      <c r="AP296" t="s">
        <v>1</v>
      </c>
      <c r="AQ296">
        <v>5</v>
      </c>
      <c r="AR296">
        <v>0</v>
      </c>
      <c r="AS296">
        <v>0</v>
      </c>
      <c r="AT296" t="s">
        <v>1</v>
      </c>
      <c r="AU296" t="s">
        <v>1</v>
      </c>
      <c r="AV296" t="s">
        <v>1</v>
      </c>
      <c r="AW296">
        <v>0</v>
      </c>
      <c r="AX296">
        <v>6780</v>
      </c>
      <c r="AY296">
        <v>13020</v>
      </c>
      <c r="AZ296">
        <v>0</v>
      </c>
      <c r="BA296">
        <v>0</v>
      </c>
      <c r="BB296" t="s">
        <v>1</v>
      </c>
      <c r="BC296" t="s">
        <v>2225</v>
      </c>
      <c r="BD296" t="s">
        <v>147</v>
      </c>
      <c r="BE296" t="s">
        <v>1</v>
      </c>
      <c r="BF296" t="s">
        <v>1</v>
      </c>
      <c r="BG296" t="s">
        <v>1</v>
      </c>
      <c r="BH296">
        <v>0</v>
      </c>
      <c r="BI296">
        <v>0</v>
      </c>
      <c r="BJ296" t="s">
        <v>1930</v>
      </c>
      <c r="BK296" t="s">
        <v>1</v>
      </c>
      <c r="BL296" t="s">
        <v>131</v>
      </c>
      <c r="BM296">
        <v>0</v>
      </c>
      <c r="BN296">
        <v>19800</v>
      </c>
      <c r="BO296">
        <v>0</v>
      </c>
      <c r="BP296">
        <v>0</v>
      </c>
      <c r="BQ296">
        <v>0</v>
      </c>
      <c r="BR296" t="s">
        <v>1</v>
      </c>
      <c r="BS296" t="s">
        <v>1</v>
      </c>
      <c r="BT296" t="s">
        <v>1</v>
      </c>
      <c r="BU296" t="s">
        <v>1</v>
      </c>
      <c r="BV296" t="s">
        <v>1</v>
      </c>
      <c r="BW296" t="s">
        <v>360</v>
      </c>
      <c r="BX296" t="s">
        <v>1</v>
      </c>
      <c r="BY296">
        <v>0</v>
      </c>
      <c r="BZ296">
        <v>0</v>
      </c>
      <c r="CA296">
        <v>0</v>
      </c>
      <c r="CB296">
        <v>0</v>
      </c>
      <c r="CD296" t="str" cm="1">
        <f t="array" aca="1" ref="CD296" ca="1">eConcatenar(A296:CB296,"|")</f>
        <v>TDcxhbTJmBSlaPEo|VSA2020-0918|3|ZAFIRO |TABASCO|VILLAHERMOSA |VILLAHERMOSA |2020-02-11|19800|X|X|200|1|0|X|X|X|X|X|X|X|X|X|X|X|X|0|SEGURA |MARIN |JESUS DE2L CARMEN |0|X|X|AVENIDA DIECISEIS DE SEPTIEMBRE |COLONIA PRIMERO DE MAYO |X|9932071002|JAIME ANGEL SEGURA MARIN |BENEFICIARIO 2  JOSE ALBERTO MARIN RUIZ |0|AVENIDA DIECISEIS DE SEPTIEMBRE |X|5|0|0|X|X|X|0|6780|13020|0|0|X|2021-12-20|2021-12-31|X|X|X|0|0|S35D6D3Y9KVTQ2|X|HOMBRE |0|19800|0|0|0|X|X|X|X|X|VILLAHERMOSA |X|0|0|0|0</v>
      </c>
    </row>
    <row r="297" spans="1:82" x14ac:dyDescent="0.25">
      <c r="A297" t="s">
        <v>2226</v>
      </c>
      <c r="B297" t="s">
        <v>2227</v>
      </c>
      <c r="C297">
        <v>3</v>
      </c>
      <c r="D297" t="s">
        <v>433</v>
      </c>
      <c r="E297" t="s">
        <v>359</v>
      </c>
      <c r="F297" t="s">
        <v>360</v>
      </c>
      <c r="G297" t="s">
        <v>360</v>
      </c>
      <c r="H297" t="s">
        <v>1532</v>
      </c>
      <c r="I297">
        <v>19800</v>
      </c>
      <c r="J297" t="s">
        <v>1</v>
      </c>
      <c r="K297" t="s">
        <v>1</v>
      </c>
      <c r="L297">
        <v>200</v>
      </c>
      <c r="M297">
        <v>1</v>
      </c>
      <c r="N297">
        <v>0</v>
      </c>
      <c r="O297" t="s">
        <v>1</v>
      </c>
      <c r="P297" t="s">
        <v>1</v>
      </c>
      <c r="Q297" t="s">
        <v>1</v>
      </c>
      <c r="R297" t="s">
        <v>1</v>
      </c>
      <c r="S297" t="s">
        <v>1</v>
      </c>
      <c r="T297" t="s">
        <v>1</v>
      </c>
      <c r="U297" t="s">
        <v>1</v>
      </c>
      <c r="V297" t="s">
        <v>1</v>
      </c>
      <c r="W297" t="s">
        <v>1</v>
      </c>
      <c r="X297" t="s">
        <v>1</v>
      </c>
      <c r="Y297" t="s">
        <v>1</v>
      </c>
      <c r="Z297" t="s">
        <v>1</v>
      </c>
      <c r="AA297">
        <v>0</v>
      </c>
      <c r="AB297" t="s">
        <v>528</v>
      </c>
      <c r="AC297" t="s">
        <v>407</v>
      </c>
      <c r="AD297" t="s">
        <v>2228</v>
      </c>
      <c r="AE297">
        <v>0</v>
      </c>
      <c r="AF297" t="s">
        <v>1</v>
      </c>
      <c r="AG297" t="s">
        <v>1</v>
      </c>
      <c r="AH297" t="s">
        <v>2229</v>
      </c>
      <c r="AI297" t="s">
        <v>2230</v>
      </c>
      <c r="AJ297" t="s">
        <v>1</v>
      </c>
      <c r="AK297">
        <v>9933962405</v>
      </c>
      <c r="AL297" t="s">
        <v>2231</v>
      </c>
      <c r="AM297" t="s">
        <v>2232</v>
      </c>
      <c r="AN297">
        <v>0</v>
      </c>
      <c r="AO297" t="s">
        <v>2229</v>
      </c>
      <c r="AP297" t="s">
        <v>1</v>
      </c>
      <c r="AQ297">
        <v>4</v>
      </c>
      <c r="AR297">
        <v>0</v>
      </c>
      <c r="AS297">
        <v>0</v>
      </c>
      <c r="AT297" t="s">
        <v>1</v>
      </c>
      <c r="AU297" t="s">
        <v>1</v>
      </c>
      <c r="AV297" t="s">
        <v>1</v>
      </c>
      <c r="AW297">
        <v>0</v>
      </c>
      <c r="AX297">
        <v>5500</v>
      </c>
      <c r="AY297">
        <v>14300</v>
      </c>
      <c r="AZ297">
        <v>0</v>
      </c>
      <c r="BA297">
        <v>0</v>
      </c>
      <c r="BB297" t="s">
        <v>1</v>
      </c>
      <c r="BC297" t="s">
        <v>2233</v>
      </c>
      <c r="BD297" t="s">
        <v>147</v>
      </c>
      <c r="BE297" t="s">
        <v>1</v>
      </c>
      <c r="BF297" t="s">
        <v>1</v>
      </c>
      <c r="BG297" t="s">
        <v>1</v>
      </c>
      <c r="BH297">
        <v>0</v>
      </c>
      <c r="BI297">
        <v>0</v>
      </c>
      <c r="BJ297" t="s">
        <v>1930</v>
      </c>
      <c r="BK297" t="s">
        <v>1</v>
      </c>
      <c r="BL297" t="s">
        <v>131</v>
      </c>
      <c r="BM297">
        <v>0</v>
      </c>
      <c r="BN297">
        <v>19800</v>
      </c>
      <c r="BO297">
        <v>0</v>
      </c>
      <c r="BP297">
        <v>0</v>
      </c>
      <c r="BQ297">
        <v>0</v>
      </c>
      <c r="BR297" t="s">
        <v>1</v>
      </c>
      <c r="BS297" t="s">
        <v>1</v>
      </c>
      <c r="BT297" t="s">
        <v>1</v>
      </c>
      <c r="BU297" t="s">
        <v>1</v>
      </c>
      <c r="BV297" t="s">
        <v>1</v>
      </c>
      <c r="BW297" t="s">
        <v>360</v>
      </c>
      <c r="BX297" t="s">
        <v>1</v>
      </c>
      <c r="BY297">
        <v>0</v>
      </c>
      <c r="BZ297">
        <v>0</v>
      </c>
      <c r="CA297">
        <v>0</v>
      </c>
      <c r="CB297">
        <v>0</v>
      </c>
      <c r="CD297" t="str" cm="1">
        <f t="array" aca="1" ref="CD297" ca="1">eConcatenar(A297:CB297,"|")</f>
        <v>RPQVI3wrn0B47pey|VSA2020-0926|3|ZAFIRO |TABASCO|VILLAHERMOSA |VILLAHERMOSA |2020-03-11|19800|X|X|200|1|0|X|X|X|X|X|X|X|X|X|X|X|X|0|RAMIREZ |LOPEZ |FERNANDO |0|X|X|CALLE AGAPITO DOMINGUEZ |COLONIA GUAYABAL |X|9933962405|PAOLA IVETTE RAMIREZ LOPOEZ |BENEFICIARIO 2 DELVI NAZARIO RAMIREZ LOPEZ |0|CALLE AGAPITO DOMINGUEZ |X|4|0|0|X|X|X|0|5500|14300|0|0|X|2021-10-12|2021-12-31|X|X|X|0|0|S35D6D3Y9KVTQ2|X|HOMBRE |0|19800|0|0|0|X|X|X|X|X|VILLAHERMOSA |X|0|0|0|0</v>
      </c>
    </row>
    <row r="298" spans="1:82" x14ac:dyDescent="0.25">
      <c r="A298" t="s">
        <v>2234</v>
      </c>
      <c r="B298" t="s">
        <v>2235</v>
      </c>
      <c r="C298">
        <v>3</v>
      </c>
      <c r="D298" t="s">
        <v>121</v>
      </c>
      <c r="E298" t="s">
        <v>359</v>
      </c>
      <c r="F298" t="s">
        <v>360</v>
      </c>
      <c r="G298" t="s">
        <v>360</v>
      </c>
      <c r="H298" t="s">
        <v>2236</v>
      </c>
      <c r="I298">
        <v>12900</v>
      </c>
      <c r="J298" t="s">
        <v>1</v>
      </c>
      <c r="K298" t="s">
        <v>1</v>
      </c>
      <c r="L298">
        <v>100</v>
      </c>
      <c r="M298">
        <v>0</v>
      </c>
      <c r="N298">
        <v>0</v>
      </c>
      <c r="O298" t="s">
        <v>1</v>
      </c>
      <c r="P298" t="s">
        <v>1</v>
      </c>
      <c r="Q298" t="s">
        <v>1</v>
      </c>
      <c r="R298" t="s">
        <v>1</v>
      </c>
      <c r="S298" t="s">
        <v>1</v>
      </c>
      <c r="T298" t="s">
        <v>1</v>
      </c>
      <c r="U298" t="s">
        <v>1</v>
      </c>
      <c r="V298" t="s">
        <v>1</v>
      </c>
      <c r="W298" t="s">
        <v>1</v>
      </c>
      <c r="X298" t="s">
        <v>1</v>
      </c>
      <c r="Y298" t="s">
        <v>1</v>
      </c>
      <c r="Z298" t="s">
        <v>1</v>
      </c>
      <c r="AA298">
        <v>0</v>
      </c>
      <c r="AB298" t="s">
        <v>1355</v>
      </c>
      <c r="AC298" t="s">
        <v>628</v>
      </c>
      <c r="AD298" t="s">
        <v>2237</v>
      </c>
      <c r="AE298">
        <v>0</v>
      </c>
      <c r="AF298" t="s">
        <v>1</v>
      </c>
      <c r="AG298" t="s">
        <v>1</v>
      </c>
      <c r="AH298" t="s">
        <v>2238</v>
      </c>
      <c r="AI298" t="s">
        <v>2096</v>
      </c>
      <c r="AJ298" t="s">
        <v>1</v>
      </c>
      <c r="AK298">
        <v>9933327093</v>
      </c>
      <c r="AL298" t="s">
        <v>2239</v>
      </c>
      <c r="AM298" t="s">
        <v>2240</v>
      </c>
      <c r="AN298">
        <v>0</v>
      </c>
      <c r="AO298" t="s">
        <v>2238</v>
      </c>
      <c r="AP298" t="s">
        <v>1</v>
      </c>
      <c r="AQ298">
        <v>5</v>
      </c>
      <c r="AR298">
        <v>0</v>
      </c>
      <c r="AS298">
        <v>0</v>
      </c>
      <c r="AT298" t="s">
        <v>1</v>
      </c>
      <c r="AU298" t="s">
        <v>1</v>
      </c>
      <c r="AV298" t="s">
        <v>1</v>
      </c>
      <c r="AW298">
        <v>0</v>
      </c>
      <c r="AX298">
        <v>4200</v>
      </c>
      <c r="AY298">
        <v>8700</v>
      </c>
      <c r="AZ298">
        <v>0</v>
      </c>
      <c r="BA298">
        <v>0</v>
      </c>
      <c r="BB298" t="s">
        <v>1</v>
      </c>
      <c r="BC298" t="s">
        <v>2124</v>
      </c>
      <c r="BD298" t="s">
        <v>147</v>
      </c>
      <c r="BE298" t="s">
        <v>1</v>
      </c>
      <c r="BF298" t="s">
        <v>1</v>
      </c>
      <c r="BG298" t="s">
        <v>1</v>
      </c>
      <c r="BH298">
        <v>0</v>
      </c>
      <c r="BI298">
        <v>0</v>
      </c>
      <c r="BJ298" t="s">
        <v>1930</v>
      </c>
      <c r="BK298" t="s">
        <v>1</v>
      </c>
      <c r="BL298" t="s">
        <v>1931</v>
      </c>
      <c r="BM298">
        <v>0</v>
      </c>
      <c r="BN298">
        <v>12900</v>
      </c>
      <c r="BO298">
        <v>0</v>
      </c>
      <c r="BP298">
        <v>0</v>
      </c>
      <c r="BQ298">
        <v>0</v>
      </c>
      <c r="BR298" t="s">
        <v>1</v>
      </c>
      <c r="BS298" t="s">
        <v>1</v>
      </c>
      <c r="BT298" t="s">
        <v>1</v>
      </c>
      <c r="BU298" t="s">
        <v>1</v>
      </c>
      <c r="BV298" t="s">
        <v>1</v>
      </c>
      <c r="BW298" t="s">
        <v>360</v>
      </c>
      <c r="BX298" t="s">
        <v>1</v>
      </c>
      <c r="BY298">
        <v>0</v>
      </c>
      <c r="BZ298">
        <v>0</v>
      </c>
      <c r="CA298">
        <v>0</v>
      </c>
      <c r="CB298">
        <v>0</v>
      </c>
      <c r="CD298" t="str" cm="1">
        <f t="array" aca="1" ref="CD298" ca="1">eConcatenar(A298:CB298,"|")</f>
        <v>2KeLTsAeMxaSIyit|VSA2020-0952|3|IMPERIAL DE LUJO |TABASCO|VILLAHERMOSA |VILLAHERMOSA |2020-11-14|12900|X|X|100|0|0|X|X|X|X|X|X|X|X|X|X|X|X|0|MAGAÃ‘A |ALVAREZ |EUNICES|0|X|X|AVENIDA AZUCENAS SECTOR COMPUERTA |COLONIA JOSE MARIA PINO SUAREZ |X|9933327093|RAUL CAMARA RAYMUNDO |BENEFICIARIO 2 SANDRA PATRICIA GONMZALEZ MAGAÃ‘A |0|AVENIDA AZUCENAS SECTOR COMPUERTA |X|5|0|0|X|X|X|0|4200|8700|0|0|X|2021-04-12|2021-12-31|X|X|X|0|0|S35D6D3Y9KVTQ2|X|MUJER |0|12900|0|0|0|X|X|X|X|X|VILLAHERMOSA |X|0|0|0|0</v>
      </c>
    </row>
    <row r="299" spans="1:82" x14ac:dyDescent="0.25">
      <c r="A299" t="s">
        <v>2241</v>
      </c>
      <c r="B299" t="s">
        <v>2242</v>
      </c>
      <c r="C299">
        <v>3</v>
      </c>
      <c r="D299" t="s">
        <v>121</v>
      </c>
      <c r="E299" t="s">
        <v>359</v>
      </c>
      <c r="F299" t="s">
        <v>360</v>
      </c>
      <c r="G299" t="s">
        <v>360</v>
      </c>
      <c r="H299" t="s">
        <v>2243</v>
      </c>
      <c r="I299">
        <v>12900</v>
      </c>
      <c r="J299" t="s">
        <v>1</v>
      </c>
      <c r="K299" t="s">
        <v>1</v>
      </c>
      <c r="L299">
        <v>100</v>
      </c>
      <c r="M299">
        <v>0</v>
      </c>
      <c r="N299">
        <v>0</v>
      </c>
      <c r="O299" t="s">
        <v>1</v>
      </c>
      <c r="P299" t="s">
        <v>1</v>
      </c>
      <c r="Q299" t="s">
        <v>1</v>
      </c>
      <c r="R299" t="s">
        <v>1</v>
      </c>
      <c r="S299" t="s">
        <v>1</v>
      </c>
      <c r="T299" t="s">
        <v>1</v>
      </c>
      <c r="U299" t="s">
        <v>1</v>
      </c>
      <c r="V299" t="s">
        <v>1</v>
      </c>
      <c r="W299" t="s">
        <v>1</v>
      </c>
      <c r="X299" t="s">
        <v>1</v>
      </c>
      <c r="Y299" t="s">
        <v>1</v>
      </c>
      <c r="Z299" t="s">
        <v>1</v>
      </c>
      <c r="AA299">
        <v>0</v>
      </c>
      <c r="AB299" t="s">
        <v>1596</v>
      </c>
      <c r="AC299" t="s">
        <v>516</v>
      </c>
      <c r="AD299" t="s">
        <v>429</v>
      </c>
      <c r="AE299">
        <v>0</v>
      </c>
      <c r="AF299" t="s">
        <v>1</v>
      </c>
      <c r="AG299" t="s">
        <v>1</v>
      </c>
      <c r="AH299" t="s">
        <v>2244</v>
      </c>
      <c r="AI299" t="s">
        <v>2245</v>
      </c>
      <c r="AJ299" t="s">
        <v>1</v>
      </c>
      <c r="AK299">
        <v>9932800867</v>
      </c>
      <c r="AL299" t="s">
        <v>2246</v>
      </c>
      <c r="AM299" t="s">
        <v>2247</v>
      </c>
      <c r="AN299">
        <v>0</v>
      </c>
      <c r="AO299" t="s">
        <v>2244</v>
      </c>
      <c r="AP299" t="s">
        <v>1</v>
      </c>
      <c r="AQ299">
        <v>5</v>
      </c>
      <c r="AR299">
        <v>0</v>
      </c>
      <c r="AS299">
        <v>0</v>
      </c>
      <c r="AT299" t="s">
        <v>1</v>
      </c>
      <c r="AU299" t="s">
        <v>1</v>
      </c>
      <c r="AV299" t="s">
        <v>1</v>
      </c>
      <c r="AW299">
        <v>0</v>
      </c>
      <c r="AX299">
        <v>4450</v>
      </c>
      <c r="AY299">
        <v>8450</v>
      </c>
      <c r="AZ299">
        <v>0</v>
      </c>
      <c r="BA299">
        <v>0</v>
      </c>
      <c r="BB299" t="s">
        <v>1</v>
      </c>
      <c r="BC299" t="s">
        <v>2124</v>
      </c>
      <c r="BD299" t="s">
        <v>147</v>
      </c>
      <c r="BE299" t="s">
        <v>1</v>
      </c>
      <c r="BF299" t="s">
        <v>1</v>
      </c>
      <c r="BG299" t="s">
        <v>1</v>
      </c>
      <c r="BH299">
        <v>0</v>
      </c>
      <c r="BI299">
        <v>0</v>
      </c>
      <c r="BJ299" t="s">
        <v>1930</v>
      </c>
      <c r="BK299" t="s">
        <v>1</v>
      </c>
      <c r="BL299" t="s">
        <v>1931</v>
      </c>
      <c r="BM299">
        <v>0</v>
      </c>
      <c r="BN299">
        <v>12900</v>
      </c>
      <c r="BO299">
        <v>0</v>
      </c>
      <c r="BP299">
        <v>0</v>
      </c>
      <c r="BQ299">
        <v>0</v>
      </c>
      <c r="BR299" t="s">
        <v>1</v>
      </c>
      <c r="BS299" t="s">
        <v>1</v>
      </c>
      <c r="BT299" t="s">
        <v>1</v>
      </c>
      <c r="BU299" t="s">
        <v>1</v>
      </c>
      <c r="BV299" t="s">
        <v>1</v>
      </c>
      <c r="BW299" t="s">
        <v>360</v>
      </c>
      <c r="BX299" t="s">
        <v>1</v>
      </c>
      <c r="BY299">
        <v>0</v>
      </c>
      <c r="BZ299">
        <v>0</v>
      </c>
      <c r="CA299">
        <v>0</v>
      </c>
      <c r="CB299">
        <v>0</v>
      </c>
      <c r="CD299" t="str" cm="1">
        <f t="array" aca="1" ref="CD299" ca="1">eConcatenar(A299:CB299,"|")</f>
        <v>HCEE5xOqm643K20F|VSA2020-0955|3|IMPERIAL DE LUJO |TABASCO|VILLAHERMOSA |VILLAHERMOSA |2020-06-11|12900|X|X|100|0|0|X|X|X|X|X|X|X|X|X|X|X|X|0|LEON |FRIAS |MARIA ESTHER |0|X|X|ANDADOR FAUSTO MENDEZ JIMENEZ |COLONIA ATASTA INFONAVIT |X|9932800867|JULIO CESAR PEREZ LEON |BENEFICIARIO 2 FREDY PERE Z LEON |0|ANDADOR FAUSTO MENDEZ JIMENEZ |X|5|0|0|X|X|X|0|4450|8450|0|0|X|2021-04-12|2021-12-31|X|X|X|0|0|S35D6D3Y9KVTQ2|X|MUJER |0|12900|0|0|0|X|X|X|X|X|VILLAHERMOSA |X|0|0|0|0</v>
      </c>
    </row>
    <row r="300" spans="1:82" x14ac:dyDescent="0.25">
      <c r="A300" t="s">
        <v>2248</v>
      </c>
      <c r="B300" t="s">
        <v>2249</v>
      </c>
      <c r="C300">
        <v>3</v>
      </c>
      <c r="D300" t="s">
        <v>121</v>
      </c>
      <c r="E300" t="s">
        <v>359</v>
      </c>
      <c r="F300" t="s">
        <v>360</v>
      </c>
      <c r="G300" t="s">
        <v>360</v>
      </c>
      <c r="H300" t="s">
        <v>2243</v>
      </c>
      <c r="I300">
        <v>12900</v>
      </c>
      <c r="J300" t="s">
        <v>1</v>
      </c>
      <c r="K300" t="s">
        <v>1</v>
      </c>
      <c r="L300">
        <v>200</v>
      </c>
      <c r="M300">
        <v>1</v>
      </c>
      <c r="N300">
        <v>0</v>
      </c>
      <c r="O300" t="s">
        <v>1</v>
      </c>
      <c r="P300" t="s">
        <v>1</v>
      </c>
      <c r="Q300" t="s">
        <v>1</v>
      </c>
      <c r="R300" t="s">
        <v>1</v>
      </c>
      <c r="S300" t="s">
        <v>1</v>
      </c>
      <c r="T300" t="s">
        <v>1</v>
      </c>
      <c r="U300" t="s">
        <v>1</v>
      </c>
      <c r="V300" t="s">
        <v>1</v>
      </c>
      <c r="W300" t="s">
        <v>1</v>
      </c>
      <c r="X300" t="s">
        <v>1</v>
      </c>
      <c r="Y300" t="s">
        <v>1</v>
      </c>
      <c r="Z300" t="s">
        <v>1</v>
      </c>
      <c r="AA300">
        <v>0</v>
      </c>
      <c r="AB300" t="s">
        <v>2250</v>
      </c>
      <c r="AC300" t="s">
        <v>2251</v>
      </c>
      <c r="AD300" t="s">
        <v>2252</v>
      </c>
      <c r="AE300">
        <v>0</v>
      </c>
      <c r="AF300" t="s">
        <v>1</v>
      </c>
      <c r="AG300" t="s">
        <v>1</v>
      </c>
      <c r="AH300" t="s">
        <v>1983</v>
      </c>
      <c r="AI300" t="s">
        <v>1984</v>
      </c>
      <c r="AJ300" t="s">
        <v>1</v>
      </c>
      <c r="AK300">
        <v>9931509284</v>
      </c>
      <c r="AL300" t="s">
        <v>2253</v>
      </c>
      <c r="AM300" t="s">
        <v>2254</v>
      </c>
      <c r="AN300">
        <v>0</v>
      </c>
      <c r="AO300" t="s">
        <v>1983</v>
      </c>
      <c r="AP300" t="s">
        <v>1</v>
      </c>
      <c r="AQ300">
        <v>5</v>
      </c>
      <c r="AR300">
        <v>0</v>
      </c>
      <c r="AS300">
        <v>0</v>
      </c>
      <c r="AT300" t="s">
        <v>1</v>
      </c>
      <c r="AU300" t="s">
        <v>1</v>
      </c>
      <c r="AV300" t="s">
        <v>1</v>
      </c>
      <c r="AW300">
        <v>0</v>
      </c>
      <c r="AX300">
        <v>6200</v>
      </c>
      <c r="AY300">
        <v>6700</v>
      </c>
      <c r="AZ300">
        <v>0</v>
      </c>
      <c r="BA300">
        <v>0</v>
      </c>
      <c r="BB300" t="s">
        <v>1</v>
      </c>
      <c r="BC300" t="s">
        <v>2124</v>
      </c>
      <c r="BD300" t="s">
        <v>147</v>
      </c>
      <c r="BE300" t="s">
        <v>1</v>
      </c>
      <c r="BF300" t="s">
        <v>1</v>
      </c>
      <c r="BG300" t="s">
        <v>1</v>
      </c>
      <c r="BH300">
        <v>0</v>
      </c>
      <c r="BI300">
        <v>0</v>
      </c>
      <c r="BJ300" t="s">
        <v>1930</v>
      </c>
      <c r="BK300" t="s">
        <v>1</v>
      </c>
      <c r="BL300" t="s">
        <v>1931</v>
      </c>
      <c r="BM300">
        <v>0</v>
      </c>
      <c r="BN300">
        <v>12900</v>
      </c>
      <c r="BO300">
        <v>0</v>
      </c>
      <c r="BP300">
        <v>0</v>
      </c>
      <c r="BQ300">
        <v>0</v>
      </c>
      <c r="BR300" t="s">
        <v>1</v>
      </c>
      <c r="BS300" t="s">
        <v>1</v>
      </c>
      <c r="BT300" t="s">
        <v>1</v>
      </c>
      <c r="BU300" t="s">
        <v>1</v>
      </c>
      <c r="BV300" t="s">
        <v>1</v>
      </c>
      <c r="BW300" t="s">
        <v>360</v>
      </c>
      <c r="BX300" t="s">
        <v>1</v>
      </c>
      <c r="BY300">
        <v>0</v>
      </c>
      <c r="BZ300">
        <v>0</v>
      </c>
      <c r="CA300">
        <v>0</v>
      </c>
      <c r="CB300">
        <v>0</v>
      </c>
      <c r="CD300" t="str" cm="1">
        <f t="array" aca="1" ref="CD300" ca="1">eConcatenar(A300:CB300,"|")</f>
        <v>dM8sWtlmt00BmAc0|VSA2020-0957|3|IMPERIAL DE LUJO |TABASCO|VILLAHERMOSA |VILLAHERMOSA |2020-06-11|12900|X|X|200|1|0|X|X|X|X|X|X|X|X|X|X|X|X|0|PECH |RUIZ |SONIA IBELICE |0|X|X|CALLE ABRAHAM BANDALA |COLONIA TAMULTE DE LAS BARRANCAS |X|9931509284|NORMA ISABEL LOPEZ PÃ‰CH|BENEFICIARIO 2 CRISTOBAL DE JESUS LOPEZ PECH |0|CALLE ABRAHAM BANDALA |X|5|0|0|X|X|X|0|6200|6700|0|0|X|2021-04-12|2021-12-31|X|X|X|0|0|S35D6D3Y9KVTQ2|X|MUJER |0|12900|0|0|0|X|X|X|X|X|VILLAHERMOSA |X|0|0|0|0</v>
      </c>
    </row>
    <row r="301" spans="1:82" x14ac:dyDescent="0.25">
      <c r="A301" t="s">
        <v>2255</v>
      </c>
      <c r="B301" t="s">
        <v>2256</v>
      </c>
      <c r="C301">
        <v>3</v>
      </c>
      <c r="D301" t="s">
        <v>121</v>
      </c>
      <c r="E301" t="s">
        <v>359</v>
      </c>
      <c r="F301" t="s">
        <v>360</v>
      </c>
      <c r="G301" t="s">
        <v>360</v>
      </c>
      <c r="H301" t="s">
        <v>2257</v>
      </c>
      <c r="I301">
        <v>12900</v>
      </c>
      <c r="J301" t="s">
        <v>1</v>
      </c>
      <c r="K301" t="s">
        <v>1</v>
      </c>
      <c r="L301">
        <v>400</v>
      </c>
      <c r="M301">
        <v>2</v>
      </c>
      <c r="N301">
        <v>0</v>
      </c>
      <c r="O301" t="s">
        <v>1</v>
      </c>
      <c r="P301" t="s">
        <v>1</v>
      </c>
      <c r="Q301" t="s">
        <v>1</v>
      </c>
      <c r="R301" t="s">
        <v>1</v>
      </c>
      <c r="S301" t="s">
        <v>1</v>
      </c>
      <c r="T301" t="s">
        <v>1</v>
      </c>
      <c r="U301" t="s">
        <v>1</v>
      </c>
      <c r="V301" t="s">
        <v>1</v>
      </c>
      <c r="W301" t="s">
        <v>1</v>
      </c>
      <c r="X301" t="s">
        <v>1</v>
      </c>
      <c r="Y301" t="s">
        <v>1</v>
      </c>
      <c r="Z301" t="s">
        <v>1</v>
      </c>
      <c r="AA301">
        <v>0</v>
      </c>
      <c r="AB301" t="s">
        <v>407</v>
      </c>
      <c r="AC301" t="s">
        <v>428</v>
      </c>
      <c r="AD301" t="s">
        <v>373</v>
      </c>
      <c r="AE301">
        <v>0</v>
      </c>
      <c r="AF301" t="s">
        <v>1</v>
      </c>
      <c r="AG301" t="s">
        <v>1</v>
      </c>
      <c r="AH301" t="s">
        <v>2258</v>
      </c>
      <c r="AI301" t="s">
        <v>2259</v>
      </c>
      <c r="AJ301" t="s">
        <v>1</v>
      </c>
      <c r="AK301">
        <v>9933984264</v>
      </c>
      <c r="AL301" t="s">
        <v>2260</v>
      </c>
      <c r="AM301" t="s">
        <v>2261</v>
      </c>
      <c r="AN301">
        <v>0</v>
      </c>
      <c r="AO301" t="s">
        <v>2258</v>
      </c>
      <c r="AP301" t="s">
        <v>1</v>
      </c>
      <c r="AQ301">
        <v>5</v>
      </c>
      <c r="AR301">
        <v>0</v>
      </c>
      <c r="AS301">
        <v>0</v>
      </c>
      <c r="AT301" t="s">
        <v>1</v>
      </c>
      <c r="AU301" t="s">
        <v>1</v>
      </c>
      <c r="AV301" t="s">
        <v>1</v>
      </c>
      <c r="AW301">
        <v>0</v>
      </c>
      <c r="AX301">
        <v>7040</v>
      </c>
      <c r="AY301">
        <v>5860</v>
      </c>
      <c r="AZ301">
        <v>0</v>
      </c>
      <c r="BA301">
        <v>0</v>
      </c>
      <c r="BB301" t="s">
        <v>1</v>
      </c>
      <c r="BC301" t="s">
        <v>2089</v>
      </c>
      <c r="BD301" t="s">
        <v>147</v>
      </c>
      <c r="BE301" t="s">
        <v>1</v>
      </c>
      <c r="BF301" t="s">
        <v>1</v>
      </c>
      <c r="BG301" t="s">
        <v>1</v>
      </c>
      <c r="BH301">
        <v>0</v>
      </c>
      <c r="BI301">
        <v>0</v>
      </c>
      <c r="BJ301" t="s">
        <v>1930</v>
      </c>
      <c r="BK301" t="s">
        <v>1</v>
      </c>
      <c r="BL301" t="s">
        <v>1931</v>
      </c>
      <c r="BM301">
        <v>0</v>
      </c>
      <c r="BN301">
        <v>12900</v>
      </c>
      <c r="BO301">
        <v>0</v>
      </c>
      <c r="BP301">
        <v>0</v>
      </c>
      <c r="BQ301">
        <v>0</v>
      </c>
      <c r="BR301" t="s">
        <v>1</v>
      </c>
      <c r="BS301" t="s">
        <v>1</v>
      </c>
      <c r="BT301" t="s">
        <v>1</v>
      </c>
      <c r="BU301" t="s">
        <v>1</v>
      </c>
      <c r="BV301" t="s">
        <v>1</v>
      </c>
      <c r="BW301" t="s">
        <v>360</v>
      </c>
      <c r="BX301" t="s">
        <v>1</v>
      </c>
      <c r="BY301">
        <v>0</v>
      </c>
      <c r="BZ301">
        <v>0</v>
      </c>
      <c r="CA301">
        <v>0</v>
      </c>
      <c r="CB301">
        <v>0</v>
      </c>
      <c r="CD301" t="str" cm="1">
        <f t="array" aca="1" ref="CD301" ca="1">eConcatenar(A301:CB301,"|")</f>
        <v>Tu9EFokRDMQSNelQ|VSA2020-0977|3|IMPERIAL DE LUJO |TABASCO|VILLAHERMOSA |VILLAHERMOSA |2020-09-11|12900|X|X|400|2|0|X|X|X|X|X|X|X|X|X|X|X|X|0|LOPEZ |GOMEZ |GUADALUPE |0|X|X|CALLE DE LA JUVENTUD |COLONIA LAS DELICIAS |X|9933984264|JOSE GERARDO GARCIA RODRIGUEZ|BENEFICIARIO 2 ELEVER BAUTISTA LOPEZ |0|CALLE DE LA JUVENTUD |X|5|0|0|X|X|X|0|7040|5860|0|0|X|2021-12-19|2021-12-31|X|X|X|0|0|S35D6D3Y9KVTQ2|X|MUJER |0|12900|0|0|0|X|X|X|X|X|VILLAHERMOSA |X|0|0|0|0</v>
      </c>
    </row>
    <row r="302" spans="1:82" x14ac:dyDescent="0.25">
      <c r="A302" t="s">
        <v>2262</v>
      </c>
      <c r="B302" t="s">
        <v>2263</v>
      </c>
      <c r="C302">
        <v>3</v>
      </c>
      <c r="D302" t="s">
        <v>121</v>
      </c>
      <c r="E302" t="s">
        <v>359</v>
      </c>
      <c r="F302" t="s">
        <v>360</v>
      </c>
      <c r="G302" t="s">
        <v>360</v>
      </c>
      <c r="H302" t="s">
        <v>2257</v>
      </c>
      <c r="I302">
        <v>12900</v>
      </c>
      <c r="J302" t="s">
        <v>1</v>
      </c>
      <c r="K302" t="s">
        <v>1</v>
      </c>
      <c r="L302">
        <v>200</v>
      </c>
      <c r="M302">
        <v>1</v>
      </c>
      <c r="N302">
        <v>0</v>
      </c>
      <c r="O302" t="s">
        <v>1</v>
      </c>
      <c r="P302" t="s">
        <v>1</v>
      </c>
      <c r="Q302" t="s">
        <v>1</v>
      </c>
      <c r="R302" t="s">
        <v>1</v>
      </c>
      <c r="S302" t="s">
        <v>1</v>
      </c>
      <c r="T302" t="s">
        <v>1</v>
      </c>
      <c r="U302" t="s">
        <v>1</v>
      </c>
      <c r="V302" t="s">
        <v>1</v>
      </c>
      <c r="W302" t="s">
        <v>1</v>
      </c>
      <c r="X302" t="s">
        <v>1</v>
      </c>
      <c r="Y302" t="s">
        <v>1</v>
      </c>
      <c r="Z302" t="s">
        <v>1</v>
      </c>
      <c r="AA302">
        <v>0</v>
      </c>
      <c r="AB302" t="s">
        <v>395</v>
      </c>
      <c r="AC302" t="s">
        <v>2264</v>
      </c>
      <c r="AD302" t="s">
        <v>1287</v>
      </c>
      <c r="AE302">
        <v>0</v>
      </c>
      <c r="AF302" t="s">
        <v>1</v>
      </c>
      <c r="AG302" t="s">
        <v>1</v>
      </c>
      <c r="AH302" t="s">
        <v>2265</v>
      </c>
      <c r="AI302" t="s">
        <v>1984</v>
      </c>
      <c r="AJ302" t="s">
        <v>1</v>
      </c>
      <c r="AK302">
        <v>9931133287</v>
      </c>
      <c r="AL302" t="s">
        <v>2266</v>
      </c>
      <c r="AM302" t="s">
        <v>2267</v>
      </c>
      <c r="AN302">
        <v>0</v>
      </c>
      <c r="AO302" t="s">
        <v>2265</v>
      </c>
      <c r="AP302" t="s">
        <v>1</v>
      </c>
      <c r="AQ302">
        <v>4</v>
      </c>
      <c r="AR302">
        <v>0</v>
      </c>
      <c r="AS302">
        <v>0</v>
      </c>
      <c r="AT302" t="s">
        <v>1</v>
      </c>
      <c r="AU302" t="s">
        <v>1</v>
      </c>
      <c r="AV302" t="s">
        <v>1</v>
      </c>
      <c r="AW302">
        <v>0</v>
      </c>
      <c r="AX302">
        <v>4300</v>
      </c>
      <c r="AY302">
        <v>8600</v>
      </c>
      <c r="AZ302">
        <v>0</v>
      </c>
      <c r="BA302">
        <v>0</v>
      </c>
      <c r="BB302" t="s">
        <v>1</v>
      </c>
      <c r="BC302" t="s">
        <v>2144</v>
      </c>
      <c r="BD302" t="s">
        <v>147</v>
      </c>
      <c r="BE302" t="s">
        <v>1</v>
      </c>
      <c r="BF302" t="s">
        <v>1</v>
      </c>
      <c r="BG302" t="s">
        <v>1</v>
      </c>
      <c r="BH302">
        <v>0</v>
      </c>
      <c r="BI302">
        <v>0</v>
      </c>
      <c r="BJ302" t="s">
        <v>1930</v>
      </c>
      <c r="BK302" t="s">
        <v>1</v>
      </c>
      <c r="BL302" t="s">
        <v>131</v>
      </c>
      <c r="BM302">
        <v>0</v>
      </c>
      <c r="BN302">
        <v>12900</v>
      </c>
      <c r="BO302">
        <v>0</v>
      </c>
      <c r="BP302">
        <v>0</v>
      </c>
      <c r="BQ302">
        <v>0</v>
      </c>
      <c r="BR302" t="s">
        <v>1</v>
      </c>
      <c r="BS302" t="s">
        <v>1</v>
      </c>
      <c r="BT302" t="s">
        <v>1</v>
      </c>
      <c r="BU302" t="s">
        <v>1</v>
      </c>
      <c r="BV302" t="s">
        <v>1</v>
      </c>
      <c r="BW302" t="s">
        <v>360</v>
      </c>
      <c r="BX302" t="s">
        <v>1</v>
      </c>
      <c r="BY302">
        <v>0</v>
      </c>
      <c r="BZ302">
        <v>0</v>
      </c>
      <c r="CA302">
        <v>0</v>
      </c>
      <c r="CB302">
        <v>0</v>
      </c>
      <c r="CD302" t="str" cm="1">
        <f t="array" aca="1" ref="CD302" ca="1">eConcatenar(A302:CB302,"|")</f>
        <v>RVDMz2xRpZLorJWq|VSA2020-0978|3|IMPERIAL DE LUJO |TABASCO|VILLAHERMOSA |VILLAHERMOSA |2020-09-11|12900|X|X|200|1|0|X|X|X|X|X|X|X|X|X|X|X|X|0|GARCIA |HIDALGO |JOSE |0|X|X|CALLE IGNACIO CONMONFORT|COLONIA TAMULTE DE LAS BARRANCAS |X|9931133287|LETICIA HIDALGO RODRIGUEZ |BENEFICIARIO 2 PABLO DE JESUS GARCIA VILLAPORTO|0|CALLE IGNACIO CONMONFORT|X|4|0|0|X|X|X|0|4300|8600|0|0|X|2021-05-11|2021-12-31|X|X|X|0|0|S35D6D3Y9KVTQ2|X|HOMBRE |0|12900|0|0|0|X|X|X|X|X|VILLAHERMOSA |X|0|0|0|0</v>
      </c>
    </row>
    <row r="303" spans="1:82" x14ac:dyDescent="0.25">
      <c r="A303" t="s">
        <v>2268</v>
      </c>
      <c r="B303" t="s">
        <v>2269</v>
      </c>
      <c r="C303">
        <v>3</v>
      </c>
      <c r="D303" t="s">
        <v>433</v>
      </c>
      <c r="E303" t="s">
        <v>359</v>
      </c>
      <c r="F303" t="s">
        <v>360</v>
      </c>
      <c r="G303" t="s">
        <v>360</v>
      </c>
      <c r="H303" t="s">
        <v>2257</v>
      </c>
      <c r="I303">
        <v>19800</v>
      </c>
      <c r="J303" t="s">
        <v>1</v>
      </c>
      <c r="K303" t="s">
        <v>1</v>
      </c>
      <c r="L303">
        <v>200</v>
      </c>
      <c r="M303">
        <v>1</v>
      </c>
      <c r="N303">
        <v>0</v>
      </c>
      <c r="O303" t="s">
        <v>1</v>
      </c>
      <c r="P303" t="s">
        <v>1</v>
      </c>
      <c r="Q303" t="s">
        <v>1</v>
      </c>
      <c r="R303" t="s">
        <v>1</v>
      </c>
      <c r="S303" t="s">
        <v>1</v>
      </c>
      <c r="T303" t="s">
        <v>1</v>
      </c>
      <c r="U303" t="s">
        <v>1</v>
      </c>
      <c r="V303" t="s">
        <v>1</v>
      </c>
      <c r="W303" t="s">
        <v>1</v>
      </c>
      <c r="X303" t="s">
        <v>1</v>
      </c>
      <c r="Y303" t="s">
        <v>1</v>
      </c>
      <c r="Z303" t="s">
        <v>1</v>
      </c>
      <c r="AA303">
        <v>0</v>
      </c>
      <c r="AB303" t="s">
        <v>2180</v>
      </c>
      <c r="AC303" t="s">
        <v>2270</v>
      </c>
      <c r="AD303" t="s">
        <v>2271</v>
      </c>
      <c r="AE303">
        <v>0</v>
      </c>
      <c r="AF303" t="s">
        <v>1</v>
      </c>
      <c r="AG303" t="s">
        <v>1</v>
      </c>
      <c r="AH303" t="s">
        <v>2272</v>
      </c>
      <c r="AI303" t="s">
        <v>2273</v>
      </c>
      <c r="AJ303" t="s">
        <v>1</v>
      </c>
      <c r="AK303">
        <v>9931394823</v>
      </c>
      <c r="AL303" t="s">
        <v>2274</v>
      </c>
      <c r="AM303" t="s">
        <v>2275</v>
      </c>
      <c r="AN303">
        <v>0</v>
      </c>
      <c r="AO303" t="s">
        <v>2272</v>
      </c>
      <c r="AP303" t="s">
        <v>1</v>
      </c>
      <c r="AQ303">
        <v>4</v>
      </c>
      <c r="AR303">
        <v>0</v>
      </c>
      <c r="AS303">
        <v>0</v>
      </c>
      <c r="AT303" t="s">
        <v>1</v>
      </c>
      <c r="AU303" t="s">
        <v>1</v>
      </c>
      <c r="AV303" t="s">
        <v>1</v>
      </c>
      <c r="AW303">
        <v>0</v>
      </c>
      <c r="AX303">
        <v>1800</v>
      </c>
      <c r="AY303">
        <v>18000</v>
      </c>
      <c r="AZ303">
        <v>0</v>
      </c>
      <c r="BA303">
        <v>0</v>
      </c>
      <c r="BB303" t="s">
        <v>1</v>
      </c>
      <c r="BC303" t="s">
        <v>846</v>
      </c>
      <c r="BD303" t="s">
        <v>147</v>
      </c>
      <c r="BE303" t="s">
        <v>1</v>
      </c>
      <c r="BF303" t="s">
        <v>1</v>
      </c>
      <c r="BG303" t="s">
        <v>1</v>
      </c>
      <c r="BH303">
        <v>0</v>
      </c>
      <c r="BI303">
        <v>0</v>
      </c>
      <c r="BJ303" t="s">
        <v>1930</v>
      </c>
      <c r="BK303" t="s">
        <v>1</v>
      </c>
      <c r="BL303" t="s">
        <v>1931</v>
      </c>
      <c r="BM303">
        <v>0</v>
      </c>
      <c r="BN303">
        <v>12900</v>
      </c>
      <c r="BO303">
        <v>0</v>
      </c>
      <c r="BP303">
        <v>0</v>
      </c>
      <c r="BQ303">
        <v>0</v>
      </c>
      <c r="BR303" t="s">
        <v>1</v>
      </c>
      <c r="BS303" t="s">
        <v>1</v>
      </c>
      <c r="BT303" t="s">
        <v>1</v>
      </c>
      <c r="BU303" t="s">
        <v>1</v>
      </c>
      <c r="BV303" t="s">
        <v>1</v>
      </c>
      <c r="BW303" t="s">
        <v>360</v>
      </c>
      <c r="BX303" t="s">
        <v>1</v>
      </c>
      <c r="BY303">
        <v>0</v>
      </c>
      <c r="BZ303">
        <v>0</v>
      </c>
      <c r="CA303">
        <v>0</v>
      </c>
      <c r="CB303">
        <v>0</v>
      </c>
      <c r="CD303" t="str" cm="1">
        <f t="array" aca="1" ref="CD303" ca="1">eConcatenar(A303:CB303,"|")</f>
        <v>uu79dWX7BcsGFUfx|VSA2020-0980|3|ZAFIRO |TABASCO|VILLAHERMOSA |VILLAHERMOSA |2020-09-11|19800|X|X|200|1|0|X|X|X|X|X|X|X|X|X|X|X|X|0|CARMONA |PRESENDA |MARIA LUISA |0|X|X|FRACCIONAMIENTO BALNCA MARIPOSAS |FRACCIONAMIENTO BALNCAS MARIPOSAS |X|9931394823|ROSA GISELLE BALLEJO CARMONA |BENEFICIARIO 2 MARIA EXPECTACION CRUZ CONDE |0|FRACCIONAMIENTO BALNCA MARIPOSAS |X|4|0|0|X|X|X|0|1800|18000|0|0|X|2021-08-20|2021-12-31|X|X|X|0|0|S35D6D3Y9KVTQ2|X|MUJER |0|12900|0|0|0|X|X|X|X|X|VILLAHERMOSA |X|0|0|0|0</v>
      </c>
    </row>
    <row r="304" spans="1:82" x14ac:dyDescent="0.25">
      <c r="A304" t="s">
        <v>2276</v>
      </c>
      <c r="B304" t="s">
        <v>2277</v>
      </c>
      <c r="C304">
        <v>3</v>
      </c>
      <c r="D304" t="s">
        <v>146</v>
      </c>
      <c r="E304" t="s">
        <v>359</v>
      </c>
      <c r="F304" t="s">
        <v>360</v>
      </c>
      <c r="G304" t="s">
        <v>360</v>
      </c>
      <c r="H304" t="s">
        <v>2278</v>
      </c>
      <c r="I304">
        <v>14800</v>
      </c>
      <c r="J304" t="s">
        <v>1</v>
      </c>
      <c r="K304" t="s">
        <v>1</v>
      </c>
      <c r="L304">
        <v>100</v>
      </c>
      <c r="M304">
        <v>0</v>
      </c>
      <c r="N304">
        <v>0</v>
      </c>
      <c r="O304" t="s">
        <v>1</v>
      </c>
      <c r="P304" t="s">
        <v>1</v>
      </c>
      <c r="Q304" t="s">
        <v>1</v>
      </c>
      <c r="R304" t="s">
        <v>1</v>
      </c>
      <c r="S304" t="s">
        <v>1</v>
      </c>
      <c r="T304" t="s">
        <v>1</v>
      </c>
      <c r="U304" t="s">
        <v>1</v>
      </c>
      <c r="V304" t="s">
        <v>1</v>
      </c>
      <c r="W304" t="s">
        <v>1</v>
      </c>
      <c r="X304" t="s">
        <v>1</v>
      </c>
      <c r="Y304" t="s">
        <v>1</v>
      </c>
      <c r="Z304" t="s">
        <v>1</v>
      </c>
      <c r="AA304">
        <v>0</v>
      </c>
      <c r="AB304" t="s">
        <v>2279</v>
      </c>
      <c r="AC304" t="s">
        <v>2280</v>
      </c>
      <c r="AD304" t="s">
        <v>2281</v>
      </c>
      <c r="AE304">
        <v>0</v>
      </c>
      <c r="AF304" t="s">
        <v>1</v>
      </c>
      <c r="AG304" t="s">
        <v>1</v>
      </c>
      <c r="AH304" t="s">
        <v>2282</v>
      </c>
      <c r="AI304" t="s">
        <v>2283</v>
      </c>
      <c r="AJ304" t="s">
        <v>1</v>
      </c>
      <c r="AK304">
        <v>9931484477</v>
      </c>
      <c r="AL304" t="s">
        <v>2284</v>
      </c>
      <c r="AM304" t="s">
        <v>2285</v>
      </c>
      <c r="AN304">
        <v>0</v>
      </c>
      <c r="AO304" t="s">
        <v>2282</v>
      </c>
      <c r="AP304" t="s">
        <v>1</v>
      </c>
      <c r="AQ304">
        <v>4</v>
      </c>
      <c r="AR304">
        <v>0</v>
      </c>
      <c r="AS304">
        <v>0</v>
      </c>
      <c r="AT304" t="s">
        <v>1</v>
      </c>
      <c r="AU304" t="s">
        <v>1</v>
      </c>
      <c r="AV304" t="s">
        <v>1</v>
      </c>
      <c r="AW304">
        <v>0</v>
      </c>
      <c r="AX304">
        <v>800</v>
      </c>
      <c r="AY304">
        <v>14200</v>
      </c>
      <c r="AZ304">
        <v>0</v>
      </c>
      <c r="BA304">
        <v>0</v>
      </c>
      <c r="BB304" t="s">
        <v>1</v>
      </c>
      <c r="BC304" t="s">
        <v>1954</v>
      </c>
      <c r="BD304" t="s">
        <v>147</v>
      </c>
      <c r="BE304" t="s">
        <v>1</v>
      </c>
      <c r="BF304" t="s">
        <v>1</v>
      </c>
      <c r="BG304" t="s">
        <v>1</v>
      </c>
      <c r="BH304">
        <v>0</v>
      </c>
      <c r="BI304">
        <v>0</v>
      </c>
      <c r="BJ304" t="s">
        <v>1930</v>
      </c>
      <c r="BK304" t="s">
        <v>1</v>
      </c>
      <c r="BL304" t="s">
        <v>131</v>
      </c>
      <c r="BM304">
        <v>0</v>
      </c>
      <c r="BN304">
        <v>14800</v>
      </c>
      <c r="BO304">
        <v>0</v>
      </c>
      <c r="BP304">
        <v>0</v>
      </c>
      <c r="BQ304">
        <v>0</v>
      </c>
      <c r="BR304" t="s">
        <v>1</v>
      </c>
      <c r="BS304" t="s">
        <v>1</v>
      </c>
      <c r="BT304" t="s">
        <v>1</v>
      </c>
      <c r="BU304" t="s">
        <v>1</v>
      </c>
      <c r="BV304" t="s">
        <v>1</v>
      </c>
      <c r="BW304" t="s">
        <v>360</v>
      </c>
      <c r="BX304" t="s">
        <v>1</v>
      </c>
      <c r="BY304">
        <v>0</v>
      </c>
      <c r="BZ304">
        <v>0</v>
      </c>
      <c r="CA304">
        <v>0</v>
      </c>
      <c r="CB304">
        <v>0</v>
      </c>
      <c r="CD304" t="str" cm="1">
        <f t="array" aca="1" ref="CD304" ca="1">eConcatenar(A304:CB304,"|")</f>
        <v>qqBVkxvR73Su3wfr|VSA2020-0981|3|MEMORIAL |TABASCO|VILLAHERMOSA |VILLAHERMOSA |2020-10-11|14800|X|X|100|0|0|X|X|X|X|X|X|X|X|X|X|X|X|0|GRACIAN |PRIEGO |DAVID |0|X|X|AVENIDA MONTE CEIBA |RANCHERIA ESTANZUELA |X|9931484477|TRINIDAD GARCIAN PRIEGO |BENEFICIARIO 2 VICTORIA GUADALUPE GARCIAN PRIEGO |0|AVENIDA MONTE CEIBA |X|4|0|0|X|X|X|0|800|14200|0|0|X|2021-12-17|2021-12-31|X|X|X|0|0|S35D6D3Y9KVTQ2|X|HOMBRE |0|14800|0|0|0|X|X|X|X|X|VILLAHERMOSA |X|0|0|0|0</v>
      </c>
    </row>
    <row r="305" spans="1:82" x14ac:dyDescent="0.25">
      <c r="A305" t="s">
        <v>2286</v>
      </c>
      <c r="B305" t="s">
        <v>2287</v>
      </c>
      <c r="C305">
        <v>3</v>
      </c>
      <c r="D305" t="s">
        <v>121</v>
      </c>
      <c r="E305" t="s">
        <v>359</v>
      </c>
      <c r="F305" t="s">
        <v>360</v>
      </c>
      <c r="G305" t="s">
        <v>360</v>
      </c>
      <c r="H305" t="s">
        <v>2288</v>
      </c>
      <c r="I305">
        <v>12900</v>
      </c>
      <c r="J305" t="s">
        <v>1</v>
      </c>
      <c r="K305" t="s">
        <v>1</v>
      </c>
      <c r="L305">
        <v>100</v>
      </c>
      <c r="M305">
        <v>0</v>
      </c>
      <c r="N305">
        <v>0</v>
      </c>
      <c r="O305" t="s">
        <v>1</v>
      </c>
      <c r="P305" t="s">
        <v>1</v>
      </c>
      <c r="Q305" t="s">
        <v>1</v>
      </c>
      <c r="R305" t="s">
        <v>1</v>
      </c>
      <c r="S305" t="s">
        <v>1</v>
      </c>
      <c r="T305" t="s">
        <v>1</v>
      </c>
      <c r="U305" t="s">
        <v>1</v>
      </c>
      <c r="V305" t="s">
        <v>1</v>
      </c>
      <c r="W305" t="s">
        <v>1</v>
      </c>
      <c r="X305" t="s">
        <v>1</v>
      </c>
      <c r="Y305" t="s">
        <v>1</v>
      </c>
      <c r="Z305" t="s">
        <v>1</v>
      </c>
      <c r="AA305">
        <v>0</v>
      </c>
      <c r="AB305" t="s">
        <v>528</v>
      </c>
      <c r="AC305" t="s">
        <v>407</v>
      </c>
      <c r="AD305" t="s">
        <v>2289</v>
      </c>
      <c r="AE305">
        <v>0</v>
      </c>
      <c r="AF305" t="s">
        <v>1</v>
      </c>
      <c r="AG305" t="s">
        <v>1</v>
      </c>
      <c r="AH305" t="s">
        <v>2290</v>
      </c>
      <c r="AI305" t="s">
        <v>2096</v>
      </c>
      <c r="AJ305" t="s">
        <v>1</v>
      </c>
      <c r="AK305">
        <v>9932108292</v>
      </c>
      <c r="AL305" t="s">
        <v>2291</v>
      </c>
      <c r="AM305" t="s">
        <v>2292</v>
      </c>
      <c r="AN305">
        <v>0</v>
      </c>
      <c r="AO305" t="s">
        <v>2290</v>
      </c>
      <c r="AP305" t="s">
        <v>1</v>
      </c>
      <c r="AQ305">
        <v>4</v>
      </c>
      <c r="AR305">
        <v>0</v>
      </c>
      <c r="AS305">
        <v>0</v>
      </c>
      <c r="AT305" t="s">
        <v>1</v>
      </c>
      <c r="AU305" t="s">
        <v>1</v>
      </c>
      <c r="AV305" t="s">
        <v>1</v>
      </c>
      <c r="AW305">
        <v>0</v>
      </c>
      <c r="AX305">
        <v>8300</v>
      </c>
      <c r="AY305">
        <v>4600</v>
      </c>
      <c r="AZ305">
        <v>0</v>
      </c>
      <c r="BA305">
        <v>0</v>
      </c>
      <c r="BB305" t="s">
        <v>1</v>
      </c>
      <c r="BC305" t="s">
        <v>729</v>
      </c>
      <c r="BD305" t="s">
        <v>147</v>
      </c>
      <c r="BE305" t="s">
        <v>1</v>
      </c>
      <c r="BF305" t="s">
        <v>1</v>
      </c>
      <c r="BG305" t="s">
        <v>1</v>
      </c>
      <c r="BH305">
        <v>0</v>
      </c>
      <c r="BI305">
        <v>0</v>
      </c>
      <c r="BJ305" t="s">
        <v>1930</v>
      </c>
      <c r="BK305" t="s">
        <v>1</v>
      </c>
      <c r="BL305" t="s">
        <v>1931</v>
      </c>
      <c r="BM305">
        <v>0</v>
      </c>
      <c r="BN305">
        <v>12900</v>
      </c>
      <c r="BO305">
        <v>0</v>
      </c>
      <c r="BP305">
        <v>0</v>
      </c>
      <c r="BQ305">
        <v>0</v>
      </c>
      <c r="BR305" t="s">
        <v>1</v>
      </c>
      <c r="BS305" t="s">
        <v>1</v>
      </c>
      <c r="BT305" t="s">
        <v>1</v>
      </c>
      <c r="BU305" t="s">
        <v>1</v>
      </c>
      <c r="BV305" t="s">
        <v>1</v>
      </c>
      <c r="BW305" t="s">
        <v>360</v>
      </c>
      <c r="BX305" t="s">
        <v>1</v>
      </c>
      <c r="BY305">
        <v>0</v>
      </c>
      <c r="BZ305">
        <v>0</v>
      </c>
      <c r="CA305">
        <v>0</v>
      </c>
      <c r="CB305">
        <v>0</v>
      </c>
      <c r="CD305" t="str" cm="1">
        <f t="array" aca="1" ref="CD305" ca="1">eConcatenar(A305:CB305,"|")</f>
        <v>rEyprVeomz95CY2M|VSA2020-1007|3|IMPERIAL DE LUJO |TABASCO|VILLAHERMOSA |VILLAHERMOSA |2020-11-11|12900|X|X|100|0|0|X|X|X|X|X|X|X|X|X|X|X|X|0|RAMIREZ |LOPEZ |DOMITILA |0|X|X|SECCION JULIAN SANCHEZ |COLONIA JOSE MARIA PINO SUAREZ |X|9932108292|JUANA MARIA GARCIA RAMIREZ |BENEFICIARIO 2 CARLOS MARIO JIMENEZ GALLEGOS |0|SECCION JULIAN SANCHEZ |X|4|0|0|X|X|X|0|8300|4600|0|0|X|2021-09-12|2021-12-31|X|X|X|0|0|S35D6D3Y9KVTQ2|X|MUJER |0|12900|0|0|0|X|X|X|X|X|VILLAHERMOSA |X|0|0|0|0</v>
      </c>
    </row>
    <row r="306" spans="1:82" x14ac:dyDescent="0.25">
      <c r="A306" t="s">
        <v>2293</v>
      </c>
      <c r="B306" t="s">
        <v>2294</v>
      </c>
      <c r="C306">
        <v>3</v>
      </c>
      <c r="D306" t="s">
        <v>121</v>
      </c>
      <c r="E306" t="s">
        <v>359</v>
      </c>
      <c r="F306" t="s">
        <v>360</v>
      </c>
      <c r="G306" t="s">
        <v>360</v>
      </c>
      <c r="H306" t="s">
        <v>716</v>
      </c>
      <c r="I306">
        <v>12900</v>
      </c>
      <c r="J306" t="s">
        <v>1</v>
      </c>
      <c r="K306" t="s">
        <v>1</v>
      </c>
      <c r="L306">
        <v>200</v>
      </c>
      <c r="M306">
        <v>1</v>
      </c>
      <c r="N306">
        <v>0</v>
      </c>
      <c r="O306" t="s">
        <v>1</v>
      </c>
      <c r="P306" t="s">
        <v>1</v>
      </c>
      <c r="Q306" t="s">
        <v>1</v>
      </c>
      <c r="R306" t="s">
        <v>1</v>
      </c>
      <c r="S306" t="s">
        <v>1</v>
      </c>
      <c r="T306" t="s">
        <v>1</v>
      </c>
      <c r="U306" t="s">
        <v>1</v>
      </c>
      <c r="V306" t="s">
        <v>1</v>
      </c>
      <c r="W306" t="s">
        <v>1</v>
      </c>
      <c r="X306" t="s">
        <v>1</v>
      </c>
      <c r="Y306" t="s">
        <v>1</v>
      </c>
      <c r="Z306" t="s">
        <v>1</v>
      </c>
      <c r="AA306">
        <v>0</v>
      </c>
      <c r="AB306" t="s">
        <v>2295</v>
      </c>
      <c r="AC306" t="s">
        <v>15</v>
      </c>
      <c r="AD306" t="s">
        <v>2296</v>
      </c>
      <c r="AE306">
        <v>0</v>
      </c>
      <c r="AF306" t="s">
        <v>1</v>
      </c>
      <c r="AG306" t="s">
        <v>1</v>
      </c>
      <c r="AH306" t="s">
        <v>2297</v>
      </c>
      <c r="AI306" t="s">
        <v>2096</v>
      </c>
      <c r="AJ306" t="s">
        <v>1</v>
      </c>
      <c r="AK306">
        <v>9934001821</v>
      </c>
      <c r="AL306" t="s">
        <v>2298</v>
      </c>
      <c r="AM306" t="s">
        <v>2299</v>
      </c>
      <c r="AN306">
        <v>0</v>
      </c>
      <c r="AO306" t="s">
        <v>2297</v>
      </c>
      <c r="AP306" t="s">
        <v>1</v>
      </c>
      <c r="AQ306">
        <v>5</v>
      </c>
      <c r="AR306">
        <v>0</v>
      </c>
      <c r="AS306">
        <v>0</v>
      </c>
      <c r="AT306" t="s">
        <v>1</v>
      </c>
      <c r="AU306" t="s">
        <v>1</v>
      </c>
      <c r="AV306" t="s">
        <v>1</v>
      </c>
      <c r="AW306">
        <v>0</v>
      </c>
      <c r="AX306">
        <v>4890</v>
      </c>
      <c r="AY306">
        <v>8010</v>
      </c>
      <c r="AZ306">
        <v>0</v>
      </c>
      <c r="BA306">
        <v>0</v>
      </c>
      <c r="BB306" t="s">
        <v>1</v>
      </c>
      <c r="BC306" t="s">
        <v>2300</v>
      </c>
      <c r="BD306" t="s">
        <v>147</v>
      </c>
      <c r="BE306" t="s">
        <v>1</v>
      </c>
      <c r="BF306" t="s">
        <v>1</v>
      </c>
      <c r="BG306" t="s">
        <v>1</v>
      </c>
      <c r="BH306">
        <v>0</v>
      </c>
      <c r="BI306">
        <v>0</v>
      </c>
      <c r="BJ306" t="s">
        <v>1930</v>
      </c>
      <c r="BK306" t="s">
        <v>1</v>
      </c>
      <c r="BL306" t="s">
        <v>131</v>
      </c>
      <c r="BM306">
        <v>0</v>
      </c>
      <c r="BN306">
        <v>12900</v>
      </c>
      <c r="BO306">
        <v>0</v>
      </c>
      <c r="BP306">
        <v>0</v>
      </c>
      <c r="BQ306">
        <v>0</v>
      </c>
      <c r="BR306" t="s">
        <v>1</v>
      </c>
      <c r="BS306" t="s">
        <v>1</v>
      </c>
      <c r="BT306" t="s">
        <v>1</v>
      </c>
      <c r="BU306" t="s">
        <v>1</v>
      </c>
      <c r="BV306" t="s">
        <v>1</v>
      </c>
      <c r="BW306" t="s">
        <v>360</v>
      </c>
      <c r="BX306" t="s">
        <v>1</v>
      </c>
      <c r="BY306">
        <v>0</v>
      </c>
      <c r="BZ306">
        <v>0</v>
      </c>
      <c r="CA306">
        <v>0</v>
      </c>
      <c r="CB306">
        <v>0</v>
      </c>
      <c r="CD306" t="str" cm="1">
        <f t="array" aca="1" ref="CD306" ca="1">eConcatenar(A306:CB306,"|")</f>
        <v>9HA6cEsaleyofs6D|VSA2020-1027|3|IMPERIAL DE LUJO |TABASCO|VILLAHERMOSA |VILLAHERMOSA |2020-11-13|12900|X|X|200|1|0|X|X|X|X|X|X|X|X|X|X|X|X|0|OROPEZA|PEREZ |HECTOR |0|X|X|CALLE MAXIMO A CAMACHO |COLONIA JOSE MARIA PINO SUAREZ |X|9934001821|JOSE OROPEZA JIMENEZ |BENEFICIARIO 2 EDUARDO ORORPEZA JIMENEZ |0|CALLE MAXIMO A CAMACHO |X|5|0|0|X|X|X|0|4890|8010|0|0|X|2021-11-14|2021-12-31|X|X|X|0|0|S35D6D3Y9KVTQ2|X|HOMBRE |0|12900|0|0|0|X|X|X|X|X|VILLAHERMOSA |X|0|0|0|0</v>
      </c>
    </row>
    <row r="307" spans="1:82" x14ac:dyDescent="0.25">
      <c r="A307" t="s">
        <v>2301</v>
      </c>
      <c r="B307" t="s">
        <v>2302</v>
      </c>
      <c r="C307">
        <v>3</v>
      </c>
      <c r="D307" t="s">
        <v>121</v>
      </c>
      <c r="E307" t="s">
        <v>359</v>
      </c>
      <c r="F307" t="s">
        <v>360</v>
      </c>
      <c r="G307" t="s">
        <v>360</v>
      </c>
      <c r="H307" t="s">
        <v>2303</v>
      </c>
      <c r="I307">
        <v>12900</v>
      </c>
      <c r="J307" t="s">
        <v>1</v>
      </c>
      <c r="K307" t="s">
        <v>1</v>
      </c>
      <c r="L307">
        <v>400</v>
      </c>
      <c r="M307">
        <v>2</v>
      </c>
      <c r="N307">
        <v>0</v>
      </c>
      <c r="O307" t="s">
        <v>1</v>
      </c>
      <c r="P307" t="s">
        <v>1</v>
      </c>
      <c r="Q307" t="s">
        <v>1</v>
      </c>
      <c r="R307" t="s">
        <v>1</v>
      </c>
      <c r="S307" t="s">
        <v>1</v>
      </c>
      <c r="T307" t="s">
        <v>1</v>
      </c>
      <c r="U307" t="s">
        <v>1</v>
      </c>
      <c r="V307" t="s">
        <v>1</v>
      </c>
      <c r="W307" t="s">
        <v>1</v>
      </c>
      <c r="X307" t="s">
        <v>1</v>
      </c>
      <c r="Y307" t="s">
        <v>1</v>
      </c>
      <c r="Z307" t="s">
        <v>1</v>
      </c>
      <c r="AA307">
        <v>0</v>
      </c>
      <c r="AB307" t="s">
        <v>1211</v>
      </c>
      <c r="AC307" t="s">
        <v>598</v>
      </c>
      <c r="AD307" t="s">
        <v>2304</v>
      </c>
      <c r="AE307">
        <v>0</v>
      </c>
      <c r="AF307" t="s">
        <v>1</v>
      </c>
      <c r="AG307" t="s">
        <v>1</v>
      </c>
      <c r="AH307" t="s">
        <v>2305</v>
      </c>
      <c r="AI307" t="s">
        <v>2306</v>
      </c>
      <c r="AJ307" t="s">
        <v>1</v>
      </c>
      <c r="AK307">
        <v>9734299866</v>
      </c>
      <c r="AL307" t="s">
        <v>2307</v>
      </c>
      <c r="AM307" t="s">
        <v>2308</v>
      </c>
      <c r="AN307">
        <v>0</v>
      </c>
      <c r="AO307" t="s">
        <v>2305</v>
      </c>
      <c r="AP307" t="s">
        <v>1</v>
      </c>
      <c r="AQ307">
        <v>5</v>
      </c>
      <c r="AR307">
        <v>0</v>
      </c>
      <c r="AS307">
        <v>0</v>
      </c>
      <c r="AT307" t="s">
        <v>1</v>
      </c>
      <c r="AU307" t="s">
        <v>1</v>
      </c>
      <c r="AV307" t="s">
        <v>1</v>
      </c>
      <c r="AW307">
        <v>0</v>
      </c>
      <c r="AX307">
        <v>6690</v>
      </c>
      <c r="AY307">
        <v>6210</v>
      </c>
      <c r="AZ307">
        <v>0</v>
      </c>
      <c r="BA307">
        <v>0</v>
      </c>
      <c r="BB307" t="s">
        <v>1</v>
      </c>
      <c r="BC307" t="s">
        <v>2233</v>
      </c>
      <c r="BD307" t="s">
        <v>2309</v>
      </c>
      <c r="BE307" t="s">
        <v>1</v>
      </c>
      <c r="BF307" t="s">
        <v>1</v>
      </c>
      <c r="BG307" t="s">
        <v>1</v>
      </c>
      <c r="BH307">
        <v>0</v>
      </c>
      <c r="BI307">
        <v>0</v>
      </c>
      <c r="BJ307" t="s">
        <v>1930</v>
      </c>
      <c r="BK307" t="s">
        <v>1</v>
      </c>
      <c r="BL307" t="s">
        <v>1931</v>
      </c>
      <c r="BM307">
        <v>0</v>
      </c>
      <c r="BN307">
        <v>12900</v>
      </c>
      <c r="BO307">
        <v>0</v>
      </c>
      <c r="BP307">
        <v>0</v>
      </c>
      <c r="BQ307">
        <v>0</v>
      </c>
      <c r="BR307" t="s">
        <v>1</v>
      </c>
      <c r="BS307" t="s">
        <v>1</v>
      </c>
      <c r="BT307" t="s">
        <v>1</v>
      </c>
      <c r="BU307" t="s">
        <v>1</v>
      </c>
      <c r="BV307" t="s">
        <v>1</v>
      </c>
      <c r="BW307" t="s">
        <v>360</v>
      </c>
      <c r="BX307" t="s">
        <v>1</v>
      </c>
      <c r="BY307">
        <v>0</v>
      </c>
      <c r="BZ307">
        <v>0</v>
      </c>
      <c r="CA307">
        <v>0</v>
      </c>
      <c r="CB307">
        <v>0</v>
      </c>
      <c r="CD307" t="str" cm="1">
        <f t="array" aca="1" ref="CD307" ca="1">eConcatenar(A307:CB307,"|")</f>
        <v>kXORwXVYip64OcGH|VSA2020-1028|3|IMPERIAL DE LUJO |TABASCO|VILLAHERMOSA |VILLAHERMOSA |2020-12-11|12900|X|X|400|2|0|X|X|X|X|X|X|X|X|X|X|X|X|0|DE LA CRUZ |JIMENEZ |TANIA DEL CARMEN |0|X|X|CALLE MAGNOLIA |COLONIA NUEVA PENSIONES |X|9734299866|ORFA JIMENEZ HERNANDEZ |BENEFICIARIO 2 MARIA DEL ROSARIO DE LA CRUZ JIMENEZ |0|CALLE MAGNOLIA |X|5|0|0|X|X|X|0|6690|6210|0|0|X|2021-10-12|2022-10-01|X|X|X|0|0|S35D6D3Y9KVTQ2|X|MUJER |0|12900|0|0|0|X|X|X|X|X|VILLAHERMOSA |X|0|0|0|0</v>
      </c>
    </row>
    <row r="308" spans="1:82" x14ac:dyDescent="0.25">
      <c r="A308" t="s">
        <v>2310</v>
      </c>
      <c r="B308" t="s">
        <v>2311</v>
      </c>
      <c r="C308">
        <v>3</v>
      </c>
      <c r="D308" t="s">
        <v>433</v>
      </c>
      <c r="E308" t="s">
        <v>359</v>
      </c>
      <c r="F308" t="s">
        <v>360</v>
      </c>
      <c r="G308" t="s">
        <v>360</v>
      </c>
      <c r="H308" t="s">
        <v>716</v>
      </c>
      <c r="I308">
        <v>19800</v>
      </c>
      <c r="J308" t="s">
        <v>1</v>
      </c>
      <c r="K308" t="s">
        <v>1</v>
      </c>
      <c r="L308">
        <v>200</v>
      </c>
      <c r="M308">
        <v>1</v>
      </c>
      <c r="N308">
        <v>0</v>
      </c>
      <c r="O308" t="s">
        <v>1</v>
      </c>
      <c r="P308" t="s">
        <v>1</v>
      </c>
      <c r="Q308" t="s">
        <v>1</v>
      </c>
      <c r="R308" t="s">
        <v>1</v>
      </c>
      <c r="S308" t="s">
        <v>1</v>
      </c>
      <c r="T308" t="s">
        <v>1</v>
      </c>
      <c r="U308" t="s">
        <v>1</v>
      </c>
      <c r="V308" t="s">
        <v>1</v>
      </c>
      <c r="W308" t="s">
        <v>1</v>
      </c>
      <c r="X308" t="s">
        <v>1</v>
      </c>
      <c r="Y308" t="s">
        <v>1</v>
      </c>
      <c r="Z308" t="s">
        <v>1</v>
      </c>
      <c r="AA308">
        <v>0</v>
      </c>
      <c r="AB308" t="s">
        <v>15</v>
      </c>
      <c r="AC308" t="s">
        <v>1211</v>
      </c>
      <c r="AD308" t="s">
        <v>1937</v>
      </c>
      <c r="AE308">
        <v>0</v>
      </c>
      <c r="AF308" t="s">
        <v>1</v>
      </c>
      <c r="AG308" t="s">
        <v>1</v>
      </c>
      <c r="AH308" t="s">
        <v>2312</v>
      </c>
      <c r="AI308" t="s">
        <v>2096</v>
      </c>
      <c r="AJ308" t="s">
        <v>1</v>
      </c>
      <c r="AK308">
        <v>9931373984</v>
      </c>
      <c r="AL308" t="s">
        <v>2313</v>
      </c>
      <c r="AM308" t="s">
        <v>2314</v>
      </c>
      <c r="AN308">
        <v>0</v>
      </c>
      <c r="AO308" t="s">
        <v>2312</v>
      </c>
      <c r="AP308" t="s">
        <v>1</v>
      </c>
      <c r="AQ308">
        <v>4</v>
      </c>
      <c r="AR308">
        <v>0</v>
      </c>
      <c r="AS308">
        <v>0</v>
      </c>
      <c r="AT308" t="s">
        <v>1</v>
      </c>
      <c r="AU308" t="s">
        <v>1</v>
      </c>
      <c r="AV308" t="s">
        <v>1</v>
      </c>
      <c r="AW308">
        <v>0</v>
      </c>
      <c r="AX308">
        <v>12230</v>
      </c>
      <c r="AY308">
        <v>7570</v>
      </c>
      <c r="AZ308">
        <v>0</v>
      </c>
      <c r="BA308">
        <v>0</v>
      </c>
      <c r="BB308" t="s">
        <v>1</v>
      </c>
      <c r="BC308" t="s">
        <v>2124</v>
      </c>
      <c r="BD308" t="s">
        <v>147</v>
      </c>
      <c r="BE308" t="s">
        <v>1</v>
      </c>
      <c r="BF308" t="s">
        <v>1</v>
      </c>
      <c r="BG308" t="s">
        <v>1</v>
      </c>
      <c r="BH308">
        <v>0</v>
      </c>
      <c r="BI308">
        <v>0</v>
      </c>
      <c r="BJ308" t="s">
        <v>1930</v>
      </c>
      <c r="BK308" t="s">
        <v>1</v>
      </c>
      <c r="BL308" t="s">
        <v>1931</v>
      </c>
      <c r="BM308">
        <v>0</v>
      </c>
      <c r="BN308">
        <v>19800</v>
      </c>
      <c r="BO308">
        <v>0</v>
      </c>
      <c r="BP308">
        <v>0</v>
      </c>
      <c r="BQ308">
        <v>0</v>
      </c>
      <c r="BR308" t="s">
        <v>1</v>
      </c>
      <c r="BS308" t="s">
        <v>1</v>
      </c>
      <c r="BT308" t="s">
        <v>1</v>
      </c>
      <c r="BU308" t="s">
        <v>1</v>
      </c>
      <c r="BV308" t="s">
        <v>1</v>
      </c>
      <c r="BW308" t="s">
        <v>360</v>
      </c>
      <c r="BX308" t="s">
        <v>1</v>
      </c>
      <c r="BY308">
        <v>0</v>
      </c>
      <c r="BZ308">
        <v>0</v>
      </c>
      <c r="CA308">
        <v>0</v>
      </c>
      <c r="CB308">
        <v>0</v>
      </c>
      <c r="CD308" t="str" cm="1">
        <f t="array" aca="1" ref="CD308" ca="1">eConcatenar(A308:CB308,"|")</f>
        <v>39aBMtySYnEXEtwR|VSA2020-1041|3|ZAFIRO |TABASCO|VILLAHERMOSA |VILLAHERMOSA |2020-11-13|19800|X|X|200|1|0|X|X|X|X|X|X|X|X|X|X|X|X|0|PEREZ |DE LA CRUZ |ANDREA |0|X|X|CALLE JOSE MARISCAL |COLONIA JOSE MARIA PINO SUAREZ |X|9931373984|FRANCIS GUADALUPE JERONIMO PEREZ |BENEFICIARIO 2 JUANAN PEREZ DE LA CRUZ |0|CALLE JOSE MARISCAL |X|4|0|0|X|X|X|0|12230|7570|0|0|X|2021-04-12|2021-12-31|X|X|X|0|0|S35D6D3Y9KVTQ2|X|MUJER |0|19800|0|0|0|X|X|X|X|X|VILLAHERMOSA |X|0|0|0|0</v>
      </c>
    </row>
    <row r="309" spans="1:82" s="5" customFormat="1" x14ac:dyDescent="0.25">
      <c r="A309" t="s">
        <v>2315</v>
      </c>
      <c r="B309" t="s">
        <v>2316</v>
      </c>
      <c r="C309">
        <v>3</v>
      </c>
      <c r="D309" t="s">
        <v>433</v>
      </c>
      <c r="E309" t="s">
        <v>359</v>
      </c>
      <c r="F309" t="s">
        <v>360</v>
      </c>
      <c r="G309" t="s">
        <v>360</v>
      </c>
      <c r="H309" t="s">
        <v>716</v>
      </c>
      <c r="I309">
        <v>19800</v>
      </c>
      <c r="J309" t="s">
        <v>1</v>
      </c>
      <c r="K309" t="s">
        <v>1</v>
      </c>
      <c r="L309">
        <v>200</v>
      </c>
      <c r="M309">
        <v>1</v>
      </c>
      <c r="N309">
        <v>0</v>
      </c>
      <c r="O309" t="s">
        <v>1</v>
      </c>
      <c r="P309" t="s">
        <v>1</v>
      </c>
      <c r="Q309" t="s">
        <v>1</v>
      </c>
      <c r="R309" t="s">
        <v>1</v>
      </c>
      <c r="S309" t="s">
        <v>1</v>
      </c>
      <c r="T309" t="s">
        <v>1</v>
      </c>
      <c r="U309" t="s">
        <v>1</v>
      </c>
      <c r="V309" t="s">
        <v>1</v>
      </c>
      <c r="W309" t="s">
        <v>1</v>
      </c>
      <c r="X309" t="s">
        <v>1</v>
      </c>
      <c r="Y309" t="s">
        <v>1</v>
      </c>
      <c r="Z309" t="s">
        <v>1</v>
      </c>
      <c r="AA309">
        <v>0</v>
      </c>
      <c r="AB309" t="s">
        <v>2317</v>
      </c>
      <c r="AC309" t="s">
        <v>407</v>
      </c>
      <c r="AD309" t="s">
        <v>2318</v>
      </c>
      <c r="AE309">
        <v>0</v>
      </c>
      <c r="AF309" t="s">
        <v>1</v>
      </c>
      <c r="AG309" t="s">
        <v>1</v>
      </c>
      <c r="AH309" t="s">
        <v>2312</v>
      </c>
      <c r="AI309" t="s">
        <v>2096</v>
      </c>
      <c r="AJ309" t="s">
        <v>1</v>
      </c>
      <c r="AK309">
        <v>9931373984</v>
      </c>
      <c r="AL309" t="s">
        <v>2313</v>
      </c>
      <c r="AM309" t="s">
        <v>2319</v>
      </c>
      <c r="AN309">
        <v>0</v>
      </c>
      <c r="AO309" t="s">
        <v>2312</v>
      </c>
      <c r="AP309" t="s">
        <v>1</v>
      </c>
      <c r="AQ309">
        <v>4</v>
      </c>
      <c r="AR309">
        <v>0</v>
      </c>
      <c r="AS309">
        <v>0</v>
      </c>
      <c r="AT309" t="s">
        <v>1</v>
      </c>
      <c r="AU309" t="s">
        <v>1</v>
      </c>
      <c r="AV309" t="s">
        <v>1</v>
      </c>
      <c r="AW309">
        <v>0</v>
      </c>
      <c r="AX309">
        <v>12230</v>
      </c>
      <c r="AY309">
        <v>7570</v>
      </c>
      <c r="AZ309">
        <v>0</v>
      </c>
      <c r="BA309">
        <v>0</v>
      </c>
      <c r="BB309" t="s">
        <v>1</v>
      </c>
      <c r="BC309" t="s">
        <v>2124</v>
      </c>
      <c r="BD309" t="s">
        <v>147</v>
      </c>
      <c r="BE309" t="s">
        <v>1</v>
      </c>
      <c r="BF309" t="s">
        <v>1</v>
      </c>
      <c r="BG309" t="s">
        <v>1</v>
      </c>
      <c r="BH309">
        <v>0</v>
      </c>
      <c r="BI309">
        <v>0</v>
      </c>
      <c r="BJ309" t="s">
        <v>1930</v>
      </c>
      <c r="BK309" t="s">
        <v>1</v>
      </c>
      <c r="BL309" t="s">
        <v>131</v>
      </c>
      <c r="BM309">
        <v>0</v>
      </c>
      <c r="BN309">
        <v>19800</v>
      </c>
      <c r="BO309">
        <v>0</v>
      </c>
      <c r="BP309">
        <v>0</v>
      </c>
      <c r="BQ309">
        <v>0</v>
      </c>
      <c r="BR309" t="s">
        <v>1</v>
      </c>
      <c r="BS309" t="s">
        <v>1</v>
      </c>
      <c r="BT309" t="s">
        <v>1</v>
      </c>
      <c r="BU309" t="s">
        <v>1</v>
      </c>
      <c r="BV309" t="s">
        <v>1</v>
      </c>
      <c r="BW309" t="s">
        <v>360</v>
      </c>
      <c r="BX309" t="s">
        <v>1</v>
      </c>
      <c r="BY309">
        <v>0</v>
      </c>
      <c r="BZ309">
        <v>0</v>
      </c>
      <c r="CA309">
        <v>0</v>
      </c>
      <c r="CB309">
        <v>0</v>
      </c>
      <c r="CD309" s="5" t="str" cm="1">
        <f t="array" aca="1" ref="CD309" ca="1">eConcatenar(A309:CB309,"|")</f>
        <v>u9588VrXcpqxCyt6|VSA2020-1043|3|ZAFIRO |TABASCO|VILLAHERMOSA |VILLAHERMOSA |2020-11-13|19800|X|X|200|1|0|X|X|X|X|X|X|X|X|X|X|X|X|0|JERONIMO |LOPEZ |JOSE ATILO |0|X|X|CALLE JOSE MARISCAL |COLONIA JOSE MARIA PINO SUAREZ |X|9931373984|FRANCIS GUADALUPE JERONIMO PEREZ |BENEFICIARIO 2 CRISTHELL JERONIMO LOPEZ |0|CALLE JOSE MARISCAL |X|4|0|0|X|X|X|0|12230|7570|0|0|X|2021-04-12|2021-12-31|X|X|X|0|0|S35D6D3Y9KVTQ2|X|HOMBRE |0|19800|0|0|0|X|X|X|X|X|VILLAHERMOSA |X|0|0|0|0</v>
      </c>
    </row>
    <row r="310" spans="1:82" x14ac:dyDescent="0.25">
      <c r="A310" t="s">
        <v>2320</v>
      </c>
      <c r="B310" t="s">
        <v>2321</v>
      </c>
      <c r="C310">
        <v>3</v>
      </c>
      <c r="D310" t="s">
        <v>433</v>
      </c>
      <c r="E310" t="s">
        <v>359</v>
      </c>
      <c r="F310" t="s">
        <v>360</v>
      </c>
      <c r="G310" t="s">
        <v>360</v>
      </c>
      <c r="H310" t="s">
        <v>597</v>
      </c>
      <c r="I310">
        <v>19800</v>
      </c>
      <c r="J310" t="s">
        <v>1</v>
      </c>
      <c r="K310" t="s">
        <v>1</v>
      </c>
      <c r="L310">
        <v>200</v>
      </c>
      <c r="M310">
        <v>1</v>
      </c>
      <c r="N310">
        <v>0</v>
      </c>
      <c r="O310" t="s">
        <v>1</v>
      </c>
      <c r="P310" t="s">
        <v>1</v>
      </c>
      <c r="Q310" t="s">
        <v>1</v>
      </c>
      <c r="R310" t="s">
        <v>1</v>
      </c>
      <c r="S310" t="s">
        <v>1</v>
      </c>
      <c r="T310" t="s">
        <v>1</v>
      </c>
      <c r="U310" t="s">
        <v>1</v>
      </c>
      <c r="V310" t="s">
        <v>1</v>
      </c>
      <c r="W310" t="s">
        <v>1</v>
      </c>
      <c r="X310" t="s">
        <v>1</v>
      </c>
      <c r="Y310" t="s">
        <v>1</v>
      </c>
      <c r="Z310" t="s">
        <v>1</v>
      </c>
      <c r="AA310">
        <v>0</v>
      </c>
      <c r="AB310" t="s">
        <v>2322</v>
      </c>
      <c r="AC310" t="s">
        <v>2323</v>
      </c>
      <c r="AD310" t="s">
        <v>373</v>
      </c>
      <c r="AE310">
        <v>0</v>
      </c>
      <c r="AF310" t="s">
        <v>1</v>
      </c>
      <c r="AG310" t="s">
        <v>1</v>
      </c>
      <c r="AH310" t="s">
        <v>659</v>
      </c>
      <c r="AI310" t="s">
        <v>2324</v>
      </c>
      <c r="AJ310" t="s">
        <v>1</v>
      </c>
      <c r="AK310">
        <v>9935910057</v>
      </c>
      <c r="AL310" t="s">
        <v>2325</v>
      </c>
      <c r="AM310" t="s">
        <v>2326</v>
      </c>
      <c r="AN310">
        <v>0</v>
      </c>
      <c r="AO310" t="s">
        <v>659</v>
      </c>
      <c r="AP310" t="s">
        <v>1</v>
      </c>
      <c r="AQ310">
        <v>4</v>
      </c>
      <c r="AR310">
        <v>0</v>
      </c>
      <c r="AS310">
        <v>0</v>
      </c>
      <c r="AT310" t="s">
        <v>1</v>
      </c>
      <c r="AU310" t="s">
        <v>1</v>
      </c>
      <c r="AV310" t="s">
        <v>1</v>
      </c>
      <c r="AW310">
        <v>0</v>
      </c>
      <c r="AX310">
        <v>4000</v>
      </c>
      <c r="AY310">
        <v>15800</v>
      </c>
      <c r="AZ310">
        <v>0</v>
      </c>
      <c r="BA310">
        <v>0</v>
      </c>
      <c r="BB310" t="s">
        <v>1</v>
      </c>
      <c r="BC310" t="s">
        <v>2124</v>
      </c>
      <c r="BD310" t="s">
        <v>147</v>
      </c>
      <c r="BE310" t="s">
        <v>1</v>
      </c>
      <c r="BF310" t="s">
        <v>1</v>
      </c>
      <c r="BG310" t="s">
        <v>1</v>
      </c>
      <c r="BH310">
        <v>0</v>
      </c>
      <c r="BI310">
        <v>0</v>
      </c>
      <c r="BJ310" t="s">
        <v>1930</v>
      </c>
      <c r="BK310" t="s">
        <v>1</v>
      </c>
      <c r="BL310" t="s">
        <v>1931</v>
      </c>
      <c r="BM310">
        <v>0</v>
      </c>
      <c r="BN310">
        <v>19800</v>
      </c>
      <c r="BO310">
        <v>0</v>
      </c>
      <c r="BP310">
        <v>0</v>
      </c>
      <c r="BQ310">
        <v>0</v>
      </c>
      <c r="BR310" t="s">
        <v>1</v>
      </c>
      <c r="BS310" t="s">
        <v>1</v>
      </c>
      <c r="BT310" t="s">
        <v>1</v>
      </c>
      <c r="BU310" t="s">
        <v>1</v>
      </c>
      <c r="BV310" t="s">
        <v>1</v>
      </c>
      <c r="BW310" t="s">
        <v>360</v>
      </c>
      <c r="BX310" t="s">
        <v>1</v>
      </c>
      <c r="BY310">
        <v>0</v>
      </c>
      <c r="BZ310">
        <v>0</v>
      </c>
      <c r="CA310">
        <v>0</v>
      </c>
      <c r="CB310">
        <v>0</v>
      </c>
      <c r="CD310" t="str" cm="1">
        <f t="array" aca="1" ref="CD310" ca="1">eConcatenar(A310:CB310,"|")</f>
        <v>ZndHawHJUGtsboE4|VSA2021-0088|3|ZAFIRO |TABASCO|VILLAHERMOSA |VILLAHERMOSA |2021-01-18|19800|X|X|200|1|0|X|X|X|X|X|X|X|X|X|X|X|X|0|GERONIMO |GALLEGOS |GUADALUPE |0|X|X|CALLE BENITO JUAREZ |COLONIA REFORMA |X|9935910057|VICTOR MANUEL CORREA GERONIMO |BENEFICIARIO 2 ALFREDO CORREA GARCIA |0|CALLE BENITO JUAREZ |X|4|0|0|X|X|X|0|4000|15800|0|0|X|2021-04-12|2021-12-31|X|X|X|0|0|S35D6D3Y9KVTQ2|X|MUJER |0|19800|0|0|0|X|X|X|X|X|VILLAHERMOSA |X|0|0|0|0</v>
      </c>
    </row>
    <row r="311" spans="1:82" x14ac:dyDescent="0.25">
      <c r="A311" t="s">
        <v>2327</v>
      </c>
      <c r="B311" t="s">
        <v>2328</v>
      </c>
      <c r="C311">
        <v>3</v>
      </c>
      <c r="D311" t="s">
        <v>121</v>
      </c>
      <c r="E311" t="s">
        <v>359</v>
      </c>
      <c r="F311" t="s">
        <v>360</v>
      </c>
      <c r="G311" t="s">
        <v>360</v>
      </c>
      <c r="H311" t="s">
        <v>2329</v>
      </c>
      <c r="I311">
        <v>12900</v>
      </c>
      <c r="J311" t="s">
        <v>1</v>
      </c>
      <c r="K311" t="s">
        <v>1</v>
      </c>
      <c r="L311">
        <v>100</v>
      </c>
      <c r="M311">
        <v>0</v>
      </c>
      <c r="N311">
        <v>0</v>
      </c>
      <c r="O311" t="s">
        <v>1</v>
      </c>
      <c r="P311" t="s">
        <v>1</v>
      </c>
      <c r="Q311" t="s">
        <v>1</v>
      </c>
      <c r="R311" t="s">
        <v>1</v>
      </c>
      <c r="S311" t="s">
        <v>1</v>
      </c>
      <c r="T311" t="s">
        <v>1</v>
      </c>
      <c r="U311" t="s">
        <v>1</v>
      </c>
      <c r="V311" t="s">
        <v>1</v>
      </c>
      <c r="W311" t="s">
        <v>1</v>
      </c>
      <c r="X311" t="s">
        <v>1</v>
      </c>
      <c r="Y311" t="s">
        <v>1</v>
      </c>
      <c r="Z311" t="s">
        <v>1</v>
      </c>
      <c r="AA311">
        <v>0</v>
      </c>
      <c r="AB311" t="s">
        <v>2330</v>
      </c>
      <c r="AC311" t="s">
        <v>2331</v>
      </c>
      <c r="AD311" t="s">
        <v>709</v>
      </c>
      <c r="AE311">
        <v>0</v>
      </c>
      <c r="AF311" t="s">
        <v>1</v>
      </c>
      <c r="AG311" t="s">
        <v>1</v>
      </c>
      <c r="AH311" t="s">
        <v>2332</v>
      </c>
      <c r="AI311" t="s">
        <v>2259</v>
      </c>
      <c r="AJ311" t="s">
        <v>1</v>
      </c>
      <c r="AK311">
        <v>9932412047</v>
      </c>
      <c r="AL311" t="s">
        <v>2333</v>
      </c>
      <c r="AM311" t="s">
        <v>2334</v>
      </c>
      <c r="AN311">
        <v>0</v>
      </c>
      <c r="AO311" t="s">
        <v>2332</v>
      </c>
      <c r="AP311" t="s">
        <v>1</v>
      </c>
      <c r="AQ311">
        <v>4</v>
      </c>
      <c r="AR311">
        <v>0</v>
      </c>
      <c r="AS311">
        <v>0</v>
      </c>
      <c r="AT311" t="s">
        <v>1</v>
      </c>
      <c r="AU311" t="s">
        <v>1</v>
      </c>
      <c r="AV311" t="s">
        <v>1</v>
      </c>
      <c r="AW311">
        <v>0</v>
      </c>
      <c r="AX311">
        <v>5000</v>
      </c>
      <c r="AY311">
        <v>7900</v>
      </c>
      <c r="AZ311">
        <v>0</v>
      </c>
      <c r="BA311">
        <v>0</v>
      </c>
      <c r="BB311" t="s">
        <v>1</v>
      </c>
      <c r="BC311" t="s">
        <v>312</v>
      </c>
      <c r="BD311" t="s">
        <v>147</v>
      </c>
      <c r="BE311" t="s">
        <v>1</v>
      </c>
      <c r="BF311" t="s">
        <v>1</v>
      </c>
      <c r="BG311" t="s">
        <v>1</v>
      </c>
      <c r="BH311">
        <v>0</v>
      </c>
      <c r="BI311">
        <v>0</v>
      </c>
      <c r="BJ311" t="s">
        <v>1930</v>
      </c>
      <c r="BK311" t="s">
        <v>1</v>
      </c>
      <c r="BL311" t="s">
        <v>1931</v>
      </c>
      <c r="BM311">
        <v>0</v>
      </c>
      <c r="BN311">
        <v>12900</v>
      </c>
      <c r="BO311">
        <v>0</v>
      </c>
      <c r="BP311">
        <v>0</v>
      </c>
      <c r="BQ311">
        <v>0</v>
      </c>
      <c r="BR311" t="s">
        <v>1</v>
      </c>
      <c r="BS311" t="s">
        <v>1</v>
      </c>
      <c r="BT311" t="s">
        <v>1</v>
      </c>
      <c r="BU311" t="s">
        <v>1</v>
      </c>
      <c r="BV311" t="s">
        <v>1</v>
      </c>
      <c r="BW311" t="s">
        <v>360</v>
      </c>
      <c r="BX311" t="s">
        <v>1</v>
      </c>
      <c r="BY311">
        <v>0</v>
      </c>
      <c r="BZ311">
        <v>0</v>
      </c>
      <c r="CA311">
        <v>0</v>
      </c>
      <c r="CB311">
        <v>0</v>
      </c>
      <c r="CD311" t="str" cm="1">
        <f t="array" aca="1" ref="CD311" ca="1">eConcatenar(A311:CB311,"|")</f>
        <v>0uVJRK1FUE46eScG|VSA2021-0186|3|IMPERIAL DE LUJO |TABASCO|VILLAHERMOSA |VILLAHERMOSA |2021-01-30|12900|X|X|100|0|0|X|X|X|X|X|X|X|X|X|X|X|X|0|PARDO|MURILLO |MARIA ELENA |0|X|X|CALLE GUSTAVO HERNANDEZ |COLONIA LAS DELICIAS |X|9932412047|PEDRO COLLADO PARDO |BENEFICIARIO 2 MARIA LENA COLLADO PARDO |0|CALLE GUSTAVO HERNANDEZ |X|4|0|0|X|X|X|0|5000|7900|0|0|X|2021-12-24|2021-12-31|X|X|X|0|0|S35D6D3Y9KVTQ2|X|MUJER |0|12900|0|0|0|X|X|X|X|X|VILLAHERMOSA |X|0|0|0|0</v>
      </c>
    </row>
    <row r="312" spans="1:82" x14ac:dyDescent="0.25">
      <c r="A312" t="s">
        <v>2335</v>
      </c>
      <c r="B312" t="s">
        <v>2336</v>
      </c>
      <c r="C312">
        <v>3</v>
      </c>
      <c r="D312" t="s">
        <v>121</v>
      </c>
      <c r="E312" t="s">
        <v>359</v>
      </c>
      <c r="F312" t="s">
        <v>360</v>
      </c>
      <c r="G312" t="s">
        <v>360</v>
      </c>
      <c r="H312" t="s">
        <v>2337</v>
      </c>
      <c r="I312">
        <v>12900</v>
      </c>
      <c r="J312" t="s">
        <v>1</v>
      </c>
      <c r="K312" t="s">
        <v>1</v>
      </c>
      <c r="L312">
        <v>100</v>
      </c>
      <c r="M312">
        <v>0</v>
      </c>
      <c r="N312">
        <v>0</v>
      </c>
      <c r="O312" t="s">
        <v>1</v>
      </c>
      <c r="P312" t="s">
        <v>1</v>
      </c>
      <c r="Q312" t="s">
        <v>1</v>
      </c>
      <c r="R312" t="s">
        <v>1</v>
      </c>
      <c r="S312" t="s">
        <v>1</v>
      </c>
      <c r="T312" t="s">
        <v>1</v>
      </c>
      <c r="U312" t="s">
        <v>1</v>
      </c>
      <c r="V312" t="s">
        <v>1</v>
      </c>
      <c r="W312" t="s">
        <v>1</v>
      </c>
      <c r="X312" t="s">
        <v>1</v>
      </c>
      <c r="Y312" t="s">
        <v>1</v>
      </c>
      <c r="Z312" t="s">
        <v>1</v>
      </c>
      <c r="AA312">
        <v>0</v>
      </c>
      <c r="AB312" t="s">
        <v>395</v>
      </c>
      <c r="AC312" t="s">
        <v>191</v>
      </c>
      <c r="AD312" t="s">
        <v>2338</v>
      </c>
      <c r="AE312">
        <v>0</v>
      </c>
      <c r="AF312" t="s">
        <v>1</v>
      </c>
      <c r="AG312" t="s">
        <v>1</v>
      </c>
      <c r="AH312" t="s">
        <v>2339</v>
      </c>
      <c r="AI312" t="s">
        <v>2222</v>
      </c>
      <c r="AJ312" t="s">
        <v>1</v>
      </c>
      <c r="AK312">
        <v>9931366178</v>
      </c>
      <c r="AL312" t="s">
        <v>2340</v>
      </c>
      <c r="AM312" t="s">
        <v>2341</v>
      </c>
      <c r="AN312">
        <v>0</v>
      </c>
      <c r="AO312" t="s">
        <v>2339</v>
      </c>
      <c r="AP312" t="s">
        <v>1</v>
      </c>
      <c r="AQ312">
        <v>4</v>
      </c>
      <c r="AR312">
        <v>0</v>
      </c>
      <c r="AS312">
        <v>0</v>
      </c>
      <c r="AT312" t="s">
        <v>1</v>
      </c>
      <c r="AU312" t="s">
        <v>1</v>
      </c>
      <c r="AV312" t="s">
        <v>1</v>
      </c>
      <c r="AW312">
        <v>0</v>
      </c>
      <c r="AX312">
        <v>2800</v>
      </c>
      <c r="AY312">
        <v>10100</v>
      </c>
      <c r="AZ312">
        <v>0</v>
      </c>
      <c r="BA312">
        <v>0</v>
      </c>
      <c r="BB312" t="s">
        <v>1</v>
      </c>
      <c r="BC312" t="s">
        <v>2342</v>
      </c>
      <c r="BD312" t="s">
        <v>147</v>
      </c>
      <c r="BE312" t="s">
        <v>1</v>
      </c>
      <c r="BF312" t="s">
        <v>1</v>
      </c>
      <c r="BG312" t="s">
        <v>1</v>
      </c>
      <c r="BH312">
        <v>0</v>
      </c>
      <c r="BI312">
        <v>0</v>
      </c>
      <c r="BJ312" t="s">
        <v>1930</v>
      </c>
      <c r="BK312" t="s">
        <v>1</v>
      </c>
      <c r="BL312" t="s">
        <v>1931</v>
      </c>
      <c r="BM312">
        <v>0</v>
      </c>
      <c r="BN312">
        <v>12900</v>
      </c>
      <c r="BO312">
        <v>0</v>
      </c>
      <c r="BP312">
        <v>0</v>
      </c>
      <c r="BQ312">
        <v>0</v>
      </c>
      <c r="BR312" t="s">
        <v>1</v>
      </c>
      <c r="BS312" t="s">
        <v>1</v>
      </c>
      <c r="BT312" t="s">
        <v>1</v>
      </c>
      <c r="BU312" t="s">
        <v>1</v>
      </c>
      <c r="BV312" t="s">
        <v>1</v>
      </c>
      <c r="BW312" t="s">
        <v>360</v>
      </c>
      <c r="BX312" t="s">
        <v>1</v>
      </c>
      <c r="BY312">
        <v>0</v>
      </c>
      <c r="BZ312">
        <v>0</v>
      </c>
      <c r="CA312">
        <v>0</v>
      </c>
      <c r="CB312">
        <v>0</v>
      </c>
      <c r="CD312" t="str" cm="1">
        <f t="array" aca="1" ref="CD312" ca="1">eConcatenar(A312:CB312,"|")</f>
        <v>inRM2VgRMVE0a5PS|VSA2021-0210|3|IMPERIAL DE LUJO |TABASCO|VILLAHERMOSA |VILLAHERMOSA |2021-03-02|12900|X|X|100|0|0|X|X|X|X|X|X|X|X|X|X|X|X|0|GARCIA |MARTINEZ |ROSA MARIA |0|X|X|AVENIDA CESAR AUGUSTO SANDINO |COLONIA PRIMERO DE MAYO |X|9931366178|JESUS ALEJANDRO GARCIA MARTINEZ |BENEFICIARIO 2 FANY MORALES MORALES |0|AVENIDA CESAR AUGUSTO SANDINO |X|4|0|0|X|X|X|0|2800|10100|0|0|X|2021-07-30|2021-12-31|X|X|X|0|0|S35D6D3Y9KVTQ2|X|MUJER |0|12900|0|0|0|X|X|X|X|X|VILLAHERMOSA |X|0|0|0|0</v>
      </c>
    </row>
    <row r="313" spans="1:82" x14ac:dyDescent="0.25">
      <c r="A313" t="s">
        <v>2343</v>
      </c>
      <c r="B313" t="s">
        <v>2344</v>
      </c>
      <c r="C313">
        <v>3</v>
      </c>
      <c r="D313" t="s">
        <v>121</v>
      </c>
      <c r="E313" t="s">
        <v>359</v>
      </c>
      <c r="F313" t="s">
        <v>360</v>
      </c>
      <c r="G313" t="s">
        <v>360</v>
      </c>
      <c r="H313" t="s">
        <v>2345</v>
      </c>
      <c r="I313">
        <v>12900</v>
      </c>
      <c r="J313" t="s">
        <v>1</v>
      </c>
      <c r="K313" t="s">
        <v>1</v>
      </c>
      <c r="L313">
        <v>200</v>
      </c>
      <c r="M313">
        <v>1</v>
      </c>
      <c r="N313">
        <v>0</v>
      </c>
      <c r="O313" t="s">
        <v>1</v>
      </c>
      <c r="P313" t="s">
        <v>1</v>
      </c>
      <c r="Q313" t="s">
        <v>1</v>
      </c>
      <c r="R313" t="s">
        <v>1</v>
      </c>
      <c r="S313" t="s">
        <v>1</v>
      </c>
      <c r="T313" t="s">
        <v>1</v>
      </c>
      <c r="U313" t="s">
        <v>1</v>
      </c>
      <c r="V313" t="s">
        <v>1</v>
      </c>
      <c r="W313" t="s">
        <v>1</v>
      </c>
      <c r="X313" t="s">
        <v>1</v>
      </c>
      <c r="Y313" t="s">
        <v>1</v>
      </c>
      <c r="Z313" t="s">
        <v>1</v>
      </c>
      <c r="AA313">
        <v>0</v>
      </c>
      <c r="AB313" t="s">
        <v>598</v>
      </c>
      <c r="AC313" t="s">
        <v>978</v>
      </c>
      <c r="AD313" t="s">
        <v>2346</v>
      </c>
      <c r="AE313">
        <v>0</v>
      </c>
      <c r="AF313" t="s">
        <v>1</v>
      </c>
      <c r="AG313" t="s">
        <v>1</v>
      </c>
      <c r="AH313" t="s">
        <v>2347</v>
      </c>
      <c r="AI313" t="s">
        <v>1984</v>
      </c>
      <c r="AJ313" t="s">
        <v>1</v>
      </c>
      <c r="AK313">
        <v>9931578008</v>
      </c>
      <c r="AL313" t="s">
        <v>2348</v>
      </c>
      <c r="AM313" t="s">
        <v>2349</v>
      </c>
      <c r="AN313">
        <v>0</v>
      </c>
      <c r="AO313" t="s">
        <v>2347</v>
      </c>
      <c r="AP313" t="s">
        <v>1</v>
      </c>
      <c r="AQ313">
        <v>5</v>
      </c>
      <c r="AR313">
        <v>0</v>
      </c>
      <c r="AS313">
        <v>0</v>
      </c>
      <c r="AT313" t="s">
        <v>1</v>
      </c>
      <c r="AU313" t="s">
        <v>1</v>
      </c>
      <c r="AV313" t="s">
        <v>1</v>
      </c>
      <c r="AW313">
        <v>0</v>
      </c>
      <c r="AX313">
        <v>5700</v>
      </c>
      <c r="AY313">
        <v>7200</v>
      </c>
      <c r="AZ313">
        <v>0</v>
      </c>
      <c r="BA313">
        <v>0</v>
      </c>
      <c r="BB313" t="s">
        <v>1</v>
      </c>
      <c r="BC313" t="s">
        <v>1954</v>
      </c>
      <c r="BD313" t="s">
        <v>147</v>
      </c>
      <c r="BE313" t="s">
        <v>1</v>
      </c>
      <c r="BF313" t="s">
        <v>1</v>
      </c>
      <c r="BG313" t="s">
        <v>1</v>
      </c>
      <c r="BH313">
        <v>0</v>
      </c>
      <c r="BI313">
        <v>0</v>
      </c>
      <c r="BJ313" t="s">
        <v>1930</v>
      </c>
      <c r="BK313" t="s">
        <v>1</v>
      </c>
      <c r="BL313" t="s">
        <v>1931</v>
      </c>
      <c r="BM313">
        <v>0</v>
      </c>
      <c r="BN313">
        <v>12900</v>
      </c>
      <c r="BO313">
        <v>0</v>
      </c>
      <c r="BP313">
        <v>0</v>
      </c>
      <c r="BQ313">
        <v>0</v>
      </c>
      <c r="BR313" t="s">
        <v>1</v>
      </c>
      <c r="BS313" t="s">
        <v>1</v>
      </c>
      <c r="BT313" t="s">
        <v>1</v>
      </c>
      <c r="BU313" t="s">
        <v>1</v>
      </c>
      <c r="BV313" t="s">
        <v>1</v>
      </c>
      <c r="BW313" t="s">
        <v>360</v>
      </c>
      <c r="BX313" t="s">
        <v>1</v>
      </c>
      <c r="BY313">
        <v>0</v>
      </c>
      <c r="BZ313">
        <v>0</v>
      </c>
      <c r="CA313">
        <v>0</v>
      </c>
      <c r="CB313">
        <v>0</v>
      </c>
      <c r="CD313" t="str" cm="1">
        <f t="array" aca="1" ref="CD313" ca="1">eConcatenar(A313:CB313,"|")</f>
        <v>vVCHvifzdYFIRj7C|VSA2021-0229|3|IMPERIAL DE LUJO |TABASCO|VILLAHERMOSA |VILLAHERMOSA |2021-04-02|12900|X|X|200|1|0|X|X|X|X|X|X|X|X|X|X|X|X|0|JIMENEZ |ALEJANDRO |SONIA |0|X|X|CALLE REVOLUCION |COLONIA TAMULTE DE LAS BARRANCAS |X|9931578008|CESAR LAZARO TORRES |BENEFICIARIO 2 CESAR LAZARO JIMENENEZ |0|CALLE REVOLUCION |X|5|0|0|X|X|X|0|5700|7200|0|0|X|2021-12-17|2021-12-31|X|X|X|0|0|S35D6D3Y9KVTQ2|X|MUJER |0|12900|0|0|0|X|X|X|X|X|VILLAHERMOSA |X|0|0|0|0</v>
      </c>
    </row>
    <row r="314" spans="1:82" x14ac:dyDescent="0.25">
      <c r="A314" t="s">
        <v>2350</v>
      </c>
      <c r="B314" t="s">
        <v>2351</v>
      </c>
      <c r="C314">
        <v>3</v>
      </c>
      <c r="D314" t="s">
        <v>433</v>
      </c>
      <c r="E314" t="s">
        <v>359</v>
      </c>
      <c r="F314" t="s">
        <v>360</v>
      </c>
      <c r="G314" t="s">
        <v>360</v>
      </c>
      <c r="H314" t="s">
        <v>2352</v>
      </c>
      <c r="I314">
        <v>19800</v>
      </c>
      <c r="J314" t="s">
        <v>1</v>
      </c>
      <c r="K314" t="s">
        <v>1</v>
      </c>
      <c r="L314">
        <v>200</v>
      </c>
      <c r="M314">
        <v>1</v>
      </c>
      <c r="N314">
        <v>0</v>
      </c>
      <c r="O314" t="s">
        <v>1</v>
      </c>
      <c r="P314" t="s">
        <v>1</v>
      </c>
      <c r="Q314" t="s">
        <v>1</v>
      </c>
      <c r="R314" t="s">
        <v>1</v>
      </c>
      <c r="S314" t="s">
        <v>1</v>
      </c>
      <c r="T314" t="s">
        <v>1</v>
      </c>
      <c r="U314" t="s">
        <v>1</v>
      </c>
      <c r="V314" t="s">
        <v>1</v>
      </c>
      <c r="W314" t="s">
        <v>1</v>
      </c>
      <c r="X314" t="s">
        <v>1</v>
      </c>
      <c r="Y314" t="s">
        <v>1</v>
      </c>
      <c r="Z314" t="s">
        <v>1</v>
      </c>
      <c r="AA314">
        <v>0</v>
      </c>
      <c r="AB314" t="s">
        <v>584</v>
      </c>
      <c r="AC314" t="s">
        <v>479</v>
      </c>
      <c r="AD314" t="s">
        <v>978</v>
      </c>
      <c r="AE314">
        <v>0</v>
      </c>
      <c r="AF314" t="s">
        <v>1</v>
      </c>
      <c r="AG314" t="s">
        <v>1</v>
      </c>
      <c r="AH314" t="s">
        <v>545</v>
      </c>
      <c r="AI314" t="s">
        <v>1992</v>
      </c>
      <c r="AJ314" t="s">
        <v>1</v>
      </c>
      <c r="AK314">
        <v>9931533958</v>
      </c>
      <c r="AL314" t="s">
        <v>2353</v>
      </c>
      <c r="AM314" t="s">
        <v>2354</v>
      </c>
      <c r="AN314">
        <v>0</v>
      </c>
      <c r="AO314" t="s">
        <v>545</v>
      </c>
      <c r="AP314" t="s">
        <v>1</v>
      </c>
      <c r="AQ314">
        <v>5</v>
      </c>
      <c r="AR314">
        <v>0</v>
      </c>
      <c r="AS314">
        <v>0</v>
      </c>
      <c r="AT314" t="s">
        <v>1</v>
      </c>
      <c r="AU314" t="s">
        <v>1</v>
      </c>
      <c r="AV314" t="s">
        <v>1</v>
      </c>
      <c r="AW314">
        <v>0</v>
      </c>
      <c r="AX314">
        <v>1400</v>
      </c>
      <c r="AY314">
        <v>18400</v>
      </c>
      <c r="AZ314">
        <v>0</v>
      </c>
      <c r="BA314">
        <v>0</v>
      </c>
      <c r="BB314" t="s">
        <v>1</v>
      </c>
      <c r="BC314" t="s">
        <v>2355</v>
      </c>
      <c r="BD314" t="s">
        <v>147</v>
      </c>
      <c r="BE314" t="s">
        <v>1</v>
      </c>
      <c r="BF314" t="s">
        <v>1</v>
      </c>
      <c r="BG314" t="s">
        <v>1</v>
      </c>
      <c r="BH314">
        <v>0</v>
      </c>
      <c r="BI314">
        <v>0</v>
      </c>
      <c r="BJ314" t="s">
        <v>1930</v>
      </c>
      <c r="BK314" t="s">
        <v>1</v>
      </c>
      <c r="BL314" t="s">
        <v>131</v>
      </c>
      <c r="BM314">
        <v>0</v>
      </c>
      <c r="BN314">
        <v>19800</v>
      </c>
      <c r="BO314">
        <v>0</v>
      </c>
      <c r="BP314">
        <v>0</v>
      </c>
      <c r="BQ314">
        <v>0</v>
      </c>
      <c r="BR314" t="s">
        <v>1</v>
      </c>
      <c r="BS314" t="s">
        <v>1</v>
      </c>
      <c r="BT314" t="s">
        <v>1</v>
      </c>
      <c r="BU314" t="s">
        <v>1</v>
      </c>
      <c r="BV314" t="s">
        <v>1</v>
      </c>
      <c r="BW314" t="s">
        <v>360</v>
      </c>
      <c r="BX314" t="s">
        <v>1</v>
      </c>
      <c r="BY314">
        <v>0</v>
      </c>
      <c r="BZ314">
        <v>0</v>
      </c>
      <c r="CA314">
        <v>0</v>
      </c>
      <c r="CB314">
        <v>0</v>
      </c>
      <c r="CD314" t="str" cm="1">
        <f t="array" aca="1" ref="CD314" ca="1">eConcatenar(A314:CB314,"|")</f>
        <v>Z8Q6iQSFCpSVEP8X|VSA2021-0414|3|ZAFIRO |TABASCO|VILLAHERMOSA |VILLAHERMOSA |2021-02-24|19800|X|X|200|1|0|X|X|X|X|X|X|X|X|X|X|X|X|0|HERNANDEZ |SANCHEZ |ALEJANDRO |0|X|X|CARRETERA PRINCIPAL SIN NUMERO |RANCHERIA IXTACOMITAN |X|9931533958|CALARA GUZMAN DE LA CRUZ |BENEFICIARIO 2 BEATRIZ HERNANDEZ DOMINGUEZ|0|CARRETERA PRINCIPAL SIN NUMERO |X|5|0|0|X|X|X|0|1400|18400|0|0|X|2021-11-10|2021-12-31|X|X|X|0|0|S35D6D3Y9KVTQ2|X|HOMBRE |0|19800|0|0|0|X|X|X|X|X|VILLAHERMOSA |X|0|0|0|0</v>
      </c>
    </row>
    <row r="315" spans="1:82" x14ac:dyDescent="0.25">
      <c r="A315" t="s">
        <v>2356</v>
      </c>
      <c r="B315" t="s">
        <v>2357</v>
      </c>
      <c r="C315">
        <v>3</v>
      </c>
      <c r="D315" t="s">
        <v>121</v>
      </c>
      <c r="E315" t="s">
        <v>359</v>
      </c>
      <c r="F315" t="s">
        <v>360</v>
      </c>
      <c r="G315" t="s">
        <v>360</v>
      </c>
      <c r="H315" t="s">
        <v>2101</v>
      </c>
      <c r="I315">
        <v>12900</v>
      </c>
      <c r="J315" t="s">
        <v>1</v>
      </c>
      <c r="K315" t="s">
        <v>1</v>
      </c>
      <c r="L315">
        <v>200</v>
      </c>
      <c r="M315">
        <v>1</v>
      </c>
      <c r="N315">
        <v>0</v>
      </c>
      <c r="O315" t="s">
        <v>1</v>
      </c>
      <c r="P315" t="s">
        <v>1</v>
      </c>
      <c r="Q315" t="s">
        <v>1</v>
      </c>
      <c r="R315" t="s">
        <v>1</v>
      </c>
      <c r="S315" t="s">
        <v>1</v>
      </c>
      <c r="T315" t="s">
        <v>1</v>
      </c>
      <c r="U315" t="s">
        <v>1</v>
      </c>
      <c r="V315" t="s">
        <v>1</v>
      </c>
      <c r="W315" t="s">
        <v>1</v>
      </c>
      <c r="X315" t="s">
        <v>1</v>
      </c>
      <c r="Y315" t="s">
        <v>1</v>
      </c>
      <c r="Z315" t="s">
        <v>1</v>
      </c>
      <c r="AA315">
        <v>0</v>
      </c>
      <c r="AB315" t="s">
        <v>543</v>
      </c>
      <c r="AC315" t="s">
        <v>1299</v>
      </c>
      <c r="AD315" t="s">
        <v>2358</v>
      </c>
      <c r="AE315">
        <v>0</v>
      </c>
      <c r="AF315" t="s">
        <v>1</v>
      </c>
      <c r="AG315" t="s">
        <v>1</v>
      </c>
      <c r="AH315" t="s">
        <v>2359</v>
      </c>
      <c r="AI315" t="s">
        <v>2063</v>
      </c>
      <c r="AJ315" t="s">
        <v>1</v>
      </c>
      <c r="AK315">
        <v>9933990745</v>
      </c>
      <c r="AL315" t="s">
        <v>2360</v>
      </c>
      <c r="AM315" t="s">
        <v>2361</v>
      </c>
      <c r="AN315">
        <v>0</v>
      </c>
      <c r="AO315" t="s">
        <v>2359</v>
      </c>
      <c r="AP315" t="s">
        <v>1</v>
      </c>
      <c r="AQ315">
        <v>4</v>
      </c>
      <c r="AR315">
        <v>0</v>
      </c>
      <c r="AS315">
        <v>0</v>
      </c>
      <c r="AT315" t="s">
        <v>1</v>
      </c>
      <c r="AU315" t="s">
        <v>1</v>
      </c>
      <c r="AV315" t="s">
        <v>1</v>
      </c>
      <c r="AW315">
        <v>0</v>
      </c>
      <c r="AX315">
        <v>3000</v>
      </c>
      <c r="AY315">
        <v>9900</v>
      </c>
      <c r="AZ315">
        <v>0</v>
      </c>
      <c r="BA315">
        <v>0</v>
      </c>
      <c r="BB315" t="s">
        <v>1</v>
      </c>
      <c r="BC315" t="s">
        <v>863</v>
      </c>
      <c r="BD315" t="s">
        <v>147</v>
      </c>
      <c r="BE315" t="s">
        <v>1</v>
      </c>
      <c r="BF315" t="s">
        <v>1</v>
      </c>
      <c r="BG315" t="s">
        <v>1</v>
      </c>
      <c r="BH315">
        <v>0</v>
      </c>
      <c r="BI315">
        <v>0</v>
      </c>
      <c r="BJ315" t="s">
        <v>1930</v>
      </c>
      <c r="BK315" t="s">
        <v>1</v>
      </c>
      <c r="BL315" t="s">
        <v>1931</v>
      </c>
      <c r="BM315">
        <v>0</v>
      </c>
      <c r="BN315">
        <v>12900</v>
      </c>
      <c r="BO315">
        <v>0</v>
      </c>
      <c r="BP315">
        <v>0</v>
      </c>
      <c r="BQ315">
        <v>0</v>
      </c>
      <c r="BR315" t="s">
        <v>1</v>
      </c>
      <c r="BS315" t="s">
        <v>1</v>
      </c>
      <c r="BT315" t="s">
        <v>1</v>
      </c>
      <c r="BU315" t="s">
        <v>1</v>
      </c>
      <c r="BV315" t="s">
        <v>1</v>
      </c>
      <c r="BW315" t="s">
        <v>360</v>
      </c>
      <c r="BX315" t="s">
        <v>1</v>
      </c>
      <c r="BY315">
        <v>0</v>
      </c>
      <c r="BZ315">
        <v>0</v>
      </c>
      <c r="CA315">
        <v>0</v>
      </c>
      <c r="CB315">
        <v>0</v>
      </c>
      <c r="CD315" t="str" cm="1">
        <f t="array" aca="1" ref="CD315" ca="1">eConcatenar(A315:CB315,"|")</f>
        <v>ur5lfibQ9xnjt05T|VSA2021-0504|3|IMPERIAL DE LUJO |TABASCO|VILLAHERMOSA |VILLAHERMOSA |2021-09-03|12900|X|X|200|1|0|X|X|X|X|X|X|X|X|X|X|X|X|0|ARIAS |VIDAL |MARIA VICTORIA |0|X|X|CALLE ESCRITORES MANZANA CINCO |COLONIA GAVIOTAS SUR |X|9933990745|VANESSA CRISTINA ARIAS CUPIDO |BENEFICIARIO 2 ALVARO CUPIDO SANCHEZ |0|CALLE ESCRITORES MANZANA CINCO |X|4|0|0|X|X|X|0|3000|9900|0|0|X|2021-03-12|2021-12-31|X|X|X|0|0|S35D6D3Y9KVTQ2|X|MUJER |0|12900|0|0|0|X|X|X|X|X|VILLAHERMOSA |X|0|0|0|0</v>
      </c>
    </row>
    <row r="316" spans="1:82" x14ac:dyDescent="0.25">
      <c r="A316" t="s">
        <v>2362</v>
      </c>
      <c r="B316" t="s">
        <v>2363</v>
      </c>
      <c r="C316">
        <v>3</v>
      </c>
      <c r="D316" t="s">
        <v>146</v>
      </c>
      <c r="E316" t="s">
        <v>359</v>
      </c>
      <c r="F316" t="s">
        <v>360</v>
      </c>
      <c r="G316" t="s">
        <v>360</v>
      </c>
      <c r="H316" t="s">
        <v>2364</v>
      </c>
      <c r="I316">
        <v>14800</v>
      </c>
      <c r="J316" t="s">
        <v>1</v>
      </c>
      <c r="K316" t="s">
        <v>1</v>
      </c>
      <c r="L316">
        <v>100</v>
      </c>
      <c r="M316">
        <v>0</v>
      </c>
      <c r="N316">
        <v>0</v>
      </c>
      <c r="O316" t="s">
        <v>1</v>
      </c>
      <c r="P316" t="s">
        <v>1</v>
      </c>
      <c r="Q316" t="s">
        <v>1</v>
      </c>
      <c r="R316" t="s">
        <v>1</v>
      </c>
      <c r="S316" t="s">
        <v>1</v>
      </c>
      <c r="T316" t="s">
        <v>1</v>
      </c>
      <c r="U316" t="s">
        <v>1</v>
      </c>
      <c r="V316" t="s">
        <v>1</v>
      </c>
      <c r="W316" t="s">
        <v>1</v>
      </c>
      <c r="X316" t="s">
        <v>1</v>
      </c>
      <c r="Y316" t="s">
        <v>1</v>
      </c>
      <c r="Z316" t="s">
        <v>1</v>
      </c>
      <c r="AA316">
        <v>0</v>
      </c>
      <c r="AB316" t="s">
        <v>575</v>
      </c>
      <c r="AC316" t="s">
        <v>455</v>
      </c>
      <c r="AD316" t="s">
        <v>2365</v>
      </c>
      <c r="AE316">
        <v>0</v>
      </c>
      <c r="AF316" t="s">
        <v>1</v>
      </c>
      <c r="AG316" t="s">
        <v>1</v>
      </c>
      <c r="AH316" t="s">
        <v>2366</v>
      </c>
      <c r="AI316" t="s">
        <v>1984</v>
      </c>
      <c r="AJ316" t="s">
        <v>1</v>
      </c>
      <c r="AK316">
        <v>9931031618</v>
      </c>
      <c r="AL316" t="s">
        <v>2367</v>
      </c>
      <c r="AM316" t="s">
        <v>2368</v>
      </c>
      <c r="AN316">
        <v>0</v>
      </c>
      <c r="AO316" t="s">
        <v>2366</v>
      </c>
      <c r="AP316" t="s">
        <v>1</v>
      </c>
      <c r="AQ316">
        <v>4</v>
      </c>
      <c r="AR316">
        <v>0</v>
      </c>
      <c r="AS316">
        <v>0</v>
      </c>
      <c r="AT316" t="s">
        <v>1</v>
      </c>
      <c r="AU316" t="s">
        <v>1</v>
      </c>
      <c r="AV316" t="s">
        <v>1</v>
      </c>
      <c r="AW316">
        <v>0</v>
      </c>
      <c r="AX316">
        <v>2850</v>
      </c>
      <c r="AY316">
        <v>11950</v>
      </c>
      <c r="AZ316">
        <v>0</v>
      </c>
      <c r="BA316">
        <v>0</v>
      </c>
      <c r="BB316" t="s">
        <v>1</v>
      </c>
      <c r="BC316" t="s">
        <v>1954</v>
      </c>
      <c r="BD316" t="s">
        <v>147</v>
      </c>
      <c r="BE316" t="s">
        <v>1</v>
      </c>
      <c r="BF316" t="s">
        <v>1</v>
      </c>
      <c r="BG316" t="s">
        <v>1</v>
      </c>
      <c r="BH316">
        <v>0</v>
      </c>
      <c r="BI316">
        <v>0</v>
      </c>
      <c r="BJ316" t="s">
        <v>1930</v>
      </c>
      <c r="BK316" t="s">
        <v>1</v>
      </c>
      <c r="BL316" t="s">
        <v>1931</v>
      </c>
      <c r="BM316">
        <v>0</v>
      </c>
      <c r="BN316">
        <v>14800</v>
      </c>
      <c r="BO316">
        <v>0</v>
      </c>
      <c r="BP316">
        <v>0</v>
      </c>
      <c r="BQ316">
        <v>0</v>
      </c>
      <c r="BR316" t="s">
        <v>1</v>
      </c>
      <c r="BS316" t="s">
        <v>1</v>
      </c>
      <c r="BT316" t="s">
        <v>1</v>
      </c>
      <c r="BU316" t="s">
        <v>1</v>
      </c>
      <c r="BV316" t="s">
        <v>1</v>
      </c>
      <c r="BW316" t="s">
        <v>360</v>
      </c>
      <c r="BX316" t="s">
        <v>1</v>
      </c>
      <c r="BY316">
        <v>0</v>
      </c>
      <c r="BZ316">
        <v>0</v>
      </c>
      <c r="CA316">
        <v>0</v>
      </c>
      <c r="CB316">
        <v>0</v>
      </c>
      <c r="CD316" t="str" cm="1">
        <f t="array" aca="1" ref="CD316" ca="1">eConcatenar(A316:CB316,"|")</f>
        <v>KmUr8nFNge40SAjJ|VSA2021-0904|3|MEMORIAL |TABASCO|VILLAHERMOSA |VILLAHERMOSA |2021-06-23|14800|X|X|100|0|0|X|X|X|X|X|X|X|X|X|X|X|X|0|MORALES |CRUZ |ANGELICA MARIA |0|X|X|CALLE INDEPENDENCIA |COLONIA TAMULTE DE LAS BARRANCAS |X|9931031618|MANUELA PEREZ MORALES |BENEFICIARIO 2 JESUS PEREZ MORALES |0|CALLE INDEPENDENCIA |X|4|0|0|X|X|X|0|2850|11950|0|0|X|2021-12-17|2021-12-31|X|X|X|0|0|S35D6D3Y9KVTQ2|X|MUJER |0|14800|0|0|0|X|X|X|X|X|VILLAHERMOSA |X|0|0|0|0</v>
      </c>
    </row>
    <row r="317" spans="1:82" x14ac:dyDescent="0.25">
      <c r="A317" t="s">
        <v>2369</v>
      </c>
      <c r="B317" t="s">
        <v>2370</v>
      </c>
      <c r="C317">
        <v>3</v>
      </c>
      <c r="D317" t="s">
        <v>146</v>
      </c>
      <c r="E317" t="s">
        <v>359</v>
      </c>
      <c r="F317" t="s">
        <v>360</v>
      </c>
      <c r="G317" t="s">
        <v>360</v>
      </c>
      <c r="H317" t="s">
        <v>2371</v>
      </c>
      <c r="I317">
        <v>14800</v>
      </c>
      <c r="J317" t="s">
        <v>1</v>
      </c>
      <c r="K317" t="s">
        <v>1</v>
      </c>
      <c r="L317">
        <v>200</v>
      </c>
      <c r="M317">
        <v>1</v>
      </c>
      <c r="N317">
        <v>0</v>
      </c>
      <c r="O317" t="s">
        <v>1</v>
      </c>
      <c r="P317" t="s">
        <v>1</v>
      </c>
      <c r="Q317" t="s">
        <v>1</v>
      </c>
      <c r="R317" t="s">
        <v>1</v>
      </c>
      <c r="S317" t="s">
        <v>1</v>
      </c>
      <c r="T317" t="s">
        <v>1</v>
      </c>
      <c r="U317" t="s">
        <v>1</v>
      </c>
      <c r="V317" t="s">
        <v>1</v>
      </c>
      <c r="W317" t="s">
        <v>1</v>
      </c>
      <c r="X317" t="s">
        <v>1</v>
      </c>
      <c r="Y317" t="s">
        <v>1</v>
      </c>
      <c r="Z317" t="s">
        <v>1</v>
      </c>
      <c r="AA317">
        <v>0</v>
      </c>
      <c r="AB317" t="s">
        <v>2372</v>
      </c>
      <c r="AC317" t="s">
        <v>2373</v>
      </c>
      <c r="AD317" t="s">
        <v>2374</v>
      </c>
      <c r="AE317">
        <v>0</v>
      </c>
      <c r="AF317" t="s">
        <v>1</v>
      </c>
      <c r="AG317" t="s">
        <v>1</v>
      </c>
      <c r="AH317" t="s">
        <v>2375</v>
      </c>
      <c r="AI317" t="s">
        <v>2376</v>
      </c>
      <c r="AJ317" t="s">
        <v>1</v>
      </c>
      <c r="AK317">
        <v>9935166068</v>
      </c>
      <c r="AL317" t="s">
        <v>2377</v>
      </c>
      <c r="AM317" t="s">
        <v>2378</v>
      </c>
      <c r="AN317">
        <v>0</v>
      </c>
      <c r="AO317" t="s">
        <v>2375</v>
      </c>
      <c r="AP317" t="s">
        <v>1</v>
      </c>
      <c r="AQ317">
        <v>4</v>
      </c>
      <c r="AR317">
        <v>0</v>
      </c>
      <c r="AS317">
        <v>0</v>
      </c>
      <c r="AT317" t="s">
        <v>1</v>
      </c>
      <c r="AU317" t="s">
        <v>1</v>
      </c>
      <c r="AV317" t="s">
        <v>1</v>
      </c>
      <c r="AW317">
        <v>0</v>
      </c>
      <c r="AX317">
        <v>2400</v>
      </c>
      <c r="AY317">
        <v>12400</v>
      </c>
      <c r="AZ317">
        <v>0</v>
      </c>
      <c r="BA317">
        <v>0</v>
      </c>
      <c r="BB317" t="s">
        <v>1</v>
      </c>
      <c r="BC317" t="s">
        <v>1954</v>
      </c>
      <c r="BD317" t="s">
        <v>147</v>
      </c>
      <c r="BE317" t="s">
        <v>1</v>
      </c>
      <c r="BF317" t="s">
        <v>1</v>
      </c>
      <c r="BG317" t="s">
        <v>1</v>
      </c>
      <c r="BH317">
        <v>0</v>
      </c>
      <c r="BI317">
        <v>0</v>
      </c>
      <c r="BJ317" t="s">
        <v>1930</v>
      </c>
      <c r="BK317" t="s">
        <v>1</v>
      </c>
      <c r="BL317" t="s">
        <v>1931</v>
      </c>
      <c r="BM317">
        <v>0</v>
      </c>
      <c r="BN317">
        <v>14800</v>
      </c>
      <c r="BO317">
        <v>0</v>
      </c>
      <c r="BP317">
        <v>0</v>
      </c>
      <c r="BQ317">
        <v>0</v>
      </c>
      <c r="BR317" t="s">
        <v>1</v>
      </c>
      <c r="BS317" t="s">
        <v>1</v>
      </c>
      <c r="BT317" t="s">
        <v>1</v>
      </c>
      <c r="BU317" t="s">
        <v>1</v>
      </c>
      <c r="BV317" t="s">
        <v>1</v>
      </c>
      <c r="BW317" t="s">
        <v>360</v>
      </c>
      <c r="BX317" t="s">
        <v>1</v>
      </c>
      <c r="BY317">
        <v>0</v>
      </c>
      <c r="BZ317">
        <v>0</v>
      </c>
      <c r="CA317">
        <v>0</v>
      </c>
      <c r="CB317">
        <v>0</v>
      </c>
      <c r="CD317" t="str" cm="1">
        <f t="array" aca="1" ref="CD317" ca="1">eConcatenar(A317:CB317,"|")</f>
        <v>oBUg1sVJ3t0aLHld|VSA2021-1031|3|MEMORIAL |TABASCO|VILLAHERMOSA |VILLAHERMOSA |2021-02-07|14800|X|X|200|1|0|X|X|X|X|X|X|X|X|X|X|X|X|0|BOLON |GOROSICA |DIANA |0|X|X|CALLE CARLOS GREEN |COLONIA TASTA|X|9935166068|MIGEUL ALEXANDER |BENEFICIARIO 2 MARIA BEATRIZ GEROSICA ESTEBAN |0|CALLE CARLOS GREEN |X|4|0|0|X|X|X|0|2400|12400|0|0|X|2021-12-17|2021-12-31|X|X|X|0|0|S35D6D3Y9KVTQ2|X|MUJER |0|14800|0|0|0|X|X|X|X|X|VILLAHERMOSA |X|0|0|0|0</v>
      </c>
    </row>
    <row r="318" spans="1:82" x14ac:dyDescent="0.25">
      <c r="A318" t="s">
        <v>2379</v>
      </c>
      <c r="B318" t="s">
        <v>2380</v>
      </c>
      <c r="C318">
        <v>3</v>
      </c>
      <c r="D318" t="s">
        <v>1945</v>
      </c>
      <c r="E318" t="s">
        <v>359</v>
      </c>
      <c r="F318" t="s">
        <v>360</v>
      </c>
      <c r="G318" t="s">
        <v>360</v>
      </c>
      <c r="H318" t="s">
        <v>2381</v>
      </c>
      <c r="I318">
        <v>35000</v>
      </c>
      <c r="J318" t="s">
        <v>1</v>
      </c>
      <c r="K318" t="s">
        <v>1</v>
      </c>
      <c r="L318">
        <v>200</v>
      </c>
      <c r="M318">
        <v>1</v>
      </c>
      <c r="N318">
        <v>0</v>
      </c>
      <c r="O318" t="s">
        <v>1</v>
      </c>
      <c r="P318" t="s">
        <v>1</v>
      </c>
      <c r="Q318" t="s">
        <v>1</v>
      </c>
      <c r="R318" t="s">
        <v>1</v>
      </c>
      <c r="S318" t="s">
        <v>1</v>
      </c>
      <c r="T318" t="s">
        <v>1</v>
      </c>
      <c r="U318" t="s">
        <v>1</v>
      </c>
      <c r="V318" t="s">
        <v>1</v>
      </c>
      <c r="W318" t="s">
        <v>1</v>
      </c>
      <c r="X318" t="s">
        <v>1</v>
      </c>
      <c r="Y318" t="s">
        <v>1</v>
      </c>
      <c r="Z318" t="s">
        <v>1</v>
      </c>
      <c r="AA318">
        <v>0</v>
      </c>
      <c r="AB318" t="s">
        <v>2382</v>
      </c>
      <c r="AC318" t="s">
        <v>2383</v>
      </c>
      <c r="AD318" t="s">
        <v>2384</v>
      </c>
      <c r="AE318">
        <v>0</v>
      </c>
      <c r="AF318" t="s">
        <v>1</v>
      </c>
      <c r="AG318" t="s">
        <v>1</v>
      </c>
      <c r="AH318" t="s">
        <v>2385</v>
      </c>
      <c r="AI318" t="s">
        <v>1951</v>
      </c>
      <c r="AJ318" t="s">
        <v>1</v>
      </c>
      <c r="AK318">
        <v>9935149876</v>
      </c>
      <c r="AL318" t="s">
        <v>2386</v>
      </c>
      <c r="AM318" t="s">
        <v>2387</v>
      </c>
      <c r="AN318">
        <v>0</v>
      </c>
      <c r="AO318" t="s">
        <v>2385</v>
      </c>
      <c r="AP318" t="s">
        <v>1</v>
      </c>
      <c r="AQ318">
        <v>5</v>
      </c>
      <c r="AR318">
        <v>0</v>
      </c>
      <c r="AS318">
        <v>0</v>
      </c>
      <c r="AT318" t="s">
        <v>1</v>
      </c>
      <c r="AU318" t="s">
        <v>1</v>
      </c>
      <c r="AV318" t="s">
        <v>1</v>
      </c>
      <c r="AW318">
        <v>0</v>
      </c>
      <c r="AX318">
        <v>2400</v>
      </c>
      <c r="AY318">
        <v>32600</v>
      </c>
      <c r="AZ318">
        <v>0</v>
      </c>
      <c r="BA318">
        <v>0</v>
      </c>
      <c r="BB318" t="s">
        <v>1</v>
      </c>
      <c r="BC318" t="s">
        <v>1995</v>
      </c>
      <c r="BD318" t="s">
        <v>147</v>
      </c>
      <c r="BE318" t="s">
        <v>1</v>
      </c>
      <c r="BF318" t="s">
        <v>1</v>
      </c>
      <c r="BG318" t="s">
        <v>1</v>
      </c>
      <c r="BH318">
        <v>0</v>
      </c>
      <c r="BI318">
        <v>0</v>
      </c>
      <c r="BJ318" t="s">
        <v>1930</v>
      </c>
      <c r="BK318" t="s">
        <v>1</v>
      </c>
      <c r="BL318" t="s">
        <v>1931</v>
      </c>
      <c r="BM318">
        <v>0</v>
      </c>
      <c r="BN318">
        <v>35000</v>
      </c>
      <c r="BO318">
        <v>0</v>
      </c>
      <c r="BP318">
        <v>0</v>
      </c>
      <c r="BQ318">
        <v>0</v>
      </c>
      <c r="BR318" t="s">
        <v>1</v>
      </c>
      <c r="BS318" t="s">
        <v>1</v>
      </c>
      <c r="BT318" t="s">
        <v>1</v>
      </c>
      <c r="BU318" t="s">
        <v>1</v>
      </c>
      <c r="BV318" t="s">
        <v>1</v>
      </c>
      <c r="BW318" t="s">
        <v>360</v>
      </c>
      <c r="BX318" t="s">
        <v>1</v>
      </c>
      <c r="BY318">
        <v>0</v>
      </c>
      <c r="BZ318">
        <v>0</v>
      </c>
      <c r="CA318">
        <v>0</v>
      </c>
      <c r="CB318">
        <v>0</v>
      </c>
      <c r="CD318" t="str" cm="1">
        <f t="array" aca="1" ref="CD318" ca="1">eConcatenar(A318:CB318,"|")</f>
        <v>lLLLBEN3HBBUvTq0|VSA2021-1040|3|DELUX |TABASCO|VILLAHERMOSA |VILLAHERMOSA |2021-05-07|35000|X|X|200|1|0|X|X|X|X|X|X|X|X|X|X|X|X|0|JESUS |TOSCA |THANIA YANET|0|X|X|AVENIDA INDEPENDENCIA |COLONIA MIGUEL HIDALGO |X|9935149876|CARLOS ANTONIO JESUS TOSCA |BENEFICIARIO 2 CARMITA TOSCA PIEDRA |0|AVENIDA INDEPENDENCIA |X|5|0|0|X|X|X|0|2400|32600|0|0|X|2021-12-18|2021-12-31|X|X|X|0|0|S35D6D3Y9KVTQ2|X|MUJER |0|35000|0|0|0|X|X|X|X|X|VILLAHERMOSA |X|0|0|0|0</v>
      </c>
    </row>
    <row r="319" spans="1:82" x14ac:dyDescent="0.25">
      <c r="A319" t="s">
        <v>2388</v>
      </c>
      <c r="B319" t="s">
        <v>2389</v>
      </c>
      <c r="C319">
        <v>3</v>
      </c>
      <c r="D319" t="s">
        <v>1945</v>
      </c>
      <c r="E319" t="s">
        <v>359</v>
      </c>
      <c r="F319" t="s">
        <v>360</v>
      </c>
      <c r="G319" t="s">
        <v>360</v>
      </c>
      <c r="H319" t="s">
        <v>2381</v>
      </c>
      <c r="I319">
        <v>35000</v>
      </c>
      <c r="J319" t="s">
        <v>1</v>
      </c>
      <c r="K319" t="s">
        <v>1</v>
      </c>
      <c r="L319">
        <v>200</v>
      </c>
      <c r="M319">
        <v>1</v>
      </c>
      <c r="N319">
        <v>0</v>
      </c>
      <c r="O319" t="s">
        <v>1</v>
      </c>
      <c r="P319" t="s">
        <v>1</v>
      </c>
      <c r="Q319" t="s">
        <v>1</v>
      </c>
      <c r="R319" t="s">
        <v>1</v>
      </c>
      <c r="S319" t="s">
        <v>1</v>
      </c>
      <c r="T319" t="s">
        <v>1</v>
      </c>
      <c r="U319" t="s">
        <v>1</v>
      </c>
      <c r="V319" t="s">
        <v>1</v>
      </c>
      <c r="W319" t="s">
        <v>1</v>
      </c>
      <c r="X319" t="s">
        <v>1</v>
      </c>
      <c r="Y319" t="s">
        <v>1</v>
      </c>
      <c r="Z319" t="s">
        <v>1</v>
      </c>
      <c r="AA319">
        <v>0</v>
      </c>
      <c r="AB319" t="s">
        <v>584</v>
      </c>
      <c r="AC319" t="s">
        <v>479</v>
      </c>
      <c r="AD319" t="s">
        <v>2103</v>
      </c>
      <c r="AE319">
        <v>0</v>
      </c>
      <c r="AF319" t="s">
        <v>1</v>
      </c>
      <c r="AG319" t="s">
        <v>1</v>
      </c>
      <c r="AH319" t="s">
        <v>2390</v>
      </c>
      <c r="AI319" t="s">
        <v>1951</v>
      </c>
      <c r="AJ319" t="s">
        <v>1</v>
      </c>
      <c r="AK319">
        <v>9933000631</v>
      </c>
      <c r="AL319" t="s">
        <v>2391</v>
      </c>
      <c r="AM319" t="s">
        <v>2392</v>
      </c>
      <c r="AN319">
        <v>0</v>
      </c>
      <c r="AO319" t="s">
        <v>2390</v>
      </c>
      <c r="AP319" t="s">
        <v>1</v>
      </c>
      <c r="AQ319">
        <v>4</v>
      </c>
      <c r="AR319">
        <v>0</v>
      </c>
      <c r="AS319">
        <v>0</v>
      </c>
      <c r="AT319" t="s">
        <v>1</v>
      </c>
      <c r="AU319" t="s">
        <v>1</v>
      </c>
      <c r="AV319" t="s">
        <v>1</v>
      </c>
      <c r="AW319">
        <v>0</v>
      </c>
      <c r="AX319">
        <v>2200</v>
      </c>
      <c r="AY319">
        <v>32800</v>
      </c>
      <c r="AZ319">
        <v>0</v>
      </c>
      <c r="BA319">
        <v>0</v>
      </c>
      <c r="BB319" t="s">
        <v>1</v>
      </c>
      <c r="BC319" t="s">
        <v>1954</v>
      </c>
      <c r="BD319" t="s">
        <v>147</v>
      </c>
      <c r="BE319" t="s">
        <v>1</v>
      </c>
      <c r="BF319" t="s">
        <v>1</v>
      </c>
      <c r="BG319" t="s">
        <v>1</v>
      </c>
      <c r="BH319">
        <v>0</v>
      </c>
      <c r="BI319">
        <v>0</v>
      </c>
      <c r="BJ319" t="s">
        <v>1930</v>
      </c>
      <c r="BK319" t="s">
        <v>1</v>
      </c>
      <c r="BL319" t="s">
        <v>131</v>
      </c>
      <c r="BM319">
        <v>0</v>
      </c>
      <c r="BN319">
        <v>35000</v>
      </c>
      <c r="BO319">
        <v>0</v>
      </c>
      <c r="BP319">
        <v>0</v>
      </c>
      <c r="BQ319">
        <v>0</v>
      </c>
      <c r="BR319" t="s">
        <v>1</v>
      </c>
      <c r="BS319" t="s">
        <v>1</v>
      </c>
      <c r="BT319" t="s">
        <v>1</v>
      </c>
      <c r="BU319" t="s">
        <v>1</v>
      </c>
      <c r="BV319" t="s">
        <v>1</v>
      </c>
      <c r="BW319" t="s">
        <v>360</v>
      </c>
      <c r="BX319" t="s">
        <v>1</v>
      </c>
      <c r="BY319">
        <v>0</v>
      </c>
      <c r="BZ319">
        <v>0</v>
      </c>
      <c r="CA319">
        <v>0</v>
      </c>
      <c r="CB319">
        <v>0</v>
      </c>
      <c r="CD319" t="str" cm="1">
        <f t="array" aca="1" ref="CD319" ca="1">eConcatenar(A319:CB319,"|")</f>
        <v>ctCzD9MKz3udR2a4|VSA2021-1041|3|DELUX |TABASCO|VILLAHERMOSA |VILLAHERMOSA |2021-05-07|35000|X|X|200|1|0|X|X|X|X|X|X|X|X|X|X|X|X|0|HERNANDEZ |SANCHEZ |ALVARO |0|X|X|CALLE DOS SIN NUMERO |COLONIA MIGUEL HIDALGO |X|9933000631|ANA PATRICIA ANCONA |BENEFICIARIO 2 ARTURO HERNANDEZ SANCHEZ |0|CALLE DOS SIN NUMERO |X|4|0|0|X|X|X|0|2200|32800|0|0|X|2021-12-17|2021-12-31|X|X|X|0|0|S35D6D3Y9KVTQ2|X|HOMBRE |0|35000|0|0|0|X|X|X|X|X|VILLAHERMOSA |X|0|0|0|0</v>
      </c>
    </row>
    <row r="320" spans="1:82" x14ac:dyDescent="0.25">
      <c r="A320" t="s">
        <v>2393</v>
      </c>
      <c r="B320" t="s">
        <v>2394</v>
      </c>
      <c r="C320">
        <v>3</v>
      </c>
      <c r="D320" t="s">
        <v>146</v>
      </c>
      <c r="E320" t="s">
        <v>359</v>
      </c>
      <c r="F320" t="s">
        <v>360</v>
      </c>
      <c r="G320" t="s">
        <v>360</v>
      </c>
      <c r="H320" t="s">
        <v>2395</v>
      </c>
      <c r="I320">
        <v>14800</v>
      </c>
      <c r="J320" t="s">
        <v>1</v>
      </c>
      <c r="K320" t="s">
        <v>1</v>
      </c>
      <c r="L320">
        <v>200</v>
      </c>
      <c r="M320">
        <v>1</v>
      </c>
      <c r="N320">
        <v>0</v>
      </c>
      <c r="O320" t="s">
        <v>1</v>
      </c>
      <c r="P320" t="s">
        <v>1</v>
      </c>
      <c r="Q320" t="s">
        <v>1</v>
      </c>
      <c r="R320" t="s">
        <v>1</v>
      </c>
      <c r="S320" t="s">
        <v>1</v>
      </c>
      <c r="T320" t="s">
        <v>1</v>
      </c>
      <c r="U320" t="s">
        <v>1</v>
      </c>
      <c r="V320" t="s">
        <v>1</v>
      </c>
      <c r="W320" t="s">
        <v>1</v>
      </c>
      <c r="X320" t="s">
        <v>1</v>
      </c>
      <c r="Y320" t="s">
        <v>1</v>
      </c>
      <c r="Z320" t="s">
        <v>1</v>
      </c>
      <c r="AA320">
        <v>0</v>
      </c>
      <c r="AB320" t="s">
        <v>575</v>
      </c>
      <c r="AC320" t="s">
        <v>455</v>
      </c>
      <c r="AD320" t="s">
        <v>2396</v>
      </c>
      <c r="AE320">
        <v>0</v>
      </c>
      <c r="AF320" t="s">
        <v>1</v>
      </c>
      <c r="AG320" t="s">
        <v>1</v>
      </c>
      <c r="AH320" t="s">
        <v>2366</v>
      </c>
      <c r="AI320" t="s">
        <v>1984</v>
      </c>
      <c r="AJ320" t="s">
        <v>1</v>
      </c>
      <c r="AK320">
        <v>9931261057</v>
      </c>
      <c r="AL320" t="s">
        <v>2397</v>
      </c>
      <c r="AM320" t="s">
        <v>2398</v>
      </c>
      <c r="AN320">
        <v>0</v>
      </c>
      <c r="AO320" t="s">
        <v>2366</v>
      </c>
      <c r="AP320" t="s">
        <v>1</v>
      </c>
      <c r="AQ320">
        <v>5</v>
      </c>
      <c r="AR320">
        <v>0</v>
      </c>
      <c r="AS320">
        <v>0</v>
      </c>
      <c r="AT320" t="s">
        <v>1</v>
      </c>
      <c r="AU320" t="s">
        <v>1</v>
      </c>
      <c r="AV320" t="s">
        <v>1</v>
      </c>
      <c r="AW320">
        <v>0</v>
      </c>
      <c r="AX320">
        <v>2200</v>
      </c>
      <c r="AY320">
        <v>12600</v>
      </c>
      <c r="AZ320">
        <v>0</v>
      </c>
      <c r="BA320">
        <v>0</v>
      </c>
      <c r="BB320" t="s">
        <v>1</v>
      </c>
      <c r="BC320" t="s">
        <v>2399</v>
      </c>
      <c r="BD320" t="s">
        <v>147</v>
      </c>
      <c r="BE320" t="s">
        <v>1</v>
      </c>
      <c r="BF320" t="s">
        <v>1</v>
      </c>
      <c r="BG320" t="s">
        <v>1</v>
      </c>
      <c r="BH320">
        <v>0</v>
      </c>
      <c r="BI320">
        <v>0</v>
      </c>
      <c r="BJ320" t="s">
        <v>1930</v>
      </c>
      <c r="BK320" t="s">
        <v>1</v>
      </c>
      <c r="BL320" t="s">
        <v>131</v>
      </c>
      <c r="BM320">
        <v>0</v>
      </c>
      <c r="BN320">
        <v>14800</v>
      </c>
      <c r="BO320">
        <v>0</v>
      </c>
      <c r="BP320">
        <v>0</v>
      </c>
      <c r="BQ320">
        <v>0</v>
      </c>
      <c r="BR320" t="s">
        <v>1</v>
      </c>
      <c r="BS320" t="s">
        <v>1</v>
      </c>
      <c r="BT320" t="s">
        <v>1</v>
      </c>
      <c r="BU320" t="s">
        <v>1</v>
      </c>
      <c r="BV320" t="s">
        <v>1</v>
      </c>
      <c r="BW320" t="s">
        <v>360</v>
      </c>
      <c r="BX320" t="s">
        <v>1</v>
      </c>
      <c r="BY320">
        <v>0</v>
      </c>
      <c r="BZ320">
        <v>0</v>
      </c>
      <c r="CA320">
        <v>0</v>
      </c>
      <c r="CB320">
        <v>0</v>
      </c>
      <c r="CD320" t="str" cm="1">
        <f t="array" aca="1" ref="CD320" ca="1">eConcatenar(A320:CB320,"|")</f>
        <v>9T03wRLo8Y0qss5l|VSA2021-1045|3|MEMORIAL |TABASCO|VILLAHERMOSA |VILLAHERMOSA |2021-06-07|14800|X|X|200|1|0|X|X|X|X|X|X|X|X|X|X|X|X|0|MORALES |CRUZ |PRUDENCIO |0|X|X|CALLE INDEPENDENCIA |COLONIA TAMULTE DE LAS BARRANCAS |X|9931261057|VICTOR MANUEL MORALES HERNADEZ |BENEFICIARIO 2 CRISTIAN MORALES HERNANDEZ |0|CALLE INDEPENDENCIA |X|5|0|0|X|X|X|0|2200|12600|0|0|X|2021-07-18|2021-12-31|X|X|X|0|0|S35D6D3Y9KVTQ2|X|HOMBRE |0|14800|0|0|0|X|X|X|X|X|VILLAHERMOSA |X|0|0|0|0</v>
      </c>
    </row>
    <row r="321" spans="1:82" x14ac:dyDescent="0.25">
      <c r="A321" t="s">
        <v>2400</v>
      </c>
      <c r="B321" t="s">
        <v>2401</v>
      </c>
      <c r="C321">
        <v>3</v>
      </c>
      <c r="D321" t="s">
        <v>146</v>
      </c>
      <c r="E321" t="s">
        <v>359</v>
      </c>
      <c r="F321" t="s">
        <v>360</v>
      </c>
      <c r="G321" t="s">
        <v>360</v>
      </c>
      <c r="H321" t="s">
        <v>882</v>
      </c>
      <c r="I321">
        <v>14800</v>
      </c>
      <c r="J321" t="s">
        <v>1</v>
      </c>
      <c r="K321" t="s">
        <v>1</v>
      </c>
      <c r="L321">
        <v>400</v>
      </c>
      <c r="M321">
        <v>2</v>
      </c>
      <c r="N321">
        <v>0</v>
      </c>
      <c r="O321" t="s">
        <v>1</v>
      </c>
      <c r="P321" t="s">
        <v>1</v>
      </c>
      <c r="Q321" t="s">
        <v>1</v>
      </c>
      <c r="R321" t="s">
        <v>1</v>
      </c>
      <c r="S321" t="s">
        <v>1</v>
      </c>
      <c r="T321" t="s">
        <v>1</v>
      </c>
      <c r="U321" t="s">
        <v>1</v>
      </c>
      <c r="V321" t="s">
        <v>1</v>
      </c>
      <c r="W321" t="s">
        <v>1</v>
      </c>
      <c r="X321" t="s">
        <v>1</v>
      </c>
      <c r="Y321" t="s">
        <v>1</v>
      </c>
      <c r="Z321" t="s">
        <v>1</v>
      </c>
      <c r="AA321">
        <v>0</v>
      </c>
      <c r="AB321" t="s">
        <v>1211</v>
      </c>
      <c r="AC321" t="s">
        <v>428</v>
      </c>
      <c r="AD321" t="s">
        <v>2402</v>
      </c>
      <c r="AE321">
        <v>0</v>
      </c>
      <c r="AF321" t="s">
        <v>1</v>
      </c>
      <c r="AG321" t="s">
        <v>1</v>
      </c>
      <c r="AH321" t="s">
        <v>2403</v>
      </c>
      <c r="AI321" t="s">
        <v>2080</v>
      </c>
      <c r="AJ321" t="s">
        <v>1</v>
      </c>
      <c r="AK321">
        <v>9931325486</v>
      </c>
      <c r="AL321" t="s">
        <v>2404</v>
      </c>
      <c r="AM321" t="s">
        <v>2405</v>
      </c>
      <c r="AN321">
        <v>0</v>
      </c>
      <c r="AO321" t="s">
        <v>2403</v>
      </c>
      <c r="AP321" t="s">
        <v>1</v>
      </c>
      <c r="AQ321">
        <v>4</v>
      </c>
      <c r="AR321">
        <v>0</v>
      </c>
      <c r="AS321">
        <v>0</v>
      </c>
      <c r="AT321" t="s">
        <v>1</v>
      </c>
      <c r="AU321" t="s">
        <v>1</v>
      </c>
      <c r="AV321" t="s">
        <v>1</v>
      </c>
      <c r="AW321">
        <v>0</v>
      </c>
      <c r="AX321">
        <v>1300</v>
      </c>
      <c r="AY321">
        <v>13500</v>
      </c>
      <c r="AZ321">
        <v>0</v>
      </c>
      <c r="BA321">
        <v>0</v>
      </c>
      <c r="BB321" t="s">
        <v>1</v>
      </c>
      <c r="BC321" t="s">
        <v>2144</v>
      </c>
      <c r="BD321" t="s">
        <v>1397</v>
      </c>
      <c r="BE321" t="s">
        <v>1</v>
      </c>
      <c r="BF321" t="s">
        <v>1</v>
      </c>
      <c r="BG321" t="s">
        <v>1</v>
      </c>
      <c r="BH321">
        <v>0</v>
      </c>
      <c r="BI321">
        <v>0</v>
      </c>
      <c r="BJ321" t="s">
        <v>1930</v>
      </c>
      <c r="BK321" t="s">
        <v>1</v>
      </c>
      <c r="BL321" t="s">
        <v>131</v>
      </c>
      <c r="BM321">
        <v>0</v>
      </c>
      <c r="BN321">
        <v>14800</v>
      </c>
      <c r="BO321">
        <v>0</v>
      </c>
      <c r="BP321">
        <v>0</v>
      </c>
      <c r="BQ321">
        <v>0</v>
      </c>
      <c r="BR321" t="s">
        <v>1</v>
      </c>
      <c r="BS321" t="s">
        <v>1</v>
      </c>
      <c r="BT321" t="s">
        <v>1</v>
      </c>
      <c r="BU321" t="s">
        <v>1</v>
      </c>
      <c r="BV321" t="s">
        <v>1</v>
      </c>
      <c r="BW321" t="s">
        <v>360</v>
      </c>
      <c r="BX321" t="s">
        <v>1</v>
      </c>
      <c r="BY321">
        <v>0</v>
      </c>
      <c r="BZ321">
        <v>0</v>
      </c>
      <c r="CA321">
        <v>0</v>
      </c>
      <c r="CB321">
        <v>0</v>
      </c>
      <c r="CD321" t="str" cm="1">
        <f t="array" aca="1" ref="CD321" ca="1">eConcatenar(A321:CB321,"|")</f>
        <v>kYEXtb4u3LXtfCzV|VSA2021-1382|3|MEMORIAL |TABASCO|VILLAHERMOSA |VILLAHERMOSA |2021-08-24|14800|X|X|400|2|0|X|X|X|X|X|X|X|X|X|X|X|X|0|DE LA CRUZ |GOMEZ |FRANKLIN MANUEL |0|X|X|CALLE FRANCISCO I MADERO |COLONIA ATASTA |X|9931325486|MANUEL ALBERTO DE LA CRUZ MOSCOSO |BENEFICIARIO 2 EVA MARIA DE LA CRUZ MOSCOSO |0|CALLE FRANCISCO I MADERO |X|4|0|0|X|X|X|0|1300|13500|0|0|X|2021-05-11|2022-05-01|X|X|X|0|0|S35D6D3Y9KVTQ2|X|HOMBRE |0|14800|0|0|0|X|X|X|X|X|VILLAHERMOSA |X|0|0|0|0</v>
      </c>
    </row>
    <row r="322" spans="1:82" x14ac:dyDescent="0.25">
      <c r="A322" t="s">
        <v>2406</v>
      </c>
      <c r="B322" t="s">
        <v>2407</v>
      </c>
      <c r="C322">
        <v>3</v>
      </c>
      <c r="D322" t="s">
        <v>2408</v>
      </c>
      <c r="E322" t="s">
        <v>359</v>
      </c>
      <c r="F322" t="s">
        <v>360</v>
      </c>
      <c r="G322" t="s">
        <v>360</v>
      </c>
      <c r="H322" t="s">
        <v>1325</v>
      </c>
      <c r="I322">
        <v>46000</v>
      </c>
      <c r="J322" t="s">
        <v>1</v>
      </c>
      <c r="K322" t="s">
        <v>1</v>
      </c>
      <c r="L322">
        <v>200</v>
      </c>
      <c r="M322">
        <v>1</v>
      </c>
      <c r="N322">
        <v>0</v>
      </c>
      <c r="O322" t="s">
        <v>1</v>
      </c>
      <c r="P322" t="s">
        <v>1</v>
      </c>
      <c r="Q322" t="s">
        <v>1</v>
      </c>
      <c r="R322" t="s">
        <v>1</v>
      </c>
      <c r="S322" t="s">
        <v>1</v>
      </c>
      <c r="T322" t="s">
        <v>1</v>
      </c>
      <c r="U322" t="s">
        <v>1</v>
      </c>
      <c r="V322" t="s">
        <v>1</v>
      </c>
      <c r="W322" t="s">
        <v>1</v>
      </c>
      <c r="X322" t="s">
        <v>1</v>
      </c>
      <c r="Y322" t="s">
        <v>1</v>
      </c>
      <c r="Z322" t="s">
        <v>1</v>
      </c>
      <c r="AA322">
        <v>0</v>
      </c>
      <c r="AB322" t="s">
        <v>2280</v>
      </c>
      <c r="AC322" t="s">
        <v>2409</v>
      </c>
      <c r="AD322" t="s">
        <v>2410</v>
      </c>
      <c r="AE322">
        <v>0</v>
      </c>
      <c r="AF322" t="s">
        <v>1</v>
      </c>
      <c r="AG322" t="s">
        <v>1</v>
      </c>
      <c r="AH322" t="s">
        <v>2411</v>
      </c>
      <c r="AI322" t="s">
        <v>2412</v>
      </c>
      <c r="AJ322" t="s">
        <v>1</v>
      </c>
      <c r="AK322">
        <v>931036362</v>
      </c>
      <c r="AL322" t="s">
        <v>2413</v>
      </c>
      <c r="AM322" t="s">
        <v>2414</v>
      </c>
      <c r="AN322">
        <v>0</v>
      </c>
      <c r="AO322" t="s">
        <v>2411</v>
      </c>
      <c r="AP322" t="s">
        <v>1</v>
      </c>
      <c r="AQ322">
        <v>4</v>
      </c>
      <c r="AR322">
        <v>0</v>
      </c>
      <c r="AS322">
        <v>0</v>
      </c>
      <c r="AT322" t="s">
        <v>1</v>
      </c>
      <c r="AU322" t="s">
        <v>1</v>
      </c>
      <c r="AV322" t="s">
        <v>1</v>
      </c>
      <c r="AW322">
        <v>0</v>
      </c>
      <c r="AX322">
        <v>900</v>
      </c>
      <c r="AY322">
        <v>45100</v>
      </c>
      <c r="AZ322">
        <v>0</v>
      </c>
      <c r="BA322">
        <v>0</v>
      </c>
      <c r="BB322" t="s">
        <v>1</v>
      </c>
      <c r="BC322" t="s">
        <v>1325</v>
      </c>
      <c r="BD322" t="s">
        <v>147</v>
      </c>
      <c r="BE322" t="s">
        <v>1</v>
      </c>
      <c r="BF322" t="s">
        <v>1</v>
      </c>
      <c r="BG322" t="s">
        <v>1</v>
      </c>
      <c r="BH322">
        <v>0</v>
      </c>
      <c r="BI322">
        <v>0</v>
      </c>
      <c r="BJ322" t="s">
        <v>1930</v>
      </c>
      <c r="BK322" t="s">
        <v>1</v>
      </c>
      <c r="BL322" t="s">
        <v>1931</v>
      </c>
      <c r="BM322">
        <v>0</v>
      </c>
      <c r="BN322">
        <v>46000</v>
      </c>
      <c r="BO322">
        <v>0</v>
      </c>
      <c r="BP322">
        <v>0</v>
      </c>
      <c r="BQ322">
        <v>0</v>
      </c>
      <c r="BR322" t="s">
        <v>1</v>
      </c>
      <c r="BS322" t="s">
        <v>1</v>
      </c>
      <c r="BT322" t="s">
        <v>1</v>
      </c>
      <c r="BU322" t="s">
        <v>1</v>
      </c>
      <c r="BV322" t="s">
        <v>1</v>
      </c>
      <c r="BW322" t="s">
        <v>360</v>
      </c>
      <c r="BX322" t="s">
        <v>1</v>
      </c>
      <c r="BY322">
        <v>0</v>
      </c>
      <c r="BZ322">
        <v>0</v>
      </c>
      <c r="CA322">
        <v>0</v>
      </c>
      <c r="CB322">
        <v>0</v>
      </c>
      <c r="CD322" t="str" cm="1">
        <f t="array" aca="1" ref="CD322" ca="1">eConcatenar(A322:CB322,"|")</f>
        <v>dmpmTr0GB95hxnHm|VSA2021-1408|3|ESPECIAL ANGELES |TABASCO|VILLAHERMOSA |VILLAHERMOSA |2021-08-28|46000|X|X|200|1|0|X|X|X|X|X|X|X|X|X|X|X|X|0|PRIEGO |NEGRIN |MARIA JESUS |0|X|X|CALLE CHOLULU SIN NUMERO |FRACCIONAMIENTO POMOCA |X|931036362|REGINO IGNACIO CHABLE PRIEGO |BENEFICIARIO 2 PLACIDO PRIEGO NEGRIN |0|CALLE CHOLULU SIN NUMERO |X|4|0|0|X|X|X|0|900|45100|0|0|X|2021-08-28|2021-12-31|X|X|X|0|0|S35D6D3Y9KVTQ2|X|MUJER |0|46000|0|0|0|X|X|X|X|X|VILLAHERMOSA |X|0|0|0|0</v>
      </c>
    </row>
    <row r="323" spans="1:82" x14ac:dyDescent="0.25">
      <c r="A323" t="s">
        <v>2415</v>
      </c>
      <c r="B323" t="s">
        <v>2416</v>
      </c>
      <c r="C323">
        <v>3</v>
      </c>
      <c r="D323" t="s">
        <v>146</v>
      </c>
      <c r="E323" t="s">
        <v>359</v>
      </c>
      <c r="F323" t="s">
        <v>360</v>
      </c>
      <c r="G323" t="s">
        <v>360</v>
      </c>
      <c r="H323" t="s">
        <v>1003</v>
      </c>
      <c r="I323">
        <v>14800</v>
      </c>
      <c r="J323" t="s">
        <v>1</v>
      </c>
      <c r="K323" t="s">
        <v>1</v>
      </c>
      <c r="L323">
        <v>200</v>
      </c>
      <c r="M323">
        <v>1</v>
      </c>
      <c r="N323">
        <v>0</v>
      </c>
      <c r="O323" t="s">
        <v>1</v>
      </c>
      <c r="P323" t="s">
        <v>1</v>
      </c>
      <c r="Q323" t="s">
        <v>1</v>
      </c>
      <c r="R323" t="s">
        <v>1</v>
      </c>
      <c r="S323" t="s">
        <v>1</v>
      </c>
      <c r="T323" t="s">
        <v>1</v>
      </c>
      <c r="U323" t="s">
        <v>1</v>
      </c>
      <c r="V323" t="s">
        <v>1</v>
      </c>
      <c r="W323" t="s">
        <v>1</v>
      </c>
      <c r="X323" t="s">
        <v>1</v>
      </c>
      <c r="Y323" t="s">
        <v>1</v>
      </c>
      <c r="Z323" t="s">
        <v>1</v>
      </c>
      <c r="AA323">
        <v>0</v>
      </c>
      <c r="AB323" t="s">
        <v>395</v>
      </c>
      <c r="AC323" t="s">
        <v>1385</v>
      </c>
      <c r="AD323" t="s">
        <v>1976</v>
      </c>
      <c r="AE323">
        <v>0</v>
      </c>
      <c r="AF323" t="s">
        <v>1</v>
      </c>
      <c r="AG323" t="s">
        <v>1</v>
      </c>
      <c r="AH323" t="s">
        <v>2417</v>
      </c>
      <c r="AI323" t="s">
        <v>2080</v>
      </c>
      <c r="AJ323" t="s">
        <v>1</v>
      </c>
      <c r="AK323">
        <v>9934072395</v>
      </c>
      <c r="AL323" t="s">
        <v>2418</v>
      </c>
      <c r="AM323" t="s">
        <v>2419</v>
      </c>
      <c r="AN323">
        <v>0</v>
      </c>
      <c r="AO323" t="s">
        <v>2417</v>
      </c>
      <c r="AP323" t="s">
        <v>1</v>
      </c>
      <c r="AQ323">
        <v>4</v>
      </c>
      <c r="AR323">
        <v>0</v>
      </c>
      <c r="AS323">
        <v>0</v>
      </c>
      <c r="AT323" t="s">
        <v>1</v>
      </c>
      <c r="AU323" t="s">
        <v>1</v>
      </c>
      <c r="AV323" t="s">
        <v>1</v>
      </c>
      <c r="AW323">
        <v>0</v>
      </c>
      <c r="AX323">
        <v>1650</v>
      </c>
      <c r="AY323">
        <v>13150</v>
      </c>
      <c r="AZ323">
        <v>0</v>
      </c>
      <c r="BA323">
        <v>0</v>
      </c>
      <c r="BB323" t="s">
        <v>1</v>
      </c>
      <c r="BC323" t="s">
        <v>1954</v>
      </c>
      <c r="BD323" t="s">
        <v>147</v>
      </c>
      <c r="BE323" t="s">
        <v>1</v>
      </c>
      <c r="BF323" t="s">
        <v>1</v>
      </c>
      <c r="BG323" t="s">
        <v>1</v>
      </c>
      <c r="BH323">
        <v>0</v>
      </c>
      <c r="BI323">
        <v>0</v>
      </c>
      <c r="BJ323" t="s">
        <v>1930</v>
      </c>
      <c r="BK323" t="s">
        <v>1</v>
      </c>
      <c r="BL323" t="s">
        <v>131</v>
      </c>
      <c r="BM323">
        <v>0</v>
      </c>
      <c r="BN323">
        <v>14800</v>
      </c>
      <c r="BO323">
        <v>0</v>
      </c>
      <c r="BP323">
        <v>0</v>
      </c>
      <c r="BQ323">
        <v>0</v>
      </c>
      <c r="BR323" t="s">
        <v>1</v>
      </c>
      <c r="BS323" t="s">
        <v>1</v>
      </c>
      <c r="BT323" t="s">
        <v>1</v>
      </c>
      <c r="BU323" t="s">
        <v>1</v>
      </c>
      <c r="BV323" t="s">
        <v>1</v>
      </c>
      <c r="BW323" t="s">
        <v>360</v>
      </c>
      <c r="BX323" t="s">
        <v>1</v>
      </c>
      <c r="BY323">
        <v>0</v>
      </c>
      <c r="BZ323">
        <v>0</v>
      </c>
      <c r="CA323">
        <v>0</v>
      </c>
      <c r="CB323">
        <v>0</v>
      </c>
      <c r="CD323" t="str" cm="1">
        <f t="array" aca="1" ref="CD323" ca="1">eConcatenar(A323:CB323,"|")</f>
        <v>M2ef3KjUIMvdjDVJ|VSA2021-1437|3|MEMORIAL |TABASCO|VILLAHERMOSA |VILLAHERMOSA |2021-01-09|14800|X|X|200|1|0|X|X|X|X|X|X|X|X|X|X|X|X|0|GARCIA |CADENA |MARTIN |0|X|X|CALLE TALISMAN |COLONIA ATASTA |X|9934072395|GLORIA VALIER ALVAREZ |BENEFICIARIO 2 JATZITY JUDITH GARCIA VALIER |0|CALLE TALISMAN |X|4|0|0|X|X|X|0|1650|13150|0|0|X|2021-12-17|2021-12-31|X|X|X|0|0|S35D6D3Y9KVTQ2|X|HOMBRE |0|14800|0|0|0|X|X|X|X|X|VILLAHERMOSA |X|0|0|0|0</v>
      </c>
    </row>
    <row r="324" spans="1:82" x14ac:dyDescent="0.25">
      <c r="A324" t="s">
        <v>2420</v>
      </c>
      <c r="B324" t="s">
        <v>2421</v>
      </c>
      <c r="C324">
        <v>3</v>
      </c>
      <c r="D324" t="s">
        <v>146</v>
      </c>
      <c r="E324" t="s">
        <v>359</v>
      </c>
      <c r="F324" t="s">
        <v>360</v>
      </c>
      <c r="G324" t="s">
        <v>360</v>
      </c>
      <c r="H324" t="s">
        <v>1242</v>
      </c>
      <c r="I324">
        <v>14800</v>
      </c>
      <c r="J324" t="s">
        <v>1</v>
      </c>
      <c r="K324" t="s">
        <v>1</v>
      </c>
      <c r="L324">
        <v>100</v>
      </c>
      <c r="M324">
        <v>0</v>
      </c>
      <c r="N324">
        <v>0</v>
      </c>
      <c r="O324" t="s">
        <v>1</v>
      </c>
      <c r="P324" t="s">
        <v>1</v>
      </c>
      <c r="Q324" t="s">
        <v>1</v>
      </c>
      <c r="R324" t="s">
        <v>1</v>
      </c>
      <c r="S324" t="s">
        <v>1</v>
      </c>
      <c r="T324" t="s">
        <v>1</v>
      </c>
      <c r="U324" t="s">
        <v>1</v>
      </c>
      <c r="V324" t="s">
        <v>1</v>
      </c>
      <c r="W324" t="s">
        <v>1</v>
      </c>
      <c r="X324" t="s">
        <v>1</v>
      </c>
      <c r="Y324" t="s">
        <v>1</v>
      </c>
      <c r="Z324" t="s">
        <v>1</v>
      </c>
      <c r="AA324">
        <v>0</v>
      </c>
      <c r="AB324" t="s">
        <v>2422</v>
      </c>
      <c r="AC324" t="s">
        <v>584</v>
      </c>
      <c r="AD324" t="s">
        <v>2423</v>
      </c>
      <c r="AE324">
        <v>0</v>
      </c>
      <c r="AF324" t="s">
        <v>1</v>
      </c>
      <c r="AG324" t="s">
        <v>1</v>
      </c>
      <c r="AH324" t="s">
        <v>2424</v>
      </c>
      <c r="AI324" t="s">
        <v>2063</v>
      </c>
      <c r="AJ324" t="s">
        <v>1</v>
      </c>
      <c r="AK324">
        <v>9933000900</v>
      </c>
      <c r="AL324" t="s">
        <v>2425</v>
      </c>
      <c r="AM324" t="s">
        <v>2426</v>
      </c>
      <c r="AN324">
        <v>0</v>
      </c>
      <c r="AO324" t="s">
        <v>2424</v>
      </c>
      <c r="AP324" t="s">
        <v>1</v>
      </c>
      <c r="AQ324">
        <v>4</v>
      </c>
      <c r="AR324">
        <v>0</v>
      </c>
      <c r="AS324">
        <v>0</v>
      </c>
      <c r="AT324" t="s">
        <v>1</v>
      </c>
      <c r="AU324" t="s">
        <v>1</v>
      </c>
      <c r="AV324" t="s">
        <v>1</v>
      </c>
      <c r="AW324">
        <v>0</v>
      </c>
      <c r="AX324">
        <v>100</v>
      </c>
      <c r="AY324">
        <v>14700</v>
      </c>
      <c r="AZ324">
        <v>0</v>
      </c>
      <c r="BA324">
        <v>0</v>
      </c>
      <c r="BB324" t="s">
        <v>1</v>
      </c>
      <c r="BC324" t="s">
        <v>2427</v>
      </c>
      <c r="BD324" t="s">
        <v>147</v>
      </c>
      <c r="BE324" t="s">
        <v>1</v>
      </c>
      <c r="BF324" t="s">
        <v>1</v>
      </c>
      <c r="BG324" t="s">
        <v>1</v>
      </c>
      <c r="BH324">
        <v>0</v>
      </c>
      <c r="BI324">
        <v>0</v>
      </c>
      <c r="BJ324" t="s">
        <v>1930</v>
      </c>
      <c r="BK324" t="s">
        <v>1</v>
      </c>
      <c r="BL324" t="s">
        <v>131</v>
      </c>
      <c r="BM324">
        <v>0</v>
      </c>
      <c r="BN324">
        <v>14800</v>
      </c>
      <c r="BO324">
        <v>0</v>
      </c>
      <c r="BP324">
        <v>0</v>
      </c>
      <c r="BQ324">
        <v>0</v>
      </c>
      <c r="BR324" t="s">
        <v>1</v>
      </c>
      <c r="BS324" t="s">
        <v>1</v>
      </c>
      <c r="BT324" t="s">
        <v>1</v>
      </c>
      <c r="BU324" t="s">
        <v>1</v>
      </c>
      <c r="BV324" t="s">
        <v>1</v>
      </c>
      <c r="BW324" t="s">
        <v>360</v>
      </c>
      <c r="BX324" t="s">
        <v>1</v>
      </c>
      <c r="BY324">
        <v>0</v>
      </c>
      <c r="BZ324">
        <v>0</v>
      </c>
      <c r="CA324">
        <v>0</v>
      </c>
      <c r="CB324">
        <v>0</v>
      </c>
      <c r="CD324" t="str" cm="1">
        <f t="array" aca="1" ref="CD324" ca="1">eConcatenar(A324:CB324,"|")</f>
        <v>W2iwT2TplE0PRoAJ|VSA2021-1490|3|MEMORIAL |TABASCO|VILLAHERMOSA |VILLAHERMOSA |2021-08-09|14800|X|X|100|0|0|X|X|X|X|X|X|X|X|X|X|X|X|0|VARGAS |HERNANDEZ |ALAN EPIGMENIO |0|X|X|CALLE ASTROLOGOS |COLONIA GAVIOTAS SUR |X|9933000900|OLIVIUA GUADALUPE HERNADEZ |BENEFICIARIO 2 ALAN GUADALUPE |0|CALLE ASTROLOGOS |X|4|0|0|X|X|X|0|100|14700|0|0|X|2021-06-09|2021-12-31|X|X|X|0|0|S35D6D3Y9KVTQ2|X|HOMBRE |0|14800|0|0|0|X|X|X|X|X|VILLAHERMOSA |X|0|0|0|0</v>
      </c>
    </row>
    <row r="325" spans="1:82" x14ac:dyDescent="0.25">
      <c r="A325" t="s">
        <v>2428</v>
      </c>
      <c r="B325" t="s">
        <v>2429</v>
      </c>
      <c r="C325">
        <v>3</v>
      </c>
      <c r="D325" t="s">
        <v>121</v>
      </c>
      <c r="E325" t="s">
        <v>359</v>
      </c>
      <c r="F325" t="s">
        <v>360</v>
      </c>
      <c r="G325" t="s">
        <v>360</v>
      </c>
      <c r="H325" t="s">
        <v>2430</v>
      </c>
      <c r="I325">
        <v>12900</v>
      </c>
      <c r="J325" t="s">
        <v>1</v>
      </c>
      <c r="K325" t="s">
        <v>1</v>
      </c>
      <c r="L325">
        <v>100</v>
      </c>
      <c r="M325">
        <v>0</v>
      </c>
      <c r="N325">
        <v>0</v>
      </c>
      <c r="O325" t="s">
        <v>1</v>
      </c>
      <c r="P325" t="s">
        <v>1</v>
      </c>
      <c r="Q325" t="s">
        <v>1</v>
      </c>
      <c r="R325" t="s">
        <v>1</v>
      </c>
      <c r="S325" t="s">
        <v>1</v>
      </c>
      <c r="T325" t="s">
        <v>1</v>
      </c>
      <c r="U325" t="s">
        <v>1</v>
      </c>
      <c r="V325" t="s">
        <v>1</v>
      </c>
      <c r="W325" t="s">
        <v>1</v>
      </c>
      <c r="X325" t="s">
        <v>1</v>
      </c>
      <c r="Y325" t="s">
        <v>1</v>
      </c>
      <c r="Z325" t="s">
        <v>1</v>
      </c>
      <c r="AA325">
        <v>0</v>
      </c>
      <c r="AB325" t="s">
        <v>191</v>
      </c>
      <c r="AC325" t="s">
        <v>455</v>
      </c>
      <c r="AD325" t="s">
        <v>2431</v>
      </c>
      <c r="AE325">
        <v>0</v>
      </c>
      <c r="AF325" t="s">
        <v>1</v>
      </c>
      <c r="AG325" t="s">
        <v>1</v>
      </c>
      <c r="AH325" t="s">
        <v>2432</v>
      </c>
      <c r="AI325" t="s">
        <v>2096</v>
      </c>
      <c r="AJ325" t="s">
        <v>1</v>
      </c>
      <c r="AK325">
        <v>9934559472</v>
      </c>
      <c r="AL325" t="s">
        <v>2433</v>
      </c>
      <c r="AM325" t="s">
        <v>2434</v>
      </c>
      <c r="AN325">
        <v>0</v>
      </c>
      <c r="AO325" t="s">
        <v>2432</v>
      </c>
      <c r="AP325" t="s">
        <v>1</v>
      </c>
      <c r="AQ325">
        <v>4</v>
      </c>
      <c r="AR325">
        <v>0</v>
      </c>
      <c r="AS325">
        <v>0</v>
      </c>
      <c r="AT325" t="s">
        <v>1</v>
      </c>
      <c r="AU325" t="s">
        <v>1</v>
      </c>
      <c r="AV325" t="s">
        <v>1</v>
      </c>
      <c r="AW325">
        <v>0</v>
      </c>
      <c r="AX325">
        <v>5500</v>
      </c>
      <c r="AY325">
        <v>7400</v>
      </c>
      <c r="AZ325">
        <v>0</v>
      </c>
      <c r="BA325">
        <v>0</v>
      </c>
      <c r="BB325" t="s">
        <v>1</v>
      </c>
      <c r="BC325" t="s">
        <v>2233</v>
      </c>
      <c r="BD325" t="s">
        <v>147</v>
      </c>
      <c r="BE325" t="s">
        <v>1</v>
      </c>
      <c r="BF325" t="s">
        <v>1</v>
      </c>
      <c r="BG325" t="s">
        <v>1</v>
      </c>
      <c r="BH325">
        <v>0</v>
      </c>
      <c r="BI325">
        <v>0</v>
      </c>
      <c r="BJ325" t="s">
        <v>1930</v>
      </c>
      <c r="BK325" t="s">
        <v>1</v>
      </c>
      <c r="BL325" t="s">
        <v>131</v>
      </c>
      <c r="BM325">
        <v>0</v>
      </c>
      <c r="BN325">
        <v>12900</v>
      </c>
      <c r="BO325">
        <v>0</v>
      </c>
      <c r="BP325">
        <v>0</v>
      </c>
      <c r="BQ325">
        <v>0</v>
      </c>
      <c r="BR325" t="s">
        <v>1</v>
      </c>
      <c r="BS325" t="s">
        <v>1</v>
      </c>
      <c r="BT325" t="s">
        <v>1</v>
      </c>
      <c r="BU325" t="s">
        <v>1</v>
      </c>
      <c r="BV325" t="s">
        <v>1</v>
      </c>
      <c r="BW325" t="s">
        <v>360</v>
      </c>
      <c r="BX325" t="s">
        <v>1</v>
      </c>
      <c r="BY325">
        <v>0</v>
      </c>
      <c r="BZ325">
        <v>0</v>
      </c>
      <c r="CA325">
        <v>0</v>
      </c>
      <c r="CB325">
        <v>0</v>
      </c>
      <c r="CD325" t="str" cm="1">
        <f t="array" aca="1" ref="CD325" ca="1">eConcatenar(A325:CB325,"|")</f>
        <v>V0rAvQYGpg1qq652|VSA2021-0440|3|IMPERIAL DE LUJO |TABASCO|VILLAHERMOSA |VILLAHERMOSA |2021-02-27|12900|X|X|100|0|0|X|X|X|X|X|X|X|X|X|X|X|X|0|MARTINEZ |CRUZ |ULISES |0|X|X|CERRADA FLAMINGOS |COLONIA JOSE MARIA PINO SUAREZ |X|9934559472|MARIA RODRIGUEZ CRUZ |BENEFICIARIO 2 GABRIEL SANTIAGO MARTINEZ RODRIGUEZ|0|CERRADA FLAMINGOS |X|4|0|0|X|X|X|0|5500|7400|0|0|X|2021-10-12|2021-12-31|X|X|X|0|0|S35D6D3Y9KVTQ2|X|HOMBRE |0|12900|0|0|0|X|X|X|X|X|VILLAHERMOSA |X|0|0|0|0</v>
      </c>
    </row>
    <row r="326" spans="1:82" x14ac:dyDescent="0.25">
      <c r="A326" t="s">
        <v>2435</v>
      </c>
      <c r="B326" t="s">
        <v>2436</v>
      </c>
      <c r="C326">
        <v>3</v>
      </c>
      <c r="D326" t="s">
        <v>121</v>
      </c>
      <c r="E326" t="s">
        <v>359</v>
      </c>
      <c r="F326" t="s">
        <v>360</v>
      </c>
      <c r="G326" t="s">
        <v>360</v>
      </c>
      <c r="H326" t="s">
        <v>2437</v>
      </c>
      <c r="I326">
        <v>12900</v>
      </c>
      <c r="J326" t="s">
        <v>1</v>
      </c>
      <c r="K326" t="s">
        <v>1</v>
      </c>
      <c r="L326">
        <v>100</v>
      </c>
      <c r="M326">
        <v>0</v>
      </c>
      <c r="N326">
        <v>0</v>
      </c>
      <c r="O326" t="s">
        <v>1</v>
      </c>
      <c r="P326" t="s">
        <v>1</v>
      </c>
      <c r="Q326" t="s">
        <v>1</v>
      </c>
      <c r="R326" t="s">
        <v>1</v>
      </c>
      <c r="S326" t="s">
        <v>1</v>
      </c>
      <c r="T326" t="s">
        <v>1</v>
      </c>
      <c r="U326" t="s">
        <v>1</v>
      </c>
      <c r="V326" t="s">
        <v>1</v>
      </c>
      <c r="W326" t="s">
        <v>1</v>
      </c>
      <c r="X326" t="s">
        <v>1</v>
      </c>
      <c r="Y326" t="s">
        <v>1</v>
      </c>
      <c r="Z326" t="s">
        <v>1</v>
      </c>
      <c r="AA326">
        <v>0</v>
      </c>
      <c r="AB326" t="s">
        <v>407</v>
      </c>
      <c r="AC326" t="s">
        <v>2323</v>
      </c>
      <c r="AD326" t="s">
        <v>2438</v>
      </c>
      <c r="AE326">
        <v>0</v>
      </c>
      <c r="AF326" t="s">
        <v>1</v>
      </c>
      <c r="AG326" t="s">
        <v>1</v>
      </c>
      <c r="AH326" t="s">
        <v>812</v>
      </c>
      <c r="AI326" t="s">
        <v>2439</v>
      </c>
      <c r="AJ326" t="s">
        <v>1</v>
      </c>
      <c r="AK326">
        <v>9931798662</v>
      </c>
      <c r="AL326" t="s">
        <v>2440</v>
      </c>
      <c r="AM326" t="s">
        <v>2441</v>
      </c>
      <c r="AN326">
        <v>0</v>
      </c>
      <c r="AO326" t="s">
        <v>812</v>
      </c>
      <c r="AP326" t="s">
        <v>1</v>
      </c>
      <c r="AQ326">
        <v>4</v>
      </c>
      <c r="AR326">
        <v>0</v>
      </c>
      <c r="AS326">
        <v>0</v>
      </c>
      <c r="AT326" t="s">
        <v>1</v>
      </c>
      <c r="AU326" t="s">
        <v>1</v>
      </c>
      <c r="AV326" t="s">
        <v>1</v>
      </c>
      <c r="AW326">
        <v>0</v>
      </c>
      <c r="AX326">
        <v>4200</v>
      </c>
      <c r="AY326">
        <v>8700</v>
      </c>
      <c r="AZ326">
        <v>0</v>
      </c>
      <c r="BA326">
        <v>0</v>
      </c>
      <c r="BB326" t="s">
        <v>1</v>
      </c>
      <c r="BC326" t="s">
        <v>312</v>
      </c>
      <c r="BD326" t="s">
        <v>147</v>
      </c>
      <c r="BE326" t="s">
        <v>1</v>
      </c>
      <c r="BF326" t="s">
        <v>1</v>
      </c>
      <c r="BG326" t="s">
        <v>1</v>
      </c>
      <c r="BH326">
        <v>0</v>
      </c>
      <c r="BI326">
        <v>0</v>
      </c>
      <c r="BJ326" t="s">
        <v>1930</v>
      </c>
      <c r="BK326" t="s">
        <v>1</v>
      </c>
      <c r="BL326" t="s">
        <v>1931</v>
      </c>
      <c r="BM326">
        <v>0</v>
      </c>
      <c r="BN326">
        <v>12900</v>
      </c>
      <c r="BO326">
        <v>0</v>
      </c>
      <c r="BP326">
        <v>0</v>
      </c>
      <c r="BQ326">
        <v>0</v>
      </c>
      <c r="BR326" t="s">
        <v>1</v>
      </c>
      <c r="BS326" t="s">
        <v>1</v>
      </c>
      <c r="BT326" t="s">
        <v>1</v>
      </c>
      <c r="BU326" t="s">
        <v>1</v>
      </c>
      <c r="BV326" t="s">
        <v>1</v>
      </c>
      <c r="BW326" t="s">
        <v>360</v>
      </c>
      <c r="BX326" t="s">
        <v>1</v>
      </c>
      <c r="BY326">
        <v>0</v>
      </c>
      <c r="BZ326">
        <v>0</v>
      </c>
      <c r="CA326">
        <v>0</v>
      </c>
      <c r="CB326">
        <v>0</v>
      </c>
      <c r="CD326" t="str" cm="1">
        <f t="array" aca="1" ref="CD326" ca="1">eConcatenar(A326:CB326,"|")</f>
        <v>w18vEJDORhsvPK3T|VSA2021-0431|3|IMPERIAL DE LUJO |TABASCO|VILLAHERMOSA |VILLAHERMOSA |2021-02-26|12900|X|X|100|0|0|X|X|X|X|X|X|X|X|X|X|X|X|0|LOPEZ |GALLEGOS |ELMA |0|X|X|CALLE PRINCIPAL |COLONIA LA PALMA |X|9931798662|CARLOS ALBERTO ACUÃ‘A |BENEFICIARIO 2 ANA CECILIA LOPEZ ACUÃ‘A |0|CALLE PRINCIPAL |X|4|0|0|X|X|X|0|4200|8700|0|0|X|2021-12-24|2021-12-31|X|X|X|0|0|S35D6D3Y9KVTQ2|X|MUJER |0|12900|0|0|0|X|X|X|X|X|VILLAHERMOSA |X|0|0|0|0</v>
      </c>
    </row>
    <row r="327" spans="1:82" x14ac:dyDescent="0.25">
      <c r="A327" t="s">
        <v>2442</v>
      </c>
      <c r="B327" t="s">
        <v>2443</v>
      </c>
      <c r="C327">
        <v>3</v>
      </c>
      <c r="D327" t="s">
        <v>121</v>
      </c>
      <c r="E327" t="s">
        <v>359</v>
      </c>
      <c r="F327" t="s">
        <v>360</v>
      </c>
      <c r="G327" t="s">
        <v>360</v>
      </c>
      <c r="H327" t="s">
        <v>2444</v>
      </c>
      <c r="I327">
        <v>12900</v>
      </c>
      <c r="J327" t="s">
        <v>1</v>
      </c>
      <c r="K327" t="s">
        <v>1</v>
      </c>
      <c r="L327">
        <v>100</v>
      </c>
      <c r="M327">
        <v>0</v>
      </c>
      <c r="N327">
        <v>0</v>
      </c>
      <c r="O327" t="s">
        <v>1</v>
      </c>
      <c r="P327" t="s">
        <v>1</v>
      </c>
      <c r="Q327" t="s">
        <v>1</v>
      </c>
      <c r="R327" t="s">
        <v>1</v>
      </c>
      <c r="S327" t="s">
        <v>1</v>
      </c>
      <c r="T327" t="s">
        <v>1</v>
      </c>
      <c r="U327" t="s">
        <v>1</v>
      </c>
      <c r="V327" t="s">
        <v>1</v>
      </c>
      <c r="W327" t="s">
        <v>1</v>
      </c>
      <c r="X327" t="s">
        <v>1</v>
      </c>
      <c r="Y327" t="s">
        <v>1</v>
      </c>
      <c r="Z327" t="s">
        <v>1</v>
      </c>
      <c r="AA327">
        <v>0</v>
      </c>
      <c r="AB327" t="s">
        <v>584</v>
      </c>
      <c r="AC327" t="s">
        <v>395</v>
      </c>
      <c r="AD327" t="s">
        <v>2445</v>
      </c>
      <c r="AE327">
        <v>0</v>
      </c>
      <c r="AF327" t="s">
        <v>1</v>
      </c>
      <c r="AG327" t="s">
        <v>1</v>
      </c>
      <c r="AH327" t="s">
        <v>1983</v>
      </c>
      <c r="AI327" t="s">
        <v>1984</v>
      </c>
      <c r="AJ327" t="s">
        <v>1</v>
      </c>
      <c r="AK327">
        <v>9932004651</v>
      </c>
      <c r="AL327" t="s">
        <v>2446</v>
      </c>
      <c r="AM327" t="s">
        <v>2447</v>
      </c>
      <c r="AN327">
        <v>0</v>
      </c>
      <c r="AO327" t="s">
        <v>1983</v>
      </c>
      <c r="AP327" t="s">
        <v>1</v>
      </c>
      <c r="AQ327">
        <v>4</v>
      </c>
      <c r="AR327">
        <v>0</v>
      </c>
      <c r="AS327">
        <v>0</v>
      </c>
      <c r="AT327" t="s">
        <v>1</v>
      </c>
      <c r="AU327" t="s">
        <v>1</v>
      </c>
      <c r="AV327" t="s">
        <v>1</v>
      </c>
      <c r="AW327">
        <v>0</v>
      </c>
      <c r="AX327">
        <v>1700</v>
      </c>
      <c r="AY327">
        <v>11200</v>
      </c>
      <c r="AZ327">
        <v>0</v>
      </c>
      <c r="BA327">
        <v>0</v>
      </c>
      <c r="BB327" t="s">
        <v>1</v>
      </c>
      <c r="BC327" t="s">
        <v>312</v>
      </c>
      <c r="BD327" t="s">
        <v>147</v>
      </c>
      <c r="BE327" t="s">
        <v>1</v>
      </c>
      <c r="BF327" t="s">
        <v>1</v>
      </c>
      <c r="BG327" t="s">
        <v>1</v>
      </c>
      <c r="BH327">
        <v>0</v>
      </c>
      <c r="BI327">
        <v>0</v>
      </c>
      <c r="BJ327" t="s">
        <v>1930</v>
      </c>
      <c r="BK327" t="s">
        <v>1</v>
      </c>
      <c r="BL327" t="s">
        <v>1931</v>
      </c>
      <c r="BM327">
        <v>0</v>
      </c>
      <c r="BN327">
        <v>12900</v>
      </c>
      <c r="BO327">
        <v>0</v>
      </c>
      <c r="BP327">
        <v>0</v>
      </c>
      <c r="BQ327">
        <v>0</v>
      </c>
      <c r="BR327" t="s">
        <v>1</v>
      </c>
      <c r="BS327" t="s">
        <v>1</v>
      </c>
      <c r="BT327" t="s">
        <v>1</v>
      </c>
      <c r="BU327" t="s">
        <v>1</v>
      </c>
      <c r="BV327" t="s">
        <v>1</v>
      </c>
      <c r="BW327" t="s">
        <v>360</v>
      </c>
      <c r="BX327" t="s">
        <v>1</v>
      </c>
      <c r="BY327">
        <v>0</v>
      </c>
      <c r="BZ327">
        <v>0</v>
      </c>
      <c r="CA327">
        <v>0</v>
      </c>
      <c r="CB327">
        <v>0</v>
      </c>
      <c r="CD327" t="str" cm="1">
        <f t="array" aca="1" ref="CD327" ca="1">eConcatenar(A327:CB327,"|")</f>
        <v>EoutqPUFGIlb18ow|VSA2021-0277|3|IMPERIAL DE LUJO |TABASCO|VILLAHERMOSA |VILLAHERMOSA |2021-09-02|12900|X|X|100|0|0|X|X|X|X|X|X|X|X|X|X|X|X|0|HERNANDEZ |GARCIA |MARTHA DEL CARMEN |0|X|X|CALLE ABRAHAM BANDALA |COLONIA TAMULTE DE LAS BARRANCAS |X|9932004651|VERONICA JIMENEZ HERNANDEZ |BENEFICIARIO 2 EVELIO JIMENENZ HERNANDEZ |0|CALLE ABRAHAM BANDALA |X|4|0|0|X|X|X|0|1700|11200|0|0|X|2021-12-24|2021-12-31|X|X|X|0|0|S35D6D3Y9KVTQ2|X|MUJER |0|12900|0|0|0|X|X|X|X|X|VILLAHERMOSA |X|0|0|0|0</v>
      </c>
    </row>
    <row r="328" spans="1:82" x14ac:dyDescent="0.25">
      <c r="A328" t="s">
        <v>2448</v>
      </c>
      <c r="B328" t="s">
        <v>2449</v>
      </c>
      <c r="C328">
        <v>3</v>
      </c>
      <c r="D328" t="s">
        <v>121</v>
      </c>
      <c r="E328" t="s">
        <v>359</v>
      </c>
      <c r="F328" t="s">
        <v>360</v>
      </c>
      <c r="G328" t="s">
        <v>360</v>
      </c>
      <c r="H328" t="s">
        <v>2437</v>
      </c>
      <c r="I328">
        <v>12900</v>
      </c>
      <c r="J328" t="s">
        <v>1</v>
      </c>
      <c r="K328" t="s">
        <v>1</v>
      </c>
      <c r="L328">
        <v>400</v>
      </c>
      <c r="M328">
        <v>2</v>
      </c>
      <c r="N328">
        <v>0</v>
      </c>
      <c r="O328" t="s">
        <v>1</v>
      </c>
      <c r="P328" t="s">
        <v>1</v>
      </c>
      <c r="Q328" t="s">
        <v>1</v>
      </c>
      <c r="R328" t="s">
        <v>1</v>
      </c>
      <c r="S328" t="s">
        <v>1</v>
      </c>
      <c r="T328" t="s">
        <v>1</v>
      </c>
      <c r="U328" t="s">
        <v>1</v>
      </c>
      <c r="V328" t="s">
        <v>1</v>
      </c>
      <c r="W328" t="s">
        <v>1</v>
      </c>
      <c r="X328" t="s">
        <v>1</v>
      </c>
      <c r="Y328" t="s">
        <v>1</v>
      </c>
      <c r="Z328" t="s">
        <v>1</v>
      </c>
      <c r="AA328">
        <v>0</v>
      </c>
      <c r="AB328" t="s">
        <v>485</v>
      </c>
      <c r="AC328" t="s">
        <v>2450</v>
      </c>
      <c r="AD328" t="s">
        <v>2451</v>
      </c>
      <c r="AE328">
        <v>0</v>
      </c>
      <c r="AF328" t="s">
        <v>1</v>
      </c>
      <c r="AG328" t="s">
        <v>1</v>
      </c>
      <c r="AH328" t="s">
        <v>2452</v>
      </c>
      <c r="AI328" t="s">
        <v>2412</v>
      </c>
      <c r="AJ328" t="s">
        <v>1</v>
      </c>
      <c r="AK328">
        <v>9935142304</v>
      </c>
      <c r="AL328" t="s">
        <v>2453</v>
      </c>
      <c r="AM328" t="s">
        <v>2454</v>
      </c>
      <c r="AN328">
        <v>0</v>
      </c>
      <c r="AO328" t="s">
        <v>2452</v>
      </c>
      <c r="AP328" t="s">
        <v>1</v>
      </c>
      <c r="AQ328">
        <v>4</v>
      </c>
      <c r="AR328">
        <v>0</v>
      </c>
      <c r="AS328">
        <v>0</v>
      </c>
      <c r="AT328" t="s">
        <v>1</v>
      </c>
      <c r="AU328" t="s">
        <v>1</v>
      </c>
      <c r="AV328" t="s">
        <v>1</v>
      </c>
      <c r="AW328">
        <v>0</v>
      </c>
      <c r="AX328">
        <v>3000</v>
      </c>
      <c r="AY328">
        <v>9900</v>
      </c>
      <c r="AZ328">
        <v>0</v>
      </c>
      <c r="BA328">
        <v>0</v>
      </c>
      <c r="BB328" t="s">
        <v>1</v>
      </c>
      <c r="BC328" t="s">
        <v>729</v>
      </c>
      <c r="BD328" t="s">
        <v>1397</v>
      </c>
      <c r="BE328" t="s">
        <v>1</v>
      </c>
      <c r="BF328" t="s">
        <v>1</v>
      </c>
      <c r="BG328" t="s">
        <v>1</v>
      </c>
      <c r="BH328">
        <v>0</v>
      </c>
      <c r="BI328">
        <v>0</v>
      </c>
      <c r="BJ328" t="s">
        <v>1930</v>
      </c>
      <c r="BK328" t="s">
        <v>1</v>
      </c>
      <c r="BL328" t="s">
        <v>1931</v>
      </c>
      <c r="BM328">
        <v>0</v>
      </c>
      <c r="BN328">
        <v>12900</v>
      </c>
      <c r="BO328">
        <v>0</v>
      </c>
      <c r="BP328">
        <v>0</v>
      </c>
      <c r="BQ328">
        <v>0</v>
      </c>
      <c r="BR328" t="s">
        <v>1</v>
      </c>
      <c r="BS328" t="s">
        <v>1</v>
      </c>
      <c r="BT328" t="s">
        <v>1</v>
      </c>
      <c r="BU328" t="s">
        <v>1</v>
      </c>
      <c r="BV328" t="s">
        <v>1</v>
      </c>
      <c r="BW328" t="s">
        <v>360</v>
      </c>
      <c r="BX328" t="s">
        <v>1</v>
      </c>
      <c r="BY328">
        <v>0</v>
      </c>
      <c r="BZ328">
        <v>0</v>
      </c>
      <c r="CA328">
        <v>0</v>
      </c>
      <c r="CB328">
        <v>0</v>
      </c>
      <c r="CD328" t="str" cm="1">
        <f t="array" aca="1" ref="CD328" ca="1">eConcatenar(A328:CB328,"|")</f>
        <v>nSr7TN0kqqZDqewm|VSA2021-0429|3|IMPERIAL DE LUJO |TABASCO|VILLAHERMOSA |VILLAHERMOSA |2021-02-26|12900|X|X|400|2|0|X|X|X|X|X|X|X|X|X|X|X|X|0|CALCANEO |OROPEZA |GRACIELA |0|X|X|AVENIDA VALLE REAL|FRACCIONAMIENTO POMOCA |X|9935142304|ANA LUISA PEREZ CALCANEO |BENEFICIARIO 2 CARLOS ANDRES PEREZ CALCANEO |0|AVENIDA VALLE REAL|X|4|0|0|X|X|X|0|3000|9900|0|0|X|2021-09-12|2022-05-01|X|X|X|0|0|S35D6D3Y9KVTQ2|X|MUJER |0|12900|0|0|0|X|X|X|X|X|VILLAHERMOSA |X|0|0|0|0</v>
      </c>
    </row>
    <row r="329" spans="1:82" x14ac:dyDescent="0.25">
      <c r="A329" t="s">
        <v>2455</v>
      </c>
      <c r="B329" t="s">
        <v>2456</v>
      </c>
      <c r="C329">
        <v>3</v>
      </c>
      <c r="D329" t="s">
        <v>121</v>
      </c>
      <c r="E329" t="s">
        <v>359</v>
      </c>
      <c r="F329" t="s">
        <v>360</v>
      </c>
      <c r="G329" t="s">
        <v>360</v>
      </c>
      <c r="H329" t="s">
        <v>2430</v>
      </c>
      <c r="I329">
        <v>12900</v>
      </c>
      <c r="J329" t="s">
        <v>1</v>
      </c>
      <c r="K329" t="s">
        <v>1</v>
      </c>
      <c r="L329">
        <v>200</v>
      </c>
      <c r="M329">
        <v>1</v>
      </c>
      <c r="N329">
        <v>0</v>
      </c>
      <c r="O329" t="s">
        <v>1</v>
      </c>
      <c r="P329" t="s">
        <v>1</v>
      </c>
      <c r="Q329" t="s">
        <v>1</v>
      </c>
      <c r="R329" t="s">
        <v>1</v>
      </c>
      <c r="S329" t="s">
        <v>1</v>
      </c>
      <c r="T329" t="s">
        <v>1</v>
      </c>
      <c r="U329" t="s">
        <v>1</v>
      </c>
      <c r="V329" t="s">
        <v>1</v>
      </c>
      <c r="W329" t="s">
        <v>1</v>
      </c>
      <c r="X329" t="s">
        <v>1</v>
      </c>
      <c r="Y329" t="s">
        <v>1</v>
      </c>
      <c r="Z329" t="s">
        <v>1</v>
      </c>
      <c r="AA329">
        <v>0</v>
      </c>
      <c r="AB329" t="s">
        <v>829</v>
      </c>
      <c r="AC329" t="s">
        <v>1355</v>
      </c>
      <c r="AD329" t="s">
        <v>2457</v>
      </c>
      <c r="AE329">
        <v>0</v>
      </c>
      <c r="AF329" t="s">
        <v>1</v>
      </c>
      <c r="AG329" t="s">
        <v>1</v>
      </c>
      <c r="AH329" t="s">
        <v>2417</v>
      </c>
      <c r="AI329" t="s">
        <v>2080</v>
      </c>
      <c r="AJ329" t="s">
        <v>1</v>
      </c>
      <c r="AK329">
        <v>9932584529</v>
      </c>
      <c r="AL329" t="s">
        <v>2458</v>
      </c>
      <c r="AM329" t="s">
        <v>2459</v>
      </c>
      <c r="AN329">
        <v>0</v>
      </c>
      <c r="AO329" t="s">
        <v>2417</v>
      </c>
      <c r="AP329" t="s">
        <v>1</v>
      </c>
      <c r="AQ329">
        <v>4</v>
      </c>
      <c r="AR329">
        <v>0</v>
      </c>
      <c r="AS329">
        <v>0</v>
      </c>
      <c r="AT329" t="s">
        <v>1</v>
      </c>
      <c r="AU329" t="s">
        <v>1</v>
      </c>
      <c r="AV329" t="s">
        <v>1</v>
      </c>
      <c r="AW329">
        <v>0</v>
      </c>
      <c r="AX329">
        <v>3100</v>
      </c>
      <c r="AY329">
        <v>9800</v>
      </c>
      <c r="AZ329">
        <v>0</v>
      </c>
      <c r="BA329">
        <v>0</v>
      </c>
      <c r="BB329" t="s">
        <v>1</v>
      </c>
      <c r="BC329" t="s">
        <v>2124</v>
      </c>
      <c r="BD329" t="s">
        <v>147</v>
      </c>
      <c r="BE329" t="s">
        <v>1</v>
      </c>
      <c r="BF329" t="s">
        <v>1</v>
      </c>
      <c r="BG329" t="s">
        <v>1</v>
      </c>
      <c r="BH329">
        <v>0</v>
      </c>
      <c r="BI329">
        <v>0</v>
      </c>
      <c r="BJ329" t="s">
        <v>1930</v>
      </c>
      <c r="BK329" t="s">
        <v>1</v>
      </c>
      <c r="BL329" t="s">
        <v>131</v>
      </c>
      <c r="BM329">
        <v>0</v>
      </c>
      <c r="BN329">
        <v>12900</v>
      </c>
      <c r="BO329">
        <v>0</v>
      </c>
      <c r="BP329">
        <v>0</v>
      </c>
      <c r="BQ329">
        <v>0</v>
      </c>
      <c r="BR329" t="s">
        <v>1</v>
      </c>
      <c r="BS329" t="s">
        <v>1</v>
      </c>
      <c r="BT329" t="s">
        <v>1</v>
      </c>
      <c r="BU329" t="s">
        <v>1</v>
      </c>
      <c r="BV329" t="s">
        <v>1</v>
      </c>
      <c r="BW329" t="s">
        <v>360</v>
      </c>
      <c r="BX329" t="s">
        <v>1</v>
      </c>
      <c r="BY329">
        <v>0</v>
      </c>
      <c r="BZ329">
        <v>0</v>
      </c>
      <c r="CA329">
        <v>0</v>
      </c>
      <c r="CB329">
        <v>0</v>
      </c>
      <c r="CD329" t="str" cm="1">
        <f t="array" aca="1" ref="CD329" ca="1">eConcatenar(A329:CB329,"|")</f>
        <v>ZOhbvUw1HcTCxGf5|VSA2021-0437|3|IMPERIAL DE LUJO |TABASCO|VILLAHERMOSA |VILLAHERMOSA |2021-02-27|12900|X|X|200|1|0|X|X|X|X|X|X|X|X|X|X|X|X|0|PEREZ|MAGAÃ‘A |RICARDO |0|X|X|CALLE TALISMAN |COLONIA ATASTA |X|9932584529|JOSE JUAM PEREZ MAGAÃ‘A |BENEFICIARIO 2 LEONARDA DEL CARMEN PEREZ MAGAÃ‘A |0|CALLE TALISMAN |X|4|0|0|X|X|X|0|3100|9800|0|0|X|2021-04-12|2021-12-31|X|X|X|0|0|S35D6D3Y9KVTQ2|X|HOMBRE |0|12900|0|0|0|X|X|X|X|X|VILLAHERMOSA |X|0|0|0|0</v>
      </c>
    </row>
    <row r="330" spans="1:82" x14ac:dyDescent="0.25">
      <c r="A330" t="s">
        <v>2460</v>
      </c>
      <c r="B330" t="s">
        <v>2461</v>
      </c>
      <c r="C330">
        <v>3</v>
      </c>
      <c r="D330" t="s">
        <v>121</v>
      </c>
      <c r="E330" t="s">
        <v>359</v>
      </c>
      <c r="F330" t="s">
        <v>360</v>
      </c>
      <c r="G330" t="s">
        <v>360</v>
      </c>
      <c r="H330" t="s">
        <v>2462</v>
      </c>
      <c r="I330">
        <v>12900</v>
      </c>
      <c r="J330" t="s">
        <v>1</v>
      </c>
      <c r="K330" t="s">
        <v>1</v>
      </c>
      <c r="L330">
        <v>200</v>
      </c>
      <c r="M330">
        <v>1</v>
      </c>
      <c r="N330">
        <v>0</v>
      </c>
      <c r="O330" t="s">
        <v>1</v>
      </c>
      <c r="P330" t="s">
        <v>1</v>
      </c>
      <c r="Q330" t="s">
        <v>1</v>
      </c>
      <c r="R330" t="s">
        <v>1</v>
      </c>
      <c r="S330" t="s">
        <v>1</v>
      </c>
      <c r="T330" t="s">
        <v>1</v>
      </c>
      <c r="U330" t="s">
        <v>1</v>
      </c>
      <c r="V330" t="s">
        <v>1</v>
      </c>
      <c r="W330" t="s">
        <v>1</v>
      </c>
      <c r="X330" t="s">
        <v>1</v>
      </c>
      <c r="Y330" t="s">
        <v>1</v>
      </c>
      <c r="Z330" t="s">
        <v>1</v>
      </c>
      <c r="AA330">
        <v>0</v>
      </c>
      <c r="AB330" t="s">
        <v>1299</v>
      </c>
      <c r="AC330" t="s">
        <v>1407</v>
      </c>
      <c r="AD330" t="s">
        <v>2463</v>
      </c>
      <c r="AE330">
        <v>0</v>
      </c>
      <c r="AF330" t="s">
        <v>1</v>
      </c>
      <c r="AG330" t="s">
        <v>1</v>
      </c>
      <c r="AH330" t="s">
        <v>2464</v>
      </c>
      <c r="AI330" t="s">
        <v>2465</v>
      </c>
      <c r="AJ330" t="s">
        <v>1</v>
      </c>
      <c r="AK330">
        <v>9931133489</v>
      </c>
      <c r="AL330" t="s">
        <v>2466</v>
      </c>
      <c r="AM330" t="s">
        <v>2467</v>
      </c>
      <c r="AN330">
        <v>0</v>
      </c>
      <c r="AO330" t="s">
        <v>2464</v>
      </c>
      <c r="AP330" t="s">
        <v>1</v>
      </c>
      <c r="AQ330">
        <v>4</v>
      </c>
      <c r="AR330">
        <v>0</v>
      </c>
      <c r="AS330">
        <v>0</v>
      </c>
      <c r="AT330" t="s">
        <v>1</v>
      </c>
      <c r="AU330" t="s">
        <v>1</v>
      </c>
      <c r="AV330" t="s">
        <v>1</v>
      </c>
      <c r="AW330">
        <v>0</v>
      </c>
      <c r="AX330">
        <v>3000</v>
      </c>
      <c r="AY330">
        <v>900</v>
      </c>
      <c r="AZ330">
        <v>0</v>
      </c>
      <c r="BA330">
        <v>0</v>
      </c>
      <c r="BB330" t="s">
        <v>1</v>
      </c>
      <c r="BC330" t="s">
        <v>1061</v>
      </c>
      <c r="BD330" t="s">
        <v>147</v>
      </c>
      <c r="BE330" t="s">
        <v>1</v>
      </c>
      <c r="BF330" t="s">
        <v>1</v>
      </c>
      <c r="BG330" t="s">
        <v>1</v>
      </c>
      <c r="BH330">
        <v>0</v>
      </c>
      <c r="BI330">
        <v>0</v>
      </c>
      <c r="BJ330" t="s">
        <v>1930</v>
      </c>
      <c r="BK330" t="s">
        <v>1</v>
      </c>
      <c r="BL330" t="s">
        <v>1931</v>
      </c>
      <c r="BM330">
        <v>0</v>
      </c>
      <c r="BN330">
        <v>12900</v>
      </c>
      <c r="BO330">
        <v>0</v>
      </c>
      <c r="BP330">
        <v>0</v>
      </c>
      <c r="BQ330">
        <v>0</v>
      </c>
      <c r="BR330" t="s">
        <v>1</v>
      </c>
      <c r="BS330" t="s">
        <v>1</v>
      </c>
      <c r="BT330" t="s">
        <v>1</v>
      </c>
      <c r="BU330" t="s">
        <v>1</v>
      </c>
      <c r="BV330" t="s">
        <v>1</v>
      </c>
      <c r="BW330" t="s">
        <v>360</v>
      </c>
      <c r="BX330" t="s">
        <v>1</v>
      </c>
      <c r="BY330">
        <v>0</v>
      </c>
      <c r="BZ330">
        <v>0</v>
      </c>
      <c r="CA330">
        <v>0</v>
      </c>
      <c r="CB330">
        <v>0</v>
      </c>
      <c r="CD330" t="str" cm="1">
        <f t="array" aca="1" ref="CD330" ca="1">eConcatenar(A330:CB330,"|")</f>
        <v>y5YBuLKJaYAGMuzU|VSA2021-0452|3|IMPERIAL DE LUJO |TABASCO|VILLAHERMOSA |VILLAHERMOSA |2021-01-03|12900|X|X|200|1|0|X|X|X|X|X|X|X|X|X|X|X|X|0|VIDAL |RAMOS |IBETH |0|X|X|AVENIDA LUIS DONALDO COLOSIO |COLONIA GAVIOTAS NORTE |X|9931133489|CANDY GUADALUPE MORALES VIDAL |BENEFICIARIO 2 KENIA CRISTHEL MORALES VIDAL |0|AVENIDA LUIS DONALDO COLOSIO |X|4|0|0|X|X|X|0|3000|900|0|0|X|2021-06-11|2021-12-31|X|X|X|0|0|S35D6D3Y9KVTQ2|X|MUJER |0|12900|0|0|0|X|X|X|X|X|VILLAHERMOSA |X|0|0|0|0</v>
      </c>
    </row>
    <row r="331" spans="1:82" x14ac:dyDescent="0.25">
      <c r="A331" t="s">
        <v>2468</v>
      </c>
      <c r="B331" t="s">
        <v>2469</v>
      </c>
      <c r="C331">
        <v>3</v>
      </c>
      <c r="D331" t="s">
        <v>121</v>
      </c>
      <c r="E331" t="s">
        <v>359</v>
      </c>
      <c r="F331" t="s">
        <v>360</v>
      </c>
      <c r="G331" t="s">
        <v>360</v>
      </c>
      <c r="H331" t="s">
        <v>2462</v>
      </c>
      <c r="I331">
        <v>12900</v>
      </c>
      <c r="J331" t="s">
        <v>1</v>
      </c>
      <c r="K331" t="s">
        <v>1</v>
      </c>
      <c r="L331">
        <v>200</v>
      </c>
      <c r="M331">
        <v>1</v>
      </c>
      <c r="N331">
        <v>0</v>
      </c>
      <c r="O331" t="s">
        <v>1</v>
      </c>
      <c r="P331" t="s">
        <v>1</v>
      </c>
      <c r="Q331" t="s">
        <v>1</v>
      </c>
      <c r="R331" t="s">
        <v>1</v>
      </c>
      <c r="S331" t="s">
        <v>1</v>
      </c>
      <c r="T331" t="s">
        <v>1</v>
      </c>
      <c r="U331" t="s">
        <v>1</v>
      </c>
      <c r="V331" t="s">
        <v>1</v>
      </c>
      <c r="W331" t="s">
        <v>1</v>
      </c>
      <c r="X331" t="s">
        <v>1</v>
      </c>
      <c r="Y331" t="s">
        <v>1</v>
      </c>
      <c r="Z331" t="s">
        <v>1</v>
      </c>
      <c r="AA331">
        <v>0</v>
      </c>
      <c r="AB331" t="s">
        <v>636</v>
      </c>
      <c r="AC331" t="s">
        <v>978</v>
      </c>
      <c r="AD331" t="s">
        <v>2470</v>
      </c>
      <c r="AE331">
        <v>0</v>
      </c>
      <c r="AF331" t="s">
        <v>1</v>
      </c>
      <c r="AG331" t="s">
        <v>1</v>
      </c>
      <c r="AH331" t="s">
        <v>2471</v>
      </c>
      <c r="AI331" t="s">
        <v>2080</v>
      </c>
      <c r="AJ331" t="s">
        <v>1</v>
      </c>
      <c r="AK331">
        <v>9931091907</v>
      </c>
      <c r="AL331" t="s">
        <v>2472</v>
      </c>
      <c r="AM331" t="s">
        <v>2473</v>
      </c>
      <c r="AN331">
        <v>0</v>
      </c>
      <c r="AO331" t="s">
        <v>2471</v>
      </c>
      <c r="AP331" t="s">
        <v>1</v>
      </c>
      <c r="AQ331">
        <v>4</v>
      </c>
      <c r="AR331">
        <v>0</v>
      </c>
      <c r="AS331">
        <v>0</v>
      </c>
      <c r="AT331" t="s">
        <v>1</v>
      </c>
      <c r="AU331" t="s">
        <v>1</v>
      </c>
      <c r="AV331" t="s">
        <v>1</v>
      </c>
      <c r="AW331">
        <v>0</v>
      </c>
      <c r="AX331">
        <v>2900</v>
      </c>
      <c r="AY331">
        <v>10000</v>
      </c>
      <c r="AZ331">
        <v>0</v>
      </c>
      <c r="BA331">
        <v>0</v>
      </c>
      <c r="BB331" t="s">
        <v>1</v>
      </c>
      <c r="BC331" t="s">
        <v>863</v>
      </c>
      <c r="BD331" t="s">
        <v>147</v>
      </c>
      <c r="BE331" t="s">
        <v>1</v>
      </c>
      <c r="BF331" t="s">
        <v>1</v>
      </c>
      <c r="BG331" t="s">
        <v>1</v>
      </c>
      <c r="BH331">
        <v>0</v>
      </c>
      <c r="BI331">
        <v>0</v>
      </c>
      <c r="BJ331" t="s">
        <v>1930</v>
      </c>
      <c r="BK331" t="s">
        <v>1</v>
      </c>
      <c r="BL331" t="s">
        <v>131</v>
      </c>
      <c r="BM331">
        <v>0</v>
      </c>
      <c r="BN331">
        <v>12900</v>
      </c>
      <c r="BO331">
        <v>0</v>
      </c>
      <c r="BP331">
        <v>0</v>
      </c>
      <c r="BQ331">
        <v>0</v>
      </c>
      <c r="BR331" t="s">
        <v>1</v>
      </c>
      <c r="BS331" t="s">
        <v>1</v>
      </c>
      <c r="BT331" t="s">
        <v>1</v>
      </c>
      <c r="BU331" t="s">
        <v>1</v>
      </c>
      <c r="BV331" t="s">
        <v>1</v>
      </c>
      <c r="BW331" t="s">
        <v>360</v>
      </c>
      <c r="BX331" t="s">
        <v>1</v>
      </c>
      <c r="BY331">
        <v>0</v>
      </c>
      <c r="BZ331">
        <v>0</v>
      </c>
      <c r="CA331">
        <v>0</v>
      </c>
      <c r="CB331">
        <v>0</v>
      </c>
      <c r="CD331" t="str" cm="1">
        <f t="array" aca="1" ref="CD331" ca="1">eConcatenar(A331:CB331,"|")</f>
        <v>WVyZQoURpcAh2DxF|VSA2021-0453|3|IMPERIAL DE LUJO |TABASCO|VILLAHERMOSA |VILLAHERMOSA |2021-01-03|12900|X|X|200|1|0|X|X|X|X|X|X|X|X|X|X|X|X|0|MENDOZA |ALEJANDRO |GERARDO |0|X|X|CALLE ALTAMIRANO |COLONIA ATASTA |X|9931091907|CONCEPCION MENDOZA ALCUDIA |BENEFICIARIO 2 GERARDO MENDOZA ALCUDIA |0|CALLE ALTAMIRANO |X|4|0|0|X|X|X|0|2900|10000|0|0|X|2021-03-12|2021-12-31|X|X|X|0|0|S35D6D3Y9KVTQ2|X|HOMBRE |0|12900|0|0|0|X|X|X|X|X|VILLAHERMOSA |X|0|0|0|0</v>
      </c>
    </row>
    <row r="332" spans="1:82" x14ac:dyDescent="0.25">
      <c r="A332" t="s">
        <v>2474</v>
      </c>
      <c r="B332" t="s">
        <v>2475</v>
      </c>
      <c r="C332">
        <v>3</v>
      </c>
      <c r="D332" t="s">
        <v>121</v>
      </c>
      <c r="E332" t="s">
        <v>359</v>
      </c>
      <c r="F332" t="s">
        <v>360</v>
      </c>
      <c r="G332" t="s">
        <v>360</v>
      </c>
      <c r="H332" t="s">
        <v>2476</v>
      </c>
      <c r="I332">
        <v>12900</v>
      </c>
      <c r="J332" t="s">
        <v>1</v>
      </c>
      <c r="K332" t="s">
        <v>1</v>
      </c>
      <c r="L332">
        <v>100</v>
      </c>
      <c r="M332">
        <v>0</v>
      </c>
      <c r="N332">
        <v>0</v>
      </c>
      <c r="O332" t="s">
        <v>1</v>
      </c>
      <c r="P332" t="s">
        <v>1</v>
      </c>
      <c r="Q332" t="s">
        <v>1</v>
      </c>
      <c r="R332" t="s">
        <v>1</v>
      </c>
      <c r="S332" t="s">
        <v>1</v>
      </c>
      <c r="T332" t="s">
        <v>1</v>
      </c>
      <c r="U332" t="s">
        <v>1</v>
      </c>
      <c r="V332" t="s">
        <v>1</v>
      </c>
      <c r="W332" t="s">
        <v>1</v>
      </c>
      <c r="X332" t="s">
        <v>1</v>
      </c>
      <c r="Y332" t="s">
        <v>1</v>
      </c>
      <c r="Z332" t="s">
        <v>1</v>
      </c>
      <c r="AA332">
        <v>0</v>
      </c>
      <c r="AB332" t="s">
        <v>584</v>
      </c>
      <c r="AC332" t="s">
        <v>479</v>
      </c>
      <c r="AD332" t="s">
        <v>2477</v>
      </c>
      <c r="AE332">
        <v>0</v>
      </c>
      <c r="AF332" t="s">
        <v>1</v>
      </c>
      <c r="AG332" t="s">
        <v>1</v>
      </c>
      <c r="AH332" t="s">
        <v>2478</v>
      </c>
      <c r="AI332" t="s">
        <v>1951</v>
      </c>
      <c r="AJ332" t="s">
        <v>1</v>
      </c>
      <c r="AK332">
        <v>9932548577</v>
      </c>
      <c r="AL332" t="s">
        <v>2479</v>
      </c>
      <c r="AM332" t="s">
        <v>2480</v>
      </c>
      <c r="AN332">
        <v>0</v>
      </c>
      <c r="AO332" t="s">
        <v>2478</v>
      </c>
      <c r="AP332" t="s">
        <v>1</v>
      </c>
      <c r="AQ332">
        <v>4</v>
      </c>
      <c r="AR332">
        <v>0</v>
      </c>
      <c r="AS332">
        <v>0</v>
      </c>
      <c r="AT332" t="s">
        <v>1</v>
      </c>
      <c r="AU332" t="s">
        <v>1</v>
      </c>
      <c r="AV332" t="s">
        <v>1</v>
      </c>
      <c r="AW332">
        <v>0</v>
      </c>
      <c r="AX332">
        <v>3700</v>
      </c>
      <c r="AY332">
        <v>9200</v>
      </c>
      <c r="AZ332">
        <v>0</v>
      </c>
      <c r="BA332">
        <v>0</v>
      </c>
      <c r="BB332" t="s">
        <v>1</v>
      </c>
      <c r="BC332" t="s">
        <v>312</v>
      </c>
      <c r="BD332" t="s">
        <v>147</v>
      </c>
      <c r="BE332" t="s">
        <v>1</v>
      </c>
      <c r="BF332" t="s">
        <v>1</v>
      </c>
      <c r="BG332" t="s">
        <v>1</v>
      </c>
      <c r="BH332">
        <v>0</v>
      </c>
      <c r="BI332">
        <v>0</v>
      </c>
      <c r="BJ332" t="s">
        <v>1930</v>
      </c>
      <c r="BK332" t="s">
        <v>1</v>
      </c>
      <c r="BL332" t="s">
        <v>131</v>
      </c>
      <c r="BM332">
        <v>0</v>
      </c>
      <c r="BN332">
        <v>12900</v>
      </c>
      <c r="BO332">
        <v>0</v>
      </c>
      <c r="BP332">
        <v>0</v>
      </c>
      <c r="BQ332">
        <v>0</v>
      </c>
      <c r="BR332" t="s">
        <v>1</v>
      </c>
      <c r="BS332" t="s">
        <v>1</v>
      </c>
      <c r="BT332" t="s">
        <v>1</v>
      </c>
      <c r="BU332" t="s">
        <v>1</v>
      </c>
      <c r="BV332" t="s">
        <v>1</v>
      </c>
      <c r="BW332" t="s">
        <v>360</v>
      </c>
      <c r="BX332" t="s">
        <v>1</v>
      </c>
      <c r="BY332">
        <v>0</v>
      </c>
      <c r="BZ332">
        <v>0</v>
      </c>
      <c r="CA332">
        <v>0</v>
      </c>
      <c r="CB332">
        <v>0</v>
      </c>
      <c r="CD332" t="str" cm="1">
        <f t="array" aca="1" ref="CD332" ca="1">eConcatenar(A332:CB332,"|")</f>
        <v>hYnthpAZtiMcMfc9|VSA2021-0455|3|IMPERIAL DE LUJO |TABASCO|VILLAHERMOSA |VILLAHERMOSA |2021-02-03|12900|X|X|100|0|0|X|X|X|X|X|X|X|X|X|X|X|X|0|HERNANDEZ |SANCHEZ |ISIDRO |0|X|X|CALLE JOSED MARIA GHONZALEZ|COLONIA MIGUEL HIDALGO |X|9932548577|RODE MARIZA SANCHEZ DE LA CRUZ |BENEFICIARIO 2 IRIS VIVIANA HERNANDEZ SANCHEZ |0|CALLE JOSED MARIA GHONZALEZ|X|4|0|0|X|X|X|0|3700|9200|0|0|X|2021-12-24|2021-12-31|X|X|X|0|0|S35D6D3Y9KVTQ2|X|HOMBRE |0|12900|0|0|0|X|X|X|X|X|VILLAHERMOSA |X|0|0|0|0</v>
      </c>
    </row>
    <row r="333" spans="1:82" x14ac:dyDescent="0.25">
      <c r="A333" t="s">
        <v>2481</v>
      </c>
      <c r="B333" t="s">
        <v>2482</v>
      </c>
      <c r="C333">
        <v>3</v>
      </c>
      <c r="D333" t="s">
        <v>121</v>
      </c>
      <c r="E333" t="s">
        <v>359</v>
      </c>
      <c r="F333" t="s">
        <v>360</v>
      </c>
      <c r="G333" t="s">
        <v>360</v>
      </c>
      <c r="H333" t="s">
        <v>2483</v>
      </c>
      <c r="I333">
        <v>12900</v>
      </c>
      <c r="J333" t="s">
        <v>1</v>
      </c>
      <c r="K333" t="s">
        <v>1</v>
      </c>
      <c r="L333">
        <v>200</v>
      </c>
      <c r="M333">
        <v>1</v>
      </c>
      <c r="N333">
        <v>0</v>
      </c>
      <c r="O333" t="s">
        <v>1</v>
      </c>
      <c r="P333" t="s">
        <v>1</v>
      </c>
      <c r="Q333" t="s">
        <v>1</v>
      </c>
      <c r="R333" t="s">
        <v>1</v>
      </c>
      <c r="S333" t="s">
        <v>1</v>
      </c>
      <c r="T333" t="s">
        <v>1</v>
      </c>
      <c r="U333" t="s">
        <v>1</v>
      </c>
      <c r="V333" t="s">
        <v>1</v>
      </c>
      <c r="W333" t="s">
        <v>1</v>
      </c>
      <c r="X333" t="s">
        <v>1</v>
      </c>
      <c r="Y333" t="s">
        <v>1</v>
      </c>
      <c r="Z333" t="s">
        <v>1</v>
      </c>
      <c r="AA333">
        <v>0</v>
      </c>
      <c r="AB333" t="s">
        <v>575</v>
      </c>
      <c r="AC333" t="s">
        <v>1299</v>
      </c>
      <c r="AD333" t="s">
        <v>2484</v>
      </c>
      <c r="AE333">
        <v>0</v>
      </c>
      <c r="AF333" t="s">
        <v>1</v>
      </c>
      <c r="AG333" t="s">
        <v>1</v>
      </c>
      <c r="AH333" t="s">
        <v>2464</v>
      </c>
      <c r="AI333" t="s">
        <v>2465</v>
      </c>
      <c r="AJ333" t="s">
        <v>1</v>
      </c>
      <c r="AK333">
        <v>9931180295</v>
      </c>
      <c r="AL333" t="s">
        <v>2485</v>
      </c>
      <c r="AM333" t="s">
        <v>2486</v>
      </c>
      <c r="AN333">
        <v>0</v>
      </c>
      <c r="AO333" t="s">
        <v>2464</v>
      </c>
      <c r="AP333" t="s">
        <v>1</v>
      </c>
      <c r="AQ333">
        <v>4</v>
      </c>
      <c r="AR333">
        <v>0</v>
      </c>
      <c r="AS333">
        <v>0</v>
      </c>
      <c r="AT333" t="s">
        <v>1</v>
      </c>
      <c r="AU333" t="s">
        <v>1</v>
      </c>
      <c r="AV333" t="s">
        <v>1</v>
      </c>
      <c r="AW333">
        <v>0</v>
      </c>
      <c r="AX333">
        <v>2950</v>
      </c>
      <c r="AY333">
        <v>9950</v>
      </c>
      <c r="AZ333">
        <v>0</v>
      </c>
      <c r="BA333">
        <v>0</v>
      </c>
      <c r="BB333" t="s">
        <v>1</v>
      </c>
      <c r="BC333" t="s">
        <v>2233</v>
      </c>
      <c r="BD333" t="s">
        <v>147</v>
      </c>
      <c r="BE333" t="s">
        <v>1</v>
      </c>
      <c r="BF333" t="s">
        <v>1</v>
      </c>
      <c r="BG333" t="s">
        <v>1</v>
      </c>
      <c r="BH333">
        <v>0</v>
      </c>
      <c r="BI333">
        <v>0</v>
      </c>
      <c r="BJ333" t="s">
        <v>1930</v>
      </c>
      <c r="BK333" t="s">
        <v>1</v>
      </c>
      <c r="BL333" t="s">
        <v>1931</v>
      </c>
      <c r="BM333">
        <v>0</v>
      </c>
      <c r="BN333">
        <v>12900</v>
      </c>
      <c r="BO333">
        <v>0</v>
      </c>
      <c r="BP333">
        <v>0</v>
      </c>
      <c r="BQ333">
        <v>0</v>
      </c>
      <c r="BR333" t="s">
        <v>1</v>
      </c>
      <c r="BS333" t="s">
        <v>1</v>
      </c>
      <c r="BT333" t="s">
        <v>1</v>
      </c>
      <c r="BU333" t="s">
        <v>1</v>
      </c>
      <c r="BV333" t="s">
        <v>1</v>
      </c>
      <c r="BW333" t="s">
        <v>360</v>
      </c>
      <c r="BX333" t="s">
        <v>1</v>
      </c>
      <c r="BY333">
        <v>0</v>
      </c>
      <c r="BZ333">
        <v>0</v>
      </c>
      <c r="CA333">
        <v>0</v>
      </c>
      <c r="CB333">
        <v>0</v>
      </c>
      <c r="CD333" t="str" cm="1">
        <f t="array" aca="1" ref="CD333" ca="1">eConcatenar(A333:CB333,"|")</f>
        <v>m2zFDgmmFBuWx5n2|VSA2021-0468|3|IMPERIAL DE LUJO |TABASCO|VILLAHERMOSA |VILLAHERMOSA |2021-04-03|12900|X|X|200|1|0|X|X|X|X|X|X|X|X|X|X|X|X|0|MORALES |VIDAL |KENIA CRISTHELL |0|X|X|AVENIDA LUIS DONALDO COLOSIO |COLONIA GAVIOTAS NORTE |X|9931180295|CANDI GUADALUPE MORALES VIDAL |BENEFICIARIO 2 IVAN DE JESUS RAMON RIVERA |0|AVENIDA LUIS DONALDO COLOSIO |X|4|0|0|X|X|X|0|2950|9950|0|0|X|2021-10-12|2021-12-31|X|X|X|0|0|S35D6D3Y9KVTQ2|X|MUJER |0|12900|0|0|0|X|X|X|X|X|VILLAHERMOSA |X|0|0|0|0</v>
      </c>
    </row>
    <row r="334" spans="1:82" x14ac:dyDescent="0.25">
      <c r="A334" t="s">
        <v>2487</v>
      </c>
      <c r="B334" t="s">
        <v>2488</v>
      </c>
      <c r="C334">
        <v>3</v>
      </c>
      <c r="D334" t="s">
        <v>121</v>
      </c>
      <c r="E334" t="s">
        <v>359</v>
      </c>
      <c r="F334" t="s">
        <v>360</v>
      </c>
      <c r="G334" t="s">
        <v>360</v>
      </c>
      <c r="H334" t="s">
        <v>2483</v>
      </c>
      <c r="I334">
        <v>12900</v>
      </c>
      <c r="J334" t="s">
        <v>1</v>
      </c>
      <c r="K334" t="s">
        <v>1</v>
      </c>
      <c r="L334">
        <v>100</v>
      </c>
      <c r="M334">
        <v>0</v>
      </c>
      <c r="N334">
        <v>0</v>
      </c>
      <c r="O334" t="s">
        <v>1</v>
      </c>
      <c r="P334" t="s">
        <v>1</v>
      </c>
      <c r="Q334" t="s">
        <v>1</v>
      </c>
      <c r="R334" t="s">
        <v>1</v>
      </c>
      <c r="S334" t="s">
        <v>1</v>
      </c>
      <c r="T334" t="s">
        <v>1</v>
      </c>
      <c r="U334" t="s">
        <v>1</v>
      </c>
      <c r="V334" t="s">
        <v>1</v>
      </c>
      <c r="W334" t="s">
        <v>1</v>
      </c>
      <c r="X334" t="s">
        <v>1</v>
      </c>
      <c r="Y334" t="s">
        <v>1</v>
      </c>
      <c r="Z334" t="s">
        <v>1</v>
      </c>
      <c r="AA334">
        <v>0</v>
      </c>
      <c r="AB334" t="s">
        <v>191</v>
      </c>
      <c r="AC334" t="s">
        <v>921</v>
      </c>
      <c r="AD334" t="s">
        <v>2489</v>
      </c>
      <c r="AE334">
        <v>0</v>
      </c>
      <c r="AF334" t="s">
        <v>1</v>
      </c>
      <c r="AG334" t="s">
        <v>1</v>
      </c>
      <c r="AH334" t="s">
        <v>2490</v>
      </c>
      <c r="AI334" t="s">
        <v>2096</v>
      </c>
      <c r="AJ334" t="s">
        <v>1</v>
      </c>
      <c r="AK334">
        <v>9933645967</v>
      </c>
      <c r="AL334" t="s">
        <v>2491</v>
      </c>
      <c r="AM334" t="s">
        <v>2492</v>
      </c>
      <c r="AN334">
        <v>0</v>
      </c>
      <c r="AO334" t="s">
        <v>2490</v>
      </c>
      <c r="AP334" t="s">
        <v>1</v>
      </c>
      <c r="AQ334">
        <v>4</v>
      </c>
      <c r="AR334">
        <v>0</v>
      </c>
      <c r="AS334">
        <v>0</v>
      </c>
      <c r="AT334" t="s">
        <v>1</v>
      </c>
      <c r="AU334" t="s">
        <v>1</v>
      </c>
      <c r="AV334" t="s">
        <v>1</v>
      </c>
      <c r="AW334">
        <v>0</v>
      </c>
      <c r="AX334">
        <v>3100</v>
      </c>
      <c r="AY334">
        <v>9800</v>
      </c>
      <c r="AZ334">
        <v>0</v>
      </c>
      <c r="BA334">
        <v>0</v>
      </c>
      <c r="BB334" t="s">
        <v>1</v>
      </c>
      <c r="BC334" t="s">
        <v>1995</v>
      </c>
      <c r="BD334" t="s">
        <v>147</v>
      </c>
      <c r="BE334" t="s">
        <v>1</v>
      </c>
      <c r="BF334" t="s">
        <v>1</v>
      </c>
      <c r="BG334" t="s">
        <v>1</v>
      </c>
      <c r="BH334">
        <v>0</v>
      </c>
      <c r="BI334">
        <v>0</v>
      </c>
      <c r="BJ334" t="s">
        <v>1930</v>
      </c>
      <c r="BK334" t="s">
        <v>1</v>
      </c>
      <c r="BL334" t="s">
        <v>131</v>
      </c>
      <c r="BM334">
        <v>0</v>
      </c>
      <c r="BN334">
        <v>12900</v>
      </c>
      <c r="BO334">
        <v>0</v>
      </c>
      <c r="BP334">
        <v>0</v>
      </c>
      <c r="BQ334">
        <v>0</v>
      </c>
      <c r="BR334" t="s">
        <v>1</v>
      </c>
      <c r="BS334" t="s">
        <v>1</v>
      </c>
      <c r="BT334" t="s">
        <v>1</v>
      </c>
      <c r="BU334" t="s">
        <v>1</v>
      </c>
      <c r="BV334" t="s">
        <v>1</v>
      </c>
      <c r="BW334" t="s">
        <v>360</v>
      </c>
      <c r="BX334" t="s">
        <v>1</v>
      </c>
      <c r="BY334">
        <v>0</v>
      </c>
      <c r="BZ334">
        <v>0</v>
      </c>
      <c r="CA334">
        <v>0</v>
      </c>
      <c r="CB334">
        <v>0</v>
      </c>
      <c r="CD334" t="str" cm="1">
        <f t="array" aca="1" ref="CD334" ca="1">eConcatenar(A334:CB334,"|")</f>
        <v>b9nJoYeF7AZH0EF0|VSA2021-0469|3|IMPERIAL DE LUJO |TABASCO|VILLAHERMOSA |VILLAHERMOSA |2021-04-03|12900|X|X|100|0|0|X|X|X|X|X|X|X|X|X|X|X|X|0|MARTINEZ |RODRIGUEZ |JESUS LUIS |0|X|X|CERRADA ASUNCION CASTELLANOS |COLONIA JOSE MARIA PINO SUAREZ |X|9933645967|CANDY CRISTHEL PEREZ JIMENEZ |BENEFICIARIO 2 ULISES MARTINEZ CRUZ |0|CERRADA ASUNCION CASTELLANOS |X|4|0|0|X|X|X|0|3100|9800|0|0|X|2021-12-18|2021-12-31|X|X|X|0|0|S35D6D3Y9KVTQ2|X|HOMBRE |0|12900|0|0|0|X|X|X|X|X|VILLAHERMOSA |X|0|0|0|0</v>
      </c>
    </row>
    <row r="335" spans="1:82" x14ac:dyDescent="0.25">
      <c r="A335" t="s">
        <v>2493</v>
      </c>
      <c r="B335" t="s">
        <v>2494</v>
      </c>
      <c r="C335">
        <v>3</v>
      </c>
      <c r="D335" t="s">
        <v>121</v>
      </c>
      <c r="E335" t="s">
        <v>359</v>
      </c>
      <c r="F335" t="s">
        <v>360</v>
      </c>
      <c r="G335" t="s">
        <v>360</v>
      </c>
      <c r="H335" t="s">
        <v>2483</v>
      </c>
      <c r="I335">
        <v>12900</v>
      </c>
      <c r="J335" t="s">
        <v>1</v>
      </c>
      <c r="K335" t="s">
        <v>1</v>
      </c>
      <c r="L335">
        <v>200</v>
      </c>
      <c r="M335">
        <v>1</v>
      </c>
      <c r="N335">
        <v>0</v>
      </c>
      <c r="O335" t="s">
        <v>1</v>
      </c>
      <c r="P335" t="s">
        <v>1</v>
      </c>
      <c r="Q335" t="s">
        <v>1</v>
      </c>
      <c r="R335" t="s">
        <v>1</v>
      </c>
      <c r="S335" t="s">
        <v>1</v>
      </c>
      <c r="T335" t="s">
        <v>1</v>
      </c>
      <c r="U335" t="s">
        <v>1</v>
      </c>
      <c r="V335" t="s">
        <v>1</v>
      </c>
      <c r="W335" t="s">
        <v>1</v>
      </c>
      <c r="X335" t="s">
        <v>1</v>
      </c>
      <c r="Y335" t="s">
        <v>1</v>
      </c>
      <c r="Z335" t="s">
        <v>1</v>
      </c>
      <c r="AA335">
        <v>0</v>
      </c>
      <c r="AB335" t="s">
        <v>2495</v>
      </c>
      <c r="AC335" t="s">
        <v>2496</v>
      </c>
      <c r="AD335" t="s">
        <v>923</v>
      </c>
      <c r="AE335">
        <v>0</v>
      </c>
      <c r="AF335" t="s">
        <v>1</v>
      </c>
      <c r="AG335" t="s">
        <v>1</v>
      </c>
      <c r="AH335" t="s">
        <v>2497</v>
      </c>
      <c r="AI335" t="s">
        <v>1951</v>
      </c>
      <c r="AJ335" t="s">
        <v>1</v>
      </c>
      <c r="AK335">
        <v>9932407092</v>
      </c>
      <c r="AL335" t="s">
        <v>2498</v>
      </c>
      <c r="AM335" t="s">
        <v>2499</v>
      </c>
      <c r="AN335">
        <v>0</v>
      </c>
      <c r="AO335" t="s">
        <v>2497</v>
      </c>
      <c r="AP335" t="s">
        <v>1</v>
      </c>
      <c r="AQ335">
        <v>4</v>
      </c>
      <c r="AR335">
        <v>0</v>
      </c>
      <c r="AS335">
        <v>0</v>
      </c>
      <c r="AT335" t="s">
        <v>1</v>
      </c>
      <c r="AU335" t="s">
        <v>1</v>
      </c>
      <c r="AV335" t="s">
        <v>1</v>
      </c>
      <c r="AW335">
        <v>0</v>
      </c>
      <c r="AX335">
        <v>4000</v>
      </c>
      <c r="AY335">
        <v>8900</v>
      </c>
      <c r="AZ335">
        <v>0</v>
      </c>
      <c r="BA335">
        <v>0</v>
      </c>
      <c r="BB335" t="s">
        <v>1</v>
      </c>
      <c r="BC335" t="s">
        <v>1995</v>
      </c>
      <c r="BD335" t="s">
        <v>147</v>
      </c>
      <c r="BE335" t="s">
        <v>1</v>
      </c>
      <c r="BF335" t="s">
        <v>1</v>
      </c>
      <c r="BG335" t="s">
        <v>1</v>
      </c>
      <c r="BH335">
        <v>0</v>
      </c>
      <c r="BI335">
        <v>0</v>
      </c>
      <c r="BJ335" t="s">
        <v>1930</v>
      </c>
      <c r="BK335" t="s">
        <v>1</v>
      </c>
      <c r="BL335" t="s">
        <v>1931</v>
      </c>
      <c r="BM335">
        <v>0</v>
      </c>
      <c r="BN335">
        <v>12900</v>
      </c>
      <c r="BO335">
        <v>0</v>
      </c>
      <c r="BP335">
        <v>0</v>
      </c>
      <c r="BQ335">
        <v>0</v>
      </c>
      <c r="BR335" t="s">
        <v>1</v>
      </c>
      <c r="BS335" t="s">
        <v>1</v>
      </c>
      <c r="BT335" t="s">
        <v>1</v>
      </c>
      <c r="BU335" t="s">
        <v>1</v>
      </c>
      <c r="BV335" t="s">
        <v>1</v>
      </c>
      <c r="BW335" t="s">
        <v>360</v>
      </c>
      <c r="BX335" t="s">
        <v>1</v>
      </c>
      <c r="BY335">
        <v>0</v>
      </c>
      <c r="BZ335">
        <v>0</v>
      </c>
      <c r="CA335">
        <v>0</v>
      </c>
      <c r="CB335">
        <v>0</v>
      </c>
      <c r="CD335" t="str" cm="1">
        <f t="array" aca="1" ref="CD335" ca="1">eConcatenar(A335:CB335,"|")</f>
        <v>1XikiBxEYxJsLM5r|VSA2021-0474|3|IMPERIAL DE LUJO |TABASCO|VILLAHERMOSA |VILLAHERMOSA |2021-04-03|12900|X|X|200|1|0|X|X|X|X|X|X|X|X|X|X|X|X|0|LAZARO |MADRIGAL |JUANA |0|X|X|CALLE JOSE MARIA PINOSUAREZ |COLONIA MIGUEL HIDALGO |X|9932407092|ROSA DE LA CRUZ LAZARO |BENEFICIARIO 2 JOSE DEL CARMEN DE LA CRUZ LAZARO |0|CALLE JOSE MARIA PINOSUAREZ |X|4|0|0|X|X|X|0|4000|8900|0|0|X|2021-12-18|2021-12-31|X|X|X|0|0|S35D6D3Y9KVTQ2|X|MUJER |0|12900|0|0|0|X|X|X|X|X|VILLAHERMOSA |X|0|0|0|0</v>
      </c>
    </row>
    <row r="336" spans="1:82" x14ac:dyDescent="0.25">
      <c r="A336" t="s">
        <v>2500</v>
      </c>
      <c r="B336" t="s">
        <v>2501</v>
      </c>
      <c r="C336">
        <v>3</v>
      </c>
      <c r="D336" t="s">
        <v>121</v>
      </c>
      <c r="E336" t="s">
        <v>359</v>
      </c>
      <c r="F336" t="s">
        <v>360</v>
      </c>
      <c r="G336" t="s">
        <v>360</v>
      </c>
      <c r="H336" t="s">
        <v>2139</v>
      </c>
      <c r="I336">
        <v>12900</v>
      </c>
      <c r="J336" t="s">
        <v>1</v>
      </c>
      <c r="K336" t="s">
        <v>1</v>
      </c>
      <c r="L336">
        <v>100</v>
      </c>
      <c r="M336">
        <v>0</v>
      </c>
      <c r="N336">
        <v>0</v>
      </c>
      <c r="O336" t="s">
        <v>1</v>
      </c>
      <c r="P336" t="s">
        <v>1</v>
      </c>
      <c r="Q336" t="s">
        <v>1</v>
      </c>
      <c r="R336" t="s">
        <v>1</v>
      </c>
      <c r="S336" t="s">
        <v>1</v>
      </c>
      <c r="T336" t="s">
        <v>1</v>
      </c>
      <c r="U336" t="s">
        <v>1</v>
      </c>
      <c r="V336" t="s">
        <v>1</v>
      </c>
      <c r="W336" t="s">
        <v>1</v>
      </c>
      <c r="X336" t="s">
        <v>1</v>
      </c>
      <c r="Y336" t="s">
        <v>1</v>
      </c>
      <c r="Z336" t="s">
        <v>1</v>
      </c>
      <c r="AA336">
        <v>0</v>
      </c>
      <c r="AB336" t="s">
        <v>2502</v>
      </c>
      <c r="AC336" t="s">
        <v>472</v>
      </c>
      <c r="AD336" t="s">
        <v>2503</v>
      </c>
      <c r="AE336">
        <v>0</v>
      </c>
      <c r="AF336" t="s">
        <v>1</v>
      </c>
      <c r="AG336" t="s">
        <v>1</v>
      </c>
      <c r="AH336" t="s">
        <v>2504</v>
      </c>
      <c r="AI336" t="s">
        <v>2205</v>
      </c>
      <c r="AJ336" t="s">
        <v>1</v>
      </c>
      <c r="AK336">
        <v>9931011316</v>
      </c>
      <c r="AL336" t="s">
        <v>2505</v>
      </c>
      <c r="AM336" t="s">
        <v>2506</v>
      </c>
      <c r="AN336">
        <v>0</v>
      </c>
      <c r="AO336" t="s">
        <v>2504</v>
      </c>
      <c r="AP336" t="s">
        <v>1</v>
      </c>
      <c r="AQ336">
        <v>4</v>
      </c>
      <c r="AR336">
        <v>0</v>
      </c>
      <c r="AS336">
        <v>0</v>
      </c>
      <c r="AT336" t="s">
        <v>1</v>
      </c>
      <c r="AU336" t="s">
        <v>1</v>
      </c>
      <c r="AV336" t="s">
        <v>1</v>
      </c>
      <c r="AW336">
        <v>0</v>
      </c>
      <c r="AX336">
        <v>2600</v>
      </c>
      <c r="AY336">
        <v>10300</v>
      </c>
      <c r="AZ336">
        <v>0</v>
      </c>
      <c r="BA336">
        <v>0</v>
      </c>
      <c r="BB336" t="s">
        <v>1</v>
      </c>
      <c r="BC336" t="s">
        <v>2177</v>
      </c>
      <c r="BD336" t="s">
        <v>147</v>
      </c>
      <c r="BE336" t="s">
        <v>1</v>
      </c>
      <c r="BF336" t="s">
        <v>1</v>
      </c>
      <c r="BG336" t="s">
        <v>1</v>
      </c>
      <c r="BH336">
        <v>0</v>
      </c>
      <c r="BI336">
        <v>0</v>
      </c>
      <c r="BJ336" t="s">
        <v>1930</v>
      </c>
      <c r="BK336" t="s">
        <v>1</v>
      </c>
      <c r="BL336" t="s">
        <v>131</v>
      </c>
      <c r="BM336">
        <v>0</v>
      </c>
      <c r="BN336">
        <v>12900</v>
      </c>
      <c r="BO336">
        <v>0</v>
      </c>
      <c r="BP336">
        <v>0</v>
      </c>
      <c r="BQ336">
        <v>0</v>
      </c>
      <c r="BR336" t="s">
        <v>1</v>
      </c>
      <c r="BS336" t="s">
        <v>1</v>
      </c>
      <c r="BT336" t="s">
        <v>1</v>
      </c>
      <c r="BU336" t="s">
        <v>1</v>
      </c>
      <c r="BV336" t="s">
        <v>1</v>
      </c>
      <c r="BW336" t="s">
        <v>360</v>
      </c>
      <c r="BX336" t="s">
        <v>1</v>
      </c>
      <c r="BY336">
        <v>0</v>
      </c>
      <c r="BZ336">
        <v>0</v>
      </c>
      <c r="CA336">
        <v>0</v>
      </c>
      <c r="CB336">
        <v>0</v>
      </c>
      <c r="CD336" t="str" cm="1">
        <f t="array" aca="1" ref="CD336" ca="1">eConcatenar(A336:CB336,"|")</f>
        <v>w9m6etb7UNp4oO4i|VSA2021-0476|3|IMPERIAL DE LUJO |TABASCO|VILLAHERMOSA |VILLAHERMOSA |2021-05-03|12900|X|X|100|0|0|X|X|X|X|X|X|X|X|X|X|X|X|0|PIEGO |PALOMEQUE |MARIO ANTONIO |0|X|X|CALLE REFORMA |COLONIA ROVIROSA |X|9931011316|DAVID BENJAMIN GUZMAN RAMIREZ|BENEFICIARIO 2 KARLA IVETTE PRIEGO VILLAMIL |0|CALLE REFORMA |X|4|0|0|X|X|X|0|2600|10300|0|0|X|2021-10-29|2021-12-31|X|X|X|0|0|S35D6D3Y9KVTQ2|X|HOMBRE |0|12900|0|0|0|X|X|X|X|X|VILLAHERMOSA |X|0|0|0|0</v>
      </c>
    </row>
    <row r="337" spans="1:82" x14ac:dyDescent="0.25">
      <c r="A337" t="s">
        <v>2507</v>
      </c>
      <c r="B337" t="s">
        <v>2508</v>
      </c>
      <c r="C337">
        <v>3</v>
      </c>
      <c r="D337" t="s">
        <v>433</v>
      </c>
      <c r="E337" t="s">
        <v>359</v>
      </c>
      <c r="F337" t="s">
        <v>360</v>
      </c>
      <c r="G337" t="s">
        <v>360</v>
      </c>
      <c r="H337" t="s">
        <v>1577</v>
      </c>
      <c r="I337">
        <v>19800</v>
      </c>
      <c r="J337" t="s">
        <v>1</v>
      </c>
      <c r="K337" t="s">
        <v>1</v>
      </c>
      <c r="L337">
        <v>200</v>
      </c>
      <c r="M337">
        <v>1</v>
      </c>
      <c r="N337">
        <v>0</v>
      </c>
      <c r="O337" t="s">
        <v>1</v>
      </c>
      <c r="P337" t="s">
        <v>1</v>
      </c>
      <c r="Q337" t="s">
        <v>1</v>
      </c>
      <c r="R337" t="s">
        <v>1</v>
      </c>
      <c r="S337" t="s">
        <v>1</v>
      </c>
      <c r="T337" t="s">
        <v>1</v>
      </c>
      <c r="U337" t="s">
        <v>1</v>
      </c>
      <c r="V337" t="s">
        <v>1</v>
      </c>
      <c r="W337" t="s">
        <v>1</v>
      </c>
      <c r="X337" t="s">
        <v>1</v>
      </c>
      <c r="Y337" t="s">
        <v>1</v>
      </c>
      <c r="Z337" t="s">
        <v>1</v>
      </c>
      <c r="AA337">
        <v>0</v>
      </c>
      <c r="AB337" t="s">
        <v>15</v>
      </c>
      <c r="AC337" t="s">
        <v>921</v>
      </c>
      <c r="AD337" t="s">
        <v>2509</v>
      </c>
      <c r="AE337">
        <v>0</v>
      </c>
      <c r="AF337" t="s">
        <v>1</v>
      </c>
      <c r="AG337" t="s">
        <v>1</v>
      </c>
      <c r="AH337" t="s">
        <v>545</v>
      </c>
      <c r="AI337" t="s">
        <v>2510</v>
      </c>
      <c r="AJ337" t="s">
        <v>1</v>
      </c>
      <c r="AK337">
        <v>9931447468</v>
      </c>
      <c r="AL337" t="s">
        <v>1</v>
      </c>
      <c r="AM337" t="s">
        <v>1</v>
      </c>
      <c r="AN337">
        <v>0</v>
      </c>
      <c r="AO337" t="s">
        <v>545</v>
      </c>
      <c r="AP337" t="s">
        <v>1</v>
      </c>
      <c r="AQ337">
        <v>4</v>
      </c>
      <c r="AR337">
        <v>0</v>
      </c>
      <c r="AS337">
        <v>0</v>
      </c>
      <c r="AT337" t="s">
        <v>1</v>
      </c>
      <c r="AU337" t="s">
        <v>1</v>
      </c>
      <c r="AV337" t="s">
        <v>1</v>
      </c>
      <c r="AW337">
        <v>0</v>
      </c>
      <c r="AX337">
        <v>4600</v>
      </c>
      <c r="AY337">
        <v>15200</v>
      </c>
      <c r="AZ337">
        <v>0</v>
      </c>
      <c r="BA337">
        <v>0</v>
      </c>
      <c r="BB337" t="s">
        <v>1</v>
      </c>
      <c r="BC337" t="s">
        <v>1995</v>
      </c>
      <c r="BD337" t="s">
        <v>147</v>
      </c>
      <c r="BE337" t="s">
        <v>1</v>
      </c>
      <c r="BF337" t="s">
        <v>1</v>
      </c>
      <c r="BG337" t="s">
        <v>1</v>
      </c>
      <c r="BH337">
        <v>0</v>
      </c>
      <c r="BI337">
        <v>0</v>
      </c>
      <c r="BJ337" t="s">
        <v>1930</v>
      </c>
      <c r="BK337" t="s">
        <v>1</v>
      </c>
      <c r="BL337" t="s">
        <v>1931</v>
      </c>
      <c r="BM337">
        <v>0</v>
      </c>
      <c r="BN337">
        <v>19800</v>
      </c>
      <c r="BO337">
        <v>0</v>
      </c>
      <c r="BP337">
        <v>0</v>
      </c>
      <c r="BQ337">
        <v>0</v>
      </c>
      <c r="BR337" t="s">
        <v>1</v>
      </c>
      <c r="BS337" t="s">
        <v>1</v>
      </c>
      <c r="BT337" t="s">
        <v>1</v>
      </c>
      <c r="BU337" t="s">
        <v>1</v>
      </c>
      <c r="BV337" t="s">
        <v>1</v>
      </c>
      <c r="BW337" t="s">
        <v>360</v>
      </c>
      <c r="BX337" t="s">
        <v>1</v>
      </c>
      <c r="BY337">
        <v>0</v>
      </c>
      <c r="BZ337">
        <v>0</v>
      </c>
      <c r="CA337">
        <v>0</v>
      </c>
      <c r="CB337">
        <v>0</v>
      </c>
      <c r="CD337" t="str" cm="1">
        <f t="array" aca="1" ref="CD337" ca="1">eConcatenar(A337:CB337,"|")</f>
        <v>Eef675OclHoMcG3c|VSA2020-0897|3|ZAFIRO |TABASCO|VILLAHERMOSA |VILLAHERMOSA |2021-10-30|19800|X|X|200|1|0|X|X|X|X|X|X|X|X|X|X|X|X|0|PEREZ |RODRIGUEZ |FANNY |0|X|X|CARRETERA PRINCIPAL SIN NUMERO |RANCHERIA IXTACOMITAN TERCERA SECCION|X|9931447468|X|X|0|CARRETERA PRINCIPAL SIN NUMERO |X|4|0|0|X|X|X|0|4600|15200|0|0|X|2021-12-18|2021-12-31|X|X|X|0|0|S35D6D3Y9KVTQ2|X|MUJER |0|19800|0|0|0|X|X|X|X|X|VILLAHERMOSA |X|0|0|0|0</v>
      </c>
    </row>
    <row r="338" spans="1:82" x14ac:dyDescent="0.25">
      <c r="A338" t="s">
        <v>2511</v>
      </c>
      <c r="B338" t="s">
        <v>2512</v>
      </c>
      <c r="C338">
        <v>3</v>
      </c>
      <c r="D338" t="s">
        <v>14</v>
      </c>
      <c r="E338" t="s">
        <v>359</v>
      </c>
      <c r="F338" t="s">
        <v>360</v>
      </c>
      <c r="G338" t="s">
        <v>360</v>
      </c>
      <c r="H338" t="s">
        <v>2513</v>
      </c>
      <c r="I338">
        <v>12900</v>
      </c>
      <c r="J338" t="s">
        <v>1</v>
      </c>
      <c r="K338" t="s">
        <v>1</v>
      </c>
      <c r="L338">
        <v>200</v>
      </c>
      <c r="M338">
        <v>1</v>
      </c>
      <c r="N338">
        <v>0</v>
      </c>
      <c r="O338" t="s">
        <v>1</v>
      </c>
      <c r="P338" t="s">
        <v>1</v>
      </c>
      <c r="Q338" t="s">
        <v>1</v>
      </c>
      <c r="R338" t="s">
        <v>1</v>
      </c>
      <c r="S338" t="s">
        <v>1</v>
      </c>
      <c r="T338" t="s">
        <v>1</v>
      </c>
      <c r="U338" t="s">
        <v>1</v>
      </c>
      <c r="V338" t="s">
        <v>1</v>
      </c>
      <c r="W338" t="s">
        <v>1</v>
      </c>
      <c r="X338" t="s">
        <v>1</v>
      </c>
      <c r="Y338" t="s">
        <v>1</v>
      </c>
      <c r="Z338" t="s">
        <v>1</v>
      </c>
      <c r="AA338">
        <v>0</v>
      </c>
      <c r="AB338" t="s">
        <v>2514</v>
      </c>
      <c r="AC338" t="s">
        <v>1211</v>
      </c>
      <c r="AD338" t="s">
        <v>2515</v>
      </c>
      <c r="AE338">
        <v>0</v>
      </c>
      <c r="AF338" t="s">
        <v>1</v>
      </c>
      <c r="AG338" t="s">
        <v>1</v>
      </c>
      <c r="AH338" t="s">
        <v>2516</v>
      </c>
      <c r="AI338" t="s">
        <v>2063</v>
      </c>
      <c r="AJ338" t="s">
        <v>1</v>
      </c>
      <c r="AK338">
        <v>993224120</v>
      </c>
      <c r="AL338" t="s">
        <v>1</v>
      </c>
      <c r="AM338" t="s">
        <v>1</v>
      </c>
      <c r="AN338">
        <v>0</v>
      </c>
      <c r="AO338" t="s">
        <v>2516</v>
      </c>
      <c r="AP338" t="s">
        <v>1</v>
      </c>
      <c r="AQ338">
        <v>4</v>
      </c>
      <c r="AR338">
        <v>0</v>
      </c>
      <c r="AS338">
        <v>0</v>
      </c>
      <c r="AT338" t="s">
        <v>1</v>
      </c>
      <c r="AU338" t="s">
        <v>1</v>
      </c>
      <c r="AV338" t="s">
        <v>1</v>
      </c>
      <c r="AW338">
        <v>0</v>
      </c>
      <c r="AX338">
        <v>6400</v>
      </c>
      <c r="AY338">
        <v>6500</v>
      </c>
      <c r="AZ338">
        <v>0</v>
      </c>
      <c r="BA338">
        <v>0</v>
      </c>
      <c r="BB338" t="s">
        <v>1</v>
      </c>
      <c r="BC338" t="s">
        <v>828</v>
      </c>
      <c r="BD338" t="s">
        <v>147</v>
      </c>
      <c r="BE338" t="s">
        <v>1</v>
      </c>
      <c r="BF338" t="s">
        <v>1</v>
      </c>
      <c r="BG338" t="s">
        <v>1</v>
      </c>
      <c r="BH338">
        <v>0</v>
      </c>
      <c r="BI338">
        <v>0</v>
      </c>
      <c r="BJ338" t="s">
        <v>1930</v>
      </c>
      <c r="BK338" t="s">
        <v>1</v>
      </c>
      <c r="BL338" t="s">
        <v>1931</v>
      </c>
      <c r="BM338">
        <v>0</v>
      </c>
      <c r="BN338">
        <v>12900</v>
      </c>
      <c r="BO338">
        <v>0</v>
      </c>
      <c r="BP338">
        <v>0</v>
      </c>
      <c r="BQ338">
        <v>0</v>
      </c>
      <c r="BR338" t="s">
        <v>1</v>
      </c>
      <c r="BS338" t="s">
        <v>1</v>
      </c>
      <c r="BT338" t="s">
        <v>1</v>
      </c>
      <c r="BU338" t="s">
        <v>1</v>
      </c>
      <c r="BV338" t="s">
        <v>1</v>
      </c>
      <c r="BW338" t="s">
        <v>360</v>
      </c>
      <c r="BX338" t="s">
        <v>1</v>
      </c>
      <c r="BY338">
        <v>0</v>
      </c>
      <c r="BZ338">
        <v>0</v>
      </c>
      <c r="CA338">
        <v>0</v>
      </c>
      <c r="CB338">
        <v>0</v>
      </c>
      <c r="CD338" t="str" cm="1">
        <f t="array" aca="1" ref="CD338" ca="1">eConcatenar(A338:CB338,"|")</f>
        <v>Ez5DU7vRrtEW5i6s|VSA2018-0943|3|ECONOLINE |TABASCO|VILLAHERMOSA |VILLAHERMOSA |2018-09-28|12900|X|X|200|1|0|X|X|X|X|X|X|X|X|X|X|X|X|0|ROJANO |DE LA CRUZ |MAGDALENA|0|X|X|CALLE LAUREL SIN NUMERO |COLONIA GAVIOTAS SUR |X|993224120|X|X|0|CALLE LAUREL SIN NUMERO |X|4|0|0|X|X|X|0|6400|6500|0|0|X|2021-08-17|2021-12-31|X|X|X|0|0|S35D6D3Y9KVTQ2|X|MUJER |0|12900|0|0|0|X|X|X|X|X|VILLAHERMOSA |X|0|0|0|0</v>
      </c>
    </row>
    <row r="339" spans="1:82" x14ac:dyDescent="0.25">
      <c r="A339" t="s">
        <v>2517</v>
      </c>
      <c r="B339" t="s">
        <v>2518</v>
      </c>
      <c r="C339">
        <v>3</v>
      </c>
      <c r="D339" t="s">
        <v>146</v>
      </c>
      <c r="E339" t="s">
        <v>359</v>
      </c>
      <c r="F339" t="s">
        <v>360</v>
      </c>
      <c r="G339" t="s">
        <v>360</v>
      </c>
      <c r="H339" t="s">
        <v>716</v>
      </c>
      <c r="I339">
        <v>14800</v>
      </c>
      <c r="J339" t="s">
        <v>1</v>
      </c>
      <c r="K339" t="s">
        <v>1</v>
      </c>
      <c r="L339">
        <v>200</v>
      </c>
      <c r="M339">
        <v>1</v>
      </c>
      <c r="N339">
        <v>0</v>
      </c>
      <c r="O339" t="s">
        <v>1</v>
      </c>
      <c r="P339" t="s">
        <v>1</v>
      </c>
      <c r="Q339" t="s">
        <v>1</v>
      </c>
      <c r="R339" t="s">
        <v>1</v>
      </c>
      <c r="S339" t="s">
        <v>1</v>
      </c>
      <c r="T339" t="s">
        <v>1</v>
      </c>
      <c r="U339" t="s">
        <v>1</v>
      </c>
      <c r="V339" t="s">
        <v>1</v>
      </c>
      <c r="W339" t="s">
        <v>1</v>
      </c>
      <c r="X339" t="s">
        <v>1</v>
      </c>
      <c r="Y339" t="s">
        <v>1</v>
      </c>
      <c r="Z339" t="s">
        <v>1</v>
      </c>
      <c r="AA339">
        <v>0</v>
      </c>
      <c r="AB339" t="s">
        <v>191</v>
      </c>
      <c r="AC339" t="s">
        <v>407</v>
      </c>
      <c r="AD339" t="s">
        <v>1937</v>
      </c>
      <c r="AE339">
        <v>0</v>
      </c>
      <c r="AF339" t="s">
        <v>1</v>
      </c>
      <c r="AG339" t="s">
        <v>1</v>
      </c>
      <c r="AH339" t="s">
        <v>2519</v>
      </c>
      <c r="AI339" t="s">
        <v>2520</v>
      </c>
      <c r="AJ339" t="s">
        <v>1</v>
      </c>
      <c r="AK339">
        <v>9931959552</v>
      </c>
      <c r="AL339" t="s">
        <v>1</v>
      </c>
      <c r="AM339" t="s">
        <v>1</v>
      </c>
      <c r="AN339">
        <v>0</v>
      </c>
      <c r="AO339" t="s">
        <v>2519</v>
      </c>
      <c r="AP339" t="s">
        <v>1</v>
      </c>
      <c r="AQ339">
        <v>5</v>
      </c>
      <c r="AR339">
        <v>0</v>
      </c>
      <c r="AS339">
        <v>0</v>
      </c>
      <c r="AT339" t="s">
        <v>1</v>
      </c>
      <c r="AU339" t="s">
        <v>1</v>
      </c>
      <c r="AV339" t="s">
        <v>1</v>
      </c>
      <c r="AW339">
        <v>0</v>
      </c>
      <c r="AX339">
        <v>10140</v>
      </c>
      <c r="AY339">
        <v>4660</v>
      </c>
      <c r="AZ339">
        <v>0</v>
      </c>
      <c r="BA339">
        <v>0</v>
      </c>
      <c r="BB339" t="s">
        <v>1</v>
      </c>
      <c r="BC339" t="s">
        <v>2233</v>
      </c>
      <c r="BD339" t="s">
        <v>147</v>
      </c>
      <c r="BE339" t="s">
        <v>1</v>
      </c>
      <c r="BF339" t="s">
        <v>1</v>
      </c>
      <c r="BG339" t="s">
        <v>1</v>
      </c>
      <c r="BH339">
        <v>0</v>
      </c>
      <c r="BI339">
        <v>0</v>
      </c>
      <c r="BJ339" t="s">
        <v>1930</v>
      </c>
      <c r="BK339" t="s">
        <v>1</v>
      </c>
      <c r="BL339" t="s">
        <v>1931</v>
      </c>
      <c r="BM339">
        <v>0</v>
      </c>
      <c r="BN339">
        <v>14800</v>
      </c>
      <c r="BO339">
        <v>0</v>
      </c>
      <c r="BP339">
        <v>0</v>
      </c>
      <c r="BQ339">
        <v>0</v>
      </c>
      <c r="BR339" t="s">
        <v>1</v>
      </c>
      <c r="BS339" t="s">
        <v>1</v>
      </c>
      <c r="BT339" t="s">
        <v>1</v>
      </c>
      <c r="BU339" t="s">
        <v>1</v>
      </c>
      <c r="BV339" t="s">
        <v>1</v>
      </c>
      <c r="BW339" t="s">
        <v>360</v>
      </c>
      <c r="BX339" t="s">
        <v>1</v>
      </c>
      <c r="BY339">
        <v>0</v>
      </c>
      <c r="BZ339">
        <v>0</v>
      </c>
      <c r="CA339">
        <v>0</v>
      </c>
      <c r="CB339">
        <v>0</v>
      </c>
      <c r="CD339" t="str" cm="1">
        <f t="array" aca="1" ref="CD339" ca="1">eConcatenar(A339:CB339,"|")</f>
        <v>eWnDleNH9NH5NF5Y|VSA2020-0105|3|MEMORIAL |TABASCO|VILLAHERMOSA |VILLAHERMOSA |2020-11-13|14800|X|X|200|1|0|X|X|X|X|X|X|X|X|X|X|X|X|0|MARTINEZ |LOPEZ |ANDREA |0|X|X|AVENIDA MALECONES |COLONIA ISABEL DE LA PARRA|X|9931959552|X|X|0|AVENIDA MALECONES |X|5|0|0|X|X|X|0|10140|4660|0|0|X|2021-10-12|2021-12-31|X|X|X|0|0|S35D6D3Y9KVTQ2|X|MUJER |0|14800|0|0|0|X|X|X|X|X|VILLAHERMOSA |X|0|0|0|0</v>
      </c>
    </row>
    <row r="340" spans="1:82" x14ac:dyDescent="0.25">
      <c r="A340" t="s">
        <v>2521</v>
      </c>
      <c r="B340" t="s">
        <v>2522</v>
      </c>
      <c r="C340">
        <v>3</v>
      </c>
      <c r="D340" t="s">
        <v>891</v>
      </c>
      <c r="E340" t="s">
        <v>359</v>
      </c>
      <c r="F340" t="s">
        <v>360</v>
      </c>
      <c r="G340" t="s">
        <v>360</v>
      </c>
      <c r="H340" t="s">
        <v>2523</v>
      </c>
      <c r="I340">
        <v>12900</v>
      </c>
      <c r="J340" t="s">
        <v>1</v>
      </c>
      <c r="K340" t="s">
        <v>1</v>
      </c>
      <c r="L340">
        <v>100</v>
      </c>
      <c r="M340" s="5">
        <v>0</v>
      </c>
      <c r="N340">
        <v>0</v>
      </c>
      <c r="O340" t="s">
        <v>1</v>
      </c>
      <c r="P340" t="s">
        <v>1</v>
      </c>
      <c r="Q340" t="s">
        <v>1</v>
      </c>
      <c r="R340" t="s">
        <v>1</v>
      </c>
      <c r="S340" t="s">
        <v>1</v>
      </c>
      <c r="T340" t="s">
        <v>1</v>
      </c>
      <c r="U340" t="s">
        <v>1</v>
      </c>
      <c r="V340" t="s">
        <v>1</v>
      </c>
      <c r="W340" t="s">
        <v>1</v>
      </c>
      <c r="X340" t="s">
        <v>1</v>
      </c>
      <c r="Y340" t="s">
        <v>1</v>
      </c>
      <c r="Z340" t="s">
        <v>1</v>
      </c>
      <c r="AA340">
        <v>0</v>
      </c>
      <c r="AB340" t="s">
        <v>2524</v>
      </c>
      <c r="AC340" t="s">
        <v>281</v>
      </c>
      <c r="AD340" t="s">
        <v>2525</v>
      </c>
      <c r="AE340">
        <v>0</v>
      </c>
      <c r="AF340" t="s">
        <v>1</v>
      </c>
      <c r="AG340" t="s">
        <v>1</v>
      </c>
      <c r="AH340" t="s">
        <v>2526</v>
      </c>
      <c r="AI340" t="s">
        <v>2527</v>
      </c>
      <c r="AJ340" t="s">
        <v>1</v>
      </c>
      <c r="AK340">
        <v>9931901118</v>
      </c>
      <c r="AL340" t="s">
        <v>2528</v>
      </c>
      <c r="AM340" t="s">
        <v>2529</v>
      </c>
      <c r="AN340">
        <v>0</v>
      </c>
      <c r="AO340" t="s">
        <v>2526</v>
      </c>
      <c r="AP340" t="s">
        <v>1</v>
      </c>
      <c r="AQ340">
        <v>4</v>
      </c>
      <c r="AR340">
        <v>0</v>
      </c>
      <c r="AS340">
        <v>0</v>
      </c>
      <c r="AT340" t="s">
        <v>1</v>
      </c>
      <c r="AU340" t="s">
        <v>1</v>
      </c>
      <c r="AV340" t="s">
        <v>1</v>
      </c>
      <c r="AW340">
        <v>0</v>
      </c>
      <c r="AX340">
        <v>6200</v>
      </c>
      <c r="AY340">
        <v>6700</v>
      </c>
      <c r="AZ340">
        <v>0</v>
      </c>
      <c r="BA340">
        <v>0</v>
      </c>
      <c r="BB340" t="s">
        <v>1</v>
      </c>
      <c r="BC340" t="s">
        <v>729</v>
      </c>
      <c r="BD340" t="s">
        <v>1954</v>
      </c>
      <c r="BE340" t="s">
        <v>1</v>
      </c>
      <c r="BF340" t="s">
        <v>1</v>
      </c>
      <c r="BG340" t="s">
        <v>1</v>
      </c>
      <c r="BH340">
        <v>0</v>
      </c>
      <c r="BI340">
        <v>0</v>
      </c>
      <c r="BJ340" t="s">
        <v>1930</v>
      </c>
      <c r="BK340" t="s">
        <v>1</v>
      </c>
      <c r="BL340" t="s">
        <v>1138</v>
      </c>
      <c r="BM340">
        <v>0</v>
      </c>
      <c r="BN340">
        <v>12900</v>
      </c>
      <c r="BO340">
        <v>0</v>
      </c>
      <c r="BP340">
        <v>0</v>
      </c>
      <c r="BQ340">
        <v>0</v>
      </c>
      <c r="BR340" t="s">
        <v>1</v>
      </c>
      <c r="BS340" t="s">
        <v>1</v>
      </c>
      <c r="BT340" t="s">
        <v>1</v>
      </c>
      <c r="BU340" t="s">
        <v>1</v>
      </c>
      <c r="BV340" t="s">
        <v>1</v>
      </c>
      <c r="BW340" t="s">
        <v>360</v>
      </c>
      <c r="BX340" t="s">
        <v>1</v>
      </c>
      <c r="BY340">
        <v>0</v>
      </c>
      <c r="BZ340">
        <v>0</v>
      </c>
      <c r="CA340">
        <v>0</v>
      </c>
      <c r="CB340">
        <v>0</v>
      </c>
      <c r="CD340" t="str" cm="1">
        <f t="array" aca="1" ref="CD340" ca="1">eConcatenar(A340:CB340,"|")</f>
        <v>WFnN1ihoQGfTkyLE|VSA2019-0455|3|ECONOLINE|TABASCO|VILLAHERMOSA |VILLAHERMOSA |2019-08-22|12900|X|X|100|0|0|X|X|X|X|X|X|X|X|X|X|X|X|0|SERRA|DOMINGUEZ|AURA DEL ROSARIO|0|X|X|FRACCIONAMIENTO VALLE REAL |JUAN IGNACIO ALDAMA MANZANA TREINTA LOTE OCHO DEPARTAMENTO 26|X|9931901118|EMANUEL ANTONIO SERRA|ISAI ANTONIO SERRA|0|FRACCIONAMIENTO VALLE REAL |X|4|0|0|X|X|X|0|6200|6700|0|0|X|2021-09-12|2021-12-17|X|X|X|0|0|S35D6D3Y9KVTQ2|X|MUJER|0|12900|0|0|0|X|X|X|X|X|VILLAHERMOSA |X|0|0|0|0</v>
      </c>
    </row>
    <row r="341" spans="1:82" x14ac:dyDescent="0.25">
      <c r="A341" t="s">
        <v>2530</v>
      </c>
      <c r="B341" t="s">
        <v>2531</v>
      </c>
      <c r="C341">
        <v>3</v>
      </c>
      <c r="D341" t="s">
        <v>715</v>
      </c>
      <c r="E341" t="s">
        <v>359</v>
      </c>
      <c r="F341" t="s">
        <v>360</v>
      </c>
      <c r="G341" t="s">
        <v>360</v>
      </c>
      <c r="H341" t="s">
        <v>2236</v>
      </c>
      <c r="I341">
        <v>12900</v>
      </c>
      <c r="J341" t="s">
        <v>1</v>
      </c>
      <c r="K341" t="s">
        <v>1</v>
      </c>
      <c r="L341">
        <v>100</v>
      </c>
      <c r="M341">
        <v>0</v>
      </c>
      <c r="N341">
        <v>0</v>
      </c>
      <c r="O341" t="s">
        <v>1</v>
      </c>
      <c r="P341" t="s">
        <v>1</v>
      </c>
      <c r="Q341" t="s">
        <v>1</v>
      </c>
      <c r="R341" t="s">
        <v>1</v>
      </c>
      <c r="S341" t="s">
        <v>1</v>
      </c>
      <c r="T341" t="s">
        <v>1</v>
      </c>
      <c r="U341" t="s">
        <v>1</v>
      </c>
      <c r="V341" t="s">
        <v>1</v>
      </c>
      <c r="W341" t="s">
        <v>1</v>
      </c>
      <c r="X341" t="s">
        <v>1</v>
      </c>
      <c r="Y341" t="s">
        <v>1</v>
      </c>
      <c r="Z341" t="s">
        <v>1</v>
      </c>
      <c r="AA341">
        <v>0</v>
      </c>
      <c r="AB341" t="s">
        <v>576</v>
      </c>
      <c r="AC341" t="s">
        <v>1</v>
      </c>
      <c r="AD341" t="s">
        <v>2532</v>
      </c>
      <c r="AE341">
        <v>0</v>
      </c>
      <c r="AF341" t="s">
        <v>1</v>
      </c>
      <c r="AG341" t="s">
        <v>1</v>
      </c>
      <c r="AH341" t="s">
        <v>2533</v>
      </c>
      <c r="AI341" t="s">
        <v>2534</v>
      </c>
      <c r="AJ341" t="s">
        <v>2535</v>
      </c>
      <c r="AK341">
        <v>9931366651</v>
      </c>
      <c r="AL341" t="s">
        <v>2536</v>
      </c>
      <c r="AM341" t="s">
        <v>2537</v>
      </c>
      <c r="AN341">
        <v>0</v>
      </c>
      <c r="AO341" t="s">
        <v>2533</v>
      </c>
      <c r="AP341" t="s">
        <v>1</v>
      </c>
      <c r="AQ341">
        <v>4</v>
      </c>
      <c r="AR341">
        <v>0</v>
      </c>
      <c r="AS341">
        <v>0</v>
      </c>
      <c r="AT341" t="s">
        <v>1</v>
      </c>
      <c r="AU341" t="s">
        <v>1</v>
      </c>
      <c r="AV341" t="s">
        <v>1</v>
      </c>
      <c r="AW341">
        <v>0</v>
      </c>
      <c r="AX341">
        <v>3290</v>
      </c>
      <c r="AY341">
        <v>9610</v>
      </c>
      <c r="AZ341">
        <v>0</v>
      </c>
      <c r="BA341">
        <v>0</v>
      </c>
      <c r="BB341" t="s">
        <v>1</v>
      </c>
      <c r="BC341" t="s">
        <v>2538</v>
      </c>
      <c r="BD341" t="s">
        <v>2539</v>
      </c>
      <c r="BE341" t="s">
        <v>1</v>
      </c>
      <c r="BF341" t="s">
        <v>1</v>
      </c>
      <c r="BG341">
        <v>0</v>
      </c>
      <c r="BH341">
        <v>0</v>
      </c>
      <c r="BI341">
        <v>0</v>
      </c>
      <c r="BJ341" t="s">
        <v>1930</v>
      </c>
      <c r="BK341" t="s">
        <v>1</v>
      </c>
      <c r="BL341" t="s">
        <v>132</v>
      </c>
      <c r="BM341">
        <v>0</v>
      </c>
      <c r="BN341">
        <v>12900</v>
      </c>
      <c r="BO341">
        <v>0</v>
      </c>
      <c r="BP341">
        <v>0</v>
      </c>
      <c r="BQ341">
        <v>0</v>
      </c>
      <c r="BR341" t="s">
        <v>1</v>
      </c>
      <c r="BS341" t="s">
        <v>1</v>
      </c>
      <c r="BT341" t="s">
        <v>1</v>
      </c>
      <c r="BU341" t="s">
        <v>1</v>
      </c>
      <c r="BV341" t="s">
        <v>1</v>
      </c>
      <c r="BW341" t="s">
        <v>360</v>
      </c>
      <c r="BX341" t="s">
        <v>1</v>
      </c>
      <c r="BY341">
        <v>0</v>
      </c>
      <c r="BZ341">
        <v>0</v>
      </c>
      <c r="CA341">
        <v>0</v>
      </c>
      <c r="CB341">
        <v>0</v>
      </c>
      <c r="CD341" t="str" cm="1">
        <f t="array" aca="1" ref="CD341" ca="1">eConcatenar(A341:CB341,"|")</f>
        <v>9LkUizTz9AmXq2Vn|VSA2020-1072|3|IMPERIAL DE LUJO|TABASCO|VILLAHERMOSA |VILLAHERMOSA |2020-11-14|12900|X|X|100|0|0|X|X|X|X|X|X|X|X|X|X|X|X|0|BAUTISTA |X|EUGENIO|0|X|X|CURBANO CASTAÃ‘EDA 42 INTERIOR SIN NUMERO|SABINA CENTRO |AL COSTADO DE TV AZTECA POR LA TERMINAL DE COMBIS MINA|9931366651|MARIA TILA CASTILLO JIMENEZ |MARIA DOLORES BAUTISTA CASTILLO|0|CURBANO CASTAÃ‘EDA 42 INTERIOR SIN NUMERO|X|4|0|0|X|X|X|0|3290|9610|0|0|X|2021-05-28|2021-12-06|X|X|0|0|0|S35D6D3Y9KVTQ2|X|HOMBRE|0|12900|0|0|0|X|X|X|X|X|VILLAHERMOSA |X|0|0|0|0</v>
      </c>
    </row>
    <row r="342" spans="1:82" x14ac:dyDescent="0.25">
      <c r="A342" t="s">
        <v>2540</v>
      </c>
      <c r="B342" t="s">
        <v>2541</v>
      </c>
      <c r="C342">
        <v>3</v>
      </c>
      <c r="D342" t="s">
        <v>715</v>
      </c>
      <c r="E342" t="s">
        <v>359</v>
      </c>
      <c r="F342" t="s">
        <v>360</v>
      </c>
      <c r="G342" t="s">
        <v>360</v>
      </c>
      <c r="H342" t="s">
        <v>1087</v>
      </c>
      <c r="I342">
        <v>12900</v>
      </c>
      <c r="J342" t="s">
        <v>1</v>
      </c>
      <c r="K342" t="s">
        <v>1</v>
      </c>
      <c r="L342">
        <v>100</v>
      </c>
      <c r="M342">
        <v>0</v>
      </c>
      <c r="N342">
        <v>0</v>
      </c>
      <c r="O342" t="s">
        <v>1</v>
      </c>
      <c r="P342" t="s">
        <v>1</v>
      </c>
      <c r="Q342" t="s">
        <v>1</v>
      </c>
      <c r="R342" t="s">
        <v>1</v>
      </c>
      <c r="S342" t="s">
        <v>1</v>
      </c>
      <c r="T342" t="s">
        <v>1</v>
      </c>
      <c r="U342" t="s">
        <v>1</v>
      </c>
      <c r="V342" t="s">
        <v>1</v>
      </c>
      <c r="W342" t="s">
        <v>1</v>
      </c>
      <c r="X342" t="s">
        <v>1</v>
      </c>
      <c r="Y342" t="s">
        <v>1</v>
      </c>
      <c r="Z342" t="s">
        <v>1</v>
      </c>
      <c r="AA342">
        <v>0</v>
      </c>
      <c r="AB342" t="s">
        <v>782</v>
      </c>
      <c r="AC342" t="s">
        <v>7</v>
      </c>
      <c r="AD342" t="s">
        <v>2542</v>
      </c>
      <c r="AE342">
        <v>0</v>
      </c>
      <c r="AF342" t="s">
        <v>1</v>
      </c>
      <c r="AG342" t="s">
        <v>1</v>
      </c>
      <c r="AH342" t="s">
        <v>2543</v>
      </c>
      <c r="AI342" t="s">
        <v>2544</v>
      </c>
      <c r="AJ342" t="s">
        <v>1</v>
      </c>
      <c r="AK342">
        <v>9931487169</v>
      </c>
      <c r="AL342" t="s">
        <v>2545</v>
      </c>
      <c r="AM342" t="s">
        <v>2546</v>
      </c>
      <c r="AN342">
        <v>0</v>
      </c>
      <c r="AO342" t="s">
        <v>2543</v>
      </c>
      <c r="AP342" t="s">
        <v>1</v>
      </c>
      <c r="AQ342">
        <v>5</v>
      </c>
      <c r="AR342">
        <v>0</v>
      </c>
      <c r="AS342">
        <v>0</v>
      </c>
      <c r="AT342" t="s">
        <v>1</v>
      </c>
      <c r="AU342" t="s">
        <v>1</v>
      </c>
      <c r="AV342" t="s">
        <v>1</v>
      </c>
      <c r="AW342">
        <v>0</v>
      </c>
      <c r="AX342">
        <v>4790</v>
      </c>
      <c r="AY342">
        <v>8110</v>
      </c>
      <c r="AZ342">
        <v>0</v>
      </c>
      <c r="BA342">
        <v>0</v>
      </c>
      <c r="BB342" t="s">
        <v>1</v>
      </c>
      <c r="BC342" t="s">
        <v>399</v>
      </c>
      <c r="BD342" t="s">
        <v>2547</v>
      </c>
      <c r="BE342" t="s">
        <v>1</v>
      </c>
      <c r="BF342" t="s">
        <v>1</v>
      </c>
      <c r="BG342" t="s">
        <v>1</v>
      </c>
      <c r="BH342">
        <v>0</v>
      </c>
      <c r="BI342">
        <v>0</v>
      </c>
      <c r="BJ342" t="s">
        <v>1930</v>
      </c>
      <c r="BK342" t="s">
        <v>1</v>
      </c>
      <c r="BL342" t="s">
        <v>1138</v>
      </c>
      <c r="BM342">
        <v>0</v>
      </c>
      <c r="BN342">
        <v>12900</v>
      </c>
      <c r="BO342">
        <v>0</v>
      </c>
      <c r="BP342">
        <v>0</v>
      </c>
      <c r="BQ342">
        <v>0</v>
      </c>
      <c r="BR342" t="s">
        <v>1</v>
      </c>
      <c r="BS342" t="s">
        <v>1</v>
      </c>
      <c r="BT342" t="s">
        <v>1</v>
      </c>
      <c r="BU342" t="s">
        <v>1</v>
      </c>
      <c r="BV342" t="s">
        <v>1</v>
      </c>
      <c r="BW342" t="s">
        <v>360</v>
      </c>
      <c r="BX342" t="s">
        <v>1</v>
      </c>
      <c r="BY342">
        <v>0</v>
      </c>
      <c r="BZ342">
        <v>0</v>
      </c>
      <c r="CA342">
        <v>0</v>
      </c>
      <c r="CB342">
        <v>0</v>
      </c>
      <c r="CD342" t="str" cm="1">
        <f t="array" aca="1" ref="CD342" ca="1">eConcatenar(A342:CB342,"|")</f>
        <v>KIkKw0ryJyRWZIsC|VSA2020-0475|3|IMPERIAL DE LUJO|TABASCO|VILLAHERMOSA |VILLAHERMOSA |2020-10-28|12900|X|X|100|0|0|X|X|X|X|X|X|X|X|X|X|X|X|0|DIAZ|LOPEZ|MANUELA|0|X|X|CARRETERA PRINCIPAL VEINTITRES|RANCHERIA IXTACOMITAN CUARTA SECCION |X|9931487169|JAVIER RODRIGUEZ ESCOBAR|JESUS ANTONIO DIAZ LOPEZ|0|CARRETERA PRINCIPAL VEINTITRES|X|5|0|0|X|X|X|0|4790|8110|0|0|X|2021-11-20|2021-11-26|X|X|X|0|0|S35D6D3Y9KVTQ2|X|MUJER|0|12900|0|0|0|X|X|X|X|X|VILLAHERMOSA |X|0|0|0|0</v>
      </c>
    </row>
    <row r="343" spans="1:82" x14ac:dyDescent="0.25">
      <c r="A343" t="s">
        <v>2548</v>
      </c>
      <c r="B343" t="s">
        <v>2549</v>
      </c>
      <c r="C343">
        <v>3</v>
      </c>
      <c r="D343" t="s">
        <v>715</v>
      </c>
      <c r="E343" t="s">
        <v>359</v>
      </c>
      <c r="F343" t="s">
        <v>360</v>
      </c>
      <c r="G343" t="s">
        <v>360</v>
      </c>
      <c r="H343" t="s">
        <v>2550</v>
      </c>
      <c r="I343">
        <v>12900</v>
      </c>
      <c r="J343" t="s">
        <v>1</v>
      </c>
      <c r="K343" t="s">
        <v>1</v>
      </c>
      <c r="L343">
        <v>200</v>
      </c>
      <c r="M343">
        <v>1</v>
      </c>
      <c r="N343">
        <v>0</v>
      </c>
      <c r="O343" t="s">
        <v>1</v>
      </c>
      <c r="P343" t="s">
        <v>1</v>
      </c>
      <c r="Q343" t="s">
        <v>1</v>
      </c>
      <c r="R343" t="s">
        <v>1</v>
      </c>
      <c r="S343" t="s">
        <v>1</v>
      </c>
      <c r="T343" t="s">
        <v>1</v>
      </c>
      <c r="U343" t="s">
        <v>1</v>
      </c>
      <c r="V343" t="s">
        <v>1</v>
      </c>
      <c r="W343" t="s">
        <v>1</v>
      </c>
      <c r="X343" t="s">
        <v>1</v>
      </c>
      <c r="Y343" t="s">
        <v>1</v>
      </c>
      <c r="Z343" t="s">
        <v>1</v>
      </c>
      <c r="AA343">
        <v>0</v>
      </c>
      <c r="AB343" t="s">
        <v>248</v>
      </c>
      <c r="AC343" t="s">
        <v>1</v>
      </c>
      <c r="AD343" t="s">
        <v>2551</v>
      </c>
      <c r="AE343">
        <v>0</v>
      </c>
      <c r="AF343" t="s">
        <v>1</v>
      </c>
      <c r="AG343" t="s">
        <v>1</v>
      </c>
      <c r="AH343" t="s">
        <v>1221</v>
      </c>
      <c r="AI343" t="s">
        <v>2552</v>
      </c>
      <c r="AJ343" t="s">
        <v>1</v>
      </c>
      <c r="AK343">
        <v>9931010135</v>
      </c>
      <c r="AL343" t="s">
        <v>2553</v>
      </c>
      <c r="AM343" t="s">
        <v>2554</v>
      </c>
      <c r="AN343">
        <v>0</v>
      </c>
      <c r="AO343" t="s">
        <v>1221</v>
      </c>
      <c r="AP343" t="s">
        <v>1</v>
      </c>
      <c r="AQ343">
        <v>5</v>
      </c>
      <c r="AR343">
        <v>0</v>
      </c>
      <c r="AS343">
        <v>0</v>
      </c>
      <c r="AT343" t="s">
        <v>1</v>
      </c>
      <c r="AU343" t="s">
        <v>1</v>
      </c>
      <c r="AV343" t="s">
        <v>1</v>
      </c>
      <c r="AW343">
        <v>0</v>
      </c>
      <c r="AX343">
        <v>4000</v>
      </c>
      <c r="AY343">
        <v>8900</v>
      </c>
      <c r="AZ343">
        <v>0</v>
      </c>
      <c r="BA343">
        <v>0</v>
      </c>
      <c r="BB343" t="s">
        <v>1</v>
      </c>
      <c r="BC343" t="s">
        <v>1995</v>
      </c>
      <c r="BD343" t="s">
        <v>198</v>
      </c>
      <c r="BE343" t="s">
        <v>1</v>
      </c>
      <c r="BF343" t="s">
        <v>1</v>
      </c>
      <c r="BG343" t="s">
        <v>1</v>
      </c>
      <c r="BH343">
        <v>0</v>
      </c>
      <c r="BI343">
        <v>0</v>
      </c>
      <c r="BJ343" t="s">
        <v>1930</v>
      </c>
      <c r="BK343" t="s">
        <v>1</v>
      </c>
      <c r="BL343" t="s">
        <v>132</v>
      </c>
      <c r="BM343">
        <v>0</v>
      </c>
      <c r="BN343">
        <v>12900</v>
      </c>
      <c r="BO343">
        <v>0</v>
      </c>
      <c r="BP343">
        <v>0</v>
      </c>
      <c r="BQ343">
        <v>0</v>
      </c>
      <c r="BR343" t="s">
        <v>1</v>
      </c>
      <c r="BS343" t="s">
        <v>1</v>
      </c>
      <c r="BT343" t="s">
        <v>1</v>
      </c>
      <c r="BU343" t="s">
        <v>1</v>
      </c>
      <c r="BV343" t="s">
        <v>1</v>
      </c>
      <c r="BW343" t="s">
        <v>360</v>
      </c>
      <c r="BX343" t="s">
        <v>1</v>
      </c>
      <c r="BY343">
        <v>0</v>
      </c>
      <c r="BZ343">
        <v>0</v>
      </c>
      <c r="CA343">
        <v>0</v>
      </c>
      <c r="CB343">
        <v>0</v>
      </c>
      <c r="CD343" t="str" cm="1">
        <f t="array" aca="1" ref="CD343" ca="1">eConcatenar(A343:CB343,"|")</f>
        <v>X2y0InbiMkxQDsNn|VSA2020-0512|3|IMPERIAL DE LUJO|TABASCO|VILLAHERMOSA |VILLAHERMOSA |2020-10-21|12900|X|X|200|1|0|X|X|X|X|X|X|X|X|X|X|X|X|0|MORALES|X|NOE |0|X|X|PRINCIPAL SIN NUMERO |RANCHERIA TORNO LARGO TERCERA SECCION |X|9931010135|NANCY KARINA CETINO DE MORALES|LUIS JOSE MORALES CETINO|0|PRINCIPAL SIN NUMERO |X|5|0|0|X|X|X|0|4000|8900|0|0|X|2021-12-18|2021-12-30|X|X|X|0|0|S35D6D3Y9KVTQ2|X|HOMBRE|0|12900|0|0|0|X|X|X|X|X|VILLAHERMOSA |X|0|0|0|0</v>
      </c>
    </row>
    <row r="344" spans="1:82" x14ac:dyDescent="0.25">
      <c r="A344" t="s">
        <v>2555</v>
      </c>
      <c r="B344" t="s">
        <v>2556</v>
      </c>
      <c r="C344">
        <v>3</v>
      </c>
      <c r="D344" t="s">
        <v>891</v>
      </c>
      <c r="E344" t="s">
        <v>359</v>
      </c>
      <c r="F344" t="s">
        <v>360</v>
      </c>
      <c r="G344" t="s">
        <v>360</v>
      </c>
      <c r="H344" t="s">
        <v>1028</v>
      </c>
      <c r="I344">
        <v>12900</v>
      </c>
      <c r="J344" t="s">
        <v>1</v>
      </c>
      <c r="K344" t="s">
        <v>1</v>
      </c>
      <c r="L344">
        <v>100</v>
      </c>
      <c r="M344">
        <v>0</v>
      </c>
      <c r="N344">
        <v>0</v>
      </c>
      <c r="O344" t="s">
        <v>1</v>
      </c>
      <c r="P344" t="s">
        <v>1</v>
      </c>
      <c r="Q344" t="s">
        <v>1</v>
      </c>
      <c r="R344" t="s">
        <v>1</v>
      </c>
      <c r="S344" t="s">
        <v>1</v>
      </c>
      <c r="T344" t="s">
        <v>1</v>
      </c>
      <c r="U344" t="s">
        <v>1</v>
      </c>
      <c r="V344" t="s">
        <v>1</v>
      </c>
      <c r="W344" t="s">
        <v>1</v>
      </c>
      <c r="X344" t="s">
        <v>1</v>
      </c>
      <c r="Y344" t="s">
        <v>1</v>
      </c>
      <c r="Z344" t="s">
        <v>1</v>
      </c>
      <c r="AA344">
        <v>0</v>
      </c>
      <c r="AB344" t="s">
        <v>726</v>
      </c>
      <c r="AC344" t="s">
        <v>2557</v>
      </c>
      <c r="AD344" t="s">
        <v>2558</v>
      </c>
      <c r="AE344">
        <v>0</v>
      </c>
      <c r="AF344" t="s">
        <v>1</v>
      </c>
      <c r="AG344" t="s">
        <v>1</v>
      </c>
      <c r="AH344" t="s">
        <v>2559</v>
      </c>
      <c r="AI344" t="s">
        <v>2560</v>
      </c>
      <c r="AJ344" t="s">
        <v>1</v>
      </c>
      <c r="AK344">
        <v>9934266321</v>
      </c>
      <c r="AL344" t="s">
        <v>2561</v>
      </c>
      <c r="AM344" t="s">
        <v>2562</v>
      </c>
      <c r="AN344">
        <v>0</v>
      </c>
      <c r="AO344" t="s">
        <v>2559</v>
      </c>
      <c r="AP344" t="s">
        <v>1</v>
      </c>
      <c r="AQ344">
        <v>4</v>
      </c>
      <c r="AR344">
        <v>0</v>
      </c>
      <c r="AS344">
        <v>0</v>
      </c>
      <c r="AT344" t="s">
        <v>1</v>
      </c>
      <c r="AU344" t="s">
        <v>1</v>
      </c>
      <c r="AV344" t="s">
        <v>1</v>
      </c>
      <c r="AW344">
        <v>0</v>
      </c>
      <c r="AX344">
        <v>850</v>
      </c>
      <c r="AY344">
        <v>12050</v>
      </c>
      <c r="AZ344">
        <v>0</v>
      </c>
      <c r="BA344">
        <v>0</v>
      </c>
      <c r="BB344" t="s">
        <v>1</v>
      </c>
      <c r="BC344" t="s">
        <v>2563</v>
      </c>
      <c r="BD344" t="s">
        <v>2564</v>
      </c>
      <c r="BE344" t="s">
        <v>1</v>
      </c>
      <c r="BF344" t="s">
        <v>1</v>
      </c>
      <c r="BG344" t="s">
        <v>1</v>
      </c>
      <c r="BH344">
        <v>0</v>
      </c>
      <c r="BI344">
        <v>0</v>
      </c>
      <c r="BJ344" t="s">
        <v>1930</v>
      </c>
      <c r="BK344" t="s">
        <v>1</v>
      </c>
      <c r="BL344" t="s">
        <v>1138</v>
      </c>
      <c r="BM344">
        <v>0</v>
      </c>
      <c r="BN344">
        <v>12900</v>
      </c>
      <c r="BO344">
        <v>0</v>
      </c>
      <c r="BP344">
        <v>0</v>
      </c>
      <c r="BQ344">
        <v>0</v>
      </c>
      <c r="BR344" t="s">
        <v>1</v>
      </c>
      <c r="BS344" t="s">
        <v>1</v>
      </c>
      <c r="BT344" t="s">
        <v>1</v>
      </c>
      <c r="BU344" t="s">
        <v>1</v>
      </c>
      <c r="BV344" t="s">
        <v>1</v>
      </c>
      <c r="BW344" t="s">
        <v>360</v>
      </c>
      <c r="BX344" t="s">
        <v>1</v>
      </c>
      <c r="BY344">
        <v>0</v>
      </c>
      <c r="BZ344">
        <v>0</v>
      </c>
      <c r="CA344">
        <v>0</v>
      </c>
      <c r="CB344">
        <v>0</v>
      </c>
      <c r="CD344" t="str" cm="1">
        <f t="array" aca="1" ref="CD344" ca="1">eConcatenar(A344:CB344,"|")</f>
        <v>P0KDLNwZUigZCVfI|VSA2020-0603|3|ECONOLINE|TABASCO|VILLAHERMOSA |VILLAHERMOSA |2020-09-18|12900|X|X|100|0|0|X|X|X|X|X|X|X|X|X|X|X|X|0|CRUZ|DURANTE|NELLY|0|X|X|CALLE CRISTOBAL COLON |COLONIA TAMULTE|X|9934266321|JUAN JESUS LOPEZ MENDEZ |A.AGUSTINA MENA VAZQUEZ|0|CALLE CRISTOBAL COLON |X|4|0|0|X|X|X|0|850|12050|0|0|X|2020-10-12|2020-12-17|X|X|X|0|0|S35D6D3Y9KVTQ2|X|MUJER|0|12900|0|0|0|X|X|X|X|X|VILLAHERMOSA |X|0|0|0|0</v>
      </c>
    </row>
    <row r="345" spans="1:82" x14ac:dyDescent="0.25">
      <c r="A345" t="s">
        <v>2565</v>
      </c>
      <c r="B345" t="s">
        <v>2566</v>
      </c>
      <c r="C345">
        <v>3</v>
      </c>
      <c r="D345" t="s">
        <v>715</v>
      </c>
      <c r="E345" t="s">
        <v>359</v>
      </c>
      <c r="F345" t="s">
        <v>360</v>
      </c>
      <c r="G345" t="s">
        <v>360</v>
      </c>
      <c r="H345" t="s">
        <v>2550</v>
      </c>
      <c r="I345">
        <v>12900</v>
      </c>
      <c r="J345" t="s">
        <v>1</v>
      </c>
      <c r="K345" t="s">
        <v>1</v>
      </c>
      <c r="L345">
        <v>200</v>
      </c>
      <c r="M345">
        <v>1</v>
      </c>
      <c r="N345">
        <v>0</v>
      </c>
      <c r="O345" t="s">
        <v>1</v>
      </c>
      <c r="P345" t="s">
        <v>1</v>
      </c>
      <c r="Q345" t="s">
        <v>1</v>
      </c>
      <c r="R345" t="s">
        <v>1</v>
      </c>
      <c r="S345" t="s">
        <v>1</v>
      </c>
      <c r="T345" t="s">
        <v>1</v>
      </c>
      <c r="U345" t="s">
        <v>1</v>
      </c>
      <c r="V345" t="s">
        <v>1</v>
      </c>
      <c r="W345" t="s">
        <v>1</v>
      </c>
      <c r="X345" t="s">
        <v>1</v>
      </c>
      <c r="Y345" t="s">
        <v>1</v>
      </c>
      <c r="Z345" t="s">
        <v>1</v>
      </c>
      <c r="AA345">
        <v>0</v>
      </c>
      <c r="AB345" t="s">
        <v>199</v>
      </c>
      <c r="AC345" t="s">
        <v>236</v>
      </c>
      <c r="AD345" t="s">
        <v>2567</v>
      </c>
      <c r="AE345">
        <v>0</v>
      </c>
      <c r="AF345" t="s">
        <v>1</v>
      </c>
      <c r="AG345" t="s">
        <v>1</v>
      </c>
      <c r="AH345" t="s">
        <v>545</v>
      </c>
      <c r="AI345" t="s">
        <v>2568</v>
      </c>
      <c r="AJ345" t="s">
        <v>1</v>
      </c>
      <c r="AK345">
        <v>9933896007</v>
      </c>
      <c r="AL345" t="s">
        <v>2569</v>
      </c>
      <c r="AM345" t="s">
        <v>2570</v>
      </c>
      <c r="AN345">
        <v>0</v>
      </c>
      <c r="AO345" t="s">
        <v>545</v>
      </c>
      <c r="AP345" t="s">
        <v>1</v>
      </c>
      <c r="AQ345">
        <v>4</v>
      </c>
      <c r="AR345">
        <v>0</v>
      </c>
      <c r="AS345">
        <v>0</v>
      </c>
      <c r="AT345" t="s">
        <v>1</v>
      </c>
      <c r="AU345" t="s">
        <v>1</v>
      </c>
      <c r="AV345" t="s">
        <v>1</v>
      </c>
      <c r="AW345">
        <v>0</v>
      </c>
      <c r="AX345">
        <v>6300</v>
      </c>
      <c r="AY345">
        <v>6600</v>
      </c>
      <c r="AZ345">
        <v>0</v>
      </c>
      <c r="BA345">
        <v>0</v>
      </c>
      <c r="BB345" t="s">
        <v>1</v>
      </c>
      <c r="BC345" t="s">
        <v>1954</v>
      </c>
      <c r="BD345" t="s">
        <v>147</v>
      </c>
      <c r="BE345" t="s">
        <v>1</v>
      </c>
      <c r="BF345" t="s">
        <v>1</v>
      </c>
      <c r="BG345" t="s">
        <v>1</v>
      </c>
      <c r="BH345">
        <v>0</v>
      </c>
      <c r="BI345">
        <v>0</v>
      </c>
      <c r="BJ345" t="s">
        <v>1930</v>
      </c>
      <c r="BK345" t="s">
        <v>1</v>
      </c>
      <c r="BL345" t="s">
        <v>132</v>
      </c>
      <c r="BM345">
        <v>0</v>
      </c>
      <c r="BN345">
        <v>12900</v>
      </c>
      <c r="BO345">
        <v>0</v>
      </c>
      <c r="BP345">
        <v>0</v>
      </c>
      <c r="BQ345">
        <v>0</v>
      </c>
      <c r="BR345" t="s">
        <v>1</v>
      </c>
      <c r="BS345" t="s">
        <v>1</v>
      </c>
      <c r="BT345" t="s">
        <v>1</v>
      </c>
      <c r="BU345" t="s">
        <v>1</v>
      </c>
      <c r="BV345" t="s">
        <v>1</v>
      </c>
      <c r="BW345" t="s">
        <v>360</v>
      </c>
      <c r="BX345" t="s">
        <v>1</v>
      </c>
      <c r="BY345">
        <v>0</v>
      </c>
      <c r="BZ345">
        <v>0</v>
      </c>
      <c r="CA345">
        <v>0</v>
      </c>
      <c r="CB345">
        <v>0</v>
      </c>
      <c r="CD345" t="str" cm="1">
        <f t="array" aca="1" ref="CD345" ca="1">eConcatenar(A345:CB345,"|")</f>
        <v>tFszNHHJXxnvJd3f|VSA2020-0661|3|IMPERIAL DE LUJO|TABASCO|VILLAHERMOSA |VILLAHERMOSA |2020-10-21|12900|X|X|200|1|0|X|X|X|X|X|X|X|X|X|X|X|X|0|RAMOS|JIMENEZ|MANUEL|0|X|X|CARRETERA PRINCIPAL SIN NUMERO |RANCHERIA RIVERADE LAS RAICES  PRIMERA SECCION|X|9933896007|PANFIVILA VALENCIA CARRETERA|MARIA CRISTINA RAMOS VALENCIA|0|CARRETERA PRINCIPAL SIN NUMERO |X|4|0|0|X|X|X|0|6300|6600|0|0|X|2021-12-17|2021-12-31|X|X|X|0|0|S35D6D3Y9KVTQ2|X|HOMBRE|0|12900|0|0|0|X|X|X|X|X|VILLAHERMOSA |X|0|0|0|0</v>
      </c>
    </row>
    <row r="346" spans="1:82" x14ac:dyDescent="0.25">
      <c r="A346" t="s">
        <v>2571</v>
      </c>
      <c r="B346" t="s">
        <v>2572</v>
      </c>
      <c r="C346">
        <v>3</v>
      </c>
      <c r="D346" t="s">
        <v>715</v>
      </c>
      <c r="E346" t="s">
        <v>359</v>
      </c>
      <c r="F346" t="s">
        <v>360</v>
      </c>
      <c r="G346" t="s">
        <v>360</v>
      </c>
      <c r="H346" t="s">
        <v>2573</v>
      </c>
      <c r="I346">
        <v>12900</v>
      </c>
      <c r="J346" t="s">
        <v>1</v>
      </c>
      <c r="K346" t="s">
        <v>1</v>
      </c>
      <c r="L346">
        <v>400</v>
      </c>
      <c r="M346">
        <v>2</v>
      </c>
      <c r="N346">
        <v>0</v>
      </c>
      <c r="O346" t="s">
        <v>1</v>
      </c>
      <c r="P346" t="s">
        <v>1</v>
      </c>
      <c r="Q346" t="s">
        <v>1</v>
      </c>
      <c r="R346" t="s">
        <v>1</v>
      </c>
      <c r="S346" t="s">
        <v>1</v>
      </c>
      <c r="T346" t="s">
        <v>1</v>
      </c>
      <c r="U346" t="s">
        <v>1</v>
      </c>
      <c r="V346" t="s">
        <v>1</v>
      </c>
      <c r="W346" t="s">
        <v>1</v>
      </c>
      <c r="X346" t="s">
        <v>1</v>
      </c>
      <c r="Y346" t="s">
        <v>1</v>
      </c>
      <c r="Z346" t="s">
        <v>1</v>
      </c>
      <c r="AA346">
        <v>0</v>
      </c>
      <c r="AB346" t="s">
        <v>1211</v>
      </c>
      <c r="AC346" t="s">
        <v>7</v>
      </c>
      <c r="AD346" t="s">
        <v>1176</v>
      </c>
      <c r="AE346">
        <v>0</v>
      </c>
      <c r="AF346" t="s">
        <v>1</v>
      </c>
      <c r="AG346" t="s">
        <v>1</v>
      </c>
      <c r="AH346" t="s">
        <v>2574</v>
      </c>
      <c r="AI346" t="s">
        <v>2575</v>
      </c>
      <c r="AJ346" t="s">
        <v>1</v>
      </c>
      <c r="AK346">
        <v>9931767918</v>
      </c>
      <c r="AL346" t="s">
        <v>2576</v>
      </c>
      <c r="AM346" t="s">
        <v>2577</v>
      </c>
      <c r="AN346">
        <v>0</v>
      </c>
      <c r="AO346" t="s">
        <v>2574</v>
      </c>
      <c r="AP346" t="s">
        <v>1</v>
      </c>
      <c r="AQ346">
        <v>4</v>
      </c>
      <c r="AR346">
        <v>0</v>
      </c>
      <c r="AS346">
        <v>0</v>
      </c>
      <c r="AT346" t="s">
        <v>1</v>
      </c>
      <c r="AU346" t="s">
        <v>1</v>
      </c>
      <c r="AV346" t="s">
        <v>1</v>
      </c>
      <c r="AW346">
        <v>0</v>
      </c>
      <c r="AX346">
        <v>7890</v>
      </c>
      <c r="AY346">
        <v>5010</v>
      </c>
      <c r="AZ346">
        <v>0</v>
      </c>
      <c r="BA346">
        <v>0</v>
      </c>
      <c r="BB346" t="s">
        <v>1</v>
      </c>
      <c r="BC346" t="s">
        <v>863</v>
      </c>
      <c r="BD346" t="s">
        <v>2041</v>
      </c>
      <c r="BE346" t="s">
        <v>1</v>
      </c>
      <c r="BF346" t="s">
        <v>1</v>
      </c>
      <c r="BG346" t="s">
        <v>1</v>
      </c>
      <c r="BH346">
        <v>0</v>
      </c>
      <c r="BI346">
        <v>0</v>
      </c>
      <c r="BJ346" t="s">
        <v>1930</v>
      </c>
      <c r="BK346" t="s">
        <v>1</v>
      </c>
      <c r="BL346" t="s">
        <v>132</v>
      </c>
      <c r="BM346">
        <v>0</v>
      </c>
      <c r="BN346">
        <v>12900</v>
      </c>
      <c r="BO346">
        <v>0</v>
      </c>
      <c r="BP346">
        <v>0</v>
      </c>
      <c r="BQ346">
        <v>0</v>
      </c>
      <c r="BR346" t="s">
        <v>1</v>
      </c>
      <c r="BS346" t="s">
        <v>1</v>
      </c>
      <c r="BT346" t="s">
        <v>1</v>
      </c>
      <c r="BU346" t="s">
        <v>1</v>
      </c>
      <c r="BV346" t="s">
        <v>1</v>
      </c>
      <c r="BW346" t="s">
        <v>360</v>
      </c>
      <c r="BX346" t="s">
        <v>1</v>
      </c>
      <c r="BY346">
        <v>0</v>
      </c>
      <c r="BZ346">
        <v>0</v>
      </c>
      <c r="CA346">
        <v>0</v>
      </c>
      <c r="CB346">
        <v>0</v>
      </c>
      <c r="CD346" t="str" cm="1">
        <f t="array" aca="1" ref="CD346" ca="1">eConcatenar(A346:CB346,"|")</f>
        <v>81aw7uaM915wpgF6|VSA2020-0781|3|IMPERIAL DE LUJO|TABASCO|VILLAHERMOSA |VILLAHERMOSA |2020-05-11|12900|X|X|400|2|0|X|X|X|X|X|X|X|X|X|X|X|X|0|DE LA CRUZ |LOPEZ|PEDRO|0|X|X|PROLONGACION DE AVENIA MEXICO 90|COLONIA SABINA CENTRO|X|9931767918|MARINA CHAVEZ MARTINEZ|LOURDES DE LA CRUZ CHAVEZ|0|PROLONGACION DE AVENIA MEXICO 90|X|4|0|0|X|X|X|0|7890|5010|0|0|X|2021-03-12|2022-03-01|X|X|X|0|0|S35D6D3Y9KVTQ2|X|HOMBRE|0|12900|0|0|0|X|X|X|X|X|VILLAHERMOSA |X|0|0|0|0</v>
      </c>
    </row>
    <row r="347" spans="1:82" x14ac:dyDescent="0.25">
      <c r="A347" t="s">
        <v>2578</v>
      </c>
      <c r="B347" t="s">
        <v>2579</v>
      </c>
      <c r="C347">
        <v>3</v>
      </c>
      <c r="D347" t="s">
        <v>715</v>
      </c>
      <c r="E347" t="s">
        <v>359</v>
      </c>
      <c r="F347" t="s">
        <v>360</v>
      </c>
      <c r="G347" t="s">
        <v>360</v>
      </c>
      <c r="H347" t="s">
        <v>2580</v>
      </c>
      <c r="I347">
        <v>12900</v>
      </c>
      <c r="J347" t="s">
        <v>1</v>
      </c>
      <c r="K347" t="s">
        <v>1</v>
      </c>
      <c r="L347">
        <v>100</v>
      </c>
      <c r="M347">
        <v>0</v>
      </c>
      <c r="N347">
        <v>0</v>
      </c>
      <c r="O347" t="s">
        <v>1</v>
      </c>
      <c r="P347" t="s">
        <v>1</v>
      </c>
      <c r="Q347" t="s">
        <v>1</v>
      </c>
      <c r="R347" t="s">
        <v>1</v>
      </c>
      <c r="S347" t="s">
        <v>1</v>
      </c>
      <c r="T347" t="s">
        <v>1</v>
      </c>
      <c r="U347" t="s">
        <v>1</v>
      </c>
      <c r="V347" t="s">
        <v>1</v>
      </c>
      <c r="W347" t="s">
        <v>1</v>
      </c>
      <c r="X347" t="s">
        <v>1</v>
      </c>
      <c r="Y347" t="s">
        <v>1</v>
      </c>
      <c r="Z347" t="s">
        <v>1</v>
      </c>
      <c r="AA347">
        <v>0</v>
      </c>
      <c r="AB347" t="s">
        <v>7</v>
      </c>
      <c r="AC347" t="s">
        <v>2581</v>
      </c>
      <c r="AD347" t="s">
        <v>2582</v>
      </c>
      <c r="AE347">
        <v>0</v>
      </c>
      <c r="AF347" t="s">
        <v>1</v>
      </c>
      <c r="AG347" t="s">
        <v>1</v>
      </c>
      <c r="AH347" t="s">
        <v>2583</v>
      </c>
      <c r="AI347" t="s">
        <v>2552</v>
      </c>
      <c r="AJ347" t="s">
        <v>1</v>
      </c>
      <c r="AK347">
        <v>9931681172</v>
      </c>
      <c r="AL347" t="s">
        <v>2584</v>
      </c>
      <c r="AM347" t="s">
        <v>2585</v>
      </c>
      <c r="AN347">
        <v>0</v>
      </c>
      <c r="AO347" t="s">
        <v>2583</v>
      </c>
      <c r="AP347" t="s">
        <v>1</v>
      </c>
      <c r="AQ347">
        <v>4</v>
      </c>
      <c r="AR347">
        <v>0</v>
      </c>
      <c r="AS347">
        <v>0</v>
      </c>
      <c r="AT347" t="s">
        <v>1</v>
      </c>
      <c r="AU347" t="s">
        <v>1</v>
      </c>
      <c r="AV347" t="s">
        <v>1</v>
      </c>
      <c r="AW347">
        <v>0</v>
      </c>
      <c r="AX347">
        <v>7900</v>
      </c>
      <c r="AY347">
        <v>5000</v>
      </c>
      <c r="AZ347">
        <v>0</v>
      </c>
      <c r="BA347">
        <v>0</v>
      </c>
      <c r="BB347" t="s">
        <v>1</v>
      </c>
      <c r="BC347" t="s">
        <v>729</v>
      </c>
      <c r="BD347" t="s">
        <v>1954</v>
      </c>
      <c r="BE347" t="s">
        <v>1</v>
      </c>
      <c r="BF347" t="s">
        <v>1</v>
      </c>
      <c r="BG347" t="s">
        <v>1</v>
      </c>
      <c r="BH347">
        <v>0</v>
      </c>
      <c r="BI347">
        <v>0</v>
      </c>
      <c r="BJ347" t="s">
        <v>1930</v>
      </c>
      <c r="BK347" t="s">
        <v>1</v>
      </c>
      <c r="BL347" t="s">
        <v>132</v>
      </c>
      <c r="BM347">
        <v>0</v>
      </c>
      <c r="BN347">
        <v>12900</v>
      </c>
      <c r="BO347">
        <v>0</v>
      </c>
      <c r="BP347">
        <v>0</v>
      </c>
      <c r="BQ347">
        <v>0</v>
      </c>
      <c r="BR347" t="s">
        <v>1</v>
      </c>
      <c r="BS347" t="s">
        <v>1</v>
      </c>
      <c r="BT347" t="s">
        <v>1</v>
      </c>
      <c r="BU347" t="s">
        <v>1</v>
      </c>
      <c r="BV347" t="s">
        <v>1</v>
      </c>
      <c r="BW347" t="s">
        <v>360</v>
      </c>
      <c r="BX347" t="s">
        <v>1</v>
      </c>
      <c r="BY347">
        <v>0</v>
      </c>
      <c r="BZ347">
        <v>0</v>
      </c>
      <c r="CA347">
        <v>0</v>
      </c>
      <c r="CB347">
        <v>0</v>
      </c>
      <c r="CD347" t="str" cm="1">
        <f t="array" aca="1" ref="CD347" ca="1">eConcatenar(A347:CB347,"|")</f>
        <v>CFOm86NeFbB1sgmt|VSA2020-0818|3|IMPERIAL DE LUJO|TABASCO|VILLAHERMOSA |VILLAHERMOSA |2020-10-22|12900|X|X|100|0|0|X|X|X|X|X|X|X|X|X|X|X|X|0|LOPEZ|LUNA|ROGELIO|0|X|X|CARRETERA TORNO LARGO A CACAO |RANCHERIA TORNO LARGO TERCERA SECCION |X|9931681172|SEVERO LOPEZ PEREZ|RAQUEL LOPEZ PEREZ|0|CARRETERA TORNO LARGO A CACAO |X|4|0|0|X|X|X|0|7900|5000|0|0|X|2021-09-12|2021-12-17|X|X|X|0|0|S35D6D3Y9KVTQ2|X|HOMBRE|0|12900|0|0|0|X|X|X|X|X|VILLAHERMOSA |X|0|0|0|0</v>
      </c>
    </row>
    <row r="348" spans="1:82" x14ac:dyDescent="0.25">
      <c r="A348" t="s">
        <v>2586</v>
      </c>
      <c r="B348" t="s">
        <v>2587</v>
      </c>
      <c r="C348">
        <v>3</v>
      </c>
      <c r="D348" t="s">
        <v>715</v>
      </c>
      <c r="E348" t="s">
        <v>359</v>
      </c>
      <c r="F348" t="s">
        <v>360</v>
      </c>
      <c r="G348" t="s">
        <v>360</v>
      </c>
      <c r="H348" t="s">
        <v>552</v>
      </c>
      <c r="I348">
        <v>12900</v>
      </c>
      <c r="J348" t="s">
        <v>1</v>
      </c>
      <c r="K348" t="s">
        <v>1</v>
      </c>
      <c r="L348">
        <v>100</v>
      </c>
      <c r="M348">
        <v>0</v>
      </c>
      <c r="N348">
        <v>0</v>
      </c>
      <c r="O348" t="s">
        <v>1</v>
      </c>
      <c r="P348" t="s">
        <v>1</v>
      </c>
      <c r="Q348" t="s">
        <v>1</v>
      </c>
      <c r="R348" t="s">
        <v>1</v>
      </c>
      <c r="S348" t="s">
        <v>1</v>
      </c>
      <c r="T348" t="s">
        <v>1</v>
      </c>
      <c r="U348" t="s">
        <v>1</v>
      </c>
      <c r="V348" t="s">
        <v>1</v>
      </c>
      <c r="W348" t="s">
        <v>1</v>
      </c>
      <c r="X348" t="s">
        <v>1</v>
      </c>
      <c r="Y348" t="s">
        <v>1</v>
      </c>
      <c r="Z348" t="s">
        <v>1</v>
      </c>
      <c r="AA348">
        <v>0</v>
      </c>
      <c r="AB348" t="s">
        <v>2588</v>
      </c>
      <c r="AC348" t="s">
        <v>328</v>
      </c>
      <c r="AD348" t="s">
        <v>2589</v>
      </c>
      <c r="AE348">
        <v>0</v>
      </c>
      <c r="AF348" t="s">
        <v>1</v>
      </c>
      <c r="AG348" t="s">
        <v>1</v>
      </c>
      <c r="AH348" t="s">
        <v>1221</v>
      </c>
      <c r="AI348" t="s">
        <v>2590</v>
      </c>
      <c r="AJ348" t="s">
        <v>1</v>
      </c>
      <c r="AK348">
        <v>9932305252</v>
      </c>
      <c r="AL348" t="s">
        <v>2591</v>
      </c>
      <c r="AM348" t="s">
        <v>2592</v>
      </c>
      <c r="AN348">
        <v>0</v>
      </c>
      <c r="AO348" t="s">
        <v>1221</v>
      </c>
      <c r="AP348" t="s">
        <v>1</v>
      </c>
      <c r="AQ348">
        <v>5</v>
      </c>
      <c r="AR348">
        <v>0</v>
      </c>
      <c r="AS348">
        <v>0</v>
      </c>
      <c r="AT348" t="s">
        <v>1</v>
      </c>
      <c r="AU348" t="s">
        <v>1</v>
      </c>
      <c r="AV348" t="s">
        <v>1</v>
      </c>
      <c r="AW348">
        <v>0</v>
      </c>
      <c r="AX348">
        <v>10100</v>
      </c>
      <c r="AY348">
        <v>2800</v>
      </c>
      <c r="AZ348">
        <v>0</v>
      </c>
      <c r="BA348">
        <v>0</v>
      </c>
      <c r="BB348" t="s">
        <v>1</v>
      </c>
      <c r="BC348" t="s">
        <v>1995</v>
      </c>
      <c r="BD348" t="s">
        <v>2593</v>
      </c>
      <c r="BE348" t="s">
        <v>1</v>
      </c>
      <c r="BF348" t="s">
        <v>1</v>
      </c>
      <c r="BG348" t="s">
        <v>1</v>
      </c>
      <c r="BH348">
        <v>0</v>
      </c>
      <c r="BI348">
        <v>0</v>
      </c>
      <c r="BJ348" t="s">
        <v>1930</v>
      </c>
      <c r="BK348" t="s">
        <v>1</v>
      </c>
      <c r="BL348" t="s">
        <v>1138</v>
      </c>
      <c r="BM348">
        <v>0</v>
      </c>
      <c r="BN348">
        <v>12900</v>
      </c>
      <c r="BO348">
        <v>0</v>
      </c>
      <c r="BP348">
        <v>0</v>
      </c>
      <c r="BQ348">
        <v>0</v>
      </c>
      <c r="BR348" t="s">
        <v>1</v>
      </c>
      <c r="BS348" t="s">
        <v>1</v>
      </c>
      <c r="BT348" t="s">
        <v>1</v>
      </c>
      <c r="BU348" t="s">
        <v>1</v>
      </c>
      <c r="BV348" t="s">
        <v>1</v>
      </c>
      <c r="BW348" t="s">
        <v>360</v>
      </c>
      <c r="BX348" t="s">
        <v>1</v>
      </c>
      <c r="BY348">
        <v>0</v>
      </c>
      <c r="BZ348">
        <v>0</v>
      </c>
      <c r="CA348">
        <v>0</v>
      </c>
      <c r="CB348">
        <v>0</v>
      </c>
      <c r="CD348" t="str" cm="1">
        <f t="array" aca="1" ref="CD348" ca="1">eConcatenar(A348:CB348,"|")</f>
        <v>igZTaYoaRaSaScae|VSA2020-0820|3|IMPERIAL DE LUJO|TABASCO|VILLAHERMOSA |VILLAHERMOSA |2020-10-23|12900|X|X|100|0|0|X|X|X|X|X|X|X|X|X|X|X|X|0|CASTRO|RAMIREZ|MARIA DE ATOCHA |0|X|X|PRINCIPAL SIN NUMERO |RANCHERIA TORNO LARGO SEGUNDA SECCION |X|9932305252|ACOSTA CASTRO|GUSTAVO ACOSTA CASTRO |0|PRINCIPAL SIN NUMERO |X|5|0|0|X|X|X|0|10100|2800|0|0|X|2021-12-18|2021-12-25|X|X|X|0|0|S35D6D3Y9KVTQ2|X|MUJER|0|12900|0|0|0|X|X|X|X|X|VILLAHERMOSA |X|0|0|0|0</v>
      </c>
    </row>
    <row r="349" spans="1:82" x14ac:dyDescent="0.25">
      <c r="A349" t="s">
        <v>2594</v>
      </c>
      <c r="B349" t="s">
        <v>2595</v>
      </c>
      <c r="C349">
        <v>3</v>
      </c>
      <c r="D349" t="s">
        <v>715</v>
      </c>
      <c r="E349" t="s">
        <v>359</v>
      </c>
      <c r="F349" t="s">
        <v>360</v>
      </c>
      <c r="G349" t="s">
        <v>360</v>
      </c>
      <c r="H349" t="s">
        <v>552</v>
      </c>
      <c r="I349">
        <v>12900</v>
      </c>
      <c r="J349" t="s">
        <v>1</v>
      </c>
      <c r="K349" t="s">
        <v>1</v>
      </c>
      <c r="L349">
        <v>100</v>
      </c>
      <c r="M349">
        <v>0</v>
      </c>
      <c r="N349">
        <v>0</v>
      </c>
      <c r="O349" t="s">
        <v>1</v>
      </c>
      <c r="P349" t="s">
        <v>1</v>
      </c>
      <c r="Q349" t="s">
        <v>1</v>
      </c>
      <c r="R349" t="s">
        <v>1</v>
      </c>
      <c r="S349" t="s">
        <v>1</v>
      </c>
      <c r="T349" t="s">
        <v>1</v>
      </c>
      <c r="U349" t="s">
        <v>1</v>
      </c>
      <c r="V349" t="s">
        <v>1</v>
      </c>
      <c r="W349" t="s">
        <v>1</v>
      </c>
      <c r="X349" t="s">
        <v>1</v>
      </c>
      <c r="Y349" t="s">
        <v>1</v>
      </c>
      <c r="Z349" t="s">
        <v>1</v>
      </c>
      <c r="AA349">
        <v>0</v>
      </c>
      <c r="AB349" t="s">
        <v>2596</v>
      </c>
      <c r="AC349" t="s">
        <v>281</v>
      </c>
      <c r="AD349" t="s">
        <v>2597</v>
      </c>
      <c r="AE349">
        <v>0</v>
      </c>
      <c r="AF349" t="s">
        <v>1</v>
      </c>
      <c r="AG349" t="s">
        <v>1</v>
      </c>
      <c r="AH349" t="s">
        <v>545</v>
      </c>
      <c r="AI349" t="s">
        <v>2598</v>
      </c>
      <c r="AJ349" t="s">
        <v>1</v>
      </c>
      <c r="AK349">
        <v>9931337427</v>
      </c>
      <c r="AL349" t="s">
        <v>2599</v>
      </c>
      <c r="AM349" t="s">
        <v>2600</v>
      </c>
      <c r="AN349">
        <v>0</v>
      </c>
      <c r="AO349" t="s">
        <v>545</v>
      </c>
      <c r="AP349" t="s">
        <v>1</v>
      </c>
      <c r="AQ349">
        <v>4</v>
      </c>
      <c r="AR349">
        <v>0</v>
      </c>
      <c r="AS349">
        <v>0</v>
      </c>
      <c r="AT349" t="s">
        <v>1</v>
      </c>
      <c r="AU349" t="s">
        <v>1</v>
      </c>
      <c r="AV349" t="s">
        <v>1</v>
      </c>
      <c r="AW349">
        <v>0</v>
      </c>
      <c r="AX349">
        <v>7100</v>
      </c>
      <c r="AY349">
        <v>5800</v>
      </c>
      <c r="AZ349">
        <v>0</v>
      </c>
      <c r="BA349">
        <v>0</v>
      </c>
      <c r="BB349" t="s">
        <v>1</v>
      </c>
      <c r="BC349" t="s">
        <v>312</v>
      </c>
      <c r="BD349" t="s">
        <v>147</v>
      </c>
      <c r="BE349" t="s">
        <v>1</v>
      </c>
      <c r="BF349" t="s">
        <v>1</v>
      </c>
      <c r="BG349" t="s">
        <v>1</v>
      </c>
      <c r="BH349">
        <v>0</v>
      </c>
      <c r="BI349">
        <v>0</v>
      </c>
      <c r="BJ349" t="s">
        <v>1930</v>
      </c>
      <c r="BK349" t="s">
        <v>1</v>
      </c>
      <c r="BL349" t="s">
        <v>1138</v>
      </c>
      <c r="BM349">
        <v>0</v>
      </c>
      <c r="BN349">
        <v>12900</v>
      </c>
      <c r="BO349">
        <v>0</v>
      </c>
      <c r="BP349">
        <v>0</v>
      </c>
      <c r="BQ349">
        <v>0</v>
      </c>
      <c r="BR349" t="s">
        <v>1</v>
      </c>
      <c r="BS349" t="s">
        <v>1</v>
      </c>
      <c r="BT349" t="s">
        <v>1</v>
      </c>
      <c r="BU349" t="s">
        <v>1</v>
      </c>
      <c r="BV349" t="s">
        <v>1</v>
      </c>
      <c r="BW349" t="s">
        <v>360</v>
      </c>
      <c r="BX349" t="s">
        <v>1</v>
      </c>
      <c r="BY349">
        <v>0</v>
      </c>
      <c r="BZ349">
        <v>0</v>
      </c>
      <c r="CA349">
        <v>0</v>
      </c>
      <c r="CB349">
        <v>0</v>
      </c>
      <c r="CD349" t="str" cm="1">
        <f t="array" aca="1" ref="CD349" ca="1">eConcatenar(A349:CB349,"|")</f>
        <v>0AhfODv59GoBVNq7|VSA2020-0823|3|IMPERIAL DE LUJO|TABASCO|VILLAHERMOSA |VILLAHERMOSA |2020-10-23|12900|X|X|100|0|0|X|X|X|X|X|X|X|X|X|X|X|X|0|ALVARADO|DOMINGUEZ|NANCY|0|X|X|CARRETERA PRINCIPAL SIN NUMERO |RANCHERIA TORNOLARGA SEGUNDA SECCION |X|9931337427|JESUS MANUEL DIAZ ALVARADO|MARCELINO DIAZ GOMEZ|0|CARRETERA PRINCIPAL SIN NUMERO |X|4|0|0|X|X|X|0|7100|5800|0|0|X|2021-12-24|2021-12-31|X|X|X|0|0|S35D6D3Y9KVTQ2|X|MUJER|0|12900|0|0|0|X|X|X|X|X|VILLAHERMOSA |X|0|0|0|0</v>
      </c>
    </row>
    <row r="350" spans="1:82" x14ac:dyDescent="0.25">
      <c r="A350" t="s">
        <v>2601</v>
      </c>
      <c r="B350" t="s">
        <v>2602</v>
      </c>
      <c r="C350">
        <v>3</v>
      </c>
      <c r="D350" t="s">
        <v>715</v>
      </c>
      <c r="E350" t="s">
        <v>359</v>
      </c>
      <c r="F350" t="s">
        <v>360</v>
      </c>
      <c r="G350" t="s">
        <v>360</v>
      </c>
      <c r="H350" t="s">
        <v>552</v>
      </c>
      <c r="I350">
        <v>12900</v>
      </c>
      <c r="J350" t="s">
        <v>1</v>
      </c>
      <c r="K350" t="s">
        <v>1</v>
      </c>
      <c r="L350">
        <v>100</v>
      </c>
      <c r="M350">
        <v>0</v>
      </c>
      <c r="N350">
        <v>0</v>
      </c>
      <c r="O350" t="s">
        <v>1</v>
      </c>
      <c r="P350" t="s">
        <v>1</v>
      </c>
      <c r="Q350" t="s">
        <v>1</v>
      </c>
      <c r="R350" t="s">
        <v>1</v>
      </c>
      <c r="S350" t="s">
        <v>1</v>
      </c>
      <c r="T350" t="s">
        <v>1</v>
      </c>
      <c r="U350" t="s">
        <v>1</v>
      </c>
      <c r="V350" t="s">
        <v>1</v>
      </c>
      <c r="W350" t="s">
        <v>1</v>
      </c>
      <c r="X350" t="s">
        <v>1</v>
      </c>
      <c r="Y350" t="s">
        <v>1</v>
      </c>
      <c r="Z350" t="s">
        <v>1</v>
      </c>
      <c r="AA350">
        <v>0</v>
      </c>
      <c r="AB350" t="s">
        <v>2603</v>
      </c>
      <c r="AC350" t="s">
        <v>8</v>
      </c>
      <c r="AD350" t="s">
        <v>2604</v>
      </c>
      <c r="AE350">
        <v>0</v>
      </c>
      <c r="AF350" t="s">
        <v>1</v>
      </c>
      <c r="AG350" t="s">
        <v>1</v>
      </c>
      <c r="AH350" t="s">
        <v>545</v>
      </c>
      <c r="AI350" t="s">
        <v>2590</v>
      </c>
      <c r="AJ350" t="s">
        <v>1</v>
      </c>
      <c r="AK350">
        <v>9931304087</v>
      </c>
      <c r="AL350" t="s">
        <v>2605</v>
      </c>
      <c r="AM350" t="s">
        <v>2606</v>
      </c>
      <c r="AN350">
        <v>0</v>
      </c>
      <c r="AO350" t="s">
        <v>545</v>
      </c>
      <c r="AP350" t="s">
        <v>1</v>
      </c>
      <c r="AQ350">
        <v>4</v>
      </c>
      <c r="AR350">
        <v>0</v>
      </c>
      <c r="AS350">
        <v>0</v>
      </c>
      <c r="AT350" t="s">
        <v>1</v>
      </c>
      <c r="AU350" t="s">
        <v>1</v>
      </c>
      <c r="AV350" t="s">
        <v>1</v>
      </c>
      <c r="AW350">
        <v>0</v>
      </c>
      <c r="AX350">
        <v>6350</v>
      </c>
      <c r="AY350">
        <v>6550</v>
      </c>
      <c r="AZ350">
        <v>0</v>
      </c>
      <c r="BA350">
        <v>0</v>
      </c>
      <c r="BB350" t="s">
        <v>1</v>
      </c>
      <c r="BC350" t="s">
        <v>312</v>
      </c>
      <c r="BD350" t="s">
        <v>147</v>
      </c>
      <c r="BE350" t="s">
        <v>1</v>
      </c>
      <c r="BF350" t="s">
        <v>1</v>
      </c>
      <c r="BG350" t="s">
        <v>1</v>
      </c>
      <c r="BH350">
        <v>0</v>
      </c>
      <c r="BI350">
        <v>0</v>
      </c>
      <c r="BJ350" t="s">
        <v>1930</v>
      </c>
      <c r="BK350" t="s">
        <v>1</v>
      </c>
      <c r="BL350" t="s">
        <v>1138</v>
      </c>
      <c r="BM350">
        <v>0</v>
      </c>
      <c r="BN350">
        <v>12900</v>
      </c>
      <c r="BO350">
        <v>0</v>
      </c>
      <c r="BP350">
        <v>0</v>
      </c>
      <c r="BQ350">
        <v>0</v>
      </c>
      <c r="BR350" t="s">
        <v>1</v>
      </c>
      <c r="BS350" t="s">
        <v>1</v>
      </c>
      <c r="BT350" t="s">
        <v>1</v>
      </c>
      <c r="BU350" t="s">
        <v>1</v>
      </c>
      <c r="BV350" t="s">
        <v>1</v>
      </c>
      <c r="BW350" t="s">
        <v>360</v>
      </c>
      <c r="BX350" t="s">
        <v>1</v>
      </c>
      <c r="BY350">
        <v>0</v>
      </c>
      <c r="BZ350">
        <v>0</v>
      </c>
      <c r="CA350">
        <v>0</v>
      </c>
      <c r="CB350">
        <v>0</v>
      </c>
      <c r="CD350" t="str" cm="1">
        <f t="array" aca="1" ref="CD350" ca="1">eConcatenar(A350:CB350,"|")</f>
        <v>Fz7S4y7Pn0JtXMo8|VSA2020-0824|3|IMPERIAL DE LUJO|TABASCO|VILLAHERMOSA |VILLAHERMOSA |2020-10-23|12900|X|X|100|0|0|X|X|X|X|X|X|X|X|X|X|X|X|0|CHICO|GOMEZ|ADRIANA |0|X|X|CARRETERA PRINCIPAL SIN NUMERO |RANCHERIA TORNO LARGO SEGUNDA SECCION |X|9931304087|NOE CORDOVA MAYO|MARIO DEL S.CHICO SANCHEZ|0|CARRETERA PRINCIPAL SIN NUMERO |X|4|0|0|X|X|X|0|6350|6550|0|0|X|2021-12-24|2021-12-31|X|X|X|0|0|S35D6D3Y9KVTQ2|X|MUJER|0|12900|0|0|0|X|X|X|X|X|VILLAHERMOSA |X|0|0|0|0</v>
      </c>
    </row>
    <row r="351" spans="1:82" x14ac:dyDescent="0.25">
      <c r="A351" t="s">
        <v>2607</v>
      </c>
      <c r="B351" t="s">
        <v>2608</v>
      </c>
      <c r="C351">
        <v>3</v>
      </c>
      <c r="D351" t="s">
        <v>715</v>
      </c>
      <c r="E351" t="s">
        <v>359</v>
      </c>
      <c r="F351" t="s">
        <v>360</v>
      </c>
      <c r="G351" t="s">
        <v>360</v>
      </c>
      <c r="H351" t="s">
        <v>552</v>
      </c>
      <c r="I351">
        <v>12900</v>
      </c>
      <c r="J351" t="s">
        <v>1</v>
      </c>
      <c r="K351" t="s">
        <v>1</v>
      </c>
      <c r="L351">
        <v>100</v>
      </c>
      <c r="M351">
        <v>0</v>
      </c>
      <c r="N351">
        <v>0</v>
      </c>
      <c r="O351" t="s">
        <v>1</v>
      </c>
      <c r="P351" t="s">
        <v>1</v>
      </c>
      <c r="Q351" t="s">
        <v>1</v>
      </c>
      <c r="R351" t="s">
        <v>1</v>
      </c>
      <c r="S351" t="s">
        <v>1</v>
      </c>
      <c r="T351" t="s">
        <v>1</v>
      </c>
      <c r="U351" t="s">
        <v>1</v>
      </c>
      <c r="V351" t="s">
        <v>1</v>
      </c>
      <c r="W351" t="s">
        <v>1</v>
      </c>
      <c r="X351" t="s">
        <v>1</v>
      </c>
      <c r="Y351" t="s">
        <v>1</v>
      </c>
      <c r="Z351" t="s">
        <v>1</v>
      </c>
      <c r="AA351">
        <v>0</v>
      </c>
      <c r="AB351" t="s">
        <v>2609</v>
      </c>
      <c r="AC351" t="s">
        <v>2610</v>
      </c>
      <c r="AD351" t="s">
        <v>2611</v>
      </c>
      <c r="AE351">
        <v>0</v>
      </c>
      <c r="AF351" t="s">
        <v>1</v>
      </c>
      <c r="AG351" t="s">
        <v>1</v>
      </c>
      <c r="AH351" t="s">
        <v>2612</v>
      </c>
      <c r="AI351" t="s">
        <v>2613</v>
      </c>
      <c r="AJ351" t="s">
        <v>1</v>
      </c>
      <c r="AK351">
        <v>9934577525</v>
      </c>
      <c r="AL351" t="s">
        <v>2614</v>
      </c>
      <c r="AM351" t="s">
        <v>2615</v>
      </c>
      <c r="AN351">
        <v>0</v>
      </c>
      <c r="AO351" t="s">
        <v>2612</v>
      </c>
      <c r="AP351" t="s">
        <v>1</v>
      </c>
      <c r="AQ351">
        <v>4</v>
      </c>
      <c r="AR351">
        <v>0</v>
      </c>
      <c r="AS351">
        <v>0</v>
      </c>
      <c r="AT351" t="s">
        <v>1</v>
      </c>
      <c r="AU351" t="s">
        <v>1</v>
      </c>
      <c r="AV351" t="s">
        <v>1</v>
      </c>
      <c r="AW351">
        <v>0</v>
      </c>
      <c r="AX351">
        <v>6690</v>
      </c>
      <c r="AY351">
        <v>6210</v>
      </c>
      <c r="AZ351">
        <v>0</v>
      </c>
      <c r="BA351">
        <v>0</v>
      </c>
      <c r="BB351" t="s">
        <v>1</v>
      </c>
      <c r="BC351" t="s">
        <v>312</v>
      </c>
      <c r="BD351" t="s">
        <v>147</v>
      </c>
      <c r="BE351" t="s">
        <v>1</v>
      </c>
      <c r="BF351" t="s">
        <v>1</v>
      </c>
      <c r="BG351" t="s">
        <v>1</v>
      </c>
      <c r="BH351">
        <v>0</v>
      </c>
      <c r="BI351">
        <v>0</v>
      </c>
      <c r="BJ351" t="s">
        <v>1930</v>
      </c>
      <c r="BK351" t="s">
        <v>1</v>
      </c>
      <c r="BL351" t="s">
        <v>1138</v>
      </c>
      <c r="BM351">
        <v>0</v>
      </c>
      <c r="BN351">
        <v>12900</v>
      </c>
      <c r="BO351">
        <v>0</v>
      </c>
      <c r="BP351">
        <v>0</v>
      </c>
      <c r="BQ351">
        <v>0</v>
      </c>
      <c r="BR351" t="s">
        <v>1</v>
      </c>
      <c r="BS351" t="s">
        <v>1</v>
      </c>
      <c r="BT351" t="s">
        <v>1</v>
      </c>
      <c r="BU351" t="s">
        <v>1</v>
      </c>
      <c r="BV351" t="s">
        <v>1</v>
      </c>
      <c r="BW351" t="s">
        <v>360</v>
      </c>
      <c r="BX351" t="s">
        <v>1</v>
      </c>
      <c r="BY351">
        <v>0</v>
      </c>
      <c r="BZ351">
        <v>0</v>
      </c>
      <c r="CA351">
        <v>0</v>
      </c>
      <c r="CB351">
        <v>0</v>
      </c>
      <c r="CD351" t="str" cm="1">
        <f t="array" aca="1" ref="CD351" ca="1">eConcatenar(A351:CB351,"|")</f>
        <v>LcSbKAE0Em1IudHV|VSA2020-0825|3|IMPERIAL DE LUJO|TABASCO|VILLAHERMOSA |VILLAHERMOSA |2020-10-23|12900|X|X|100|0|0|X|X|X|X|X|X|X|X|X|X|X|X|0|AGUILAR|AGUIRRE|MARIA DEL ROSARIO|0|X|X|CARRETERA PRINCIPAL 101|RANCHERIA TORNO LARGO PRIMERA SECCION|X|9934577525|GUADALUPE MORALES AGUILAR|ZULEYMA ZENTENO MORALES|0|CARRETERA PRINCIPAL 101|X|4|0|0|X|X|X|0|6690|6210|0|0|X|2021-12-24|2021-12-31|X|X|X|0|0|S35D6D3Y9KVTQ2|X|MUJER|0|12900|0|0|0|X|X|X|X|X|VILLAHERMOSA |X|0|0|0|0</v>
      </c>
    </row>
    <row r="352" spans="1:82" x14ac:dyDescent="0.25">
      <c r="A352" t="s">
        <v>2616</v>
      </c>
      <c r="B352" t="s">
        <v>2617</v>
      </c>
      <c r="C352">
        <v>3</v>
      </c>
      <c r="D352" t="s">
        <v>715</v>
      </c>
      <c r="E352" t="s">
        <v>359</v>
      </c>
      <c r="F352" t="s">
        <v>360</v>
      </c>
      <c r="G352" t="s">
        <v>360</v>
      </c>
      <c r="H352" t="s">
        <v>552</v>
      </c>
      <c r="I352">
        <v>12900</v>
      </c>
      <c r="J352" t="s">
        <v>1</v>
      </c>
      <c r="K352" t="s">
        <v>1</v>
      </c>
      <c r="L352">
        <v>200</v>
      </c>
      <c r="M352">
        <v>1</v>
      </c>
      <c r="N352">
        <v>0</v>
      </c>
      <c r="O352" t="s">
        <v>1</v>
      </c>
      <c r="P352" t="s">
        <v>1</v>
      </c>
      <c r="Q352" t="s">
        <v>1</v>
      </c>
      <c r="R352" t="s">
        <v>1</v>
      </c>
      <c r="S352" t="s">
        <v>1</v>
      </c>
      <c r="T352" t="s">
        <v>1</v>
      </c>
      <c r="U352" t="s">
        <v>1</v>
      </c>
      <c r="V352" t="s">
        <v>1</v>
      </c>
      <c r="W352" t="s">
        <v>1</v>
      </c>
      <c r="X352" t="s">
        <v>1</v>
      </c>
      <c r="Y352" t="s">
        <v>1</v>
      </c>
      <c r="Z352" t="s">
        <v>1</v>
      </c>
      <c r="AA352">
        <v>0</v>
      </c>
      <c r="AB352" t="s">
        <v>2618</v>
      </c>
      <c r="AC352" t="s">
        <v>1220</v>
      </c>
      <c r="AD352" t="s">
        <v>2619</v>
      </c>
      <c r="AE352">
        <v>0</v>
      </c>
      <c r="AF352" t="s">
        <v>1</v>
      </c>
      <c r="AG352" t="s">
        <v>1</v>
      </c>
      <c r="AH352" t="s">
        <v>545</v>
      </c>
      <c r="AI352" t="s">
        <v>2620</v>
      </c>
      <c r="AJ352" t="s">
        <v>1</v>
      </c>
      <c r="AK352">
        <v>9932564045</v>
      </c>
      <c r="AL352" t="s">
        <v>2621</v>
      </c>
      <c r="AM352" t="s">
        <v>2622</v>
      </c>
      <c r="AN352">
        <v>0</v>
      </c>
      <c r="AO352" t="s">
        <v>545</v>
      </c>
      <c r="AP352" t="s">
        <v>1</v>
      </c>
      <c r="AQ352">
        <v>4</v>
      </c>
      <c r="AR352">
        <v>0</v>
      </c>
      <c r="AS352">
        <v>0</v>
      </c>
      <c r="AT352" t="s">
        <v>1</v>
      </c>
      <c r="AU352" t="s">
        <v>1</v>
      </c>
      <c r="AV352" t="s">
        <v>1</v>
      </c>
      <c r="AW352">
        <v>0</v>
      </c>
      <c r="AX352">
        <v>5690</v>
      </c>
      <c r="AY352">
        <v>7210</v>
      </c>
      <c r="AZ352">
        <v>0</v>
      </c>
      <c r="BA352">
        <v>0</v>
      </c>
      <c r="BB352" t="s">
        <v>1</v>
      </c>
      <c r="BC352" t="s">
        <v>1954</v>
      </c>
      <c r="BD352" t="s">
        <v>312</v>
      </c>
      <c r="BE352" t="s">
        <v>1</v>
      </c>
      <c r="BF352" t="s">
        <v>1</v>
      </c>
      <c r="BG352" t="s">
        <v>1</v>
      </c>
      <c r="BH352">
        <v>0</v>
      </c>
      <c r="BI352">
        <v>0</v>
      </c>
      <c r="BJ352" t="s">
        <v>1930</v>
      </c>
      <c r="BK352" t="s">
        <v>1</v>
      </c>
      <c r="BL352" t="s">
        <v>1138</v>
      </c>
      <c r="BM352">
        <v>0</v>
      </c>
      <c r="BN352">
        <v>12900</v>
      </c>
      <c r="BO352">
        <v>0</v>
      </c>
      <c r="BP352">
        <v>0</v>
      </c>
      <c r="BQ352">
        <v>0</v>
      </c>
      <c r="BR352" t="s">
        <v>1</v>
      </c>
      <c r="BS352" t="s">
        <v>1</v>
      </c>
      <c r="BT352" t="s">
        <v>1</v>
      </c>
      <c r="BU352" t="s">
        <v>1</v>
      </c>
      <c r="BV352" t="s">
        <v>1</v>
      </c>
      <c r="BW352" t="s">
        <v>360</v>
      </c>
      <c r="BX352" t="s">
        <v>1</v>
      </c>
      <c r="BY352">
        <v>0</v>
      </c>
      <c r="BZ352">
        <v>0</v>
      </c>
      <c r="CA352">
        <v>0</v>
      </c>
      <c r="CB352">
        <v>0</v>
      </c>
      <c r="CD352" t="str" cm="1">
        <f t="array" aca="1" ref="CD352" ca="1">eConcatenar(A352:CB352,"|")</f>
        <v>xQU8nulI0mCD2TtH|VSA2020-0829|3|IMPERIAL DE LUJO|TABASCO|VILLAHERMOSA |VILLAHERMOSA |2020-10-23|12900|X|X|200|1|0|X|X|X|X|X|X|X|X|X|X|X|X|0|ALCUDIA|GUZMAN|ROSA JUDIT|0|X|X|CARRETERA PRINCIPAL SIN NUMERO |RANCHERIA TORNO LARGO PRIMERA SECCION |X|9932564045|TOMASA CEFERINO ALCUDIA |DOMINGO GUZMAN MORALES|0|CARRETERA PRINCIPAL SIN NUMERO |X|4|0|0|X|X|X|0|5690|7210|0|0|X|2021-12-17|2021-12-24|X|X|X|0|0|S35D6D3Y9KVTQ2|X|MUJER|0|12900|0|0|0|X|X|X|X|X|VILLAHERMOSA |X|0|0|0|0</v>
      </c>
    </row>
    <row r="353" spans="1:82" x14ac:dyDescent="0.25">
      <c r="A353" t="s">
        <v>2623</v>
      </c>
      <c r="B353" t="s">
        <v>2624</v>
      </c>
      <c r="C353">
        <v>3</v>
      </c>
      <c r="D353" t="s">
        <v>715</v>
      </c>
      <c r="E353" t="s">
        <v>359</v>
      </c>
      <c r="F353" t="s">
        <v>360</v>
      </c>
      <c r="G353" t="s">
        <v>360</v>
      </c>
      <c r="H353" t="s">
        <v>2625</v>
      </c>
      <c r="I353">
        <v>12900</v>
      </c>
      <c r="J353" t="s">
        <v>1</v>
      </c>
      <c r="K353" t="s">
        <v>1</v>
      </c>
      <c r="L353">
        <v>100</v>
      </c>
      <c r="M353">
        <v>0</v>
      </c>
      <c r="N353">
        <v>0</v>
      </c>
      <c r="O353" t="s">
        <v>1</v>
      </c>
      <c r="P353" t="s">
        <v>1</v>
      </c>
      <c r="Q353" t="s">
        <v>1</v>
      </c>
      <c r="R353" t="s">
        <v>1</v>
      </c>
      <c r="S353" t="s">
        <v>1</v>
      </c>
      <c r="T353" t="s">
        <v>1</v>
      </c>
      <c r="U353" t="s">
        <v>1</v>
      </c>
      <c r="V353" t="s">
        <v>1</v>
      </c>
      <c r="W353" t="s">
        <v>1</v>
      </c>
      <c r="X353" t="s">
        <v>1</v>
      </c>
      <c r="Y353" t="s">
        <v>1</v>
      </c>
      <c r="Z353" t="s">
        <v>1</v>
      </c>
      <c r="AA353">
        <v>0</v>
      </c>
      <c r="AB353" t="s">
        <v>2609</v>
      </c>
      <c r="AC353" t="s">
        <v>2610</v>
      </c>
      <c r="AD353" t="s">
        <v>2626</v>
      </c>
      <c r="AE353">
        <v>0</v>
      </c>
      <c r="AF353" t="s">
        <v>1</v>
      </c>
      <c r="AG353" t="s">
        <v>1</v>
      </c>
      <c r="AH353" t="s">
        <v>2627</v>
      </c>
      <c r="AI353" t="s">
        <v>2613</v>
      </c>
      <c r="AJ353" t="s">
        <v>1</v>
      </c>
      <c r="AK353">
        <v>9934358302</v>
      </c>
      <c r="AL353" t="s">
        <v>2628</v>
      </c>
      <c r="AM353" t="s">
        <v>2629</v>
      </c>
      <c r="AN353">
        <v>0</v>
      </c>
      <c r="AO353" t="s">
        <v>2627</v>
      </c>
      <c r="AP353" t="s">
        <v>1</v>
      </c>
      <c r="AQ353">
        <v>4</v>
      </c>
      <c r="AR353">
        <v>0</v>
      </c>
      <c r="AS353">
        <v>0</v>
      </c>
      <c r="AT353" t="s">
        <v>1</v>
      </c>
      <c r="AU353" t="s">
        <v>1</v>
      </c>
      <c r="AV353" t="s">
        <v>1</v>
      </c>
      <c r="AW353">
        <v>0</v>
      </c>
      <c r="AX353">
        <v>7400</v>
      </c>
      <c r="AY353">
        <v>5500</v>
      </c>
      <c r="AZ353">
        <v>0</v>
      </c>
      <c r="BA353">
        <v>0</v>
      </c>
      <c r="BB353" t="s">
        <v>1</v>
      </c>
      <c r="BC353" t="s">
        <v>312</v>
      </c>
      <c r="BD353" t="s">
        <v>147</v>
      </c>
      <c r="BE353" t="s">
        <v>1</v>
      </c>
      <c r="BF353" t="s">
        <v>1</v>
      </c>
      <c r="BG353" t="s">
        <v>1</v>
      </c>
      <c r="BH353">
        <v>0</v>
      </c>
      <c r="BI353">
        <v>0</v>
      </c>
      <c r="BJ353" t="s">
        <v>1930</v>
      </c>
      <c r="BK353" t="s">
        <v>1</v>
      </c>
      <c r="BL353" t="s">
        <v>132</v>
      </c>
      <c r="BM353">
        <v>0</v>
      </c>
      <c r="BN353">
        <v>12900</v>
      </c>
      <c r="BO353">
        <v>0</v>
      </c>
      <c r="BP353">
        <v>0</v>
      </c>
      <c r="BQ353">
        <v>0</v>
      </c>
      <c r="BR353" t="s">
        <v>1</v>
      </c>
      <c r="BS353" t="s">
        <v>1</v>
      </c>
      <c r="BT353" t="s">
        <v>1</v>
      </c>
      <c r="BU353" t="s">
        <v>1</v>
      </c>
      <c r="BV353" t="s">
        <v>1</v>
      </c>
      <c r="BW353" t="s">
        <v>360</v>
      </c>
      <c r="BX353" t="s">
        <v>1</v>
      </c>
      <c r="BY353">
        <v>0</v>
      </c>
      <c r="BZ353">
        <v>0</v>
      </c>
      <c r="CA353">
        <v>0</v>
      </c>
      <c r="CB353">
        <v>0</v>
      </c>
      <c r="CD353" t="str" cm="1">
        <f t="array" aca="1" ref="CD353" ca="1">eConcatenar(A353:CB353,"|")</f>
        <v>HN2Znf6ktHeXuubD|VSA2020-0833|3|IMPERIAL DE LUJO|TABASCO|VILLAHERMOSA |VILLAHERMOSA |2020-10-24|12900|X|X|100|0|0|X|X|X|X|X|X|X|X|X|X|X|X|0|AGUILAR|AGUIRRE|DAVID|0|X|X|CARRETERA A TORNO LARGO KILOMETRO SEIS |RANCHERIA TORNO LARGO PRIMERA SECCION|X|9934358302|MARIA ELENA AGREGADA CORDOVA|DANIEL ALBERTO AGUILAR AGREGADA|0|CARRETERA A TORNO LARGO KILOMETRO SEIS |X|4|0|0|X|X|X|0|7400|5500|0|0|X|2021-12-24|2021-12-31|X|X|X|0|0|S35D6D3Y9KVTQ2|X|HOMBRE|0|12900|0|0|0|X|X|X|X|X|VILLAHERMOSA |X|0|0|0|0</v>
      </c>
    </row>
    <row r="354" spans="1:82" x14ac:dyDescent="0.25">
      <c r="A354" t="s">
        <v>2630</v>
      </c>
      <c r="B354" t="s">
        <v>2631</v>
      </c>
      <c r="C354">
        <v>3</v>
      </c>
      <c r="D354" t="s">
        <v>715</v>
      </c>
      <c r="E354" t="s">
        <v>359</v>
      </c>
      <c r="F354" t="s">
        <v>360</v>
      </c>
      <c r="G354" t="s">
        <v>360</v>
      </c>
      <c r="H354" t="s">
        <v>2625</v>
      </c>
      <c r="I354">
        <v>12900</v>
      </c>
      <c r="J354" t="s">
        <v>1</v>
      </c>
      <c r="K354" t="s">
        <v>1</v>
      </c>
      <c r="L354">
        <v>200</v>
      </c>
      <c r="M354">
        <v>1</v>
      </c>
      <c r="N354">
        <v>0</v>
      </c>
      <c r="O354" t="s">
        <v>1</v>
      </c>
      <c r="P354" t="s">
        <v>1</v>
      </c>
      <c r="Q354" t="s">
        <v>1</v>
      </c>
      <c r="R354" t="s">
        <v>1</v>
      </c>
      <c r="S354" t="s">
        <v>1</v>
      </c>
      <c r="T354" t="s">
        <v>1</v>
      </c>
      <c r="U354" t="s">
        <v>1</v>
      </c>
      <c r="V354" t="s">
        <v>1</v>
      </c>
      <c r="W354" t="s">
        <v>1</v>
      </c>
      <c r="X354" t="s">
        <v>1</v>
      </c>
      <c r="Y354" t="s">
        <v>1</v>
      </c>
      <c r="Z354" t="s">
        <v>1</v>
      </c>
      <c r="AA354">
        <v>0</v>
      </c>
      <c r="AB354" t="s">
        <v>576</v>
      </c>
      <c r="AC354" t="s">
        <v>2632</v>
      </c>
      <c r="AD354" t="s">
        <v>1021</v>
      </c>
      <c r="AE354">
        <v>0</v>
      </c>
      <c r="AF354" t="s">
        <v>1</v>
      </c>
      <c r="AG354" t="s">
        <v>1</v>
      </c>
      <c r="AH354" t="s">
        <v>545</v>
      </c>
      <c r="AI354" t="s">
        <v>2613</v>
      </c>
      <c r="AJ354" t="s">
        <v>1</v>
      </c>
      <c r="AK354">
        <v>9931337234</v>
      </c>
      <c r="AL354" t="s">
        <v>2633</v>
      </c>
      <c r="AM354" t="s">
        <v>2634</v>
      </c>
      <c r="AN354">
        <v>0</v>
      </c>
      <c r="AO354" t="s">
        <v>545</v>
      </c>
      <c r="AP354" t="s">
        <v>1</v>
      </c>
      <c r="AQ354">
        <v>4</v>
      </c>
      <c r="AR354">
        <v>0</v>
      </c>
      <c r="AS354">
        <v>0</v>
      </c>
      <c r="AT354" t="s">
        <v>1</v>
      </c>
      <c r="AU354" t="s">
        <v>1</v>
      </c>
      <c r="AV354" t="s">
        <v>1</v>
      </c>
      <c r="AW354">
        <v>0</v>
      </c>
      <c r="AX354">
        <v>4990</v>
      </c>
      <c r="AY354">
        <v>7910</v>
      </c>
      <c r="AZ354">
        <v>0</v>
      </c>
      <c r="BA354">
        <v>0</v>
      </c>
      <c r="BB354" t="s">
        <v>1</v>
      </c>
      <c r="BC354" t="s">
        <v>1954</v>
      </c>
      <c r="BD354" t="s">
        <v>147</v>
      </c>
      <c r="BE354" t="s">
        <v>1</v>
      </c>
      <c r="BF354" t="s">
        <v>1</v>
      </c>
      <c r="BG354" t="s">
        <v>1</v>
      </c>
      <c r="BH354">
        <v>0</v>
      </c>
      <c r="BI354">
        <v>0</v>
      </c>
      <c r="BJ354" t="s">
        <v>1930</v>
      </c>
      <c r="BK354" t="s">
        <v>1</v>
      </c>
      <c r="BL354" t="s">
        <v>1138</v>
      </c>
      <c r="BM354">
        <v>0</v>
      </c>
      <c r="BN354">
        <v>12900</v>
      </c>
      <c r="BO354">
        <v>0</v>
      </c>
      <c r="BP354">
        <v>0</v>
      </c>
      <c r="BQ354">
        <v>0</v>
      </c>
      <c r="BR354" t="s">
        <v>1</v>
      </c>
      <c r="BS354" t="s">
        <v>1</v>
      </c>
      <c r="BT354" t="s">
        <v>1</v>
      </c>
      <c r="BU354" t="s">
        <v>1</v>
      </c>
      <c r="BV354" t="s">
        <v>1</v>
      </c>
      <c r="BW354" t="s">
        <v>360</v>
      </c>
      <c r="BX354" t="s">
        <v>1</v>
      </c>
      <c r="BY354">
        <v>0</v>
      </c>
      <c r="BZ354">
        <v>0</v>
      </c>
      <c r="CA354">
        <v>0</v>
      </c>
      <c r="CB354">
        <v>0</v>
      </c>
      <c r="CD354" t="str" cm="1">
        <f t="array" aca="1" ref="CD354" ca="1">eConcatenar(A354:CB354,"|")</f>
        <v>58s2nbesM4r3Z8Kb|VSA2020-0834|3|IMPERIAL DE LUJO|TABASCO|VILLAHERMOSA |VILLAHERMOSA |2020-10-24|12900|X|X|200|1|0|X|X|X|X|X|X|X|X|X|X|X|X|0|BAUTISTA |RODRIGUEZ|ISABEL|0|X|X|CARRETERA PRINCIPAL SIN NUMERO |RANCHERIA TORNO LARGO PRIMERA SECCION|X|9931337234|ROCIO DEL CARMEN MARIN MENDEZ |RAQUEL RODRIGUEZ BAUTISTA|0|CARRETERA PRINCIPAL SIN NUMERO |X|4|0|0|X|X|X|0|4990|7910|0|0|X|2021-12-17|2021-12-31|X|X|X|0|0|S35D6D3Y9KVTQ2|X|MUJER|0|12900|0|0|0|X|X|X|X|X|VILLAHERMOSA |X|0|0|0|0</v>
      </c>
    </row>
    <row r="355" spans="1:82" x14ac:dyDescent="0.25">
      <c r="A355" t="s">
        <v>2635</v>
      </c>
      <c r="B355" t="s">
        <v>2636</v>
      </c>
      <c r="C355">
        <v>3</v>
      </c>
      <c r="D355" t="s">
        <v>715</v>
      </c>
      <c r="E355" t="s">
        <v>359</v>
      </c>
      <c r="F355" t="s">
        <v>360</v>
      </c>
      <c r="G355" t="s">
        <v>360</v>
      </c>
      <c r="H355" t="s">
        <v>561</v>
      </c>
      <c r="I355">
        <v>12900</v>
      </c>
      <c r="J355" t="s">
        <v>1</v>
      </c>
      <c r="K355" t="s">
        <v>1</v>
      </c>
      <c r="L355">
        <v>200</v>
      </c>
      <c r="M355">
        <v>1</v>
      </c>
      <c r="N355">
        <v>0</v>
      </c>
      <c r="O355" t="s">
        <v>1</v>
      </c>
      <c r="P355" t="s">
        <v>1</v>
      </c>
      <c r="Q355" t="s">
        <v>1</v>
      </c>
      <c r="R355" t="s">
        <v>1</v>
      </c>
      <c r="S355" t="s">
        <v>1</v>
      </c>
      <c r="T355" t="s">
        <v>1</v>
      </c>
      <c r="U355" t="s">
        <v>1</v>
      </c>
      <c r="V355" t="s">
        <v>1</v>
      </c>
      <c r="W355" t="s">
        <v>1</v>
      </c>
      <c r="X355" t="s">
        <v>1</v>
      </c>
      <c r="Y355" t="s">
        <v>1</v>
      </c>
      <c r="Z355" t="s">
        <v>1</v>
      </c>
      <c r="AA355">
        <v>0</v>
      </c>
      <c r="AB355" t="s">
        <v>2637</v>
      </c>
      <c r="AC355" t="s">
        <v>2638</v>
      </c>
      <c r="AD355" t="s">
        <v>978</v>
      </c>
      <c r="AE355">
        <v>0</v>
      </c>
      <c r="AF355" t="s">
        <v>1</v>
      </c>
      <c r="AG355" t="s">
        <v>1</v>
      </c>
      <c r="AH355" t="s">
        <v>2639</v>
      </c>
      <c r="AI355" t="s">
        <v>2640</v>
      </c>
      <c r="AJ355" t="s">
        <v>1</v>
      </c>
      <c r="AK355">
        <v>9931694144</v>
      </c>
      <c r="AL355" t="s">
        <v>2641</v>
      </c>
      <c r="AM355" t="s">
        <v>2642</v>
      </c>
      <c r="AN355">
        <v>0</v>
      </c>
      <c r="AO355" t="s">
        <v>2639</v>
      </c>
      <c r="AP355" t="s">
        <v>1</v>
      </c>
      <c r="AQ355">
        <v>4</v>
      </c>
      <c r="AR355">
        <v>0</v>
      </c>
      <c r="AS355">
        <v>0</v>
      </c>
      <c r="AT355" t="s">
        <v>1</v>
      </c>
      <c r="AU355" t="s">
        <v>1</v>
      </c>
      <c r="AV355" t="s">
        <v>1</v>
      </c>
      <c r="AW355">
        <v>0</v>
      </c>
      <c r="AX355">
        <v>4570</v>
      </c>
      <c r="AY355">
        <v>8330</v>
      </c>
      <c r="AZ355">
        <v>0</v>
      </c>
      <c r="BA355">
        <v>0</v>
      </c>
      <c r="BB355" t="s">
        <v>1</v>
      </c>
      <c r="BC355" t="s">
        <v>863</v>
      </c>
      <c r="BD355" t="s">
        <v>1954</v>
      </c>
      <c r="BE355" t="s">
        <v>1</v>
      </c>
      <c r="BF355" t="s">
        <v>1</v>
      </c>
      <c r="BG355" t="s">
        <v>1</v>
      </c>
      <c r="BH355">
        <v>0</v>
      </c>
      <c r="BI355">
        <v>0</v>
      </c>
      <c r="BJ355" t="s">
        <v>1930</v>
      </c>
      <c r="BK355" t="s">
        <v>1</v>
      </c>
      <c r="BL355" t="s">
        <v>132</v>
      </c>
      <c r="BM355">
        <v>0</v>
      </c>
      <c r="BN355">
        <v>12900</v>
      </c>
      <c r="BO355">
        <v>0</v>
      </c>
      <c r="BP355">
        <v>0</v>
      </c>
      <c r="BQ355">
        <v>0</v>
      </c>
      <c r="BR355" t="s">
        <v>1</v>
      </c>
      <c r="BS355" t="s">
        <v>1</v>
      </c>
      <c r="BT355" t="s">
        <v>1</v>
      </c>
      <c r="BU355" t="s">
        <v>1</v>
      </c>
      <c r="BV355" t="s">
        <v>1</v>
      </c>
      <c r="BW355" t="s">
        <v>360</v>
      </c>
      <c r="BX355" t="s">
        <v>1</v>
      </c>
      <c r="BY355">
        <v>0</v>
      </c>
      <c r="BZ355">
        <v>0</v>
      </c>
      <c r="CA355">
        <v>0</v>
      </c>
      <c r="CB355">
        <v>0</v>
      </c>
      <c r="CD355" t="str" cm="1">
        <f t="array" aca="1" ref="CD355" ca="1">eConcatenar(A355:CB355,"|")</f>
        <v>woM36oNDmTzufSdM|VSA2020-0841|3|IMPERIAL DE LUJO|TABASCO|VILLAHERMOSA |VILLAHERMOSA |2020-10-26|12900|X|X|200|1|0|X|X|X|X|X|X|X|X|X|X|X|X|0|CUREÃ‘O |PORTER|ALEJANDRO |0|X|X|DISTRITO MINATITLAN |FRACCIONAMIENTO JOSE PAGES LLERGO |X|9931694144|LILIANA DENISSE CUREÃ‘O PORTER|SILVIA PATRICIA PORTER SUAREZ|0|DISTRITO MINATITLAN |X|4|0|0|X|X|X|0|4570|8330|0|0|X|2021-03-12|2021-12-17|X|X|X|0|0|S35D6D3Y9KVTQ2|X|HOMBRE|0|12900|0|0|0|X|X|X|X|X|VILLAHERMOSA |X|0|0|0|0</v>
      </c>
    </row>
    <row r="356" spans="1:82" x14ac:dyDescent="0.25">
      <c r="A356" t="s">
        <v>2643</v>
      </c>
      <c r="B356" t="s">
        <v>2644</v>
      </c>
      <c r="C356">
        <v>3</v>
      </c>
      <c r="D356" t="s">
        <v>715</v>
      </c>
      <c r="E356" t="s">
        <v>359</v>
      </c>
      <c r="F356" t="s">
        <v>360</v>
      </c>
      <c r="G356" t="s">
        <v>360</v>
      </c>
      <c r="H356" t="s">
        <v>1087</v>
      </c>
      <c r="I356">
        <v>12900</v>
      </c>
      <c r="J356" t="s">
        <v>1</v>
      </c>
      <c r="K356" t="s">
        <v>1</v>
      </c>
      <c r="L356">
        <v>100</v>
      </c>
      <c r="M356">
        <v>0</v>
      </c>
      <c r="N356">
        <v>0</v>
      </c>
      <c r="O356" t="s">
        <v>1</v>
      </c>
      <c r="P356" t="s">
        <v>1</v>
      </c>
      <c r="Q356" t="s">
        <v>1</v>
      </c>
      <c r="R356" t="s">
        <v>1</v>
      </c>
      <c r="S356" t="s">
        <v>1</v>
      </c>
      <c r="T356" t="s">
        <v>1</v>
      </c>
      <c r="U356" t="s">
        <v>1</v>
      </c>
      <c r="V356" t="s">
        <v>1</v>
      </c>
      <c r="W356" t="s">
        <v>1</v>
      </c>
      <c r="X356" t="s">
        <v>1</v>
      </c>
      <c r="Y356" t="s">
        <v>1</v>
      </c>
      <c r="Z356" t="s">
        <v>1</v>
      </c>
      <c r="AA356">
        <v>0</v>
      </c>
      <c r="AB356" t="s">
        <v>2645</v>
      </c>
      <c r="AC356" t="s">
        <v>1044</v>
      </c>
      <c r="AD356" t="s">
        <v>2646</v>
      </c>
      <c r="AE356">
        <v>0</v>
      </c>
      <c r="AF356" t="s">
        <v>1</v>
      </c>
      <c r="AG356" t="s">
        <v>1</v>
      </c>
      <c r="AH356" t="s">
        <v>545</v>
      </c>
      <c r="AI356" t="s">
        <v>2647</v>
      </c>
      <c r="AJ356" t="s">
        <v>1</v>
      </c>
      <c r="AK356">
        <v>9932402659</v>
      </c>
      <c r="AL356" t="s">
        <v>2648</v>
      </c>
      <c r="AM356" t="s">
        <v>2649</v>
      </c>
      <c r="AN356">
        <v>0</v>
      </c>
      <c r="AO356" t="s">
        <v>545</v>
      </c>
      <c r="AP356" t="s">
        <v>1</v>
      </c>
      <c r="AQ356">
        <v>4</v>
      </c>
      <c r="AR356">
        <v>0</v>
      </c>
      <c r="AS356">
        <v>0</v>
      </c>
      <c r="AT356" t="s">
        <v>1</v>
      </c>
      <c r="AU356" t="s">
        <v>1</v>
      </c>
      <c r="AV356" t="s">
        <v>1</v>
      </c>
      <c r="AW356">
        <v>0</v>
      </c>
      <c r="AX356">
        <v>4790</v>
      </c>
      <c r="AY356">
        <v>8110</v>
      </c>
      <c r="AZ356">
        <v>0</v>
      </c>
      <c r="BA356">
        <v>0</v>
      </c>
      <c r="BB356" t="s">
        <v>1</v>
      </c>
      <c r="BC356" t="s">
        <v>729</v>
      </c>
      <c r="BD356" t="s">
        <v>1954</v>
      </c>
      <c r="BE356" t="s">
        <v>1</v>
      </c>
      <c r="BF356" t="s">
        <v>1</v>
      </c>
      <c r="BG356" t="s">
        <v>1</v>
      </c>
      <c r="BH356">
        <v>0</v>
      </c>
      <c r="BI356">
        <v>0</v>
      </c>
      <c r="BJ356" t="s">
        <v>1930</v>
      </c>
      <c r="BK356" t="s">
        <v>1</v>
      </c>
      <c r="BL356" t="s">
        <v>132</v>
      </c>
      <c r="BM356">
        <v>0</v>
      </c>
      <c r="BN356">
        <v>12900</v>
      </c>
      <c r="BO356">
        <v>0</v>
      </c>
      <c r="BP356">
        <v>0</v>
      </c>
      <c r="BQ356">
        <v>0</v>
      </c>
      <c r="BR356" t="s">
        <v>1</v>
      </c>
      <c r="BS356" t="s">
        <v>1</v>
      </c>
      <c r="BT356" t="s">
        <v>1</v>
      </c>
      <c r="BU356" t="s">
        <v>1</v>
      </c>
      <c r="BV356" t="s">
        <v>1</v>
      </c>
      <c r="BW356" t="s">
        <v>360</v>
      </c>
      <c r="BX356" t="s">
        <v>1</v>
      </c>
      <c r="BY356">
        <v>0</v>
      </c>
      <c r="BZ356">
        <v>0</v>
      </c>
      <c r="CA356">
        <v>0</v>
      </c>
      <c r="CB356">
        <v>0</v>
      </c>
      <c r="CD356" t="str" cm="1">
        <f t="array" aca="1" ref="CD356" ca="1">eConcatenar(A356:CB356,"|")</f>
        <v>mxf4ibQQazgg8dQX|VSA2020-0867|3|IMPERIAL DE LUJO|TABASCO|VILLAHERMOSA |VILLAHERMOSA |2020-10-28|12900|X|X|100|0|0|X|X|X|X|X|X|X|X|X|X|X|X|0|SEGOVIA|GERONIMO|AGUSTIN|0|X|X|CARRETERA PRINCIPAL SIN NUMERO |RANCHERIA GONZALEZ CUARTA SECCION 86280|X|9932402659|AGUSTIN SEGOVIA ARIAS |ANA MARIA GERONIMO GERONIMO|0|CARRETERA PRINCIPAL SIN NUMERO |X|4|0|0|X|X|X|0|4790|8110|0|0|X|2021-09-12|2021-12-17|X|X|X|0|0|S35D6D3Y9KVTQ2|X|HOMBRE|0|12900|0|0|0|X|X|X|X|X|VILLAHERMOSA |X|0|0|0|0</v>
      </c>
    </row>
    <row r="357" spans="1:82" x14ac:dyDescent="0.25">
      <c r="A357" t="s">
        <v>2650</v>
      </c>
      <c r="B357" t="s">
        <v>2651</v>
      </c>
      <c r="C357">
        <v>3</v>
      </c>
      <c r="D357" t="s">
        <v>715</v>
      </c>
      <c r="E357" t="s">
        <v>359</v>
      </c>
      <c r="F357" t="s">
        <v>360</v>
      </c>
      <c r="G357" t="s">
        <v>360</v>
      </c>
      <c r="H357" t="s">
        <v>1087</v>
      </c>
      <c r="I357">
        <v>12900</v>
      </c>
      <c r="J357" t="s">
        <v>1</v>
      </c>
      <c r="K357" t="s">
        <v>1</v>
      </c>
      <c r="L357">
        <v>100</v>
      </c>
      <c r="M357">
        <v>0</v>
      </c>
      <c r="N357">
        <v>0</v>
      </c>
      <c r="O357" t="s">
        <v>1</v>
      </c>
      <c r="P357" t="s">
        <v>1</v>
      </c>
      <c r="Q357" t="s">
        <v>1</v>
      </c>
      <c r="R357" t="s">
        <v>1</v>
      </c>
      <c r="S357" t="s">
        <v>1</v>
      </c>
      <c r="T357" t="s">
        <v>1</v>
      </c>
      <c r="U357" t="s">
        <v>1</v>
      </c>
      <c r="V357" t="s">
        <v>1</v>
      </c>
      <c r="W357" t="s">
        <v>1</v>
      </c>
      <c r="X357" t="s">
        <v>1</v>
      </c>
      <c r="Y357" t="s">
        <v>1</v>
      </c>
      <c r="Z357" t="s">
        <v>1</v>
      </c>
      <c r="AA357">
        <v>0</v>
      </c>
      <c r="AB357" t="s">
        <v>15</v>
      </c>
      <c r="AC357" t="s">
        <v>1196</v>
      </c>
      <c r="AD357" t="s">
        <v>2652</v>
      </c>
      <c r="AE357">
        <v>0</v>
      </c>
      <c r="AF357" t="s">
        <v>1</v>
      </c>
      <c r="AG357" t="s">
        <v>1</v>
      </c>
      <c r="AH357" t="s">
        <v>2653</v>
      </c>
      <c r="AI357" t="s">
        <v>2560</v>
      </c>
      <c r="AJ357" t="s">
        <v>1</v>
      </c>
      <c r="AK357">
        <v>9934420696</v>
      </c>
      <c r="AL357" t="s">
        <v>2654</v>
      </c>
      <c r="AM357" t="s">
        <v>2655</v>
      </c>
      <c r="AN357">
        <v>0</v>
      </c>
      <c r="AO357" t="s">
        <v>2653</v>
      </c>
      <c r="AP357" t="s">
        <v>1</v>
      </c>
      <c r="AQ357">
        <v>4</v>
      </c>
      <c r="AR357">
        <v>0</v>
      </c>
      <c r="AS357">
        <v>0</v>
      </c>
      <c r="AT357" t="s">
        <v>1</v>
      </c>
      <c r="AU357" t="s">
        <v>1</v>
      </c>
      <c r="AV357" t="s">
        <v>1</v>
      </c>
      <c r="AW357">
        <v>0</v>
      </c>
      <c r="AX357">
        <v>5790</v>
      </c>
      <c r="AY357">
        <v>7110</v>
      </c>
      <c r="AZ357">
        <v>0</v>
      </c>
      <c r="BA357">
        <v>0</v>
      </c>
      <c r="BB357" t="s">
        <v>1</v>
      </c>
      <c r="BC357" t="s">
        <v>2233</v>
      </c>
      <c r="BD357" t="s">
        <v>1954</v>
      </c>
      <c r="BE357" t="s">
        <v>1</v>
      </c>
      <c r="BF357" t="s">
        <v>1</v>
      </c>
      <c r="BG357" t="s">
        <v>1</v>
      </c>
      <c r="BH357">
        <v>0</v>
      </c>
      <c r="BI357">
        <v>0</v>
      </c>
      <c r="BJ357" t="s">
        <v>1930</v>
      </c>
      <c r="BK357" t="s">
        <v>1</v>
      </c>
      <c r="BL357" t="s">
        <v>132</v>
      </c>
      <c r="BM357">
        <v>0</v>
      </c>
      <c r="BN357">
        <v>12900</v>
      </c>
      <c r="BO357">
        <v>0</v>
      </c>
      <c r="BP357">
        <v>0</v>
      </c>
      <c r="BQ357">
        <v>0</v>
      </c>
      <c r="BR357" t="s">
        <v>1</v>
      </c>
      <c r="BS357" t="s">
        <v>1</v>
      </c>
      <c r="BT357" t="s">
        <v>1</v>
      </c>
      <c r="BU357" t="s">
        <v>1</v>
      </c>
      <c r="BV357" t="s">
        <v>1</v>
      </c>
      <c r="BW357" t="s">
        <v>360</v>
      </c>
      <c r="BX357" t="s">
        <v>1</v>
      </c>
      <c r="BY357">
        <v>0</v>
      </c>
      <c r="BZ357">
        <v>0</v>
      </c>
      <c r="CA357">
        <v>0</v>
      </c>
      <c r="CB357">
        <v>0</v>
      </c>
      <c r="CD357" t="str" cm="1">
        <f t="array" aca="1" ref="CD357" ca="1">eConcatenar(A357:CB357,"|")</f>
        <v>0EWzqGTOw7wytYvo|VSA2020-0873|3|IMPERIAL DE LUJO|TABASCO|VILLAHERMOSA |VILLAHERMOSA |2020-10-28|12900|X|X|100|0|0|X|X|X|X|X|X|X|X|X|X|X|X|0|PEREZ |FELIX|TERENSIO|0|X|X|CALLE VICENTE GUERRERO 821 |COLONIA TAMULTE|X|9934420696|MARIA CRUZ LOPEZ CRUZ |PATRICIA PEREZ CAMACHO|0|CALLE VICENTE GUERRERO 821 |X|4|0|0|X|X|X|0|5790|7110|0|0|X|2021-10-12|2021-12-17|X|X|X|0|0|S35D6D3Y9KVTQ2|X|HOMBRE|0|12900|0|0|0|X|X|X|X|X|VILLAHERMOSA |X|0|0|0|0</v>
      </c>
    </row>
    <row r="358" spans="1:82" x14ac:dyDescent="0.25">
      <c r="A358" t="s">
        <v>2656</v>
      </c>
      <c r="B358" t="s">
        <v>2657</v>
      </c>
      <c r="C358">
        <v>3</v>
      </c>
      <c r="D358" t="s">
        <v>715</v>
      </c>
      <c r="E358" t="s">
        <v>359</v>
      </c>
      <c r="F358" t="s">
        <v>360</v>
      </c>
      <c r="G358" t="s">
        <v>360</v>
      </c>
      <c r="H358" t="s">
        <v>1896</v>
      </c>
      <c r="I358">
        <v>12900</v>
      </c>
      <c r="J358" t="s">
        <v>1</v>
      </c>
      <c r="K358" t="s">
        <v>1</v>
      </c>
      <c r="L358">
        <v>100</v>
      </c>
      <c r="M358">
        <v>0</v>
      </c>
      <c r="N358">
        <v>0</v>
      </c>
      <c r="O358" t="s">
        <v>1</v>
      </c>
      <c r="P358" t="s">
        <v>1</v>
      </c>
      <c r="Q358" t="s">
        <v>1</v>
      </c>
      <c r="R358" t="s">
        <v>1</v>
      </c>
      <c r="S358" t="s">
        <v>1</v>
      </c>
      <c r="T358" t="s">
        <v>1</v>
      </c>
      <c r="U358" t="s">
        <v>1</v>
      </c>
      <c r="V358" t="s">
        <v>1</v>
      </c>
      <c r="W358" t="s">
        <v>1</v>
      </c>
      <c r="X358" t="s">
        <v>1</v>
      </c>
      <c r="Y358" t="s">
        <v>1</v>
      </c>
      <c r="Z358" t="s">
        <v>1</v>
      </c>
      <c r="AA358">
        <v>0</v>
      </c>
      <c r="AB358" t="s">
        <v>543</v>
      </c>
      <c r="AC358" t="s">
        <v>2658</v>
      </c>
      <c r="AD358" t="s">
        <v>2659</v>
      </c>
      <c r="AE358">
        <v>0</v>
      </c>
      <c r="AF358" t="s">
        <v>1</v>
      </c>
      <c r="AG358" t="s">
        <v>1</v>
      </c>
      <c r="AH358" t="s">
        <v>545</v>
      </c>
      <c r="AI358" t="s">
        <v>2510</v>
      </c>
      <c r="AJ358" t="s">
        <v>1</v>
      </c>
      <c r="AK358">
        <v>9931926912</v>
      </c>
      <c r="AL358" t="s">
        <v>2660</v>
      </c>
      <c r="AM358" t="s">
        <v>2661</v>
      </c>
      <c r="AN358">
        <v>0</v>
      </c>
      <c r="AO358" t="s">
        <v>545</v>
      </c>
      <c r="AP358" t="s">
        <v>1</v>
      </c>
      <c r="AQ358">
        <v>4</v>
      </c>
      <c r="AR358">
        <v>0</v>
      </c>
      <c r="AS358">
        <v>0</v>
      </c>
      <c r="AT358" t="s">
        <v>1</v>
      </c>
      <c r="AU358" t="s">
        <v>1</v>
      </c>
      <c r="AV358" t="s">
        <v>1</v>
      </c>
      <c r="AW358">
        <v>0</v>
      </c>
      <c r="AX358">
        <v>6500</v>
      </c>
      <c r="AY358">
        <v>6400</v>
      </c>
      <c r="AZ358">
        <v>0</v>
      </c>
      <c r="BA358">
        <v>0</v>
      </c>
      <c r="BB358" t="s">
        <v>1</v>
      </c>
      <c r="BC358" t="s">
        <v>312</v>
      </c>
      <c r="BD358" t="s">
        <v>147</v>
      </c>
      <c r="BE358" t="s">
        <v>1</v>
      </c>
      <c r="BF358" t="s">
        <v>1</v>
      </c>
      <c r="BG358" t="s">
        <v>1</v>
      </c>
      <c r="BH358">
        <v>0</v>
      </c>
      <c r="BI358">
        <v>0</v>
      </c>
      <c r="BJ358" t="s">
        <v>1930</v>
      </c>
      <c r="BK358" t="s">
        <v>1</v>
      </c>
      <c r="BL358" t="s">
        <v>132</v>
      </c>
      <c r="BM358">
        <v>0</v>
      </c>
      <c r="BN358">
        <v>12900</v>
      </c>
      <c r="BO358">
        <v>0</v>
      </c>
      <c r="BP358">
        <v>0</v>
      </c>
      <c r="BQ358">
        <v>0</v>
      </c>
      <c r="BR358" t="s">
        <v>1</v>
      </c>
      <c r="BS358" t="s">
        <v>1</v>
      </c>
      <c r="BT358" t="s">
        <v>1</v>
      </c>
      <c r="BU358" t="s">
        <v>1</v>
      </c>
      <c r="BV358" t="s">
        <v>1</v>
      </c>
      <c r="BW358" t="s">
        <v>360</v>
      </c>
      <c r="BX358" t="s">
        <v>1</v>
      </c>
      <c r="BY358">
        <v>0</v>
      </c>
      <c r="BZ358">
        <v>0</v>
      </c>
      <c r="CA358">
        <v>0</v>
      </c>
      <c r="CB358">
        <v>0</v>
      </c>
      <c r="CD358" t="str" cm="1">
        <f t="array" aca="1" ref="CD358" ca="1">eConcatenar(A358:CB358,"|")</f>
        <v>KZidBwVzSkWxlcvS|VSA2020-0881|3|IMPERIAL DE LUJO|TABASCO|VILLAHERMOSA |VILLAHERMOSA |2020-10-29|12900|X|X|100|0|0|X|X|X|X|X|X|X|X|X|X|X|X|0|ARIAS |RAMON|TEOFILO|0|X|X|CARRETERA PRINCIPAL SIN NUMERO |RANCHERIA IXTACOMITAN TERCERA SECCION|X|9931926912|MARIA DEL ROSARIO SANCHEZ CASTRO|HERMINIA ARIAS SANCHEZ|0|CARRETERA PRINCIPAL SIN NUMERO |X|4|0|0|X|X|X|0|6500|6400|0|0|X|2021-12-24|2021-12-31|X|X|X|0|0|S35D6D3Y9KVTQ2|X|HOMBRE|0|12900|0|0|0|X|X|X|X|X|VILLAHERMOSA |X|0|0|0|0</v>
      </c>
    </row>
    <row r="359" spans="1:82" x14ac:dyDescent="0.25">
      <c r="A359" t="s">
        <v>2662</v>
      </c>
      <c r="B359" t="s">
        <v>2663</v>
      </c>
      <c r="C359">
        <v>3</v>
      </c>
      <c r="D359" t="s">
        <v>715</v>
      </c>
      <c r="E359" t="s">
        <v>359</v>
      </c>
      <c r="F359" t="s">
        <v>360</v>
      </c>
      <c r="G359" t="s">
        <v>360</v>
      </c>
      <c r="H359" t="s">
        <v>1896</v>
      </c>
      <c r="I359">
        <v>12900</v>
      </c>
      <c r="J359" t="s">
        <v>1</v>
      </c>
      <c r="K359" t="s">
        <v>1</v>
      </c>
      <c r="L359">
        <v>100</v>
      </c>
      <c r="M359">
        <v>0</v>
      </c>
      <c r="N359">
        <v>0</v>
      </c>
      <c r="O359" t="s">
        <v>1</v>
      </c>
      <c r="P359" t="s">
        <v>1</v>
      </c>
      <c r="Q359" t="s">
        <v>1</v>
      </c>
      <c r="R359" t="s">
        <v>1</v>
      </c>
      <c r="S359" t="s">
        <v>1</v>
      </c>
      <c r="T359" t="s">
        <v>1</v>
      </c>
      <c r="U359" t="s">
        <v>1</v>
      </c>
      <c r="V359" t="s">
        <v>1</v>
      </c>
      <c r="W359" t="s">
        <v>1</v>
      </c>
      <c r="X359" t="s">
        <v>1</v>
      </c>
      <c r="Y359" t="s">
        <v>1</v>
      </c>
      <c r="Z359" t="s">
        <v>1</v>
      </c>
      <c r="AA359">
        <v>0</v>
      </c>
      <c r="AB359" t="s">
        <v>2664</v>
      </c>
      <c r="AC359" t="s">
        <v>743</v>
      </c>
      <c r="AD359" t="s">
        <v>2665</v>
      </c>
      <c r="AE359">
        <v>0</v>
      </c>
      <c r="AF359" t="s">
        <v>1</v>
      </c>
      <c r="AG359" t="s">
        <v>1</v>
      </c>
      <c r="AH359" t="s">
        <v>2666</v>
      </c>
      <c r="AI359" t="s">
        <v>2510</v>
      </c>
      <c r="AJ359" t="s">
        <v>1</v>
      </c>
      <c r="AK359">
        <v>9931211155</v>
      </c>
      <c r="AL359" t="s">
        <v>2667</v>
      </c>
      <c r="AM359" t="s">
        <v>2668</v>
      </c>
      <c r="AN359">
        <v>0</v>
      </c>
      <c r="AO359" t="s">
        <v>2666</v>
      </c>
      <c r="AP359" t="s">
        <v>1</v>
      </c>
      <c r="AQ359">
        <v>4</v>
      </c>
      <c r="AR359">
        <v>0</v>
      </c>
      <c r="AS359">
        <v>0</v>
      </c>
      <c r="AT359" t="s">
        <v>1</v>
      </c>
      <c r="AU359" t="s">
        <v>1</v>
      </c>
      <c r="AV359" t="s">
        <v>1</v>
      </c>
      <c r="AW359">
        <v>0</v>
      </c>
      <c r="AX359">
        <v>6200</v>
      </c>
      <c r="AY359">
        <v>6700</v>
      </c>
      <c r="AZ359">
        <v>0</v>
      </c>
      <c r="BA359">
        <v>0</v>
      </c>
      <c r="BB359" t="s">
        <v>1</v>
      </c>
      <c r="BC359" t="s">
        <v>312</v>
      </c>
      <c r="BD359" t="s">
        <v>147</v>
      </c>
      <c r="BE359" t="s">
        <v>1</v>
      </c>
      <c r="BF359" t="s">
        <v>1</v>
      </c>
      <c r="BG359" t="s">
        <v>1</v>
      </c>
      <c r="BH359">
        <v>0</v>
      </c>
      <c r="BI359">
        <v>0</v>
      </c>
      <c r="BJ359" t="s">
        <v>1930</v>
      </c>
      <c r="BK359" t="s">
        <v>1</v>
      </c>
      <c r="BL359" t="s">
        <v>1138</v>
      </c>
      <c r="BM359">
        <v>0</v>
      </c>
      <c r="BN359">
        <v>12900</v>
      </c>
      <c r="BO359">
        <v>0</v>
      </c>
      <c r="BP359">
        <v>0</v>
      </c>
      <c r="BQ359">
        <v>0</v>
      </c>
      <c r="BR359" t="s">
        <v>1</v>
      </c>
      <c r="BS359" t="s">
        <v>1</v>
      </c>
      <c r="BT359" t="s">
        <v>1</v>
      </c>
      <c r="BU359" t="s">
        <v>1</v>
      </c>
      <c r="BV359" t="s">
        <v>1</v>
      </c>
      <c r="BW359" t="s">
        <v>360</v>
      </c>
      <c r="BX359" t="s">
        <v>1</v>
      </c>
      <c r="BY359">
        <v>0</v>
      </c>
      <c r="BZ359">
        <v>0</v>
      </c>
      <c r="CA359">
        <v>0</v>
      </c>
      <c r="CB359">
        <v>0</v>
      </c>
      <c r="CD359" t="str" cm="1">
        <f t="array" aca="1" ref="CD359" ca="1">eConcatenar(A359:CB359,"|")</f>
        <v>rLSnCjuyp8eP6rlD|VSA2020-0882|3|IMPERIAL DE LUJO|TABASCO|VILLAHERMOSA |VILLAHERMOSA |2020-10-29|12900|X|X|100|0|0|X|X|X|X|X|X|X|X|X|X|X|X|0|SILVIA |VIDAL|MARIA SUSANA|0|X|X|CALLEJON LA CURVA SIN NUMERO|RANCHERIA IXTACOMITAN TERCERA SECCION|X|9931211155|DAVID GONGORA FLORES|HERIBERTO GONGORA SILVA|0|CALLEJON LA CURVA SIN NUMERO|X|4|0|0|X|X|X|0|6200|6700|0|0|X|2021-12-24|2021-12-31|X|X|X|0|0|S35D6D3Y9KVTQ2|X|MUJER|0|12900|0|0|0|X|X|X|X|X|VILLAHERMOSA |X|0|0|0|0</v>
      </c>
    </row>
    <row r="360" spans="1:82" x14ac:dyDescent="0.25">
      <c r="A360" t="s">
        <v>2669</v>
      </c>
      <c r="B360" t="s">
        <v>2670</v>
      </c>
      <c r="C360">
        <v>3</v>
      </c>
      <c r="D360" t="s">
        <v>715</v>
      </c>
      <c r="E360" t="s">
        <v>359</v>
      </c>
      <c r="F360" t="s">
        <v>360</v>
      </c>
      <c r="G360" t="s">
        <v>360</v>
      </c>
      <c r="H360" t="s">
        <v>1896</v>
      </c>
      <c r="I360">
        <v>12900</v>
      </c>
      <c r="J360" t="s">
        <v>1</v>
      </c>
      <c r="K360" t="s">
        <v>1</v>
      </c>
      <c r="L360">
        <v>100</v>
      </c>
      <c r="M360">
        <v>0</v>
      </c>
      <c r="N360">
        <v>0</v>
      </c>
      <c r="O360" t="s">
        <v>1</v>
      </c>
      <c r="P360" t="s">
        <v>1</v>
      </c>
      <c r="Q360" t="s">
        <v>1</v>
      </c>
      <c r="R360" t="s">
        <v>1</v>
      </c>
      <c r="S360" t="s">
        <v>1</v>
      </c>
      <c r="T360" t="s">
        <v>1</v>
      </c>
      <c r="U360" t="s">
        <v>1</v>
      </c>
      <c r="V360" t="s">
        <v>1</v>
      </c>
      <c r="W360" t="s">
        <v>1</v>
      </c>
      <c r="X360" t="s">
        <v>1</v>
      </c>
      <c r="Y360" t="s">
        <v>1</v>
      </c>
      <c r="Z360" t="s">
        <v>1</v>
      </c>
      <c r="AA360">
        <v>0</v>
      </c>
      <c r="AB360" t="s">
        <v>148</v>
      </c>
      <c r="AC360" t="s">
        <v>829</v>
      </c>
      <c r="AD360" t="s">
        <v>2671</v>
      </c>
      <c r="AE360">
        <v>0</v>
      </c>
      <c r="AF360" t="s">
        <v>1</v>
      </c>
      <c r="AG360" t="s">
        <v>1</v>
      </c>
      <c r="AH360" t="s">
        <v>2672</v>
      </c>
      <c r="AI360" t="s">
        <v>2673</v>
      </c>
      <c r="AJ360" t="s">
        <v>1</v>
      </c>
      <c r="AK360">
        <v>9931056811</v>
      </c>
      <c r="AL360" t="s">
        <v>2674</v>
      </c>
      <c r="AM360" t="s">
        <v>2675</v>
      </c>
      <c r="AN360">
        <v>0</v>
      </c>
      <c r="AO360" t="s">
        <v>2672</v>
      </c>
      <c r="AP360" t="s">
        <v>1</v>
      </c>
      <c r="AQ360">
        <v>4</v>
      </c>
      <c r="AR360">
        <v>0</v>
      </c>
      <c r="AS360">
        <v>0</v>
      </c>
      <c r="AT360" t="s">
        <v>1</v>
      </c>
      <c r="AU360" t="s">
        <v>1</v>
      </c>
      <c r="AV360" t="s">
        <v>1</v>
      </c>
      <c r="AW360">
        <v>0</v>
      </c>
      <c r="AX360">
        <v>5890</v>
      </c>
      <c r="AY360">
        <v>7010</v>
      </c>
      <c r="AZ360">
        <v>0</v>
      </c>
      <c r="BA360">
        <v>0</v>
      </c>
      <c r="BB360" t="s">
        <v>1</v>
      </c>
      <c r="BC360" t="s">
        <v>312</v>
      </c>
      <c r="BD360" t="s">
        <v>147</v>
      </c>
      <c r="BE360" t="s">
        <v>1</v>
      </c>
      <c r="BF360" t="s">
        <v>1</v>
      </c>
      <c r="BG360" t="s">
        <v>1</v>
      </c>
      <c r="BH360">
        <v>0</v>
      </c>
      <c r="BI360">
        <v>0</v>
      </c>
      <c r="BJ360" t="s">
        <v>1930</v>
      </c>
      <c r="BK360" t="s">
        <v>1</v>
      </c>
      <c r="BL360" t="s">
        <v>1138</v>
      </c>
      <c r="BM360">
        <v>0</v>
      </c>
      <c r="BN360">
        <v>12900</v>
      </c>
      <c r="BO360">
        <v>0</v>
      </c>
      <c r="BP360">
        <v>0</v>
      </c>
      <c r="BQ360">
        <v>0</v>
      </c>
      <c r="BR360" t="s">
        <v>1</v>
      </c>
      <c r="BS360" t="s">
        <v>1</v>
      </c>
      <c r="BT360" t="s">
        <v>1</v>
      </c>
      <c r="BU360" t="s">
        <v>1</v>
      </c>
      <c r="BV360" t="s">
        <v>1</v>
      </c>
      <c r="BW360" t="s">
        <v>360</v>
      </c>
      <c r="BX360" t="s">
        <v>1</v>
      </c>
      <c r="BY360">
        <v>0</v>
      </c>
      <c r="BZ360">
        <v>0</v>
      </c>
      <c r="CA360">
        <v>0</v>
      </c>
      <c r="CB360">
        <v>0</v>
      </c>
      <c r="CD360" t="str" cm="1">
        <f t="array" aca="1" ref="CD360" ca="1">eConcatenar(A360:CB360,"|")</f>
        <v>YMVYiXI8KVvMD3pU|VSA2020-0896|3|IMPERIAL DE LUJO|TABASCO|VILLAHERMOSA |VILLAHERMOSA |2020-10-29|12900|X|X|100|0|0|X|X|X|X|X|X|X|X|X|X|X|X|0|CORDOVA |PEREZ|ARELI BETH|0|X|X|CALLE ROSARIO CASTELLANOS MANZANA CINCO|FRACCIONAMIENTO LAS MARGARITAS|X|9931056811|JOSE DOMINGO FRIAS PEREZ|MARIA MAGDALENA PEREZ MONDRAGON|0|CALLE ROSARIO CASTELLANOS MANZANA CINCO|X|4|0|0|X|X|X|0|5890|7010|0|0|X|2021-12-24|2021-12-31|X|X|X|0|0|S35D6D3Y9KVTQ2|X|MUJER|0|12900|0|0|0|X|X|X|X|X|VILLAHERMOSA |X|0|0|0|0</v>
      </c>
    </row>
    <row r="361" spans="1:82" x14ac:dyDescent="0.25">
      <c r="A361" t="s">
        <v>2676</v>
      </c>
      <c r="B361" t="s">
        <v>2677</v>
      </c>
      <c r="C361">
        <v>3</v>
      </c>
      <c r="D361" t="s">
        <v>246</v>
      </c>
      <c r="E361" t="s">
        <v>359</v>
      </c>
      <c r="F361" t="s">
        <v>360</v>
      </c>
      <c r="G361" t="s">
        <v>360</v>
      </c>
      <c r="H361" t="s">
        <v>2678</v>
      </c>
      <c r="I361">
        <v>24500</v>
      </c>
      <c r="J361" t="s">
        <v>1</v>
      </c>
      <c r="K361" t="s">
        <v>1</v>
      </c>
      <c r="L361">
        <v>200</v>
      </c>
      <c r="M361">
        <v>1</v>
      </c>
      <c r="N361">
        <v>0</v>
      </c>
      <c r="O361" t="s">
        <v>1</v>
      </c>
      <c r="P361" t="s">
        <v>1</v>
      </c>
      <c r="Q361" t="s">
        <v>1</v>
      </c>
      <c r="R361" t="s">
        <v>1</v>
      </c>
      <c r="S361" t="s">
        <v>1</v>
      </c>
      <c r="T361" t="s">
        <v>1</v>
      </c>
      <c r="U361" t="s">
        <v>1</v>
      </c>
      <c r="V361" t="s">
        <v>1</v>
      </c>
      <c r="W361" t="s">
        <v>1</v>
      </c>
      <c r="X361" t="s">
        <v>1</v>
      </c>
      <c r="Y361" t="s">
        <v>1</v>
      </c>
      <c r="Z361" t="s">
        <v>1</v>
      </c>
      <c r="AA361">
        <v>0</v>
      </c>
      <c r="AB361" t="s">
        <v>159</v>
      </c>
      <c r="AC361" t="s">
        <v>159</v>
      </c>
      <c r="AD361" t="s">
        <v>2679</v>
      </c>
      <c r="AE361">
        <v>0</v>
      </c>
      <c r="AF361" t="s">
        <v>1</v>
      </c>
      <c r="AG361" t="s">
        <v>1</v>
      </c>
      <c r="AH361" t="s">
        <v>2680</v>
      </c>
      <c r="AI361" t="s">
        <v>2681</v>
      </c>
      <c r="AJ361" t="s">
        <v>1</v>
      </c>
      <c r="AK361">
        <v>9361036362</v>
      </c>
      <c r="AL361" t="s">
        <v>1</v>
      </c>
      <c r="AM361" t="s">
        <v>1</v>
      </c>
      <c r="AN361">
        <v>0</v>
      </c>
      <c r="AO361" t="s">
        <v>2680</v>
      </c>
      <c r="AP361" t="s">
        <v>1</v>
      </c>
      <c r="AQ361">
        <v>4</v>
      </c>
      <c r="AR361">
        <v>0</v>
      </c>
      <c r="AS361">
        <v>0</v>
      </c>
      <c r="AT361" t="s">
        <v>1</v>
      </c>
      <c r="AU361" t="s">
        <v>1</v>
      </c>
      <c r="AV361" t="s">
        <v>1</v>
      </c>
      <c r="AW361">
        <v>0</v>
      </c>
      <c r="AX361">
        <v>1100</v>
      </c>
      <c r="AY361">
        <v>23400</v>
      </c>
      <c r="AZ361">
        <v>0</v>
      </c>
      <c r="BA361">
        <v>0</v>
      </c>
      <c r="BB361" t="s">
        <v>1</v>
      </c>
      <c r="BC361" t="s">
        <v>863</v>
      </c>
      <c r="BD361" t="s">
        <v>1954</v>
      </c>
      <c r="BE361" t="s">
        <v>1</v>
      </c>
      <c r="BF361" t="s">
        <v>1</v>
      </c>
      <c r="BG361" t="s">
        <v>1</v>
      </c>
      <c r="BH361">
        <v>0</v>
      </c>
      <c r="BI361">
        <v>0</v>
      </c>
      <c r="BJ361" t="s">
        <v>1930</v>
      </c>
      <c r="BK361" t="s">
        <v>1</v>
      </c>
      <c r="BL361" t="s">
        <v>1138</v>
      </c>
      <c r="BM361">
        <v>0</v>
      </c>
      <c r="BN361">
        <v>24500</v>
      </c>
      <c r="BO361">
        <v>0</v>
      </c>
      <c r="BP361">
        <v>0</v>
      </c>
      <c r="BQ361">
        <v>0</v>
      </c>
      <c r="BR361" t="s">
        <v>1</v>
      </c>
      <c r="BS361" t="s">
        <v>1</v>
      </c>
      <c r="BT361" t="s">
        <v>1</v>
      </c>
      <c r="BU361" t="s">
        <v>1</v>
      </c>
      <c r="BV361" t="s">
        <v>1</v>
      </c>
      <c r="BW361" t="s">
        <v>360</v>
      </c>
      <c r="BX361" t="s">
        <v>1</v>
      </c>
      <c r="BY361">
        <v>0</v>
      </c>
      <c r="BZ361">
        <v>0</v>
      </c>
      <c r="CA361">
        <v>0</v>
      </c>
      <c r="CB361">
        <v>0</v>
      </c>
      <c r="CD361" t="str" cm="1">
        <f t="array" aca="1" ref="CD361" ca="1">eConcatenar(A361:CB361,"|")</f>
        <v>N1iT3A6GxtSDh3mN|VSA2021-116|3|DIGNITY|TABASCO|VILLAHERMOSA |VILLAHERMOSA |2021-07-19|24500|X|X|200|1|0|X|X|X|X|X|X|X|X|X|X|X|X|0|GARCIA|GARCIA|ALICIA|0|X|X|CALLE LOPEZ OBRADOR SIN NUMERO|COLONIA EL MANGO VILLA BENITO JUAREZ|X|9361036362|X|X|0|CALLE LOPEZ OBRADOR SIN NUMERO|X|4|0|0|X|X|X|0|1100|23400|0|0|X|2021-03-12|2021-12-17|X|X|X|0|0|S35D6D3Y9KVTQ2|X|MUJER|0|24500|0|0|0|X|X|X|X|X|VILLAHERMOSA |X|0|0|0|0</v>
      </c>
    </row>
    <row r="362" spans="1:82" x14ac:dyDescent="0.25">
      <c r="A362" t="s">
        <v>2682</v>
      </c>
      <c r="B362" t="s">
        <v>2683</v>
      </c>
      <c r="C362">
        <v>3</v>
      </c>
      <c r="D362" t="s">
        <v>715</v>
      </c>
      <c r="E362" t="s">
        <v>359</v>
      </c>
      <c r="F362" t="s">
        <v>360</v>
      </c>
      <c r="G362" t="s">
        <v>360</v>
      </c>
      <c r="H362" t="s">
        <v>2444</v>
      </c>
      <c r="I362">
        <v>12900</v>
      </c>
      <c r="J362" t="s">
        <v>1</v>
      </c>
      <c r="K362" t="s">
        <v>1</v>
      </c>
      <c r="L362">
        <v>200</v>
      </c>
      <c r="M362">
        <v>1</v>
      </c>
      <c r="N362">
        <v>0</v>
      </c>
      <c r="O362" t="s">
        <v>1</v>
      </c>
      <c r="P362" t="s">
        <v>1</v>
      </c>
      <c r="Q362" t="s">
        <v>1</v>
      </c>
      <c r="R362" t="s">
        <v>1</v>
      </c>
      <c r="S362" t="s">
        <v>1</v>
      </c>
      <c r="T362" t="s">
        <v>1</v>
      </c>
      <c r="U362" t="s">
        <v>1</v>
      </c>
      <c r="V362" t="s">
        <v>1</v>
      </c>
      <c r="W362" t="s">
        <v>1</v>
      </c>
      <c r="X362" t="s">
        <v>1</v>
      </c>
      <c r="Y362" t="s">
        <v>1</v>
      </c>
      <c r="Z362" t="s">
        <v>1</v>
      </c>
      <c r="AA362">
        <v>0</v>
      </c>
      <c r="AB362" t="s">
        <v>2684</v>
      </c>
      <c r="AC362" t="s">
        <v>1</v>
      </c>
      <c r="AD362" t="s">
        <v>219</v>
      </c>
      <c r="AE362">
        <v>0</v>
      </c>
      <c r="AF362" t="s">
        <v>1</v>
      </c>
      <c r="AG362" t="s">
        <v>1</v>
      </c>
      <c r="AH362" t="s">
        <v>2685</v>
      </c>
      <c r="AI362" t="s">
        <v>2560</v>
      </c>
      <c r="AJ362" t="s">
        <v>1</v>
      </c>
      <c r="AK362">
        <v>9932151413</v>
      </c>
      <c r="AL362" t="s">
        <v>1</v>
      </c>
      <c r="AM362" t="s">
        <v>1</v>
      </c>
      <c r="AN362">
        <v>0</v>
      </c>
      <c r="AO362" t="s">
        <v>2685</v>
      </c>
      <c r="AP362" t="s">
        <v>1</v>
      </c>
      <c r="AQ362">
        <v>4</v>
      </c>
      <c r="AR362">
        <v>0</v>
      </c>
      <c r="AS362">
        <v>0</v>
      </c>
      <c r="AT362" t="s">
        <v>1</v>
      </c>
      <c r="AU362" t="s">
        <v>1</v>
      </c>
      <c r="AV362" t="s">
        <v>1</v>
      </c>
      <c r="AW362">
        <v>0</v>
      </c>
      <c r="AX362">
        <v>4000</v>
      </c>
      <c r="AY362">
        <v>8900</v>
      </c>
      <c r="AZ362">
        <v>0</v>
      </c>
      <c r="BA362">
        <v>0</v>
      </c>
      <c r="BB362" t="s">
        <v>1</v>
      </c>
      <c r="BC362" t="s">
        <v>1954</v>
      </c>
      <c r="BD362" t="s">
        <v>147</v>
      </c>
      <c r="BE362" t="s">
        <v>1</v>
      </c>
      <c r="BF362" t="s">
        <v>1</v>
      </c>
      <c r="BG362" t="s">
        <v>1</v>
      </c>
      <c r="BH362">
        <v>0</v>
      </c>
      <c r="BI362">
        <v>0</v>
      </c>
      <c r="BJ362" t="s">
        <v>1930</v>
      </c>
      <c r="BK362" t="s">
        <v>1</v>
      </c>
      <c r="BL362" t="s">
        <v>1138</v>
      </c>
      <c r="BM362">
        <v>0</v>
      </c>
      <c r="BN362">
        <v>12900</v>
      </c>
      <c r="BO362">
        <v>0</v>
      </c>
      <c r="BP362">
        <v>0</v>
      </c>
      <c r="BQ362">
        <v>0</v>
      </c>
      <c r="BR362" t="s">
        <v>1</v>
      </c>
      <c r="BS362" t="s">
        <v>1</v>
      </c>
      <c r="BT362" t="s">
        <v>1</v>
      </c>
      <c r="BU362" t="s">
        <v>1</v>
      </c>
      <c r="BV362" t="s">
        <v>1</v>
      </c>
      <c r="BW362" t="s">
        <v>360</v>
      </c>
      <c r="BX362" t="s">
        <v>1</v>
      </c>
      <c r="BY362">
        <v>0</v>
      </c>
      <c r="BZ362">
        <v>0</v>
      </c>
      <c r="CA362">
        <v>0</v>
      </c>
      <c r="CB362">
        <v>0</v>
      </c>
      <c r="CD362" t="str" cm="1">
        <f t="array" aca="1" ref="CD362" ca="1">eConcatenar(A362:CB362,"|")</f>
        <v>iww0D58TvrS7vxAx|VSA2021-0278|3|IMPERIAL DE LUJO|TABASCO|VILLAHERMOSA |VILLAHERMOSA |2021-09-02|12900|X|X|200|1|0|X|X|X|X|X|X|X|X|X|X|X|X|0|ASCENCIO|X|MARIA DEL CARMEN|0|X|X|CALLE ABRAHAM BANDALA|COLONIA TAMULTE|X|9932151413|X|X|0|CALLE ABRAHAM BANDALA|X|4|0|0|X|X|X|0|4000|8900|0|0|X|2021-12-17|2021-12-31|X|X|X|0|0|S35D6D3Y9KVTQ2|X|MUJER|0|12900|0|0|0|X|X|X|X|X|VILLAHERMOSA |X|0|0|0|0</v>
      </c>
    </row>
    <row r="363" spans="1:82" x14ac:dyDescent="0.25">
      <c r="A363" t="s">
        <v>2686</v>
      </c>
      <c r="B363" t="s">
        <v>2687</v>
      </c>
      <c r="C363">
        <v>3</v>
      </c>
      <c r="D363" t="s">
        <v>1073</v>
      </c>
      <c r="E363" t="s">
        <v>359</v>
      </c>
      <c r="F363" t="s">
        <v>360</v>
      </c>
      <c r="G363" t="s">
        <v>360</v>
      </c>
      <c r="H363" t="s">
        <v>2147</v>
      </c>
      <c r="I363">
        <v>19800</v>
      </c>
      <c r="J363" t="s">
        <v>1</v>
      </c>
      <c r="K363" t="s">
        <v>1</v>
      </c>
      <c r="L363">
        <v>400</v>
      </c>
      <c r="M363">
        <v>2</v>
      </c>
      <c r="N363">
        <v>0</v>
      </c>
      <c r="O363" t="s">
        <v>1</v>
      </c>
      <c r="P363" t="s">
        <v>1</v>
      </c>
      <c r="Q363" t="s">
        <v>1</v>
      </c>
      <c r="R363" t="s">
        <v>1</v>
      </c>
      <c r="S363" t="s">
        <v>1</v>
      </c>
      <c r="T363" t="s">
        <v>1</v>
      </c>
      <c r="U363" t="s">
        <v>1</v>
      </c>
      <c r="V363" t="s">
        <v>1</v>
      </c>
      <c r="W363" t="s">
        <v>1</v>
      </c>
      <c r="X363" t="s">
        <v>1</v>
      </c>
      <c r="Y363" t="s">
        <v>1</v>
      </c>
      <c r="Z363" t="s">
        <v>1</v>
      </c>
      <c r="AA363">
        <v>0</v>
      </c>
      <c r="AB363" t="s">
        <v>217</v>
      </c>
      <c r="AC363" t="s">
        <v>1454</v>
      </c>
      <c r="AD363" t="s">
        <v>2688</v>
      </c>
      <c r="AE363">
        <v>0</v>
      </c>
      <c r="AF363" t="s">
        <v>1</v>
      </c>
      <c r="AG363" t="s">
        <v>1</v>
      </c>
      <c r="AH363" t="s">
        <v>2689</v>
      </c>
      <c r="AI363" t="s">
        <v>2690</v>
      </c>
      <c r="AJ363" t="s">
        <v>1</v>
      </c>
      <c r="AK363">
        <v>9931721482</v>
      </c>
      <c r="AL363" t="s">
        <v>1</v>
      </c>
      <c r="AM363" t="s">
        <v>1</v>
      </c>
      <c r="AN363">
        <v>0</v>
      </c>
      <c r="AO363" t="s">
        <v>2689</v>
      </c>
      <c r="AP363" t="s">
        <v>1</v>
      </c>
      <c r="AQ363">
        <v>5</v>
      </c>
      <c r="AR363">
        <v>0</v>
      </c>
      <c r="AS363">
        <v>0</v>
      </c>
      <c r="AT363" t="s">
        <v>1</v>
      </c>
      <c r="AU363" t="s">
        <v>1</v>
      </c>
      <c r="AV363" t="s">
        <v>1</v>
      </c>
      <c r="AW363">
        <v>0</v>
      </c>
      <c r="AX363">
        <v>3400</v>
      </c>
      <c r="AY363">
        <v>16200</v>
      </c>
      <c r="AZ363">
        <v>0</v>
      </c>
      <c r="BA363">
        <v>0</v>
      </c>
      <c r="BB363" t="s">
        <v>1</v>
      </c>
      <c r="BC363" t="s">
        <v>2154</v>
      </c>
      <c r="BD363" t="s">
        <v>2355</v>
      </c>
      <c r="BE363" t="s">
        <v>1</v>
      </c>
      <c r="BF363" t="s">
        <v>1</v>
      </c>
      <c r="BG363" t="s">
        <v>1</v>
      </c>
      <c r="BH363">
        <v>0</v>
      </c>
      <c r="BI363">
        <v>0</v>
      </c>
      <c r="BJ363" t="s">
        <v>1930</v>
      </c>
      <c r="BK363" t="s">
        <v>1</v>
      </c>
      <c r="BL363" t="s">
        <v>132</v>
      </c>
      <c r="BM363">
        <v>0</v>
      </c>
      <c r="BN363">
        <v>12800</v>
      </c>
      <c r="BO363">
        <v>0</v>
      </c>
      <c r="BP363">
        <v>0</v>
      </c>
      <c r="BQ363">
        <v>0</v>
      </c>
      <c r="BR363" t="s">
        <v>1</v>
      </c>
      <c r="BS363" t="s">
        <v>1</v>
      </c>
      <c r="BT363" t="s">
        <v>1</v>
      </c>
      <c r="BU363" t="s">
        <v>1</v>
      </c>
      <c r="BV363" t="s">
        <v>1</v>
      </c>
      <c r="BW363" t="s">
        <v>360</v>
      </c>
      <c r="BX363" t="s">
        <v>1</v>
      </c>
      <c r="BY363">
        <v>0</v>
      </c>
      <c r="BZ363">
        <v>0</v>
      </c>
      <c r="CA363">
        <v>0</v>
      </c>
      <c r="CB363">
        <v>0</v>
      </c>
      <c r="CD363" t="str" cm="1">
        <f t="array" aca="1" ref="CD363" ca="1">eConcatenar(A363:CB363,"|")</f>
        <v>oZ7RYNqVqSKGWfkr|VSA2021-0787|3|ZAFIRO|TABASCO|VILLAHERMOSA |VILLAHERMOSA |2021-10-02|19800|X|X|400|2|0|X|X|X|X|X|X|X|X|X|X|X|X|0|HERNANDEZ|ZAPATA|FAUSTO|0|X|X|CALLE AQUILES SERDAN 113|COLONIA EL AGUILA ,GIL Y ZAENS|X|9931721482|X|X|0|CALLE AQUILES SERDAN 113|X|5|0|0|X|X|X|0|3400|16200|0|0|X|2021-11-09|2021-11-10|X|X|X|0|0|S35D6D3Y9KVTQ2|X|HOMBRE|0|12800|0|0|0|X|X|X|X|X|VILLAHERMOSA |X|0|0|0|0</v>
      </c>
    </row>
    <row r="364" spans="1:82" x14ac:dyDescent="0.25">
      <c r="A364" t="s">
        <v>2691</v>
      </c>
      <c r="B364" t="s">
        <v>2692</v>
      </c>
      <c r="C364">
        <v>3</v>
      </c>
      <c r="D364" t="s">
        <v>741</v>
      </c>
      <c r="E364" t="s">
        <v>359</v>
      </c>
      <c r="F364" t="s">
        <v>360</v>
      </c>
      <c r="G364" t="s">
        <v>360</v>
      </c>
      <c r="H364" t="s">
        <v>2154</v>
      </c>
      <c r="I364">
        <v>14800</v>
      </c>
      <c r="J364" t="s">
        <v>1</v>
      </c>
      <c r="K364" t="s">
        <v>1</v>
      </c>
      <c r="L364">
        <v>200</v>
      </c>
      <c r="M364">
        <v>1</v>
      </c>
      <c r="N364">
        <v>0</v>
      </c>
      <c r="O364" t="s">
        <v>1</v>
      </c>
      <c r="P364" t="s">
        <v>1</v>
      </c>
      <c r="Q364" t="s">
        <v>1</v>
      </c>
      <c r="R364" t="s">
        <v>1</v>
      </c>
      <c r="S364" t="s">
        <v>1</v>
      </c>
      <c r="T364" t="s">
        <v>1</v>
      </c>
      <c r="U364" t="s">
        <v>1</v>
      </c>
      <c r="V364" t="s">
        <v>1</v>
      </c>
      <c r="W364" t="s">
        <v>1</v>
      </c>
      <c r="X364" t="s">
        <v>1</v>
      </c>
      <c r="Y364" t="s">
        <v>1</v>
      </c>
      <c r="Z364" t="s">
        <v>1</v>
      </c>
      <c r="AA364">
        <v>0</v>
      </c>
      <c r="AB364" t="s">
        <v>1702</v>
      </c>
      <c r="AC364" t="s">
        <v>227</v>
      </c>
      <c r="AD364" t="s">
        <v>2693</v>
      </c>
      <c r="AE364">
        <v>0</v>
      </c>
      <c r="AF364" t="s">
        <v>1</v>
      </c>
      <c r="AG364" t="s">
        <v>1</v>
      </c>
      <c r="AH364" t="s">
        <v>2694</v>
      </c>
      <c r="AI364" t="s">
        <v>2695</v>
      </c>
      <c r="AJ364" t="s">
        <v>2696</v>
      </c>
      <c r="AK364">
        <v>9932393366</v>
      </c>
      <c r="AL364" t="s">
        <v>1</v>
      </c>
      <c r="AM364" t="s">
        <v>1</v>
      </c>
      <c r="AN364">
        <v>0</v>
      </c>
      <c r="AO364" t="s">
        <v>2694</v>
      </c>
      <c r="AP364" t="s">
        <v>1</v>
      </c>
      <c r="AQ364">
        <v>4</v>
      </c>
      <c r="AR364">
        <v>0</v>
      </c>
      <c r="AS364">
        <v>0</v>
      </c>
      <c r="AT364" t="s">
        <v>1</v>
      </c>
      <c r="AU364" t="s">
        <v>1</v>
      </c>
      <c r="AV364" t="s">
        <v>1</v>
      </c>
      <c r="AW364">
        <v>0</v>
      </c>
      <c r="AX364">
        <v>1400</v>
      </c>
      <c r="AY364">
        <v>13400</v>
      </c>
      <c r="AZ364">
        <v>0</v>
      </c>
      <c r="BA364">
        <v>0</v>
      </c>
      <c r="BB364" t="s">
        <v>1</v>
      </c>
      <c r="BC364" t="s">
        <v>863</v>
      </c>
      <c r="BD364" t="s">
        <v>1954</v>
      </c>
      <c r="BE364" t="s">
        <v>1</v>
      </c>
      <c r="BF364" t="s">
        <v>1</v>
      </c>
      <c r="BG364" t="s">
        <v>1</v>
      </c>
      <c r="BH364">
        <v>0</v>
      </c>
      <c r="BI364">
        <v>0</v>
      </c>
      <c r="BJ364" t="s">
        <v>1930</v>
      </c>
      <c r="BK364" t="s">
        <v>1</v>
      </c>
      <c r="BL364" t="s">
        <v>1138</v>
      </c>
      <c r="BM364">
        <v>0</v>
      </c>
      <c r="BN364">
        <v>14800</v>
      </c>
      <c r="BO364">
        <v>0</v>
      </c>
      <c r="BP364">
        <v>0</v>
      </c>
      <c r="BQ364">
        <v>0</v>
      </c>
      <c r="BR364" t="s">
        <v>1</v>
      </c>
      <c r="BS364" t="s">
        <v>1</v>
      </c>
      <c r="BT364" t="s">
        <v>1</v>
      </c>
      <c r="BU364" t="s">
        <v>1</v>
      </c>
      <c r="BV364" t="s">
        <v>1</v>
      </c>
      <c r="BW364" t="s">
        <v>360</v>
      </c>
      <c r="BX364" t="s">
        <v>1</v>
      </c>
      <c r="BY364">
        <v>0</v>
      </c>
      <c r="BZ364">
        <v>0</v>
      </c>
      <c r="CA364">
        <v>0</v>
      </c>
      <c r="CB364">
        <v>0</v>
      </c>
      <c r="CD364" t="str" cm="1">
        <f t="array" aca="1" ref="CD364" ca="1">eConcatenar(A364:CB364,"|")</f>
        <v>B1BYvuhTxmDKPwao|VSA2021-1516|3|MEMORIAL|TABASCO|VILLAHERMOSA |VILLAHERMOSA |2021-11-09|14800|X|X|200|1|0|X|X|X|X|X|X|X|X|X|X|X|X|0|ALEJO|CORDOVA|LUCECITA|0|X|X|CALLE ROBERTO ROSADO SASTRE 127 |COLONIA PUNTA BRAVA CENTRO |ENTRE CALLE MENDEZ ESQUINA PASCUAL BELLISIA Y PROGRESO|9932393366|X|X|0|CALLE ROBERTO ROSADO SASTRE 127 |X|4|0|0|X|X|X|0|1400|13400|0|0|X|2021-03-12|2021-12-17|X|X|X|0|0|S35D6D3Y9KVTQ2|X|MUJER|0|14800|0|0|0|X|X|X|X|X|VILLAHERMOSA |X|0|0|0|0</v>
      </c>
    </row>
    <row r="365" spans="1:82" x14ac:dyDescent="0.25">
      <c r="A365" t="s">
        <v>2697</v>
      </c>
      <c r="B365" t="s">
        <v>2698</v>
      </c>
      <c r="C365">
        <v>3</v>
      </c>
      <c r="D365" t="s">
        <v>741</v>
      </c>
      <c r="E365" t="s">
        <v>359</v>
      </c>
      <c r="F365" t="s">
        <v>360</v>
      </c>
      <c r="G365" t="s">
        <v>360</v>
      </c>
      <c r="H365" t="s">
        <v>2699</v>
      </c>
      <c r="I365">
        <v>14800</v>
      </c>
      <c r="J365" t="s">
        <v>1</v>
      </c>
      <c r="K365" t="s">
        <v>1</v>
      </c>
      <c r="L365">
        <v>100</v>
      </c>
      <c r="M365">
        <v>0</v>
      </c>
      <c r="N365">
        <v>0</v>
      </c>
      <c r="O365" t="s">
        <v>1</v>
      </c>
      <c r="P365" t="s">
        <v>1</v>
      </c>
      <c r="Q365" t="s">
        <v>1</v>
      </c>
      <c r="R365" t="s">
        <v>1</v>
      </c>
      <c r="S365" t="s">
        <v>1</v>
      </c>
      <c r="T365" t="s">
        <v>1</v>
      </c>
      <c r="U365" t="s">
        <v>1</v>
      </c>
      <c r="V365" t="s">
        <v>1</v>
      </c>
      <c r="W365" t="s">
        <v>1</v>
      </c>
      <c r="X365" t="s">
        <v>1</v>
      </c>
      <c r="Y365" t="s">
        <v>1</v>
      </c>
      <c r="Z365" t="s">
        <v>1</v>
      </c>
      <c r="AA365">
        <v>0</v>
      </c>
      <c r="AB365" t="s">
        <v>2700</v>
      </c>
      <c r="AC365" t="s">
        <v>2701</v>
      </c>
      <c r="AD365" t="s">
        <v>2702</v>
      </c>
      <c r="AE365">
        <v>0</v>
      </c>
      <c r="AF365" t="s">
        <v>1</v>
      </c>
      <c r="AG365" t="s">
        <v>1</v>
      </c>
      <c r="AH365" t="s">
        <v>2703</v>
      </c>
      <c r="AI365" t="s">
        <v>2560</v>
      </c>
      <c r="AJ365" t="s">
        <v>1</v>
      </c>
      <c r="AK365">
        <v>9935148795</v>
      </c>
      <c r="AL365" t="s">
        <v>1</v>
      </c>
      <c r="AM365" t="s">
        <v>1</v>
      </c>
      <c r="AN365">
        <v>0</v>
      </c>
      <c r="AO365" t="s">
        <v>2703</v>
      </c>
      <c r="AP365" t="s">
        <v>1</v>
      </c>
      <c r="AQ365">
        <v>4</v>
      </c>
      <c r="AR365">
        <v>0</v>
      </c>
      <c r="AS365">
        <v>0</v>
      </c>
      <c r="AT365" t="s">
        <v>1</v>
      </c>
      <c r="AU365" t="s">
        <v>1</v>
      </c>
      <c r="AV365" t="s">
        <v>1</v>
      </c>
      <c r="AW365">
        <v>0</v>
      </c>
      <c r="AX365">
        <v>1150</v>
      </c>
      <c r="AY365">
        <v>13650</v>
      </c>
      <c r="AZ365">
        <v>0</v>
      </c>
      <c r="BA365">
        <v>0</v>
      </c>
      <c r="BB365" t="s">
        <v>1</v>
      </c>
      <c r="BC365" t="s">
        <v>1954</v>
      </c>
      <c r="BD365" t="s">
        <v>312</v>
      </c>
      <c r="BE365" t="s">
        <v>1</v>
      </c>
      <c r="BF365" t="s">
        <v>1</v>
      </c>
      <c r="BG365" t="s">
        <v>1</v>
      </c>
      <c r="BH365">
        <v>0</v>
      </c>
      <c r="BI365">
        <v>0</v>
      </c>
      <c r="BJ365" t="s">
        <v>1930</v>
      </c>
      <c r="BK365" t="s">
        <v>1</v>
      </c>
      <c r="BL365" t="s">
        <v>1138</v>
      </c>
      <c r="BM365">
        <v>0</v>
      </c>
      <c r="BN365">
        <v>14800</v>
      </c>
      <c r="BO365">
        <v>0</v>
      </c>
      <c r="BP365">
        <v>0</v>
      </c>
      <c r="BQ365">
        <v>0</v>
      </c>
      <c r="BR365" t="s">
        <v>1</v>
      </c>
      <c r="BS365" t="s">
        <v>1</v>
      </c>
      <c r="BT365" t="s">
        <v>1</v>
      </c>
      <c r="BU365" t="s">
        <v>1</v>
      </c>
      <c r="BV365" t="s">
        <v>1</v>
      </c>
      <c r="BW365" t="s">
        <v>360</v>
      </c>
      <c r="BX365" t="s">
        <v>1</v>
      </c>
      <c r="BY365">
        <v>0</v>
      </c>
      <c r="BZ365">
        <v>0</v>
      </c>
      <c r="CA365">
        <v>0</v>
      </c>
      <c r="CB365">
        <v>0</v>
      </c>
      <c r="CD365" t="str" cm="1">
        <f t="array" aca="1" ref="CD365" ca="1">eConcatenar(A365:CB365,"|")</f>
        <v>IGlJl0ei5vvinx2s|VSA2021-1560|3|MEMORIAL|TABASCO|VILLAHERMOSA |VILLAHERMOSA |2021-09-19|14800|X|X|100|0|0|X|X|X|X|X|X|X|X|X|X|X|X|0|PADILLA|ROJAS|MAGALI DEL CARMEN |0|X|X|CALLE MIGUEL HIDALGO 737|COLONIA TAMULTE|X|9935148795|X|X|0|CALLE MIGUEL HIDALGO 737|X|4|0|0|X|X|X|0|1150|13650|0|0|X|2021-12-17|2021-12-24|X|X|X|0|0|S35D6D3Y9KVTQ2|X|MUJER|0|14800|0|0|0|X|X|X|X|X|VILLAHERMOSA |X|0|0|0|0</v>
      </c>
    </row>
    <row r="366" spans="1:82" x14ac:dyDescent="0.25">
      <c r="A366" t="s">
        <v>2704</v>
      </c>
      <c r="B366" t="s">
        <v>2705</v>
      </c>
      <c r="C366">
        <v>3</v>
      </c>
      <c r="D366" t="s">
        <v>741</v>
      </c>
      <c r="E366" t="s">
        <v>359</v>
      </c>
      <c r="F366" t="s">
        <v>360</v>
      </c>
      <c r="G366" t="s">
        <v>360</v>
      </c>
      <c r="H366" t="s">
        <v>452</v>
      </c>
      <c r="I366">
        <v>14800</v>
      </c>
      <c r="J366" t="s">
        <v>1</v>
      </c>
      <c r="K366" t="s">
        <v>1</v>
      </c>
      <c r="L366">
        <v>100</v>
      </c>
      <c r="M366">
        <v>0</v>
      </c>
      <c r="N366">
        <v>0</v>
      </c>
      <c r="O366" t="s">
        <v>1</v>
      </c>
      <c r="P366" t="s">
        <v>1</v>
      </c>
      <c r="Q366" t="s">
        <v>1</v>
      </c>
      <c r="R366" t="s">
        <v>1</v>
      </c>
      <c r="S366" t="s">
        <v>1</v>
      </c>
      <c r="T366" t="s">
        <v>1</v>
      </c>
      <c r="U366" t="s">
        <v>1</v>
      </c>
      <c r="V366" t="s">
        <v>1</v>
      </c>
      <c r="W366" t="s">
        <v>1</v>
      </c>
      <c r="X366" t="s">
        <v>1</v>
      </c>
      <c r="Y366" t="s">
        <v>1</v>
      </c>
      <c r="Z366" t="s">
        <v>1</v>
      </c>
      <c r="AA366">
        <v>0</v>
      </c>
      <c r="AB366" t="s">
        <v>1727</v>
      </c>
      <c r="AC366" t="s">
        <v>2706</v>
      </c>
      <c r="AD366" t="s">
        <v>2707</v>
      </c>
      <c r="AE366">
        <v>0</v>
      </c>
      <c r="AF366" t="s">
        <v>1</v>
      </c>
      <c r="AG366" t="s">
        <v>1</v>
      </c>
      <c r="AH366" t="s">
        <v>2708</v>
      </c>
      <c r="AI366" t="s">
        <v>2168</v>
      </c>
      <c r="AJ366" t="s">
        <v>1</v>
      </c>
      <c r="AK366">
        <v>9932580127</v>
      </c>
      <c r="AL366" t="s">
        <v>1</v>
      </c>
      <c r="AM366" t="s">
        <v>1</v>
      </c>
      <c r="AN366">
        <v>0</v>
      </c>
      <c r="AO366" t="s">
        <v>2708</v>
      </c>
      <c r="AP366" t="s">
        <v>1</v>
      </c>
      <c r="AQ366">
        <v>4</v>
      </c>
      <c r="AR366">
        <v>0</v>
      </c>
      <c r="AS366">
        <v>0</v>
      </c>
      <c r="AT366" t="s">
        <v>1</v>
      </c>
      <c r="AU366" t="s">
        <v>1</v>
      </c>
      <c r="AV366" t="s">
        <v>1</v>
      </c>
      <c r="AW366">
        <v>0</v>
      </c>
      <c r="AX366">
        <v>300</v>
      </c>
      <c r="AY366">
        <v>14500</v>
      </c>
      <c r="AZ366">
        <v>0</v>
      </c>
      <c r="BA366">
        <v>0</v>
      </c>
      <c r="BB366" t="s">
        <v>1</v>
      </c>
      <c r="BC366" t="s">
        <v>1954</v>
      </c>
      <c r="BD366" t="s">
        <v>312</v>
      </c>
      <c r="BE366" t="s">
        <v>1</v>
      </c>
      <c r="BF366" t="s">
        <v>1</v>
      </c>
      <c r="BG366" t="s">
        <v>1</v>
      </c>
      <c r="BH366">
        <v>0</v>
      </c>
      <c r="BI366">
        <v>0</v>
      </c>
      <c r="BJ366" t="s">
        <v>1930</v>
      </c>
      <c r="BK366" t="s">
        <v>1</v>
      </c>
      <c r="BL366" t="s">
        <v>1138</v>
      </c>
      <c r="BM366">
        <v>0</v>
      </c>
      <c r="BN366">
        <v>14800</v>
      </c>
      <c r="BO366">
        <v>0</v>
      </c>
      <c r="BP366">
        <v>0</v>
      </c>
      <c r="BQ366">
        <v>0</v>
      </c>
      <c r="BR366" t="s">
        <v>1</v>
      </c>
      <c r="BS366" t="s">
        <v>1</v>
      </c>
      <c r="BT366" t="s">
        <v>1</v>
      </c>
      <c r="BU366" t="s">
        <v>1</v>
      </c>
      <c r="BV366" t="s">
        <v>1</v>
      </c>
      <c r="BW366" t="s">
        <v>360</v>
      </c>
      <c r="BX366" t="s">
        <v>1</v>
      </c>
      <c r="BY366">
        <v>0</v>
      </c>
      <c r="BZ366">
        <v>0</v>
      </c>
      <c r="CA366">
        <v>0</v>
      </c>
      <c r="CB366">
        <v>0</v>
      </c>
      <c r="CD366" t="str" cm="1">
        <f t="array" aca="1" ref="CD366" ca="1">eConcatenar(A366:CB366,"|")</f>
        <v>wvfNLTvDFA6pe2II|VSA2021-1836|3|MEMORIAL|TABASCO|VILLAHERMOSA |VILLAHERMOSA |2021-11-11|14800|X|X|100|0|0|X|X|X|X|X|X|X|X|X|X|X|X|0|ESTEBAN |MONTEJO|JUDITH MINERVA|0|X|X|CALLE ACAPULCO 116 INTERIOR 1 |COLONIA GUADALUPE BORJA |X|9932580127|X|X|0|CALLE ACAPULCO 116 INTERIOR 1 |X|4|0|0|X|X|X|0|300|14500|0|0|X|2021-12-17|2021-12-24|X|X|X|0|0|S35D6D3Y9KVTQ2|X|MUJER|0|14800|0|0|0|X|X|X|X|X|VILLAHERMOSA |X|0|0|0|0</v>
      </c>
    </row>
    <row r="367" spans="1:82" x14ac:dyDescent="0.25">
      <c r="A367" t="s">
        <v>2709</v>
      </c>
      <c r="B367" t="s">
        <v>2710</v>
      </c>
      <c r="C367">
        <v>3</v>
      </c>
      <c r="D367" t="s">
        <v>741</v>
      </c>
      <c r="E367" t="s">
        <v>359</v>
      </c>
      <c r="F367" t="s">
        <v>360</v>
      </c>
      <c r="G367" t="s">
        <v>360</v>
      </c>
      <c r="H367" t="s">
        <v>2711</v>
      </c>
      <c r="I367">
        <v>14800</v>
      </c>
      <c r="J367" t="s">
        <v>1</v>
      </c>
      <c r="K367" t="s">
        <v>1</v>
      </c>
      <c r="L367">
        <v>200</v>
      </c>
      <c r="M367">
        <v>1</v>
      </c>
      <c r="N367">
        <v>0</v>
      </c>
      <c r="O367" t="s">
        <v>1</v>
      </c>
      <c r="P367" t="s">
        <v>1</v>
      </c>
      <c r="Q367" t="s">
        <v>1</v>
      </c>
      <c r="R367" t="s">
        <v>1</v>
      </c>
      <c r="S367" t="s">
        <v>1</v>
      </c>
      <c r="T367" t="s">
        <v>1</v>
      </c>
      <c r="U367" t="s">
        <v>1</v>
      </c>
      <c r="V367" t="s">
        <v>1</v>
      </c>
      <c r="W367" t="s">
        <v>1</v>
      </c>
      <c r="X367" t="s">
        <v>1</v>
      </c>
      <c r="Y367" t="s">
        <v>1</v>
      </c>
      <c r="Z367" t="s">
        <v>1</v>
      </c>
      <c r="AA367">
        <v>0</v>
      </c>
      <c r="AB367" t="s">
        <v>2712</v>
      </c>
      <c r="AC367" t="s">
        <v>2713</v>
      </c>
      <c r="AD367" t="s">
        <v>1461</v>
      </c>
      <c r="AE367">
        <v>0</v>
      </c>
      <c r="AF367" t="s">
        <v>1</v>
      </c>
      <c r="AG367" t="s">
        <v>1</v>
      </c>
      <c r="AH367" t="s">
        <v>2714</v>
      </c>
      <c r="AI367" t="s">
        <v>2063</v>
      </c>
      <c r="AJ367" t="s">
        <v>2715</v>
      </c>
      <c r="AK367">
        <v>9934193713</v>
      </c>
      <c r="AL367" t="s">
        <v>1</v>
      </c>
      <c r="AM367" t="s">
        <v>1</v>
      </c>
      <c r="AN367">
        <v>0</v>
      </c>
      <c r="AO367" t="s">
        <v>2714</v>
      </c>
      <c r="AP367" t="s">
        <v>1</v>
      </c>
      <c r="AQ367">
        <v>4</v>
      </c>
      <c r="AR367">
        <v>0</v>
      </c>
      <c r="AS367">
        <v>0</v>
      </c>
      <c r="AT367" t="s">
        <v>1</v>
      </c>
      <c r="AU367" t="s">
        <v>1</v>
      </c>
      <c r="AV367" t="s">
        <v>1</v>
      </c>
      <c r="AW367">
        <v>0</v>
      </c>
      <c r="AX367">
        <v>1100</v>
      </c>
      <c r="AY367">
        <v>13700</v>
      </c>
      <c r="AZ367">
        <v>0</v>
      </c>
      <c r="BA367">
        <v>0</v>
      </c>
      <c r="BB367" t="s">
        <v>1</v>
      </c>
      <c r="BC367" t="s">
        <v>1954</v>
      </c>
      <c r="BD367" t="s">
        <v>147</v>
      </c>
      <c r="BE367" t="s">
        <v>1</v>
      </c>
      <c r="BF367" t="s">
        <v>1</v>
      </c>
      <c r="BG367" t="s">
        <v>1</v>
      </c>
      <c r="BH367">
        <v>0</v>
      </c>
      <c r="BI367">
        <v>0</v>
      </c>
      <c r="BJ367" t="s">
        <v>1930</v>
      </c>
      <c r="BK367" t="s">
        <v>1</v>
      </c>
      <c r="BL367" t="s">
        <v>1138</v>
      </c>
      <c r="BM367">
        <v>0</v>
      </c>
      <c r="BN367">
        <v>14800</v>
      </c>
      <c r="BO367">
        <v>0</v>
      </c>
      <c r="BP367">
        <v>0</v>
      </c>
      <c r="BQ367">
        <v>0</v>
      </c>
      <c r="BR367" t="s">
        <v>1</v>
      </c>
      <c r="BS367" t="s">
        <v>1</v>
      </c>
      <c r="BT367" t="s">
        <v>1</v>
      </c>
      <c r="BU367" t="s">
        <v>1</v>
      </c>
      <c r="BV367" t="s">
        <v>1</v>
      </c>
      <c r="BW367" t="s">
        <v>360</v>
      </c>
      <c r="BX367" t="s">
        <v>1</v>
      </c>
      <c r="BY367">
        <v>0</v>
      </c>
      <c r="BZ367">
        <v>0</v>
      </c>
      <c r="CA367">
        <v>0</v>
      </c>
      <c r="CB367">
        <v>0</v>
      </c>
      <c r="CD367" t="str" cm="1">
        <f t="array" aca="1" ref="CD367" ca="1">eConcatenar(A367:CB367,"|")</f>
        <v>XUOBOZ5QD7kDtWtV|VSA2021-1607|3|MEMORIAL|TABASCO|VILLAHERMOSA |VILLAHERMOSA |2021-09-28|14800|X|X|200|1|0|X|X|X|X|X|X|X|X|X|X|X|X|0|TIEL|DAMIAN|MARIA DEL CARMEN |0|X|X|CALLE ESPAÃ‘A 213 CENTRO|COLONIA GAVIOTAS SUR |ENTRE CALLE AFRICA Y MEXICO EN LA ESQUINA HAY UNA PANADERIA.|9934193713|X|X|0|CALLE ESPAÃ‘A 213 CENTRO|X|4|0|0|X|X|X|0|1100|13700|0|0|X|2021-12-17|2021-12-31|X|X|X|0|0|S35D6D3Y9KVTQ2|X|MUJER|0|14800|0|0|0|X|X|X|X|X|VILLAHERMOSA |X|0|0|0|0</v>
      </c>
    </row>
    <row r="368" spans="1:82" x14ac:dyDescent="0.25">
      <c r="A368" t="s">
        <v>2716</v>
      </c>
      <c r="B368" t="s">
        <v>2717</v>
      </c>
      <c r="C368">
        <v>3</v>
      </c>
      <c r="D368" t="s">
        <v>741</v>
      </c>
      <c r="E368" t="s">
        <v>359</v>
      </c>
      <c r="F368" t="s">
        <v>360</v>
      </c>
      <c r="G368" t="s">
        <v>360</v>
      </c>
      <c r="H368" t="s">
        <v>2718</v>
      </c>
      <c r="I368">
        <v>14800</v>
      </c>
      <c r="J368" t="s">
        <v>1</v>
      </c>
      <c r="K368" t="s">
        <v>1</v>
      </c>
      <c r="L368">
        <v>100</v>
      </c>
      <c r="M368">
        <v>0</v>
      </c>
      <c r="N368">
        <v>0</v>
      </c>
      <c r="O368" t="s">
        <v>1</v>
      </c>
      <c r="P368" t="s">
        <v>1</v>
      </c>
      <c r="Q368" t="s">
        <v>1</v>
      </c>
      <c r="R368" t="s">
        <v>1</v>
      </c>
      <c r="S368" t="s">
        <v>1</v>
      </c>
      <c r="T368" t="s">
        <v>1</v>
      </c>
      <c r="U368" t="s">
        <v>1</v>
      </c>
      <c r="V368" t="s">
        <v>1</v>
      </c>
      <c r="W368" t="s">
        <v>1</v>
      </c>
      <c r="X368" t="s">
        <v>1</v>
      </c>
      <c r="Y368" t="s">
        <v>1</v>
      </c>
      <c r="Z368" t="s">
        <v>1</v>
      </c>
      <c r="AA368">
        <v>0</v>
      </c>
      <c r="AB368" t="s">
        <v>2719</v>
      </c>
      <c r="AC368" t="s">
        <v>2720</v>
      </c>
      <c r="AD368" t="s">
        <v>1461</v>
      </c>
      <c r="AE368">
        <v>0</v>
      </c>
      <c r="AF368" t="s">
        <v>1</v>
      </c>
      <c r="AG368" t="s">
        <v>1</v>
      </c>
      <c r="AH368" t="s">
        <v>2721</v>
      </c>
      <c r="AI368" t="s">
        <v>2722</v>
      </c>
      <c r="AJ368" t="s">
        <v>1</v>
      </c>
      <c r="AK368">
        <v>9932608652</v>
      </c>
      <c r="AL368" t="s">
        <v>1</v>
      </c>
      <c r="AM368" t="s">
        <v>1</v>
      </c>
      <c r="AN368">
        <v>0</v>
      </c>
      <c r="AO368" t="s">
        <v>2721</v>
      </c>
      <c r="AP368" t="s">
        <v>1</v>
      </c>
      <c r="AQ368">
        <v>4</v>
      </c>
      <c r="AR368">
        <v>0</v>
      </c>
      <c r="AS368">
        <v>0</v>
      </c>
      <c r="AT368" t="s">
        <v>1</v>
      </c>
      <c r="AU368" t="s">
        <v>1</v>
      </c>
      <c r="AV368" t="s">
        <v>1</v>
      </c>
      <c r="AW368">
        <v>0</v>
      </c>
      <c r="AX368">
        <v>800</v>
      </c>
      <c r="AY368">
        <v>14000</v>
      </c>
      <c r="AZ368">
        <v>0</v>
      </c>
      <c r="BA368">
        <v>0</v>
      </c>
      <c r="BB368" t="s">
        <v>1</v>
      </c>
      <c r="BC368" t="s">
        <v>2233</v>
      </c>
      <c r="BD368" t="s">
        <v>1954</v>
      </c>
      <c r="BE368" t="s">
        <v>1</v>
      </c>
      <c r="BF368" t="s">
        <v>1</v>
      </c>
      <c r="BG368" t="s">
        <v>1</v>
      </c>
      <c r="BH368">
        <v>0</v>
      </c>
      <c r="BI368">
        <v>0</v>
      </c>
      <c r="BJ368" t="s">
        <v>1930</v>
      </c>
      <c r="BK368" t="s">
        <v>1</v>
      </c>
      <c r="BL368" t="s">
        <v>1138</v>
      </c>
      <c r="BM368">
        <v>0</v>
      </c>
      <c r="BN368">
        <v>14800</v>
      </c>
      <c r="BO368">
        <v>0</v>
      </c>
      <c r="BP368">
        <v>0</v>
      </c>
      <c r="BQ368">
        <v>0</v>
      </c>
      <c r="BR368" t="s">
        <v>1</v>
      </c>
      <c r="BS368" t="s">
        <v>1</v>
      </c>
      <c r="BT368" t="s">
        <v>1</v>
      </c>
      <c r="BU368" t="s">
        <v>1</v>
      </c>
      <c r="BV368" t="s">
        <v>1</v>
      </c>
      <c r="BW368" t="s">
        <v>360</v>
      </c>
      <c r="BX368" t="s">
        <v>1</v>
      </c>
      <c r="BY368">
        <v>0</v>
      </c>
      <c r="BZ368">
        <v>0</v>
      </c>
      <c r="CA368">
        <v>0</v>
      </c>
      <c r="CB368">
        <v>0</v>
      </c>
      <c r="CD368" t="str" cm="1">
        <f t="array" aca="1" ref="CD368" ca="1">eConcatenar(A368:CB368,"|")</f>
        <v>lfoYiCHKvLR5dbVv|VSA2021-1678|3|MEMORIAL|TABASCO|VILLAHERMOSA |VILLAHERMOSA |2021-07-10|14800|X|X|100|0|0|X|X|X|X|X|X|X|X|X|X|X|X|0|CHANONA|MENDEZ|MARIA DEL CARMEN |0|X|X|RANCHERIANTORNO LARGO PRIMERA SECCION|CALLEJON LOS AGUILARES KILOMETRO 6 |X|9932608652|X|X|0|RANCHERIANTORNO LARGO PRIMERA SECCION|X|4|0|0|X|X|X|0|800|14000|0|0|X|2021-10-12|2021-12-17|X|X|X|0|0|S35D6D3Y9KVTQ2|X|MUJER|0|14800|0|0|0|X|X|X|X|X|VILLAHERMOSA |X|0|0|0|0</v>
      </c>
    </row>
    <row r="369" spans="1:82" x14ac:dyDescent="0.25">
      <c r="A369" t="s">
        <v>2723</v>
      </c>
      <c r="B369" t="s">
        <v>2724</v>
      </c>
      <c r="C369">
        <v>3</v>
      </c>
      <c r="D369" t="s">
        <v>246</v>
      </c>
      <c r="E369" t="s">
        <v>359</v>
      </c>
      <c r="F369" t="s">
        <v>360</v>
      </c>
      <c r="G369" t="s">
        <v>360</v>
      </c>
      <c r="H369" t="s">
        <v>2725</v>
      </c>
      <c r="I369">
        <v>24500</v>
      </c>
      <c r="J369" t="s">
        <v>1</v>
      </c>
      <c r="K369" t="s">
        <v>1</v>
      </c>
      <c r="L369">
        <v>100</v>
      </c>
      <c r="M369">
        <v>0</v>
      </c>
      <c r="N369">
        <v>0</v>
      </c>
      <c r="O369" t="s">
        <v>1</v>
      </c>
      <c r="P369" t="s">
        <v>1</v>
      </c>
      <c r="Q369" t="s">
        <v>1</v>
      </c>
      <c r="R369" t="s">
        <v>1</v>
      </c>
      <c r="S369" t="s">
        <v>1</v>
      </c>
      <c r="T369" t="s">
        <v>1</v>
      </c>
      <c r="U369" t="s">
        <v>1</v>
      </c>
      <c r="V369" t="s">
        <v>1</v>
      </c>
      <c r="W369" t="s">
        <v>1</v>
      </c>
      <c r="X369" t="s">
        <v>1</v>
      </c>
      <c r="Y369" t="s">
        <v>1</v>
      </c>
      <c r="Z369" t="s">
        <v>1</v>
      </c>
      <c r="AA369">
        <v>0</v>
      </c>
      <c r="AB369" t="s">
        <v>344</v>
      </c>
      <c r="AC369" t="s">
        <v>726</v>
      </c>
      <c r="AD369" t="s">
        <v>2726</v>
      </c>
      <c r="AE369">
        <v>0</v>
      </c>
      <c r="AF369" t="s">
        <v>1</v>
      </c>
      <c r="AG369" t="s">
        <v>1</v>
      </c>
      <c r="AH369" t="s">
        <v>2727</v>
      </c>
      <c r="AI369" t="s">
        <v>2728</v>
      </c>
      <c r="AJ369" t="s">
        <v>2729</v>
      </c>
      <c r="AK369">
        <v>9933483952</v>
      </c>
      <c r="AL369" t="s">
        <v>1</v>
      </c>
      <c r="AM369" t="s">
        <v>1</v>
      </c>
      <c r="AN369">
        <v>0</v>
      </c>
      <c r="AO369" t="s">
        <v>2727</v>
      </c>
      <c r="AP369" t="s">
        <v>1</v>
      </c>
      <c r="AQ369">
        <v>4</v>
      </c>
      <c r="AR369">
        <v>0</v>
      </c>
      <c r="AS369">
        <v>0</v>
      </c>
      <c r="AT369" t="s">
        <v>1</v>
      </c>
      <c r="AU369" t="s">
        <v>1</v>
      </c>
      <c r="AV369" t="s">
        <v>1</v>
      </c>
      <c r="AW369">
        <v>0</v>
      </c>
      <c r="AX369">
        <v>2700</v>
      </c>
      <c r="AY369">
        <v>21800</v>
      </c>
      <c r="AZ369">
        <v>0</v>
      </c>
      <c r="BA369">
        <v>0</v>
      </c>
      <c r="BB369" t="s">
        <v>1</v>
      </c>
      <c r="BC369" t="s">
        <v>2233</v>
      </c>
      <c r="BD369" t="s">
        <v>1954</v>
      </c>
      <c r="BE369" t="s">
        <v>1</v>
      </c>
      <c r="BF369" t="s">
        <v>1</v>
      </c>
      <c r="BG369" t="s">
        <v>1</v>
      </c>
      <c r="BH369">
        <v>0</v>
      </c>
      <c r="BI369">
        <v>0</v>
      </c>
      <c r="BJ369" t="s">
        <v>1930</v>
      </c>
      <c r="BK369" t="s">
        <v>1</v>
      </c>
      <c r="BL369" t="s">
        <v>1138</v>
      </c>
      <c r="BM369">
        <v>0</v>
      </c>
      <c r="BN369">
        <v>24500</v>
      </c>
      <c r="BO369">
        <v>0</v>
      </c>
      <c r="BP369">
        <v>0</v>
      </c>
      <c r="BQ369">
        <v>0</v>
      </c>
      <c r="BR369" t="s">
        <v>1</v>
      </c>
      <c r="BS369" t="s">
        <v>1</v>
      </c>
      <c r="BT369" t="s">
        <v>1</v>
      </c>
      <c r="BU369" t="s">
        <v>1</v>
      </c>
      <c r="BV369" t="s">
        <v>1</v>
      </c>
      <c r="BW369" t="s">
        <v>360</v>
      </c>
      <c r="BX369" t="s">
        <v>1</v>
      </c>
      <c r="BY369">
        <v>0</v>
      </c>
      <c r="BZ369">
        <v>0</v>
      </c>
      <c r="CA369">
        <v>0</v>
      </c>
      <c r="CB369">
        <v>0</v>
      </c>
      <c r="CD369" t="str" cm="1">
        <f t="array" aca="1" ref="CD369" ca="1">eConcatenar(A369:CB369,"|")</f>
        <v>ksGStCzTnS4i9beT|VSA2021-1686|3|DIGNITY|TABASCO|VILLAHERMOSA |VILLAHERMOSA |2021-08-10|24500|X|X|100|0|0|X|X|X|X|X|X|X|X|X|X|X|X|0|RUIZ|CRUZ|MARIELA|0|X|X|CALLE EDUCADORES 200|COLONIA GAVIOTAS SUR SECTOR SAN JOSE |ENTRE MEDICOS Y ENFERMEROS |9933483952|X|X|0|CALLE EDUCADORES 200|X|4|0|0|X|X|X|0|2700|21800|0|0|X|2021-10-12|2021-12-17|X|X|X|0|0|S35D6D3Y9KVTQ2|X|MUJER|0|24500|0|0|0|X|X|X|X|X|VILLAHERMOSA |X|0|0|0|0</v>
      </c>
    </row>
    <row r="370" spans="1:82" x14ac:dyDescent="0.25">
      <c r="A370" t="s">
        <v>2730</v>
      </c>
      <c r="B370" t="s">
        <v>2731</v>
      </c>
      <c r="C370">
        <v>3</v>
      </c>
      <c r="D370" t="s">
        <v>741</v>
      </c>
      <c r="E370" t="s">
        <v>359</v>
      </c>
      <c r="F370" t="s">
        <v>360</v>
      </c>
      <c r="G370" t="s">
        <v>360</v>
      </c>
      <c r="H370" t="s">
        <v>2732</v>
      </c>
      <c r="I370">
        <v>14800</v>
      </c>
      <c r="J370" t="s">
        <v>1</v>
      </c>
      <c r="K370" t="s">
        <v>1</v>
      </c>
      <c r="L370">
        <v>100</v>
      </c>
      <c r="M370">
        <v>0</v>
      </c>
      <c r="N370">
        <v>0</v>
      </c>
      <c r="O370" t="s">
        <v>1</v>
      </c>
      <c r="P370" t="s">
        <v>1</v>
      </c>
      <c r="Q370" t="s">
        <v>1</v>
      </c>
      <c r="R370" t="s">
        <v>1</v>
      </c>
      <c r="S370" t="s">
        <v>1</v>
      </c>
      <c r="T370" t="s">
        <v>1</v>
      </c>
      <c r="U370" t="s">
        <v>1</v>
      </c>
      <c r="V370" t="s">
        <v>1</v>
      </c>
      <c r="W370" t="s">
        <v>1</v>
      </c>
      <c r="X370" t="s">
        <v>1</v>
      </c>
      <c r="Y370" t="s">
        <v>1</v>
      </c>
      <c r="Z370" t="s">
        <v>1</v>
      </c>
      <c r="AA370">
        <v>0</v>
      </c>
      <c r="AB370" t="s">
        <v>1029</v>
      </c>
      <c r="AC370" t="s">
        <v>2733</v>
      </c>
      <c r="AD370" t="s">
        <v>2734</v>
      </c>
      <c r="AE370">
        <v>0</v>
      </c>
      <c r="AF370" t="s">
        <v>1</v>
      </c>
      <c r="AG370" t="s">
        <v>1</v>
      </c>
      <c r="AH370" t="s">
        <v>2735</v>
      </c>
      <c r="AI370" t="s">
        <v>2736</v>
      </c>
      <c r="AJ370" t="s">
        <v>1</v>
      </c>
      <c r="AK370">
        <v>9931550074</v>
      </c>
      <c r="AL370" t="s">
        <v>1</v>
      </c>
      <c r="AM370" t="s">
        <v>1</v>
      </c>
      <c r="AN370">
        <v>0</v>
      </c>
      <c r="AO370" t="s">
        <v>2735</v>
      </c>
      <c r="AP370" t="s">
        <v>1</v>
      </c>
      <c r="AQ370">
        <v>4</v>
      </c>
      <c r="AR370">
        <v>0</v>
      </c>
      <c r="AS370">
        <v>0</v>
      </c>
      <c r="AT370" t="s">
        <v>1</v>
      </c>
      <c r="AU370" t="s">
        <v>1</v>
      </c>
      <c r="AV370" t="s">
        <v>1</v>
      </c>
      <c r="AW370">
        <v>0</v>
      </c>
      <c r="AX370">
        <v>700</v>
      </c>
      <c r="AY370">
        <v>14100</v>
      </c>
      <c r="AZ370">
        <v>0</v>
      </c>
      <c r="BA370">
        <v>0</v>
      </c>
      <c r="BB370" t="s">
        <v>1</v>
      </c>
      <c r="BC370" t="s">
        <v>729</v>
      </c>
      <c r="BD370" t="s">
        <v>1954</v>
      </c>
      <c r="BE370" t="s">
        <v>1</v>
      </c>
      <c r="BF370" t="s">
        <v>1</v>
      </c>
      <c r="BG370" t="s">
        <v>1</v>
      </c>
      <c r="BH370">
        <v>0</v>
      </c>
      <c r="BI370">
        <v>0</v>
      </c>
      <c r="BJ370" t="s">
        <v>1930</v>
      </c>
      <c r="BK370" t="s">
        <v>1</v>
      </c>
      <c r="BL370" t="s">
        <v>132</v>
      </c>
      <c r="BM370">
        <v>0</v>
      </c>
      <c r="BN370">
        <v>14800</v>
      </c>
      <c r="BO370">
        <v>0</v>
      </c>
      <c r="BP370">
        <v>0</v>
      </c>
      <c r="BQ370">
        <v>0</v>
      </c>
      <c r="BR370" t="s">
        <v>1</v>
      </c>
      <c r="BS370" t="s">
        <v>1</v>
      </c>
      <c r="BT370" t="s">
        <v>1</v>
      </c>
      <c r="BU370" t="s">
        <v>1</v>
      </c>
      <c r="BV370" t="s">
        <v>1</v>
      </c>
      <c r="BW370" t="s">
        <v>360</v>
      </c>
      <c r="BX370" t="s">
        <v>1</v>
      </c>
      <c r="BY370">
        <v>0</v>
      </c>
      <c r="BZ370">
        <v>0</v>
      </c>
      <c r="CA370">
        <v>0</v>
      </c>
      <c r="CB370">
        <v>0</v>
      </c>
      <c r="CD370" t="str" cm="1">
        <f t="array" aca="1" ref="CD370" ca="1">eConcatenar(A370:CB370,"|")</f>
        <v>nzS0LtgcTk1Tljr6|VSA2021-1662|3|MEMORIAL|TABASCO|VILLAHERMOSA |VILLAHERMOSA |2021-04-10|14800|X|X|100|0|0|X|X|X|X|X|X|X|X|X|X|X|X|0|LEON|VERTIZ|RAUL ALEJANDRO|0|X|X|RANCHERIA PLUTARCO ELIAS CALLES | CALLE PRINCIPAL 120 NEGOCIO RYR.|X|9931550074|X|X|0|RANCHERIA PLUTARCO ELIAS CALLES |X|4|0|0|X|X|X|0|700|14100|0|0|X|2021-09-12|2021-12-17|X|X|X|0|0|S35D6D3Y9KVTQ2|X|HOMBRE|0|14800|0|0|0|X|X|X|X|X|VILLAHERMOSA |X|0|0|0|0</v>
      </c>
    </row>
    <row r="371" spans="1:82" x14ac:dyDescent="0.25">
      <c r="A371" t="s">
        <v>2737</v>
      </c>
      <c r="B371" t="s">
        <v>2738</v>
      </c>
      <c r="C371">
        <v>3</v>
      </c>
      <c r="D371" t="s">
        <v>741</v>
      </c>
      <c r="E371" t="s">
        <v>359</v>
      </c>
      <c r="F371" t="s">
        <v>360</v>
      </c>
      <c r="G371" t="s">
        <v>360</v>
      </c>
      <c r="H371" t="s">
        <v>796</v>
      </c>
      <c r="I371">
        <v>14800</v>
      </c>
      <c r="J371" t="s">
        <v>1</v>
      </c>
      <c r="K371" t="s">
        <v>1</v>
      </c>
      <c r="L371">
        <v>100</v>
      </c>
      <c r="M371">
        <v>0</v>
      </c>
      <c r="N371">
        <v>0</v>
      </c>
      <c r="O371" t="s">
        <v>1</v>
      </c>
      <c r="P371" t="s">
        <v>1</v>
      </c>
      <c r="Q371" t="s">
        <v>1</v>
      </c>
      <c r="R371" t="s">
        <v>1</v>
      </c>
      <c r="S371" t="s">
        <v>1</v>
      </c>
      <c r="T371" t="s">
        <v>1</v>
      </c>
      <c r="U371" t="s">
        <v>1</v>
      </c>
      <c r="V371" t="s">
        <v>1</v>
      </c>
      <c r="W371" t="s">
        <v>1</v>
      </c>
      <c r="X371" t="s">
        <v>1</v>
      </c>
      <c r="Y371" t="s">
        <v>1</v>
      </c>
      <c r="Z371" t="s">
        <v>1</v>
      </c>
      <c r="AA371">
        <v>0</v>
      </c>
      <c r="AB371" t="s">
        <v>248</v>
      </c>
      <c r="AC371" t="s">
        <v>2739</v>
      </c>
      <c r="AD371" t="s">
        <v>2740</v>
      </c>
      <c r="AE371">
        <v>0</v>
      </c>
      <c r="AF371" t="s">
        <v>1</v>
      </c>
      <c r="AG371" t="s">
        <v>1</v>
      </c>
      <c r="AH371" t="s">
        <v>2741</v>
      </c>
      <c r="AI371" t="s">
        <v>2742</v>
      </c>
      <c r="AJ371" t="s">
        <v>1</v>
      </c>
      <c r="AK371">
        <v>9934371568</v>
      </c>
      <c r="AL371" t="s">
        <v>1</v>
      </c>
      <c r="AM371" t="s">
        <v>1</v>
      </c>
      <c r="AN371">
        <v>0</v>
      </c>
      <c r="AO371" t="s">
        <v>2741</v>
      </c>
      <c r="AP371" t="s">
        <v>1</v>
      </c>
      <c r="AQ371">
        <v>4</v>
      </c>
      <c r="AR371">
        <v>0</v>
      </c>
      <c r="AS371">
        <v>0</v>
      </c>
      <c r="AT371" t="s">
        <v>1</v>
      </c>
      <c r="AU371" t="s">
        <v>1</v>
      </c>
      <c r="AV371" t="s">
        <v>1</v>
      </c>
      <c r="AW371">
        <v>0</v>
      </c>
      <c r="AX371">
        <v>400</v>
      </c>
      <c r="AY371">
        <v>14400</v>
      </c>
      <c r="AZ371">
        <v>0</v>
      </c>
      <c r="BA371">
        <v>0</v>
      </c>
      <c r="BB371" t="s">
        <v>1</v>
      </c>
      <c r="BC371" t="s">
        <v>312</v>
      </c>
      <c r="BD371" t="s">
        <v>147</v>
      </c>
      <c r="BE371" t="s">
        <v>1</v>
      </c>
      <c r="BF371" t="s">
        <v>1</v>
      </c>
      <c r="BG371" t="s">
        <v>1</v>
      </c>
      <c r="BH371">
        <v>0</v>
      </c>
      <c r="BI371">
        <v>0</v>
      </c>
      <c r="BJ371" t="s">
        <v>1930</v>
      </c>
      <c r="BK371" t="s">
        <v>1</v>
      </c>
      <c r="BL371" t="s">
        <v>1138</v>
      </c>
      <c r="BM371">
        <v>0</v>
      </c>
      <c r="BN371">
        <v>14800</v>
      </c>
      <c r="BO371">
        <v>0</v>
      </c>
      <c r="BP371">
        <v>0</v>
      </c>
      <c r="BQ371">
        <v>0</v>
      </c>
      <c r="BR371" t="s">
        <v>1</v>
      </c>
      <c r="BS371" t="s">
        <v>1</v>
      </c>
      <c r="BT371" t="s">
        <v>1</v>
      </c>
      <c r="BU371" t="s">
        <v>1</v>
      </c>
      <c r="BV371" t="s">
        <v>1</v>
      </c>
      <c r="BW371" t="s">
        <v>360</v>
      </c>
      <c r="BX371" t="s">
        <v>1</v>
      </c>
      <c r="BY371">
        <v>0</v>
      </c>
      <c r="BZ371">
        <v>0</v>
      </c>
      <c r="CA371">
        <v>0</v>
      </c>
      <c r="CB371">
        <v>0</v>
      </c>
      <c r="CD371" t="str" cm="1">
        <f t="array" aca="1" ref="CD371" ca="1">eConcatenar(A371:CB371,"|")</f>
        <v>1M3toIHibILHwfpN|VSA2021-1798|3|MEMORIAL|TABASCO|VILLAHERMOSA |VILLAHERMOSA |2021-04-11|14800|X|X|100|0|0|X|X|X|X|X|X|X|X|X|X|X|X|0|MORALES|BAEZA|SELENA ANABELLA|0|X|X|FRACCIONAMIENTO POMOCA SECTOR 4|PRIVADA VALLE DE BRAVO MANZANA 23 LOTE 13 |X|9934371568|X|X|0|FRACCIONAMIENTO POMOCA SECTOR 4|X|4|0|0|X|X|X|0|400|14400|0|0|X|2021-12-24|2021-12-31|X|X|X|0|0|S35D6D3Y9KVTQ2|X|MUJER|0|14800|0|0|0|X|X|X|X|X|VILLAHERMOSA |X|0|0|0|0</v>
      </c>
    </row>
    <row r="372" spans="1:82" x14ac:dyDescent="0.25">
      <c r="A372" t="s">
        <v>2743</v>
      </c>
      <c r="B372" t="s">
        <v>2744</v>
      </c>
      <c r="C372">
        <v>3</v>
      </c>
      <c r="D372" t="s">
        <v>741</v>
      </c>
      <c r="E372" t="s">
        <v>359</v>
      </c>
      <c r="F372" t="s">
        <v>360</v>
      </c>
      <c r="G372" t="s">
        <v>360</v>
      </c>
      <c r="H372" t="s">
        <v>2745</v>
      </c>
      <c r="I372">
        <v>14800</v>
      </c>
      <c r="J372" t="s">
        <v>1</v>
      </c>
      <c r="K372" t="s">
        <v>1</v>
      </c>
      <c r="L372">
        <v>100</v>
      </c>
      <c r="M372">
        <v>0</v>
      </c>
      <c r="N372">
        <v>0</v>
      </c>
      <c r="O372" t="s">
        <v>1</v>
      </c>
      <c r="P372" t="s">
        <v>1</v>
      </c>
      <c r="Q372" t="s">
        <v>1</v>
      </c>
      <c r="R372" t="s">
        <v>1</v>
      </c>
      <c r="S372" t="s">
        <v>1</v>
      </c>
      <c r="T372" t="s">
        <v>1</v>
      </c>
      <c r="U372" t="s">
        <v>1</v>
      </c>
      <c r="V372" t="s">
        <v>1</v>
      </c>
      <c r="W372" t="s">
        <v>1</v>
      </c>
      <c r="X372" t="s">
        <v>1</v>
      </c>
      <c r="Y372" t="s">
        <v>1</v>
      </c>
      <c r="Z372" t="s">
        <v>1</v>
      </c>
      <c r="AA372">
        <v>0</v>
      </c>
      <c r="AB372" t="s">
        <v>395</v>
      </c>
      <c r="AC372" t="s">
        <v>1484</v>
      </c>
      <c r="AD372" t="s">
        <v>2746</v>
      </c>
      <c r="AE372">
        <v>0</v>
      </c>
      <c r="AF372" t="s">
        <v>1</v>
      </c>
      <c r="AG372" t="s">
        <v>1</v>
      </c>
      <c r="AH372" t="s">
        <v>2747</v>
      </c>
      <c r="AI372" t="s">
        <v>2748</v>
      </c>
      <c r="AJ372" t="s">
        <v>1</v>
      </c>
      <c r="AK372">
        <v>9933740338</v>
      </c>
      <c r="AL372" t="s">
        <v>1</v>
      </c>
      <c r="AM372" t="s">
        <v>1</v>
      </c>
      <c r="AN372">
        <v>0</v>
      </c>
      <c r="AO372" t="s">
        <v>2747</v>
      </c>
      <c r="AP372" t="s">
        <v>1</v>
      </c>
      <c r="AQ372">
        <v>4</v>
      </c>
      <c r="AR372">
        <v>0</v>
      </c>
      <c r="AS372">
        <v>0</v>
      </c>
      <c r="AT372" t="s">
        <v>1</v>
      </c>
      <c r="AU372" t="s">
        <v>1</v>
      </c>
      <c r="AV372" t="s">
        <v>1</v>
      </c>
      <c r="AW372">
        <v>0</v>
      </c>
      <c r="AX372">
        <v>1100</v>
      </c>
      <c r="AY372">
        <v>13700</v>
      </c>
      <c r="AZ372">
        <v>0</v>
      </c>
      <c r="BA372">
        <v>0</v>
      </c>
      <c r="BB372" t="s">
        <v>1</v>
      </c>
      <c r="BC372" t="s">
        <v>312</v>
      </c>
      <c r="BD372" t="s">
        <v>147</v>
      </c>
      <c r="BE372" t="s">
        <v>1</v>
      </c>
      <c r="BF372" t="s">
        <v>1</v>
      </c>
      <c r="BG372" t="s">
        <v>1</v>
      </c>
      <c r="BH372">
        <v>0</v>
      </c>
      <c r="BI372">
        <v>0</v>
      </c>
      <c r="BJ372" t="s">
        <v>1930</v>
      </c>
      <c r="BK372" t="s">
        <v>1</v>
      </c>
      <c r="BL372" t="s">
        <v>1138</v>
      </c>
      <c r="BM372">
        <v>0</v>
      </c>
      <c r="BN372">
        <v>13700</v>
      </c>
      <c r="BO372">
        <v>0</v>
      </c>
      <c r="BP372">
        <v>0</v>
      </c>
      <c r="BQ372">
        <v>0</v>
      </c>
      <c r="BR372" t="s">
        <v>1</v>
      </c>
      <c r="BS372" t="s">
        <v>1</v>
      </c>
      <c r="BT372" t="s">
        <v>1</v>
      </c>
      <c r="BU372" t="s">
        <v>1</v>
      </c>
      <c r="BV372" t="s">
        <v>1</v>
      </c>
      <c r="BW372" t="s">
        <v>360</v>
      </c>
      <c r="BX372" t="s">
        <v>1</v>
      </c>
      <c r="BY372">
        <v>0</v>
      </c>
      <c r="BZ372">
        <v>0</v>
      </c>
      <c r="CA372">
        <v>0</v>
      </c>
      <c r="CB372">
        <v>0</v>
      </c>
      <c r="CD372" t="str" cm="1">
        <f t="array" aca="1" ref="CD372" ca="1">eConcatenar(A372:CB372,"|")</f>
        <v>ihaCYtH0YXK2dbTk|VSA2021-1714|3|MEMORIAL|TABASCO|VILLAHERMOSA |VILLAHERMOSA |2021-10-15|14800|X|X|100|0|0|X|X|X|X|X|X|X|X|X|X|X|X|0|GARCIA |ALMEIDA|VIRIDIANA |0|X|X|CALLE MIGUEL HIDALGO 601 |COLONIA TAMULTE |X|9933740338|X|X|0|CALLE MIGUEL HIDALGO 601 |X|4|0|0|X|X|X|0|1100|13700|0|0|X|2021-12-24|2021-12-31|X|X|X|0|0|S35D6D3Y9KVTQ2|X|MUJER|0|13700|0|0|0|X|X|X|X|X|VILLAHERMOSA |X|0|0|0|0</v>
      </c>
    </row>
    <row r="373" spans="1:82" x14ac:dyDescent="0.25">
      <c r="A373" t="s">
        <v>2749</v>
      </c>
      <c r="B373" t="s">
        <v>2750</v>
      </c>
      <c r="C373">
        <v>3</v>
      </c>
      <c r="D373" t="s">
        <v>246</v>
      </c>
      <c r="E373" t="s">
        <v>359</v>
      </c>
      <c r="F373" t="s">
        <v>360</v>
      </c>
      <c r="G373" t="s">
        <v>360</v>
      </c>
      <c r="H373" t="s">
        <v>2732</v>
      </c>
      <c r="I373">
        <v>24500</v>
      </c>
      <c r="J373" t="s">
        <v>1</v>
      </c>
      <c r="K373" t="s">
        <v>1</v>
      </c>
      <c r="L373">
        <v>100</v>
      </c>
      <c r="M373">
        <v>0</v>
      </c>
      <c r="N373">
        <v>0</v>
      </c>
      <c r="O373" t="s">
        <v>1</v>
      </c>
      <c r="P373" t="s">
        <v>1</v>
      </c>
      <c r="Q373" t="s">
        <v>1</v>
      </c>
      <c r="R373" t="s">
        <v>1</v>
      </c>
      <c r="S373" t="s">
        <v>1</v>
      </c>
      <c r="T373" t="s">
        <v>1</v>
      </c>
      <c r="U373" t="s">
        <v>1</v>
      </c>
      <c r="V373" t="s">
        <v>1</v>
      </c>
      <c r="W373" t="s">
        <v>1</v>
      </c>
      <c r="X373" t="s">
        <v>1</v>
      </c>
      <c r="Y373" t="s">
        <v>1</v>
      </c>
      <c r="Z373" t="s">
        <v>1</v>
      </c>
      <c r="AA373">
        <v>0</v>
      </c>
      <c r="AB373" t="s">
        <v>1917</v>
      </c>
      <c r="AC373" t="s">
        <v>2610</v>
      </c>
      <c r="AD373" t="s">
        <v>2751</v>
      </c>
      <c r="AE373">
        <v>0</v>
      </c>
      <c r="AF373" t="s">
        <v>1</v>
      </c>
      <c r="AG373" t="s">
        <v>1</v>
      </c>
      <c r="AH373" t="s">
        <v>2752</v>
      </c>
      <c r="AI373" t="s">
        <v>2753</v>
      </c>
      <c r="AJ373" t="s">
        <v>1</v>
      </c>
      <c r="AK373">
        <v>9933205193</v>
      </c>
      <c r="AL373" t="s">
        <v>1</v>
      </c>
      <c r="AM373" t="s">
        <v>1</v>
      </c>
      <c r="AN373">
        <v>0</v>
      </c>
      <c r="AO373" t="s">
        <v>2752</v>
      </c>
      <c r="AP373" t="s">
        <v>1</v>
      </c>
      <c r="AQ373">
        <v>4</v>
      </c>
      <c r="AR373">
        <v>0</v>
      </c>
      <c r="AS373">
        <v>0</v>
      </c>
      <c r="AT373" t="s">
        <v>1</v>
      </c>
      <c r="AU373" t="s">
        <v>1</v>
      </c>
      <c r="AV373" t="s">
        <v>1</v>
      </c>
      <c r="AW373">
        <v>0</v>
      </c>
      <c r="AX373">
        <v>1400</v>
      </c>
      <c r="AY373">
        <v>23100</v>
      </c>
      <c r="AZ373">
        <v>0</v>
      </c>
      <c r="BA373">
        <v>0</v>
      </c>
      <c r="BB373" t="s">
        <v>1</v>
      </c>
      <c r="BC373" t="s">
        <v>312</v>
      </c>
      <c r="BD373" t="s">
        <v>147</v>
      </c>
      <c r="BE373" t="s">
        <v>1</v>
      </c>
      <c r="BF373" t="s">
        <v>1</v>
      </c>
      <c r="BG373" t="s">
        <v>1</v>
      </c>
      <c r="BH373">
        <v>0</v>
      </c>
      <c r="BI373">
        <v>0</v>
      </c>
      <c r="BJ373" t="s">
        <v>1930</v>
      </c>
      <c r="BK373" t="s">
        <v>1</v>
      </c>
      <c r="BL373" t="s">
        <v>132</v>
      </c>
      <c r="BM373">
        <v>0</v>
      </c>
      <c r="BN373">
        <v>24500</v>
      </c>
      <c r="BO373">
        <v>0</v>
      </c>
      <c r="BP373">
        <v>0</v>
      </c>
      <c r="BQ373">
        <v>0</v>
      </c>
      <c r="BR373" t="s">
        <v>1</v>
      </c>
      <c r="BS373" t="s">
        <v>1</v>
      </c>
      <c r="BT373" t="s">
        <v>1</v>
      </c>
      <c r="BU373" t="s">
        <v>1</v>
      </c>
      <c r="BV373" t="s">
        <v>1</v>
      </c>
      <c r="BW373" t="s">
        <v>360</v>
      </c>
      <c r="BX373" t="s">
        <v>1</v>
      </c>
      <c r="BY373">
        <v>0</v>
      </c>
      <c r="BZ373">
        <v>0</v>
      </c>
      <c r="CA373">
        <v>0</v>
      </c>
      <c r="CB373">
        <v>0</v>
      </c>
      <c r="CD373" t="str" cm="1">
        <f t="array" aca="1" ref="CD373" ca="1">eConcatenar(A373:CB373,"|")</f>
        <v>kIKOvieiKnZALSDM|VSA2021-1658|3|DIGNITY|TABASCO|VILLAHERMOSA |VILLAHERMOSA |2021-04-10|24500|X|X|100|0|0|X|X|X|X|X|X|X|X|X|X|X|X|0|VAZQUEZ|AGUIRRE|JOSE DOMINGO |0|X|X|CALLE EGIDO SIN NUMERO |RANCHERIA MANGA 3 ABANICO |X|9933205193|X|X|0|CALLE EGIDO SIN NUMERO |X|4|0|0|X|X|X|0|1400|23100|0|0|X|2021-12-24|2021-12-31|X|X|X|0|0|S35D6D3Y9KVTQ2|X|HOMBRE|0|24500|0|0|0|X|X|X|X|X|VILLAHERMOSA |X|0|0|0|0</v>
      </c>
    </row>
    <row r="374" spans="1:82" x14ac:dyDescent="0.25">
      <c r="A374" t="s">
        <v>2754</v>
      </c>
      <c r="B374" t="s">
        <v>2755</v>
      </c>
      <c r="C374">
        <v>3</v>
      </c>
      <c r="D374" t="s">
        <v>827</v>
      </c>
      <c r="E374" t="s">
        <v>359</v>
      </c>
      <c r="F374" t="s">
        <v>360</v>
      </c>
      <c r="G374" t="s">
        <v>360</v>
      </c>
      <c r="H374" t="s">
        <v>751</v>
      </c>
      <c r="I374">
        <v>35000</v>
      </c>
      <c r="J374" t="s">
        <v>1</v>
      </c>
      <c r="K374" t="s">
        <v>1</v>
      </c>
      <c r="L374">
        <v>100</v>
      </c>
      <c r="M374">
        <v>0</v>
      </c>
      <c r="N374">
        <v>0</v>
      </c>
      <c r="O374" t="s">
        <v>1</v>
      </c>
      <c r="P374" t="s">
        <v>1</v>
      </c>
      <c r="Q374" t="s">
        <v>1</v>
      </c>
      <c r="R374" t="s">
        <v>1</v>
      </c>
      <c r="S374" t="s">
        <v>1</v>
      </c>
      <c r="T374" t="s">
        <v>1</v>
      </c>
      <c r="U374" t="s">
        <v>1</v>
      </c>
      <c r="V374" t="s">
        <v>1</v>
      </c>
      <c r="W374" t="s">
        <v>1</v>
      </c>
      <c r="X374" t="s">
        <v>1</v>
      </c>
      <c r="Y374" t="s">
        <v>1</v>
      </c>
      <c r="Z374" t="s">
        <v>1</v>
      </c>
      <c r="AA374">
        <v>0</v>
      </c>
      <c r="AB374" t="s">
        <v>15</v>
      </c>
      <c r="AC374" t="s">
        <v>2632</v>
      </c>
      <c r="AD374" t="s">
        <v>978</v>
      </c>
      <c r="AE374">
        <v>0</v>
      </c>
      <c r="AF374" t="s">
        <v>1</v>
      </c>
      <c r="AG374" t="s">
        <v>1</v>
      </c>
      <c r="AH374" t="s">
        <v>2756</v>
      </c>
      <c r="AI374" t="s">
        <v>2063</v>
      </c>
      <c r="AJ374" t="s">
        <v>2757</v>
      </c>
      <c r="AK374">
        <v>9933257607</v>
      </c>
      <c r="AL374" t="s">
        <v>1</v>
      </c>
      <c r="AM374" t="s">
        <v>1</v>
      </c>
      <c r="AN374">
        <v>0</v>
      </c>
      <c r="AO374" t="s">
        <v>2756</v>
      </c>
      <c r="AP374" t="s">
        <v>1</v>
      </c>
      <c r="AQ374">
        <v>4</v>
      </c>
      <c r="AR374">
        <v>0</v>
      </c>
      <c r="AS374">
        <v>0</v>
      </c>
      <c r="AT374" t="s">
        <v>1</v>
      </c>
      <c r="AU374" t="s">
        <v>1</v>
      </c>
      <c r="AV374" t="s">
        <v>1</v>
      </c>
      <c r="AW374">
        <v>0</v>
      </c>
      <c r="AX374">
        <v>600</v>
      </c>
      <c r="AY374">
        <v>34400</v>
      </c>
      <c r="AZ374">
        <v>0</v>
      </c>
      <c r="BA374">
        <v>0</v>
      </c>
      <c r="BB374" t="s">
        <v>1</v>
      </c>
      <c r="BC374" t="s">
        <v>312</v>
      </c>
      <c r="BD374" t="s">
        <v>147</v>
      </c>
      <c r="BE374" t="s">
        <v>1</v>
      </c>
      <c r="BF374" t="s">
        <v>1</v>
      </c>
      <c r="BG374" t="s">
        <v>1</v>
      </c>
      <c r="BH374">
        <v>0</v>
      </c>
      <c r="BI374">
        <v>0</v>
      </c>
      <c r="BJ374" t="s">
        <v>1930</v>
      </c>
      <c r="BK374" t="s">
        <v>1</v>
      </c>
      <c r="BL374" t="s">
        <v>132</v>
      </c>
      <c r="BM374">
        <v>0</v>
      </c>
      <c r="BN374">
        <v>35000</v>
      </c>
      <c r="BO374">
        <v>0</v>
      </c>
      <c r="BP374">
        <v>0</v>
      </c>
      <c r="BQ374">
        <v>0</v>
      </c>
      <c r="BR374" t="s">
        <v>1</v>
      </c>
      <c r="BS374" t="s">
        <v>1</v>
      </c>
      <c r="BT374" t="s">
        <v>1</v>
      </c>
      <c r="BU374" t="s">
        <v>1</v>
      </c>
      <c r="BV374" t="s">
        <v>1</v>
      </c>
      <c r="BW374" t="s">
        <v>360</v>
      </c>
      <c r="BX374" t="s">
        <v>1</v>
      </c>
      <c r="BY374">
        <v>0</v>
      </c>
      <c r="BZ374">
        <v>0</v>
      </c>
      <c r="CA374">
        <v>0</v>
      </c>
      <c r="CB374">
        <v>0</v>
      </c>
      <c r="CD374" t="str" cm="1">
        <f t="array" aca="1" ref="CD374" ca="1">eConcatenar(A374:CB374,"|")</f>
        <v>Eyix5edHLXgHJErb|VSA2021-1815|3|DELUX|TABASCO|VILLAHERMOSA |VILLAHERMOSA |2021-07-11|35000|X|X|100|0|0|X|X|X|X|X|X|X|X|X|X|X|X|0|PEREZ |RODRIGUEZ|ALEJANDRO |0|X|X|CALLE BRASIL 208|COLONIA GAVIOTAS SUR |ENTRE AFRICA Y MEXICO|9933257607|X|X|0|CALLE BRASIL 208|X|4|0|0|X|X|X|0|600|34400|0|0|X|2021-12-24|2021-12-31|X|X|X|0|0|S35D6D3Y9KVTQ2|X|HOMBRE|0|35000|0|0|0|X|X|X|X|X|VILLAHERMOSA |X|0|0|0|0</v>
      </c>
    </row>
    <row r="375" spans="1:82" x14ac:dyDescent="0.25">
      <c r="A375" t="s">
        <v>2758</v>
      </c>
      <c r="B375" t="s">
        <v>2759</v>
      </c>
      <c r="C375">
        <v>3</v>
      </c>
      <c r="D375" t="s">
        <v>827</v>
      </c>
      <c r="E375" t="s">
        <v>359</v>
      </c>
      <c r="F375" t="s">
        <v>360</v>
      </c>
      <c r="G375" t="s">
        <v>360</v>
      </c>
      <c r="H375" t="s">
        <v>950</v>
      </c>
      <c r="I375">
        <v>35000</v>
      </c>
      <c r="J375" t="s">
        <v>1</v>
      </c>
      <c r="K375" t="s">
        <v>1</v>
      </c>
      <c r="L375">
        <v>100</v>
      </c>
      <c r="M375">
        <v>0</v>
      </c>
      <c r="N375">
        <v>0</v>
      </c>
      <c r="O375" t="s">
        <v>1</v>
      </c>
      <c r="P375" t="s">
        <v>1</v>
      </c>
      <c r="Q375" t="s">
        <v>1</v>
      </c>
      <c r="R375" t="s">
        <v>1</v>
      </c>
      <c r="S375" t="s">
        <v>1</v>
      </c>
      <c r="T375" t="s">
        <v>1</v>
      </c>
      <c r="U375" t="s">
        <v>1</v>
      </c>
      <c r="V375" t="s">
        <v>1</v>
      </c>
      <c r="W375" t="s">
        <v>1</v>
      </c>
      <c r="X375" t="s">
        <v>1</v>
      </c>
      <c r="Y375" t="s">
        <v>1</v>
      </c>
      <c r="Z375" t="s">
        <v>1</v>
      </c>
      <c r="AA375">
        <v>0</v>
      </c>
      <c r="AB375" t="s">
        <v>217</v>
      </c>
      <c r="AC375" t="s">
        <v>217</v>
      </c>
      <c r="AD375" t="s">
        <v>2760</v>
      </c>
      <c r="AE375">
        <v>0</v>
      </c>
      <c r="AF375" t="s">
        <v>1</v>
      </c>
      <c r="AG375" t="s">
        <v>1</v>
      </c>
      <c r="AH375" t="s">
        <v>2761</v>
      </c>
      <c r="AI375" t="s">
        <v>2063</v>
      </c>
      <c r="AJ375" t="s">
        <v>1</v>
      </c>
      <c r="AK375">
        <v>9932281733</v>
      </c>
      <c r="AL375" t="s">
        <v>1</v>
      </c>
      <c r="AM375" t="s">
        <v>1</v>
      </c>
      <c r="AN375">
        <v>0</v>
      </c>
      <c r="AO375" t="s">
        <v>2761</v>
      </c>
      <c r="AP375" t="s">
        <v>1</v>
      </c>
      <c r="AQ375">
        <v>4</v>
      </c>
      <c r="AR375">
        <v>0</v>
      </c>
      <c r="AS375">
        <v>0</v>
      </c>
      <c r="AT375" t="s">
        <v>1</v>
      </c>
      <c r="AU375" t="s">
        <v>1</v>
      </c>
      <c r="AV375" t="s">
        <v>1</v>
      </c>
      <c r="AW375">
        <v>0</v>
      </c>
      <c r="AX375">
        <v>900</v>
      </c>
      <c r="AY375">
        <v>34100</v>
      </c>
      <c r="AZ375">
        <v>0</v>
      </c>
      <c r="BA375">
        <v>0</v>
      </c>
      <c r="BB375" t="s">
        <v>1</v>
      </c>
      <c r="BC375" t="s">
        <v>312</v>
      </c>
      <c r="BD375" t="s">
        <v>147</v>
      </c>
      <c r="BE375" t="s">
        <v>1</v>
      </c>
      <c r="BF375" t="s">
        <v>1</v>
      </c>
      <c r="BG375" t="s">
        <v>1</v>
      </c>
      <c r="BH375">
        <v>0</v>
      </c>
      <c r="BI375">
        <v>0</v>
      </c>
      <c r="BJ375" t="s">
        <v>1930</v>
      </c>
      <c r="BK375" t="s">
        <v>1</v>
      </c>
      <c r="BL375" t="s">
        <v>1138</v>
      </c>
      <c r="BM375">
        <v>0</v>
      </c>
      <c r="BN375">
        <v>35000</v>
      </c>
      <c r="BO375">
        <v>0</v>
      </c>
      <c r="BP375">
        <v>0</v>
      </c>
      <c r="BQ375">
        <v>0</v>
      </c>
      <c r="BR375" t="s">
        <v>1</v>
      </c>
      <c r="BS375" t="s">
        <v>1</v>
      </c>
      <c r="BT375" t="s">
        <v>1</v>
      </c>
      <c r="BU375" t="s">
        <v>1</v>
      </c>
      <c r="BV375" t="s">
        <v>1</v>
      </c>
      <c r="BW375" t="s">
        <v>360</v>
      </c>
      <c r="BX375" t="s">
        <v>1</v>
      </c>
      <c r="BY375">
        <v>0</v>
      </c>
      <c r="BZ375">
        <v>0</v>
      </c>
      <c r="CA375">
        <v>0</v>
      </c>
      <c r="CB375">
        <v>0</v>
      </c>
      <c r="CD375" t="str" cm="1">
        <f t="array" aca="1" ref="CD375" ca="1">eConcatenar(A375:CB375,"|")</f>
        <v>lCTbMn5Qx4Xs7rgx|VSA2021-1703|3|DELUX|TABASCO|VILLAHERMOSA |VILLAHERMOSA |2021-10-13|35000|X|X|100|0|0|X|X|X|X|X|X|X|X|X|X|X|X|0|HERNANDEZ|HERNANDEZ|OLGA CECILIA|0|X|X|CALLE LAUREL SIN NUMERO|COLONIA GAVIOTAS SUR |X|9932281733|X|X|0|CALLE LAUREL SIN NUMERO|X|4|0|0|X|X|X|0|900|34100|0|0|X|2021-12-24|2021-12-31|X|X|X|0|0|S35D6D3Y9KVTQ2|X|MUJER|0|35000|0|0|0|X|X|X|X|X|VILLAHERMOSA |X|0|0|0|0</v>
      </c>
    </row>
    <row r="376" spans="1:82" x14ac:dyDescent="0.25">
      <c r="A376" t="s">
        <v>2762</v>
      </c>
      <c r="B376" t="s">
        <v>2763</v>
      </c>
      <c r="C376">
        <v>3</v>
      </c>
      <c r="D376" t="s">
        <v>741</v>
      </c>
      <c r="E376" t="s">
        <v>359</v>
      </c>
      <c r="F376" t="s">
        <v>360</v>
      </c>
      <c r="G376" t="s">
        <v>360</v>
      </c>
      <c r="H376" t="s">
        <v>2764</v>
      </c>
      <c r="I376">
        <v>14800</v>
      </c>
      <c r="J376" t="s">
        <v>1</v>
      </c>
      <c r="K376" t="s">
        <v>1</v>
      </c>
      <c r="L376">
        <v>200</v>
      </c>
      <c r="M376">
        <v>1</v>
      </c>
      <c r="N376">
        <v>0</v>
      </c>
      <c r="O376" t="s">
        <v>1</v>
      </c>
      <c r="P376" t="s">
        <v>1</v>
      </c>
      <c r="Q376" t="s">
        <v>1</v>
      </c>
      <c r="R376" t="s">
        <v>1</v>
      </c>
      <c r="S376" t="s">
        <v>1</v>
      </c>
      <c r="T376" t="s">
        <v>1</v>
      </c>
      <c r="U376" t="s">
        <v>1</v>
      </c>
      <c r="V376" t="s">
        <v>1</v>
      </c>
      <c r="W376" t="s">
        <v>1</v>
      </c>
      <c r="X376" t="s">
        <v>1</v>
      </c>
      <c r="Y376" t="s">
        <v>1</v>
      </c>
      <c r="Z376" t="s">
        <v>1</v>
      </c>
      <c r="AA376">
        <v>0</v>
      </c>
      <c r="AB376" t="s">
        <v>584</v>
      </c>
      <c r="AC376" t="s">
        <v>13</v>
      </c>
      <c r="AD376" t="s">
        <v>2765</v>
      </c>
      <c r="AE376">
        <v>0</v>
      </c>
      <c r="AF376" t="s">
        <v>1</v>
      </c>
      <c r="AG376" t="s">
        <v>1</v>
      </c>
      <c r="AH376" t="s">
        <v>2766</v>
      </c>
      <c r="AI376" t="s">
        <v>2767</v>
      </c>
      <c r="AJ376" t="s">
        <v>1</v>
      </c>
      <c r="AK376">
        <v>99311641531</v>
      </c>
      <c r="AL376" t="s">
        <v>1</v>
      </c>
      <c r="AM376" t="s">
        <v>1</v>
      </c>
      <c r="AN376">
        <v>0</v>
      </c>
      <c r="AO376" t="s">
        <v>2766</v>
      </c>
      <c r="AP376" t="s">
        <v>1</v>
      </c>
      <c r="AQ376">
        <v>4</v>
      </c>
      <c r="AR376">
        <v>0</v>
      </c>
      <c r="AS376">
        <v>0</v>
      </c>
      <c r="AT376" t="s">
        <v>1</v>
      </c>
      <c r="AU376" t="s">
        <v>1</v>
      </c>
      <c r="AV376" t="s">
        <v>1</v>
      </c>
      <c r="AW376">
        <v>0</v>
      </c>
      <c r="AX376">
        <v>700</v>
      </c>
      <c r="AY376">
        <v>14100</v>
      </c>
      <c r="AZ376">
        <v>0</v>
      </c>
      <c r="BA376">
        <v>0</v>
      </c>
      <c r="BB376" t="s">
        <v>1</v>
      </c>
      <c r="BC376" t="s">
        <v>1954</v>
      </c>
      <c r="BD376" t="s">
        <v>147</v>
      </c>
      <c r="BE376" t="s">
        <v>1</v>
      </c>
      <c r="BF376" t="s">
        <v>1</v>
      </c>
      <c r="BG376" t="s">
        <v>1</v>
      </c>
      <c r="BH376">
        <v>0</v>
      </c>
      <c r="BI376">
        <v>0</v>
      </c>
      <c r="BJ376" t="s">
        <v>1930</v>
      </c>
      <c r="BK376" t="s">
        <v>1</v>
      </c>
      <c r="BL376" t="s">
        <v>1138</v>
      </c>
      <c r="BM376">
        <v>0</v>
      </c>
      <c r="BN376">
        <v>14800</v>
      </c>
      <c r="BO376">
        <v>0</v>
      </c>
      <c r="BP376">
        <v>0</v>
      </c>
      <c r="BQ376">
        <v>0</v>
      </c>
      <c r="BR376" t="s">
        <v>1</v>
      </c>
      <c r="BS376" t="s">
        <v>1</v>
      </c>
      <c r="BT376" t="s">
        <v>1</v>
      </c>
      <c r="BU376" t="s">
        <v>1</v>
      </c>
      <c r="BV376" t="s">
        <v>1</v>
      </c>
      <c r="BW376" t="s">
        <v>360</v>
      </c>
      <c r="BX376" t="s">
        <v>1</v>
      </c>
      <c r="BY376">
        <v>0</v>
      </c>
      <c r="BZ376">
        <v>0</v>
      </c>
      <c r="CA376">
        <v>0</v>
      </c>
      <c r="CB376">
        <v>0</v>
      </c>
      <c r="CD376" t="str" cm="1">
        <f t="array" aca="1" ref="CD376" ca="1">eConcatenar(A376:CB376,"|")</f>
        <v>NMBA407dSBBFJURa|VSA2021-1765|3|MEMORIAL|TABASCO|VILLAHERMOSA |VILLAHERMOSA |2021-10-26|14800|X|X|200|1|0|X|X|X|X|X|X|X|X|X|X|X|X|0|HERNANDEZ |GUTIERREZ|AMALIA JUDITH|0|X|X|ENTRE CALLE JOSE CLARO GARCIA |COLONIA 18 DE MARZO  |X|99311641531|X|X|0|ENTRE CALLE JOSE CLARO GARCIA |X|4|0|0|X|X|X|0|700|14100|0|0|X|2021-12-17|2021-12-31|X|X|X|0|0|S35D6D3Y9KVTQ2|X|MUJER|0|14800|0|0|0|X|X|X|X|X|VILLAHERMOSA |X|0|0|0|0</v>
      </c>
    </row>
    <row r="377" spans="1:82" x14ac:dyDescent="0.25">
      <c r="A377" t="s">
        <v>2768</v>
      </c>
      <c r="B377" t="s">
        <v>2769</v>
      </c>
      <c r="C377">
        <v>3</v>
      </c>
      <c r="D377" t="s">
        <v>741</v>
      </c>
      <c r="E377" t="s">
        <v>359</v>
      </c>
      <c r="F377" t="s">
        <v>360</v>
      </c>
      <c r="G377" t="s">
        <v>360</v>
      </c>
      <c r="H377" t="s">
        <v>2711</v>
      </c>
      <c r="I377">
        <v>14800</v>
      </c>
      <c r="J377" t="s">
        <v>1</v>
      </c>
      <c r="K377" t="s">
        <v>1</v>
      </c>
      <c r="L377">
        <v>200</v>
      </c>
      <c r="M377">
        <v>1</v>
      </c>
      <c r="N377">
        <v>0</v>
      </c>
      <c r="O377" t="s">
        <v>1</v>
      </c>
      <c r="P377" t="s">
        <v>1</v>
      </c>
      <c r="Q377" t="s">
        <v>1</v>
      </c>
      <c r="R377" t="s">
        <v>1</v>
      </c>
      <c r="S377" t="s">
        <v>1</v>
      </c>
      <c r="T377" t="s">
        <v>1</v>
      </c>
      <c r="U377" t="s">
        <v>1</v>
      </c>
      <c r="V377" t="s">
        <v>1</v>
      </c>
      <c r="W377" t="s">
        <v>1</v>
      </c>
      <c r="X377" t="s">
        <v>1</v>
      </c>
      <c r="Y377" t="s">
        <v>1</v>
      </c>
      <c r="Z377" t="s">
        <v>1</v>
      </c>
      <c r="AA377">
        <v>0</v>
      </c>
      <c r="AB377" t="s">
        <v>2770</v>
      </c>
      <c r="AC377" t="s">
        <v>2771</v>
      </c>
      <c r="AD377" t="s">
        <v>792</v>
      </c>
      <c r="AE377">
        <v>0</v>
      </c>
      <c r="AF377" t="s">
        <v>1</v>
      </c>
      <c r="AG377" t="s">
        <v>1</v>
      </c>
      <c r="AH377" t="s">
        <v>2772</v>
      </c>
      <c r="AI377" t="s">
        <v>2465</v>
      </c>
      <c r="AJ377" t="s">
        <v>2773</v>
      </c>
      <c r="AK377">
        <v>9932464872</v>
      </c>
      <c r="AL377" t="s">
        <v>1</v>
      </c>
      <c r="AM377" t="s">
        <v>1</v>
      </c>
      <c r="AN377">
        <v>0</v>
      </c>
      <c r="AO377" t="s">
        <v>2772</v>
      </c>
      <c r="AP377" t="s">
        <v>1</v>
      </c>
      <c r="AQ377">
        <v>4</v>
      </c>
      <c r="AR377">
        <v>0</v>
      </c>
      <c r="AS377">
        <v>0</v>
      </c>
      <c r="AT377" t="s">
        <v>1</v>
      </c>
      <c r="AU377" t="s">
        <v>1</v>
      </c>
      <c r="AV377" t="s">
        <v>1</v>
      </c>
      <c r="AW377">
        <v>0</v>
      </c>
      <c r="AX377">
        <v>1200</v>
      </c>
      <c r="AY377">
        <v>13600</v>
      </c>
      <c r="AZ377">
        <v>0</v>
      </c>
      <c r="BA377">
        <v>0</v>
      </c>
      <c r="BB377" t="s">
        <v>1</v>
      </c>
      <c r="BC377" t="s">
        <v>1954</v>
      </c>
      <c r="BD377" t="s">
        <v>147</v>
      </c>
      <c r="BE377" t="s">
        <v>1</v>
      </c>
      <c r="BF377" t="s">
        <v>1</v>
      </c>
      <c r="BG377" t="s">
        <v>1</v>
      </c>
      <c r="BH377">
        <v>0</v>
      </c>
      <c r="BI377">
        <v>0</v>
      </c>
      <c r="BJ377" t="s">
        <v>1930</v>
      </c>
      <c r="BK377" t="s">
        <v>1</v>
      </c>
      <c r="BL377" t="s">
        <v>132</v>
      </c>
      <c r="BM377">
        <v>0</v>
      </c>
      <c r="BN377">
        <v>14800</v>
      </c>
      <c r="BO377">
        <v>0</v>
      </c>
      <c r="BP377">
        <v>0</v>
      </c>
      <c r="BQ377">
        <v>0</v>
      </c>
      <c r="BR377" t="s">
        <v>1</v>
      </c>
      <c r="BS377" t="s">
        <v>1</v>
      </c>
      <c r="BT377" t="s">
        <v>1</v>
      </c>
      <c r="BU377" t="s">
        <v>1</v>
      </c>
      <c r="BV377" t="s">
        <v>1</v>
      </c>
      <c r="BW377" t="s">
        <v>360</v>
      </c>
      <c r="BX377" t="s">
        <v>1</v>
      </c>
      <c r="BY377">
        <v>0</v>
      </c>
      <c r="BZ377">
        <v>0</v>
      </c>
      <c r="CA377">
        <v>0</v>
      </c>
      <c r="CB377">
        <v>0</v>
      </c>
      <c r="CD377" t="str" cm="1">
        <f t="array" aca="1" ref="CD377" ca="1">eConcatenar(A377:CB377,"|")</f>
        <v>827y6kvtdA87mNq8|VSA2021-1631|3|MEMORIAL|TABASCO|VILLAHERMOSA |VILLAHERMOSA |2021-09-28|14800|X|X|200|1|0|X|X|X|X|X|X|X|X|X|X|X|X|0|OLVERA|BECERRA|MIGUEL ANGEL |0|X|X|CALLE LIMBANO BLANDIN 503|COLONIA GAVIOTAS NORTE |EL GARAGE ES UNA POZOLERIA ALADO DE PANADERIA NAHISITH|9932464872|X|X|0|CALLE LIMBANO BLANDIN 503|X|4|0|0|X|X|X|0|1200|13600|0|0|X|2021-12-17|2021-12-31|X|X|X|0|0|S35D6D3Y9KVTQ2|X|HOMBRE|0|14800|0|0|0|X|X|X|X|X|VILLAHERMOSA |X|0|0|0|0</v>
      </c>
    </row>
    <row r="378" spans="1:82" x14ac:dyDescent="0.25">
      <c r="A378" t="s">
        <v>2774</v>
      </c>
      <c r="B378" t="s">
        <v>2775</v>
      </c>
      <c r="C378">
        <v>3</v>
      </c>
      <c r="D378" t="s">
        <v>741</v>
      </c>
      <c r="E378" t="s">
        <v>359</v>
      </c>
      <c r="F378" t="s">
        <v>360</v>
      </c>
      <c r="G378" t="s">
        <v>360</v>
      </c>
      <c r="H378" t="s">
        <v>2725</v>
      </c>
      <c r="I378">
        <v>14800</v>
      </c>
      <c r="J378" t="s">
        <v>1</v>
      </c>
      <c r="K378" t="s">
        <v>1</v>
      </c>
      <c r="L378">
        <v>200</v>
      </c>
      <c r="M378">
        <v>1</v>
      </c>
      <c r="N378">
        <v>0</v>
      </c>
      <c r="O378" t="s">
        <v>1</v>
      </c>
      <c r="P378" t="s">
        <v>1</v>
      </c>
      <c r="Q378" t="s">
        <v>1</v>
      </c>
      <c r="R378" t="s">
        <v>1</v>
      </c>
      <c r="S378" t="s">
        <v>1</v>
      </c>
      <c r="T378" t="s">
        <v>1</v>
      </c>
      <c r="U378" t="s">
        <v>1</v>
      </c>
      <c r="V378" t="s">
        <v>1</v>
      </c>
      <c r="W378" t="s">
        <v>1</v>
      </c>
      <c r="X378" t="s">
        <v>1</v>
      </c>
      <c r="Y378" t="s">
        <v>1</v>
      </c>
      <c r="Z378" t="s">
        <v>1</v>
      </c>
      <c r="AA378">
        <v>0</v>
      </c>
      <c r="AB378" t="s">
        <v>543</v>
      </c>
      <c r="AC378" t="s">
        <v>217</v>
      </c>
      <c r="AD378" t="s">
        <v>266</v>
      </c>
      <c r="AE378">
        <v>0</v>
      </c>
      <c r="AF378" t="s">
        <v>1</v>
      </c>
      <c r="AG378" t="s">
        <v>1</v>
      </c>
      <c r="AH378" t="s">
        <v>2776</v>
      </c>
      <c r="AI378" t="s">
        <v>2063</v>
      </c>
      <c r="AJ378" t="s">
        <v>2777</v>
      </c>
      <c r="AK378">
        <v>9933872884</v>
      </c>
      <c r="AL378" t="s">
        <v>1</v>
      </c>
      <c r="AM378" t="s">
        <v>1</v>
      </c>
      <c r="AN378">
        <v>0</v>
      </c>
      <c r="AO378" t="s">
        <v>2776</v>
      </c>
      <c r="AP378" t="s">
        <v>1</v>
      </c>
      <c r="AQ378">
        <v>4</v>
      </c>
      <c r="AR378">
        <v>0</v>
      </c>
      <c r="AS378">
        <v>0</v>
      </c>
      <c r="AT378" t="s">
        <v>1</v>
      </c>
      <c r="AU378" t="s">
        <v>1</v>
      </c>
      <c r="AV378" t="s">
        <v>1</v>
      </c>
      <c r="AW378">
        <v>0</v>
      </c>
      <c r="AX378">
        <v>1200</v>
      </c>
      <c r="AY378">
        <v>13600</v>
      </c>
      <c r="AZ378">
        <v>0</v>
      </c>
      <c r="BA378">
        <v>0</v>
      </c>
      <c r="BB378" t="s">
        <v>1</v>
      </c>
      <c r="BC378" t="s">
        <v>1954</v>
      </c>
      <c r="BD378" t="s">
        <v>312</v>
      </c>
      <c r="BE378" t="s">
        <v>1</v>
      </c>
      <c r="BF378" t="s">
        <v>1</v>
      </c>
      <c r="BG378" t="s">
        <v>1</v>
      </c>
      <c r="BH378">
        <v>0</v>
      </c>
      <c r="BI378">
        <v>0</v>
      </c>
      <c r="BJ378" t="s">
        <v>1930</v>
      </c>
      <c r="BK378" t="s">
        <v>1</v>
      </c>
      <c r="BL378" t="s">
        <v>1138</v>
      </c>
      <c r="BM378">
        <v>0</v>
      </c>
      <c r="BN378">
        <v>14800</v>
      </c>
      <c r="BO378">
        <v>0</v>
      </c>
      <c r="BP378">
        <v>0</v>
      </c>
      <c r="BQ378">
        <v>0</v>
      </c>
      <c r="BR378" t="s">
        <v>1</v>
      </c>
      <c r="BS378" t="s">
        <v>1</v>
      </c>
      <c r="BT378" t="s">
        <v>1</v>
      </c>
      <c r="BU378" t="s">
        <v>1</v>
      </c>
      <c r="BV378" t="s">
        <v>1</v>
      </c>
      <c r="BW378" t="s">
        <v>360</v>
      </c>
      <c r="BX378" t="s">
        <v>1</v>
      </c>
      <c r="BY378">
        <v>0</v>
      </c>
      <c r="BZ378">
        <v>0</v>
      </c>
      <c r="CA378">
        <v>0</v>
      </c>
      <c r="CB378">
        <v>0</v>
      </c>
      <c r="CD378" t="str" cm="1">
        <f t="array" aca="1" ref="CD378" ca="1">eConcatenar(A378:CB378,"|")</f>
        <v>Q6w251FdhYCanE9L|VSA2021-1688|3|MEMORIAL|TABASCO|VILLAHERMOSA |VILLAHERMOSA |2021-08-10|14800|X|X|200|1|0|X|X|X|X|X|X|X|X|X|X|X|X|0|ARIAS |HERNANDEZ|MARIANA|0|X|X|CALLE DIBUJANTES 103 |COLONIA GAVIOTAS SUR |ENTRE CALLE MEDICO Y CONSTRUCTORES CERCA DE UNA ESCULA |9933872884|X|X|0|CALLE DIBUJANTES 103 |X|4|0|0|X|X|X|0|1200|13600|0|0|X|2021-12-17|2021-12-24|X|X|X|0|0|S35D6D3Y9KVTQ2|X|MUJER|0|14800|0|0|0|X|X|X|X|X|VILLAHERMOSA |X|0|0|0|0</v>
      </c>
    </row>
    <row r="379" spans="1:82" x14ac:dyDescent="0.25">
      <c r="A379" t="s">
        <v>2778</v>
      </c>
      <c r="B379" t="s">
        <v>2779</v>
      </c>
      <c r="C379">
        <v>3</v>
      </c>
      <c r="D379" t="s">
        <v>741</v>
      </c>
      <c r="E379" t="s">
        <v>359</v>
      </c>
      <c r="F379" t="s">
        <v>360</v>
      </c>
      <c r="G379" t="s">
        <v>360</v>
      </c>
      <c r="H379" t="s">
        <v>2780</v>
      </c>
      <c r="I379">
        <v>14800</v>
      </c>
      <c r="J379" t="s">
        <v>1</v>
      </c>
      <c r="K379" t="s">
        <v>1</v>
      </c>
      <c r="L379">
        <v>200</v>
      </c>
      <c r="M379">
        <v>1</v>
      </c>
      <c r="N379">
        <v>0</v>
      </c>
      <c r="O379" t="s">
        <v>1</v>
      </c>
      <c r="P379" t="s">
        <v>1</v>
      </c>
      <c r="Q379" t="s">
        <v>1</v>
      </c>
      <c r="R379" t="s">
        <v>1</v>
      </c>
      <c r="S379" t="s">
        <v>1</v>
      </c>
      <c r="T379" t="s">
        <v>1</v>
      </c>
      <c r="U379" t="s">
        <v>1</v>
      </c>
      <c r="V379" t="s">
        <v>1</v>
      </c>
      <c r="W379" t="s">
        <v>1</v>
      </c>
      <c r="X379" t="s">
        <v>1</v>
      </c>
      <c r="Y379" t="s">
        <v>1</v>
      </c>
      <c r="Z379" t="s">
        <v>1</v>
      </c>
      <c r="AA379">
        <v>0</v>
      </c>
      <c r="AB379" t="s">
        <v>159</v>
      </c>
      <c r="AC379" t="s">
        <v>2781</v>
      </c>
      <c r="AD379" t="s">
        <v>2782</v>
      </c>
      <c r="AE379">
        <v>0</v>
      </c>
      <c r="AF379" t="s">
        <v>1</v>
      </c>
      <c r="AG379" t="s">
        <v>1</v>
      </c>
      <c r="AH379" t="s">
        <v>2783</v>
      </c>
      <c r="AI379" t="s">
        <v>2063</v>
      </c>
      <c r="AJ379" t="s">
        <v>1</v>
      </c>
      <c r="AK379">
        <v>9933647582</v>
      </c>
      <c r="AL379" t="s">
        <v>1</v>
      </c>
      <c r="AM379" t="s">
        <v>1</v>
      </c>
      <c r="AN379">
        <v>0</v>
      </c>
      <c r="AO379" t="s">
        <v>2783</v>
      </c>
      <c r="AP379" t="s">
        <v>1</v>
      </c>
      <c r="AQ379">
        <v>4</v>
      </c>
      <c r="AR379">
        <v>0</v>
      </c>
      <c r="AS379">
        <v>0</v>
      </c>
      <c r="AT379" t="s">
        <v>1</v>
      </c>
      <c r="AU379" t="s">
        <v>1</v>
      </c>
      <c r="AV379" t="s">
        <v>1</v>
      </c>
      <c r="AW379">
        <v>0</v>
      </c>
      <c r="AX379">
        <v>2500</v>
      </c>
      <c r="AY379">
        <v>12300</v>
      </c>
      <c r="AZ379">
        <v>0</v>
      </c>
      <c r="BA379">
        <v>0</v>
      </c>
      <c r="BB379" t="s">
        <v>1</v>
      </c>
      <c r="BC379" t="s">
        <v>1954</v>
      </c>
      <c r="BD379" t="s">
        <v>147</v>
      </c>
      <c r="BE379" t="s">
        <v>1</v>
      </c>
      <c r="BF379" t="s">
        <v>1</v>
      </c>
      <c r="BG379" t="s">
        <v>1</v>
      </c>
      <c r="BH379">
        <v>0</v>
      </c>
      <c r="BI379">
        <v>0</v>
      </c>
      <c r="BJ379" t="s">
        <v>1930</v>
      </c>
      <c r="BK379" t="s">
        <v>1</v>
      </c>
      <c r="BL379" t="s">
        <v>1138</v>
      </c>
      <c r="BM379">
        <v>0</v>
      </c>
      <c r="BN379">
        <v>14800</v>
      </c>
      <c r="BO379">
        <v>0</v>
      </c>
      <c r="BP379">
        <v>0</v>
      </c>
      <c r="BQ379">
        <v>0</v>
      </c>
      <c r="BR379" t="s">
        <v>1</v>
      </c>
      <c r="BS379" t="s">
        <v>1</v>
      </c>
      <c r="BT379" t="s">
        <v>1</v>
      </c>
      <c r="BU379" t="s">
        <v>1</v>
      </c>
      <c r="BV379" t="s">
        <v>1</v>
      </c>
      <c r="BW379" t="s">
        <v>360</v>
      </c>
      <c r="BX379" t="s">
        <v>1</v>
      </c>
      <c r="BY379">
        <v>0</v>
      </c>
      <c r="BZ379">
        <v>0</v>
      </c>
      <c r="CA379">
        <v>0</v>
      </c>
      <c r="CB379">
        <v>0</v>
      </c>
      <c r="CD379" t="str" cm="1">
        <f t="array" aca="1" ref="CD379" ca="1">eConcatenar(A379:CB379,"|")</f>
        <v>dTFM4iib9cElqnRX|VSA2021-2594|3|MEMORIAL|TABASCO|VILLAHERMOSA |VILLAHERMOSA |2021-08-16|14800|X|X|200|1|0|X|X|X|X|X|X|X|X|X|X|X|X|0|GARCIA|PEREGRINO|MARIA ESPERANZA|0|X|X|ANDADOR RIO GRIJALBA 382|COLONIA GAVIOTAS SUR |X|9933647582|X|X|0|ANDADOR RIO GRIJALBA 382|X|4|0|0|X|X|X|0|2500|12300|0|0|X|2021-12-17|2021-12-31|X|X|X|0|0|S35D6D3Y9KVTQ2|X|MUJER|0|14800|0|0|0|X|X|X|X|X|VILLAHERMOSA |X|0|0|0|0</v>
      </c>
    </row>
    <row r="380" spans="1:82" x14ac:dyDescent="0.25">
      <c r="A380" t="s">
        <v>2784</v>
      </c>
      <c r="B380" t="s">
        <v>2785</v>
      </c>
      <c r="C380">
        <v>3</v>
      </c>
      <c r="D380" t="s">
        <v>741</v>
      </c>
      <c r="E380" t="s">
        <v>359</v>
      </c>
      <c r="F380" t="s">
        <v>360</v>
      </c>
      <c r="G380" t="s">
        <v>360</v>
      </c>
      <c r="H380" t="s">
        <v>950</v>
      </c>
      <c r="I380">
        <v>14800</v>
      </c>
      <c r="J380" t="s">
        <v>1</v>
      </c>
      <c r="K380" t="s">
        <v>1</v>
      </c>
      <c r="L380">
        <v>200</v>
      </c>
      <c r="M380">
        <v>1</v>
      </c>
      <c r="N380">
        <v>0</v>
      </c>
      <c r="O380" t="s">
        <v>1</v>
      </c>
      <c r="P380" t="s">
        <v>1</v>
      </c>
      <c r="Q380" t="s">
        <v>1</v>
      </c>
      <c r="R380" t="s">
        <v>1</v>
      </c>
      <c r="S380" t="s">
        <v>1</v>
      </c>
      <c r="T380" t="s">
        <v>1</v>
      </c>
      <c r="U380" t="s">
        <v>1</v>
      </c>
      <c r="V380" t="s">
        <v>1</v>
      </c>
      <c r="W380" t="s">
        <v>1</v>
      </c>
      <c r="X380" t="s">
        <v>1</v>
      </c>
      <c r="Y380" t="s">
        <v>1</v>
      </c>
      <c r="Z380" t="s">
        <v>1</v>
      </c>
      <c r="AA380">
        <v>0</v>
      </c>
      <c r="AB380" t="s">
        <v>1211</v>
      </c>
      <c r="AC380" t="s">
        <v>829</v>
      </c>
      <c r="AD380" t="s">
        <v>2786</v>
      </c>
      <c r="AE380">
        <v>0</v>
      </c>
      <c r="AF380" t="s">
        <v>1</v>
      </c>
      <c r="AG380" t="s">
        <v>1</v>
      </c>
      <c r="AH380" t="s">
        <v>2787</v>
      </c>
      <c r="AI380" t="s">
        <v>2063</v>
      </c>
      <c r="AJ380" t="s">
        <v>1</v>
      </c>
      <c r="AK380">
        <v>9931769980</v>
      </c>
      <c r="AL380" t="s">
        <v>1</v>
      </c>
      <c r="AM380" t="s">
        <v>1</v>
      </c>
      <c r="AN380">
        <v>0</v>
      </c>
      <c r="AO380" t="s">
        <v>2787</v>
      </c>
      <c r="AP380" t="s">
        <v>1</v>
      </c>
      <c r="AQ380">
        <v>4</v>
      </c>
      <c r="AR380">
        <v>0</v>
      </c>
      <c r="AS380">
        <v>0</v>
      </c>
      <c r="AT380" t="s">
        <v>1</v>
      </c>
      <c r="AU380" t="s">
        <v>1</v>
      </c>
      <c r="AV380" t="s">
        <v>1</v>
      </c>
      <c r="AW380">
        <v>0</v>
      </c>
      <c r="AX380">
        <v>900</v>
      </c>
      <c r="AY380">
        <v>13900</v>
      </c>
      <c r="AZ380">
        <v>0</v>
      </c>
      <c r="BA380">
        <v>0</v>
      </c>
      <c r="BB380" t="s">
        <v>1</v>
      </c>
      <c r="BC380" t="s">
        <v>1954</v>
      </c>
      <c r="BD380" t="s">
        <v>147</v>
      </c>
      <c r="BE380" t="s">
        <v>1</v>
      </c>
      <c r="BF380" t="s">
        <v>1</v>
      </c>
      <c r="BG380" t="s">
        <v>1</v>
      </c>
      <c r="BH380">
        <v>0</v>
      </c>
      <c r="BI380">
        <v>0</v>
      </c>
      <c r="BJ380" t="s">
        <v>1930</v>
      </c>
      <c r="BK380" t="s">
        <v>1</v>
      </c>
      <c r="BL380" t="s">
        <v>1138</v>
      </c>
      <c r="BM380">
        <v>0</v>
      </c>
      <c r="BN380">
        <v>14800</v>
      </c>
      <c r="BO380">
        <v>0</v>
      </c>
      <c r="BP380">
        <v>0</v>
      </c>
      <c r="BQ380">
        <v>0</v>
      </c>
      <c r="BR380" t="s">
        <v>1</v>
      </c>
      <c r="BS380" t="s">
        <v>1</v>
      </c>
      <c r="BT380" t="s">
        <v>1</v>
      </c>
      <c r="BU380" t="s">
        <v>1</v>
      </c>
      <c r="BV380" t="s">
        <v>1</v>
      </c>
      <c r="BW380" t="s">
        <v>360</v>
      </c>
      <c r="BX380" t="s">
        <v>1</v>
      </c>
      <c r="BY380">
        <v>0</v>
      </c>
      <c r="BZ380">
        <v>0</v>
      </c>
      <c r="CA380">
        <v>0</v>
      </c>
      <c r="CB380">
        <v>0</v>
      </c>
      <c r="CD380" t="str" cm="1">
        <f t="array" aca="1" ref="CD380" ca="1">eConcatenar(A380:CB380,"|")</f>
        <v>b0SQm5pa4aisDMF2|VSA2021-1702|3|MEMORIAL|TABASCO|VILLAHERMOSA |VILLAHERMOSA |2021-10-13|14800|X|X|200|1|0|X|X|X|X|X|X|X|X|X|X|X|X|0|DE LA CRUZ |PEREZ|LUZ DEL ALBA |0|X|X|CALLE LAUREL SIN NUNMERO |COLONIA GAVIOTAS SUR |X|9931769980|X|X|0|CALLE LAUREL SIN NUNMERO |X|4|0|0|X|X|X|0|900|13900|0|0|X|2021-12-17|2021-12-31|X|X|X|0|0|S35D6D3Y9KVTQ2|X|MUJER|0|14800|0|0|0|X|X|X|X|X|VILLAHERMOSA |X|0|0|0|0</v>
      </c>
    </row>
    <row r="381" spans="1:82" x14ac:dyDescent="0.25">
      <c r="A381" t="s">
        <v>2788</v>
      </c>
      <c r="B381" t="s">
        <v>2789</v>
      </c>
      <c r="C381">
        <v>3</v>
      </c>
      <c r="D381" t="s">
        <v>741</v>
      </c>
      <c r="E381" t="s">
        <v>359</v>
      </c>
      <c r="F381" t="s">
        <v>360</v>
      </c>
      <c r="G381" t="s">
        <v>360</v>
      </c>
      <c r="H381" t="s">
        <v>1141</v>
      </c>
      <c r="I381">
        <v>14800</v>
      </c>
      <c r="J381" t="s">
        <v>1</v>
      </c>
      <c r="K381" t="s">
        <v>1</v>
      </c>
      <c r="L381">
        <v>400</v>
      </c>
      <c r="M381">
        <v>2</v>
      </c>
      <c r="N381">
        <v>0</v>
      </c>
      <c r="O381" t="s">
        <v>1</v>
      </c>
      <c r="P381" t="s">
        <v>1</v>
      </c>
      <c r="Q381" t="s">
        <v>1</v>
      </c>
      <c r="R381" t="s">
        <v>1</v>
      </c>
      <c r="S381" t="s">
        <v>1</v>
      </c>
      <c r="T381" t="s">
        <v>1</v>
      </c>
      <c r="U381" t="s">
        <v>1</v>
      </c>
      <c r="V381" t="s">
        <v>1</v>
      </c>
      <c r="W381" t="s">
        <v>1</v>
      </c>
      <c r="X381" t="s">
        <v>1</v>
      </c>
      <c r="Y381" t="s">
        <v>1</v>
      </c>
      <c r="Z381" t="s">
        <v>1</v>
      </c>
      <c r="AA381">
        <v>0</v>
      </c>
      <c r="AB381" t="s">
        <v>10</v>
      </c>
      <c r="AC381" t="s">
        <v>2790</v>
      </c>
      <c r="AD381" t="s">
        <v>2791</v>
      </c>
      <c r="AE381">
        <v>0</v>
      </c>
      <c r="AF381" t="s">
        <v>1</v>
      </c>
      <c r="AG381" t="s">
        <v>1</v>
      </c>
      <c r="AH381" t="s">
        <v>2792</v>
      </c>
      <c r="AI381" t="s">
        <v>2793</v>
      </c>
      <c r="AJ381" t="s">
        <v>1</v>
      </c>
      <c r="AK381">
        <v>9931304706</v>
      </c>
      <c r="AL381" t="s">
        <v>1</v>
      </c>
      <c r="AM381" t="s">
        <v>1</v>
      </c>
      <c r="AN381">
        <v>0</v>
      </c>
      <c r="AO381" t="s">
        <v>2792</v>
      </c>
      <c r="AP381" t="s">
        <v>1</v>
      </c>
      <c r="AQ381">
        <v>5</v>
      </c>
      <c r="AR381">
        <v>0</v>
      </c>
      <c r="AS381">
        <v>0</v>
      </c>
      <c r="AT381" t="s">
        <v>1</v>
      </c>
      <c r="AU381" t="s">
        <v>1</v>
      </c>
      <c r="AV381" t="s">
        <v>1</v>
      </c>
      <c r="AW381">
        <v>0</v>
      </c>
      <c r="AX381">
        <v>600</v>
      </c>
      <c r="AY381">
        <v>14200</v>
      </c>
      <c r="AZ381">
        <v>0</v>
      </c>
      <c r="BA381">
        <v>0</v>
      </c>
      <c r="BB381" t="s">
        <v>1</v>
      </c>
      <c r="BC381" t="s">
        <v>951</v>
      </c>
      <c r="BD381" t="s">
        <v>1995</v>
      </c>
      <c r="BE381" t="s">
        <v>1</v>
      </c>
      <c r="BF381" t="s">
        <v>1</v>
      </c>
      <c r="BG381" t="s">
        <v>1</v>
      </c>
      <c r="BH381">
        <v>0</v>
      </c>
      <c r="BI381">
        <v>0</v>
      </c>
      <c r="BJ381" t="s">
        <v>1930</v>
      </c>
      <c r="BK381" t="s">
        <v>1</v>
      </c>
      <c r="BL381" t="s">
        <v>1138</v>
      </c>
      <c r="BM381">
        <v>0</v>
      </c>
      <c r="BN381">
        <v>14800</v>
      </c>
      <c r="BO381">
        <v>0</v>
      </c>
      <c r="BP381">
        <v>0</v>
      </c>
      <c r="BQ381">
        <v>0</v>
      </c>
      <c r="BR381" t="s">
        <v>1</v>
      </c>
      <c r="BS381" t="s">
        <v>1</v>
      </c>
      <c r="BT381" t="s">
        <v>1</v>
      </c>
      <c r="BU381" t="s">
        <v>1</v>
      </c>
      <c r="BV381" t="s">
        <v>1</v>
      </c>
      <c r="BW381" t="s">
        <v>360</v>
      </c>
      <c r="BX381" t="s">
        <v>1</v>
      </c>
      <c r="BY381">
        <v>0</v>
      </c>
      <c r="BZ381">
        <v>0</v>
      </c>
      <c r="CA381">
        <v>0</v>
      </c>
      <c r="CB381">
        <v>0</v>
      </c>
      <c r="CD381" t="str" cm="1">
        <f t="array" aca="1" ref="CD381" ca="1">eConcatenar(A381:CB381,"|")</f>
        <v>FjZt3keZfVAW2QFO|VSA2021-1729|3|MEMORIAL|TABASCO|VILLAHERMOSA |VILLAHERMOSA |2021-10-18|14800|X|X|400|2|0|X|X|X|X|X|X|X|X|X|X|X|X|0|CARDENAS |SOSA |DORA  MARIA |0|X|X|CALLE JERUSALEN 8|FRACCIONAMIENTO REAL DEL ANGEL (PALESTINA)|X|9931304706|X|X|0|CALLE JERUSALEN 8|X|5|0|0|X|X|X|0|600|14200|0|0|X|2021-11-13|2021-12-18|X|X|X|0|0|S35D6D3Y9KVTQ2|X|MUJER|0|14800|0|0|0|X|X|X|X|X|VILLAHERMOSA |X|0|0|0|0</v>
      </c>
    </row>
    <row r="382" spans="1:82" x14ac:dyDescent="0.25">
      <c r="A382" t="s">
        <v>2794</v>
      </c>
      <c r="B382" t="s">
        <v>2795</v>
      </c>
      <c r="C382">
        <v>3</v>
      </c>
      <c r="D382" t="s">
        <v>246</v>
      </c>
      <c r="E382" t="s">
        <v>359</v>
      </c>
      <c r="F382" t="s">
        <v>360</v>
      </c>
      <c r="G382" t="s">
        <v>360</v>
      </c>
      <c r="H382" t="s">
        <v>2764</v>
      </c>
      <c r="I382">
        <v>24500</v>
      </c>
      <c r="J382" t="s">
        <v>1</v>
      </c>
      <c r="K382" t="s">
        <v>1</v>
      </c>
      <c r="L382">
        <v>400</v>
      </c>
      <c r="M382">
        <v>2</v>
      </c>
      <c r="N382">
        <v>0</v>
      </c>
      <c r="O382" t="s">
        <v>1</v>
      </c>
      <c r="P382" t="s">
        <v>1</v>
      </c>
      <c r="Q382" t="s">
        <v>1</v>
      </c>
      <c r="R382" t="s">
        <v>1</v>
      </c>
      <c r="S382" t="s">
        <v>1</v>
      </c>
      <c r="T382" t="s">
        <v>1</v>
      </c>
      <c r="U382" t="s">
        <v>1</v>
      </c>
      <c r="V382" t="s">
        <v>1</v>
      </c>
      <c r="W382" t="s">
        <v>1</v>
      </c>
      <c r="X382" t="s">
        <v>1</v>
      </c>
      <c r="Y382" t="s">
        <v>1</v>
      </c>
      <c r="Z382" t="s">
        <v>1</v>
      </c>
      <c r="AA382">
        <v>0</v>
      </c>
      <c r="AB382" t="s">
        <v>1227</v>
      </c>
      <c r="AC382" t="s">
        <v>613</v>
      </c>
      <c r="AD382" t="s">
        <v>1690</v>
      </c>
      <c r="AE382">
        <v>0</v>
      </c>
      <c r="AF382" t="s">
        <v>1</v>
      </c>
      <c r="AG382" t="s">
        <v>1</v>
      </c>
      <c r="AH382" t="s">
        <v>2796</v>
      </c>
      <c r="AI382" t="s">
        <v>2465</v>
      </c>
      <c r="AJ382" t="s">
        <v>2797</v>
      </c>
      <c r="AK382">
        <v>5625000457</v>
      </c>
      <c r="AL382" t="s">
        <v>1</v>
      </c>
      <c r="AM382" t="s">
        <v>1</v>
      </c>
      <c r="AN382">
        <v>0</v>
      </c>
      <c r="AO382" t="s">
        <v>2796</v>
      </c>
      <c r="AP382" t="s">
        <v>1</v>
      </c>
      <c r="AQ382">
        <v>5</v>
      </c>
      <c r="AR382">
        <v>0</v>
      </c>
      <c r="AS382">
        <v>0</v>
      </c>
      <c r="AT382" t="s">
        <v>1</v>
      </c>
      <c r="AU382" t="s">
        <v>1</v>
      </c>
      <c r="AV382" t="s">
        <v>1</v>
      </c>
      <c r="AW382">
        <v>0</v>
      </c>
      <c r="AX382">
        <v>2400</v>
      </c>
      <c r="AY382">
        <v>22100</v>
      </c>
      <c r="AZ382">
        <v>0</v>
      </c>
      <c r="BA382">
        <v>0</v>
      </c>
      <c r="BB382" t="s">
        <v>1</v>
      </c>
      <c r="BC382" t="s">
        <v>2124</v>
      </c>
      <c r="BD382" t="s">
        <v>2798</v>
      </c>
      <c r="BE382" t="s">
        <v>1</v>
      </c>
      <c r="BF382" t="s">
        <v>1</v>
      </c>
      <c r="BG382" t="s">
        <v>1</v>
      </c>
      <c r="BH382">
        <v>0</v>
      </c>
      <c r="BI382">
        <v>0</v>
      </c>
      <c r="BJ382" t="s">
        <v>1930</v>
      </c>
      <c r="BK382" t="s">
        <v>1</v>
      </c>
      <c r="BL382" t="s">
        <v>1138</v>
      </c>
      <c r="BM382">
        <v>0</v>
      </c>
      <c r="BN382">
        <v>24500</v>
      </c>
      <c r="BO382">
        <v>0</v>
      </c>
      <c r="BP382">
        <v>0</v>
      </c>
      <c r="BQ382">
        <v>0</v>
      </c>
      <c r="BR382" t="s">
        <v>1</v>
      </c>
      <c r="BS382" t="s">
        <v>1</v>
      </c>
      <c r="BT382" t="s">
        <v>1</v>
      </c>
      <c r="BU382" t="s">
        <v>1</v>
      </c>
      <c r="BV382" t="s">
        <v>1</v>
      </c>
      <c r="BW382" t="s">
        <v>360</v>
      </c>
      <c r="BX382" t="s">
        <v>1</v>
      </c>
      <c r="BY382">
        <v>0</v>
      </c>
      <c r="BZ382">
        <v>0</v>
      </c>
      <c r="CA382">
        <v>0</v>
      </c>
      <c r="CB382">
        <v>0</v>
      </c>
      <c r="CD382" t="str" cm="1">
        <f t="array" aca="1" ref="CD382" ca="1">eConcatenar(A382:CB382,"|")</f>
        <v>AoFdFSlX7saJ4vrv|VSA2021-1758|3|DIGNITY|TABASCO|VILLAHERMOSA |VILLAHERMOSA |2021-10-26|24500|X|X|400|2|0|X|X|X|X|X|X|X|X|X|X|X|X|0|VILLEGAS |CORZO|LAURA|0|X|X|CALLE PEDRO GUTIERREZ CORTEZ |COLONIA GAVIOTAS NORTE |ENTRE MANUEL PEREZ MERINO |5625000457|X|X|0|CALLE PEDRO GUTIERREZ CORTEZ |X|5|0|0|X|X|X|0|2400|22100|0|0|X|2021-04-12|2022-04-01|X|X|X|0|0|S35D6D3Y9KVTQ2|X|MUJER|0|24500|0|0|0|X|X|X|X|X|VILLAHERMOSA |X|0|0|0|0</v>
      </c>
    </row>
    <row r="383" spans="1:82" x14ac:dyDescent="0.25">
      <c r="A383" t="s">
        <v>2799</v>
      </c>
      <c r="B383" t="s">
        <v>2800</v>
      </c>
      <c r="C383">
        <v>3</v>
      </c>
      <c r="D383" t="s">
        <v>741</v>
      </c>
      <c r="E383" t="s">
        <v>359</v>
      </c>
      <c r="F383" t="s">
        <v>360</v>
      </c>
      <c r="G383" t="s">
        <v>360</v>
      </c>
      <c r="H383" t="s">
        <v>549</v>
      </c>
      <c r="I383">
        <v>14800</v>
      </c>
      <c r="J383" t="s">
        <v>1</v>
      </c>
      <c r="K383" t="s">
        <v>1</v>
      </c>
      <c r="L383">
        <v>100</v>
      </c>
      <c r="M383">
        <v>0</v>
      </c>
      <c r="N383">
        <v>0</v>
      </c>
      <c r="O383" t="s">
        <v>1</v>
      </c>
      <c r="P383" t="s">
        <v>1</v>
      </c>
      <c r="Q383" t="s">
        <v>1</v>
      </c>
      <c r="R383" t="s">
        <v>1</v>
      </c>
      <c r="S383" t="s">
        <v>1</v>
      </c>
      <c r="T383" t="s">
        <v>1</v>
      </c>
      <c r="U383" t="s">
        <v>1</v>
      </c>
      <c r="V383" t="s">
        <v>1</v>
      </c>
      <c r="W383" t="s">
        <v>1</v>
      </c>
      <c r="X383" t="s">
        <v>1</v>
      </c>
      <c r="Y383" t="s">
        <v>1</v>
      </c>
      <c r="Z383" t="s">
        <v>1</v>
      </c>
      <c r="AA383">
        <v>0</v>
      </c>
      <c r="AB383" t="s">
        <v>893</v>
      </c>
      <c r="AC383" t="s">
        <v>829</v>
      </c>
      <c r="AD383" t="s">
        <v>2801</v>
      </c>
      <c r="AE383">
        <v>0</v>
      </c>
      <c r="AF383" t="s">
        <v>1</v>
      </c>
      <c r="AG383" t="s">
        <v>1</v>
      </c>
      <c r="AH383" t="s">
        <v>2802</v>
      </c>
      <c r="AI383" t="s">
        <v>2803</v>
      </c>
      <c r="AJ383" t="s">
        <v>1</v>
      </c>
      <c r="AK383">
        <v>9933852173</v>
      </c>
      <c r="AL383" t="s">
        <v>1</v>
      </c>
      <c r="AM383" t="s">
        <v>1</v>
      </c>
      <c r="AN383">
        <v>0</v>
      </c>
      <c r="AO383" t="s">
        <v>2802</v>
      </c>
      <c r="AP383" t="s">
        <v>1</v>
      </c>
      <c r="AQ383">
        <v>5</v>
      </c>
      <c r="AR383">
        <v>0</v>
      </c>
      <c r="AS383">
        <v>0</v>
      </c>
      <c r="AT383" t="s">
        <v>1</v>
      </c>
      <c r="AU383" t="s">
        <v>1</v>
      </c>
      <c r="AV383" t="s">
        <v>1</v>
      </c>
      <c r="AW383">
        <v>0</v>
      </c>
      <c r="AX383">
        <v>1200</v>
      </c>
      <c r="AY383">
        <v>13600</v>
      </c>
      <c r="AZ383">
        <v>0</v>
      </c>
      <c r="BA383">
        <v>0</v>
      </c>
      <c r="BB383" t="s">
        <v>1</v>
      </c>
      <c r="BC383" t="s">
        <v>399</v>
      </c>
      <c r="BD383" t="s">
        <v>2233</v>
      </c>
      <c r="BE383" t="s">
        <v>1</v>
      </c>
      <c r="BF383" t="s">
        <v>1</v>
      </c>
      <c r="BG383" t="s">
        <v>1</v>
      </c>
      <c r="BH383">
        <v>0</v>
      </c>
      <c r="BI383">
        <v>0</v>
      </c>
      <c r="BJ383" t="s">
        <v>1930</v>
      </c>
      <c r="BK383" t="s">
        <v>1</v>
      </c>
      <c r="BL383" t="s">
        <v>132</v>
      </c>
      <c r="BM383">
        <v>0</v>
      </c>
      <c r="BN383">
        <v>14800</v>
      </c>
      <c r="BO383">
        <v>0</v>
      </c>
      <c r="BP383">
        <v>0</v>
      </c>
      <c r="BQ383">
        <v>0</v>
      </c>
      <c r="BR383" t="s">
        <v>1</v>
      </c>
      <c r="BS383" t="s">
        <v>1</v>
      </c>
      <c r="BT383" t="s">
        <v>1</v>
      </c>
      <c r="BU383" t="s">
        <v>1</v>
      </c>
      <c r="BV383" t="s">
        <v>1</v>
      </c>
      <c r="BW383" t="s">
        <v>360</v>
      </c>
      <c r="BX383" t="s">
        <v>1</v>
      </c>
      <c r="BY383">
        <v>0</v>
      </c>
      <c r="BZ383">
        <v>0</v>
      </c>
      <c r="CA383">
        <v>0</v>
      </c>
      <c r="CB383">
        <v>0</v>
      </c>
      <c r="CD383" t="str" cm="1">
        <f t="array" aca="1" ref="CD383" ca="1">eConcatenar(A383:CB383,"|")</f>
        <v>10bHWh1d5938eisD|VSA2021-1885|3|MEMORIAL|TABASCO|VILLAHERMOSA |VILLAHERMOSA |2021-11-23|14800|X|X|100|0|0|X|X|X|X|X|X|X|X|X|X|X|X|0|SOLIS|PEREZ|DARWIN|0|X|X|FRACCION TRINFO LA MANGA 2 |CIRCUITO MUNICIPAL MANZANA A LOTE 4 |X|9933852173|X|X|0|FRACCION TRINFO LA MANGA 2 |X|5|0|0|X|X|X|0|1200|13600|0|0|X|2021-11-20|2021-10-12|X|X|X|0|0|S35D6D3Y9KVTQ2|X|HOMBRE|0|14800|0|0|0|X|X|X|X|X|VILLAHERMOSA |X|0|0|0|0</v>
      </c>
    </row>
    <row r="384" spans="1:82" s="5" customFormat="1" x14ac:dyDescent="0.25">
      <c r="A384" t="s">
        <v>2804</v>
      </c>
      <c r="B384" t="s">
        <v>2805</v>
      </c>
      <c r="C384">
        <v>3</v>
      </c>
      <c r="D384" t="s">
        <v>741</v>
      </c>
      <c r="E384" t="s">
        <v>359</v>
      </c>
      <c r="F384" t="s">
        <v>360</v>
      </c>
      <c r="G384" t="s">
        <v>360</v>
      </c>
      <c r="H384" t="s">
        <v>646</v>
      </c>
      <c r="I384">
        <v>14800</v>
      </c>
      <c r="J384" t="s">
        <v>1</v>
      </c>
      <c r="K384" t="s">
        <v>1</v>
      </c>
      <c r="L384">
        <v>100</v>
      </c>
      <c r="M384">
        <v>0</v>
      </c>
      <c r="N384">
        <v>0</v>
      </c>
      <c r="O384" t="s">
        <v>1</v>
      </c>
      <c r="P384" t="s">
        <v>1</v>
      </c>
      <c r="Q384" t="s">
        <v>1</v>
      </c>
      <c r="R384" t="s">
        <v>1</v>
      </c>
      <c r="S384" t="s">
        <v>1</v>
      </c>
      <c r="T384" t="s">
        <v>1</v>
      </c>
      <c r="U384" t="s">
        <v>1</v>
      </c>
      <c r="V384" t="s">
        <v>1</v>
      </c>
      <c r="W384" t="s">
        <v>1</v>
      </c>
      <c r="X384" t="s">
        <v>1</v>
      </c>
      <c r="Y384" t="s">
        <v>1</v>
      </c>
      <c r="Z384" t="s">
        <v>1</v>
      </c>
      <c r="AA384">
        <v>0</v>
      </c>
      <c r="AB384" t="s">
        <v>2806</v>
      </c>
      <c r="AC384" t="s">
        <v>2060</v>
      </c>
      <c r="AD384" t="s">
        <v>2807</v>
      </c>
      <c r="AE384">
        <v>0</v>
      </c>
      <c r="AF384" t="s">
        <v>1</v>
      </c>
      <c r="AG384" t="s">
        <v>1</v>
      </c>
      <c r="AH384" t="s">
        <v>2808</v>
      </c>
      <c r="AI384" t="s">
        <v>2809</v>
      </c>
      <c r="AJ384" t="s">
        <v>1</v>
      </c>
      <c r="AK384">
        <v>9933014161</v>
      </c>
      <c r="AL384" t="s">
        <v>1</v>
      </c>
      <c r="AM384" t="s">
        <v>1</v>
      </c>
      <c r="AN384">
        <v>0</v>
      </c>
      <c r="AO384" t="s">
        <v>2808</v>
      </c>
      <c r="AP384" t="s">
        <v>1</v>
      </c>
      <c r="AQ384">
        <v>4</v>
      </c>
      <c r="AR384">
        <v>0</v>
      </c>
      <c r="AS384">
        <v>0</v>
      </c>
      <c r="AT384" t="s">
        <v>1</v>
      </c>
      <c r="AU384" t="s">
        <v>1</v>
      </c>
      <c r="AV384" t="s">
        <v>1</v>
      </c>
      <c r="AW384">
        <v>0</v>
      </c>
      <c r="AX384">
        <v>600</v>
      </c>
      <c r="AY384">
        <v>14200</v>
      </c>
      <c r="AZ384">
        <v>0</v>
      </c>
      <c r="BA384">
        <v>0</v>
      </c>
      <c r="BB384" t="s">
        <v>1</v>
      </c>
      <c r="BC384" t="s">
        <v>863</v>
      </c>
      <c r="BD384" t="s">
        <v>2233</v>
      </c>
      <c r="BE384" t="s">
        <v>1</v>
      </c>
      <c r="BF384" t="s">
        <v>1</v>
      </c>
      <c r="BG384" t="s">
        <v>1</v>
      </c>
      <c r="BH384">
        <v>0</v>
      </c>
      <c r="BI384">
        <v>0</v>
      </c>
      <c r="BJ384" t="s">
        <v>1930</v>
      </c>
      <c r="BK384" t="s">
        <v>1</v>
      </c>
      <c r="BL384" t="s">
        <v>1138</v>
      </c>
      <c r="BM384">
        <v>0</v>
      </c>
      <c r="BN384">
        <v>14800</v>
      </c>
      <c r="BO384">
        <v>0</v>
      </c>
      <c r="BP384">
        <v>0</v>
      </c>
      <c r="BQ384">
        <v>0</v>
      </c>
      <c r="BR384" t="s">
        <v>1</v>
      </c>
      <c r="BS384" t="s">
        <v>1</v>
      </c>
      <c r="BT384" t="s">
        <v>1</v>
      </c>
      <c r="BU384" t="s">
        <v>1</v>
      </c>
      <c r="BV384" t="s">
        <v>1</v>
      </c>
      <c r="BW384" t="s">
        <v>360</v>
      </c>
      <c r="BX384" t="s">
        <v>1</v>
      </c>
      <c r="BY384">
        <v>0</v>
      </c>
      <c r="BZ384">
        <v>0</v>
      </c>
      <c r="CA384">
        <v>0</v>
      </c>
      <c r="CB384">
        <v>0</v>
      </c>
      <c r="CD384" s="5" t="str" cm="1">
        <f t="array" aca="1" ref="CD384" ca="1">eConcatenar(A384:CB384,"|")</f>
        <v>f7oq3LK7iJWIbTvi|VSA2021-1881|3|MEMORIAL|TABASCO|VILLAHERMOSA |VILLAHERMOSA |2021-11-19|14800|X|X|100|0|0|X|X|X|X|X|X|X|X|X|X|X|X|0|BARRIOS|CHABLE |DEISY|0|X|X|AVENIDA MEXICO SIN NUMERO |CALLE PRINCIPAL PROLONGACION ALADO DEL PANTEON |X|9933014161|X|X|0|AVENIDA MEXICO SIN NUMERO |X|4|0|0|X|X|X|0|600|14200|0|0|X|2021-03-12|2021-10-12|X|X|X|0|0|S35D6D3Y9KVTQ2|X|MUJER|0|14800|0|0|0|X|X|X|X|X|VILLAHERMOSA |X|0|0|0|0</v>
      </c>
    </row>
    <row r="385" spans="1:82" x14ac:dyDescent="0.25">
      <c r="A385" t="s">
        <v>2810</v>
      </c>
      <c r="B385" t="s">
        <v>2811</v>
      </c>
      <c r="C385">
        <v>3</v>
      </c>
      <c r="D385" t="s">
        <v>741</v>
      </c>
      <c r="E385" t="s">
        <v>359</v>
      </c>
      <c r="F385" t="s">
        <v>360</v>
      </c>
      <c r="G385" t="s">
        <v>360</v>
      </c>
      <c r="H385" t="s">
        <v>2547</v>
      </c>
      <c r="I385">
        <v>14800</v>
      </c>
      <c r="J385" t="s">
        <v>1</v>
      </c>
      <c r="K385" t="s">
        <v>1</v>
      </c>
      <c r="L385">
        <v>400</v>
      </c>
      <c r="M385">
        <v>2</v>
      </c>
      <c r="N385">
        <v>0</v>
      </c>
      <c r="O385" t="s">
        <v>1</v>
      </c>
      <c r="P385" t="s">
        <v>1</v>
      </c>
      <c r="Q385" t="s">
        <v>1</v>
      </c>
      <c r="R385" t="s">
        <v>1</v>
      </c>
      <c r="S385" t="s">
        <v>1</v>
      </c>
      <c r="T385" t="s">
        <v>1</v>
      </c>
      <c r="U385" t="s">
        <v>1</v>
      </c>
      <c r="V385" t="s">
        <v>1</v>
      </c>
      <c r="W385" t="s">
        <v>1</v>
      </c>
      <c r="X385" t="s">
        <v>1</v>
      </c>
      <c r="Y385" t="s">
        <v>1</v>
      </c>
      <c r="Z385" t="s">
        <v>1</v>
      </c>
      <c r="AA385">
        <v>0</v>
      </c>
      <c r="AB385" t="s">
        <v>2812</v>
      </c>
      <c r="AC385" t="s">
        <v>217</v>
      </c>
      <c r="AD385" t="s">
        <v>2813</v>
      </c>
      <c r="AE385">
        <v>0</v>
      </c>
      <c r="AF385" t="s">
        <v>1</v>
      </c>
      <c r="AG385" t="s">
        <v>1</v>
      </c>
      <c r="AH385" t="s">
        <v>2814</v>
      </c>
      <c r="AI385" t="s">
        <v>2815</v>
      </c>
      <c r="AJ385" t="s">
        <v>1</v>
      </c>
      <c r="AK385">
        <v>9934290585</v>
      </c>
      <c r="AL385" t="s">
        <v>1</v>
      </c>
      <c r="AM385" t="s">
        <v>1</v>
      </c>
      <c r="AN385">
        <v>0</v>
      </c>
      <c r="AO385" t="s">
        <v>2814</v>
      </c>
      <c r="AP385" t="s">
        <v>1</v>
      </c>
      <c r="AQ385">
        <v>4</v>
      </c>
      <c r="AR385">
        <v>0</v>
      </c>
      <c r="AS385">
        <v>0</v>
      </c>
      <c r="AT385" t="s">
        <v>1</v>
      </c>
      <c r="AU385" t="s">
        <v>1</v>
      </c>
      <c r="AV385" t="s">
        <v>1</v>
      </c>
      <c r="AW385">
        <v>0</v>
      </c>
      <c r="AX385">
        <v>100</v>
      </c>
      <c r="AY385">
        <v>14800</v>
      </c>
      <c r="AZ385">
        <v>0</v>
      </c>
      <c r="BA385">
        <v>0</v>
      </c>
      <c r="BB385" t="s">
        <v>1</v>
      </c>
      <c r="BC385" t="s">
        <v>1092</v>
      </c>
      <c r="BD385" t="s">
        <v>312</v>
      </c>
      <c r="BE385" t="s">
        <v>1</v>
      </c>
      <c r="BF385" t="s">
        <v>1</v>
      </c>
      <c r="BG385" t="s">
        <v>1</v>
      </c>
      <c r="BH385">
        <v>0</v>
      </c>
      <c r="BI385">
        <v>0</v>
      </c>
      <c r="BJ385" t="s">
        <v>1930</v>
      </c>
      <c r="BK385" t="s">
        <v>1</v>
      </c>
      <c r="BL385" t="s">
        <v>132</v>
      </c>
      <c r="BM385">
        <v>0</v>
      </c>
      <c r="BN385">
        <v>14800</v>
      </c>
      <c r="BO385">
        <v>0</v>
      </c>
      <c r="BP385">
        <v>0</v>
      </c>
      <c r="BQ385">
        <v>0</v>
      </c>
      <c r="BR385" t="s">
        <v>1</v>
      </c>
      <c r="BS385" t="s">
        <v>1</v>
      </c>
      <c r="BT385" t="s">
        <v>1</v>
      </c>
      <c r="BU385" t="s">
        <v>1</v>
      </c>
      <c r="BV385" t="s">
        <v>1</v>
      </c>
      <c r="BW385" t="s">
        <v>360</v>
      </c>
      <c r="BX385" t="s">
        <v>1</v>
      </c>
      <c r="BY385">
        <v>0</v>
      </c>
      <c r="BZ385">
        <v>0</v>
      </c>
      <c r="CA385">
        <v>0</v>
      </c>
      <c r="CB385">
        <v>0</v>
      </c>
      <c r="CD385" t="str" cm="1">
        <f t="array" aca="1" ref="CD385" ca="1">eConcatenar(A385:CB385,"|")</f>
        <v>0xnFD4XJyPZoYj31|VSA2021-1912|3|MEMORIAL|TABASCO|VILLAHERMOSA |VILLAHERMOSA |2021-11-26|14800|X|X|400|2|0|X|X|X|X|X|X|X|X|X|X|X|X|0|REYES|HERNANDEZ|MARCOS|0|X|X|CERRADA INDEPENDENCIA 204|COLONIA PRIMERA DE MAYO |X|9934290585|X|X|0|CERRADA INDEPENDENCIA 204|X|4|0|0|X|X|X|0|100|14800|0|0|X|2021-11-24|2021-12-24|X|X|X|0|0|S35D6D3Y9KVTQ2|X|HOMBRE|0|14800|0|0|0|X|X|X|X|X|VILLAHERMOSA |X|0|0|0|0</v>
      </c>
    </row>
    <row r="386" spans="1:82" x14ac:dyDescent="0.25">
      <c r="A386" t="s">
        <v>2816</v>
      </c>
      <c r="B386" t="s">
        <v>2817</v>
      </c>
      <c r="C386">
        <v>3</v>
      </c>
      <c r="D386" t="s">
        <v>2408</v>
      </c>
      <c r="E386" t="s">
        <v>359</v>
      </c>
      <c r="F386" t="s">
        <v>360</v>
      </c>
      <c r="G386" t="s">
        <v>360</v>
      </c>
      <c r="H386" t="s">
        <v>2818</v>
      </c>
      <c r="I386">
        <v>46000</v>
      </c>
      <c r="J386" t="s">
        <v>1</v>
      </c>
      <c r="K386" t="s">
        <v>1</v>
      </c>
      <c r="L386">
        <v>400</v>
      </c>
      <c r="M386">
        <v>2</v>
      </c>
      <c r="N386">
        <v>0</v>
      </c>
      <c r="O386" t="s">
        <v>1</v>
      </c>
      <c r="P386" t="s">
        <v>1</v>
      </c>
      <c r="Q386" t="s">
        <v>1</v>
      </c>
      <c r="R386" t="s">
        <v>1</v>
      </c>
      <c r="S386" t="s">
        <v>1</v>
      </c>
      <c r="T386" t="s">
        <v>1</v>
      </c>
      <c r="U386" t="s">
        <v>1</v>
      </c>
      <c r="V386" t="s">
        <v>1</v>
      </c>
      <c r="W386" t="s">
        <v>1</v>
      </c>
      <c r="X386" t="s">
        <v>1</v>
      </c>
      <c r="Y386" t="s">
        <v>1</v>
      </c>
      <c r="Z386" t="s">
        <v>1</v>
      </c>
      <c r="AA386">
        <v>0</v>
      </c>
      <c r="AB386" t="s">
        <v>8</v>
      </c>
      <c r="AC386" t="s">
        <v>8</v>
      </c>
      <c r="AD386" t="s">
        <v>2819</v>
      </c>
      <c r="AE386">
        <v>0</v>
      </c>
      <c r="AF386" t="s">
        <v>1</v>
      </c>
      <c r="AG386" t="s">
        <v>1</v>
      </c>
      <c r="AH386" t="s">
        <v>2820</v>
      </c>
      <c r="AI386" t="s">
        <v>2821</v>
      </c>
      <c r="AJ386" t="s">
        <v>1</v>
      </c>
      <c r="AK386">
        <v>9935913508</v>
      </c>
      <c r="AL386" t="s">
        <v>1</v>
      </c>
      <c r="AM386" t="s">
        <v>1</v>
      </c>
      <c r="AN386">
        <v>0</v>
      </c>
      <c r="AO386" t="s">
        <v>2820</v>
      </c>
      <c r="AP386" t="s">
        <v>1</v>
      </c>
      <c r="AQ386">
        <v>4</v>
      </c>
      <c r="AR386">
        <v>0</v>
      </c>
      <c r="AS386">
        <v>0</v>
      </c>
      <c r="AT386" t="s">
        <v>1</v>
      </c>
      <c r="AU386" t="s">
        <v>1</v>
      </c>
      <c r="AV386" t="s">
        <v>1</v>
      </c>
      <c r="AW386">
        <v>0</v>
      </c>
      <c r="AX386">
        <v>600</v>
      </c>
      <c r="AY386">
        <v>45400</v>
      </c>
      <c r="AZ386">
        <v>0</v>
      </c>
      <c r="BA386">
        <v>0</v>
      </c>
      <c r="BB386" t="s">
        <v>1</v>
      </c>
      <c r="BC386" t="s">
        <v>2822</v>
      </c>
      <c r="BD386" t="s">
        <v>2823</v>
      </c>
      <c r="BE386" t="s">
        <v>1</v>
      </c>
      <c r="BF386" t="s">
        <v>1</v>
      </c>
      <c r="BG386" t="s">
        <v>1</v>
      </c>
      <c r="BH386">
        <v>0</v>
      </c>
      <c r="BI386">
        <v>0</v>
      </c>
      <c r="BJ386" t="s">
        <v>1930</v>
      </c>
      <c r="BK386" t="s">
        <v>1</v>
      </c>
      <c r="BL386" t="s">
        <v>1138</v>
      </c>
      <c r="BM386">
        <v>0</v>
      </c>
      <c r="BN386">
        <v>46000</v>
      </c>
      <c r="BO386">
        <v>0</v>
      </c>
      <c r="BP386">
        <v>0</v>
      </c>
      <c r="BQ386">
        <v>0</v>
      </c>
      <c r="BR386" t="s">
        <v>1</v>
      </c>
      <c r="BS386" t="s">
        <v>1</v>
      </c>
      <c r="BT386" t="s">
        <v>1</v>
      </c>
      <c r="BU386" t="s">
        <v>1</v>
      </c>
      <c r="BV386" t="s">
        <v>1</v>
      </c>
      <c r="BW386" t="s">
        <v>360</v>
      </c>
      <c r="BX386" t="s">
        <v>1</v>
      </c>
      <c r="BY386">
        <v>0</v>
      </c>
      <c r="BZ386">
        <v>0</v>
      </c>
      <c r="CA386">
        <v>0</v>
      </c>
      <c r="CB386">
        <v>0</v>
      </c>
      <c r="CD386" t="str" cm="1">
        <f t="array" aca="1" ref="CD386" ca="1">eConcatenar(A386:CB386,"|")</f>
        <v>DJ1LekEHOWCExB89|VSA2021-1705|3|ESPECIAL ANGELES |TABASCO|VILLAHERMOSA |VILLAHERMOSA |2021-10-14|46000|X|X|400|2|0|X|X|X|X|X|X|X|X|X|X|X|X|0|GOMEZ|GOMEZ|VIVIANA |0|X|X|CERRADA VALLE ALEGRE B MANZANA 19 |FRACCIONAMIENTO POMOCA NACAJUCA |X|9935913508|X|X|0|CERRADA VALLE ALEGRE B MANZANA 19 |X|4|0|0|X|X|X|0|600|45400|0|0|X|2021-12-11|2021-12-12|X|X|X|0|0|S35D6D3Y9KVTQ2|X|MUJER|0|46000|0|0|0|X|X|X|X|X|VILLAHERMOSA |X|0|0|0|0</v>
      </c>
    </row>
    <row r="387" spans="1:82" x14ac:dyDescent="0.25">
      <c r="A387" t="s">
        <v>2824</v>
      </c>
      <c r="B387" t="s">
        <v>2825</v>
      </c>
      <c r="C387">
        <v>3</v>
      </c>
      <c r="D387" t="s">
        <v>741</v>
      </c>
      <c r="E387" t="s">
        <v>359</v>
      </c>
      <c r="F387" t="s">
        <v>360</v>
      </c>
      <c r="G387" t="s">
        <v>360</v>
      </c>
      <c r="H387" t="s">
        <v>2355</v>
      </c>
      <c r="I387">
        <v>14800</v>
      </c>
      <c r="J387" t="s">
        <v>1</v>
      </c>
      <c r="K387" t="s">
        <v>1</v>
      </c>
      <c r="L387">
        <v>400</v>
      </c>
      <c r="M387">
        <v>2</v>
      </c>
      <c r="N387">
        <v>0</v>
      </c>
      <c r="O387" t="s">
        <v>1</v>
      </c>
      <c r="P387" t="s">
        <v>1</v>
      </c>
      <c r="Q387" t="s">
        <v>1</v>
      </c>
      <c r="R387" t="s">
        <v>1</v>
      </c>
      <c r="S387" t="s">
        <v>1</v>
      </c>
      <c r="T387" t="s">
        <v>1</v>
      </c>
      <c r="U387" t="s">
        <v>1</v>
      </c>
      <c r="V387" t="s">
        <v>1</v>
      </c>
      <c r="W387" t="s">
        <v>1</v>
      </c>
      <c r="X387" t="s">
        <v>1</v>
      </c>
      <c r="Y387" t="s">
        <v>1</v>
      </c>
      <c r="Z387" t="s">
        <v>1</v>
      </c>
      <c r="AA387">
        <v>0</v>
      </c>
      <c r="AB387" t="s">
        <v>15</v>
      </c>
      <c r="AC387" t="s">
        <v>1220</v>
      </c>
      <c r="AD387" t="s">
        <v>2826</v>
      </c>
      <c r="AE387">
        <v>0</v>
      </c>
      <c r="AF387" t="s">
        <v>1</v>
      </c>
      <c r="AG387" t="s">
        <v>1</v>
      </c>
      <c r="AH387" t="s">
        <v>2827</v>
      </c>
      <c r="AI387" t="s">
        <v>2063</v>
      </c>
      <c r="AJ387" t="s">
        <v>1</v>
      </c>
      <c r="AK387">
        <v>9932855088</v>
      </c>
      <c r="AL387" t="s">
        <v>1</v>
      </c>
      <c r="AM387" t="s">
        <v>1</v>
      </c>
      <c r="AN387">
        <v>0</v>
      </c>
      <c r="AO387" t="s">
        <v>2827</v>
      </c>
      <c r="AP387" t="s">
        <v>1</v>
      </c>
      <c r="AQ387">
        <v>4</v>
      </c>
      <c r="AR387">
        <v>0</v>
      </c>
      <c r="AS387">
        <v>0</v>
      </c>
      <c r="AT387" t="s">
        <v>1</v>
      </c>
      <c r="AU387" t="s">
        <v>1</v>
      </c>
      <c r="AV387" t="s">
        <v>1</v>
      </c>
      <c r="AW387">
        <v>0</v>
      </c>
      <c r="AX387">
        <v>1200</v>
      </c>
      <c r="AY387">
        <v>13600</v>
      </c>
      <c r="AZ387">
        <v>0</v>
      </c>
      <c r="BA387">
        <v>0</v>
      </c>
      <c r="BB387" t="s">
        <v>1</v>
      </c>
      <c r="BC387" t="s">
        <v>863</v>
      </c>
      <c r="BD387" t="s">
        <v>2041</v>
      </c>
      <c r="BE387" t="s">
        <v>1</v>
      </c>
      <c r="BF387" t="s">
        <v>1</v>
      </c>
      <c r="BG387" t="s">
        <v>1</v>
      </c>
      <c r="BH387">
        <v>0</v>
      </c>
      <c r="BI387">
        <v>0</v>
      </c>
      <c r="BJ387" t="s">
        <v>1930</v>
      </c>
      <c r="BK387" t="s">
        <v>1</v>
      </c>
      <c r="BL387" t="s">
        <v>1138</v>
      </c>
      <c r="BM387">
        <v>0</v>
      </c>
      <c r="BN387">
        <v>14800</v>
      </c>
      <c r="BO387">
        <v>0</v>
      </c>
      <c r="BP387">
        <v>0</v>
      </c>
      <c r="BQ387">
        <v>0</v>
      </c>
      <c r="BR387" t="s">
        <v>1</v>
      </c>
      <c r="BS387" t="s">
        <v>1</v>
      </c>
      <c r="BT387" t="s">
        <v>1</v>
      </c>
      <c r="BU387" t="s">
        <v>1</v>
      </c>
      <c r="BV387" t="s">
        <v>1</v>
      </c>
      <c r="BW387" t="s">
        <v>360</v>
      </c>
      <c r="BX387" t="s">
        <v>1</v>
      </c>
      <c r="BY387">
        <v>0</v>
      </c>
      <c r="BZ387">
        <v>0</v>
      </c>
      <c r="CA387">
        <v>0</v>
      </c>
      <c r="CB387">
        <v>0</v>
      </c>
      <c r="CD387" t="str" cm="1">
        <f t="array" aca="1" ref="CD387" ca="1">eConcatenar(A387:CB387,"|")</f>
        <v>bNe5ROW1vl4DDLyu|VSA2021-1697|3|MEMORIAL|TABASCO|VILLAHERMOSA |VILLAHERMOSA |2021-11-10|14800|X|X|400|2|0|X|X|X|X|X|X|X|X|X|X|X|X|0|PEREZ |GUZMAN|MARIA TERESA|0|X|X|AVENIDA DE LAS TORRES NUMERO 132 |COLONIA GAVIOTAS SUR |X|9932855088|X|X|0|AVENIDA DE LAS TORRES NUMERO 132 |X|4|0|0|X|X|X|0|1200|13600|0|0|X|2021-03-12|2022-03-01|X|X|X|0|0|S35D6D3Y9KVTQ2|X|MUJER|0|14800|0|0|0|X|X|X|X|X|VILLAHERMOSA |X|0|0|0|0</v>
      </c>
    </row>
    <row r="388" spans="1:82" x14ac:dyDescent="0.25">
      <c r="A388" t="s">
        <v>2828</v>
      </c>
      <c r="B388" t="s">
        <v>2829</v>
      </c>
      <c r="C388">
        <v>3</v>
      </c>
      <c r="D388" t="s">
        <v>741</v>
      </c>
      <c r="E388" t="s">
        <v>359</v>
      </c>
      <c r="F388" t="s">
        <v>360</v>
      </c>
      <c r="G388" t="s">
        <v>360</v>
      </c>
      <c r="H388" t="s">
        <v>1004</v>
      </c>
      <c r="I388">
        <v>14800</v>
      </c>
      <c r="J388" t="s">
        <v>1</v>
      </c>
      <c r="K388" t="s">
        <v>1</v>
      </c>
      <c r="L388">
        <v>400</v>
      </c>
      <c r="M388">
        <v>2</v>
      </c>
      <c r="N388">
        <v>0</v>
      </c>
      <c r="O388" t="s">
        <v>1</v>
      </c>
      <c r="P388" t="s">
        <v>1</v>
      </c>
      <c r="Q388" t="s">
        <v>1</v>
      </c>
      <c r="R388" t="s">
        <v>1</v>
      </c>
      <c r="S388" t="s">
        <v>1</v>
      </c>
      <c r="T388" t="s">
        <v>1</v>
      </c>
      <c r="U388" t="s">
        <v>1</v>
      </c>
      <c r="V388" t="s">
        <v>1</v>
      </c>
      <c r="W388" t="s">
        <v>1</v>
      </c>
      <c r="X388" t="s">
        <v>1</v>
      </c>
      <c r="Y388" t="s">
        <v>1</v>
      </c>
      <c r="Z388" t="s">
        <v>1</v>
      </c>
      <c r="AA388">
        <v>0</v>
      </c>
      <c r="AB388" t="s">
        <v>2060</v>
      </c>
      <c r="AC388" t="s">
        <v>7</v>
      </c>
      <c r="AD388" t="s">
        <v>2197</v>
      </c>
      <c r="AE388">
        <v>0</v>
      </c>
      <c r="AF388" t="s">
        <v>1</v>
      </c>
      <c r="AG388" t="s">
        <v>1</v>
      </c>
      <c r="AH388" t="s">
        <v>2830</v>
      </c>
      <c r="AI388" t="s">
        <v>2831</v>
      </c>
      <c r="AJ388" t="s">
        <v>1</v>
      </c>
      <c r="AK388">
        <v>9934013804</v>
      </c>
      <c r="AL388" t="s">
        <v>1</v>
      </c>
      <c r="AM388" t="s">
        <v>1</v>
      </c>
      <c r="AN388">
        <v>0</v>
      </c>
      <c r="AO388" t="s">
        <v>2830</v>
      </c>
      <c r="AP388" t="s">
        <v>1</v>
      </c>
      <c r="AQ388">
        <v>5</v>
      </c>
      <c r="AR388">
        <v>0</v>
      </c>
      <c r="AS388">
        <v>0</v>
      </c>
      <c r="AT388" t="s">
        <v>1</v>
      </c>
      <c r="AU388" t="s">
        <v>1</v>
      </c>
      <c r="AV388" t="s">
        <v>1</v>
      </c>
      <c r="AW388">
        <v>0</v>
      </c>
      <c r="AX388">
        <v>500</v>
      </c>
      <c r="AY388">
        <v>14300</v>
      </c>
      <c r="AZ388">
        <v>0</v>
      </c>
      <c r="BA388">
        <v>0</v>
      </c>
      <c r="BB388" t="s">
        <v>1</v>
      </c>
      <c r="BC388" t="s">
        <v>2124</v>
      </c>
      <c r="BD388" t="s">
        <v>2798</v>
      </c>
      <c r="BE388" t="s">
        <v>1</v>
      </c>
      <c r="BF388" t="s">
        <v>1</v>
      </c>
      <c r="BG388" t="s">
        <v>1</v>
      </c>
      <c r="BH388">
        <v>0</v>
      </c>
      <c r="BI388">
        <v>0</v>
      </c>
      <c r="BJ388" t="s">
        <v>1930</v>
      </c>
      <c r="BK388" t="s">
        <v>1</v>
      </c>
      <c r="BL388" t="s">
        <v>1138</v>
      </c>
      <c r="BM388">
        <v>0</v>
      </c>
      <c r="BN388">
        <v>14800</v>
      </c>
      <c r="BO388">
        <v>0</v>
      </c>
      <c r="BP388">
        <v>0</v>
      </c>
      <c r="BQ388">
        <v>0</v>
      </c>
      <c r="BR388" t="s">
        <v>1</v>
      </c>
      <c r="BS388" t="s">
        <v>1</v>
      </c>
      <c r="BT388" t="s">
        <v>1</v>
      </c>
      <c r="BU388" t="s">
        <v>1</v>
      </c>
      <c r="BV388" t="s">
        <v>1</v>
      </c>
      <c r="BW388" t="s">
        <v>360</v>
      </c>
      <c r="BX388" t="s">
        <v>1</v>
      </c>
      <c r="BY388">
        <v>0</v>
      </c>
      <c r="BZ388">
        <v>0</v>
      </c>
      <c r="CA388">
        <v>0</v>
      </c>
      <c r="CB388">
        <v>0</v>
      </c>
      <c r="CD388" t="str" cm="1">
        <f t="array" aca="1" ref="CD388" ca="1">eConcatenar(A388:CB388,"|")</f>
        <v>9BtUmiomJ5QHnTU0|VSA2021-1668|3|MEMORIAL|TABASCO|VILLAHERMOSA |VILLAHERMOSA |2021-05-10|14800|X|X|400|2|0|X|X|X|X|X|X|X|X|X|X|X|X|0|CHABLE |LOPEZ|BEATRIZ |0|X|X|CALLE PRINCIPAL 2 |COLONIA PLUTARCO ELIAS CALLES|X|9934013804|X|X|0|CALLE PRINCIPAL 2 |X|5|0|0|X|X|X|0|500|14300|0|0|X|2021-04-12|2022-04-01|X|X|X|0|0|S35D6D3Y9KVTQ2|X|MUJER|0|14800|0|0|0|X|X|X|X|X|VILLAHERMOSA |X|0|0|0|0</v>
      </c>
    </row>
    <row r="389" spans="1:82" x14ac:dyDescent="0.25">
      <c r="A389" t="s">
        <v>2832</v>
      </c>
      <c r="B389" t="s">
        <v>2833</v>
      </c>
      <c r="C389">
        <v>3</v>
      </c>
      <c r="D389" t="s">
        <v>741</v>
      </c>
      <c r="E389" t="s">
        <v>359</v>
      </c>
      <c r="F389" t="s">
        <v>360</v>
      </c>
      <c r="G389" t="s">
        <v>360</v>
      </c>
      <c r="H389" t="s">
        <v>2834</v>
      </c>
      <c r="I389">
        <v>14800</v>
      </c>
      <c r="J389" t="s">
        <v>1</v>
      </c>
      <c r="K389" t="s">
        <v>1</v>
      </c>
      <c r="L389">
        <v>400</v>
      </c>
      <c r="M389">
        <v>2</v>
      </c>
      <c r="N389">
        <v>0</v>
      </c>
      <c r="O389" t="s">
        <v>1</v>
      </c>
      <c r="P389" t="s">
        <v>1</v>
      </c>
      <c r="Q389" t="s">
        <v>1</v>
      </c>
      <c r="R389" t="s">
        <v>1</v>
      </c>
      <c r="S389" t="s">
        <v>1</v>
      </c>
      <c r="T389" t="s">
        <v>1</v>
      </c>
      <c r="U389" t="s">
        <v>1</v>
      </c>
      <c r="V389" t="s">
        <v>1</v>
      </c>
      <c r="W389" t="s">
        <v>1</v>
      </c>
      <c r="X389" t="s">
        <v>1</v>
      </c>
      <c r="Y389" t="s">
        <v>1</v>
      </c>
      <c r="Z389" t="s">
        <v>1</v>
      </c>
      <c r="AA389">
        <v>0</v>
      </c>
      <c r="AB389" t="s">
        <v>217</v>
      </c>
      <c r="AC389" t="s">
        <v>2835</v>
      </c>
      <c r="AD389" t="s">
        <v>2836</v>
      </c>
      <c r="AE389">
        <v>0</v>
      </c>
      <c r="AF389" t="s">
        <v>1</v>
      </c>
      <c r="AG389" t="s">
        <v>1</v>
      </c>
      <c r="AH389" t="s">
        <v>2837</v>
      </c>
      <c r="AI389" t="s">
        <v>366</v>
      </c>
      <c r="AJ389" t="s">
        <v>1</v>
      </c>
      <c r="AK389">
        <v>9932289273</v>
      </c>
      <c r="AL389" t="s">
        <v>1</v>
      </c>
      <c r="AM389" t="s">
        <v>1</v>
      </c>
      <c r="AN389">
        <v>0</v>
      </c>
      <c r="AO389" t="s">
        <v>2837</v>
      </c>
      <c r="AP389" t="s">
        <v>1</v>
      </c>
      <c r="AQ389">
        <v>5</v>
      </c>
      <c r="AR389">
        <v>0</v>
      </c>
      <c r="AS389">
        <v>0</v>
      </c>
      <c r="AT389" t="s">
        <v>1</v>
      </c>
      <c r="AU389" t="s">
        <v>1</v>
      </c>
      <c r="AV389" t="s">
        <v>1</v>
      </c>
      <c r="AW389">
        <v>0</v>
      </c>
      <c r="AX389">
        <v>1700</v>
      </c>
      <c r="AY389">
        <v>13100</v>
      </c>
      <c r="AZ389">
        <v>0</v>
      </c>
      <c r="BA389">
        <v>0</v>
      </c>
      <c r="BB389" t="s">
        <v>1</v>
      </c>
      <c r="BC389" t="s">
        <v>377</v>
      </c>
      <c r="BD389" t="s">
        <v>1035</v>
      </c>
      <c r="BE389" t="s">
        <v>1</v>
      </c>
      <c r="BF389" t="s">
        <v>1</v>
      </c>
      <c r="BG389" t="s">
        <v>1</v>
      </c>
      <c r="BH389">
        <v>0</v>
      </c>
      <c r="BI389">
        <v>0</v>
      </c>
      <c r="BJ389" t="s">
        <v>1930</v>
      </c>
      <c r="BK389" t="s">
        <v>1</v>
      </c>
      <c r="BL389" t="s">
        <v>1138</v>
      </c>
      <c r="BM389">
        <v>0</v>
      </c>
      <c r="BN389">
        <v>14800</v>
      </c>
      <c r="BO389">
        <v>0</v>
      </c>
      <c r="BP389">
        <v>0</v>
      </c>
      <c r="BQ389">
        <v>0</v>
      </c>
      <c r="BR389" t="s">
        <v>1</v>
      </c>
      <c r="BS389" t="s">
        <v>1</v>
      </c>
      <c r="BT389" t="s">
        <v>1</v>
      </c>
      <c r="BU389" t="s">
        <v>1</v>
      </c>
      <c r="BV389" t="s">
        <v>1</v>
      </c>
      <c r="BW389" t="s">
        <v>360</v>
      </c>
      <c r="BX389" t="s">
        <v>1</v>
      </c>
      <c r="BY389">
        <v>0</v>
      </c>
      <c r="BZ389">
        <v>0</v>
      </c>
      <c r="CA389">
        <v>0</v>
      </c>
      <c r="CB389">
        <v>0</v>
      </c>
      <c r="CD389" t="str" cm="1">
        <f t="array" aca="1" ref="CD389" ca="1">eConcatenar(A389:CB389,"|")</f>
        <v>Rh2XN36whS4pUMY5|VSA2021-1793|3|MEMORIAL|TABASCO|VILLAHERMOSA |VILLAHERMOSA |2021-01-11|14800|X|X|400|2|0|X|X|X|X|X|X|X|X|X|X|X|X|0|HERNANDEZ|AVILA |ANA NOHEMI|0|X|X|CALLE JOSE MARIA PINOSUAREZ 322 DEPARTAMENTO 103|COLONIA CENTRO |X|9932289273|X|X|0|CALLE JOSE MARIA PINOSUAREZ 322 DEPARTAMENTO 103|X|5|0|0|X|X|X|0|1700|13100|0|0|X|2021-07-12|2022-07-01|X|X|X|0|0|S35D6D3Y9KVTQ2|X|MUJER|0|14800|0|0|0|X|X|X|X|X|VILLAHERMOSA |X|0|0|0|0</v>
      </c>
    </row>
    <row r="390" spans="1:82" x14ac:dyDescent="0.25">
      <c r="A390" t="s">
        <v>2838</v>
      </c>
      <c r="B390" t="s">
        <v>2839</v>
      </c>
      <c r="C390">
        <v>3</v>
      </c>
      <c r="D390" t="s">
        <v>741</v>
      </c>
      <c r="E390" t="s">
        <v>359</v>
      </c>
      <c r="F390" t="s">
        <v>360</v>
      </c>
      <c r="G390" t="s">
        <v>360</v>
      </c>
      <c r="H390" t="s">
        <v>2840</v>
      </c>
      <c r="I390">
        <v>14800</v>
      </c>
      <c r="J390" t="s">
        <v>1</v>
      </c>
      <c r="K390" t="s">
        <v>1</v>
      </c>
      <c r="L390">
        <v>200</v>
      </c>
      <c r="M390">
        <v>1</v>
      </c>
      <c r="N390">
        <v>0</v>
      </c>
      <c r="O390" t="s">
        <v>1</v>
      </c>
      <c r="P390" t="s">
        <v>1</v>
      </c>
      <c r="Q390" t="s">
        <v>1</v>
      </c>
      <c r="R390" t="s">
        <v>1</v>
      </c>
      <c r="S390" t="s">
        <v>1</v>
      </c>
      <c r="T390" t="s">
        <v>1</v>
      </c>
      <c r="U390" t="s">
        <v>1</v>
      </c>
      <c r="V390" t="s">
        <v>1</v>
      </c>
      <c r="W390" t="s">
        <v>1</v>
      </c>
      <c r="X390" t="s">
        <v>1</v>
      </c>
      <c r="Y390" t="s">
        <v>1</v>
      </c>
      <c r="Z390" t="s">
        <v>1</v>
      </c>
      <c r="AA390">
        <v>0</v>
      </c>
      <c r="AB390" t="s">
        <v>1571</v>
      </c>
      <c r="AC390" t="s">
        <v>2841</v>
      </c>
      <c r="AD390" t="s">
        <v>1547</v>
      </c>
      <c r="AE390">
        <v>0</v>
      </c>
      <c r="AF390" t="s">
        <v>1</v>
      </c>
      <c r="AG390" t="s">
        <v>1</v>
      </c>
      <c r="AH390" t="s">
        <v>2842</v>
      </c>
      <c r="AI390" t="s">
        <v>2843</v>
      </c>
      <c r="AJ390" t="s">
        <v>1</v>
      </c>
      <c r="AK390">
        <v>9932635989</v>
      </c>
      <c r="AL390" t="s">
        <v>1</v>
      </c>
      <c r="AM390" t="s">
        <v>1</v>
      </c>
      <c r="AN390">
        <v>0</v>
      </c>
      <c r="AO390" t="s">
        <v>2842</v>
      </c>
      <c r="AP390" t="s">
        <v>1</v>
      </c>
      <c r="AQ390">
        <v>4</v>
      </c>
      <c r="AR390">
        <v>0</v>
      </c>
      <c r="AS390">
        <v>0</v>
      </c>
      <c r="AT390" t="s">
        <v>1</v>
      </c>
      <c r="AU390" t="s">
        <v>1</v>
      </c>
      <c r="AV390" t="s">
        <v>1</v>
      </c>
      <c r="AW390">
        <v>0</v>
      </c>
      <c r="AX390">
        <v>5600</v>
      </c>
      <c r="AY390">
        <v>9200</v>
      </c>
      <c r="AZ390">
        <v>0</v>
      </c>
      <c r="BA390">
        <v>0</v>
      </c>
      <c r="BB390" t="s">
        <v>1</v>
      </c>
      <c r="BC390" t="s">
        <v>2844</v>
      </c>
      <c r="BD390" t="s">
        <v>2745</v>
      </c>
      <c r="BE390" t="s">
        <v>1</v>
      </c>
      <c r="BF390" t="s">
        <v>1</v>
      </c>
      <c r="BG390" t="s">
        <v>1</v>
      </c>
      <c r="BH390">
        <v>0</v>
      </c>
      <c r="BI390">
        <v>0</v>
      </c>
      <c r="BJ390" t="s">
        <v>1930</v>
      </c>
      <c r="BK390" t="s">
        <v>1</v>
      </c>
      <c r="BL390" t="s">
        <v>1138</v>
      </c>
      <c r="BM390">
        <v>0</v>
      </c>
      <c r="BN390">
        <v>14800</v>
      </c>
      <c r="BO390">
        <v>0</v>
      </c>
      <c r="BP390">
        <v>0</v>
      </c>
      <c r="BQ390">
        <v>0</v>
      </c>
      <c r="BR390" t="s">
        <v>1</v>
      </c>
      <c r="BS390" t="s">
        <v>1</v>
      </c>
      <c r="BT390" t="s">
        <v>1</v>
      </c>
      <c r="BU390" t="s">
        <v>1</v>
      </c>
      <c r="BV390" t="s">
        <v>1</v>
      </c>
      <c r="BW390" t="s">
        <v>360</v>
      </c>
      <c r="BX390" t="s">
        <v>1</v>
      </c>
      <c r="BY390">
        <v>0</v>
      </c>
      <c r="BZ390">
        <v>0</v>
      </c>
      <c r="CA390">
        <v>0</v>
      </c>
      <c r="CB390">
        <v>0</v>
      </c>
      <c r="CD390" t="str" cm="1">
        <f t="array" aca="1" ref="CD390" ca="1">eConcatenar(A390:CB390,"|")</f>
        <v>ZWumNtZ09xHhQalV|VSA2021-1646|3|MEMORIAL|TABASCO|VILLAHERMOSA |VILLAHERMOSA |2021-01-10|14800|X|X|200|1|0|X|X|X|X|X|X|X|X|X|X|X|X|0|CASTILLO|VILLALOBOS |ANGELA |0|X|X|ALFONSO VICENS SALDIVAR 2021|COLONIA TRIUNFO LA MANGA 2|X|9932635989|X|X|0|ALFONSO VICENS SALDIVAR 2021|X|4|0|0|X|X|X|0|5600|9200|0|0|X|2021-09-30|2021-10-15|X|X|X|0|0|S35D6D3Y9KVTQ2|X|MUJER|0|14800|0|0|0|X|X|X|X|X|VILLAHERMOSA |X|0|0|0|0</v>
      </c>
    </row>
    <row r="391" spans="1:82" x14ac:dyDescent="0.25">
      <c r="A391" t="s">
        <v>2845</v>
      </c>
      <c r="B391" t="s">
        <v>2846</v>
      </c>
      <c r="C391">
        <v>3</v>
      </c>
      <c r="D391" t="s">
        <v>741</v>
      </c>
      <c r="E391" t="s">
        <v>359</v>
      </c>
      <c r="F391" t="s">
        <v>360</v>
      </c>
      <c r="G391" t="s">
        <v>360</v>
      </c>
      <c r="H391" t="s">
        <v>2355</v>
      </c>
      <c r="I391">
        <v>14800</v>
      </c>
      <c r="J391" t="s">
        <v>1</v>
      </c>
      <c r="K391" t="s">
        <v>1</v>
      </c>
      <c r="L391">
        <v>200</v>
      </c>
      <c r="M391">
        <v>1</v>
      </c>
      <c r="N391">
        <v>0</v>
      </c>
      <c r="O391" t="s">
        <v>1</v>
      </c>
      <c r="P391" t="s">
        <v>1</v>
      </c>
      <c r="Q391" t="s">
        <v>1</v>
      </c>
      <c r="R391" t="s">
        <v>1</v>
      </c>
      <c r="S391" t="s">
        <v>1</v>
      </c>
      <c r="T391" t="s">
        <v>1</v>
      </c>
      <c r="U391" t="s">
        <v>1</v>
      </c>
      <c r="V391" t="s">
        <v>1</v>
      </c>
      <c r="W391" t="s">
        <v>1</v>
      </c>
      <c r="X391" t="s">
        <v>1</v>
      </c>
      <c r="Y391" t="s">
        <v>1</v>
      </c>
      <c r="Z391" t="s">
        <v>1</v>
      </c>
      <c r="AA391">
        <v>0</v>
      </c>
      <c r="AB391" t="s">
        <v>2847</v>
      </c>
      <c r="AC391" t="s">
        <v>2848</v>
      </c>
      <c r="AD391" t="s">
        <v>2849</v>
      </c>
      <c r="AE391">
        <v>0</v>
      </c>
      <c r="AF391" t="s">
        <v>1</v>
      </c>
      <c r="AG391" t="s">
        <v>1</v>
      </c>
      <c r="AH391" t="s">
        <v>2850</v>
      </c>
      <c r="AI391" t="s">
        <v>2465</v>
      </c>
      <c r="AJ391" t="s">
        <v>1</v>
      </c>
      <c r="AK391">
        <v>9931592473</v>
      </c>
      <c r="AL391" t="s">
        <v>1</v>
      </c>
      <c r="AM391" t="s">
        <v>1</v>
      </c>
      <c r="AN391">
        <v>0</v>
      </c>
      <c r="AO391" t="s">
        <v>2850</v>
      </c>
      <c r="AP391" t="s">
        <v>1</v>
      </c>
      <c r="AQ391">
        <v>5</v>
      </c>
      <c r="AR391">
        <v>0</v>
      </c>
      <c r="AS391">
        <v>0</v>
      </c>
      <c r="AT391" t="s">
        <v>1</v>
      </c>
      <c r="AU391" t="s">
        <v>1</v>
      </c>
      <c r="AV391" t="s">
        <v>1</v>
      </c>
      <c r="AW391">
        <v>0</v>
      </c>
      <c r="AX391">
        <v>100</v>
      </c>
      <c r="AY391">
        <v>14700</v>
      </c>
      <c r="AZ391">
        <v>0</v>
      </c>
      <c r="BA391">
        <v>0</v>
      </c>
      <c r="BB391" t="s">
        <v>1</v>
      </c>
      <c r="BC391" t="s">
        <v>2851</v>
      </c>
      <c r="BD391" t="s">
        <v>1577</v>
      </c>
      <c r="BE391" t="s">
        <v>1</v>
      </c>
      <c r="BF391" t="s">
        <v>1</v>
      </c>
      <c r="BG391" t="s">
        <v>1</v>
      </c>
      <c r="BH391">
        <v>0</v>
      </c>
      <c r="BI391">
        <v>0</v>
      </c>
      <c r="BJ391" t="s">
        <v>1930</v>
      </c>
      <c r="BK391" t="s">
        <v>1</v>
      </c>
      <c r="BL391" t="s">
        <v>132</v>
      </c>
      <c r="BM391">
        <v>0</v>
      </c>
      <c r="BN391">
        <v>14800</v>
      </c>
      <c r="BO391">
        <v>0</v>
      </c>
      <c r="BP391">
        <v>0</v>
      </c>
      <c r="BQ391">
        <v>0</v>
      </c>
      <c r="BR391" t="s">
        <v>1</v>
      </c>
      <c r="BS391" t="s">
        <v>1</v>
      </c>
      <c r="BT391" t="s">
        <v>1</v>
      </c>
      <c r="BU391" t="s">
        <v>1</v>
      </c>
      <c r="BV391" t="s">
        <v>1</v>
      </c>
      <c r="BW391" t="s">
        <v>360</v>
      </c>
      <c r="BX391" t="s">
        <v>1</v>
      </c>
      <c r="BY391">
        <v>0</v>
      </c>
      <c r="BZ391">
        <v>0</v>
      </c>
      <c r="CA391">
        <v>0</v>
      </c>
      <c r="CB391">
        <v>0</v>
      </c>
      <c r="CD391" t="str" cm="1">
        <f t="array" aca="1" ref="CD391" ca="1">eConcatenar(A391:CB391,"|")</f>
        <v>Do9KKgYV3muSkca7|VSA2021-1695|3|MEMORIAL|TABASCO|VILLAHERMOSA |VILLAHERMOSA |2021-11-10|14800|X|X|200|1|0|X|X|X|X|X|X|X|X|X|X|X|X|0|SILVAN |ESPEJO|ENRIQUE |0|X|X|CALLE PEPE DEL RIVERO NUMERO 1006|COLONIA GAVIOTAS NORTE |X|9931592473|X|X|0|CALLE PEPE DEL RIVERO NUMERO 1006|X|5|0|0|X|X|X|0|100|14700|0|0|X|2021-09-10|2021-10-30|X|X|X|0|0|S35D6D3Y9KVTQ2|X|HOMBRE|0|14800|0|0|0|X|X|X|X|X|VILLAHERMOSA |X|0|0|0|0</v>
      </c>
    </row>
    <row r="392" spans="1:82" x14ac:dyDescent="0.25">
      <c r="A392" t="s">
        <v>2852</v>
      </c>
      <c r="B392" t="s">
        <v>2853</v>
      </c>
      <c r="C392">
        <v>3</v>
      </c>
      <c r="D392" t="s">
        <v>741</v>
      </c>
      <c r="E392" t="s">
        <v>359</v>
      </c>
      <c r="F392" t="s">
        <v>360</v>
      </c>
      <c r="G392" t="s">
        <v>360</v>
      </c>
      <c r="H392" t="s">
        <v>2732</v>
      </c>
      <c r="I392">
        <v>14800</v>
      </c>
      <c r="J392" t="s">
        <v>1</v>
      </c>
      <c r="K392" t="s">
        <v>1</v>
      </c>
      <c r="L392">
        <v>200</v>
      </c>
      <c r="M392">
        <v>1</v>
      </c>
      <c r="N392">
        <v>0</v>
      </c>
      <c r="O392" t="s">
        <v>1</v>
      </c>
      <c r="P392" t="s">
        <v>1</v>
      </c>
      <c r="Q392" t="s">
        <v>1</v>
      </c>
      <c r="R392" t="s">
        <v>1</v>
      </c>
      <c r="S392" t="s">
        <v>1</v>
      </c>
      <c r="T392" t="s">
        <v>1</v>
      </c>
      <c r="U392" t="s">
        <v>1</v>
      </c>
      <c r="V392" t="s">
        <v>1</v>
      </c>
      <c r="W392" t="s">
        <v>1</v>
      </c>
      <c r="X392" t="s">
        <v>1</v>
      </c>
      <c r="Y392" t="s">
        <v>1</v>
      </c>
      <c r="Z392" t="s">
        <v>1</v>
      </c>
      <c r="AA392">
        <v>0</v>
      </c>
      <c r="AB392" t="s">
        <v>1220</v>
      </c>
      <c r="AC392" t="s">
        <v>2632</v>
      </c>
      <c r="AD392" t="s">
        <v>2854</v>
      </c>
      <c r="AE392">
        <v>0</v>
      </c>
      <c r="AF392" t="s">
        <v>1</v>
      </c>
      <c r="AG392" t="s">
        <v>1</v>
      </c>
      <c r="AH392" t="s">
        <v>2855</v>
      </c>
      <c r="AI392" t="s">
        <v>2856</v>
      </c>
      <c r="AJ392" t="s">
        <v>1</v>
      </c>
      <c r="AK392">
        <v>9932523090</v>
      </c>
      <c r="AL392" t="s">
        <v>1</v>
      </c>
      <c r="AM392" t="s">
        <v>1</v>
      </c>
      <c r="AN392">
        <v>0</v>
      </c>
      <c r="AO392" t="s">
        <v>2855</v>
      </c>
      <c r="AP392" t="s">
        <v>1</v>
      </c>
      <c r="AQ392">
        <v>5</v>
      </c>
      <c r="AR392">
        <v>0</v>
      </c>
      <c r="AS392">
        <v>0</v>
      </c>
      <c r="AT392" t="s">
        <v>1</v>
      </c>
      <c r="AU392" t="s">
        <v>1</v>
      </c>
      <c r="AV392" t="s">
        <v>1</v>
      </c>
      <c r="AW392">
        <v>0</v>
      </c>
      <c r="AX392">
        <v>700</v>
      </c>
      <c r="AY392">
        <v>14100</v>
      </c>
      <c r="AZ392">
        <v>0</v>
      </c>
      <c r="BA392">
        <v>0</v>
      </c>
      <c r="BB392" t="s">
        <v>1</v>
      </c>
      <c r="BC392" t="s">
        <v>2124</v>
      </c>
      <c r="BD392" t="s">
        <v>1995</v>
      </c>
      <c r="BE392" t="s">
        <v>1</v>
      </c>
      <c r="BF392" t="s">
        <v>1</v>
      </c>
      <c r="BG392" t="s">
        <v>1</v>
      </c>
      <c r="BH392">
        <v>0</v>
      </c>
      <c r="BI392">
        <v>0</v>
      </c>
      <c r="BJ392" t="s">
        <v>1930</v>
      </c>
      <c r="BK392" t="s">
        <v>1</v>
      </c>
      <c r="BL392" t="s">
        <v>1138</v>
      </c>
      <c r="BM392">
        <v>0</v>
      </c>
      <c r="BN392">
        <v>14800</v>
      </c>
      <c r="BO392">
        <v>0</v>
      </c>
      <c r="BP392">
        <v>0</v>
      </c>
      <c r="BQ392">
        <v>0</v>
      </c>
      <c r="BR392" t="s">
        <v>1</v>
      </c>
      <c r="BS392" t="s">
        <v>1</v>
      </c>
      <c r="BT392" t="s">
        <v>1</v>
      </c>
      <c r="BU392" t="s">
        <v>1</v>
      </c>
      <c r="BV392" t="s">
        <v>1</v>
      </c>
      <c r="BW392" t="s">
        <v>360</v>
      </c>
      <c r="BX392" t="s">
        <v>1</v>
      </c>
      <c r="BY392">
        <v>0</v>
      </c>
      <c r="BZ392">
        <v>0</v>
      </c>
      <c r="CA392">
        <v>0</v>
      </c>
      <c r="CB392">
        <v>0</v>
      </c>
      <c r="CD392" t="str" cm="1">
        <f t="array" aca="1" ref="CD392" ca="1">eConcatenar(A392:CB392,"|")</f>
        <v>EBJ2YevOZWafC0k6|VSA2021-1659|3|MEMORIAL|TABASCO|VILLAHERMOSA |VILLAHERMOSA |2021-04-10|14800|X|X|200|1|0|X|X|X|X|X|X|X|X|X|X|X|X|0|GUZMAN|RODRIGUEZ|LIDIA |0|X|X|CALLE REFORMA AGRARIA MANZANA 20 LOTE 4 |FRACCIONAMIENTO TRIUNFO LA MANGA 3|X|9932523090|X|X|0|CALLE REFORMA AGRARIA MANZANA 20 LOTE 4 |X|5|0|0|X|X|X|0|700|14100|0|0|X|2021-04-12|2021-12-18|X|X|X|0|0|S35D6D3Y9KVTQ2|X|MUJER|0|14800|0|0|0|X|X|X|X|X|VILLAHERMOSA |X|0|0|0|0</v>
      </c>
    </row>
    <row r="393" spans="1:82" x14ac:dyDescent="0.25">
      <c r="A393" t="s">
        <v>2857</v>
      </c>
      <c r="B393" t="s">
        <v>2858</v>
      </c>
      <c r="C393">
        <v>3</v>
      </c>
      <c r="D393" t="s">
        <v>741</v>
      </c>
      <c r="E393" t="s">
        <v>359</v>
      </c>
      <c r="F393" t="s">
        <v>360</v>
      </c>
      <c r="G393" t="s">
        <v>360</v>
      </c>
      <c r="H393" t="s">
        <v>2859</v>
      </c>
      <c r="I393">
        <v>14800</v>
      </c>
      <c r="J393" t="s">
        <v>1</v>
      </c>
      <c r="K393" t="s">
        <v>1</v>
      </c>
      <c r="L393">
        <v>200</v>
      </c>
      <c r="M393">
        <v>1</v>
      </c>
      <c r="N393">
        <v>0</v>
      </c>
      <c r="O393" t="s">
        <v>1</v>
      </c>
      <c r="P393" t="s">
        <v>1</v>
      </c>
      <c r="Q393" t="s">
        <v>1</v>
      </c>
      <c r="R393" t="s">
        <v>1</v>
      </c>
      <c r="S393" t="s">
        <v>1</v>
      </c>
      <c r="T393" t="s">
        <v>1</v>
      </c>
      <c r="U393" t="s">
        <v>1</v>
      </c>
      <c r="V393" t="s">
        <v>1</v>
      </c>
      <c r="W393" t="s">
        <v>1</v>
      </c>
      <c r="X393" t="s">
        <v>1</v>
      </c>
      <c r="Y393" t="s">
        <v>1</v>
      </c>
      <c r="Z393" t="s">
        <v>1</v>
      </c>
      <c r="AA393">
        <v>0</v>
      </c>
      <c r="AB393" t="s">
        <v>209</v>
      </c>
      <c r="AC393" t="s">
        <v>2588</v>
      </c>
      <c r="AD393" t="s">
        <v>2338</v>
      </c>
      <c r="AE393">
        <v>0</v>
      </c>
      <c r="AF393" t="s">
        <v>1</v>
      </c>
      <c r="AG393" t="s">
        <v>1</v>
      </c>
      <c r="AH393" t="s">
        <v>2860</v>
      </c>
      <c r="AI393" t="s">
        <v>2861</v>
      </c>
      <c r="AJ393" t="s">
        <v>1</v>
      </c>
      <c r="AK393">
        <v>9931363677</v>
      </c>
      <c r="AL393" t="s">
        <v>1</v>
      </c>
      <c r="AM393" t="s">
        <v>1</v>
      </c>
      <c r="AN393">
        <v>0</v>
      </c>
      <c r="AO393" t="s">
        <v>2860</v>
      </c>
      <c r="AP393" t="s">
        <v>1</v>
      </c>
      <c r="AQ393">
        <v>5</v>
      </c>
      <c r="AR393">
        <v>0</v>
      </c>
      <c r="AS393">
        <v>0</v>
      </c>
      <c r="AT393" t="s">
        <v>1</v>
      </c>
      <c r="AU393" t="s">
        <v>1</v>
      </c>
      <c r="AV393" t="s">
        <v>1</v>
      </c>
      <c r="AW393">
        <v>0</v>
      </c>
      <c r="AX393">
        <v>50</v>
      </c>
      <c r="AY393">
        <v>14750</v>
      </c>
      <c r="AZ393">
        <v>0</v>
      </c>
      <c r="BA393">
        <v>0</v>
      </c>
      <c r="BB393" t="s">
        <v>1</v>
      </c>
      <c r="BC393" t="s">
        <v>2547</v>
      </c>
      <c r="BD393" t="s">
        <v>2862</v>
      </c>
      <c r="BE393" t="s">
        <v>1</v>
      </c>
      <c r="BF393" t="s">
        <v>1</v>
      </c>
      <c r="BG393" t="s">
        <v>1</v>
      </c>
      <c r="BH393">
        <v>0</v>
      </c>
      <c r="BI393">
        <v>0</v>
      </c>
      <c r="BJ393" t="s">
        <v>1930</v>
      </c>
      <c r="BK393" t="s">
        <v>1</v>
      </c>
      <c r="BL393" t="s">
        <v>1138</v>
      </c>
      <c r="BM393">
        <v>0</v>
      </c>
      <c r="BN393">
        <v>14800</v>
      </c>
      <c r="BO393">
        <v>0</v>
      </c>
      <c r="BP393">
        <v>0</v>
      </c>
      <c r="BQ393">
        <v>0</v>
      </c>
      <c r="BR393" t="s">
        <v>1</v>
      </c>
      <c r="BS393" t="s">
        <v>1</v>
      </c>
      <c r="BT393" t="s">
        <v>1</v>
      </c>
      <c r="BU393" t="s">
        <v>1</v>
      </c>
      <c r="BV393" t="s">
        <v>1</v>
      </c>
      <c r="BW393" t="s">
        <v>360</v>
      </c>
      <c r="BX393" t="s">
        <v>1</v>
      </c>
      <c r="BY393">
        <v>0</v>
      </c>
      <c r="BZ393">
        <v>0</v>
      </c>
      <c r="CA393">
        <v>0</v>
      </c>
      <c r="CB393">
        <v>0</v>
      </c>
      <c r="CD393" t="str" cm="1">
        <f t="array" aca="1" ref="CD393" ca="1">eConcatenar(A393:CB393,"|")</f>
        <v>uAKN7uFXjhAehG8l|VSA2021-1923|3|MEMORIAL|TABASCO|VILLAHERMOSA |VILLAHERMOSA |2021-11-27|14800|X|X|200|1|0|X|X|X|X|X|X|X|X|X|X|X|X|0|SANCHEZ|CASTRO|ROSA MARIA |0|X|X|CALLE CHICHENITZA DEPARTAMENTO 4 MANZANA 1 LOTE 2|FRACIONAMIENTO POMOCA |X|9931363677|X|X|0|CALLE CHICHENITZA DEPARTAMENTO 4 MANZANA 1 LOTE 2|X|5|0|0|X|X|X|0|50|14750|0|0|X|2021-11-26|2022-01-14|X|X|X|0|0|S35D6D3Y9KVTQ2|X|MUJER|0|14800|0|0|0|X|X|X|X|X|VILLAHERMOSA |X|0|0|0|0</v>
      </c>
    </row>
    <row r="394" spans="1:82" x14ac:dyDescent="0.25">
      <c r="A394" t="s">
        <v>2863</v>
      </c>
      <c r="B394" t="s">
        <v>2864</v>
      </c>
      <c r="C394">
        <v>3</v>
      </c>
      <c r="D394" t="s">
        <v>715</v>
      </c>
      <c r="E394" t="s">
        <v>359</v>
      </c>
      <c r="F394" t="s">
        <v>360</v>
      </c>
      <c r="G394" t="s">
        <v>360</v>
      </c>
      <c r="H394" t="s">
        <v>716</v>
      </c>
      <c r="I394">
        <v>12900</v>
      </c>
      <c r="J394" t="s">
        <v>1</v>
      </c>
      <c r="K394" t="s">
        <v>1</v>
      </c>
      <c r="L394">
        <v>200</v>
      </c>
      <c r="M394">
        <v>1</v>
      </c>
      <c r="N394">
        <v>0</v>
      </c>
      <c r="O394" t="s">
        <v>1</v>
      </c>
      <c r="P394" t="s">
        <v>1</v>
      </c>
      <c r="Q394" t="s">
        <v>1</v>
      </c>
      <c r="R394" t="s">
        <v>1</v>
      </c>
      <c r="S394" t="s">
        <v>1</v>
      </c>
      <c r="T394" t="s">
        <v>1</v>
      </c>
      <c r="U394" t="s">
        <v>1</v>
      </c>
      <c r="V394" t="s">
        <v>1</v>
      </c>
      <c r="W394" t="s">
        <v>1</v>
      </c>
      <c r="X394" t="s">
        <v>1</v>
      </c>
      <c r="Y394" t="s">
        <v>1</v>
      </c>
      <c r="Z394" t="s">
        <v>1</v>
      </c>
      <c r="AA394">
        <v>0</v>
      </c>
      <c r="AB394" t="s">
        <v>809</v>
      </c>
      <c r="AC394" t="s">
        <v>964</v>
      </c>
      <c r="AD394" t="s">
        <v>2865</v>
      </c>
      <c r="AE394">
        <v>0</v>
      </c>
      <c r="AF394" t="s">
        <v>1</v>
      </c>
      <c r="AG394" t="s">
        <v>1</v>
      </c>
      <c r="AH394" t="s">
        <v>2866</v>
      </c>
      <c r="AI394" t="s">
        <v>2867</v>
      </c>
      <c r="AJ394" t="s">
        <v>1</v>
      </c>
      <c r="AK394">
        <v>99335747</v>
      </c>
      <c r="AL394" t="s">
        <v>2868</v>
      </c>
      <c r="AM394" t="s">
        <v>2869</v>
      </c>
      <c r="AN394">
        <v>0</v>
      </c>
      <c r="AO394" t="s">
        <v>2866</v>
      </c>
      <c r="AP394" t="s">
        <v>1</v>
      </c>
      <c r="AQ394">
        <v>5</v>
      </c>
      <c r="AR394">
        <v>0</v>
      </c>
      <c r="AS394">
        <v>0</v>
      </c>
      <c r="AT394" t="s">
        <v>1</v>
      </c>
      <c r="AU394" t="s">
        <v>1</v>
      </c>
      <c r="AV394" t="s">
        <v>1</v>
      </c>
      <c r="AW394">
        <v>0</v>
      </c>
      <c r="AX394">
        <v>4290</v>
      </c>
      <c r="AY394">
        <v>8610</v>
      </c>
      <c r="AZ394">
        <v>0</v>
      </c>
      <c r="BA394">
        <v>0</v>
      </c>
      <c r="BB394" t="s">
        <v>1</v>
      </c>
      <c r="BC394" t="s">
        <v>2124</v>
      </c>
      <c r="BD394" t="s">
        <v>1995</v>
      </c>
      <c r="BE394" t="s">
        <v>1</v>
      </c>
      <c r="BF394" t="s">
        <v>1</v>
      </c>
      <c r="BG394" t="s">
        <v>1</v>
      </c>
      <c r="BH394">
        <v>0</v>
      </c>
      <c r="BI394">
        <v>0</v>
      </c>
      <c r="BJ394" t="s">
        <v>1930</v>
      </c>
      <c r="BK394" t="s">
        <v>1</v>
      </c>
      <c r="BL394" t="s">
        <v>1138</v>
      </c>
      <c r="BM394">
        <v>0</v>
      </c>
      <c r="BN394">
        <v>12900</v>
      </c>
      <c r="BO394">
        <v>0</v>
      </c>
      <c r="BP394">
        <v>0</v>
      </c>
      <c r="BQ394">
        <v>0</v>
      </c>
      <c r="BR394" t="s">
        <v>1</v>
      </c>
      <c r="BS394" t="s">
        <v>1</v>
      </c>
      <c r="BT394" t="s">
        <v>1</v>
      </c>
      <c r="BU394" t="s">
        <v>1</v>
      </c>
      <c r="BV394" t="s">
        <v>1</v>
      </c>
      <c r="BW394" t="s">
        <v>360</v>
      </c>
      <c r="BX394" t="s">
        <v>1</v>
      </c>
      <c r="BY394">
        <v>0</v>
      </c>
      <c r="BZ394">
        <v>0</v>
      </c>
      <c r="CA394">
        <v>0</v>
      </c>
      <c r="CB394">
        <v>0</v>
      </c>
      <c r="CD394" t="str" cm="1">
        <f t="array" aca="1" ref="CD394" ca="1">eConcatenar(A394:CB394,"|")</f>
        <v>oqRbakl8rcEeMxwZ|VSA2020-1044|3|IMPERIAL DE LUJO|TABASCO|VILLAHERMOSA |VILLAHERMOSA |2020-11-13|12900|X|X|200|1|0|X|X|X|X|X|X|X|X|X|X|X|X|0|GONZALEZ|TOSCA|VICTORIA |0|X|X|MAXILIANO AVILA CAMACHO |JOSE MARIA PINOSUAREZ CENTRO|X|99335747|GUADALUPE SANCHEZ GONZALEZ|ALEJANDRO SANCHEZ GONZALEZ |0|MAXILIANO AVILA CAMACHO |X|5|0|0|X|X|X|0|4290|8610|0|0|X|2021-04-12|2021-12-18|X|X|X|0|0|S35D6D3Y9KVTQ2|X|MUJER|0|12900|0|0|0|X|X|X|X|X|VILLAHERMOSA |X|0|0|0|0</v>
      </c>
    </row>
    <row r="395" spans="1:82" x14ac:dyDescent="0.25">
      <c r="A395" t="s">
        <v>2870</v>
      </c>
      <c r="B395" t="s">
        <v>2871</v>
      </c>
      <c r="C395">
        <v>3</v>
      </c>
      <c r="D395" t="s">
        <v>1073</v>
      </c>
      <c r="E395" t="s">
        <v>359</v>
      </c>
      <c r="F395" t="s">
        <v>360</v>
      </c>
      <c r="G395" t="s">
        <v>360</v>
      </c>
      <c r="H395" t="s">
        <v>2236</v>
      </c>
      <c r="I395">
        <v>19800</v>
      </c>
      <c r="J395" t="s">
        <v>1</v>
      </c>
      <c r="K395" t="s">
        <v>1</v>
      </c>
      <c r="L395">
        <v>400</v>
      </c>
      <c r="M395">
        <v>2</v>
      </c>
      <c r="N395">
        <v>0</v>
      </c>
      <c r="O395" t="s">
        <v>1</v>
      </c>
      <c r="P395" t="s">
        <v>1</v>
      </c>
      <c r="Q395" t="s">
        <v>1</v>
      </c>
      <c r="R395" t="s">
        <v>1</v>
      </c>
      <c r="S395" t="s">
        <v>1</v>
      </c>
      <c r="T395" t="s">
        <v>1</v>
      </c>
      <c r="U395" t="s">
        <v>1</v>
      </c>
      <c r="V395" t="s">
        <v>1</v>
      </c>
      <c r="W395" t="s">
        <v>1</v>
      </c>
      <c r="X395" t="s">
        <v>1</v>
      </c>
      <c r="Y395" t="s">
        <v>1</v>
      </c>
      <c r="Z395" t="s">
        <v>1</v>
      </c>
      <c r="AA395">
        <v>0</v>
      </c>
      <c r="AB395" t="s">
        <v>8</v>
      </c>
      <c r="AC395" t="s">
        <v>7</v>
      </c>
      <c r="AD395" t="s">
        <v>2872</v>
      </c>
      <c r="AE395">
        <v>0</v>
      </c>
      <c r="AF395" t="s">
        <v>1</v>
      </c>
      <c r="AG395" t="s">
        <v>1</v>
      </c>
      <c r="AH395" t="s">
        <v>2873</v>
      </c>
      <c r="AI395" t="s">
        <v>2874</v>
      </c>
      <c r="AJ395" t="s">
        <v>1</v>
      </c>
      <c r="AK395">
        <v>9933179079</v>
      </c>
      <c r="AL395" t="s">
        <v>2875</v>
      </c>
      <c r="AM395" t="s">
        <v>2876</v>
      </c>
      <c r="AN395">
        <v>0</v>
      </c>
      <c r="AO395" t="s">
        <v>2873</v>
      </c>
      <c r="AP395" t="s">
        <v>1</v>
      </c>
      <c r="AQ395">
        <v>5</v>
      </c>
      <c r="AR395">
        <v>0</v>
      </c>
      <c r="AS395">
        <v>0</v>
      </c>
      <c r="AT395" t="s">
        <v>1</v>
      </c>
      <c r="AU395" t="s">
        <v>1</v>
      </c>
      <c r="AV395" t="s">
        <v>1</v>
      </c>
      <c r="AW395">
        <v>0</v>
      </c>
      <c r="AX395">
        <v>5700</v>
      </c>
      <c r="AY395">
        <v>14100</v>
      </c>
      <c r="AZ395">
        <v>0</v>
      </c>
      <c r="BA395">
        <v>0</v>
      </c>
      <c r="BB395" t="s">
        <v>1</v>
      </c>
      <c r="BC395" t="s">
        <v>2124</v>
      </c>
      <c r="BD395" t="s">
        <v>2798</v>
      </c>
      <c r="BE395" t="s">
        <v>1</v>
      </c>
      <c r="BF395" t="s">
        <v>1</v>
      </c>
      <c r="BG395" t="s">
        <v>1</v>
      </c>
      <c r="BH395">
        <v>0</v>
      </c>
      <c r="BI395">
        <v>0</v>
      </c>
      <c r="BJ395" t="s">
        <v>1930</v>
      </c>
      <c r="BK395" t="s">
        <v>1</v>
      </c>
      <c r="BL395" t="s">
        <v>1138</v>
      </c>
      <c r="BM395">
        <v>0</v>
      </c>
      <c r="BN395">
        <v>19800</v>
      </c>
      <c r="BO395">
        <v>0</v>
      </c>
      <c r="BP395">
        <v>0</v>
      </c>
      <c r="BQ395">
        <v>0</v>
      </c>
      <c r="BR395" t="s">
        <v>1</v>
      </c>
      <c r="BS395" t="s">
        <v>1</v>
      </c>
      <c r="BT395" t="s">
        <v>1</v>
      </c>
      <c r="BU395" t="s">
        <v>1</v>
      </c>
      <c r="BV395" t="s">
        <v>1</v>
      </c>
      <c r="BW395" t="s">
        <v>360</v>
      </c>
      <c r="BX395" t="s">
        <v>1</v>
      </c>
      <c r="BY395">
        <v>0</v>
      </c>
      <c r="BZ395">
        <v>0</v>
      </c>
      <c r="CA395">
        <v>0</v>
      </c>
      <c r="CB395">
        <v>0</v>
      </c>
      <c r="CD395" t="str" cm="1">
        <f t="array" aca="1" ref="CD395" ca="1">eConcatenar(A395:CB395,"|")</f>
        <v>HsK6KZicw49Baq67|VSA2020-1063|3|ZAFIRO|TABASCO|VILLAHERMOSA |VILLAHERMOSA |2020-11-14|19800|X|X|400|2|0|X|X|X|X|X|X|X|X|X|X|X|X|0|GOMEZ|LOPEZ|ROSARIO IVONNE|0|X|X|CALLEJON SANTIAGO ACOPA |RANCHERIA SALOYA SEGUNDA SECCION .|X|9933179079|MIRIAM ARIAS ALVAREZ |REINA OFELIA GOMEZ LOPEZ |0|CALLEJON SANTIAGO ACOPA |X|5|0|0|X|X|X|0|5700|14100|0|0|X|2021-04-12|2022-04-01|X|X|X|0|0|S35D6D3Y9KVTQ2|X|MUJER|0|19800|0|0|0|X|X|X|X|X|VILLAHERMOSA |X|0|0|0|0</v>
      </c>
    </row>
    <row r="396" spans="1:82" x14ac:dyDescent="0.25">
      <c r="A396" t="s">
        <v>2877</v>
      </c>
      <c r="B396" t="s">
        <v>2878</v>
      </c>
      <c r="C396">
        <v>3</v>
      </c>
      <c r="D396" t="s">
        <v>1073</v>
      </c>
      <c r="E396" t="s">
        <v>359</v>
      </c>
      <c r="F396" t="s">
        <v>360</v>
      </c>
      <c r="G396" t="s">
        <v>360</v>
      </c>
      <c r="H396" t="s">
        <v>1441</v>
      </c>
      <c r="I396">
        <v>19800</v>
      </c>
      <c r="J396" t="s">
        <v>1</v>
      </c>
      <c r="K396" t="s">
        <v>1</v>
      </c>
      <c r="L396">
        <v>200</v>
      </c>
      <c r="M396">
        <v>1</v>
      </c>
      <c r="N396">
        <v>0</v>
      </c>
      <c r="O396" t="s">
        <v>1</v>
      </c>
      <c r="P396" t="s">
        <v>1</v>
      </c>
      <c r="Q396" t="s">
        <v>1</v>
      </c>
      <c r="R396" t="s">
        <v>1</v>
      </c>
      <c r="S396" t="s">
        <v>1</v>
      </c>
      <c r="T396" t="s">
        <v>1</v>
      </c>
      <c r="U396" t="s">
        <v>1</v>
      </c>
      <c r="V396" t="s">
        <v>1</v>
      </c>
      <c r="W396" t="s">
        <v>1</v>
      </c>
      <c r="X396" t="s">
        <v>1</v>
      </c>
      <c r="Y396" t="s">
        <v>1</v>
      </c>
      <c r="Z396" t="s">
        <v>1</v>
      </c>
      <c r="AA396">
        <v>0</v>
      </c>
      <c r="AB396" t="s">
        <v>15</v>
      </c>
      <c r="AC396" t="s">
        <v>2879</v>
      </c>
      <c r="AD396" t="s">
        <v>2849</v>
      </c>
      <c r="AE396">
        <v>0</v>
      </c>
      <c r="AF396" t="s">
        <v>1</v>
      </c>
      <c r="AG396" t="s">
        <v>1</v>
      </c>
      <c r="AH396" t="s">
        <v>2880</v>
      </c>
      <c r="AI396" t="s">
        <v>2881</v>
      </c>
      <c r="AJ396" t="s">
        <v>1</v>
      </c>
      <c r="AK396">
        <v>9931590303</v>
      </c>
      <c r="AL396" t="s">
        <v>2882</v>
      </c>
      <c r="AM396" t="s">
        <v>2883</v>
      </c>
      <c r="AN396">
        <v>0</v>
      </c>
      <c r="AO396" t="s">
        <v>2880</v>
      </c>
      <c r="AP396" t="s">
        <v>1</v>
      </c>
      <c r="AQ396">
        <v>5</v>
      </c>
      <c r="AR396">
        <v>0</v>
      </c>
      <c r="AS396">
        <v>0</v>
      </c>
      <c r="AT396" t="s">
        <v>1</v>
      </c>
      <c r="AU396" t="s">
        <v>1</v>
      </c>
      <c r="AV396" t="s">
        <v>1</v>
      </c>
      <c r="AW396">
        <v>0</v>
      </c>
      <c r="AX396">
        <v>3100</v>
      </c>
      <c r="AY396">
        <v>16700</v>
      </c>
      <c r="AZ396">
        <v>0</v>
      </c>
      <c r="BA396">
        <v>0</v>
      </c>
      <c r="BB396" t="s">
        <v>1</v>
      </c>
      <c r="BC396" t="s">
        <v>399</v>
      </c>
      <c r="BD396" t="s">
        <v>2124</v>
      </c>
      <c r="BE396" t="s">
        <v>1</v>
      </c>
      <c r="BF396" t="s">
        <v>1</v>
      </c>
      <c r="BG396" t="s">
        <v>1</v>
      </c>
      <c r="BH396">
        <v>0</v>
      </c>
      <c r="BI396">
        <v>0</v>
      </c>
      <c r="BJ396" t="s">
        <v>1930</v>
      </c>
      <c r="BK396" t="s">
        <v>1</v>
      </c>
      <c r="BL396" t="s">
        <v>132</v>
      </c>
      <c r="BM396">
        <v>0</v>
      </c>
      <c r="BN396">
        <v>19800</v>
      </c>
      <c r="BO396">
        <v>0</v>
      </c>
      <c r="BP396">
        <v>0</v>
      </c>
      <c r="BQ396">
        <v>0</v>
      </c>
      <c r="BR396" t="s">
        <v>1</v>
      </c>
      <c r="BS396" t="s">
        <v>1</v>
      </c>
      <c r="BT396" t="s">
        <v>1</v>
      </c>
      <c r="BU396" t="s">
        <v>1</v>
      </c>
      <c r="BV396" t="s">
        <v>1</v>
      </c>
      <c r="BW396" t="s">
        <v>360</v>
      </c>
      <c r="BX396" t="s">
        <v>1</v>
      </c>
      <c r="BY396">
        <v>0</v>
      </c>
      <c r="BZ396">
        <v>0</v>
      </c>
      <c r="CA396">
        <v>0</v>
      </c>
      <c r="CB396">
        <v>0</v>
      </c>
      <c r="CD396" t="str" cm="1">
        <f t="array" aca="1" ref="CD396" ca="1">eConcatenar(A396:CB396,"|")</f>
        <v>BHx3KZmb5xC6fj1h|VSA2020-1109|3|ZAFIRO|TABASCO|VILLAHERMOSA |VILLAHERMOSA |2020-11-18|19800|X|X|200|1|0|X|X|X|X|X|X|X|X|X|X|X|X|0|PEREZ |POUS|ENRIQUE |0|X|X|AVENIDA PAGUES LLERGO 319 |NUEVA VILLAHERMOSA CENTRO|X|9931590303|SENAIDA DE LA 0 GARCIA |SILVIA PEREZ POUS|0|AVENIDA PAGUES LLERGO 319 |X|5|0|0|X|X|X|0|3100|16700|0|0|X|2021-11-20|2021-04-12|X|X|X|0|0|S35D6D3Y9KVTQ2|X|HOMBRE|0|19800|0|0|0|X|X|X|X|X|VILLAHERMOSA |X|0|0|0|0</v>
      </c>
    </row>
    <row r="397" spans="1:82" x14ac:dyDescent="0.25">
      <c r="A397" t="s">
        <v>2884</v>
      </c>
      <c r="B397" t="s">
        <v>2885</v>
      </c>
      <c r="C397">
        <v>3</v>
      </c>
      <c r="D397" t="s">
        <v>715</v>
      </c>
      <c r="E397" t="s">
        <v>359</v>
      </c>
      <c r="F397" t="s">
        <v>360</v>
      </c>
      <c r="G397" t="s">
        <v>360</v>
      </c>
      <c r="H397" t="s">
        <v>1441</v>
      </c>
      <c r="I397">
        <v>12900</v>
      </c>
      <c r="J397" t="s">
        <v>1</v>
      </c>
      <c r="K397" t="s">
        <v>1</v>
      </c>
      <c r="L397">
        <v>400</v>
      </c>
      <c r="M397">
        <v>2</v>
      </c>
      <c r="N397">
        <v>0</v>
      </c>
      <c r="O397" t="s">
        <v>1</v>
      </c>
      <c r="P397" t="s">
        <v>1</v>
      </c>
      <c r="Q397" t="s">
        <v>1</v>
      </c>
      <c r="R397" t="s">
        <v>1</v>
      </c>
      <c r="S397" t="s">
        <v>1</v>
      </c>
      <c r="T397" t="s">
        <v>1</v>
      </c>
      <c r="U397" t="s">
        <v>1</v>
      </c>
      <c r="V397" t="s">
        <v>1</v>
      </c>
      <c r="W397" t="s">
        <v>1</v>
      </c>
      <c r="X397" t="s">
        <v>1</v>
      </c>
      <c r="Y397" t="s">
        <v>1</v>
      </c>
      <c r="Z397" t="s">
        <v>1</v>
      </c>
      <c r="AA397">
        <v>0</v>
      </c>
      <c r="AB397" t="s">
        <v>2886</v>
      </c>
      <c r="AC397" t="s">
        <v>2887</v>
      </c>
      <c r="AD397" t="s">
        <v>2888</v>
      </c>
      <c r="AE397">
        <v>0</v>
      </c>
      <c r="AF397" t="s">
        <v>1</v>
      </c>
      <c r="AG397" t="s">
        <v>1</v>
      </c>
      <c r="AH397" t="s">
        <v>2889</v>
      </c>
      <c r="AI397" t="s">
        <v>2821</v>
      </c>
      <c r="AJ397" t="s">
        <v>1</v>
      </c>
      <c r="AK397">
        <v>9341047431</v>
      </c>
      <c r="AL397" t="s">
        <v>2890</v>
      </c>
      <c r="AM397" t="s">
        <v>2891</v>
      </c>
      <c r="AN397">
        <v>0</v>
      </c>
      <c r="AO397" t="s">
        <v>2889</v>
      </c>
      <c r="AP397" t="s">
        <v>1</v>
      </c>
      <c r="AQ397">
        <v>4</v>
      </c>
      <c r="AR397">
        <v>0</v>
      </c>
      <c r="AS397">
        <v>0</v>
      </c>
      <c r="AT397" t="s">
        <v>1</v>
      </c>
      <c r="AU397" t="s">
        <v>1</v>
      </c>
      <c r="AV397" t="s">
        <v>1</v>
      </c>
      <c r="AW397">
        <v>0</v>
      </c>
      <c r="AX397">
        <v>6490</v>
      </c>
      <c r="AY397">
        <v>6410</v>
      </c>
      <c r="AZ397">
        <v>0</v>
      </c>
      <c r="BA397">
        <v>0</v>
      </c>
      <c r="BB397" t="s">
        <v>1</v>
      </c>
      <c r="BC397" t="s">
        <v>863</v>
      </c>
      <c r="BD397" t="s">
        <v>2041</v>
      </c>
      <c r="BE397" t="s">
        <v>1</v>
      </c>
      <c r="BF397" t="s">
        <v>1</v>
      </c>
      <c r="BG397" t="s">
        <v>1</v>
      </c>
      <c r="BH397">
        <v>0</v>
      </c>
      <c r="BI397">
        <v>0</v>
      </c>
      <c r="BJ397" t="s">
        <v>1930</v>
      </c>
      <c r="BK397" t="s">
        <v>1</v>
      </c>
      <c r="BL397" t="s">
        <v>1138</v>
      </c>
      <c r="BM397">
        <v>0</v>
      </c>
      <c r="BN397">
        <v>12900</v>
      </c>
      <c r="BO397">
        <v>0</v>
      </c>
      <c r="BP397">
        <v>0</v>
      </c>
      <c r="BQ397">
        <v>0</v>
      </c>
      <c r="BR397" t="s">
        <v>1</v>
      </c>
      <c r="BS397" t="s">
        <v>1</v>
      </c>
      <c r="BT397" t="s">
        <v>1</v>
      </c>
      <c r="BU397" t="s">
        <v>1</v>
      </c>
      <c r="BV397" t="s">
        <v>1</v>
      </c>
      <c r="BW397" t="s">
        <v>360</v>
      </c>
      <c r="BX397" t="s">
        <v>1</v>
      </c>
      <c r="BY397">
        <v>0</v>
      </c>
      <c r="BZ397">
        <v>0</v>
      </c>
      <c r="CA397">
        <v>0</v>
      </c>
      <c r="CB397">
        <v>0</v>
      </c>
      <c r="CD397" t="str" cm="1">
        <f t="array" aca="1" ref="CD397" ca="1">eConcatenar(A397:CB397,"|")</f>
        <v>wAsFRZnmhbMXCOpF|VSA2020-1114|3|IMPERIAL DE LUJO|TABASCO|VILLAHERMOSA |VILLAHERMOSA |2020-11-18|12900|X|X|400|2|0|X|X|X|X|X|X|X|X|X|X|X|X|0|SARAO|MORALEZ|BRIGIDA|0|X|X|LA VENTA MANZANA 2 EDIFICIO 6 CASA 1|FRACCIONAMIENTO POMOCA NACAJUCA |X|9341047431|DAVID DE LA CRUZ SARAO|LILIANA DE LA CRUZ SARAO|0|LA VENTA MANZANA 2 EDIFICIO 6 CASA 1|X|4|0|0|X|X|X|0|6490|6410|0|0|X|2021-03-12|2022-03-01|X|X|X|0|0|S35D6D3Y9KVTQ2|X|MUJER|0|12900|0|0|0|X|X|X|X|X|VILLAHERMOSA |X|0|0|0|0</v>
      </c>
    </row>
    <row r="398" spans="1:82" x14ac:dyDescent="0.25">
      <c r="A398" t="s">
        <v>2892</v>
      </c>
      <c r="B398" t="s">
        <v>2893</v>
      </c>
      <c r="C398">
        <v>3</v>
      </c>
      <c r="D398" t="s">
        <v>715</v>
      </c>
      <c r="E398" t="s">
        <v>359</v>
      </c>
      <c r="F398" t="s">
        <v>360</v>
      </c>
      <c r="G398" t="s">
        <v>360</v>
      </c>
      <c r="H398" t="s">
        <v>1441</v>
      </c>
      <c r="I398">
        <v>12900</v>
      </c>
      <c r="J398" t="s">
        <v>1</v>
      </c>
      <c r="K398" t="s">
        <v>1</v>
      </c>
      <c r="L398">
        <v>200</v>
      </c>
      <c r="M398">
        <v>1</v>
      </c>
      <c r="N398">
        <v>0</v>
      </c>
      <c r="O398" t="s">
        <v>1</v>
      </c>
      <c r="P398" t="s">
        <v>1</v>
      </c>
      <c r="Q398" t="s">
        <v>1</v>
      </c>
      <c r="R398" t="s">
        <v>1</v>
      </c>
      <c r="S398" t="s">
        <v>1</v>
      </c>
      <c r="T398" t="s">
        <v>1</v>
      </c>
      <c r="U398" t="s">
        <v>1</v>
      </c>
      <c r="V398" t="s">
        <v>1</v>
      </c>
      <c r="W398" t="s">
        <v>1</v>
      </c>
      <c r="X398" t="s">
        <v>1</v>
      </c>
      <c r="Y398" t="s">
        <v>1</v>
      </c>
      <c r="Z398" t="s">
        <v>1</v>
      </c>
      <c r="AA398">
        <v>0</v>
      </c>
      <c r="AB398" t="s">
        <v>543</v>
      </c>
      <c r="AC398" t="s">
        <v>227</v>
      </c>
      <c r="AD398" t="s">
        <v>2894</v>
      </c>
      <c r="AE398">
        <v>0</v>
      </c>
      <c r="AF398" t="s">
        <v>1</v>
      </c>
      <c r="AG398" t="s">
        <v>1</v>
      </c>
      <c r="AH398" t="s">
        <v>2895</v>
      </c>
      <c r="AI398" t="s">
        <v>2160</v>
      </c>
      <c r="AJ398" t="s">
        <v>1</v>
      </c>
      <c r="AK398">
        <v>9933324458</v>
      </c>
      <c r="AL398" t="s">
        <v>2896</v>
      </c>
      <c r="AM398" t="s">
        <v>2897</v>
      </c>
      <c r="AN398">
        <v>0</v>
      </c>
      <c r="AO398" t="s">
        <v>2895</v>
      </c>
      <c r="AP398" t="s">
        <v>1</v>
      </c>
      <c r="AQ398">
        <v>5</v>
      </c>
      <c r="AR398">
        <v>0</v>
      </c>
      <c r="AS398">
        <v>0</v>
      </c>
      <c r="AT398" t="s">
        <v>1</v>
      </c>
      <c r="AU398" t="s">
        <v>1</v>
      </c>
      <c r="AV398" t="s">
        <v>1</v>
      </c>
      <c r="AW398">
        <v>0</v>
      </c>
      <c r="AX398">
        <v>4740</v>
      </c>
      <c r="AY398">
        <v>8160</v>
      </c>
      <c r="AZ398">
        <v>0</v>
      </c>
      <c r="BA398">
        <v>0</v>
      </c>
      <c r="BB398" t="s">
        <v>1</v>
      </c>
      <c r="BC398" t="s">
        <v>2898</v>
      </c>
      <c r="BD398" t="s">
        <v>2899</v>
      </c>
      <c r="BE398" t="s">
        <v>1</v>
      </c>
      <c r="BF398" t="s">
        <v>1</v>
      </c>
      <c r="BG398" t="s">
        <v>1</v>
      </c>
      <c r="BH398">
        <v>0</v>
      </c>
      <c r="BI398">
        <v>0</v>
      </c>
      <c r="BJ398" t="s">
        <v>1930</v>
      </c>
      <c r="BK398" t="s">
        <v>1</v>
      </c>
      <c r="BL398" t="s">
        <v>1138</v>
      </c>
      <c r="BM398">
        <v>0</v>
      </c>
      <c r="BN398">
        <v>12900</v>
      </c>
      <c r="BO398">
        <v>0</v>
      </c>
      <c r="BP398">
        <v>0</v>
      </c>
      <c r="BQ398">
        <v>0</v>
      </c>
      <c r="BR398" t="s">
        <v>1</v>
      </c>
      <c r="BS398" t="s">
        <v>1</v>
      </c>
      <c r="BT398" t="s">
        <v>1</v>
      </c>
      <c r="BU398" t="s">
        <v>1</v>
      </c>
      <c r="BV398" t="s">
        <v>1</v>
      </c>
      <c r="BW398" t="s">
        <v>360</v>
      </c>
      <c r="BX398" t="s">
        <v>1</v>
      </c>
      <c r="BY398">
        <v>0</v>
      </c>
      <c r="BZ398">
        <v>0</v>
      </c>
      <c r="CA398">
        <v>0</v>
      </c>
      <c r="CB398">
        <v>0</v>
      </c>
      <c r="CD398" t="str" cm="1">
        <f t="array" aca="1" ref="CD398" ca="1">eConcatenar(A398:CB398,"|")</f>
        <v>SKAEMTykyyufkcO3|VSA2020-1115|3|IMPERIAL DE LUJO|TABASCO|VILLAHERMOSA |VILLAHERMOSA |2020-11-18|12900|X|X|200|1|0|X|X|X|X|X|X|X|X|X|X|X|X|0|ARIAS |CORDOVA|JOVA |0|X|X|ANDADOR SIMON ZARLAT MANZANA 12 LOTE 7|COLONIA CARLOS A MADRAZO |X|9933324458|ARMANDO HEREDIA ARIAS|SARAY HEREDIA ARIAS |0|ANDADOR SIMON ZARLAT MANZANA 12 LOTE 7|X|5|0|0|X|X|X|0|4740|8160|0|0|X|2021-02-10|2021-10-16|X|X|X|0|0|S35D6D3Y9KVTQ2|X|MUJER|0|12900|0|0|0|X|X|X|X|X|VILLAHERMOSA |X|0|0|0|0</v>
      </c>
    </row>
    <row r="399" spans="1:82" x14ac:dyDescent="0.25">
      <c r="A399" t="s">
        <v>2900</v>
      </c>
      <c r="B399" t="s">
        <v>2901</v>
      </c>
      <c r="C399">
        <v>3</v>
      </c>
      <c r="D399" t="s">
        <v>1073</v>
      </c>
      <c r="E399" t="s">
        <v>359</v>
      </c>
      <c r="F399" t="s">
        <v>360</v>
      </c>
      <c r="G399" t="s">
        <v>360</v>
      </c>
      <c r="H399" t="s">
        <v>1441</v>
      </c>
      <c r="I399">
        <v>19800</v>
      </c>
      <c r="J399" t="s">
        <v>1</v>
      </c>
      <c r="K399" t="s">
        <v>1</v>
      </c>
      <c r="L399">
        <v>100</v>
      </c>
      <c r="M399">
        <v>0</v>
      </c>
      <c r="N399">
        <v>0</v>
      </c>
      <c r="O399" t="s">
        <v>1</v>
      </c>
      <c r="P399" t="s">
        <v>1</v>
      </c>
      <c r="Q399" t="s">
        <v>1</v>
      </c>
      <c r="R399" t="s">
        <v>1</v>
      </c>
      <c r="S399" t="s">
        <v>1</v>
      </c>
      <c r="T399" t="s">
        <v>1</v>
      </c>
      <c r="U399" t="s">
        <v>1</v>
      </c>
      <c r="V399" t="s">
        <v>1</v>
      </c>
      <c r="W399" t="s">
        <v>1</v>
      </c>
      <c r="X399" t="s">
        <v>1</v>
      </c>
      <c r="Y399" t="s">
        <v>1</v>
      </c>
      <c r="Z399" t="s">
        <v>1</v>
      </c>
      <c r="AA399">
        <v>0</v>
      </c>
      <c r="AB399" t="s">
        <v>2902</v>
      </c>
      <c r="AC399" t="s">
        <v>2903</v>
      </c>
      <c r="AD399" t="s">
        <v>1958</v>
      </c>
      <c r="AE399">
        <v>0</v>
      </c>
      <c r="AF399" t="s">
        <v>1</v>
      </c>
      <c r="AG399" t="s">
        <v>1</v>
      </c>
      <c r="AH399" t="s">
        <v>2904</v>
      </c>
      <c r="AI399" t="s">
        <v>2905</v>
      </c>
      <c r="AJ399" t="s">
        <v>1</v>
      </c>
      <c r="AK399">
        <v>9933457487</v>
      </c>
      <c r="AL399" t="s">
        <v>2906</v>
      </c>
      <c r="AM399" t="s">
        <v>2907</v>
      </c>
      <c r="AN399">
        <v>0</v>
      </c>
      <c r="AO399" t="s">
        <v>2904</v>
      </c>
      <c r="AP399" t="s">
        <v>1</v>
      </c>
      <c r="AQ399">
        <v>4</v>
      </c>
      <c r="AR399">
        <v>0</v>
      </c>
      <c r="AS399">
        <v>0</v>
      </c>
      <c r="AT399" t="s">
        <v>1</v>
      </c>
      <c r="AU399" t="s">
        <v>1</v>
      </c>
      <c r="AV399" t="s">
        <v>1</v>
      </c>
      <c r="AW399">
        <v>0</v>
      </c>
      <c r="AX399">
        <v>11700</v>
      </c>
      <c r="AY399">
        <v>8100</v>
      </c>
      <c r="AZ399">
        <v>0</v>
      </c>
      <c r="BA399">
        <v>0</v>
      </c>
      <c r="BB399" t="s">
        <v>1</v>
      </c>
      <c r="BC399" t="s">
        <v>312</v>
      </c>
      <c r="BD399" t="s">
        <v>147</v>
      </c>
      <c r="BE399" t="s">
        <v>1</v>
      </c>
      <c r="BF399" t="s">
        <v>1</v>
      </c>
      <c r="BG399" t="s">
        <v>1</v>
      </c>
      <c r="BH399">
        <v>0</v>
      </c>
      <c r="BI399">
        <v>0</v>
      </c>
      <c r="BJ399" t="s">
        <v>1930</v>
      </c>
      <c r="BK399" t="s">
        <v>1</v>
      </c>
      <c r="BL399" t="s">
        <v>1138</v>
      </c>
      <c r="BM399">
        <v>0</v>
      </c>
      <c r="BN399">
        <v>19800</v>
      </c>
      <c r="BO399">
        <v>0</v>
      </c>
      <c r="BP399">
        <v>0</v>
      </c>
      <c r="BQ399">
        <v>0</v>
      </c>
      <c r="BR399" t="s">
        <v>1</v>
      </c>
      <c r="BS399" t="s">
        <v>1</v>
      </c>
      <c r="BT399" t="s">
        <v>1</v>
      </c>
      <c r="BU399" t="s">
        <v>1</v>
      </c>
      <c r="BV399" t="s">
        <v>1</v>
      </c>
      <c r="BW399" t="s">
        <v>360</v>
      </c>
      <c r="BX399" t="s">
        <v>1</v>
      </c>
      <c r="BY399">
        <v>0</v>
      </c>
      <c r="BZ399">
        <v>0</v>
      </c>
      <c r="CA399">
        <v>0</v>
      </c>
      <c r="CB399">
        <v>0</v>
      </c>
      <c r="CD399" t="str" cm="1">
        <f t="array" aca="1" ref="CD399" ca="1">eConcatenar(A399:CB399,"|")</f>
        <v>zMeTcsTHXwAjIQEo|VSA2020-1120|3|ZAFIRO|TABASCO|VILLAHERMOSA |VILLAHERMOSA |2020-11-18|19800|X|X|100|0|0|X|X|X|X|X|X|X|X|X|X|X|X|0|MIRANDA|ZARRAZAGA|MARIA CRUZ |0|X|X|ANDADOR GUADALUPE VICTORIA MANZANA 1 LOTE 22.|CARLOS  A MADRAZO|X|9933457487|ISELA DE LA CRUZ MIRANDA |GRISELDA DE LA CRUZ MIRANDA |0|ANDADOR GUADALUPE VICTORIA MANZANA 1 LOTE 22.|X|4|0|0|X|X|X|0|11700|8100|0|0|X|2021-12-24|2021-12-31|X|X|X|0|0|S35D6D3Y9KVTQ2|X|MUJER|0|19800|0|0|0|X|X|X|X|X|VILLAHERMOSA |X|0|0|0|0</v>
      </c>
    </row>
    <row r="400" spans="1:82" x14ac:dyDescent="0.25">
      <c r="A400" t="s">
        <v>2908</v>
      </c>
      <c r="B400" t="s">
        <v>2909</v>
      </c>
      <c r="C400">
        <v>3</v>
      </c>
      <c r="D400" t="s">
        <v>715</v>
      </c>
      <c r="E400" t="s">
        <v>359</v>
      </c>
      <c r="F400" t="s">
        <v>360</v>
      </c>
      <c r="G400" t="s">
        <v>360</v>
      </c>
      <c r="H400" t="s">
        <v>2910</v>
      </c>
      <c r="I400">
        <v>12900</v>
      </c>
      <c r="J400" t="s">
        <v>1</v>
      </c>
      <c r="K400" t="s">
        <v>1</v>
      </c>
      <c r="L400">
        <v>200</v>
      </c>
      <c r="M400">
        <v>1</v>
      </c>
      <c r="N400">
        <v>0</v>
      </c>
      <c r="O400" t="s">
        <v>1</v>
      </c>
      <c r="P400" t="s">
        <v>1</v>
      </c>
      <c r="Q400" t="s">
        <v>1</v>
      </c>
      <c r="R400" t="s">
        <v>1</v>
      </c>
      <c r="S400" t="s">
        <v>1</v>
      </c>
      <c r="T400" t="s">
        <v>1</v>
      </c>
      <c r="U400" t="s">
        <v>1</v>
      </c>
      <c r="V400" t="s">
        <v>1</v>
      </c>
      <c r="W400" t="s">
        <v>1</v>
      </c>
      <c r="X400" t="s">
        <v>1</v>
      </c>
      <c r="Y400" t="s">
        <v>1</v>
      </c>
      <c r="Z400" t="s">
        <v>1</v>
      </c>
      <c r="AA400">
        <v>0</v>
      </c>
      <c r="AB400" t="s">
        <v>1504</v>
      </c>
      <c r="AC400" t="s">
        <v>1029</v>
      </c>
      <c r="AD400" t="s">
        <v>2911</v>
      </c>
      <c r="AE400">
        <v>0</v>
      </c>
      <c r="AF400" t="s">
        <v>1</v>
      </c>
      <c r="AG400" t="s">
        <v>1</v>
      </c>
      <c r="AH400" t="s">
        <v>2912</v>
      </c>
      <c r="AI400" t="s">
        <v>2029</v>
      </c>
      <c r="AJ400" t="s">
        <v>1</v>
      </c>
      <c r="AK400">
        <v>9932996237</v>
      </c>
      <c r="AL400" t="s">
        <v>2913</v>
      </c>
      <c r="AM400" t="s">
        <v>2914</v>
      </c>
      <c r="AN400">
        <v>0</v>
      </c>
      <c r="AO400" t="s">
        <v>2912</v>
      </c>
      <c r="AP400" t="s">
        <v>1</v>
      </c>
      <c r="AQ400">
        <v>4</v>
      </c>
      <c r="AR400">
        <v>0</v>
      </c>
      <c r="AS400">
        <v>0</v>
      </c>
      <c r="AT400" t="s">
        <v>1</v>
      </c>
      <c r="AU400" t="s">
        <v>1</v>
      </c>
      <c r="AV400" t="s">
        <v>1</v>
      </c>
      <c r="AW400">
        <v>0</v>
      </c>
      <c r="AX400">
        <v>5090</v>
      </c>
      <c r="AY400">
        <v>7810</v>
      </c>
      <c r="AZ400">
        <v>0</v>
      </c>
      <c r="BA400">
        <v>0</v>
      </c>
      <c r="BB400" t="s">
        <v>1</v>
      </c>
      <c r="BC400" t="s">
        <v>863</v>
      </c>
      <c r="BD400" t="s">
        <v>312</v>
      </c>
      <c r="BE400" t="s">
        <v>1</v>
      </c>
      <c r="BF400" t="s">
        <v>1</v>
      </c>
      <c r="BG400" t="s">
        <v>1</v>
      </c>
      <c r="BH400">
        <v>0</v>
      </c>
      <c r="BI400">
        <v>0</v>
      </c>
      <c r="BJ400" t="s">
        <v>1930</v>
      </c>
      <c r="BK400" t="s">
        <v>1</v>
      </c>
      <c r="BL400" t="s">
        <v>132</v>
      </c>
      <c r="BM400">
        <v>0</v>
      </c>
      <c r="BN400">
        <v>12900</v>
      </c>
      <c r="BO400">
        <v>0</v>
      </c>
      <c r="BP400">
        <v>0</v>
      </c>
      <c r="BQ400">
        <v>0</v>
      </c>
      <c r="BR400" t="s">
        <v>1</v>
      </c>
      <c r="BS400" t="s">
        <v>1</v>
      </c>
      <c r="BT400" t="s">
        <v>1</v>
      </c>
      <c r="BU400" t="s">
        <v>1</v>
      </c>
      <c r="BV400" t="s">
        <v>1</v>
      </c>
      <c r="BW400" t="s">
        <v>360</v>
      </c>
      <c r="BX400" t="s">
        <v>1</v>
      </c>
      <c r="BY400">
        <v>0</v>
      </c>
      <c r="BZ400">
        <v>0</v>
      </c>
      <c r="CA400">
        <v>0</v>
      </c>
      <c r="CB400">
        <v>0</v>
      </c>
      <c r="CD400" t="str" cm="1">
        <f t="array" aca="1" ref="CD400" ca="1">eConcatenar(A400:CB400,"|")</f>
        <v>NhNOXGmIlmiOLu0s|VSA2020-1134|3|IMPERIAL DE LUJO|TABASCO|VILLAHERMOSA |VILLAHERMOSA |2020-11-19|12900|X|X|200|1|0|X|X|X|X|X|X|X|X|X|X|X|X|0|LLERGO |LEON|ALFREDO|0|X|X|CARRETERA PRINCIPAL 4 |RANCHERIA IXTACOMITAN SEGUNDA SECCION |X|9932996237|IRMA CASTILLO GOMEZ |DAVID LLERGO CASTILLO|0|CARRETERA PRINCIPAL 4 |X|4|0|0|X|X|X|0|5090|7810|0|0|X|2021-03-12|2021-12-24|X|X|X|0|0|S35D6D3Y9KVTQ2|X|HOMBRE|0|12900|0|0|0|X|X|X|X|X|VILLAHERMOSA |X|0|0|0|0</v>
      </c>
    </row>
    <row r="401" spans="1:82" x14ac:dyDescent="0.25">
      <c r="A401" t="s">
        <v>2915</v>
      </c>
      <c r="B401" t="s">
        <v>2916</v>
      </c>
      <c r="C401">
        <v>3</v>
      </c>
      <c r="D401" t="s">
        <v>715</v>
      </c>
      <c r="E401" t="s">
        <v>359</v>
      </c>
      <c r="F401" t="s">
        <v>360</v>
      </c>
      <c r="G401" t="s">
        <v>360</v>
      </c>
      <c r="H401" t="s">
        <v>2910</v>
      </c>
      <c r="I401">
        <v>12900</v>
      </c>
      <c r="J401" t="s">
        <v>1</v>
      </c>
      <c r="K401" t="s">
        <v>1</v>
      </c>
      <c r="L401">
        <v>100</v>
      </c>
      <c r="M401">
        <v>0</v>
      </c>
      <c r="N401">
        <v>0</v>
      </c>
      <c r="O401" t="s">
        <v>1</v>
      </c>
      <c r="P401" t="s">
        <v>1</v>
      </c>
      <c r="Q401" t="s">
        <v>1</v>
      </c>
      <c r="R401" t="s">
        <v>1</v>
      </c>
      <c r="S401" t="s">
        <v>1</v>
      </c>
      <c r="T401" t="s">
        <v>1</v>
      </c>
      <c r="U401" t="s">
        <v>1</v>
      </c>
      <c r="V401" t="s">
        <v>1</v>
      </c>
      <c r="W401" t="s">
        <v>1</v>
      </c>
      <c r="X401" t="s">
        <v>1</v>
      </c>
      <c r="Y401" t="s">
        <v>1</v>
      </c>
      <c r="Z401" t="s">
        <v>1</v>
      </c>
      <c r="AA401">
        <v>0</v>
      </c>
      <c r="AB401" t="s">
        <v>407</v>
      </c>
      <c r="AC401" t="s">
        <v>1181</v>
      </c>
      <c r="AD401" t="s">
        <v>2338</v>
      </c>
      <c r="AE401">
        <v>0</v>
      </c>
      <c r="AF401" t="s">
        <v>1</v>
      </c>
      <c r="AG401" t="s">
        <v>1</v>
      </c>
      <c r="AH401" t="s">
        <v>2917</v>
      </c>
      <c r="AI401" t="s">
        <v>2160</v>
      </c>
      <c r="AJ401" t="s">
        <v>1</v>
      </c>
      <c r="AK401">
        <v>9933025495</v>
      </c>
      <c r="AL401" t="s">
        <v>2918</v>
      </c>
      <c r="AM401" t="s">
        <v>2919</v>
      </c>
      <c r="AN401">
        <v>0</v>
      </c>
      <c r="AO401" t="s">
        <v>2917</v>
      </c>
      <c r="AP401" t="s">
        <v>1</v>
      </c>
      <c r="AQ401">
        <v>4</v>
      </c>
      <c r="AR401">
        <v>0</v>
      </c>
      <c r="AS401">
        <v>0</v>
      </c>
      <c r="AT401" t="s">
        <v>1</v>
      </c>
      <c r="AU401" t="s">
        <v>1</v>
      </c>
      <c r="AV401" t="s">
        <v>1</v>
      </c>
      <c r="AW401">
        <v>0</v>
      </c>
      <c r="AX401">
        <v>3290</v>
      </c>
      <c r="AY401">
        <v>9610</v>
      </c>
      <c r="AZ401">
        <v>0</v>
      </c>
      <c r="BA401">
        <v>0</v>
      </c>
      <c r="BB401" t="s">
        <v>1</v>
      </c>
      <c r="BC401" t="s">
        <v>312</v>
      </c>
      <c r="BD401" t="s">
        <v>147</v>
      </c>
      <c r="BE401" t="s">
        <v>1</v>
      </c>
      <c r="BF401" t="s">
        <v>1</v>
      </c>
      <c r="BG401" t="s">
        <v>1</v>
      </c>
      <c r="BH401">
        <v>0</v>
      </c>
      <c r="BI401">
        <v>0</v>
      </c>
      <c r="BJ401" t="s">
        <v>1930</v>
      </c>
      <c r="BK401" t="s">
        <v>1</v>
      </c>
      <c r="BL401" t="s">
        <v>1138</v>
      </c>
      <c r="BM401">
        <v>0</v>
      </c>
      <c r="BN401">
        <v>12900</v>
      </c>
      <c r="BO401">
        <v>0</v>
      </c>
      <c r="BP401">
        <v>0</v>
      </c>
      <c r="BQ401">
        <v>0</v>
      </c>
      <c r="BR401" t="s">
        <v>1</v>
      </c>
      <c r="BS401" t="s">
        <v>1</v>
      </c>
      <c r="BT401" t="s">
        <v>1</v>
      </c>
      <c r="BU401" t="s">
        <v>1</v>
      </c>
      <c r="BV401" t="s">
        <v>1</v>
      </c>
      <c r="BW401" t="s">
        <v>360</v>
      </c>
      <c r="BX401" t="s">
        <v>1</v>
      </c>
      <c r="BY401">
        <v>0</v>
      </c>
      <c r="BZ401">
        <v>0</v>
      </c>
      <c r="CA401">
        <v>0</v>
      </c>
      <c r="CB401">
        <v>0</v>
      </c>
      <c r="CD401" t="str" cm="1">
        <f t="array" aca="1" ref="CD401" ca="1">eConcatenar(A401:CB401,"|")</f>
        <v>HtYjfmytrvZRyPdB|VSA2020-1136|3|IMPERIAL DE LUJO|TABASCO|VILLAHERMOSA |VILLAHERMOSA |2020-11-19|12900|X|X|100|0|0|X|X|X|X|X|X|X|X|X|X|X|X|0|LOPEZ |DIAZ |ROSA MARIA |0|X|X|ANDADOR DE LOS TRABAJADORES MANZANA 10 LOTE 3|COLONIA CARLOS A MADRAZO |X|9933025495|KARINA REYES LOPEZ |EFREN GONZALEZ |0|ANDADOR DE LOS TRABAJADORES MANZANA 10 LOTE 3|X|4|0|0|X|X|X|0|3290|9610|0|0|X|2021-12-24|2021-12-31|X|X|X|0|0|S35D6D3Y9KVTQ2|X|MUJER|0|12900|0|0|0|X|X|X|X|X|VILLAHERMOSA |X|0|0|0|0</v>
      </c>
    </row>
    <row r="402" spans="1:82" x14ac:dyDescent="0.25">
      <c r="A402" t="s">
        <v>2920</v>
      </c>
      <c r="B402" t="s">
        <v>2921</v>
      </c>
      <c r="C402">
        <v>3</v>
      </c>
      <c r="D402" t="s">
        <v>715</v>
      </c>
      <c r="E402" t="s">
        <v>359</v>
      </c>
      <c r="F402" t="s">
        <v>360</v>
      </c>
      <c r="G402" t="s">
        <v>360</v>
      </c>
      <c r="H402" t="s">
        <v>2910</v>
      </c>
      <c r="I402">
        <v>12900</v>
      </c>
      <c r="J402" t="s">
        <v>1</v>
      </c>
      <c r="K402" t="s">
        <v>1</v>
      </c>
      <c r="L402">
        <v>200</v>
      </c>
      <c r="M402">
        <v>1</v>
      </c>
      <c r="N402">
        <v>0</v>
      </c>
      <c r="O402" t="s">
        <v>1</v>
      </c>
      <c r="P402" t="s">
        <v>1</v>
      </c>
      <c r="Q402" t="s">
        <v>1</v>
      </c>
      <c r="R402" t="s">
        <v>1</v>
      </c>
      <c r="S402" t="s">
        <v>1</v>
      </c>
      <c r="T402" t="s">
        <v>1</v>
      </c>
      <c r="U402" t="s">
        <v>1</v>
      </c>
      <c r="V402" t="s">
        <v>1</v>
      </c>
      <c r="W402" t="s">
        <v>1</v>
      </c>
      <c r="X402" t="s">
        <v>1</v>
      </c>
      <c r="Y402" t="s">
        <v>1</v>
      </c>
      <c r="Z402" t="s">
        <v>1</v>
      </c>
      <c r="AA402">
        <v>0</v>
      </c>
      <c r="AB402" t="s">
        <v>2922</v>
      </c>
      <c r="AC402" t="s">
        <v>217</v>
      </c>
      <c r="AD402" t="s">
        <v>373</v>
      </c>
      <c r="AE402">
        <v>0</v>
      </c>
      <c r="AF402" t="s">
        <v>1</v>
      </c>
      <c r="AG402" t="s">
        <v>1</v>
      </c>
      <c r="AH402" t="s">
        <v>2923</v>
      </c>
      <c r="AI402" t="s">
        <v>2748</v>
      </c>
      <c r="AJ402" t="s">
        <v>1</v>
      </c>
      <c r="AK402">
        <v>99326833</v>
      </c>
      <c r="AL402" t="s">
        <v>2924</v>
      </c>
      <c r="AM402" t="s">
        <v>2925</v>
      </c>
      <c r="AN402">
        <v>0</v>
      </c>
      <c r="AO402" t="s">
        <v>2923</v>
      </c>
      <c r="AP402" t="s">
        <v>1</v>
      </c>
      <c r="AQ402">
        <v>4</v>
      </c>
      <c r="AR402">
        <v>0</v>
      </c>
      <c r="AS402">
        <v>0</v>
      </c>
      <c r="AT402" t="s">
        <v>1</v>
      </c>
      <c r="AU402" t="s">
        <v>1</v>
      </c>
      <c r="AV402" t="s">
        <v>1</v>
      </c>
      <c r="AW402">
        <v>0</v>
      </c>
      <c r="AX402">
        <v>6480</v>
      </c>
      <c r="AY402">
        <v>6420</v>
      </c>
      <c r="AZ402">
        <v>0</v>
      </c>
      <c r="BA402">
        <v>0</v>
      </c>
      <c r="BB402" t="s">
        <v>1</v>
      </c>
      <c r="BC402" t="s">
        <v>1954</v>
      </c>
      <c r="BD402" t="s">
        <v>147</v>
      </c>
      <c r="BE402" t="s">
        <v>1</v>
      </c>
      <c r="BF402" t="s">
        <v>1</v>
      </c>
      <c r="BG402" t="s">
        <v>1</v>
      </c>
      <c r="BH402">
        <v>0</v>
      </c>
      <c r="BI402">
        <v>0</v>
      </c>
      <c r="BJ402" t="s">
        <v>1930</v>
      </c>
      <c r="BK402" t="s">
        <v>1</v>
      </c>
      <c r="BL402" t="s">
        <v>1138</v>
      </c>
      <c r="BM402">
        <v>0</v>
      </c>
      <c r="BN402">
        <v>12900</v>
      </c>
      <c r="BO402">
        <v>0</v>
      </c>
      <c r="BP402">
        <v>0</v>
      </c>
      <c r="BQ402">
        <v>0</v>
      </c>
      <c r="BR402" t="s">
        <v>1</v>
      </c>
      <c r="BS402" t="s">
        <v>1</v>
      </c>
      <c r="BT402" t="s">
        <v>1</v>
      </c>
      <c r="BU402" t="s">
        <v>1</v>
      </c>
      <c r="BV402" t="s">
        <v>1</v>
      </c>
      <c r="BW402" t="s">
        <v>360</v>
      </c>
      <c r="BX402" t="s">
        <v>1</v>
      </c>
      <c r="BY402">
        <v>0</v>
      </c>
      <c r="BZ402">
        <v>0</v>
      </c>
      <c r="CA402">
        <v>0</v>
      </c>
      <c r="CB402">
        <v>0</v>
      </c>
      <c r="CD402" t="str" cm="1">
        <f t="array" aca="1" ref="CD402" ca="1">eConcatenar(A402:CB402,"|")</f>
        <v>8zzjRgTTU65GS6mQ|VSA2020-1142|3|IMPERIAL DE LUJO|TABASCO|VILLAHERMOSA |VILLAHERMOSA |2020-11-19|12900|X|X|200|1|0|X|X|X|X|X|X|X|X|X|X|X|X|0|GARDUZA|HERNANDEZ|GUADALUPE |0|X|X|IGNACIO COMONFORD 210 INTERIOR 5 |COLONIA TAMULTE |X|99326833|SEBASTIAN GARCIA RODRIGUEZ |JORGE ESQUIVEL GARDUZA |0|IGNACIO COMONFORD 210 INTERIOR 5 |X|4|0|0|X|X|X|0|6480|6420|0|0|X|2021-12-17|2021-12-31|X|X|X|0|0|S35D6D3Y9KVTQ2|X|MUJER|0|12900|0|0|0|X|X|X|X|X|VILLAHERMOSA |X|0|0|0|0</v>
      </c>
    </row>
    <row r="403" spans="1:82" x14ac:dyDescent="0.25">
      <c r="A403" t="s">
        <v>2926</v>
      </c>
      <c r="B403" t="s">
        <v>2927</v>
      </c>
      <c r="C403">
        <v>3</v>
      </c>
      <c r="D403" t="s">
        <v>715</v>
      </c>
      <c r="E403" t="s">
        <v>359</v>
      </c>
      <c r="F403" t="s">
        <v>360</v>
      </c>
      <c r="G403" t="s">
        <v>360</v>
      </c>
      <c r="H403" t="s">
        <v>2928</v>
      </c>
      <c r="I403">
        <v>12900</v>
      </c>
      <c r="J403" t="s">
        <v>1</v>
      </c>
      <c r="K403" t="s">
        <v>1</v>
      </c>
      <c r="L403">
        <v>100</v>
      </c>
      <c r="M403">
        <v>0</v>
      </c>
      <c r="N403">
        <v>0</v>
      </c>
      <c r="O403" t="s">
        <v>1</v>
      </c>
      <c r="P403" t="s">
        <v>1</v>
      </c>
      <c r="Q403" t="s">
        <v>1</v>
      </c>
      <c r="R403" t="s">
        <v>1</v>
      </c>
      <c r="S403" t="s">
        <v>1</v>
      </c>
      <c r="T403" t="s">
        <v>1</v>
      </c>
      <c r="U403" t="s">
        <v>1</v>
      </c>
      <c r="V403" t="s">
        <v>1</v>
      </c>
      <c r="W403" t="s">
        <v>1</v>
      </c>
      <c r="X403" t="s">
        <v>1</v>
      </c>
      <c r="Y403" t="s">
        <v>1</v>
      </c>
      <c r="Z403" t="s">
        <v>1</v>
      </c>
      <c r="AA403">
        <v>0</v>
      </c>
      <c r="AB403" t="s">
        <v>1504</v>
      </c>
      <c r="AC403" t="s">
        <v>1029</v>
      </c>
      <c r="AD403" t="s">
        <v>2929</v>
      </c>
      <c r="AE403">
        <v>0</v>
      </c>
      <c r="AF403" t="s">
        <v>1</v>
      </c>
      <c r="AG403" t="s">
        <v>1</v>
      </c>
      <c r="AH403" t="s">
        <v>2930</v>
      </c>
      <c r="AI403" t="s">
        <v>2029</v>
      </c>
      <c r="AJ403" t="s">
        <v>1</v>
      </c>
      <c r="AK403">
        <v>9932245736</v>
      </c>
      <c r="AL403" t="s">
        <v>2931</v>
      </c>
      <c r="AM403" t="s">
        <v>2932</v>
      </c>
      <c r="AN403">
        <v>0</v>
      </c>
      <c r="AO403" t="s">
        <v>2930</v>
      </c>
      <c r="AP403" t="s">
        <v>1</v>
      </c>
      <c r="AQ403">
        <v>4</v>
      </c>
      <c r="AR403">
        <v>0</v>
      </c>
      <c r="AS403">
        <v>0</v>
      </c>
      <c r="AT403" t="s">
        <v>1</v>
      </c>
      <c r="AU403" t="s">
        <v>1</v>
      </c>
      <c r="AV403" t="s">
        <v>1</v>
      </c>
      <c r="AW403">
        <v>0</v>
      </c>
      <c r="AX403">
        <v>7190</v>
      </c>
      <c r="AY403">
        <v>5710</v>
      </c>
      <c r="AZ403">
        <v>0</v>
      </c>
      <c r="BA403">
        <v>0</v>
      </c>
      <c r="BB403" t="s">
        <v>1</v>
      </c>
      <c r="BC403" t="s">
        <v>312</v>
      </c>
      <c r="BD403" t="s">
        <v>147</v>
      </c>
      <c r="BE403" t="s">
        <v>1</v>
      </c>
      <c r="BF403" t="s">
        <v>1</v>
      </c>
      <c r="BG403" t="s">
        <v>1</v>
      </c>
      <c r="BH403">
        <v>0</v>
      </c>
      <c r="BI403">
        <v>0</v>
      </c>
      <c r="BJ403" t="s">
        <v>1930</v>
      </c>
      <c r="BK403" t="s">
        <v>1</v>
      </c>
      <c r="BL403" t="s">
        <v>1138</v>
      </c>
      <c r="BM403">
        <v>0</v>
      </c>
      <c r="BN403">
        <v>12900</v>
      </c>
      <c r="BO403">
        <v>0</v>
      </c>
      <c r="BP403">
        <v>0</v>
      </c>
      <c r="BQ403">
        <v>0</v>
      </c>
      <c r="BR403" t="s">
        <v>1</v>
      </c>
      <c r="BS403" t="s">
        <v>1</v>
      </c>
      <c r="BT403" t="s">
        <v>1</v>
      </c>
      <c r="BU403" t="s">
        <v>1</v>
      </c>
      <c r="BV403" t="s">
        <v>1</v>
      </c>
      <c r="BW403" t="s">
        <v>360</v>
      </c>
      <c r="BX403" t="s">
        <v>1</v>
      </c>
      <c r="BY403">
        <v>0</v>
      </c>
      <c r="BZ403">
        <v>0</v>
      </c>
      <c r="CA403">
        <v>0</v>
      </c>
      <c r="CB403">
        <v>0</v>
      </c>
      <c r="CD403" t="str" cm="1">
        <f t="array" aca="1" ref="CD403" ca="1">eConcatenar(A403:CB403,"|")</f>
        <v>dG5IZVohFf1pQI2D|VSA2020-1146|3|IMPERIAL DE LUJO|TABASCO|VILLAHERMOSA |VILLAHERMOSA |2020-11-20|12900|X|X|100|0|0|X|X|X|X|X|X|X|X|X|X|X|X|0|LLERGO |LEON|MARIA DE LA CRUZ |0|X|X|CARRETERA A LUIS GIL PEREZ KILOMETRO 45|RANCHERIA IXTACOMITAN SEGUNDA SECCION |X|9932245736|JULIO ANTONIO CHULIN MARFIL|GUSTAVO ALBERTO CHULIN LLERGO|0|CARRETERA A LUIS GIL PEREZ KILOMETRO 45|X|4|0|0|X|X|X|0|7190|5710|0|0|X|2021-12-24|2021-12-31|X|X|X|0|0|S35D6D3Y9KVTQ2|X|MUJER|0|12900|0|0|0|X|X|X|X|X|VILLAHERMOSA |X|0|0|0|0</v>
      </c>
    </row>
    <row r="404" spans="1:82" x14ac:dyDescent="0.25">
      <c r="A404" t="s">
        <v>2933</v>
      </c>
      <c r="B404" t="s">
        <v>2934</v>
      </c>
      <c r="C404">
        <v>3</v>
      </c>
      <c r="D404" t="s">
        <v>715</v>
      </c>
      <c r="E404" t="s">
        <v>359</v>
      </c>
      <c r="F404" t="s">
        <v>360</v>
      </c>
      <c r="G404" t="s">
        <v>360</v>
      </c>
      <c r="H404" t="s">
        <v>2928</v>
      </c>
      <c r="I404">
        <v>12900</v>
      </c>
      <c r="J404" t="s">
        <v>1</v>
      </c>
      <c r="K404" t="s">
        <v>1</v>
      </c>
      <c r="L404">
        <v>100</v>
      </c>
      <c r="M404">
        <v>0</v>
      </c>
      <c r="N404">
        <v>0</v>
      </c>
      <c r="O404" t="s">
        <v>1</v>
      </c>
      <c r="P404" t="s">
        <v>1</v>
      </c>
      <c r="Q404" t="s">
        <v>1</v>
      </c>
      <c r="R404" t="s">
        <v>1</v>
      </c>
      <c r="S404" t="s">
        <v>1</v>
      </c>
      <c r="T404" t="s">
        <v>1</v>
      </c>
      <c r="U404" t="s">
        <v>1</v>
      </c>
      <c r="V404" t="s">
        <v>1</v>
      </c>
      <c r="W404" t="s">
        <v>1</v>
      </c>
      <c r="X404" t="s">
        <v>1</v>
      </c>
      <c r="Y404" t="s">
        <v>1</v>
      </c>
      <c r="Z404" t="s">
        <v>1</v>
      </c>
      <c r="AA404">
        <v>0</v>
      </c>
      <c r="AB404" t="s">
        <v>1571</v>
      </c>
      <c r="AC404" t="s">
        <v>8</v>
      </c>
      <c r="AD404" t="s">
        <v>2935</v>
      </c>
      <c r="AE404">
        <v>0</v>
      </c>
      <c r="AF404" t="s">
        <v>1</v>
      </c>
      <c r="AG404" t="s">
        <v>1</v>
      </c>
      <c r="AH404" t="s">
        <v>2936</v>
      </c>
      <c r="AI404" t="s">
        <v>2029</v>
      </c>
      <c r="AJ404" t="s">
        <v>1</v>
      </c>
      <c r="AK404">
        <v>9933911409</v>
      </c>
      <c r="AL404" t="s">
        <v>2937</v>
      </c>
      <c r="AM404" t="s">
        <v>2938</v>
      </c>
      <c r="AN404">
        <v>0</v>
      </c>
      <c r="AO404" t="s">
        <v>2936</v>
      </c>
      <c r="AP404" t="s">
        <v>1</v>
      </c>
      <c r="AQ404">
        <v>4</v>
      </c>
      <c r="AR404">
        <v>0</v>
      </c>
      <c r="AS404">
        <v>0</v>
      </c>
      <c r="AT404" t="s">
        <v>1</v>
      </c>
      <c r="AU404" t="s">
        <v>1</v>
      </c>
      <c r="AV404" t="s">
        <v>1</v>
      </c>
      <c r="AW404">
        <v>0</v>
      </c>
      <c r="AX404">
        <v>6100</v>
      </c>
      <c r="AY404">
        <v>6800</v>
      </c>
      <c r="AZ404">
        <v>0</v>
      </c>
      <c r="BA404">
        <v>0</v>
      </c>
      <c r="BB404" t="s">
        <v>1</v>
      </c>
      <c r="BC404" t="s">
        <v>312</v>
      </c>
      <c r="BD404" t="s">
        <v>147</v>
      </c>
      <c r="BE404" t="s">
        <v>1</v>
      </c>
      <c r="BF404" t="s">
        <v>1</v>
      </c>
      <c r="BG404" t="s">
        <v>1</v>
      </c>
      <c r="BH404">
        <v>0</v>
      </c>
      <c r="BI404">
        <v>0</v>
      </c>
      <c r="BJ404" t="s">
        <v>1930</v>
      </c>
      <c r="BK404" t="s">
        <v>1</v>
      </c>
      <c r="BL404" t="s">
        <v>132</v>
      </c>
      <c r="BM404">
        <v>0</v>
      </c>
      <c r="BN404">
        <v>12900</v>
      </c>
      <c r="BO404">
        <v>0</v>
      </c>
      <c r="BP404">
        <v>0</v>
      </c>
      <c r="BQ404">
        <v>0</v>
      </c>
      <c r="BR404" t="s">
        <v>1</v>
      </c>
      <c r="BS404" t="s">
        <v>1</v>
      </c>
      <c r="BT404" t="s">
        <v>1</v>
      </c>
      <c r="BU404" t="s">
        <v>1</v>
      </c>
      <c r="BV404" t="s">
        <v>1</v>
      </c>
      <c r="BW404" t="s">
        <v>360</v>
      </c>
      <c r="BX404" t="s">
        <v>1</v>
      </c>
      <c r="BY404">
        <v>0</v>
      </c>
      <c r="BZ404">
        <v>0</v>
      </c>
      <c r="CA404">
        <v>0</v>
      </c>
      <c r="CB404">
        <v>0</v>
      </c>
      <c r="CD404" t="str" cm="1">
        <f t="array" aca="1" ref="CD404" ca="1">eConcatenar(A404:CB404,"|")</f>
        <v>MGsdONl3FXt37LFw|VSA2020-1149|3|IMPERIAL DE LUJO|TABASCO|VILLAHERMOSA |VILLAHERMOSA |2020-11-20|12900|X|X|100|0|0|X|X|X|X|X|X|X|X|X|X|X|X|0|CASTILLO|GOMEZ|ASUNCION|0|X|X|CERRADA EL ACERO KILOMETRO 4/700|RANCHERIA IXTACOMITAN SEGUNDA SECCION |X|9933911409|RICARDA REYES DE LA CRUZ |INOCENTA REYES CRUZ |0|CERRADA EL ACERO KILOMETRO 4/700|X|4|0|0|X|X|X|0|6100|6800|0|0|X|2021-12-24|2021-12-31|X|X|X|0|0|S35D6D3Y9KVTQ2|X|HOMBRE|0|12900|0|0|0|X|X|X|X|X|VILLAHERMOSA |X|0|0|0|0</v>
      </c>
    </row>
    <row r="405" spans="1:82" x14ac:dyDescent="0.25">
      <c r="A405" t="s">
        <v>2939</v>
      </c>
      <c r="B405" t="s">
        <v>2940</v>
      </c>
      <c r="C405">
        <v>3</v>
      </c>
      <c r="D405" t="s">
        <v>715</v>
      </c>
      <c r="E405" t="s">
        <v>359</v>
      </c>
      <c r="F405" t="s">
        <v>360</v>
      </c>
      <c r="G405" t="s">
        <v>360</v>
      </c>
      <c r="H405" t="s">
        <v>2928</v>
      </c>
      <c r="I405">
        <v>12900</v>
      </c>
      <c r="J405" t="s">
        <v>1</v>
      </c>
      <c r="K405" t="s">
        <v>1</v>
      </c>
      <c r="L405">
        <v>200</v>
      </c>
      <c r="M405">
        <v>1</v>
      </c>
      <c r="N405">
        <v>0</v>
      </c>
      <c r="O405" t="s">
        <v>1</v>
      </c>
      <c r="P405" t="s">
        <v>1</v>
      </c>
      <c r="Q405" t="s">
        <v>1</v>
      </c>
      <c r="R405" t="s">
        <v>1</v>
      </c>
      <c r="S405" t="s">
        <v>1</v>
      </c>
      <c r="T405" t="s">
        <v>1</v>
      </c>
      <c r="U405" t="s">
        <v>1</v>
      </c>
      <c r="V405" t="s">
        <v>1</v>
      </c>
      <c r="W405" t="s">
        <v>1</v>
      </c>
      <c r="X405" t="s">
        <v>1</v>
      </c>
      <c r="Y405" t="s">
        <v>1</v>
      </c>
      <c r="Z405" t="s">
        <v>1</v>
      </c>
      <c r="AA405">
        <v>0</v>
      </c>
      <c r="AB405" t="s">
        <v>2118</v>
      </c>
      <c r="AC405" t="s">
        <v>218</v>
      </c>
      <c r="AD405" t="s">
        <v>1327</v>
      </c>
      <c r="AE405">
        <v>0</v>
      </c>
      <c r="AF405" t="s">
        <v>1</v>
      </c>
      <c r="AG405" t="s">
        <v>1</v>
      </c>
      <c r="AH405" t="s">
        <v>2941</v>
      </c>
      <c r="AI405" t="s">
        <v>2029</v>
      </c>
      <c r="AJ405" t="s">
        <v>1</v>
      </c>
      <c r="AK405">
        <v>9931348008</v>
      </c>
      <c r="AL405" t="s">
        <v>2942</v>
      </c>
      <c r="AM405" t="s">
        <v>2943</v>
      </c>
      <c r="AN405">
        <v>0</v>
      </c>
      <c r="AO405" t="s">
        <v>2941</v>
      </c>
      <c r="AP405" t="s">
        <v>1</v>
      </c>
      <c r="AQ405">
        <v>4</v>
      </c>
      <c r="AR405">
        <v>0</v>
      </c>
      <c r="AS405">
        <v>0</v>
      </c>
      <c r="AT405" t="s">
        <v>1</v>
      </c>
      <c r="AU405" t="s">
        <v>1</v>
      </c>
      <c r="AV405" t="s">
        <v>1</v>
      </c>
      <c r="AW405">
        <v>0</v>
      </c>
      <c r="AX405">
        <v>5200</v>
      </c>
      <c r="AY405">
        <v>7700</v>
      </c>
      <c r="AZ405">
        <v>0</v>
      </c>
      <c r="BA405">
        <v>0</v>
      </c>
      <c r="BB405" t="s">
        <v>1</v>
      </c>
      <c r="BC405" t="s">
        <v>1954</v>
      </c>
      <c r="BD405" t="s">
        <v>147</v>
      </c>
      <c r="BE405" t="s">
        <v>1</v>
      </c>
      <c r="BF405" t="s">
        <v>1</v>
      </c>
      <c r="BG405" t="s">
        <v>1</v>
      </c>
      <c r="BH405">
        <v>0</v>
      </c>
      <c r="BI405">
        <v>0</v>
      </c>
      <c r="BJ405" t="s">
        <v>1930</v>
      </c>
      <c r="BK405" t="s">
        <v>1</v>
      </c>
      <c r="BL405" t="s">
        <v>132</v>
      </c>
      <c r="BM405">
        <v>0</v>
      </c>
      <c r="BN405">
        <v>12900</v>
      </c>
      <c r="BO405">
        <v>0</v>
      </c>
      <c r="BP405">
        <v>0</v>
      </c>
      <c r="BQ405">
        <v>0</v>
      </c>
      <c r="BR405" t="s">
        <v>1</v>
      </c>
      <c r="BS405" t="s">
        <v>1</v>
      </c>
      <c r="BT405" t="s">
        <v>1</v>
      </c>
      <c r="BU405" t="s">
        <v>1</v>
      </c>
      <c r="BV405" t="s">
        <v>1</v>
      </c>
      <c r="BW405" t="s">
        <v>360</v>
      </c>
      <c r="BX405" t="s">
        <v>1</v>
      </c>
      <c r="BY405">
        <v>0</v>
      </c>
      <c r="BZ405">
        <v>0</v>
      </c>
      <c r="CA405">
        <v>0</v>
      </c>
      <c r="CB405">
        <v>0</v>
      </c>
      <c r="CD405" t="str" cm="1">
        <f t="array" aca="1" ref="CD405" ca="1">eConcatenar(A405:CB405,"|")</f>
        <v>7bqt8Qjmlv5GO8EG|VSA2020-1153|3|IMPERIAL DE LUJO|TABASCO|VILLAHERMOSA |VILLAHERMOSA |2020-11-20|12900|X|X|200|1|0|X|X|X|X|X|X|X|X|X|X|X|X|0|GUZMAN |VILLEGAS|JUAN|0|X|X|CARRETERA VILLAHERMOSA A LUIS GIL PEREZ KILOMETRO 4.5 |RANCHERIA IXTACOMITAN SEGUNDA SECCION |X|9931348008|BEATRIZ GUZMAN LLERGO|MARIA ELIDE LLERGO LEON|0|CARRETERA VILLAHERMOSA A LUIS GIL PEREZ KILOMETRO 4.5 |X|4|0|0|X|X|X|0|5200|7700|0|0|X|2021-12-17|2021-12-31|X|X|X|0|0|S35D6D3Y9KVTQ2|X|HOMBRE|0|12900|0|0|0|X|X|X|X|X|VILLAHERMOSA |X|0|0|0|0</v>
      </c>
    </row>
    <row r="406" spans="1:82" x14ac:dyDescent="0.25">
      <c r="A406" t="s">
        <v>2944</v>
      </c>
      <c r="B406" t="s">
        <v>2945</v>
      </c>
      <c r="C406">
        <v>3</v>
      </c>
      <c r="D406" t="s">
        <v>715</v>
      </c>
      <c r="E406" t="s">
        <v>359</v>
      </c>
      <c r="F406" t="s">
        <v>360</v>
      </c>
      <c r="G406" t="s">
        <v>360</v>
      </c>
      <c r="H406" t="s">
        <v>2928</v>
      </c>
      <c r="I406">
        <v>12900</v>
      </c>
      <c r="J406" t="s">
        <v>1</v>
      </c>
      <c r="K406" t="s">
        <v>1</v>
      </c>
      <c r="L406">
        <v>100</v>
      </c>
      <c r="M406">
        <v>0</v>
      </c>
      <c r="N406">
        <v>0</v>
      </c>
      <c r="O406" t="s">
        <v>1</v>
      </c>
      <c r="P406" t="s">
        <v>1</v>
      </c>
      <c r="Q406" t="s">
        <v>1</v>
      </c>
      <c r="R406" t="s">
        <v>1</v>
      </c>
      <c r="S406" t="s">
        <v>1</v>
      </c>
      <c r="T406" t="s">
        <v>1</v>
      </c>
      <c r="U406" t="s">
        <v>1</v>
      </c>
      <c r="V406" t="s">
        <v>1</v>
      </c>
      <c r="W406" t="s">
        <v>1</v>
      </c>
      <c r="X406" t="s">
        <v>1</v>
      </c>
      <c r="Y406" t="s">
        <v>1</v>
      </c>
      <c r="Z406" t="s">
        <v>1</v>
      </c>
      <c r="AA406">
        <v>0</v>
      </c>
      <c r="AB406" t="s">
        <v>2946</v>
      </c>
      <c r="AC406" t="s">
        <v>1211</v>
      </c>
      <c r="AD406" t="s">
        <v>2947</v>
      </c>
      <c r="AE406">
        <v>0</v>
      </c>
      <c r="AF406" t="s">
        <v>1</v>
      </c>
      <c r="AG406" t="s">
        <v>1</v>
      </c>
      <c r="AH406" t="s">
        <v>2948</v>
      </c>
      <c r="AI406" t="s">
        <v>2029</v>
      </c>
      <c r="AJ406" t="s">
        <v>1</v>
      </c>
      <c r="AK406">
        <v>9933012362</v>
      </c>
      <c r="AL406" t="s">
        <v>2949</v>
      </c>
      <c r="AM406" t="s">
        <v>2950</v>
      </c>
      <c r="AN406">
        <v>0</v>
      </c>
      <c r="AO406" t="s">
        <v>2948</v>
      </c>
      <c r="AP406" t="s">
        <v>1</v>
      </c>
      <c r="AQ406">
        <v>4</v>
      </c>
      <c r="AR406">
        <v>0</v>
      </c>
      <c r="AS406">
        <v>0</v>
      </c>
      <c r="AT406" t="s">
        <v>1</v>
      </c>
      <c r="AU406" t="s">
        <v>1</v>
      </c>
      <c r="AV406" t="s">
        <v>1</v>
      </c>
      <c r="AW406">
        <v>0</v>
      </c>
      <c r="AX406">
        <v>2490</v>
      </c>
      <c r="AY406">
        <v>10410</v>
      </c>
      <c r="AZ406">
        <v>0</v>
      </c>
      <c r="BA406">
        <v>0</v>
      </c>
      <c r="BB406" t="s">
        <v>1</v>
      </c>
      <c r="BC406" t="s">
        <v>742</v>
      </c>
      <c r="BD406" t="s">
        <v>2951</v>
      </c>
      <c r="BE406" t="s">
        <v>1</v>
      </c>
      <c r="BF406" t="s">
        <v>1</v>
      </c>
      <c r="BG406" t="s">
        <v>1</v>
      </c>
      <c r="BH406">
        <v>0</v>
      </c>
      <c r="BI406">
        <v>0</v>
      </c>
      <c r="BJ406" t="s">
        <v>1930</v>
      </c>
      <c r="BK406" t="s">
        <v>1</v>
      </c>
      <c r="BL406" t="s">
        <v>1138</v>
      </c>
      <c r="BM406">
        <v>0</v>
      </c>
      <c r="BN406">
        <v>12900</v>
      </c>
      <c r="BO406">
        <v>0</v>
      </c>
      <c r="BP406">
        <v>0</v>
      </c>
      <c r="BQ406">
        <v>0</v>
      </c>
      <c r="BR406" t="s">
        <v>1</v>
      </c>
      <c r="BS406" t="s">
        <v>1</v>
      </c>
      <c r="BT406" t="s">
        <v>1</v>
      </c>
      <c r="BU406" t="s">
        <v>1</v>
      </c>
      <c r="BV406" t="s">
        <v>1</v>
      </c>
      <c r="BW406" t="s">
        <v>360</v>
      </c>
      <c r="BX406" t="s">
        <v>1</v>
      </c>
      <c r="BY406">
        <v>0</v>
      </c>
      <c r="BZ406">
        <v>0</v>
      </c>
      <c r="CA406">
        <v>0</v>
      </c>
      <c r="CB406">
        <v>0</v>
      </c>
      <c r="CD406" t="str" cm="1">
        <f t="array" aca="1" ref="CD406" ca="1">eConcatenar(A406:CB406,"|")</f>
        <v>68zZtkTBlzsJKQR9|VSA2020-1154|3|IMPERIAL DE LUJO|TABASCO|VILLAHERMOSA |VILLAHERMOSA |2020-11-20|12900|X|X|100|0|0|X|X|X|X|X|X|X|X|X|X|X|X|0|PINZON |DE LA CRUZ |LETICIA |0|X|X|CARRETRA VILLAHERMOSA A LUIS GIL PEREZ KILOMETRO 4.5 |RANCHERIA IXTACOMITAN SEGUNDA SECCION |X|9933012362|NAYELI QUIROZ PINTON|MAYRA TILA DE LA CRUZ VIDAL|0|CARRETRA VILLAHERMOSA A LUIS GIL PEREZ KILOMETRO 4.5 |X|4|0|0|X|X|X|0|2490|10410|0|0|X|2021-03-09|2021-10-10|X|X|X|0|0|S35D6D3Y9KVTQ2|X|MUJER|0|12900|0|0|0|X|X|X|X|X|VILLAHERMOSA |X|0|0|0|0</v>
      </c>
    </row>
    <row r="407" spans="1:82" x14ac:dyDescent="0.25">
      <c r="A407" t="s">
        <v>2952</v>
      </c>
      <c r="B407" t="s">
        <v>2953</v>
      </c>
      <c r="C407">
        <v>3</v>
      </c>
      <c r="D407" t="s">
        <v>715</v>
      </c>
      <c r="E407" t="s">
        <v>359</v>
      </c>
      <c r="F407" t="s">
        <v>360</v>
      </c>
      <c r="G407" t="s">
        <v>360</v>
      </c>
      <c r="H407" t="s">
        <v>2928</v>
      </c>
      <c r="I407">
        <v>12900</v>
      </c>
      <c r="J407" t="s">
        <v>1</v>
      </c>
      <c r="K407" t="s">
        <v>1</v>
      </c>
      <c r="L407">
        <v>200</v>
      </c>
      <c r="M407">
        <v>1</v>
      </c>
      <c r="N407">
        <v>0</v>
      </c>
      <c r="O407" t="s">
        <v>1</v>
      </c>
      <c r="P407" t="s">
        <v>1</v>
      </c>
      <c r="Q407" t="s">
        <v>1</v>
      </c>
      <c r="R407" t="s">
        <v>1</v>
      </c>
      <c r="S407" t="s">
        <v>1</v>
      </c>
      <c r="T407" t="s">
        <v>1</v>
      </c>
      <c r="U407" t="s">
        <v>1</v>
      </c>
      <c r="V407" t="s">
        <v>1</v>
      </c>
      <c r="W407" t="s">
        <v>1</v>
      </c>
      <c r="X407" t="s">
        <v>1</v>
      </c>
      <c r="Y407" t="s">
        <v>1</v>
      </c>
      <c r="Z407" t="s">
        <v>1</v>
      </c>
      <c r="AA407">
        <v>0</v>
      </c>
      <c r="AB407" t="s">
        <v>304</v>
      </c>
      <c r="AC407" t="s">
        <v>1571</v>
      </c>
      <c r="AD407" t="s">
        <v>2954</v>
      </c>
      <c r="AE407">
        <v>0</v>
      </c>
      <c r="AF407" t="s">
        <v>1</v>
      </c>
      <c r="AG407" t="s">
        <v>1</v>
      </c>
      <c r="AH407" t="s">
        <v>2955</v>
      </c>
      <c r="AI407" t="s">
        <v>2029</v>
      </c>
      <c r="AJ407" t="s">
        <v>1</v>
      </c>
      <c r="AK407">
        <v>9932615474</v>
      </c>
      <c r="AL407" t="s">
        <v>2956</v>
      </c>
      <c r="AM407" t="s">
        <v>2957</v>
      </c>
      <c r="AN407">
        <v>0</v>
      </c>
      <c r="AO407" t="s">
        <v>2955</v>
      </c>
      <c r="AP407" t="s">
        <v>1</v>
      </c>
      <c r="AQ407">
        <v>5</v>
      </c>
      <c r="AR407">
        <v>0</v>
      </c>
      <c r="AS407">
        <v>0</v>
      </c>
      <c r="AT407" t="s">
        <v>1</v>
      </c>
      <c r="AU407" t="s">
        <v>1</v>
      </c>
      <c r="AV407" t="s">
        <v>1</v>
      </c>
      <c r="AW407">
        <v>0</v>
      </c>
      <c r="AX407">
        <v>4390</v>
      </c>
      <c r="AY407">
        <v>8510</v>
      </c>
      <c r="AZ407">
        <v>0</v>
      </c>
      <c r="BA407">
        <v>0</v>
      </c>
      <c r="BB407" t="s">
        <v>1</v>
      </c>
      <c r="BC407" t="s">
        <v>1995</v>
      </c>
      <c r="BD407" t="s">
        <v>815</v>
      </c>
      <c r="BE407" t="s">
        <v>1</v>
      </c>
      <c r="BF407" t="s">
        <v>1</v>
      </c>
      <c r="BG407" t="s">
        <v>1</v>
      </c>
      <c r="BH407">
        <v>0</v>
      </c>
      <c r="BI407">
        <v>0</v>
      </c>
      <c r="BJ407" t="s">
        <v>1930</v>
      </c>
      <c r="BK407" t="s">
        <v>1</v>
      </c>
      <c r="BL407" t="s">
        <v>132</v>
      </c>
      <c r="BM407">
        <v>0</v>
      </c>
      <c r="BN407">
        <v>12900</v>
      </c>
      <c r="BO407">
        <v>0</v>
      </c>
      <c r="BP407">
        <v>0</v>
      </c>
      <c r="BQ407">
        <v>0</v>
      </c>
      <c r="BR407" t="s">
        <v>1</v>
      </c>
      <c r="BS407" t="s">
        <v>1</v>
      </c>
      <c r="BT407" t="s">
        <v>1</v>
      </c>
      <c r="BU407" t="s">
        <v>1</v>
      </c>
      <c r="BV407" t="s">
        <v>1</v>
      </c>
      <c r="BW407" t="s">
        <v>360</v>
      </c>
      <c r="BX407" t="s">
        <v>1</v>
      </c>
      <c r="BY407">
        <v>0</v>
      </c>
      <c r="BZ407">
        <v>0</v>
      </c>
      <c r="CA407">
        <v>0</v>
      </c>
      <c r="CB407">
        <v>0</v>
      </c>
      <c r="CD407" t="str" cm="1">
        <f t="array" aca="1" ref="CD407" ca="1">eConcatenar(A407:CB407,"|")</f>
        <v>1EMg1U1cpM1gnzxr|VSA2020-1164|3|IMPERIAL DE LUJO|TABASCO|VILLAHERMOSA |VILLAHERMOSA |2020-11-20|12900|X|X|200|1|0|X|X|X|X|X|X|X|X|X|X|X|X|0|LUNA |CASTILLO|FREDDY|0|X|X|CARRETERA A LUIS GIL PEREZ |RANCHERIA IXTACOMITAN SEGUNDA SECCION |X|9932615474|MARIELA DEL CARMEN COLORADO ROCA|BRUNO LUNA LAYNE|0|CARRETERA A LUIS GIL PEREZ |X|5|0|0|X|X|X|0|4390|8510|0|0|X|2021-12-18|2022-01-01|X|X|X|0|0|S35D6D3Y9KVTQ2|X|HOMBRE|0|12900|0|0|0|X|X|X|X|X|VILLAHERMOSA |X|0|0|0|0</v>
      </c>
    </row>
    <row r="408" spans="1:82" x14ac:dyDescent="0.25">
      <c r="A408" t="s">
        <v>2958</v>
      </c>
      <c r="B408" t="s">
        <v>2959</v>
      </c>
      <c r="C408">
        <v>3</v>
      </c>
      <c r="D408" t="s">
        <v>715</v>
      </c>
      <c r="E408" t="s">
        <v>359</v>
      </c>
      <c r="F408" t="s">
        <v>360</v>
      </c>
      <c r="G408" t="s">
        <v>360</v>
      </c>
      <c r="H408" t="s">
        <v>1490</v>
      </c>
      <c r="I408">
        <v>12900</v>
      </c>
      <c r="J408" t="s">
        <v>1</v>
      </c>
      <c r="K408" t="s">
        <v>1</v>
      </c>
      <c r="L408">
        <v>200</v>
      </c>
      <c r="M408">
        <v>1</v>
      </c>
      <c r="N408">
        <v>0</v>
      </c>
      <c r="O408" t="s">
        <v>1</v>
      </c>
      <c r="P408" t="s">
        <v>1</v>
      </c>
      <c r="Q408" t="s">
        <v>1</v>
      </c>
      <c r="R408" t="s">
        <v>1</v>
      </c>
      <c r="S408" t="s">
        <v>1</v>
      </c>
      <c r="T408" t="s">
        <v>1</v>
      </c>
      <c r="U408" t="s">
        <v>1</v>
      </c>
      <c r="V408" t="s">
        <v>1</v>
      </c>
      <c r="W408" t="s">
        <v>1</v>
      </c>
      <c r="X408" t="s">
        <v>1</v>
      </c>
      <c r="Y408" t="s">
        <v>1</v>
      </c>
      <c r="Z408" t="s">
        <v>1</v>
      </c>
      <c r="AA408">
        <v>0</v>
      </c>
      <c r="AB408" t="s">
        <v>743</v>
      </c>
      <c r="AC408" t="s">
        <v>2960</v>
      </c>
      <c r="AD408" t="s">
        <v>2961</v>
      </c>
      <c r="AE408">
        <v>0</v>
      </c>
      <c r="AF408" t="s">
        <v>1</v>
      </c>
      <c r="AG408" t="s">
        <v>1</v>
      </c>
      <c r="AH408" t="s">
        <v>2962</v>
      </c>
      <c r="AI408" t="s">
        <v>2029</v>
      </c>
      <c r="AJ408" t="s">
        <v>1</v>
      </c>
      <c r="AK408">
        <v>9932875889</v>
      </c>
      <c r="AL408" t="s">
        <v>2963</v>
      </c>
      <c r="AM408" t="s">
        <v>2964</v>
      </c>
      <c r="AN408">
        <v>0</v>
      </c>
      <c r="AO408" t="s">
        <v>2962</v>
      </c>
      <c r="AP408" t="s">
        <v>1</v>
      </c>
      <c r="AQ408">
        <v>4</v>
      </c>
      <c r="AR408">
        <v>0</v>
      </c>
      <c r="AS408">
        <v>0</v>
      </c>
      <c r="AT408" t="s">
        <v>1</v>
      </c>
      <c r="AU408" t="s">
        <v>1</v>
      </c>
      <c r="AV408" t="s">
        <v>1</v>
      </c>
      <c r="AW408">
        <v>0</v>
      </c>
      <c r="AX408">
        <v>7000</v>
      </c>
      <c r="AY408">
        <v>5900</v>
      </c>
      <c r="AZ408">
        <v>0</v>
      </c>
      <c r="BA408">
        <v>0</v>
      </c>
      <c r="BB408" t="s">
        <v>1</v>
      </c>
      <c r="BC408" t="s">
        <v>1954</v>
      </c>
      <c r="BD408" t="s">
        <v>147</v>
      </c>
      <c r="BE408" t="s">
        <v>1</v>
      </c>
      <c r="BF408" t="s">
        <v>1</v>
      </c>
      <c r="BG408" t="s">
        <v>1</v>
      </c>
      <c r="BH408">
        <v>0</v>
      </c>
      <c r="BI408">
        <v>0</v>
      </c>
      <c r="BJ408" t="s">
        <v>1930</v>
      </c>
      <c r="BK408" t="s">
        <v>1</v>
      </c>
      <c r="BL408" t="s">
        <v>1138</v>
      </c>
      <c r="BM408">
        <v>0</v>
      </c>
      <c r="BN408">
        <v>12900</v>
      </c>
      <c r="BO408">
        <v>0</v>
      </c>
      <c r="BP408">
        <v>0</v>
      </c>
      <c r="BQ408">
        <v>0</v>
      </c>
      <c r="BR408" t="s">
        <v>1</v>
      </c>
      <c r="BS408" t="s">
        <v>1</v>
      </c>
      <c r="BT408" t="s">
        <v>1</v>
      </c>
      <c r="BU408" t="s">
        <v>1</v>
      </c>
      <c r="BV408" t="s">
        <v>1</v>
      </c>
      <c r="BW408" t="s">
        <v>360</v>
      </c>
      <c r="BX408" t="s">
        <v>1</v>
      </c>
      <c r="BY408">
        <v>0</v>
      </c>
      <c r="BZ408">
        <v>0</v>
      </c>
      <c r="CA408">
        <v>0</v>
      </c>
      <c r="CB408">
        <v>0</v>
      </c>
      <c r="CD408" t="str" cm="1">
        <f t="array" aca="1" ref="CD408" ca="1">eConcatenar(A408:CB408,"|")</f>
        <v>95tQCKq0Au5Z9J1k|VSA2020-1180|3|IMPERIAL DE LUJO|TABASCO|VILLAHERMOSA |VILLAHERMOSA |2020-11-21|12900|X|X|200|1|0|X|X|X|X|X|X|X|X|X|X|X|X|0|VIDAL|ARIAS|IVETTE|0|X|X|CARRETERA A LUIS GIL PEREZ KILOMETRO 3 |RANCHERIA IXTACOMITAN SEGUNDA SECCION |X|9932875889|ASVINIA ARIAS GARCIA |CALISTO VIDAL GUTIERREZ|0|CARRETERA A LUIS GIL PEREZ KILOMETRO 3 |X|4|0|0|X|X|X|0|7000|5900|0|0|X|2021-12-17|2021-12-31|X|X|X|0|0|S35D6D3Y9KVTQ2|X|MUJER|0|12900|0|0|0|X|X|X|X|X|VILLAHERMOSA |X|0|0|0|0</v>
      </c>
    </row>
    <row r="409" spans="1:82" x14ac:dyDescent="0.25">
      <c r="A409" t="s">
        <v>2965</v>
      </c>
      <c r="B409" t="s">
        <v>2966</v>
      </c>
      <c r="C409">
        <v>3</v>
      </c>
      <c r="D409" t="s">
        <v>715</v>
      </c>
      <c r="E409" t="s">
        <v>359</v>
      </c>
      <c r="F409" t="s">
        <v>360</v>
      </c>
      <c r="G409" t="s">
        <v>360</v>
      </c>
      <c r="H409" t="s">
        <v>1490</v>
      </c>
      <c r="I409">
        <v>12900</v>
      </c>
      <c r="J409" t="s">
        <v>1</v>
      </c>
      <c r="K409" t="s">
        <v>1</v>
      </c>
      <c r="L409">
        <v>400</v>
      </c>
      <c r="M409">
        <v>2</v>
      </c>
      <c r="N409">
        <v>0</v>
      </c>
      <c r="O409" t="s">
        <v>1</v>
      </c>
      <c r="P409" t="s">
        <v>1</v>
      </c>
      <c r="Q409" t="s">
        <v>1</v>
      </c>
      <c r="R409" t="s">
        <v>1</v>
      </c>
      <c r="S409" t="s">
        <v>1</v>
      </c>
      <c r="T409" t="s">
        <v>1</v>
      </c>
      <c r="U409" t="s">
        <v>1</v>
      </c>
      <c r="V409" t="s">
        <v>1</v>
      </c>
      <c r="W409" t="s">
        <v>1</v>
      </c>
      <c r="X409" t="s">
        <v>1</v>
      </c>
      <c r="Y409" t="s">
        <v>1</v>
      </c>
      <c r="Z409" t="s">
        <v>1</v>
      </c>
      <c r="AA409">
        <v>0</v>
      </c>
      <c r="AB409" t="s">
        <v>543</v>
      </c>
      <c r="AC409" t="s">
        <v>395</v>
      </c>
      <c r="AD409" t="s">
        <v>2967</v>
      </c>
      <c r="AE409">
        <v>0</v>
      </c>
      <c r="AF409" t="s">
        <v>1</v>
      </c>
      <c r="AG409" t="s">
        <v>1</v>
      </c>
      <c r="AH409" t="s">
        <v>2968</v>
      </c>
      <c r="AI409" t="s">
        <v>2029</v>
      </c>
      <c r="AJ409" t="s">
        <v>1</v>
      </c>
      <c r="AK409">
        <v>9935457875</v>
      </c>
      <c r="AL409" t="s">
        <v>2969</v>
      </c>
      <c r="AM409" t="s">
        <v>2970</v>
      </c>
      <c r="AN409">
        <v>0</v>
      </c>
      <c r="AO409" t="s">
        <v>2968</v>
      </c>
      <c r="AP409" t="s">
        <v>1</v>
      </c>
      <c r="AQ409">
        <v>4</v>
      </c>
      <c r="AR409">
        <v>0</v>
      </c>
      <c r="AS409">
        <v>0</v>
      </c>
      <c r="AT409" t="s">
        <v>1</v>
      </c>
      <c r="AU409" t="s">
        <v>1</v>
      </c>
      <c r="AV409" t="s">
        <v>1</v>
      </c>
      <c r="AW409">
        <v>0</v>
      </c>
      <c r="AX409">
        <v>7290</v>
      </c>
      <c r="AY409">
        <v>5610</v>
      </c>
      <c r="AZ409">
        <v>0</v>
      </c>
      <c r="BA409">
        <v>0</v>
      </c>
      <c r="BB409" t="s">
        <v>1</v>
      </c>
      <c r="BC409" t="s">
        <v>863</v>
      </c>
      <c r="BD409" t="s">
        <v>2041</v>
      </c>
      <c r="BE409" t="s">
        <v>1</v>
      </c>
      <c r="BF409" t="s">
        <v>1</v>
      </c>
      <c r="BG409" t="s">
        <v>1</v>
      </c>
      <c r="BH409">
        <v>0</v>
      </c>
      <c r="BI409">
        <v>0</v>
      </c>
      <c r="BJ409" t="s">
        <v>1930</v>
      </c>
      <c r="BK409" t="s">
        <v>1</v>
      </c>
      <c r="BL409" t="s">
        <v>132</v>
      </c>
      <c r="BM409">
        <v>0</v>
      </c>
      <c r="BN409">
        <v>12900</v>
      </c>
      <c r="BO409">
        <v>0</v>
      </c>
      <c r="BP409">
        <v>0</v>
      </c>
      <c r="BQ409">
        <v>0</v>
      </c>
      <c r="BR409" t="s">
        <v>1</v>
      </c>
      <c r="BS409" t="s">
        <v>1</v>
      </c>
      <c r="BT409" t="s">
        <v>1</v>
      </c>
      <c r="BU409" t="s">
        <v>1</v>
      </c>
      <c r="BV409" t="s">
        <v>1</v>
      </c>
      <c r="BW409" t="s">
        <v>360</v>
      </c>
      <c r="BX409" t="s">
        <v>1</v>
      </c>
      <c r="BY409">
        <v>0</v>
      </c>
      <c r="BZ409">
        <v>0</v>
      </c>
      <c r="CA409">
        <v>0</v>
      </c>
      <c r="CB409">
        <v>0</v>
      </c>
      <c r="CD409" t="str" cm="1">
        <f t="array" aca="1" ref="CD409" ca="1">eConcatenar(A409:CB409,"|")</f>
        <v>kOu0EjVT6B2QLePm|VSA2020-1181|3|IMPERIAL DE LUJO|TABASCO|VILLAHERMOSA |VILLAHERMOSA |2020-11-21|12900|X|X|400|2|0|X|X|X|X|X|X|X|X|X|X|X|X|0|ARIAS |GARCIA |ABRAHAM|0|X|X|CARRETERA VILLAHERMOSA A LUIS GIL PEREZ KILOMETRO 3 |RANCHERIA IXTACOMITAN SEGUNDA SECCION |X|9935457875|GILBERTO ARIAS VIDAL |YDELFIA DEL CARMEN VIDAL GUTIERREZ |0|CARRETERA VILLAHERMOSA A LUIS GIL PEREZ KILOMETRO 3 |X|4|0|0|X|X|X|0|7290|5610|0|0|X|2021-03-12|2022-03-01|X|X|X|0|0|S35D6D3Y9KVTQ2|X|HOMBRE|0|12900|0|0|0|X|X|X|X|X|VILLAHERMOSA |X|0|0|0|0</v>
      </c>
    </row>
    <row r="410" spans="1:82" x14ac:dyDescent="0.25">
      <c r="A410" t="s">
        <v>2971</v>
      </c>
      <c r="B410" t="s">
        <v>2972</v>
      </c>
      <c r="C410">
        <v>3</v>
      </c>
      <c r="D410" t="s">
        <v>715</v>
      </c>
      <c r="E410" t="s">
        <v>359</v>
      </c>
      <c r="F410" t="s">
        <v>360</v>
      </c>
      <c r="G410" t="s">
        <v>360</v>
      </c>
      <c r="H410" t="s">
        <v>1125</v>
      </c>
      <c r="I410">
        <v>12900</v>
      </c>
      <c r="J410" t="s">
        <v>1</v>
      </c>
      <c r="K410" t="s">
        <v>1</v>
      </c>
      <c r="L410">
        <v>200</v>
      </c>
      <c r="M410">
        <v>1</v>
      </c>
      <c r="N410">
        <v>0</v>
      </c>
      <c r="O410" t="s">
        <v>1</v>
      </c>
      <c r="P410" t="s">
        <v>1</v>
      </c>
      <c r="Q410" t="s">
        <v>1</v>
      </c>
      <c r="R410" t="s">
        <v>1</v>
      </c>
      <c r="S410" t="s">
        <v>1</v>
      </c>
      <c r="T410" t="s">
        <v>1</v>
      </c>
      <c r="U410" t="s">
        <v>1</v>
      </c>
      <c r="V410" t="s">
        <v>1</v>
      </c>
      <c r="W410" t="s">
        <v>1</v>
      </c>
      <c r="X410" t="s">
        <v>1</v>
      </c>
      <c r="Y410" t="s">
        <v>1</v>
      </c>
      <c r="Z410" t="s">
        <v>1</v>
      </c>
      <c r="AA410">
        <v>0</v>
      </c>
      <c r="AB410" t="s">
        <v>2060</v>
      </c>
      <c r="AC410" t="s">
        <v>1272</v>
      </c>
      <c r="AD410" t="s">
        <v>1021</v>
      </c>
      <c r="AE410">
        <v>0</v>
      </c>
      <c r="AF410" t="s">
        <v>1</v>
      </c>
      <c r="AG410" t="s">
        <v>1</v>
      </c>
      <c r="AH410" t="s">
        <v>2973</v>
      </c>
      <c r="AI410" t="s">
        <v>2974</v>
      </c>
      <c r="AJ410" t="s">
        <v>1</v>
      </c>
      <c r="AK410">
        <v>9931750993</v>
      </c>
      <c r="AL410" t="s">
        <v>2975</v>
      </c>
      <c r="AM410" t="s">
        <v>2976</v>
      </c>
      <c r="AN410">
        <v>0</v>
      </c>
      <c r="AO410" t="s">
        <v>2973</v>
      </c>
      <c r="AP410" t="s">
        <v>1</v>
      </c>
      <c r="AQ410">
        <v>5</v>
      </c>
      <c r="AR410">
        <v>0</v>
      </c>
      <c r="AS410">
        <v>0</v>
      </c>
      <c r="AT410" t="s">
        <v>1</v>
      </c>
      <c r="AU410" t="s">
        <v>1</v>
      </c>
      <c r="AV410" t="s">
        <v>1</v>
      </c>
      <c r="AW410">
        <v>0</v>
      </c>
      <c r="AX410">
        <v>5190</v>
      </c>
      <c r="AY410">
        <v>7710</v>
      </c>
      <c r="AZ410">
        <v>0</v>
      </c>
      <c r="BA410">
        <v>0</v>
      </c>
      <c r="BB410" t="s">
        <v>1</v>
      </c>
      <c r="BC410" t="s">
        <v>2124</v>
      </c>
      <c r="BD410" t="s">
        <v>1995</v>
      </c>
      <c r="BE410" t="s">
        <v>1</v>
      </c>
      <c r="BF410" t="s">
        <v>1</v>
      </c>
      <c r="BG410" t="s">
        <v>1</v>
      </c>
      <c r="BH410">
        <v>0</v>
      </c>
      <c r="BI410">
        <v>0</v>
      </c>
      <c r="BJ410" t="s">
        <v>1930</v>
      </c>
      <c r="BK410" t="s">
        <v>1</v>
      </c>
      <c r="BL410" t="s">
        <v>1138</v>
      </c>
      <c r="BM410">
        <v>0</v>
      </c>
      <c r="BN410">
        <v>12900</v>
      </c>
      <c r="BO410">
        <v>0</v>
      </c>
      <c r="BP410">
        <v>0</v>
      </c>
      <c r="BQ410">
        <v>0</v>
      </c>
      <c r="BR410" t="s">
        <v>1</v>
      </c>
      <c r="BS410" t="s">
        <v>1</v>
      </c>
      <c r="BT410" t="s">
        <v>1</v>
      </c>
      <c r="BU410" t="s">
        <v>1</v>
      </c>
      <c r="BV410" t="s">
        <v>1</v>
      </c>
      <c r="BW410" t="s">
        <v>360</v>
      </c>
      <c r="BX410" t="s">
        <v>1</v>
      </c>
      <c r="BY410">
        <v>0</v>
      </c>
      <c r="BZ410">
        <v>0</v>
      </c>
      <c r="CA410">
        <v>0</v>
      </c>
      <c r="CB410">
        <v>0</v>
      </c>
      <c r="CD410" t="str" cm="1">
        <f t="array" aca="1" ref="CD410" ca="1">eConcatenar(A410:CB410,"|")</f>
        <v>7KRSrKITD8XCH9sv|VSA2020-1193|3|IMPERIAL DE LUJO|TABASCO|VILLAHERMOSA |VILLAHERMOSA |2020-11-23|12900|X|X|200|1|0|X|X|X|X|X|X|X|X|X|X|X|X|0|CHABLE |SANTOS |ISABEL|0|X|X|ANDADOR VICENTE GUERRERO MANZANA 22 LOTE 41|ENTRE LUIS DONALDO COLOSIO Y AVENIDAS LAS TORRES|X|9931750993|MARIO GILBERTO COSTA RICARDE |CANDELARIA DE LA CRUZ CHABLE |0|ANDADOR VICENTE GUERRERO MANZANA 22 LOTE 41|X|5|0|0|X|X|X|0|5190|7710|0|0|X|2021-04-12|2021-12-18|X|X|X|0|0|S35D6D3Y9KVTQ2|X|MUJER|0|12900|0|0|0|X|X|X|X|X|VILLAHERMOSA |X|0|0|0|0</v>
      </c>
    </row>
    <row r="411" spans="1:82" x14ac:dyDescent="0.25">
      <c r="A411" t="s">
        <v>2977</v>
      </c>
      <c r="B411" t="s">
        <v>2978</v>
      </c>
      <c r="C411">
        <v>3</v>
      </c>
      <c r="D411" t="s">
        <v>715</v>
      </c>
      <c r="E411" t="s">
        <v>359</v>
      </c>
      <c r="F411" t="s">
        <v>360</v>
      </c>
      <c r="G411" t="s">
        <v>360</v>
      </c>
      <c r="H411" t="s">
        <v>1125</v>
      </c>
      <c r="I411">
        <v>12900</v>
      </c>
      <c r="J411" t="s">
        <v>1</v>
      </c>
      <c r="K411" t="s">
        <v>1</v>
      </c>
      <c r="L411">
        <v>100</v>
      </c>
      <c r="M411">
        <v>0</v>
      </c>
      <c r="N411">
        <v>0</v>
      </c>
      <c r="O411" t="s">
        <v>1</v>
      </c>
      <c r="P411" t="s">
        <v>1</v>
      </c>
      <c r="Q411" t="s">
        <v>1</v>
      </c>
      <c r="R411" t="s">
        <v>1</v>
      </c>
      <c r="S411" t="s">
        <v>1</v>
      </c>
      <c r="T411" t="s">
        <v>1</v>
      </c>
      <c r="U411" t="s">
        <v>1</v>
      </c>
      <c r="V411" t="s">
        <v>1</v>
      </c>
      <c r="W411" t="s">
        <v>1</v>
      </c>
      <c r="X411" t="s">
        <v>1</v>
      </c>
      <c r="Y411" t="s">
        <v>1</v>
      </c>
      <c r="Z411" t="s">
        <v>1</v>
      </c>
      <c r="AA411">
        <v>0</v>
      </c>
      <c r="AB411" t="s">
        <v>7</v>
      </c>
      <c r="AC411" t="s">
        <v>395</v>
      </c>
      <c r="AD411" t="s">
        <v>2979</v>
      </c>
      <c r="AE411">
        <v>0</v>
      </c>
      <c r="AF411" t="s">
        <v>1</v>
      </c>
      <c r="AG411" t="s">
        <v>1</v>
      </c>
      <c r="AH411" t="s">
        <v>2980</v>
      </c>
      <c r="AI411" t="s">
        <v>2821</v>
      </c>
      <c r="AJ411" t="s">
        <v>1</v>
      </c>
      <c r="AK411">
        <v>9931985455</v>
      </c>
      <c r="AL411" t="s">
        <v>2981</v>
      </c>
      <c r="AM411" t="s">
        <v>2982</v>
      </c>
      <c r="AN411">
        <v>0</v>
      </c>
      <c r="AO411" t="s">
        <v>2980</v>
      </c>
      <c r="AP411" t="s">
        <v>1</v>
      </c>
      <c r="AQ411">
        <v>4</v>
      </c>
      <c r="AR411">
        <v>0</v>
      </c>
      <c r="AS411">
        <v>0</v>
      </c>
      <c r="AT411" t="s">
        <v>1</v>
      </c>
      <c r="AU411" t="s">
        <v>1</v>
      </c>
      <c r="AV411" t="s">
        <v>1</v>
      </c>
      <c r="AW411">
        <v>0</v>
      </c>
      <c r="AX411">
        <v>6700</v>
      </c>
      <c r="AY411">
        <v>6200</v>
      </c>
      <c r="AZ411">
        <v>0</v>
      </c>
      <c r="BA411">
        <v>0</v>
      </c>
      <c r="BB411" t="s">
        <v>1</v>
      </c>
      <c r="BC411" t="s">
        <v>312</v>
      </c>
      <c r="BD411" t="s">
        <v>147</v>
      </c>
      <c r="BE411" t="s">
        <v>1</v>
      </c>
      <c r="BF411" t="s">
        <v>1</v>
      </c>
      <c r="BG411" t="s">
        <v>1</v>
      </c>
      <c r="BH411">
        <v>0</v>
      </c>
      <c r="BI411">
        <v>0</v>
      </c>
      <c r="BJ411" t="s">
        <v>1930</v>
      </c>
      <c r="BK411" t="s">
        <v>1</v>
      </c>
      <c r="BL411" t="s">
        <v>1138</v>
      </c>
      <c r="BM411">
        <v>0</v>
      </c>
      <c r="BN411">
        <v>12900</v>
      </c>
      <c r="BO411">
        <v>0</v>
      </c>
      <c r="BP411">
        <v>0</v>
      </c>
      <c r="BQ411">
        <v>0</v>
      </c>
      <c r="BR411" t="s">
        <v>1</v>
      </c>
      <c r="BS411" t="s">
        <v>1</v>
      </c>
      <c r="BT411" t="s">
        <v>1</v>
      </c>
      <c r="BU411" t="s">
        <v>1</v>
      </c>
      <c r="BV411" t="s">
        <v>1</v>
      </c>
      <c r="BW411" t="s">
        <v>360</v>
      </c>
      <c r="BX411" t="s">
        <v>1</v>
      </c>
      <c r="BY411">
        <v>0</v>
      </c>
      <c r="BZ411">
        <v>0</v>
      </c>
      <c r="CA411">
        <v>0</v>
      </c>
      <c r="CB411">
        <v>0</v>
      </c>
      <c r="CD411" t="str" cm="1">
        <f t="array" aca="1" ref="CD411" ca="1">eConcatenar(A411:CB411,"|")</f>
        <v>XiUULPc2JipJFSRt|VSA2020-1194|3|IMPERIAL DE LUJO|TABASCO|VILLAHERMOSA |VILLAHERMOSA |2020-11-23|12900|X|X|100|0|0|X|X|X|X|X|X|X|X|X|X|X|X|0|LOPEZ|GARCIA |MARIA DEL ROCIO|0|X|X|CERRADA TLITEPEC MANZANA 09 DEPARTAMENTO 105 |FRACCIONAMIENTO POMOCA NACAJUCA |X|9931985455|NATIVIDAD MIRANDA LOPEZ |RICARDO MIRANDA LOPEZ|0|CERRADA TLITEPEC MANZANA 09 DEPARTAMENTO 105 |X|4|0|0|X|X|X|0|6700|6200|0|0|X|2021-12-24|2021-12-31|X|X|X|0|0|S35D6D3Y9KVTQ2|X|MUJER|0|12900|0|0|0|X|X|X|X|X|VILLAHERMOSA |X|0|0|0|0</v>
      </c>
    </row>
    <row r="412" spans="1:82" x14ac:dyDescent="0.25">
      <c r="A412" t="s">
        <v>2983</v>
      </c>
      <c r="B412" t="s">
        <v>2984</v>
      </c>
      <c r="C412">
        <v>3</v>
      </c>
      <c r="D412" t="s">
        <v>715</v>
      </c>
      <c r="E412" t="s">
        <v>359</v>
      </c>
      <c r="F412" t="s">
        <v>360</v>
      </c>
      <c r="G412" t="s">
        <v>360</v>
      </c>
      <c r="H412" t="s">
        <v>2985</v>
      </c>
      <c r="I412">
        <v>12900</v>
      </c>
      <c r="J412" t="s">
        <v>1</v>
      </c>
      <c r="K412" t="s">
        <v>1</v>
      </c>
      <c r="L412">
        <v>100</v>
      </c>
      <c r="M412">
        <v>0</v>
      </c>
      <c r="N412">
        <v>0</v>
      </c>
      <c r="O412" t="s">
        <v>1</v>
      </c>
      <c r="P412" t="s">
        <v>1</v>
      </c>
      <c r="Q412" t="s">
        <v>1</v>
      </c>
      <c r="R412" t="s">
        <v>1</v>
      </c>
      <c r="S412" t="s">
        <v>1</v>
      </c>
      <c r="T412" t="s">
        <v>1</v>
      </c>
      <c r="U412" t="s">
        <v>1</v>
      </c>
      <c r="V412" t="s">
        <v>1</v>
      </c>
      <c r="W412" t="s">
        <v>1</v>
      </c>
      <c r="X412" t="s">
        <v>1</v>
      </c>
      <c r="Y412" t="s">
        <v>1</v>
      </c>
      <c r="Z412" t="s">
        <v>1</v>
      </c>
      <c r="AA412">
        <v>0</v>
      </c>
      <c r="AB412" t="s">
        <v>921</v>
      </c>
      <c r="AC412" t="s">
        <v>407</v>
      </c>
      <c r="AD412" t="s">
        <v>2986</v>
      </c>
      <c r="AE412">
        <v>0</v>
      </c>
      <c r="AF412" t="s">
        <v>1</v>
      </c>
      <c r="AG412" t="s">
        <v>1</v>
      </c>
      <c r="AH412" t="s">
        <v>2987</v>
      </c>
      <c r="AI412" t="s">
        <v>2821</v>
      </c>
      <c r="AJ412" t="s">
        <v>1</v>
      </c>
      <c r="AK412">
        <v>9932064822</v>
      </c>
      <c r="AL412" t="s">
        <v>2988</v>
      </c>
      <c r="AM412" t="s">
        <v>2989</v>
      </c>
      <c r="AN412">
        <v>0</v>
      </c>
      <c r="AO412" t="s">
        <v>2987</v>
      </c>
      <c r="AP412" t="s">
        <v>1</v>
      </c>
      <c r="AQ412">
        <v>4</v>
      </c>
      <c r="AR412">
        <v>0</v>
      </c>
      <c r="AS412">
        <v>0</v>
      </c>
      <c r="AT412" t="s">
        <v>1</v>
      </c>
      <c r="AU412" t="s">
        <v>1</v>
      </c>
      <c r="AV412" t="s">
        <v>1</v>
      </c>
      <c r="AW412">
        <v>0</v>
      </c>
      <c r="AX412">
        <v>7690</v>
      </c>
      <c r="AY412">
        <v>5210</v>
      </c>
      <c r="AZ412">
        <v>0</v>
      </c>
      <c r="BA412">
        <v>0</v>
      </c>
      <c r="BB412" t="s">
        <v>1</v>
      </c>
      <c r="BC412" t="s">
        <v>863</v>
      </c>
      <c r="BD412" t="s">
        <v>2233</v>
      </c>
      <c r="BE412" t="s">
        <v>1</v>
      </c>
      <c r="BF412" t="s">
        <v>1</v>
      </c>
      <c r="BG412" t="s">
        <v>1</v>
      </c>
      <c r="BH412">
        <v>0</v>
      </c>
      <c r="BI412">
        <v>0</v>
      </c>
      <c r="BJ412" t="s">
        <v>1930</v>
      </c>
      <c r="BK412" t="s">
        <v>1</v>
      </c>
      <c r="BL412" t="s">
        <v>132</v>
      </c>
      <c r="BM412">
        <v>0</v>
      </c>
      <c r="BN412">
        <v>12900</v>
      </c>
      <c r="BO412">
        <v>0</v>
      </c>
      <c r="BP412">
        <v>0</v>
      </c>
      <c r="BQ412">
        <v>0</v>
      </c>
      <c r="BR412" t="s">
        <v>1</v>
      </c>
      <c r="BS412" t="s">
        <v>1</v>
      </c>
      <c r="BT412" t="s">
        <v>1</v>
      </c>
      <c r="BU412" t="s">
        <v>1</v>
      </c>
      <c r="BV412" t="s">
        <v>1</v>
      </c>
      <c r="BW412" t="s">
        <v>360</v>
      </c>
      <c r="BX412" t="s">
        <v>1</v>
      </c>
      <c r="BY412">
        <v>0</v>
      </c>
      <c r="BZ412">
        <v>0</v>
      </c>
      <c r="CA412">
        <v>0</v>
      </c>
      <c r="CB412">
        <v>0</v>
      </c>
      <c r="CD412" t="str" cm="1">
        <f t="array" aca="1" ref="CD412" ca="1">eConcatenar(A412:CB412,"|")</f>
        <v>iw4wlGoMqzA3eQQs|VSA2020-1204|3|IMPERIAL DE LUJO|TABASCO|VILLAHERMOSA |VILLAHERMOSA |2020-11-24|12900|X|X|100|0|0|X|X|X|X|X|X|X|X|X|X|X|X|0|RODRIGUEZ |LOPEZ |JAVIER|0|X|X|PASEO DEL JAGUAR MANZANA 1 LOTE 2 |FRACCIONAMIENTO POMOCA NACAJUCA |X|9932064822|DARVELIA PEREZ ZARRACINO|RUBEN RODRIGUEZ LOPEZ |0|PASEO DEL JAGUAR MANZANA 1 LOTE 2 |X|4|0|0|X|X|X|0|7690|5210|0|0|X|2021-03-12|2021-10-12|X|X|X|0|0|S35D6D3Y9KVTQ2|X|HOMBRE|0|12900|0|0|0|X|X|X|X|X|VILLAHERMOSA |X|0|0|0|0</v>
      </c>
    </row>
    <row r="413" spans="1:82" x14ac:dyDescent="0.25">
      <c r="A413" t="s">
        <v>2990</v>
      </c>
      <c r="B413" t="s">
        <v>2991</v>
      </c>
      <c r="C413">
        <v>3</v>
      </c>
      <c r="D413" t="s">
        <v>715</v>
      </c>
      <c r="E413" t="s">
        <v>359</v>
      </c>
      <c r="F413" t="s">
        <v>360</v>
      </c>
      <c r="G413" t="s">
        <v>360</v>
      </c>
      <c r="H413" t="s">
        <v>2985</v>
      </c>
      <c r="I413">
        <v>12900</v>
      </c>
      <c r="J413" t="s">
        <v>1</v>
      </c>
      <c r="K413" t="s">
        <v>1</v>
      </c>
      <c r="L413">
        <v>100</v>
      </c>
      <c r="M413">
        <v>0</v>
      </c>
      <c r="N413">
        <v>0</v>
      </c>
      <c r="O413" t="s">
        <v>1</v>
      </c>
      <c r="P413" t="s">
        <v>1</v>
      </c>
      <c r="Q413" t="s">
        <v>1</v>
      </c>
      <c r="R413" t="s">
        <v>1</v>
      </c>
      <c r="S413" t="s">
        <v>1</v>
      </c>
      <c r="T413" t="s">
        <v>1</v>
      </c>
      <c r="U413" t="s">
        <v>1</v>
      </c>
      <c r="V413" t="s">
        <v>1</v>
      </c>
      <c r="W413" t="s">
        <v>1</v>
      </c>
      <c r="X413" t="s">
        <v>1</v>
      </c>
      <c r="Y413" t="s">
        <v>1</v>
      </c>
      <c r="Z413" t="s">
        <v>1</v>
      </c>
      <c r="AA413">
        <v>0</v>
      </c>
      <c r="AB413" t="s">
        <v>15</v>
      </c>
      <c r="AC413" t="s">
        <v>2323</v>
      </c>
      <c r="AD413" t="s">
        <v>2947</v>
      </c>
      <c r="AE413">
        <v>0</v>
      </c>
      <c r="AF413" t="s">
        <v>1</v>
      </c>
      <c r="AG413" t="s">
        <v>1</v>
      </c>
      <c r="AH413" t="s">
        <v>2992</v>
      </c>
      <c r="AI413" t="s">
        <v>2993</v>
      </c>
      <c r="AJ413" t="s">
        <v>1</v>
      </c>
      <c r="AK413">
        <v>9935614236</v>
      </c>
      <c r="AL413" t="s">
        <v>2994</v>
      </c>
      <c r="AM413" t="s">
        <v>2995</v>
      </c>
      <c r="AN413">
        <v>0</v>
      </c>
      <c r="AO413" t="s">
        <v>2992</v>
      </c>
      <c r="AP413" t="s">
        <v>1</v>
      </c>
      <c r="AQ413">
        <v>4</v>
      </c>
      <c r="AR413">
        <v>0</v>
      </c>
      <c r="AS413">
        <v>0</v>
      </c>
      <c r="AT413" t="s">
        <v>1</v>
      </c>
      <c r="AU413" t="s">
        <v>1</v>
      </c>
      <c r="AV413" t="s">
        <v>1</v>
      </c>
      <c r="AW413">
        <v>0</v>
      </c>
      <c r="AX413">
        <v>3400</v>
      </c>
      <c r="AY413">
        <v>9500</v>
      </c>
      <c r="AZ413">
        <v>0</v>
      </c>
      <c r="BA413">
        <v>0</v>
      </c>
      <c r="BB413" t="s">
        <v>1</v>
      </c>
      <c r="BC413" t="s">
        <v>863</v>
      </c>
      <c r="BD413" t="s">
        <v>2233</v>
      </c>
      <c r="BE413" t="s">
        <v>1</v>
      </c>
      <c r="BF413" t="s">
        <v>1</v>
      </c>
      <c r="BG413" t="s">
        <v>1</v>
      </c>
      <c r="BH413">
        <v>0</v>
      </c>
      <c r="BI413">
        <v>0</v>
      </c>
      <c r="BJ413" t="s">
        <v>1930</v>
      </c>
      <c r="BK413" t="s">
        <v>1</v>
      </c>
      <c r="BL413" t="s">
        <v>1138</v>
      </c>
      <c r="BM413">
        <v>0</v>
      </c>
      <c r="BN413">
        <v>12900</v>
      </c>
      <c r="BO413">
        <v>0</v>
      </c>
      <c r="BP413">
        <v>0</v>
      </c>
      <c r="BQ413">
        <v>0</v>
      </c>
      <c r="BR413" t="s">
        <v>1</v>
      </c>
      <c r="BS413" t="s">
        <v>1</v>
      </c>
      <c r="BT413" t="s">
        <v>1</v>
      </c>
      <c r="BU413" t="s">
        <v>1</v>
      </c>
      <c r="BV413" t="s">
        <v>1</v>
      </c>
      <c r="BW413" t="s">
        <v>360</v>
      </c>
      <c r="BX413" t="s">
        <v>1</v>
      </c>
      <c r="BY413">
        <v>0</v>
      </c>
      <c r="BZ413">
        <v>0</v>
      </c>
      <c r="CA413">
        <v>0</v>
      </c>
      <c r="CB413">
        <v>0</v>
      </c>
      <c r="CD413" t="str" cm="1">
        <f t="array" aca="1" ref="CD413" ca="1">eConcatenar(A413:CB413,"|")</f>
        <v>lXpg1Th6N0nGv99M|VSA2020-1210|3|IMPERIAL DE LUJO|TABASCO|VILLAHERMOSA |VILLAHERMOSA |2020-11-24|12900|X|X|100|0|0|X|X|X|X|X|X|X|X|X|X|X|X|0|PEREZ |GALLEGOS |LETICIA |0|X|X|SECTOR 4 CIRCUITO VALLE |FRACCIONAMIENTO VALLE REAL POMOCA |X|9935614236|JUAN ANTONIO ARZAT PEREZ |CARMITA CRUZ PEREZ |0|SECTOR 4 CIRCUITO VALLE |X|4|0|0|X|X|X|0|3400|9500|0|0|X|2021-03-12|2021-10-12|X|X|X|0|0|S35D6D3Y9KVTQ2|X|MUJER|0|12900|0|0|0|X|X|X|X|X|VILLAHERMOSA |X|0|0|0|0</v>
      </c>
    </row>
    <row r="414" spans="1:82" x14ac:dyDescent="0.25">
      <c r="A414" t="s">
        <v>2996</v>
      </c>
      <c r="B414" t="s">
        <v>2997</v>
      </c>
      <c r="C414">
        <v>3</v>
      </c>
      <c r="D414" t="s">
        <v>715</v>
      </c>
      <c r="E414" t="s">
        <v>359</v>
      </c>
      <c r="F414" t="s">
        <v>360</v>
      </c>
      <c r="G414" t="s">
        <v>360</v>
      </c>
      <c r="H414" t="s">
        <v>2998</v>
      </c>
      <c r="I414">
        <v>12900</v>
      </c>
      <c r="J414" t="s">
        <v>1</v>
      </c>
      <c r="K414" t="s">
        <v>1</v>
      </c>
      <c r="L414">
        <v>100</v>
      </c>
      <c r="M414">
        <v>0</v>
      </c>
      <c r="N414">
        <v>0</v>
      </c>
      <c r="O414" t="s">
        <v>1</v>
      </c>
      <c r="P414" t="s">
        <v>1</v>
      </c>
      <c r="Q414" t="s">
        <v>1</v>
      </c>
      <c r="R414" t="s">
        <v>1</v>
      </c>
      <c r="S414" t="s">
        <v>1</v>
      </c>
      <c r="T414" t="s">
        <v>1</v>
      </c>
      <c r="U414" t="s">
        <v>1</v>
      </c>
      <c r="V414" t="s">
        <v>1</v>
      </c>
      <c r="W414" t="s">
        <v>1</v>
      </c>
      <c r="X414" t="s">
        <v>1</v>
      </c>
      <c r="Y414" t="s">
        <v>1</v>
      </c>
      <c r="Z414" t="s">
        <v>1</v>
      </c>
      <c r="AA414">
        <v>0</v>
      </c>
      <c r="AB414" t="s">
        <v>921</v>
      </c>
      <c r="AC414" t="s">
        <v>7</v>
      </c>
      <c r="AD414" t="s">
        <v>2999</v>
      </c>
      <c r="AE414">
        <v>0</v>
      </c>
      <c r="AF414" t="s">
        <v>1</v>
      </c>
      <c r="AG414" t="s">
        <v>1</v>
      </c>
      <c r="AH414" t="s">
        <v>3000</v>
      </c>
      <c r="AI414" t="s">
        <v>3001</v>
      </c>
      <c r="AJ414" t="s">
        <v>1</v>
      </c>
      <c r="AK414">
        <v>9933839939</v>
      </c>
      <c r="AL414" t="s">
        <v>3002</v>
      </c>
      <c r="AM414" t="s">
        <v>3003</v>
      </c>
      <c r="AN414">
        <v>0</v>
      </c>
      <c r="AO414" t="s">
        <v>3000</v>
      </c>
      <c r="AP414" t="s">
        <v>1</v>
      </c>
      <c r="AQ414">
        <v>4</v>
      </c>
      <c r="AR414">
        <v>0</v>
      </c>
      <c r="AS414">
        <v>0</v>
      </c>
      <c r="AT414" t="s">
        <v>1</v>
      </c>
      <c r="AU414" t="s">
        <v>1</v>
      </c>
      <c r="AV414" t="s">
        <v>1</v>
      </c>
      <c r="AW414">
        <v>0</v>
      </c>
      <c r="AX414">
        <v>4800</v>
      </c>
      <c r="AY414">
        <v>8100</v>
      </c>
      <c r="AZ414">
        <v>0</v>
      </c>
      <c r="BA414">
        <v>0</v>
      </c>
      <c r="BB414" t="s">
        <v>1</v>
      </c>
      <c r="BC414" t="s">
        <v>2233</v>
      </c>
      <c r="BD414" t="s">
        <v>1954</v>
      </c>
      <c r="BE414" t="s">
        <v>1</v>
      </c>
      <c r="BF414" t="s">
        <v>1</v>
      </c>
      <c r="BG414" t="s">
        <v>1</v>
      </c>
      <c r="BH414">
        <v>0</v>
      </c>
      <c r="BI414">
        <v>0</v>
      </c>
      <c r="BJ414" t="s">
        <v>1930</v>
      </c>
      <c r="BK414" t="s">
        <v>1</v>
      </c>
      <c r="BL414" t="s">
        <v>132</v>
      </c>
      <c r="BM414">
        <v>0</v>
      </c>
      <c r="BN414">
        <v>12900</v>
      </c>
      <c r="BO414">
        <v>0</v>
      </c>
      <c r="BP414">
        <v>0</v>
      </c>
      <c r="BQ414">
        <v>0</v>
      </c>
      <c r="BR414" t="s">
        <v>1</v>
      </c>
      <c r="BS414" t="s">
        <v>1</v>
      </c>
      <c r="BT414" t="s">
        <v>1</v>
      </c>
      <c r="BU414" t="s">
        <v>1</v>
      </c>
      <c r="BV414" t="s">
        <v>1</v>
      </c>
      <c r="BW414" t="s">
        <v>360</v>
      </c>
      <c r="BX414" t="s">
        <v>1</v>
      </c>
      <c r="BY414">
        <v>0</v>
      </c>
      <c r="BZ414">
        <v>0</v>
      </c>
      <c r="CA414">
        <v>0</v>
      </c>
      <c r="CB414">
        <v>0</v>
      </c>
      <c r="CD414" t="str" cm="1">
        <f t="array" aca="1" ref="CD414" ca="1">eConcatenar(A414:CB414,"|")</f>
        <v>S3j7ZEejTDSOL0vl|VSA2020-1231|3|IMPERIAL DE LUJO|TABASCO|VILLAHERMOSA |VILLAHERMOSA |2020-11-26|12900|X|X|100|0|0|X|X|X|X|X|X|X|X|X|X|X|X|0|RODRIGUEZ |LOPEZ|RUBEN |0|X|X|CALLE QUETZALES MANZANA 34 LOTE 10|COLONIA ISABEL DE LA PARRA |X|9933839939|AMELIA PEREZ SARRACINO|JAVIER RODRIGUEZ LOPEZ |0|CALLE QUETZALES MANZANA 34 LOTE 10|X|4|0|0|X|X|X|0|4800|8100|0|0|X|2021-10-12|2021-12-17|X|X|X|0|0|S35D6D3Y9KVTQ2|X|HOMBRE|0|12900|0|0|0|X|X|X|X|X|VILLAHERMOSA |X|0|0|0|0</v>
      </c>
    </row>
    <row r="415" spans="1:82" x14ac:dyDescent="0.25">
      <c r="A415" t="s">
        <v>3004</v>
      </c>
      <c r="B415" t="s">
        <v>3005</v>
      </c>
      <c r="C415">
        <v>3</v>
      </c>
      <c r="D415" t="s">
        <v>715</v>
      </c>
      <c r="E415" t="s">
        <v>359</v>
      </c>
      <c r="F415" t="s">
        <v>360</v>
      </c>
      <c r="G415" t="s">
        <v>360</v>
      </c>
      <c r="H415" t="s">
        <v>790</v>
      </c>
      <c r="I415">
        <v>12900</v>
      </c>
      <c r="J415" t="s">
        <v>1</v>
      </c>
      <c r="K415" t="s">
        <v>1</v>
      </c>
      <c r="L415">
        <v>100</v>
      </c>
      <c r="M415">
        <v>0</v>
      </c>
      <c r="N415">
        <v>0</v>
      </c>
      <c r="O415" t="s">
        <v>1</v>
      </c>
      <c r="P415" t="s">
        <v>1</v>
      </c>
      <c r="Q415" t="s">
        <v>1</v>
      </c>
      <c r="R415" t="s">
        <v>1</v>
      </c>
      <c r="S415" t="s">
        <v>1</v>
      </c>
      <c r="T415" t="s">
        <v>1</v>
      </c>
      <c r="U415" t="s">
        <v>1</v>
      </c>
      <c r="V415" t="s">
        <v>1</v>
      </c>
      <c r="W415" t="s">
        <v>1</v>
      </c>
      <c r="X415" t="s">
        <v>1</v>
      </c>
      <c r="Y415" t="s">
        <v>1</v>
      </c>
      <c r="Z415" t="s">
        <v>1</v>
      </c>
      <c r="AA415">
        <v>0</v>
      </c>
      <c r="AB415" t="s">
        <v>1029</v>
      </c>
      <c r="AC415" t="s">
        <v>993</v>
      </c>
      <c r="AD415" t="s">
        <v>3006</v>
      </c>
      <c r="AE415">
        <v>0</v>
      </c>
      <c r="AF415" t="s">
        <v>1</v>
      </c>
      <c r="AG415" t="s">
        <v>1</v>
      </c>
      <c r="AH415" t="s">
        <v>3007</v>
      </c>
      <c r="AI415" t="s">
        <v>2821</v>
      </c>
      <c r="AJ415" t="s">
        <v>1</v>
      </c>
      <c r="AK415">
        <v>9931044117</v>
      </c>
      <c r="AL415" t="s">
        <v>3008</v>
      </c>
      <c r="AM415" t="s">
        <v>3009</v>
      </c>
      <c r="AN415">
        <v>0</v>
      </c>
      <c r="AO415" t="s">
        <v>3007</v>
      </c>
      <c r="AP415" t="s">
        <v>1</v>
      </c>
      <c r="AQ415">
        <v>4</v>
      </c>
      <c r="AR415">
        <v>0</v>
      </c>
      <c r="AS415">
        <v>0</v>
      </c>
      <c r="AT415" t="s">
        <v>1</v>
      </c>
      <c r="AU415" t="s">
        <v>1</v>
      </c>
      <c r="AV415" t="s">
        <v>1</v>
      </c>
      <c r="AW415">
        <v>0</v>
      </c>
      <c r="AX415">
        <v>4700</v>
      </c>
      <c r="AY415">
        <v>8200</v>
      </c>
      <c r="AZ415">
        <v>0</v>
      </c>
      <c r="BA415">
        <v>0</v>
      </c>
      <c r="BB415" t="s">
        <v>1</v>
      </c>
      <c r="BC415" t="s">
        <v>312</v>
      </c>
      <c r="BD415" t="s">
        <v>147</v>
      </c>
      <c r="BE415" t="s">
        <v>1</v>
      </c>
      <c r="BF415" t="s">
        <v>1</v>
      </c>
      <c r="BG415" t="s">
        <v>1</v>
      </c>
      <c r="BH415">
        <v>0</v>
      </c>
      <c r="BI415">
        <v>0</v>
      </c>
      <c r="BJ415" t="s">
        <v>1930</v>
      </c>
      <c r="BK415" t="s">
        <v>1</v>
      </c>
      <c r="BL415" t="s">
        <v>1138</v>
      </c>
      <c r="BM415">
        <v>0</v>
      </c>
      <c r="BN415">
        <v>12900</v>
      </c>
      <c r="BO415">
        <v>0</v>
      </c>
      <c r="BP415">
        <v>0</v>
      </c>
      <c r="BQ415">
        <v>0</v>
      </c>
      <c r="BR415" t="s">
        <v>1</v>
      </c>
      <c r="BS415" t="s">
        <v>1</v>
      </c>
      <c r="BT415" t="s">
        <v>1</v>
      </c>
      <c r="BU415" t="s">
        <v>1</v>
      </c>
      <c r="BV415" t="s">
        <v>1</v>
      </c>
      <c r="BW415" t="s">
        <v>360</v>
      </c>
      <c r="BX415" t="s">
        <v>1</v>
      </c>
      <c r="BY415">
        <v>0</v>
      </c>
      <c r="BZ415">
        <v>0</v>
      </c>
      <c r="CA415">
        <v>0</v>
      </c>
      <c r="CB415">
        <v>0</v>
      </c>
      <c r="CD415" t="str" cm="1">
        <f t="array" aca="1" ref="CD415" ca="1">eConcatenar(A415:CB415,"|")</f>
        <v>1DZQVl7FfvHGT2f4|VSA2020-1244|3|IMPERIAL DE LUJO|TABASCO|VILLAHERMOSA |VILLAHERMOSA |2020-11-27|12900|X|X|100|0|0|X|X|X|X|X|X|X|X|X|X|X|X|0|LEON|CONTRERAS|KARINA |0|X|X|CIRCUITO VALLE DE TOLUCA MANZANA 18 MODULO 10CASA 3 |FRACCIONAMIENTO POMOCA NACAJUCA |X|9931044117|FELIZ E.MARTINEZ DE LOS SANTOS |ELSY LEON CONTRERAS|0|CIRCUITO VALLE DE TOLUCA MANZANA 18 MODULO 10CASA 3 |X|4|0|0|X|X|X|0|4700|8200|0|0|X|2021-12-24|2021-12-31|X|X|X|0|0|S35D6D3Y9KVTQ2|X|MUJER|0|12900|0|0|0|X|X|X|X|X|VILLAHERMOSA |X|0|0|0|0</v>
      </c>
    </row>
    <row r="416" spans="1:82" x14ac:dyDescent="0.25">
      <c r="A416" t="s">
        <v>3010</v>
      </c>
      <c r="B416" t="s">
        <v>3011</v>
      </c>
      <c r="C416">
        <v>3</v>
      </c>
      <c r="D416" t="s">
        <v>715</v>
      </c>
      <c r="E416" t="s">
        <v>359</v>
      </c>
      <c r="F416" t="s">
        <v>360</v>
      </c>
      <c r="G416" t="s">
        <v>360</v>
      </c>
      <c r="H416" t="s">
        <v>790</v>
      </c>
      <c r="I416">
        <v>12900</v>
      </c>
      <c r="J416" t="s">
        <v>1</v>
      </c>
      <c r="K416" t="s">
        <v>1</v>
      </c>
      <c r="L416">
        <v>100</v>
      </c>
      <c r="M416">
        <v>0</v>
      </c>
      <c r="N416">
        <v>0</v>
      </c>
      <c r="O416" t="s">
        <v>1</v>
      </c>
      <c r="P416" t="s">
        <v>1</v>
      </c>
      <c r="Q416" t="s">
        <v>1</v>
      </c>
      <c r="R416" t="s">
        <v>1</v>
      </c>
      <c r="S416" t="s">
        <v>1</v>
      </c>
      <c r="T416" t="s">
        <v>1</v>
      </c>
      <c r="U416" t="s">
        <v>1</v>
      </c>
      <c r="V416" t="s">
        <v>1</v>
      </c>
      <c r="W416" t="s">
        <v>1</v>
      </c>
      <c r="X416" t="s">
        <v>1</v>
      </c>
      <c r="Y416" t="s">
        <v>1</v>
      </c>
      <c r="Z416" t="s">
        <v>1</v>
      </c>
      <c r="AA416">
        <v>0</v>
      </c>
      <c r="AB416" t="s">
        <v>3012</v>
      </c>
      <c r="AC416" t="s">
        <v>1211</v>
      </c>
      <c r="AD416" t="s">
        <v>2865</v>
      </c>
      <c r="AE416">
        <v>0</v>
      </c>
      <c r="AF416" t="s">
        <v>1</v>
      </c>
      <c r="AG416" t="s">
        <v>1</v>
      </c>
      <c r="AH416" t="s">
        <v>3013</v>
      </c>
      <c r="AI416" t="s">
        <v>3014</v>
      </c>
      <c r="AJ416" t="s">
        <v>1</v>
      </c>
      <c r="AK416">
        <v>9933416474</v>
      </c>
      <c r="AL416" t="s">
        <v>3015</v>
      </c>
      <c r="AM416" t="s">
        <v>3016</v>
      </c>
      <c r="AN416">
        <v>0</v>
      </c>
      <c r="AO416" t="s">
        <v>3013</v>
      </c>
      <c r="AP416" t="s">
        <v>1</v>
      </c>
      <c r="AQ416">
        <v>5</v>
      </c>
      <c r="AR416">
        <v>0</v>
      </c>
      <c r="AS416">
        <v>0</v>
      </c>
      <c r="AT416" t="s">
        <v>1</v>
      </c>
      <c r="AU416" t="s">
        <v>1</v>
      </c>
      <c r="AV416" t="s">
        <v>1</v>
      </c>
      <c r="AW416">
        <v>0</v>
      </c>
      <c r="AX416">
        <v>2500</v>
      </c>
      <c r="AY416">
        <v>10400</v>
      </c>
      <c r="AZ416">
        <v>0</v>
      </c>
      <c r="BA416">
        <v>0</v>
      </c>
      <c r="BB416" t="s">
        <v>1</v>
      </c>
      <c r="BC416" t="s">
        <v>2208</v>
      </c>
      <c r="BD416" t="s">
        <v>2593</v>
      </c>
      <c r="BE416" t="s">
        <v>1</v>
      </c>
      <c r="BF416" t="s">
        <v>1</v>
      </c>
      <c r="BG416" t="s">
        <v>1</v>
      </c>
      <c r="BH416">
        <v>0</v>
      </c>
      <c r="BI416">
        <v>0</v>
      </c>
      <c r="BJ416" t="s">
        <v>1930</v>
      </c>
      <c r="BK416" t="s">
        <v>1</v>
      </c>
      <c r="BL416" t="s">
        <v>1138</v>
      </c>
      <c r="BM416">
        <v>0</v>
      </c>
      <c r="BN416">
        <v>12900</v>
      </c>
      <c r="BO416">
        <v>0</v>
      </c>
      <c r="BP416">
        <v>0</v>
      </c>
      <c r="BQ416">
        <v>0</v>
      </c>
      <c r="BR416" t="s">
        <v>1</v>
      </c>
      <c r="BS416" t="s">
        <v>1</v>
      </c>
      <c r="BT416" t="s">
        <v>1</v>
      </c>
      <c r="BU416" t="s">
        <v>1</v>
      </c>
      <c r="BV416" t="s">
        <v>1</v>
      </c>
      <c r="BW416" t="s">
        <v>360</v>
      </c>
      <c r="BX416" t="s">
        <v>1</v>
      </c>
      <c r="BY416">
        <v>0</v>
      </c>
      <c r="BZ416">
        <v>0</v>
      </c>
      <c r="CA416">
        <v>0</v>
      </c>
      <c r="CB416">
        <v>0</v>
      </c>
      <c r="CD416" t="str" cm="1">
        <f t="array" aca="1" ref="CD416" ca="1">eConcatenar(A416:CB416,"|")</f>
        <v>P5mTjzeeeQUVBd8f|VSA2020-1248|3|IMPERIAL DE LUJO|TABASCO|VILLAHERMOSA |VILLAHERMOSA |2020-11-27|12900|X|X|100|0|0|X|X|X|X|X|X|X|X|X|X|X|X|0|CHAVEZ|DE LA CRUZ |VICTORIA |0|X|X|ANDADOR EL GARROBO MANZANA 82 LOTE 9 |FRACCIONAMIENTO LA SELVA |X|9933416474|MARTHA LOZANO CHAVEZ|PABLO LOZANO CHAVEZ |0|ANDADOR EL GARROBO MANZANA 82 LOTE 9 |X|5|0|0|X|X|X|0|2500|10400|0|0|X|2021-12-13|2021-12-25|X|X|X|0|0|S35D6D3Y9KVTQ2|X|MUJER|0|12900|0|0|0|X|X|X|X|X|VILLAHERMOSA |X|0|0|0|0</v>
      </c>
    </row>
    <row r="417" spans="1:82" x14ac:dyDescent="0.25">
      <c r="A417" t="s">
        <v>3017</v>
      </c>
      <c r="B417" t="s">
        <v>3018</v>
      </c>
      <c r="C417">
        <v>3</v>
      </c>
      <c r="D417" t="s">
        <v>715</v>
      </c>
      <c r="E417" t="s">
        <v>359</v>
      </c>
      <c r="F417" t="s">
        <v>360</v>
      </c>
      <c r="G417" t="s">
        <v>360</v>
      </c>
      <c r="H417" t="s">
        <v>1490</v>
      </c>
      <c r="I417">
        <v>12900</v>
      </c>
      <c r="J417" t="s">
        <v>1</v>
      </c>
      <c r="K417" t="s">
        <v>1</v>
      </c>
      <c r="L417">
        <v>100</v>
      </c>
      <c r="M417">
        <v>0</v>
      </c>
      <c r="N417">
        <v>0</v>
      </c>
      <c r="O417" t="s">
        <v>1</v>
      </c>
      <c r="P417" t="s">
        <v>1</v>
      </c>
      <c r="Q417" t="s">
        <v>1</v>
      </c>
      <c r="R417" t="s">
        <v>1</v>
      </c>
      <c r="S417" t="s">
        <v>1</v>
      </c>
      <c r="T417" t="s">
        <v>1</v>
      </c>
      <c r="U417" t="s">
        <v>1</v>
      </c>
      <c r="V417" t="s">
        <v>1</v>
      </c>
      <c r="W417" t="s">
        <v>1</v>
      </c>
      <c r="X417" t="s">
        <v>1</v>
      </c>
      <c r="Y417" t="s">
        <v>1</v>
      </c>
      <c r="Z417" t="s">
        <v>1</v>
      </c>
      <c r="AA417">
        <v>0</v>
      </c>
      <c r="AB417" t="s">
        <v>584</v>
      </c>
      <c r="AC417" t="s">
        <v>3019</v>
      </c>
      <c r="AD417" t="s">
        <v>3020</v>
      </c>
      <c r="AE417">
        <v>0</v>
      </c>
      <c r="AF417" t="s">
        <v>1</v>
      </c>
      <c r="AG417" t="s">
        <v>1</v>
      </c>
      <c r="AH417" t="s">
        <v>3021</v>
      </c>
      <c r="AI417" t="s">
        <v>2412</v>
      </c>
      <c r="AJ417" t="s">
        <v>1</v>
      </c>
      <c r="AK417">
        <v>9933489907</v>
      </c>
      <c r="AL417" t="s">
        <v>3022</v>
      </c>
      <c r="AM417" t="s">
        <v>3023</v>
      </c>
      <c r="AN417">
        <v>0</v>
      </c>
      <c r="AO417" t="s">
        <v>3021</v>
      </c>
      <c r="AP417" t="s">
        <v>1</v>
      </c>
      <c r="AQ417">
        <v>4</v>
      </c>
      <c r="AR417">
        <v>0</v>
      </c>
      <c r="AS417">
        <v>0</v>
      </c>
      <c r="AT417" t="s">
        <v>1</v>
      </c>
      <c r="AU417" t="s">
        <v>1</v>
      </c>
      <c r="AV417" t="s">
        <v>1</v>
      </c>
      <c r="AW417">
        <v>0</v>
      </c>
      <c r="AX417">
        <v>4800</v>
      </c>
      <c r="AY417">
        <v>8100</v>
      </c>
      <c r="AZ417">
        <v>0</v>
      </c>
      <c r="BA417">
        <v>0</v>
      </c>
      <c r="BB417" t="s">
        <v>1</v>
      </c>
      <c r="BC417" t="s">
        <v>312</v>
      </c>
      <c r="BD417" t="s">
        <v>147</v>
      </c>
      <c r="BE417" t="s">
        <v>1</v>
      </c>
      <c r="BF417" t="s">
        <v>1</v>
      </c>
      <c r="BG417" t="s">
        <v>1</v>
      </c>
      <c r="BH417">
        <v>0</v>
      </c>
      <c r="BI417">
        <v>0</v>
      </c>
      <c r="BJ417" t="s">
        <v>1930</v>
      </c>
      <c r="BK417" t="s">
        <v>1</v>
      </c>
      <c r="BL417" t="s">
        <v>1138</v>
      </c>
      <c r="BM417">
        <v>0</v>
      </c>
      <c r="BN417">
        <v>12900</v>
      </c>
      <c r="BO417">
        <v>0</v>
      </c>
      <c r="BP417">
        <v>0</v>
      </c>
      <c r="BQ417">
        <v>0</v>
      </c>
      <c r="BR417" t="s">
        <v>1</v>
      </c>
      <c r="BS417" t="s">
        <v>1</v>
      </c>
      <c r="BT417" t="s">
        <v>1</v>
      </c>
      <c r="BU417" t="s">
        <v>1</v>
      </c>
      <c r="BV417" t="s">
        <v>1</v>
      </c>
      <c r="BW417" t="s">
        <v>360</v>
      </c>
      <c r="BX417" t="s">
        <v>1</v>
      </c>
      <c r="BY417">
        <v>0</v>
      </c>
      <c r="BZ417">
        <v>0</v>
      </c>
      <c r="CA417">
        <v>0</v>
      </c>
      <c r="CB417">
        <v>0</v>
      </c>
      <c r="CD417" t="str" cm="1">
        <f t="array" aca="1" ref="CD417" ca="1">eConcatenar(A417:CB417,"|")</f>
        <v>wFV051UPCqXhxb2T|VSA2020-1267|3|IMPERIAL DE LUJO|TABASCO|VILLAHERMOSA |VILLAHERMOSA |2020-11-21|12900|X|X|100|0|0|X|X|X|X|X|X|X|X|X|X|X|X|0|HERNANDEZ |ROJAS |PERLA GUADALUPE |0|X|X|CERRADA VICTORIA B DEPARTAMENTO 1.5  SECTOR 3 MANZANA 23|FRACCIONAMIENTO POMOCA |X|9933489907|NORMA HERNANDEZ ROJAS |LETICIA HERNANDEZ ROJAS |0|CERRADA VICTORIA B DEPARTAMENTO 1.5  SECTOR 3 MANZANA 23|X|4|0|0|X|X|X|0|4800|8100|0|0|X|2021-12-24|2021-12-31|X|X|X|0|0|S35D6D3Y9KVTQ2|X|MUJER|0|12900|0|0|0|X|X|X|X|X|VILLAHERMOSA |X|0|0|0|0</v>
      </c>
    </row>
    <row r="418" spans="1:82" x14ac:dyDescent="0.25">
      <c r="A418" t="s">
        <v>3024</v>
      </c>
      <c r="B418" t="s">
        <v>3025</v>
      </c>
      <c r="C418">
        <v>3</v>
      </c>
      <c r="D418" t="s">
        <v>715</v>
      </c>
      <c r="E418" t="s">
        <v>359</v>
      </c>
      <c r="F418" t="s">
        <v>360</v>
      </c>
      <c r="G418" t="s">
        <v>360</v>
      </c>
      <c r="H418" t="s">
        <v>3026</v>
      </c>
      <c r="I418">
        <v>12900</v>
      </c>
      <c r="J418" t="s">
        <v>1</v>
      </c>
      <c r="K418" t="s">
        <v>1</v>
      </c>
      <c r="L418">
        <v>100</v>
      </c>
      <c r="M418">
        <v>0</v>
      </c>
      <c r="N418">
        <v>0</v>
      </c>
      <c r="O418" t="s">
        <v>1</v>
      </c>
      <c r="P418" t="s">
        <v>1</v>
      </c>
      <c r="Q418" t="s">
        <v>1</v>
      </c>
      <c r="R418" t="s">
        <v>1</v>
      </c>
      <c r="S418" t="s">
        <v>1</v>
      </c>
      <c r="T418" t="s">
        <v>1</v>
      </c>
      <c r="U418" t="s">
        <v>1</v>
      </c>
      <c r="V418" t="s">
        <v>1</v>
      </c>
      <c r="W418" t="s">
        <v>1</v>
      </c>
      <c r="X418" t="s">
        <v>1</v>
      </c>
      <c r="Y418" t="s">
        <v>1</v>
      </c>
      <c r="Z418" t="s">
        <v>1</v>
      </c>
      <c r="AA418">
        <v>0</v>
      </c>
      <c r="AB418" t="s">
        <v>1211</v>
      </c>
      <c r="AC418" t="s">
        <v>922</v>
      </c>
      <c r="AD418" t="s">
        <v>3027</v>
      </c>
      <c r="AE418">
        <v>0</v>
      </c>
      <c r="AF418" t="s">
        <v>1</v>
      </c>
      <c r="AG418" t="s">
        <v>1</v>
      </c>
      <c r="AH418" t="s">
        <v>3028</v>
      </c>
      <c r="AI418" t="s">
        <v>3029</v>
      </c>
      <c r="AJ418" t="s">
        <v>1</v>
      </c>
      <c r="AK418">
        <v>9932885101</v>
      </c>
      <c r="AL418" t="s">
        <v>3030</v>
      </c>
      <c r="AM418" t="s">
        <v>3031</v>
      </c>
      <c r="AN418">
        <v>0</v>
      </c>
      <c r="AO418" t="s">
        <v>3028</v>
      </c>
      <c r="AP418" t="s">
        <v>1</v>
      </c>
      <c r="AQ418">
        <v>4</v>
      </c>
      <c r="AR418">
        <v>0</v>
      </c>
      <c r="AS418">
        <v>0</v>
      </c>
      <c r="AT418" t="s">
        <v>1</v>
      </c>
      <c r="AU418" t="s">
        <v>1</v>
      </c>
      <c r="AV418" t="s">
        <v>1</v>
      </c>
      <c r="AW418">
        <v>0</v>
      </c>
      <c r="AX418">
        <v>3900</v>
      </c>
      <c r="AY418">
        <v>9000</v>
      </c>
      <c r="AZ418">
        <v>0</v>
      </c>
      <c r="BA418">
        <v>0</v>
      </c>
      <c r="BB418" t="s">
        <v>1</v>
      </c>
      <c r="BC418" t="s">
        <v>729</v>
      </c>
      <c r="BD418" t="s">
        <v>1954</v>
      </c>
      <c r="BE418" t="s">
        <v>1</v>
      </c>
      <c r="BF418" t="s">
        <v>1</v>
      </c>
      <c r="BG418" t="s">
        <v>1</v>
      </c>
      <c r="BH418">
        <v>0</v>
      </c>
      <c r="BI418">
        <v>0</v>
      </c>
      <c r="BJ418" t="s">
        <v>1930</v>
      </c>
      <c r="BK418" t="s">
        <v>1</v>
      </c>
      <c r="BL418" t="s">
        <v>1138</v>
      </c>
      <c r="BM418">
        <v>0</v>
      </c>
      <c r="BN418">
        <v>12900</v>
      </c>
      <c r="BO418">
        <v>0</v>
      </c>
      <c r="BP418">
        <v>0</v>
      </c>
      <c r="BQ418">
        <v>0</v>
      </c>
      <c r="BR418" t="s">
        <v>1</v>
      </c>
      <c r="BS418" t="s">
        <v>1</v>
      </c>
      <c r="BT418" t="s">
        <v>1</v>
      </c>
      <c r="BU418" t="s">
        <v>1</v>
      </c>
      <c r="BV418" t="s">
        <v>1</v>
      </c>
      <c r="BW418" t="s">
        <v>360</v>
      </c>
      <c r="BX418" t="s">
        <v>1</v>
      </c>
      <c r="BY418">
        <v>0</v>
      </c>
      <c r="BZ418">
        <v>0</v>
      </c>
      <c r="CA418">
        <v>0</v>
      </c>
      <c r="CB418">
        <v>0</v>
      </c>
      <c r="CD418" t="str" cm="1">
        <f t="array" aca="1" ref="CD418" ca="1">eConcatenar(A418:CB418,"|")</f>
        <v>sMh0LHI6pfk8QEks|VSA2020-1277|3|IMPERIAL DE LUJO|TABASCO|VILLAHERMOSA |VILLAHERMOSA |2020-01-12|12900|X|X|100|0|0|X|X|X|X|X|X|X|X|X|X|X|X|0|DE LA CRUZ |CUPIL|ELIANA|0|X|X|CARRETERA PRINCIPAL VILLAHERMOSA|SALOYA SEGUNDA NACAJUCA |X|9932885101|GABRIEL OVANDO MARTINEZ|DIANA LISBET DE LA CRUZ CUPIL|0|CARRETERA PRINCIPAL VILLAHERMOSA|X|4|0|0|X|X|X|0|3900|9000|0|0|X|2021-09-12|2021-12-17|X|X|X|0|0|S35D6D3Y9KVTQ2|X|MUJER|0|12900|0|0|0|X|X|X|X|X|VILLAHERMOSA |X|0|0|0|0</v>
      </c>
    </row>
    <row r="419" spans="1:82" x14ac:dyDescent="0.25">
      <c r="A419" t="s">
        <v>3032</v>
      </c>
      <c r="B419" t="s">
        <v>3033</v>
      </c>
      <c r="C419">
        <v>3</v>
      </c>
      <c r="D419" t="s">
        <v>715</v>
      </c>
      <c r="E419" t="s">
        <v>359</v>
      </c>
      <c r="F419" t="s">
        <v>360</v>
      </c>
      <c r="G419" t="s">
        <v>360</v>
      </c>
      <c r="H419" t="s">
        <v>3034</v>
      </c>
      <c r="I419">
        <v>12900</v>
      </c>
      <c r="J419" t="s">
        <v>1</v>
      </c>
      <c r="K419" t="s">
        <v>1</v>
      </c>
      <c r="L419">
        <v>400</v>
      </c>
      <c r="M419">
        <v>2</v>
      </c>
      <c r="N419">
        <v>0</v>
      </c>
      <c r="O419" t="s">
        <v>1</v>
      </c>
      <c r="P419" t="s">
        <v>1</v>
      </c>
      <c r="Q419" t="s">
        <v>1</v>
      </c>
      <c r="R419" t="s">
        <v>1</v>
      </c>
      <c r="S419" t="s">
        <v>1</v>
      </c>
      <c r="T419" t="s">
        <v>1</v>
      </c>
      <c r="U419" t="s">
        <v>1</v>
      </c>
      <c r="V419" t="s">
        <v>1</v>
      </c>
      <c r="W419" t="s">
        <v>1</v>
      </c>
      <c r="X419" t="s">
        <v>1</v>
      </c>
      <c r="Y419" t="s">
        <v>1</v>
      </c>
      <c r="Z419" t="s">
        <v>1</v>
      </c>
      <c r="AA419">
        <v>0</v>
      </c>
      <c r="AB419" t="s">
        <v>2706</v>
      </c>
      <c r="AC419" t="s">
        <v>209</v>
      </c>
      <c r="AD419" t="s">
        <v>3035</v>
      </c>
      <c r="AE419">
        <v>0</v>
      </c>
      <c r="AF419" t="s">
        <v>1</v>
      </c>
      <c r="AG419" t="s">
        <v>1</v>
      </c>
      <c r="AH419" t="s">
        <v>3036</v>
      </c>
      <c r="AI419" t="s">
        <v>3037</v>
      </c>
      <c r="AJ419" t="s">
        <v>1</v>
      </c>
      <c r="AK419">
        <v>931305464</v>
      </c>
      <c r="AL419" t="s">
        <v>3038</v>
      </c>
      <c r="AM419" t="s">
        <v>3039</v>
      </c>
      <c r="AN419">
        <v>0</v>
      </c>
      <c r="AO419" t="s">
        <v>3036</v>
      </c>
      <c r="AP419" t="s">
        <v>1</v>
      </c>
      <c r="AQ419">
        <v>4</v>
      </c>
      <c r="AR419">
        <v>0</v>
      </c>
      <c r="AS419">
        <v>0</v>
      </c>
      <c r="AT419" t="s">
        <v>1</v>
      </c>
      <c r="AU419" t="s">
        <v>1</v>
      </c>
      <c r="AV419" t="s">
        <v>1</v>
      </c>
      <c r="AW419">
        <v>0</v>
      </c>
      <c r="AX419">
        <v>6400</v>
      </c>
      <c r="AY419">
        <v>6500</v>
      </c>
      <c r="AZ419">
        <v>0</v>
      </c>
      <c r="BA419">
        <v>0</v>
      </c>
      <c r="BB419" t="s">
        <v>1</v>
      </c>
      <c r="BC419" t="s">
        <v>863</v>
      </c>
      <c r="BD419" t="s">
        <v>2041</v>
      </c>
      <c r="BE419" t="s">
        <v>1</v>
      </c>
      <c r="BF419" t="s">
        <v>1</v>
      </c>
      <c r="BG419" t="s">
        <v>1</v>
      </c>
      <c r="BH419">
        <v>0</v>
      </c>
      <c r="BI419">
        <v>0</v>
      </c>
      <c r="BJ419" t="s">
        <v>1930</v>
      </c>
      <c r="BK419" t="s">
        <v>1</v>
      </c>
      <c r="BL419" t="s">
        <v>1138</v>
      </c>
      <c r="BM419">
        <v>0</v>
      </c>
      <c r="BN419">
        <v>12900</v>
      </c>
      <c r="BO419">
        <v>0</v>
      </c>
      <c r="BP419">
        <v>0</v>
      </c>
      <c r="BQ419">
        <v>0</v>
      </c>
      <c r="BR419" t="s">
        <v>1</v>
      </c>
      <c r="BS419" t="s">
        <v>1</v>
      </c>
      <c r="BT419" t="s">
        <v>1</v>
      </c>
      <c r="BU419" t="s">
        <v>1</v>
      </c>
      <c r="BV419" t="s">
        <v>1</v>
      </c>
      <c r="BW419" t="s">
        <v>360</v>
      </c>
      <c r="BX419" t="s">
        <v>1</v>
      </c>
      <c r="BY419">
        <v>0</v>
      </c>
      <c r="BZ419">
        <v>0</v>
      </c>
      <c r="CA419">
        <v>0</v>
      </c>
      <c r="CB419">
        <v>0</v>
      </c>
      <c r="CD419" t="str" cm="1">
        <f t="array" aca="1" ref="CD419" ca="1">eConcatenar(A419:CB419,"|")</f>
        <v>aVj9U8buy5svWn4N|VSA2020-1299|3|IMPERIAL DE LUJO|TABASCO|VILLAHERMOSA |VILLAHERMOSA |2020-05-12|12900|X|X|400|2|0|X|X|X|X|X|X|X|X|X|X|X|X|0|MONTEJO|SANCHEZ|MARTHA ELENA |0|X|X|CALLE 25 MANZANA 42 LOTE 38 |FRACCIONAMIENTO SANTA ELENA |X|931305464|NATIVIDAD ORTIZ AGUILAR |NATIVIDAD ORTIZ MONTEJO |0|CALLE 25 MANZANA 42 LOTE 38 |X|4|0|0|X|X|X|0|6400|6500|0|0|X|2021-03-12|2022-03-01|X|X|X|0|0|S35D6D3Y9KVTQ2|X|MUJER|0|12900|0|0|0|X|X|X|X|X|VILLAHERMOSA |X|0|0|0|0</v>
      </c>
    </row>
    <row r="420" spans="1:82" x14ac:dyDescent="0.25">
      <c r="A420" t="s">
        <v>3040</v>
      </c>
      <c r="B420" t="s">
        <v>3041</v>
      </c>
      <c r="C420">
        <v>3</v>
      </c>
      <c r="D420" t="s">
        <v>715</v>
      </c>
      <c r="E420" t="s">
        <v>359</v>
      </c>
      <c r="F420" t="s">
        <v>360</v>
      </c>
      <c r="G420" t="s">
        <v>360</v>
      </c>
      <c r="H420" t="s">
        <v>2563</v>
      </c>
      <c r="I420">
        <v>12900</v>
      </c>
      <c r="J420" t="s">
        <v>1</v>
      </c>
      <c r="K420" t="s">
        <v>1</v>
      </c>
      <c r="L420">
        <v>200</v>
      </c>
      <c r="M420">
        <v>1</v>
      </c>
      <c r="N420">
        <v>0</v>
      </c>
      <c r="O420" t="s">
        <v>1</v>
      </c>
      <c r="P420" t="s">
        <v>1</v>
      </c>
      <c r="Q420" t="s">
        <v>1</v>
      </c>
      <c r="R420" t="s">
        <v>1</v>
      </c>
      <c r="S420" t="s">
        <v>1</v>
      </c>
      <c r="T420" t="s">
        <v>1</v>
      </c>
      <c r="U420" t="s">
        <v>1</v>
      </c>
      <c r="V420" t="s">
        <v>1</v>
      </c>
      <c r="W420" t="s">
        <v>1</v>
      </c>
      <c r="X420" t="s">
        <v>1</v>
      </c>
      <c r="Y420" t="s">
        <v>1</v>
      </c>
      <c r="Z420" t="s">
        <v>1</v>
      </c>
      <c r="AA420">
        <v>0</v>
      </c>
      <c r="AB420" t="s">
        <v>236</v>
      </c>
      <c r="AC420" t="s">
        <v>236</v>
      </c>
      <c r="AD420" t="s">
        <v>3042</v>
      </c>
      <c r="AE420">
        <v>0</v>
      </c>
      <c r="AF420" t="s">
        <v>1</v>
      </c>
      <c r="AG420" t="s">
        <v>1</v>
      </c>
      <c r="AH420" t="s">
        <v>3043</v>
      </c>
      <c r="AI420" t="s">
        <v>3044</v>
      </c>
      <c r="AJ420" t="s">
        <v>1</v>
      </c>
      <c r="AK420">
        <v>9141312702</v>
      </c>
      <c r="AL420" t="s">
        <v>3045</v>
      </c>
      <c r="AM420" t="s">
        <v>3046</v>
      </c>
      <c r="AN420">
        <v>0</v>
      </c>
      <c r="AO420" t="s">
        <v>3043</v>
      </c>
      <c r="AP420" t="s">
        <v>1</v>
      </c>
      <c r="AQ420">
        <v>5</v>
      </c>
      <c r="AR420">
        <v>0</v>
      </c>
      <c r="AS420">
        <v>0</v>
      </c>
      <c r="AT420" t="s">
        <v>1</v>
      </c>
      <c r="AU420" t="s">
        <v>1</v>
      </c>
      <c r="AV420" t="s">
        <v>1</v>
      </c>
      <c r="AW420">
        <v>0</v>
      </c>
      <c r="AX420">
        <v>4100</v>
      </c>
      <c r="AY420">
        <v>8800</v>
      </c>
      <c r="AZ420">
        <v>0</v>
      </c>
      <c r="BA420">
        <v>0</v>
      </c>
      <c r="BB420" t="s">
        <v>1</v>
      </c>
      <c r="BC420" t="s">
        <v>2124</v>
      </c>
      <c r="BD420" t="s">
        <v>1995</v>
      </c>
      <c r="BE420" t="s">
        <v>1</v>
      </c>
      <c r="BF420" t="s">
        <v>1</v>
      </c>
      <c r="BG420" t="s">
        <v>1</v>
      </c>
      <c r="BH420">
        <v>0</v>
      </c>
      <c r="BI420">
        <v>0</v>
      </c>
      <c r="BJ420" t="s">
        <v>1930</v>
      </c>
      <c r="BK420" t="s">
        <v>1</v>
      </c>
      <c r="BL420" t="s">
        <v>1138</v>
      </c>
      <c r="BM420">
        <v>0</v>
      </c>
      <c r="BN420">
        <v>12900</v>
      </c>
      <c r="BO420">
        <v>0</v>
      </c>
      <c r="BP420">
        <v>0</v>
      </c>
      <c r="BQ420">
        <v>0</v>
      </c>
      <c r="BR420" t="s">
        <v>1</v>
      </c>
      <c r="BS420" t="s">
        <v>1</v>
      </c>
      <c r="BT420" t="s">
        <v>1</v>
      </c>
      <c r="BU420" t="s">
        <v>1</v>
      </c>
      <c r="BV420" t="s">
        <v>1</v>
      </c>
      <c r="BW420" t="s">
        <v>360</v>
      </c>
      <c r="BX420" t="s">
        <v>1</v>
      </c>
      <c r="BY420">
        <v>0</v>
      </c>
      <c r="BZ420">
        <v>0</v>
      </c>
      <c r="CA420">
        <v>0</v>
      </c>
      <c r="CB420">
        <v>0</v>
      </c>
      <c r="CD420" t="str" cm="1">
        <f t="array" aca="1" ref="CD420" ca="1">eConcatenar(A420:CB420,"|")</f>
        <v>cwLw9VpI7yqsCB9w|VSA2020-1321|3|IMPERIAL DE LUJO|TABASCO|VILLAHERMOSA |VILLAHERMOSA |2020-10-12|12900|X|X|200|1|0|X|X|X|X|X|X|X|X|X|X|X|X|0|JIMENEZ|JIMENEZ|FLOR DE LIZ |0|X|X|SECTOR  JIMENEZ SIN NUMERIO |RANCHERIA SALOYA PRIMERA |X|9141312702|GLADIS YULIANA CARRERA JIMENEZ |WENDI LUCIA CARRERA JIMENEZ |0|SECTOR  JIMENEZ SIN NUMERIO |X|5|0|0|X|X|X|0|4100|8800|0|0|X|2021-04-12|2021-12-18|X|X|X|0|0|S35D6D3Y9KVTQ2|X|MUJER|0|12900|0|0|0|X|X|X|X|X|VILLAHERMOSA |X|0|0|0|0</v>
      </c>
    </row>
    <row r="421" spans="1:82" x14ac:dyDescent="0.25">
      <c r="A421" t="s">
        <v>3047</v>
      </c>
      <c r="B421" t="s">
        <v>3048</v>
      </c>
      <c r="C421">
        <v>3</v>
      </c>
      <c r="D421" t="s">
        <v>715</v>
      </c>
      <c r="E421" t="s">
        <v>359</v>
      </c>
      <c r="F421" t="s">
        <v>360</v>
      </c>
      <c r="G421" t="s">
        <v>360</v>
      </c>
      <c r="H421" t="s">
        <v>2563</v>
      </c>
      <c r="I421">
        <v>12900</v>
      </c>
      <c r="J421" t="s">
        <v>1</v>
      </c>
      <c r="K421" t="s">
        <v>1</v>
      </c>
      <c r="L421">
        <v>400</v>
      </c>
      <c r="M421">
        <v>2</v>
      </c>
      <c r="N421">
        <v>0</v>
      </c>
      <c r="O421" t="s">
        <v>1</v>
      </c>
      <c r="P421" t="s">
        <v>1</v>
      </c>
      <c r="Q421" t="s">
        <v>1</v>
      </c>
      <c r="R421" t="s">
        <v>1</v>
      </c>
      <c r="S421" t="s">
        <v>1</v>
      </c>
      <c r="T421" t="s">
        <v>1</v>
      </c>
      <c r="U421" t="s">
        <v>1</v>
      </c>
      <c r="V421" t="s">
        <v>1</v>
      </c>
      <c r="W421" t="s">
        <v>1</v>
      </c>
      <c r="X421" t="s">
        <v>1</v>
      </c>
      <c r="Y421" t="s">
        <v>1</v>
      </c>
      <c r="Z421" t="s">
        <v>1</v>
      </c>
      <c r="AA421">
        <v>0</v>
      </c>
      <c r="AB421" t="s">
        <v>1211</v>
      </c>
      <c r="AC421" t="s">
        <v>2812</v>
      </c>
      <c r="AD421" t="s">
        <v>3049</v>
      </c>
      <c r="AE421">
        <v>0</v>
      </c>
      <c r="AF421" t="s">
        <v>1</v>
      </c>
      <c r="AG421" t="s">
        <v>1</v>
      </c>
      <c r="AH421" t="s">
        <v>3050</v>
      </c>
      <c r="AI421" t="s">
        <v>3051</v>
      </c>
      <c r="AJ421" t="s">
        <v>1</v>
      </c>
      <c r="AK421">
        <v>9934039386</v>
      </c>
      <c r="AL421" t="s">
        <v>3052</v>
      </c>
      <c r="AM421" t="s">
        <v>3053</v>
      </c>
      <c r="AN421">
        <v>0</v>
      </c>
      <c r="AO421" t="s">
        <v>3050</v>
      </c>
      <c r="AP421" t="s">
        <v>1</v>
      </c>
      <c r="AQ421">
        <v>5</v>
      </c>
      <c r="AR421">
        <v>0</v>
      </c>
      <c r="AS421">
        <v>0</v>
      </c>
      <c r="AT421" t="s">
        <v>1</v>
      </c>
      <c r="AU421" t="s">
        <v>1</v>
      </c>
      <c r="AV421" t="s">
        <v>1</v>
      </c>
      <c r="AW421">
        <v>0</v>
      </c>
      <c r="AX421">
        <v>5100</v>
      </c>
      <c r="AY421">
        <v>7800</v>
      </c>
      <c r="AZ421">
        <v>0</v>
      </c>
      <c r="BA421">
        <v>0</v>
      </c>
      <c r="BB421" t="s">
        <v>1</v>
      </c>
      <c r="BC421" t="s">
        <v>2124</v>
      </c>
      <c r="BD421" t="s">
        <v>2798</v>
      </c>
      <c r="BE421" t="s">
        <v>1</v>
      </c>
      <c r="BF421" t="s">
        <v>1</v>
      </c>
      <c r="BG421" t="s">
        <v>1</v>
      </c>
      <c r="BH421">
        <v>0</v>
      </c>
      <c r="BI421">
        <v>0</v>
      </c>
      <c r="BJ421" t="s">
        <v>1930</v>
      </c>
      <c r="BK421" t="s">
        <v>1</v>
      </c>
      <c r="BL421" t="s">
        <v>1138</v>
      </c>
      <c r="BM421">
        <v>0</v>
      </c>
      <c r="BN421">
        <v>12900</v>
      </c>
      <c r="BO421">
        <v>0</v>
      </c>
      <c r="BP421">
        <v>0</v>
      </c>
      <c r="BQ421">
        <v>0</v>
      </c>
      <c r="BR421" t="s">
        <v>1</v>
      </c>
      <c r="BS421" t="s">
        <v>1</v>
      </c>
      <c r="BT421" t="s">
        <v>1</v>
      </c>
      <c r="BU421" t="s">
        <v>1</v>
      </c>
      <c r="BV421" t="s">
        <v>1</v>
      </c>
      <c r="BW421" t="s">
        <v>360</v>
      </c>
      <c r="BX421" t="s">
        <v>1</v>
      </c>
      <c r="BY421">
        <v>0</v>
      </c>
      <c r="BZ421">
        <v>0</v>
      </c>
      <c r="CA421">
        <v>0</v>
      </c>
      <c r="CB421">
        <v>0</v>
      </c>
      <c r="CD421" t="str" cm="1">
        <f t="array" aca="1" ref="CD421" ca="1">eConcatenar(A421:CB421,"|")</f>
        <v>nnE2s5WSBDpS2kyU|VSA2020-1323|3|IMPERIAL DE LUJO|TABASCO|VILLAHERMOSA |VILLAHERMOSA |2020-10-12|12900|X|X|400|2|0|X|X|X|X|X|X|X|X|X|X|X|X|0|DE LA CRUZ |REYES|ALEJANDRA |0|X|X|CARRETERA PRINCIPAL VILLAHERMOSA |RANCHERIA SALOYA PRIMER SECCION |X|9934039386|GREGORIA OLAN DE LA CRUZ |MARIA RAQUEL DOMINGUEZ BELTRUY|0|CARRETERA PRINCIPAL VILLAHERMOSA |X|5|0|0|X|X|X|0|5100|7800|0|0|X|2021-04-12|2022-04-01|X|X|X|0|0|S35D6D3Y9KVTQ2|X|MUJER|0|12900|0|0|0|X|X|X|X|X|VILLAHERMOSA |X|0|0|0|0</v>
      </c>
    </row>
    <row r="422" spans="1:82" x14ac:dyDescent="0.25">
      <c r="A422" t="s">
        <v>3054</v>
      </c>
      <c r="B422" t="s">
        <v>3055</v>
      </c>
      <c r="C422">
        <v>3</v>
      </c>
      <c r="D422" t="s">
        <v>715</v>
      </c>
      <c r="E422" t="s">
        <v>359</v>
      </c>
      <c r="F422" t="s">
        <v>360</v>
      </c>
      <c r="G422" t="s">
        <v>360</v>
      </c>
      <c r="H422" t="s">
        <v>3056</v>
      </c>
      <c r="I422">
        <v>12900</v>
      </c>
      <c r="J422" t="s">
        <v>1</v>
      </c>
      <c r="K422" t="s">
        <v>1</v>
      </c>
      <c r="L422">
        <v>200</v>
      </c>
      <c r="M422">
        <v>1</v>
      </c>
      <c r="N422">
        <v>0</v>
      </c>
      <c r="O422" t="s">
        <v>1</v>
      </c>
      <c r="P422" t="s">
        <v>1</v>
      </c>
      <c r="Q422" t="s">
        <v>1</v>
      </c>
      <c r="R422" t="s">
        <v>1</v>
      </c>
      <c r="S422" t="s">
        <v>1</v>
      </c>
      <c r="T422" t="s">
        <v>1</v>
      </c>
      <c r="U422" t="s">
        <v>1</v>
      </c>
      <c r="V422" t="s">
        <v>1</v>
      </c>
      <c r="W422" t="s">
        <v>1</v>
      </c>
      <c r="X422" t="s">
        <v>1</v>
      </c>
      <c r="Y422" t="s">
        <v>1</v>
      </c>
      <c r="Z422" t="s">
        <v>1</v>
      </c>
      <c r="AA422">
        <v>0</v>
      </c>
      <c r="AB422" t="s">
        <v>921</v>
      </c>
      <c r="AC422" t="s">
        <v>649</v>
      </c>
      <c r="AD422" t="s">
        <v>1021</v>
      </c>
      <c r="AE422">
        <v>0</v>
      </c>
      <c r="AF422" t="s">
        <v>1</v>
      </c>
      <c r="AG422" t="s">
        <v>1</v>
      </c>
      <c r="AH422" t="s">
        <v>3057</v>
      </c>
      <c r="AI422" t="s">
        <v>3058</v>
      </c>
      <c r="AJ422" t="s">
        <v>1</v>
      </c>
      <c r="AK422">
        <v>9932255197</v>
      </c>
      <c r="AL422" t="s">
        <v>3059</v>
      </c>
      <c r="AM422" t="s">
        <v>3060</v>
      </c>
      <c r="AN422">
        <v>0</v>
      </c>
      <c r="AO422" t="s">
        <v>3057</v>
      </c>
      <c r="AP422" t="s">
        <v>1</v>
      </c>
      <c r="AQ422">
        <v>4</v>
      </c>
      <c r="AR422">
        <v>0</v>
      </c>
      <c r="AS422">
        <v>0</v>
      </c>
      <c r="AT422" t="s">
        <v>1</v>
      </c>
      <c r="AU422" t="s">
        <v>1</v>
      </c>
      <c r="AV422" t="s">
        <v>1</v>
      </c>
      <c r="AW422">
        <v>0</v>
      </c>
      <c r="AX422">
        <v>4500</v>
      </c>
      <c r="AY422">
        <v>8400</v>
      </c>
      <c r="AZ422">
        <v>0</v>
      </c>
      <c r="BA422">
        <v>0</v>
      </c>
      <c r="BB422" t="s">
        <v>1</v>
      </c>
      <c r="BC422" t="s">
        <v>1954</v>
      </c>
      <c r="BD422" t="s">
        <v>312</v>
      </c>
      <c r="BE422" t="s">
        <v>1</v>
      </c>
      <c r="BF422" t="s">
        <v>1</v>
      </c>
      <c r="BG422" t="s">
        <v>1</v>
      </c>
      <c r="BH422">
        <v>0</v>
      </c>
      <c r="BI422">
        <v>0</v>
      </c>
      <c r="BJ422" t="s">
        <v>1930</v>
      </c>
      <c r="BK422" t="s">
        <v>1</v>
      </c>
      <c r="BL422" t="s">
        <v>1138</v>
      </c>
      <c r="BM422">
        <v>0</v>
      </c>
      <c r="BN422">
        <v>12900</v>
      </c>
      <c r="BO422">
        <v>0</v>
      </c>
      <c r="BP422">
        <v>0</v>
      </c>
      <c r="BQ422">
        <v>0</v>
      </c>
      <c r="BR422" t="s">
        <v>1</v>
      </c>
      <c r="BS422" t="s">
        <v>1</v>
      </c>
      <c r="BT422" t="s">
        <v>1</v>
      </c>
      <c r="BU422" t="s">
        <v>1</v>
      </c>
      <c r="BV422" t="s">
        <v>1</v>
      </c>
      <c r="BW422" t="s">
        <v>360</v>
      </c>
      <c r="BX422" t="s">
        <v>1</v>
      </c>
      <c r="BY422">
        <v>0</v>
      </c>
      <c r="BZ422">
        <v>0</v>
      </c>
      <c r="CA422">
        <v>0</v>
      </c>
      <c r="CB422">
        <v>0</v>
      </c>
      <c r="CD422" t="str" cm="1">
        <f t="array" aca="1" ref="CD422" ca="1">eConcatenar(A422:CB422,"|")</f>
        <v>g5gPso3pFuEgPlmo|VSA2020-1327|3|IMPERIAL DE LUJO|TABASCO|VILLAHERMOSA |VILLAHERMOSA |2020-11-12|12900|X|X|200|1|0|X|X|X|X|X|X|X|X|X|X|X|X|0|RODRIGUEZ |POTENCIANO |ISABEL|0|X|X|REVOLUCION 611 INTERIOR 1 |COLONIA TAMULTE CENTRO|X|9932255197|ANALLELI RUIZ RODRIGUEZ|JESUS MANUEL RUIZ RODRIGUEZ|0|REVOLUCION 611 INTERIOR 1 |X|4|0|0|X|X|X|0|4500|8400|0|0|X|2021-12-17|2021-12-24|X|X|X|0|0|S35D6D3Y9KVTQ2|X|MUJER|0|12900|0|0|0|X|X|X|X|X|VILLAHERMOSA |X|0|0|0|0</v>
      </c>
    </row>
    <row r="423" spans="1:82" x14ac:dyDescent="0.25">
      <c r="A423" t="s">
        <v>3061</v>
      </c>
      <c r="B423" t="s">
        <v>3062</v>
      </c>
      <c r="C423">
        <v>3</v>
      </c>
      <c r="D423" t="s">
        <v>1363</v>
      </c>
      <c r="E423" t="s">
        <v>359</v>
      </c>
      <c r="F423" t="s">
        <v>360</v>
      </c>
      <c r="G423" t="s">
        <v>360</v>
      </c>
      <c r="H423" t="s">
        <v>733</v>
      </c>
      <c r="I423">
        <v>31500</v>
      </c>
      <c r="J423" t="s">
        <v>1</v>
      </c>
      <c r="K423" t="s">
        <v>1</v>
      </c>
      <c r="L423">
        <v>400</v>
      </c>
      <c r="M423">
        <v>2</v>
      </c>
      <c r="N423">
        <v>0</v>
      </c>
      <c r="O423" t="s">
        <v>1</v>
      </c>
      <c r="P423" t="s">
        <v>1</v>
      </c>
      <c r="Q423" t="s">
        <v>1</v>
      </c>
      <c r="R423" t="s">
        <v>1</v>
      </c>
      <c r="S423" t="s">
        <v>1</v>
      </c>
      <c r="T423" t="s">
        <v>1</v>
      </c>
      <c r="U423" t="s">
        <v>1</v>
      </c>
      <c r="V423" t="s">
        <v>1</v>
      </c>
      <c r="W423" t="s">
        <v>1</v>
      </c>
      <c r="X423" t="s">
        <v>1</v>
      </c>
      <c r="Y423" t="s">
        <v>1</v>
      </c>
      <c r="Z423" t="s">
        <v>1</v>
      </c>
      <c r="AA423">
        <v>0</v>
      </c>
      <c r="AB423" t="s">
        <v>3063</v>
      </c>
      <c r="AC423" t="s">
        <v>3064</v>
      </c>
      <c r="AD423" t="s">
        <v>3065</v>
      </c>
      <c r="AE423">
        <v>0</v>
      </c>
      <c r="AF423" t="s">
        <v>1</v>
      </c>
      <c r="AG423">
        <v>0</v>
      </c>
      <c r="AH423" t="s">
        <v>3066</v>
      </c>
      <c r="AI423" t="s">
        <v>3067</v>
      </c>
      <c r="AJ423" t="s">
        <v>1</v>
      </c>
      <c r="AK423">
        <v>9932597746</v>
      </c>
      <c r="AL423" t="s">
        <v>3068</v>
      </c>
      <c r="AM423" t="s">
        <v>3069</v>
      </c>
      <c r="AN423">
        <v>0</v>
      </c>
      <c r="AO423" t="s">
        <v>3066</v>
      </c>
      <c r="AP423" t="s">
        <v>1</v>
      </c>
      <c r="AQ423">
        <v>4</v>
      </c>
      <c r="AR423">
        <v>0</v>
      </c>
      <c r="AS423">
        <v>0</v>
      </c>
      <c r="AT423" t="s">
        <v>1</v>
      </c>
      <c r="AU423" t="s">
        <v>1</v>
      </c>
      <c r="AV423" t="s">
        <v>1</v>
      </c>
      <c r="AW423">
        <v>0</v>
      </c>
      <c r="AX423">
        <v>7500</v>
      </c>
      <c r="AY423">
        <v>24000</v>
      </c>
      <c r="AZ423">
        <v>0</v>
      </c>
      <c r="BA423">
        <v>0</v>
      </c>
      <c r="BB423" t="s">
        <v>1</v>
      </c>
      <c r="BC423" t="s">
        <v>2233</v>
      </c>
      <c r="BD423" t="s">
        <v>2309</v>
      </c>
      <c r="BE423" t="s">
        <v>1</v>
      </c>
      <c r="BF423" t="s">
        <v>1</v>
      </c>
      <c r="BG423" t="s">
        <v>1</v>
      </c>
      <c r="BH423">
        <v>0</v>
      </c>
      <c r="BI423">
        <v>0</v>
      </c>
      <c r="BJ423" t="s">
        <v>1930</v>
      </c>
      <c r="BK423" t="s">
        <v>1</v>
      </c>
      <c r="BL423" t="s">
        <v>132</v>
      </c>
      <c r="BM423">
        <v>0</v>
      </c>
      <c r="BN423">
        <v>31500</v>
      </c>
      <c r="BO423">
        <v>0</v>
      </c>
      <c r="BP423">
        <v>0</v>
      </c>
      <c r="BQ423">
        <v>0</v>
      </c>
      <c r="BR423" t="s">
        <v>1</v>
      </c>
      <c r="BS423" t="s">
        <v>1</v>
      </c>
      <c r="BT423" t="s">
        <v>1</v>
      </c>
      <c r="BU423" t="s">
        <v>1</v>
      </c>
      <c r="BV423" t="s">
        <v>1</v>
      </c>
      <c r="BW423" t="s">
        <v>360</v>
      </c>
      <c r="BX423" t="s">
        <v>1</v>
      </c>
      <c r="BY423">
        <v>0</v>
      </c>
      <c r="BZ423">
        <v>0</v>
      </c>
      <c r="CA423">
        <v>0</v>
      </c>
      <c r="CB423">
        <v>0</v>
      </c>
      <c r="CD423" t="str" cm="1">
        <f t="array" aca="1" ref="CD423" ca="1">eConcatenar(A423:CB423,"|")</f>
        <v>NY9Y5PC1uxeA91oM|VSA2020-1332|3|PRESIDENCIAL|TABASCO|VILLAHERMOSA |VILLAHERMOSA |2020-12-16|31500|X|X|400|2|0|X|X|X|X|X|X|X|X|X|X|X|X|0|NARCISO |VARELA |JAIME |0|X|0|PLUTARCO ELIAS CALLES SINNNUMERO |COLONIA CURAHUESO|X|9932597746|MARIA ESTRELLA SILVA VALENCIA |YESENIA VARELA SILVA |0|PLUTARCO ELIAS CALLES SINNNUMERO |X|4|0|0|X|X|X|0|7500|24000|0|0|X|2021-10-12|2022-10-01|X|X|X|0|0|S35D6D3Y9KVTQ2|X|HOMBRE|0|31500|0|0|0|X|X|X|X|X|VILLAHERMOSA |X|0|0|0|0</v>
      </c>
    </row>
    <row r="424" spans="1:82" x14ac:dyDescent="0.25">
      <c r="A424" t="s">
        <v>3070</v>
      </c>
      <c r="B424" t="s">
        <v>3071</v>
      </c>
      <c r="C424">
        <v>3</v>
      </c>
      <c r="D424" t="s">
        <v>715</v>
      </c>
      <c r="E424" t="s">
        <v>359</v>
      </c>
      <c r="F424" t="s">
        <v>360</v>
      </c>
      <c r="G424" t="s">
        <v>360</v>
      </c>
      <c r="H424" t="s">
        <v>733</v>
      </c>
      <c r="I424">
        <v>12900</v>
      </c>
      <c r="J424" t="s">
        <v>1</v>
      </c>
      <c r="K424" t="s">
        <v>1</v>
      </c>
      <c r="L424">
        <v>400</v>
      </c>
      <c r="M424">
        <v>2</v>
      </c>
      <c r="N424">
        <v>0</v>
      </c>
      <c r="O424" t="s">
        <v>1</v>
      </c>
      <c r="P424" t="s">
        <v>1</v>
      </c>
      <c r="Q424" t="s">
        <v>1</v>
      </c>
      <c r="R424" t="s">
        <v>1</v>
      </c>
      <c r="S424" t="s">
        <v>1</v>
      </c>
      <c r="T424" t="s">
        <v>1</v>
      </c>
      <c r="U424" t="s">
        <v>1</v>
      </c>
      <c r="V424" t="s">
        <v>1</v>
      </c>
      <c r="W424" t="s">
        <v>1</v>
      </c>
      <c r="X424" t="s">
        <v>1</v>
      </c>
      <c r="Y424" t="s">
        <v>1</v>
      </c>
      <c r="Z424" t="s">
        <v>1</v>
      </c>
      <c r="AA424">
        <v>0</v>
      </c>
      <c r="AB424" t="s">
        <v>3072</v>
      </c>
      <c r="AC424" t="s">
        <v>1639</v>
      </c>
      <c r="AD424" t="s">
        <v>3073</v>
      </c>
      <c r="AE424">
        <v>0</v>
      </c>
      <c r="AF424" t="s">
        <v>1</v>
      </c>
      <c r="AG424" t="s">
        <v>1</v>
      </c>
      <c r="AH424" t="s">
        <v>3074</v>
      </c>
      <c r="AI424" t="s">
        <v>1</v>
      </c>
      <c r="AJ424" t="s">
        <v>1</v>
      </c>
      <c r="AK424">
        <v>9935618268</v>
      </c>
      <c r="AL424" t="s">
        <v>3075</v>
      </c>
      <c r="AM424" t="s">
        <v>3076</v>
      </c>
      <c r="AN424">
        <v>0</v>
      </c>
      <c r="AO424" t="s">
        <v>3074</v>
      </c>
      <c r="AP424" t="s">
        <v>1</v>
      </c>
      <c r="AQ424">
        <v>4</v>
      </c>
      <c r="AR424">
        <v>0</v>
      </c>
      <c r="AS424">
        <v>0</v>
      </c>
      <c r="AT424" t="s">
        <v>1</v>
      </c>
      <c r="AU424" t="s">
        <v>1</v>
      </c>
      <c r="AV424" t="s">
        <v>1</v>
      </c>
      <c r="AW424">
        <v>0</v>
      </c>
      <c r="AX424">
        <v>9500</v>
      </c>
      <c r="AY424">
        <v>3400</v>
      </c>
      <c r="AZ424">
        <v>0</v>
      </c>
      <c r="BA424">
        <v>0</v>
      </c>
      <c r="BB424" t="s">
        <v>1</v>
      </c>
      <c r="BC424" t="s">
        <v>2233</v>
      </c>
      <c r="BD424" t="s">
        <v>2309</v>
      </c>
      <c r="BE424" t="s">
        <v>1</v>
      </c>
      <c r="BF424" t="s">
        <v>1</v>
      </c>
      <c r="BG424" t="s">
        <v>1</v>
      </c>
      <c r="BH424">
        <v>0</v>
      </c>
      <c r="BI424">
        <v>0</v>
      </c>
      <c r="BJ424" t="s">
        <v>1930</v>
      </c>
      <c r="BK424" t="s">
        <v>1</v>
      </c>
      <c r="BL424" t="s">
        <v>1138</v>
      </c>
      <c r="BM424">
        <v>0</v>
      </c>
      <c r="BN424">
        <v>12900</v>
      </c>
      <c r="BO424">
        <v>0</v>
      </c>
      <c r="BP424">
        <v>0</v>
      </c>
      <c r="BQ424">
        <v>0</v>
      </c>
      <c r="BR424" t="s">
        <v>1</v>
      </c>
      <c r="BS424" t="s">
        <v>1</v>
      </c>
      <c r="BT424" t="s">
        <v>1</v>
      </c>
      <c r="BU424" t="s">
        <v>1</v>
      </c>
      <c r="BV424" t="s">
        <v>1</v>
      </c>
      <c r="BW424" t="s">
        <v>360</v>
      </c>
      <c r="BX424" t="s">
        <v>1</v>
      </c>
      <c r="BY424">
        <v>0</v>
      </c>
      <c r="BZ424">
        <v>0</v>
      </c>
      <c r="CA424">
        <v>0</v>
      </c>
      <c r="CB424">
        <v>0</v>
      </c>
      <c r="CD424" t="str" cm="1">
        <f t="array" aca="1" ref="CD424" ca="1">eConcatenar(A424:CB424,"|")</f>
        <v>rNaNXwE6XAuowuOk|VSA2020-1333|3|IMPERIAL DE LUJO|TABASCO|VILLAHERMOSA |VILLAHERMOSA |2020-12-16|12900|X|X|400|2|0|X|X|X|X|X|X|X|X|X|X|X|X|0|SILVA |VALENCIA |MARIA ESTRELLA |0|X|X|COLONIA PLUTARCO ELIAS CALLES CAMINO A CURAHUESO|X|X|9935618268|JAIME NARCISO VARELA VILLASIS |RICARDO VARELA SILVA |0|COLONIA PLUTARCO ELIAS CALLES CAMINO A CURAHUESO|X|4|0|0|X|X|X|0|9500|3400|0|0|X|2021-10-12|2022-10-01|X|X|X|0|0|S35D6D3Y9KVTQ2|X|MUJER|0|12900|0|0|0|X|X|X|X|X|VILLAHERMOSA |X|0|0|0|0</v>
      </c>
    </row>
    <row r="425" spans="1:82" x14ac:dyDescent="0.25">
      <c r="A425" t="s">
        <v>3077</v>
      </c>
      <c r="B425" t="s">
        <v>3078</v>
      </c>
      <c r="C425">
        <v>3</v>
      </c>
      <c r="D425" t="s">
        <v>715</v>
      </c>
      <c r="E425" t="s">
        <v>359</v>
      </c>
      <c r="F425" t="s">
        <v>360</v>
      </c>
      <c r="G425" t="s">
        <v>360</v>
      </c>
      <c r="H425" t="s">
        <v>2564</v>
      </c>
      <c r="I425">
        <v>12900</v>
      </c>
      <c r="J425" t="s">
        <v>1</v>
      </c>
      <c r="K425" t="s">
        <v>1</v>
      </c>
      <c r="L425">
        <v>200</v>
      </c>
      <c r="M425">
        <v>1</v>
      </c>
      <c r="N425">
        <v>0</v>
      </c>
      <c r="O425" t="s">
        <v>1</v>
      </c>
      <c r="P425" t="s">
        <v>1</v>
      </c>
      <c r="Q425" t="s">
        <v>1</v>
      </c>
      <c r="R425" t="s">
        <v>1</v>
      </c>
      <c r="S425" t="s">
        <v>1</v>
      </c>
      <c r="T425" t="s">
        <v>1</v>
      </c>
      <c r="U425" t="s">
        <v>1</v>
      </c>
      <c r="V425" t="s">
        <v>1</v>
      </c>
      <c r="W425" t="s">
        <v>1</v>
      </c>
      <c r="X425" t="s">
        <v>1</v>
      </c>
      <c r="Y425" t="s">
        <v>1</v>
      </c>
      <c r="Z425" t="s">
        <v>1</v>
      </c>
      <c r="AA425">
        <v>0</v>
      </c>
      <c r="AB425" t="s">
        <v>1111</v>
      </c>
      <c r="AC425" t="s">
        <v>3079</v>
      </c>
      <c r="AD425" t="s">
        <v>3080</v>
      </c>
      <c r="AE425">
        <v>0</v>
      </c>
      <c r="AF425" t="s">
        <v>1</v>
      </c>
      <c r="AG425" t="s">
        <v>1</v>
      </c>
      <c r="AH425" t="s">
        <v>3081</v>
      </c>
      <c r="AI425" t="s">
        <v>2038</v>
      </c>
      <c r="AJ425" t="s">
        <v>1</v>
      </c>
      <c r="AK425">
        <v>9991161401</v>
      </c>
      <c r="AL425" t="s">
        <v>3082</v>
      </c>
      <c r="AM425" t="s">
        <v>3083</v>
      </c>
      <c r="AN425">
        <v>0</v>
      </c>
      <c r="AO425" t="s">
        <v>3081</v>
      </c>
      <c r="AP425" t="s">
        <v>1</v>
      </c>
      <c r="AQ425">
        <v>4</v>
      </c>
      <c r="AR425">
        <v>0</v>
      </c>
      <c r="AS425">
        <v>0</v>
      </c>
      <c r="AT425" t="s">
        <v>1</v>
      </c>
      <c r="AU425" t="s">
        <v>1</v>
      </c>
      <c r="AV425" t="s">
        <v>1</v>
      </c>
      <c r="AW425">
        <v>0</v>
      </c>
      <c r="AX425">
        <v>4200</v>
      </c>
      <c r="AY425">
        <v>8700</v>
      </c>
      <c r="AZ425">
        <v>0</v>
      </c>
      <c r="BA425">
        <v>0</v>
      </c>
      <c r="BB425" t="s">
        <v>1</v>
      </c>
      <c r="BC425" t="s">
        <v>1954</v>
      </c>
      <c r="BD425" t="s">
        <v>147</v>
      </c>
      <c r="BE425" t="s">
        <v>1</v>
      </c>
      <c r="BF425" t="s">
        <v>1</v>
      </c>
      <c r="BG425" t="s">
        <v>1</v>
      </c>
      <c r="BH425">
        <v>0</v>
      </c>
      <c r="BI425">
        <v>0</v>
      </c>
      <c r="BJ425" t="s">
        <v>1930</v>
      </c>
      <c r="BK425" t="s">
        <v>1</v>
      </c>
      <c r="BL425" t="s">
        <v>132</v>
      </c>
      <c r="BM425">
        <v>0</v>
      </c>
      <c r="BN425">
        <v>12900</v>
      </c>
      <c r="BO425">
        <v>0</v>
      </c>
      <c r="BP425">
        <v>0</v>
      </c>
      <c r="BQ425">
        <v>0</v>
      </c>
      <c r="BR425" t="s">
        <v>1</v>
      </c>
      <c r="BS425" t="s">
        <v>1</v>
      </c>
      <c r="BT425" t="s">
        <v>1</v>
      </c>
      <c r="BU425" t="s">
        <v>1</v>
      </c>
      <c r="BV425" t="s">
        <v>1</v>
      </c>
      <c r="BW425" t="s">
        <v>360</v>
      </c>
      <c r="BX425" t="s">
        <v>1</v>
      </c>
      <c r="BY425">
        <v>0</v>
      </c>
      <c r="BZ425">
        <v>0</v>
      </c>
      <c r="CA425">
        <v>0</v>
      </c>
      <c r="CB425">
        <v>0</v>
      </c>
      <c r="CD425" t="str" cm="1">
        <f t="array" aca="1" ref="CD425" ca="1">eConcatenar(A425:CB425,"|")</f>
        <v>IIthPccCsRXO3HZ2|VSA2020-1337|3|IMPERIAL DE LUJO|TABASCO|VILLAHERMOSA |VILLAHERMOSA |2020-12-17|12900|X|X|200|1|0|X|X|X|X|X|X|X|X|X|X|X|X|0|SUAREZ|RODAS|DANIEL|0|X|X|CALLE GALEANA SIN NUMERO |RANCHERIA BOQUERON TERCERA SECCION |X|9991161401|ANGELICA PEREZ VAZQUEZ |ESTHER SUAREZ RODAS|0|CALLE GALEANA SIN NUMERO |X|4|0|0|X|X|X|0|4200|8700|0|0|X|2021-12-17|2021-12-31|X|X|X|0|0|S35D6D3Y9KVTQ2|X|HOMBRE|0|12900|0|0|0|X|X|X|X|X|VILLAHERMOSA |X|0|0|0|0</v>
      </c>
    </row>
    <row r="426" spans="1:82" x14ac:dyDescent="0.25">
      <c r="A426" t="s">
        <v>3084</v>
      </c>
      <c r="B426" t="s">
        <v>3085</v>
      </c>
      <c r="C426">
        <v>3</v>
      </c>
      <c r="D426" t="s">
        <v>715</v>
      </c>
      <c r="E426" t="s">
        <v>359</v>
      </c>
      <c r="F426" t="s">
        <v>360</v>
      </c>
      <c r="G426" t="s">
        <v>360</v>
      </c>
      <c r="H426" t="s">
        <v>3086</v>
      </c>
      <c r="I426">
        <v>12900</v>
      </c>
      <c r="J426" t="s">
        <v>1</v>
      </c>
      <c r="K426" t="s">
        <v>1</v>
      </c>
      <c r="L426">
        <v>100</v>
      </c>
      <c r="M426">
        <v>0</v>
      </c>
      <c r="N426">
        <v>0</v>
      </c>
      <c r="O426" t="s">
        <v>1</v>
      </c>
      <c r="P426" t="s">
        <v>1</v>
      </c>
      <c r="Q426" t="s">
        <v>1</v>
      </c>
      <c r="R426" t="s">
        <v>1</v>
      </c>
      <c r="S426" t="s">
        <v>1</v>
      </c>
      <c r="T426" t="s">
        <v>1</v>
      </c>
      <c r="U426" t="s">
        <v>1</v>
      </c>
      <c r="V426" t="s">
        <v>1</v>
      </c>
      <c r="W426" t="s">
        <v>1</v>
      </c>
      <c r="X426" t="s">
        <v>1</v>
      </c>
      <c r="Y426" t="s">
        <v>1</v>
      </c>
      <c r="Z426" t="s">
        <v>1</v>
      </c>
      <c r="AA426">
        <v>0</v>
      </c>
      <c r="AB426" t="s">
        <v>1008</v>
      </c>
      <c r="AC426" t="s">
        <v>2812</v>
      </c>
      <c r="AD426" t="s">
        <v>3087</v>
      </c>
      <c r="AE426">
        <v>0</v>
      </c>
      <c r="AF426" t="s">
        <v>1</v>
      </c>
      <c r="AG426" t="s">
        <v>1</v>
      </c>
      <c r="AH426" t="s">
        <v>3088</v>
      </c>
      <c r="AI426" t="s">
        <v>1</v>
      </c>
      <c r="AJ426" t="s">
        <v>1</v>
      </c>
      <c r="AK426">
        <v>9935169944</v>
      </c>
      <c r="AL426" t="s">
        <v>3089</v>
      </c>
      <c r="AM426" t="s">
        <v>3090</v>
      </c>
      <c r="AN426">
        <v>0</v>
      </c>
      <c r="AO426" t="s">
        <v>3088</v>
      </c>
      <c r="AP426" t="s">
        <v>1</v>
      </c>
      <c r="AQ426">
        <v>4</v>
      </c>
      <c r="AR426">
        <v>0</v>
      </c>
      <c r="AS426">
        <v>0</v>
      </c>
      <c r="AT426" t="s">
        <v>1</v>
      </c>
      <c r="AU426" t="s">
        <v>1</v>
      </c>
      <c r="AV426" t="s">
        <v>1</v>
      </c>
      <c r="AW426">
        <v>0</v>
      </c>
      <c r="AX426">
        <v>11300</v>
      </c>
      <c r="AY426">
        <v>1600</v>
      </c>
      <c r="AZ426">
        <v>0</v>
      </c>
      <c r="BA426">
        <v>0</v>
      </c>
      <c r="BB426" t="s">
        <v>1</v>
      </c>
      <c r="BC426" t="s">
        <v>312</v>
      </c>
      <c r="BD426" t="s">
        <v>147</v>
      </c>
      <c r="BE426" t="s">
        <v>1</v>
      </c>
      <c r="BF426" t="s">
        <v>1</v>
      </c>
      <c r="BG426" t="s">
        <v>1</v>
      </c>
      <c r="BH426">
        <v>0</v>
      </c>
      <c r="BI426">
        <v>0</v>
      </c>
      <c r="BJ426" t="s">
        <v>1930</v>
      </c>
      <c r="BK426" t="s">
        <v>1</v>
      </c>
      <c r="BL426" t="s">
        <v>1138</v>
      </c>
      <c r="BM426">
        <v>0</v>
      </c>
      <c r="BN426">
        <v>12900</v>
      </c>
      <c r="BO426">
        <v>0</v>
      </c>
      <c r="BP426">
        <v>0</v>
      </c>
      <c r="BQ426">
        <v>0</v>
      </c>
      <c r="BR426" t="s">
        <v>1</v>
      </c>
      <c r="BS426" t="s">
        <v>1</v>
      </c>
      <c r="BT426" t="s">
        <v>1</v>
      </c>
      <c r="BU426" t="s">
        <v>1</v>
      </c>
      <c r="BV426" t="s">
        <v>1</v>
      </c>
      <c r="BW426" t="s">
        <v>360</v>
      </c>
      <c r="BX426" t="s">
        <v>1</v>
      </c>
      <c r="BY426">
        <v>0</v>
      </c>
      <c r="BZ426">
        <v>0</v>
      </c>
      <c r="CA426">
        <v>0</v>
      </c>
      <c r="CB426">
        <v>0</v>
      </c>
      <c r="CD426" t="str" cm="1">
        <f t="array" aca="1" ref="CD426" ca="1">eConcatenar(A426:CB426,"|")</f>
        <v>W3eLSLzTq8NcDoDf|VSA2020-1347|3|IMPERIAL DE LUJO|TABASCO|VILLAHERMOSA |VILLAHERMOSA |2020-12-23|12900|X|X|100|0|0|X|X|X|X|X|X|X|X|X|X|X|X|0|MAYO|REYES|MARIA LOURDES|0|X|X|CALLE PRINCIPAL TORNO LARGO SEGUNDA SECCION |X|X|9935169944|SANTIAGO CORDOVA CASTILLO|MARIA SILVESTRE CORDOVA MAYO|0|CALLE PRINCIPAL TORNO LARGO SEGUNDA SECCION |X|4|0|0|X|X|X|0|11300|1600|0|0|X|2021-12-24|2021-12-31|X|X|X|0|0|S35D6D3Y9KVTQ2|X|MUJER|0|12900|0|0|0|X|X|X|X|X|VILLAHERMOSA |X|0|0|0|0</v>
      </c>
    </row>
    <row r="427" spans="1:82" x14ac:dyDescent="0.25">
      <c r="A427" t="s">
        <v>3091</v>
      </c>
      <c r="B427" t="s">
        <v>3092</v>
      </c>
      <c r="C427">
        <v>3</v>
      </c>
      <c r="D427" t="s">
        <v>246</v>
      </c>
      <c r="E427" t="s">
        <v>359</v>
      </c>
      <c r="F427" t="s">
        <v>360</v>
      </c>
      <c r="G427" t="s">
        <v>360</v>
      </c>
      <c r="H427" t="s">
        <v>3093</v>
      </c>
      <c r="I427">
        <v>24500</v>
      </c>
      <c r="J427" t="s">
        <v>1</v>
      </c>
      <c r="K427" t="s">
        <v>1</v>
      </c>
      <c r="L427">
        <v>200</v>
      </c>
      <c r="M427">
        <v>1</v>
      </c>
      <c r="N427">
        <v>0</v>
      </c>
      <c r="O427" t="s">
        <v>1</v>
      </c>
      <c r="P427" t="s">
        <v>1</v>
      </c>
      <c r="Q427" t="s">
        <v>1</v>
      </c>
      <c r="R427" t="s">
        <v>1</v>
      </c>
      <c r="S427" t="s">
        <v>1</v>
      </c>
      <c r="T427" t="s">
        <v>1</v>
      </c>
      <c r="U427" t="s">
        <v>1</v>
      </c>
      <c r="V427" t="s">
        <v>1</v>
      </c>
      <c r="W427" t="s">
        <v>1</v>
      </c>
      <c r="X427" t="s">
        <v>1</v>
      </c>
      <c r="Y427" t="s">
        <v>1</v>
      </c>
      <c r="Z427" t="s">
        <v>1</v>
      </c>
      <c r="AA427">
        <v>0</v>
      </c>
      <c r="AB427" t="s">
        <v>8</v>
      </c>
      <c r="AC427" t="s">
        <v>1272</v>
      </c>
      <c r="AD427" t="s">
        <v>3094</v>
      </c>
      <c r="AE427">
        <v>0</v>
      </c>
      <c r="AF427" t="s">
        <v>1</v>
      </c>
      <c r="AG427" t="s">
        <v>1</v>
      </c>
      <c r="AH427" t="s">
        <v>3095</v>
      </c>
      <c r="AI427" t="s">
        <v>2815</v>
      </c>
      <c r="AJ427" t="s">
        <v>1</v>
      </c>
      <c r="AK427">
        <v>9934421676</v>
      </c>
      <c r="AL427" t="s">
        <v>3096</v>
      </c>
      <c r="AM427" t="s">
        <v>3097</v>
      </c>
      <c r="AN427">
        <v>0</v>
      </c>
      <c r="AO427" t="s">
        <v>3095</v>
      </c>
      <c r="AP427" t="s">
        <v>1</v>
      </c>
      <c r="AQ427">
        <v>5</v>
      </c>
      <c r="AR427">
        <v>0</v>
      </c>
      <c r="AS427">
        <v>0</v>
      </c>
      <c r="AT427" t="s">
        <v>1</v>
      </c>
      <c r="AU427" t="s">
        <v>1</v>
      </c>
      <c r="AV427" t="s">
        <v>1</v>
      </c>
      <c r="AW427">
        <v>0</v>
      </c>
      <c r="AX427">
        <v>1450</v>
      </c>
      <c r="AY427">
        <v>23050</v>
      </c>
      <c r="AZ427">
        <v>0</v>
      </c>
      <c r="BA427">
        <v>0</v>
      </c>
      <c r="BB427" t="s">
        <v>1</v>
      </c>
      <c r="BC427" t="s">
        <v>2898</v>
      </c>
      <c r="BD427" t="s">
        <v>3098</v>
      </c>
      <c r="BE427" t="s">
        <v>1</v>
      </c>
      <c r="BF427" t="s">
        <v>1</v>
      </c>
      <c r="BG427" t="s">
        <v>1</v>
      </c>
      <c r="BH427">
        <v>0</v>
      </c>
      <c r="BI427">
        <v>0</v>
      </c>
      <c r="BJ427" t="s">
        <v>1930</v>
      </c>
      <c r="BK427" t="s">
        <v>1</v>
      </c>
      <c r="BL427" t="s">
        <v>132</v>
      </c>
      <c r="BM427">
        <v>0</v>
      </c>
      <c r="BN427">
        <v>24500</v>
      </c>
      <c r="BO427">
        <v>0</v>
      </c>
      <c r="BP427">
        <v>0</v>
      </c>
      <c r="BQ427">
        <v>0</v>
      </c>
      <c r="BR427" t="s">
        <v>1</v>
      </c>
      <c r="BS427" t="s">
        <v>1</v>
      </c>
      <c r="BT427" t="s">
        <v>1</v>
      </c>
      <c r="BU427" t="s">
        <v>1</v>
      </c>
      <c r="BV427" t="s">
        <v>1</v>
      </c>
      <c r="BW427" t="s">
        <v>360</v>
      </c>
      <c r="BX427" t="s">
        <v>1</v>
      </c>
      <c r="BY427">
        <v>0</v>
      </c>
      <c r="BZ427">
        <v>0</v>
      </c>
      <c r="CA427">
        <v>0</v>
      </c>
      <c r="CB427">
        <v>0</v>
      </c>
      <c r="CD427" t="str" cm="1">
        <f t="array" aca="1" ref="CD427" ca="1">eConcatenar(A427:CB427,"|")</f>
        <v>6dDweI160ZWwUfAZ|VSA2021-1064|3|DIGNITY|TABASCO|VILLAHERMOSA |VILLAHERMOSA |2021-09-07|24500|X|X|200|1|0|X|X|X|X|X|X|X|X|X|X|X|X|0|GOMEZ|SANTOS |IVAN ALEXIS |0|X|X|CERRADA INDEPENDENCIA  204 INTERIOR 1 |COLONIA PRIMERA DE MAYO |X|9934421676|MARIELA ISABEL GOMEZ SANTOS|MANUEL ALEJANDRO GAMAS GOMEZ|0|CERRADA INDEPENDENCIA  204 INTERIOR 1 |X|5|0|0|X|X|X|0|1450|23050|0|0|X|2021-02-10|2021-10-24|X|X|X|0|0|S35D6D3Y9KVTQ2|X|HOMBRE|0|24500|0|0|0|X|X|X|X|X|VILLAHERMOSA |X|0|0|0|0</v>
      </c>
    </row>
    <row r="428" spans="1:82" x14ac:dyDescent="0.25">
      <c r="A428" t="s">
        <v>3099</v>
      </c>
      <c r="B428" t="s">
        <v>3100</v>
      </c>
      <c r="C428">
        <v>3</v>
      </c>
      <c r="D428" t="s">
        <v>741</v>
      </c>
      <c r="E428" t="s">
        <v>359</v>
      </c>
      <c r="F428" t="s">
        <v>360</v>
      </c>
      <c r="G428" t="s">
        <v>360</v>
      </c>
      <c r="H428" t="s">
        <v>3101</v>
      </c>
      <c r="I428">
        <v>14800</v>
      </c>
      <c r="J428" t="s">
        <v>1</v>
      </c>
      <c r="K428" t="s">
        <v>1</v>
      </c>
      <c r="L428">
        <v>200</v>
      </c>
      <c r="M428">
        <v>1</v>
      </c>
      <c r="N428">
        <v>0</v>
      </c>
      <c r="O428" t="s">
        <v>1</v>
      </c>
      <c r="P428" t="s">
        <v>1</v>
      </c>
      <c r="Q428" t="s">
        <v>1</v>
      </c>
      <c r="R428" t="s">
        <v>1</v>
      </c>
      <c r="S428" t="s">
        <v>1</v>
      </c>
      <c r="T428" t="s">
        <v>1</v>
      </c>
      <c r="U428" t="s">
        <v>1</v>
      </c>
      <c r="V428" t="s">
        <v>1</v>
      </c>
      <c r="W428" t="s">
        <v>1</v>
      </c>
      <c r="X428" t="s">
        <v>1</v>
      </c>
      <c r="Y428" t="s">
        <v>1</v>
      </c>
      <c r="Z428" t="s">
        <v>1</v>
      </c>
      <c r="AA428">
        <v>0</v>
      </c>
      <c r="AB428" t="s">
        <v>3102</v>
      </c>
      <c r="AC428" t="s">
        <v>971</v>
      </c>
      <c r="AD428" t="s">
        <v>3103</v>
      </c>
      <c r="AE428">
        <v>0</v>
      </c>
      <c r="AF428" t="s">
        <v>1</v>
      </c>
      <c r="AG428" t="s">
        <v>1</v>
      </c>
      <c r="AH428" t="s">
        <v>3104</v>
      </c>
      <c r="AI428" t="s">
        <v>3105</v>
      </c>
      <c r="AJ428" t="s">
        <v>1</v>
      </c>
      <c r="AK428">
        <v>9932239170</v>
      </c>
      <c r="AL428" t="s">
        <v>3106</v>
      </c>
      <c r="AM428" t="s">
        <v>3107</v>
      </c>
      <c r="AN428">
        <v>0</v>
      </c>
      <c r="AO428" t="s">
        <v>3104</v>
      </c>
      <c r="AP428" t="s">
        <v>1</v>
      </c>
      <c r="AQ428">
        <v>5</v>
      </c>
      <c r="AR428">
        <v>0</v>
      </c>
      <c r="AS428">
        <v>0</v>
      </c>
      <c r="AT428" t="s">
        <v>1</v>
      </c>
      <c r="AU428" t="s">
        <v>1</v>
      </c>
      <c r="AV428" t="s">
        <v>1</v>
      </c>
      <c r="AW428">
        <v>0</v>
      </c>
      <c r="AX428">
        <v>2350</v>
      </c>
      <c r="AY428">
        <v>12450</v>
      </c>
      <c r="AZ428">
        <v>0</v>
      </c>
      <c r="BA428">
        <v>0</v>
      </c>
      <c r="BB428" t="s">
        <v>1</v>
      </c>
      <c r="BC428" t="s">
        <v>1995</v>
      </c>
      <c r="BD428" t="s">
        <v>147</v>
      </c>
      <c r="BE428" t="s">
        <v>1</v>
      </c>
      <c r="BF428" t="s">
        <v>1</v>
      </c>
      <c r="BG428" t="s">
        <v>1</v>
      </c>
      <c r="BH428">
        <v>0</v>
      </c>
      <c r="BI428">
        <v>0</v>
      </c>
      <c r="BJ428" t="s">
        <v>1930</v>
      </c>
      <c r="BK428" t="s">
        <v>1</v>
      </c>
      <c r="BL428" t="s">
        <v>1138</v>
      </c>
      <c r="BM428">
        <v>0</v>
      </c>
      <c r="BN428">
        <v>14800</v>
      </c>
      <c r="BO428">
        <v>0</v>
      </c>
      <c r="BP428">
        <v>0</v>
      </c>
      <c r="BQ428">
        <v>0</v>
      </c>
      <c r="BR428" t="s">
        <v>1</v>
      </c>
      <c r="BS428" t="s">
        <v>1</v>
      </c>
      <c r="BT428" t="s">
        <v>1</v>
      </c>
      <c r="BU428" t="s">
        <v>1</v>
      </c>
      <c r="BV428" t="s">
        <v>1</v>
      </c>
      <c r="BW428" t="s">
        <v>360</v>
      </c>
      <c r="BX428" t="s">
        <v>1</v>
      </c>
      <c r="BY428">
        <v>0</v>
      </c>
      <c r="BZ428">
        <v>0</v>
      </c>
      <c r="CA428">
        <v>0</v>
      </c>
      <c r="CB428">
        <v>0</v>
      </c>
      <c r="CD428" t="str" cm="1">
        <f t="array" aca="1" ref="CD428" ca="1">eConcatenar(A428:CB428,"|")</f>
        <v>eqDezWigBIOCILwu|VSA2021-1096|3|MEMORIAL|TABASCO|VILLAHERMOSA |VILLAHERMOSA |2021-07-14|14800|X|X|200|1|0|X|X|X|X|X|X|X|X|X|X|X|X|0|MALO|MARTINEZ|MARIA DE JESUS |0|X|X|SEGUNDA CERRADA DE GUACIMO 24 |COLONIA18 DE MARZO |X|9932239170|KARLA LILI GIL MALO|MIGUEL ALEXANDER GIL MALO|0|SEGUNDA CERRADA DE GUACIMO 24 |X|5|0|0|X|X|X|0|2350|12450|0|0|X|2021-12-18|2021-12-31|X|X|X|0|0|S35D6D3Y9KVTQ2|X|MUJER|0|14800|0|0|0|X|X|X|X|X|VILLAHERMOSA |X|0|0|0|0</v>
      </c>
    </row>
    <row r="429" spans="1:82" x14ac:dyDescent="0.25">
      <c r="A429" t="s">
        <v>3108</v>
      </c>
      <c r="B429" t="s">
        <v>3109</v>
      </c>
      <c r="C429">
        <v>3</v>
      </c>
      <c r="D429" t="s">
        <v>741</v>
      </c>
      <c r="E429" t="s">
        <v>359</v>
      </c>
      <c r="F429" t="s">
        <v>360</v>
      </c>
      <c r="G429" t="s">
        <v>360</v>
      </c>
      <c r="H429" t="s">
        <v>1248</v>
      </c>
      <c r="I429">
        <v>14800</v>
      </c>
      <c r="J429" t="s">
        <v>1</v>
      </c>
      <c r="K429" t="s">
        <v>1</v>
      </c>
      <c r="L429">
        <v>200</v>
      </c>
      <c r="M429">
        <v>1</v>
      </c>
      <c r="N429">
        <v>0</v>
      </c>
      <c r="O429" t="s">
        <v>1</v>
      </c>
      <c r="P429" t="s">
        <v>1</v>
      </c>
      <c r="Q429" t="s">
        <v>1</v>
      </c>
      <c r="R429" t="s">
        <v>1</v>
      </c>
      <c r="S429" t="s">
        <v>1</v>
      </c>
      <c r="T429" t="s">
        <v>1</v>
      </c>
      <c r="U429" t="s">
        <v>1</v>
      </c>
      <c r="V429" t="s">
        <v>1</v>
      </c>
      <c r="W429" t="s">
        <v>1</v>
      </c>
      <c r="X429" t="s">
        <v>1</v>
      </c>
      <c r="Y429" t="s">
        <v>1</v>
      </c>
      <c r="Z429" t="s">
        <v>1</v>
      </c>
      <c r="AA429">
        <v>0</v>
      </c>
      <c r="AB429" t="s">
        <v>13</v>
      </c>
      <c r="AC429" t="s">
        <v>3110</v>
      </c>
      <c r="AD429" t="s">
        <v>1998</v>
      </c>
      <c r="AE429">
        <v>0</v>
      </c>
      <c r="AF429" t="s">
        <v>1</v>
      </c>
      <c r="AG429" t="s">
        <v>1</v>
      </c>
      <c r="AH429" t="s">
        <v>3111</v>
      </c>
      <c r="AI429" t="s">
        <v>2767</v>
      </c>
      <c r="AJ429" t="s">
        <v>1</v>
      </c>
      <c r="AK429">
        <v>9931192044</v>
      </c>
      <c r="AL429" t="s">
        <v>3112</v>
      </c>
      <c r="AM429" t="s">
        <v>3113</v>
      </c>
      <c r="AN429">
        <v>0</v>
      </c>
      <c r="AO429" t="s">
        <v>3111</v>
      </c>
      <c r="AP429" t="s">
        <v>1</v>
      </c>
      <c r="AQ429">
        <v>4</v>
      </c>
      <c r="AR429">
        <v>0</v>
      </c>
      <c r="AS429">
        <v>0</v>
      </c>
      <c r="AT429" t="s">
        <v>1</v>
      </c>
      <c r="AU429" t="s">
        <v>1</v>
      </c>
      <c r="AV429" t="s">
        <v>1</v>
      </c>
      <c r="AW429">
        <v>0</v>
      </c>
      <c r="AX429">
        <v>1750</v>
      </c>
      <c r="AY429">
        <v>13050</v>
      </c>
      <c r="AZ429">
        <v>0</v>
      </c>
      <c r="BA429">
        <v>0</v>
      </c>
      <c r="BB429" t="s">
        <v>1</v>
      </c>
      <c r="BC429" t="s">
        <v>1954</v>
      </c>
      <c r="BD429" t="s">
        <v>147</v>
      </c>
      <c r="BE429" t="s">
        <v>1</v>
      </c>
      <c r="BF429" t="s">
        <v>1</v>
      </c>
      <c r="BG429" t="s">
        <v>1</v>
      </c>
      <c r="BH429">
        <v>0</v>
      </c>
      <c r="BI429">
        <v>0</v>
      </c>
      <c r="BJ429" t="s">
        <v>1930</v>
      </c>
      <c r="BK429" t="s">
        <v>1</v>
      </c>
      <c r="BL429" t="s">
        <v>1138</v>
      </c>
      <c r="BM429">
        <v>0</v>
      </c>
      <c r="BN429">
        <v>14800</v>
      </c>
      <c r="BO429">
        <v>0</v>
      </c>
      <c r="BP429">
        <v>0</v>
      </c>
      <c r="BQ429">
        <v>0</v>
      </c>
      <c r="BR429" t="s">
        <v>1</v>
      </c>
      <c r="BS429" t="s">
        <v>1</v>
      </c>
      <c r="BT429" t="s">
        <v>1</v>
      </c>
      <c r="BU429" t="s">
        <v>1</v>
      </c>
      <c r="BV429" t="s">
        <v>1</v>
      </c>
      <c r="BW429" t="s">
        <v>360</v>
      </c>
      <c r="BX429" t="s">
        <v>1</v>
      </c>
      <c r="BY429">
        <v>0</v>
      </c>
      <c r="BZ429">
        <v>0</v>
      </c>
      <c r="CA429">
        <v>0</v>
      </c>
      <c r="CB429">
        <v>0</v>
      </c>
      <c r="CD429" t="str" cm="1">
        <f t="array" aca="1" ref="CD429" ca="1">eConcatenar(A429:CB429,"|")</f>
        <v>0y7qZbftANY3TNGy|VSA2021-1100|3|MEMORIAL|TABASCO|VILLAHERMOSA |VILLAHERMOSA |2021-07-15|14800|X|X|200|1|0|X|X|X|X|X|X|X|X|X|X|X|X|0|GUTIERREZ|HIDALGO|MARIA ISABEL |0|X|X|CALLE PROFESORA ROSA MIGUEL 410 |COLONIA 18 DE MARZO  |X|9931192044|FERNANDO PEREZ DOMINGUEZ|EDISON FERNANDO PEREZ GUTIERREZ|0|CALLE PROFESORA ROSA MIGUEL 410 |X|4|0|0|X|X|X|0|1750|13050|0|0|X|2021-12-17|2021-12-31|X|X|X|0|0|S35D6D3Y9KVTQ2|X|MUJER|0|14800|0|0|0|X|X|X|X|X|VILLAHERMOSA |X|0|0|0|0</v>
      </c>
    </row>
    <row r="430" spans="1:82" x14ac:dyDescent="0.25">
      <c r="A430" t="s">
        <v>3114</v>
      </c>
      <c r="B430" t="s">
        <v>3115</v>
      </c>
      <c r="C430">
        <v>3</v>
      </c>
      <c r="D430" t="s">
        <v>741</v>
      </c>
      <c r="E430" t="s">
        <v>359</v>
      </c>
      <c r="F430" t="s">
        <v>360</v>
      </c>
      <c r="G430" t="s">
        <v>360</v>
      </c>
      <c r="H430" t="s">
        <v>2678</v>
      </c>
      <c r="I430">
        <v>14800</v>
      </c>
      <c r="J430" t="s">
        <v>1</v>
      </c>
      <c r="K430" t="s">
        <v>1</v>
      </c>
      <c r="L430">
        <v>200</v>
      </c>
      <c r="M430">
        <v>1</v>
      </c>
      <c r="N430">
        <v>0</v>
      </c>
      <c r="O430" t="s">
        <v>1</v>
      </c>
      <c r="P430" t="s">
        <v>1</v>
      </c>
      <c r="Q430" t="s">
        <v>1</v>
      </c>
      <c r="R430" t="s">
        <v>1</v>
      </c>
      <c r="S430" t="s">
        <v>1</v>
      </c>
      <c r="T430" t="s">
        <v>1</v>
      </c>
      <c r="U430" t="s">
        <v>1</v>
      </c>
      <c r="V430" t="s">
        <v>1</v>
      </c>
      <c r="W430" t="s">
        <v>1</v>
      </c>
      <c r="X430" t="s">
        <v>1</v>
      </c>
      <c r="Y430" t="s">
        <v>1</v>
      </c>
      <c r="Z430" t="s">
        <v>1</v>
      </c>
      <c r="AA430">
        <v>0</v>
      </c>
      <c r="AB430" t="s">
        <v>8</v>
      </c>
      <c r="AC430" t="s">
        <v>199</v>
      </c>
      <c r="AD430" t="s">
        <v>3116</v>
      </c>
      <c r="AE430">
        <v>0</v>
      </c>
      <c r="AF430" t="s">
        <v>1</v>
      </c>
      <c r="AG430" t="s">
        <v>1</v>
      </c>
      <c r="AH430" t="s">
        <v>3117</v>
      </c>
      <c r="AI430" t="s">
        <v>2575</v>
      </c>
      <c r="AJ430" t="s">
        <v>1</v>
      </c>
      <c r="AK430">
        <v>9931277343</v>
      </c>
      <c r="AL430" t="s">
        <v>3118</v>
      </c>
      <c r="AM430" t="s">
        <v>3119</v>
      </c>
      <c r="AN430">
        <v>0</v>
      </c>
      <c r="AO430" t="s">
        <v>3117</v>
      </c>
      <c r="AP430" t="s">
        <v>1</v>
      </c>
      <c r="AQ430">
        <v>5</v>
      </c>
      <c r="AR430">
        <v>0</v>
      </c>
      <c r="AS430">
        <v>0</v>
      </c>
      <c r="AT430" t="s">
        <v>1</v>
      </c>
      <c r="AU430" t="s">
        <v>1</v>
      </c>
      <c r="AV430" t="s">
        <v>1</v>
      </c>
      <c r="AW430">
        <v>0</v>
      </c>
      <c r="AX430">
        <v>2500</v>
      </c>
      <c r="AY430">
        <v>12300</v>
      </c>
      <c r="AZ430">
        <v>0</v>
      </c>
      <c r="BA430">
        <v>0</v>
      </c>
      <c r="BB430" t="s">
        <v>1</v>
      </c>
      <c r="BC430" t="s">
        <v>2124</v>
      </c>
      <c r="BD430" t="s">
        <v>1995</v>
      </c>
      <c r="BE430" t="s">
        <v>1</v>
      </c>
      <c r="BF430" t="s">
        <v>1</v>
      </c>
      <c r="BG430" t="s">
        <v>1</v>
      </c>
      <c r="BH430">
        <v>0</v>
      </c>
      <c r="BI430">
        <v>0</v>
      </c>
      <c r="BJ430" t="s">
        <v>1930</v>
      </c>
      <c r="BK430" t="s">
        <v>1</v>
      </c>
      <c r="BL430" t="s">
        <v>132</v>
      </c>
      <c r="BM430">
        <v>0</v>
      </c>
      <c r="BN430">
        <v>14800</v>
      </c>
      <c r="BO430">
        <v>0</v>
      </c>
      <c r="BP430">
        <v>0</v>
      </c>
      <c r="BQ430">
        <v>0</v>
      </c>
      <c r="BR430" t="s">
        <v>1</v>
      </c>
      <c r="BS430" t="s">
        <v>1</v>
      </c>
      <c r="BT430" t="s">
        <v>1</v>
      </c>
      <c r="BU430" t="s">
        <v>1</v>
      </c>
      <c r="BV430" t="s">
        <v>1</v>
      </c>
      <c r="BW430" t="s">
        <v>360</v>
      </c>
      <c r="BX430" t="s">
        <v>1</v>
      </c>
      <c r="BY430">
        <v>0</v>
      </c>
      <c r="BZ430">
        <v>0</v>
      </c>
      <c r="CA430">
        <v>0</v>
      </c>
      <c r="CB430">
        <v>0</v>
      </c>
      <c r="CD430" t="str" cm="1">
        <f t="array" aca="1" ref="CD430" ca="1">eConcatenar(A430:CB430,"|")</f>
        <v>kSADEZJgVOLqMByE|VSA2021-1117|3|MEMORIAL|TABASCO|VILLAHERMOSA |VILLAHERMOSA |2021-07-19|14800|X|X|200|1|0|X|X|X|X|X|X|X|X|X|X|X|X|0|GOMEZ|RAMOS|ALONSO|0|X|X|CALLE 20 DE NOVIEMBRE 82 INTERIOR 5|COLONIA SABINA CENTRO|X|9931277343|ROSA MARIA CASTILLO RODRIGUEZ |ANA RUTH MAY GOMEZ|0|CALLE 20 DE NOVIEMBRE 82 INTERIOR 5|X|5|0|0|X|X|X|0|2500|12300|0|0|X|2021-04-12|2021-12-18|X|X|X|0|0|S35D6D3Y9KVTQ2|X|HOMBRE|0|14800|0|0|0|X|X|X|X|X|VILLAHERMOSA |X|0|0|0|0</v>
      </c>
    </row>
    <row r="431" spans="1:82" x14ac:dyDescent="0.25">
      <c r="A431" t="s">
        <v>3120</v>
      </c>
      <c r="B431" t="s">
        <v>3121</v>
      </c>
      <c r="C431">
        <v>3</v>
      </c>
      <c r="D431" t="s">
        <v>741</v>
      </c>
      <c r="E431" t="s">
        <v>359</v>
      </c>
      <c r="F431" t="s">
        <v>360</v>
      </c>
      <c r="G431" t="s">
        <v>360</v>
      </c>
      <c r="H431" t="s">
        <v>3122</v>
      </c>
      <c r="I431">
        <v>14800</v>
      </c>
      <c r="J431" t="s">
        <v>1</v>
      </c>
      <c r="K431" t="s">
        <v>1</v>
      </c>
      <c r="L431">
        <v>200</v>
      </c>
      <c r="M431">
        <v>1</v>
      </c>
      <c r="N431">
        <v>0</v>
      </c>
      <c r="O431" t="s">
        <v>1</v>
      </c>
      <c r="P431" t="s">
        <v>1</v>
      </c>
      <c r="Q431" t="s">
        <v>1</v>
      </c>
      <c r="R431" t="s">
        <v>1</v>
      </c>
      <c r="S431" t="s">
        <v>1</v>
      </c>
      <c r="T431" t="s">
        <v>1</v>
      </c>
      <c r="U431" t="s">
        <v>1</v>
      </c>
      <c r="V431" t="s">
        <v>1</v>
      </c>
      <c r="W431" t="s">
        <v>1</v>
      </c>
      <c r="X431" t="s">
        <v>1</v>
      </c>
      <c r="Y431" t="s">
        <v>1</v>
      </c>
      <c r="Z431" t="s">
        <v>1</v>
      </c>
      <c r="AA431">
        <v>0</v>
      </c>
      <c r="AB431" t="s">
        <v>1211</v>
      </c>
      <c r="AC431" t="s">
        <v>125</v>
      </c>
      <c r="AD431" t="s">
        <v>3123</v>
      </c>
      <c r="AE431">
        <v>0</v>
      </c>
      <c r="AF431" t="s">
        <v>1</v>
      </c>
      <c r="AG431" t="s">
        <v>1</v>
      </c>
      <c r="AH431" t="s">
        <v>3124</v>
      </c>
      <c r="AI431" t="s">
        <v>2160</v>
      </c>
      <c r="AJ431" t="s">
        <v>1</v>
      </c>
      <c r="AK431">
        <v>9931969655</v>
      </c>
      <c r="AL431" t="s">
        <v>3125</v>
      </c>
      <c r="AM431" t="s">
        <v>3126</v>
      </c>
      <c r="AN431">
        <v>0</v>
      </c>
      <c r="AO431" t="s">
        <v>3124</v>
      </c>
      <c r="AP431" t="s">
        <v>1</v>
      </c>
      <c r="AQ431">
        <v>4</v>
      </c>
      <c r="AR431">
        <v>0</v>
      </c>
      <c r="AS431">
        <v>0</v>
      </c>
      <c r="AT431" t="s">
        <v>1</v>
      </c>
      <c r="AU431" t="s">
        <v>1</v>
      </c>
      <c r="AV431" t="s">
        <v>1</v>
      </c>
      <c r="AW431">
        <v>0</v>
      </c>
      <c r="AX431">
        <v>2100</v>
      </c>
      <c r="AY431">
        <v>12700</v>
      </c>
      <c r="AZ431">
        <v>0</v>
      </c>
      <c r="BA431">
        <v>0</v>
      </c>
      <c r="BB431" t="s">
        <v>1</v>
      </c>
      <c r="BC431" t="s">
        <v>1954</v>
      </c>
      <c r="BD431" t="s">
        <v>147</v>
      </c>
      <c r="BE431" t="s">
        <v>1</v>
      </c>
      <c r="BF431" t="s">
        <v>1</v>
      </c>
      <c r="BG431" t="s">
        <v>1</v>
      </c>
      <c r="BH431">
        <v>0</v>
      </c>
      <c r="BI431">
        <v>0</v>
      </c>
      <c r="BJ431" t="s">
        <v>1930</v>
      </c>
      <c r="BK431" t="s">
        <v>1</v>
      </c>
      <c r="BL431" t="s">
        <v>132</v>
      </c>
      <c r="BM431">
        <v>0</v>
      </c>
      <c r="BN431">
        <v>14800</v>
      </c>
      <c r="BO431">
        <v>0</v>
      </c>
      <c r="BP431">
        <v>0</v>
      </c>
      <c r="BQ431">
        <v>0</v>
      </c>
      <c r="BR431" t="s">
        <v>1</v>
      </c>
      <c r="BS431" t="s">
        <v>1</v>
      </c>
      <c r="BT431" t="s">
        <v>1</v>
      </c>
      <c r="BU431" t="s">
        <v>1</v>
      </c>
      <c r="BV431" t="s">
        <v>1</v>
      </c>
      <c r="BW431" t="s">
        <v>360</v>
      </c>
      <c r="BX431" t="s">
        <v>1</v>
      </c>
      <c r="BY431">
        <v>0</v>
      </c>
      <c r="BZ431">
        <v>0</v>
      </c>
      <c r="CA431">
        <v>0</v>
      </c>
      <c r="CB431">
        <v>0</v>
      </c>
      <c r="CD431" t="str" cm="1">
        <f t="array" aca="1" ref="CD431" ca="1">eConcatenar(A431:CB431,"|")</f>
        <v>Ca6yNZx3zGZ5uJKD|VSA2021-1246|3|MEMORIAL|TABASCO|VILLAHERMOSA |VILLAHERMOSA |2021-11-08|14800|X|X|200|1|0|X|X|X|X|X|X|X|X|X|X|X|X|0|DE LA CRUZ |ROMERO |ARNULFO|0|X|X|ANDADOR EL ROBALO 312|COLONIA CARLOS A MADRAZO |X|9931969655|ROSA MARIA MADRIGAL MENESES|ALAN DENIS DE LA CRUZ MADRIGAL |0|ANDADOR EL ROBALO 312|X|4|0|0|X|X|X|0|2100|12700|0|0|X|2021-12-17|2021-12-31|X|X|X|0|0|S35D6D3Y9KVTQ2|X|HOMBRE|0|14800|0|0|0|X|X|X|X|X|VILLAHERMOSA |X|0|0|0|0</v>
      </c>
    </row>
    <row r="432" spans="1:82" x14ac:dyDescent="0.25">
      <c r="A432" t="s">
        <v>3127</v>
      </c>
      <c r="B432" t="s">
        <v>3128</v>
      </c>
      <c r="C432">
        <v>3</v>
      </c>
      <c r="D432" t="s">
        <v>741</v>
      </c>
      <c r="E432" t="s">
        <v>359</v>
      </c>
      <c r="F432" t="s">
        <v>360</v>
      </c>
      <c r="G432" t="s">
        <v>360</v>
      </c>
      <c r="H432" t="s">
        <v>1428</v>
      </c>
      <c r="I432">
        <v>14800</v>
      </c>
      <c r="J432" t="s">
        <v>1</v>
      </c>
      <c r="K432" t="s">
        <v>1</v>
      </c>
      <c r="L432">
        <v>100</v>
      </c>
      <c r="M432">
        <v>0</v>
      </c>
      <c r="N432">
        <v>0</v>
      </c>
      <c r="O432" t="s">
        <v>1</v>
      </c>
      <c r="P432" t="s">
        <v>1</v>
      </c>
      <c r="Q432" t="s">
        <v>1</v>
      </c>
      <c r="R432" t="s">
        <v>1</v>
      </c>
      <c r="S432" t="s">
        <v>1</v>
      </c>
      <c r="T432" t="s">
        <v>1</v>
      </c>
      <c r="U432" t="s">
        <v>1</v>
      </c>
      <c r="V432" t="s">
        <v>1</v>
      </c>
      <c r="W432" t="s">
        <v>1</v>
      </c>
      <c r="X432" t="s">
        <v>1</v>
      </c>
      <c r="Y432" t="s">
        <v>1</v>
      </c>
      <c r="Z432" t="s">
        <v>1</v>
      </c>
      <c r="AA432">
        <v>0</v>
      </c>
      <c r="AB432" t="s">
        <v>3129</v>
      </c>
      <c r="AC432" t="s">
        <v>217</v>
      </c>
      <c r="AD432" t="s">
        <v>3130</v>
      </c>
      <c r="AE432">
        <v>0</v>
      </c>
      <c r="AF432" t="s">
        <v>1</v>
      </c>
      <c r="AG432" t="s">
        <v>1</v>
      </c>
      <c r="AH432" t="s">
        <v>3131</v>
      </c>
      <c r="AI432" t="s">
        <v>3132</v>
      </c>
      <c r="AJ432" t="s">
        <v>1</v>
      </c>
      <c r="AK432">
        <v>9932383236</v>
      </c>
      <c r="AL432" t="s">
        <v>3133</v>
      </c>
      <c r="AM432" t="s">
        <v>3134</v>
      </c>
      <c r="AN432">
        <v>0</v>
      </c>
      <c r="AO432" t="s">
        <v>3131</v>
      </c>
      <c r="AP432" t="s">
        <v>1</v>
      </c>
      <c r="AQ432">
        <v>4</v>
      </c>
      <c r="AR432">
        <v>0</v>
      </c>
      <c r="AS432">
        <v>0</v>
      </c>
      <c r="AT432" t="s">
        <v>1</v>
      </c>
      <c r="AU432" t="s">
        <v>1</v>
      </c>
      <c r="AV432" t="s">
        <v>1</v>
      </c>
      <c r="AW432">
        <v>0</v>
      </c>
      <c r="AX432">
        <v>1500</v>
      </c>
      <c r="AY432">
        <v>13300</v>
      </c>
      <c r="AZ432">
        <v>0</v>
      </c>
      <c r="BA432">
        <v>0</v>
      </c>
      <c r="BB432" t="s">
        <v>1</v>
      </c>
      <c r="BC432" t="s">
        <v>1954</v>
      </c>
      <c r="BD432" t="s">
        <v>312</v>
      </c>
      <c r="BE432" t="s">
        <v>1</v>
      </c>
      <c r="BF432" t="s">
        <v>1</v>
      </c>
      <c r="BG432" t="s">
        <v>1</v>
      </c>
      <c r="BH432">
        <v>0</v>
      </c>
      <c r="BI432">
        <v>0</v>
      </c>
      <c r="BJ432" t="s">
        <v>1930</v>
      </c>
      <c r="BK432" t="s">
        <v>1</v>
      </c>
      <c r="BL432" t="s">
        <v>132</v>
      </c>
      <c r="BM432">
        <v>0</v>
      </c>
      <c r="BN432">
        <v>14800</v>
      </c>
      <c r="BO432">
        <v>0</v>
      </c>
      <c r="BP432">
        <v>0</v>
      </c>
      <c r="BQ432">
        <v>0</v>
      </c>
      <c r="BR432" t="s">
        <v>1</v>
      </c>
      <c r="BS432" t="s">
        <v>1</v>
      </c>
      <c r="BT432" t="s">
        <v>1</v>
      </c>
      <c r="BU432" t="s">
        <v>1</v>
      </c>
      <c r="BV432" t="s">
        <v>1</v>
      </c>
      <c r="BW432" t="s">
        <v>360</v>
      </c>
      <c r="BX432" t="s">
        <v>1</v>
      </c>
      <c r="BY432">
        <v>0</v>
      </c>
      <c r="BZ432">
        <v>0</v>
      </c>
      <c r="CA432">
        <v>0</v>
      </c>
      <c r="CB432">
        <v>0</v>
      </c>
      <c r="CD432" t="str" cm="1">
        <f t="array" aca="1" ref="CD432" ca="1">eConcatenar(A432:CB432,"|")</f>
        <v>fPQYGiIG4YaJioIm|VSA2021-1284|3|MEMORIAL|TABASCO|VILLAHERMOSA |VILLAHERMOSA |2021-08-14|14800|X|X|100|0|0|X|X|X|X|X|X|X|X|X|X|X|X|0|PINTO|HERNANDEZ|CARLOS MARIO |0|X|X|ANDADOR DEL MACAYO MANZANA 47 LOTE 12 |FRACCIONAMIENTO BOSQUE DE SALOYA |X|9932383236|ORALIA PINTO HERNANDEZ |BEATRIZ ADRIANA DE LA CRUZ PINTO|0|ANDADOR DEL MACAYO MANZANA 47 LOTE 12 |X|4|0|0|X|X|X|0|1500|13300|0|0|X|2021-12-17|2021-12-24|X|X|X|0|0|S35D6D3Y9KVTQ2|X|HOMBRE|0|14800|0|0|0|X|X|X|X|X|VILLAHERMOSA |X|0|0|0|0</v>
      </c>
    </row>
    <row r="433" spans="1:82" x14ac:dyDescent="0.25">
      <c r="A433" t="s">
        <v>3135</v>
      </c>
      <c r="B433" t="s">
        <v>3136</v>
      </c>
      <c r="C433">
        <v>3</v>
      </c>
      <c r="D433" t="s">
        <v>741</v>
      </c>
      <c r="E433" t="s">
        <v>359</v>
      </c>
      <c r="F433" t="s">
        <v>360</v>
      </c>
      <c r="G433" t="s">
        <v>360</v>
      </c>
      <c r="H433" t="s">
        <v>882</v>
      </c>
      <c r="I433">
        <v>14800</v>
      </c>
      <c r="J433" t="s">
        <v>1</v>
      </c>
      <c r="K433" t="s">
        <v>1</v>
      </c>
      <c r="L433">
        <v>400</v>
      </c>
      <c r="M433">
        <v>2</v>
      </c>
      <c r="N433">
        <v>0</v>
      </c>
      <c r="O433" t="s">
        <v>1</v>
      </c>
      <c r="P433" t="s">
        <v>1</v>
      </c>
      <c r="Q433" t="s">
        <v>1</v>
      </c>
      <c r="R433" t="s">
        <v>1</v>
      </c>
      <c r="S433" t="s">
        <v>1</v>
      </c>
      <c r="T433" t="s">
        <v>1</v>
      </c>
      <c r="U433" t="s">
        <v>1</v>
      </c>
      <c r="V433" t="s">
        <v>1</v>
      </c>
      <c r="W433" t="s">
        <v>1</v>
      </c>
      <c r="X433" t="s">
        <v>1</v>
      </c>
      <c r="Y433" t="s">
        <v>1</v>
      </c>
      <c r="Z433" t="s">
        <v>1</v>
      </c>
      <c r="AA433">
        <v>0</v>
      </c>
      <c r="AB433" t="s">
        <v>3137</v>
      </c>
      <c r="AC433" t="s">
        <v>3138</v>
      </c>
      <c r="AD433" t="s">
        <v>3139</v>
      </c>
      <c r="AE433">
        <v>0</v>
      </c>
      <c r="AF433" t="s">
        <v>1</v>
      </c>
      <c r="AG433" t="s">
        <v>1</v>
      </c>
      <c r="AH433" t="s">
        <v>3140</v>
      </c>
      <c r="AI433" t="s">
        <v>2080</v>
      </c>
      <c r="AJ433" t="s">
        <v>1</v>
      </c>
      <c r="AK433">
        <v>9931325486</v>
      </c>
      <c r="AL433" t="s">
        <v>2404</v>
      </c>
      <c r="AM433" t="s">
        <v>3141</v>
      </c>
      <c r="AN433">
        <v>0</v>
      </c>
      <c r="AO433" t="s">
        <v>3140</v>
      </c>
      <c r="AP433" t="s">
        <v>1</v>
      </c>
      <c r="AQ433">
        <v>5</v>
      </c>
      <c r="AR433">
        <v>0</v>
      </c>
      <c r="AS433">
        <v>0</v>
      </c>
      <c r="AT433" t="s">
        <v>1</v>
      </c>
      <c r="AU433" t="s">
        <v>1</v>
      </c>
      <c r="AV433" t="s">
        <v>1</v>
      </c>
      <c r="AW433">
        <v>0</v>
      </c>
      <c r="AX433">
        <v>1300</v>
      </c>
      <c r="AY433">
        <v>13500</v>
      </c>
      <c r="AZ433">
        <v>0</v>
      </c>
      <c r="BA433">
        <v>0</v>
      </c>
      <c r="BB433" t="s">
        <v>1</v>
      </c>
      <c r="BC433" t="s">
        <v>367</v>
      </c>
      <c r="BD433" t="s">
        <v>758</v>
      </c>
      <c r="BE433" t="s">
        <v>1</v>
      </c>
      <c r="BF433" t="s">
        <v>1</v>
      </c>
      <c r="BG433" t="s">
        <v>1</v>
      </c>
      <c r="BH433">
        <v>0</v>
      </c>
      <c r="BI433">
        <v>0</v>
      </c>
      <c r="BJ433" t="s">
        <v>1930</v>
      </c>
      <c r="BK433" t="s">
        <v>1</v>
      </c>
      <c r="BL433" t="s">
        <v>1138</v>
      </c>
      <c r="BM433">
        <v>0</v>
      </c>
      <c r="BN433">
        <v>14800</v>
      </c>
      <c r="BO433">
        <v>0</v>
      </c>
      <c r="BP433">
        <v>0</v>
      </c>
      <c r="BQ433">
        <v>0</v>
      </c>
      <c r="BR433" t="s">
        <v>1</v>
      </c>
      <c r="BS433" t="s">
        <v>1</v>
      </c>
      <c r="BT433" t="s">
        <v>1</v>
      </c>
      <c r="BU433" t="s">
        <v>1</v>
      </c>
      <c r="BV433" t="s">
        <v>1</v>
      </c>
      <c r="BW433" t="s">
        <v>360</v>
      </c>
      <c r="BX433" t="s">
        <v>1</v>
      </c>
      <c r="BY433">
        <v>0</v>
      </c>
      <c r="BZ433">
        <v>0</v>
      </c>
      <c r="CA433">
        <v>0</v>
      </c>
      <c r="CB433">
        <v>0</v>
      </c>
      <c r="CD433" t="str" cm="1">
        <f t="array" aca="1" ref="CD433" ca="1">eConcatenar(A433:CB433,"|")</f>
        <v>cS1dUZYRVjTxx9jz|VSA2021-1381|3|MEMORIAL|TABASCO|VILLAHERMOSA |VILLAHERMOSA |2021-08-24|14800|X|X|400|2|0|X|X|X|X|X|X|X|X|X|X|X|X|0|MOSCOSO|ZURITA |TEUTILA |0|X|X|CALLE FRANCISCO I MADERO 120|COLONIA ATASTA |X|9931325486|MANUEL ALBERTO DE LA CRUZ MOSCOSO |EVA MARIA DE LA CRUZ MOSCOSO |0|CALLE FRANCISCO I MADERO 120|X|5|0|0|X|X|X|0|1300|13500|0|0|X|2021-11-15|2021-12-15|X|X|X|0|0|S35D6D3Y9KVTQ2|X|MUJER|0|14800|0|0|0|X|X|X|X|X|VILLAHERMOSA |X|0|0|0|0</v>
      </c>
    </row>
    <row r="434" spans="1:82" x14ac:dyDescent="0.25">
      <c r="A434" t="s">
        <v>3142</v>
      </c>
      <c r="B434" t="s">
        <v>3143</v>
      </c>
      <c r="C434">
        <v>3</v>
      </c>
      <c r="D434" t="s">
        <v>715</v>
      </c>
      <c r="E434" t="s">
        <v>359</v>
      </c>
      <c r="F434" t="s">
        <v>360</v>
      </c>
      <c r="G434" t="s">
        <v>360</v>
      </c>
      <c r="H434" t="s">
        <v>716</v>
      </c>
      <c r="I434">
        <v>12900</v>
      </c>
      <c r="J434" t="s">
        <v>1</v>
      </c>
      <c r="K434" t="s">
        <v>1</v>
      </c>
      <c r="L434">
        <v>100</v>
      </c>
      <c r="M434">
        <v>0</v>
      </c>
      <c r="N434">
        <v>0</v>
      </c>
      <c r="O434" t="s">
        <v>1</v>
      </c>
      <c r="P434" t="s">
        <v>1</v>
      </c>
      <c r="Q434" t="s">
        <v>1</v>
      </c>
      <c r="R434" t="s">
        <v>1</v>
      </c>
      <c r="S434" t="s">
        <v>1</v>
      </c>
      <c r="T434" t="s">
        <v>1</v>
      </c>
      <c r="U434" t="s">
        <v>1</v>
      </c>
      <c r="V434" t="s">
        <v>1</v>
      </c>
      <c r="W434" t="s">
        <v>1</v>
      </c>
      <c r="X434" t="s">
        <v>1</v>
      </c>
      <c r="Y434" t="s">
        <v>1</v>
      </c>
      <c r="Z434" t="s">
        <v>1</v>
      </c>
      <c r="AA434">
        <v>0</v>
      </c>
      <c r="AB434" t="s">
        <v>3144</v>
      </c>
      <c r="AC434" t="s">
        <v>395</v>
      </c>
      <c r="AD434" t="s">
        <v>3145</v>
      </c>
      <c r="AE434">
        <v>0</v>
      </c>
      <c r="AF434" t="s">
        <v>1</v>
      </c>
      <c r="AG434" t="s">
        <v>1</v>
      </c>
      <c r="AH434" t="s">
        <v>3146</v>
      </c>
      <c r="AI434" t="s">
        <v>3147</v>
      </c>
      <c r="AJ434" t="s">
        <v>1</v>
      </c>
      <c r="AK434">
        <v>9932505281</v>
      </c>
      <c r="AL434" t="s">
        <v>3148</v>
      </c>
      <c r="AM434" t="s">
        <v>3149</v>
      </c>
      <c r="AN434">
        <v>0</v>
      </c>
      <c r="AO434" t="s">
        <v>3146</v>
      </c>
      <c r="AP434" t="s">
        <v>1</v>
      </c>
      <c r="AQ434">
        <v>5</v>
      </c>
      <c r="AR434">
        <v>0</v>
      </c>
      <c r="AS434">
        <v>0</v>
      </c>
      <c r="AT434" t="s">
        <v>1</v>
      </c>
      <c r="AU434" t="s">
        <v>1</v>
      </c>
      <c r="AV434" t="s">
        <v>1</v>
      </c>
      <c r="AW434">
        <v>0</v>
      </c>
      <c r="AX434">
        <v>2890</v>
      </c>
      <c r="AY434">
        <v>10010</v>
      </c>
      <c r="AZ434">
        <v>0</v>
      </c>
      <c r="BA434">
        <v>0</v>
      </c>
      <c r="BB434" t="s">
        <v>1</v>
      </c>
      <c r="BC434" t="s">
        <v>2124</v>
      </c>
      <c r="BD434" t="s">
        <v>3150</v>
      </c>
      <c r="BE434" t="s">
        <v>1</v>
      </c>
      <c r="BF434" t="s">
        <v>1</v>
      </c>
      <c r="BG434" t="s">
        <v>1</v>
      </c>
      <c r="BH434">
        <v>0</v>
      </c>
      <c r="BI434">
        <v>0</v>
      </c>
      <c r="BJ434" t="s">
        <v>1930</v>
      </c>
      <c r="BK434" t="s">
        <v>1</v>
      </c>
      <c r="BL434" t="s">
        <v>132</v>
      </c>
      <c r="BM434">
        <v>0</v>
      </c>
      <c r="BN434">
        <v>12900</v>
      </c>
      <c r="BO434">
        <v>0</v>
      </c>
      <c r="BP434">
        <v>0</v>
      </c>
      <c r="BQ434">
        <v>0</v>
      </c>
      <c r="BR434" t="s">
        <v>1</v>
      </c>
      <c r="BS434" t="s">
        <v>1</v>
      </c>
      <c r="BT434" t="s">
        <v>1</v>
      </c>
      <c r="BU434" t="s">
        <v>1</v>
      </c>
      <c r="BV434" t="s">
        <v>1</v>
      </c>
      <c r="BW434" t="s">
        <v>360</v>
      </c>
      <c r="BX434" t="s">
        <v>1</v>
      </c>
      <c r="BY434">
        <v>0</v>
      </c>
      <c r="BZ434">
        <v>0</v>
      </c>
      <c r="CA434">
        <v>0</v>
      </c>
      <c r="CB434">
        <v>0</v>
      </c>
      <c r="CD434" t="str" cm="1">
        <f t="array" aca="1" ref="CD434" ca="1">eConcatenar(A434:CB434,"|")</f>
        <v>JPreD6nhkwoBYMLU|VSA2020-1031|3|IMPERIAL DE LUJO|TABASCO|VILLAHERMOSA |VILLAHERMOSA |2020-11-13|12900|X|X|100|0|0|X|X|X|X|X|X|X|X|X|X|X|X|0|CONDE |GARCIA |JAVIER |0|X|X|RIO MEZCALAPA SIN NUMERO |CASA BLANCA CENTRO |X|9932505281|YENI CONDE GARCIA |LIZUR CONDE PEREZ|0|RIO MEZCALAPA SIN NUMERO |X|5|0|0|X|X|X|0|2890|10010|0|0|X|2021-04-12|2021-11-12|X|X|X|0|0|S35D6D3Y9KVTQ2|X|HOMBRE|0|12900|0|0|0|X|X|X|X|X|VILLAHERMOSA |X|0|0|0|0</v>
      </c>
    </row>
    <row r="887" spans="1:80" s="5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</row>
    <row r="1110" spans="11:65" x14ac:dyDescent="0.25">
      <c r="AF1110" s="1"/>
      <c r="BE1110" s="1"/>
      <c r="BG1110" s="1"/>
      <c r="BM1110" s="2"/>
    </row>
    <row r="1111" spans="11:65" x14ac:dyDescent="0.25">
      <c r="BE1111" s="1"/>
    </row>
    <row r="1112" spans="11:65" x14ac:dyDescent="0.25">
      <c r="K1112" s="3"/>
      <c r="BE1112" s="1"/>
    </row>
    <row r="1113" spans="11:65" x14ac:dyDescent="0.25">
      <c r="K1113" s="3"/>
      <c r="BE1113" s="1"/>
    </row>
    <row r="1114" spans="11:65" x14ac:dyDescent="0.25">
      <c r="K1114" s="3"/>
      <c r="BE1114" s="1"/>
    </row>
    <row r="1115" spans="11:65" x14ac:dyDescent="0.25">
      <c r="K1115" s="3"/>
      <c r="BE1115" s="1"/>
    </row>
    <row r="1116" spans="11:65" x14ac:dyDescent="0.25">
      <c r="K1116" s="3"/>
      <c r="BE1116" s="1"/>
    </row>
    <row r="1117" spans="11:65" x14ac:dyDescent="0.25">
      <c r="K1117" s="3"/>
      <c r="BE1117" s="1"/>
    </row>
    <row r="1118" spans="11:65" x14ac:dyDescent="0.25">
      <c r="K1118" s="3"/>
      <c r="BE1118" s="1"/>
    </row>
    <row r="1119" spans="11:65" x14ac:dyDescent="0.25">
      <c r="K1119" s="3"/>
      <c r="BE1119" s="1"/>
    </row>
    <row r="1120" spans="11:65" x14ac:dyDescent="0.25">
      <c r="K1120" s="3"/>
      <c r="BE1120" s="1"/>
    </row>
    <row r="1121" spans="11:57" x14ac:dyDescent="0.25">
      <c r="K1121" s="3"/>
      <c r="BE1121" s="1"/>
    </row>
    <row r="1122" spans="11:57" x14ac:dyDescent="0.25">
      <c r="K1122" s="3"/>
      <c r="BE1122" s="1"/>
    </row>
    <row r="1123" spans="11:57" x14ac:dyDescent="0.25">
      <c r="K1123" s="3"/>
      <c r="AF1123" s="1"/>
      <c r="BE1123" s="1"/>
    </row>
    <row r="1124" spans="11:57" x14ac:dyDescent="0.25">
      <c r="K1124" s="3"/>
      <c r="BB1124" s="1"/>
      <c r="BE1124" s="1"/>
    </row>
    <row r="1125" spans="11:57" x14ac:dyDescent="0.25">
      <c r="K1125" s="3"/>
      <c r="BE1125" s="1"/>
    </row>
    <row r="1126" spans="11:57" x14ac:dyDescent="0.25">
      <c r="K1126" s="3"/>
      <c r="BE1126" s="1"/>
    </row>
    <row r="1127" spans="11:57" x14ac:dyDescent="0.25">
      <c r="K1127" s="3"/>
      <c r="BE1127" s="1"/>
    </row>
    <row r="1128" spans="11:57" x14ac:dyDescent="0.25">
      <c r="K1128" s="3"/>
      <c r="BE1128" s="1"/>
    </row>
    <row r="1129" spans="11:57" x14ac:dyDescent="0.25">
      <c r="K1129" s="3"/>
      <c r="BE1129" s="1"/>
    </row>
    <row r="1130" spans="11:57" x14ac:dyDescent="0.25">
      <c r="K1130" s="3"/>
      <c r="BE1130" s="1"/>
    </row>
    <row r="1131" spans="11:57" x14ac:dyDescent="0.25">
      <c r="K1131" s="3"/>
      <c r="BE1131" s="1"/>
    </row>
    <row r="1132" spans="11:57" x14ac:dyDescent="0.25">
      <c r="K1132" s="3"/>
      <c r="BE1132" s="1"/>
    </row>
    <row r="1133" spans="11:57" x14ac:dyDescent="0.25">
      <c r="K1133" s="3"/>
      <c r="BE1133" s="1"/>
    </row>
    <row r="1134" spans="11:57" x14ac:dyDescent="0.25">
      <c r="K1134" s="3"/>
      <c r="BE1134" s="1"/>
    </row>
    <row r="1135" spans="11:57" x14ac:dyDescent="0.25">
      <c r="K1135" s="3"/>
      <c r="BE1135" s="1"/>
    </row>
    <row r="1136" spans="11:57" x14ac:dyDescent="0.25">
      <c r="K1136" s="3"/>
      <c r="BE1136" s="1"/>
    </row>
    <row r="1137" spans="11:57" x14ac:dyDescent="0.25">
      <c r="K1137" s="3"/>
      <c r="BE1137" s="1"/>
    </row>
    <row r="1138" spans="11:57" x14ac:dyDescent="0.25">
      <c r="K1138" s="3"/>
      <c r="BE1138" s="1"/>
    </row>
    <row r="1139" spans="11:57" x14ac:dyDescent="0.25">
      <c r="K1139" s="3"/>
      <c r="BE1139" s="1"/>
    </row>
    <row r="1140" spans="11:57" x14ac:dyDescent="0.25">
      <c r="K1140" s="3"/>
      <c r="BE1140" s="1"/>
    </row>
    <row r="1141" spans="11:57" x14ac:dyDescent="0.25">
      <c r="K1141" s="3"/>
      <c r="BE1141" s="1"/>
    </row>
    <row r="1142" spans="11:57" x14ac:dyDescent="0.25">
      <c r="K1142" s="3"/>
      <c r="BE1142" s="1"/>
    </row>
    <row r="1143" spans="11:57" x14ac:dyDescent="0.25">
      <c r="K1143" s="3"/>
      <c r="BE1143" s="1"/>
    </row>
    <row r="1144" spans="11:57" x14ac:dyDescent="0.25">
      <c r="K1144" s="3"/>
      <c r="BE1144" s="1"/>
    </row>
    <row r="1145" spans="11:57" x14ac:dyDescent="0.25">
      <c r="K1145" s="3"/>
      <c r="BE1145" s="1"/>
    </row>
    <row r="1146" spans="11:57" x14ac:dyDescent="0.25">
      <c r="K1146" s="3"/>
      <c r="BE1146" s="1"/>
    </row>
    <row r="1147" spans="11:57" x14ac:dyDescent="0.25">
      <c r="K1147" s="3"/>
      <c r="BE1147" s="1"/>
    </row>
    <row r="1148" spans="11:57" x14ac:dyDescent="0.25">
      <c r="K1148" s="3"/>
      <c r="BE1148" s="1"/>
    </row>
    <row r="1149" spans="11:57" x14ac:dyDescent="0.25">
      <c r="K1149" s="3"/>
      <c r="BE1149" s="1"/>
    </row>
    <row r="1150" spans="11:57" x14ac:dyDescent="0.25">
      <c r="K1150" s="3"/>
      <c r="BE1150" s="1"/>
    </row>
    <row r="1151" spans="11:57" x14ac:dyDescent="0.25">
      <c r="K1151" s="3"/>
      <c r="BB1151" s="1"/>
      <c r="BE1151" s="1"/>
    </row>
    <row r="1152" spans="11:57" x14ac:dyDescent="0.25">
      <c r="K1152" s="3"/>
      <c r="BE1152" s="1"/>
    </row>
    <row r="1153" spans="11:57" x14ac:dyDescent="0.25">
      <c r="K1153" s="3"/>
      <c r="BE1153" s="1"/>
    </row>
    <row r="1154" spans="11:57" x14ac:dyDescent="0.25">
      <c r="K1154" s="3"/>
      <c r="BE1154" s="1"/>
    </row>
    <row r="1155" spans="11:57" x14ac:dyDescent="0.25">
      <c r="K1155" s="3"/>
      <c r="BE1155" s="1"/>
    </row>
    <row r="1156" spans="11:57" x14ac:dyDescent="0.25">
      <c r="K1156" s="3"/>
      <c r="BE1156" s="1"/>
    </row>
    <row r="1157" spans="11:57" x14ac:dyDescent="0.25">
      <c r="K1157" s="3"/>
      <c r="BE1157" s="1"/>
    </row>
    <row r="1158" spans="11:57" x14ac:dyDescent="0.25">
      <c r="K1158" s="3"/>
      <c r="BE1158" s="1"/>
    </row>
    <row r="1159" spans="11:57" x14ac:dyDescent="0.25">
      <c r="K1159" s="3"/>
      <c r="BE1159" s="1"/>
    </row>
    <row r="1160" spans="11:57" x14ac:dyDescent="0.25">
      <c r="K1160" s="3"/>
      <c r="BE1160" s="1"/>
    </row>
    <row r="1161" spans="11:57" x14ac:dyDescent="0.25">
      <c r="K1161" s="3"/>
      <c r="BE1161" s="1"/>
    </row>
    <row r="1162" spans="11:57" x14ac:dyDescent="0.25">
      <c r="K1162" s="3"/>
      <c r="BE1162" s="1"/>
    </row>
    <row r="1163" spans="11:57" x14ac:dyDescent="0.25">
      <c r="K1163" s="3"/>
      <c r="BE1163" s="1"/>
    </row>
    <row r="1164" spans="11:57" x14ac:dyDescent="0.25">
      <c r="K1164" s="3"/>
      <c r="BE1164" s="1"/>
    </row>
    <row r="1165" spans="11:57" x14ac:dyDescent="0.25">
      <c r="K1165" s="3"/>
      <c r="BE1165" s="1"/>
    </row>
    <row r="1166" spans="11:57" x14ac:dyDescent="0.25">
      <c r="K1166" s="3"/>
      <c r="BE1166" s="1"/>
    </row>
    <row r="1167" spans="11:57" x14ac:dyDescent="0.25">
      <c r="K1167" s="3"/>
      <c r="BE1167" s="1"/>
    </row>
    <row r="1168" spans="11:57" x14ac:dyDescent="0.25">
      <c r="K1168" s="3"/>
      <c r="BE1168" s="1"/>
    </row>
    <row r="1169" spans="11:57" x14ac:dyDescent="0.25">
      <c r="K1169" s="3"/>
      <c r="BE1169" s="1"/>
    </row>
    <row r="1170" spans="11:57" x14ac:dyDescent="0.25">
      <c r="K1170" s="3"/>
      <c r="BE1170" s="1"/>
    </row>
    <row r="1171" spans="11:57" x14ac:dyDescent="0.25">
      <c r="K1171" s="3"/>
      <c r="BE1171" s="1"/>
    </row>
    <row r="1172" spans="11:57" x14ac:dyDescent="0.25">
      <c r="K1172" s="3"/>
      <c r="BE1172" s="1"/>
    </row>
    <row r="1173" spans="11:57" x14ac:dyDescent="0.25">
      <c r="K1173" s="3"/>
      <c r="BE1173" s="1"/>
    </row>
    <row r="1174" spans="11:57" x14ac:dyDescent="0.25">
      <c r="K1174" s="3"/>
      <c r="BE1174" s="1"/>
    </row>
    <row r="1175" spans="11:57" x14ac:dyDescent="0.25">
      <c r="K1175" s="3"/>
      <c r="BE1175" s="1"/>
    </row>
    <row r="1176" spans="11:57" x14ac:dyDescent="0.25">
      <c r="K1176" s="3"/>
      <c r="BE1176" s="1"/>
    </row>
    <row r="1177" spans="11:57" x14ac:dyDescent="0.25">
      <c r="K1177" s="3"/>
      <c r="BE1177" s="1"/>
    </row>
    <row r="1178" spans="11:57" x14ac:dyDescent="0.25">
      <c r="K1178" s="3"/>
      <c r="BE1178" s="1"/>
    </row>
    <row r="1179" spans="11:57" x14ac:dyDescent="0.25">
      <c r="K1179" s="3"/>
      <c r="BB1179" s="1"/>
      <c r="BE1179" s="1"/>
    </row>
    <row r="1180" spans="11:57" x14ac:dyDescent="0.25">
      <c r="K1180" s="3"/>
      <c r="BE1180" s="1"/>
    </row>
    <row r="1181" spans="11:57" x14ac:dyDescent="0.25">
      <c r="K1181" s="3"/>
      <c r="BE1181" s="1"/>
    </row>
    <row r="1182" spans="11:57" x14ac:dyDescent="0.25">
      <c r="K1182" s="3"/>
      <c r="BE1182" s="1"/>
    </row>
    <row r="1183" spans="11:57" x14ac:dyDescent="0.25">
      <c r="K1183" s="3"/>
      <c r="BE1183" s="1"/>
    </row>
    <row r="1184" spans="11:57" x14ac:dyDescent="0.25">
      <c r="K1184" s="3"/>
      <c r="BE1184" s="1"/>
    </row>
    <row r="1185" spans="11:57" x14ac:dyDescent="0.25">
      <c r="K1185" s="3"/>
      <c r="BE1185" s="1"/>
    </row>
    <row r="1186" spans="11:57" x14ac:dyDescent="0.25">
      <c r="K1186" s="3"/>
      <c r="BE1186" s="1"/>
    </row>
    <row r="1187" spans="11:57" x14ac:dyDescent="0.25">
      <c r="K1187" s="3"/>
      <c r="BE1187" s="1"/>
    </row>
    <row r="1188" spans="11:57" x14ac:dyDescent="0.25">
      <c r="K1188" s="3"/>
      <c r="BE1188" s="1"/>
    </row>
    <row r="1189" spans="11:57" x14ac:dyDescent="0.25">
      <c r="K1189" s="3"/>
      <c r="BE1189" s="1"/>
    </row>
    <row r="1190" spans="11:57" x14ac:dyDescent="0.25">
      <c r="K1190" s="3"/>
      <c r="BE1190" s="1"/>
    </row>
    <row r="1191" spans="11:57" x14ac:dyDescent="0.25">
      <c r="K1191" s="3"/>
      <c r="BE1191" s="1"/>
    </row>
    <row r="1192" spans="11:57" x14ac:dyDescent="0.25">
      <c r="K1192" s="3"/>
      <c r="BE1192" s="1"/>
    </row>
    <row r="1193" spans="11:57" x14ac:dyDescent="0.25">
      <c r="K1193" s="3"/>
      <c r="BE1193" s="1"/>
    </row>
    <row r="1194" spans="11:57" x14ac:dyDescent="0.25">
      <c r="K1194" s="3"/>
      <c r="BE1194" s="1"/>
    </row>
    <row r="1195" spans="11:57" x14ac:dyDescent="0.25">
      <c r="K1195" s="3"/>
      <c r="BE1195" s="1"/>
    </row>
    <row r="1196" spans="11:57" x14ac:dyDescent="0.25">
      <c r="K1196" s="3"/>
      <c r="BE1196" s="1"/>
    </row>
    <row r="1197" spans="11:57" x14ac:dyDescent="0.25">
      <c r="K1197" s="3"/>
      <c r="BE1197" s="1"/>
    </row>
    <row r="1198" spans="11:57" x14ac:dyDescent="0.25">
      <c r="K1198" s="3"/>
      <c r="BE1198" s="1"/>
    </row>
    <row r="1199" spans="11:57" x14ac:dyDescent="0.25">
      <c r="K1199" s="3"/>
      <c r="BE1199" s="1"/>
    </row>
    <row r="1266" spans="32:65" x14ac:dyDescent="0.25">
      <c r="AF1266" s="1"/>
      <c r="BE1266" s="1"/>
      <c r="BM1266" s="2"/>
    </row>
    <row r="1359" spans="51:51" x14ac:dyDescent="0.25">
      <c r="AY1359" s="8"/>
    </row>
    <row r="1367" spans="32:65" x14ac:dyDescent="0.25">
      <c r="AF1367" s="1"/>
      <c r="BE1367" s="1"/>
      <c r="BM1367" s="2"/>
    </row>
    <row r="1434" spans="54:54" x14ac:dyDescent="0.25">
      <c r="BB1434" s="1"/>
    </row>
    <row r="1464" spans="32:65" x14ac:dyDescent="0.25">
      <c r="AF1464" s="1"/>
      <c r="BE1464" s="1"/>
      <c r="BM1464" s="2"/>
    </row>
    <row r="1529" spans="32:65" x14ac:dyDescent="0.25">
      <c r="AF1529" s="1"/>
      <c r="BE1529" s="1"/>
      <c r="BM1529" s="2"/>
    </row>
    <row r="1651" spans="37:51" x14ac:dyDescent="0.25">
      <c r="AK1651" s="11"/>
    </row>
    <row r="1652" spans="37:51" x14ac:dyDescent="0.25">
      <c r="AY1652" s="8"/>
    </row>
    <row r="1665" spans="9:9" x14ac:dyDescent="0.25">
      <c r="I1665" s="8"/>
    </row>
    <row r="1710" spans="41:66" x14ac:dyDescent="0.25">
      <c r="AO1710" s="12"/>
      <c r="AX1710" s="12"/>
      <c r="AY1710" s="12"/>
      <c r="AZ1710" s="12"/>
      <c r="BA1710" s="12"/>
      <c r="BB1710" s="12"/>
      <c r="BE1710" s="12"/>
      <c r="BF1710" s="12"/>
      <c r="BG1710" s="12"/>
      <c r="BH1710" s="12"/>
      <c r="BI1710" s="12"/>
      <c r="BK1710" s="12"/>
      <c r="BL1710" s="12"/>
      <c r="BM1710" s="12"/>
      <c r="BN1710" s="7"/>
    </row>
    <row r="1711" spans="41:66" x14ac:dyDescent="0.25">
      <c r="AO1711" s="12"/>
      <c r="AX1711" s="12"/>
      <c r="AY1711" s="12"/>
      <c r="AZ1711" s="12"/>
      <c r="BA1711" s="12"/>
      <c r="BB1711" s="12"/>
      <c r="BE1711" s="12"/>
      <c r="BF1711" s="12"/>
      <c r="BG1711" s="12"/>
      <c r="BH1711" s="12"/>
      <c r="BI1711" s="12"/>
      <c r="BK1711" s="12"/>
      <c r="BL1711" s="12"/>
      <c r="BM1711" s="12"/>
      <c r="BN1711" s="7"/>
    </row>
    <row r="1712" spans="41:66" x14ac:dyDescent="0.25">
      <c r="AO1712" s="12"/>
      <c r="AX1712" s="12"/>
      <c r="AY1712" s="12"/>
      <c r="AZ1712" s="12"/>
      <c r="BA1712" s="12"/>
      <c r="BB1712" s="12"/>
      <c r="BE1712" s="12"/>
      <c r="BF1712" s="12"/>
      <c r="BG1712" s="12"/>
      <c r="BH1712" s="12"/>
      <c r="BI1712" s="12"/>
      <c r="BK1712" s="12"/>
      <c r="BL1712" s="12"/>
      <c r="BM1712" s="12"/>
      <c r="BN1712" s="7"/>
    </row>
    <row r="1713" spans="41:66" x14ac:dyDescent="0.25">
      <c r="AO1713" s="12"/>
      <c r="AX1713" s="12"/>
      <c r="AY1713" s="12"/>
      <c r="AZ1713" s="12"/>
      <c r="BA1713" s="12"/>
      <c r="BB1713" s="12"/>
      <c r="BE1713" s="12"/>
      <c r="BF1713" s="12"/>
      <c r="BG1713" s="12"/>
      <c r="BH1713" s="12"/>
      <c r="BI1713" s="12"/>
      <c r="BK1713" s="12"/>
      <c r="BL1713" s="12"/>
      <c r="BM1713" s="12"/>
      <c r="BN1713" s="7"/>
    </row>
    <row r="1714" spans="41:66" x14ac:dyDescent="0.25">
      <c r="AO1714" s="12"/>
      <c r="AX1714" s="12"/>
      <c r="AY1714" s="12"/>
      <c r="AZ1714" s="12"/>
      <c r="BA1714" s="12"/>
      <c r="BB1714" s="12"/>
      <c r="BE1714" s="12"/>
      <c r="BF1714" s="12"/>
      <c r="BG1714" s="12"/>
      <c r="BH1714" s="12"/>
      <c r="BI1714" s="12"/>
      <c r="BK1714" s="12"/>
      <c r="BL1714" s="12"/>
      <c r="BM1714" s="12"/>
      <c r="BN1714" s="7"/>
    </row>
    <row r="1715" spans="41:66" x14ac:dyDescent="0.25">
      <c r="AO1715" s="12"/>
      <c r="AX1715" s="12"/>
      <c r="AY1715" s="12"/>
      <c r="AZ1715" s="12"/>
      <c r="BA1715" s="12"/>
      <c r="BB1715" s="12"/>
      <c r="BE1715" s="12"/>
      <c r="BF1715" s="12"/>
      <c r="BG1715" s="12"/>
      <c r="BH1715" s="12"/>
      <c r="BI1715" s="12"/>
      <c r="BK1715" s="12"/>
      <c r="BL1715" s="12"/>
      <c r="BM1715" s="12"/>
      <c r="BN1715" s="7"/>
    </row>
    <row r="1716" spans="41:66" x14ac:dyDescent="0.25">
      <c r="AO1716" s="12"/>
      <c r="AX1716" s="12"/>
      <c r="AY1716" s="12"/>
      <c r="AZ1716" s="12"/>
      <c r="BA1716" s="12"/>
      <c r="BB1716" s="12"/>
      <c r="BE1716" s="12"/>
      <c r="BF1716" s="12"/>
      <c r="BG1716" s="12"/>
      <c r="BH1716" s="12"/>
      <c r="BI1716" s="12"/>
      <c r="BK1716" s="12"/>
      <c r="BL1716" s="12"/>
      <c r="BM1716" s="12"/>
      <c r="BN1716" s="7"/>
    </row>
    <row r="1717" spans="41:66" x14ac:dyDescent="0.25">
      <c r="AO1717" s="12"/>
      <c r="AX1717" s="12"/>
      <c r="AY1717" s="12"/>
      <c r="AZ1717" s="12"/>
      <c r="BA1717" s="12"/>
      <c r="BB1717" s="12"/>
      <c r="BE1717" s="12"/>
      <c r="BF1717" s="12"/>
      <c r="BG1717" s="12"/>
      <c r="BH1717" s="12"/>
      <c r="BI1717" s="12"/>
      <c r="BK1717" s="12"/>
      <c r="BL1717" s="12"/>
      <c r="BM1717" s="12"/>
      <c r="BN1717" s="7"/>
    </row>
    <row r="1718" spans="41:66" x14ac:dyDescent="0.25">
      <c r="AO1718" s="12"/>
      <c r="AX1718" s="12"/>
      <c r="AY1718" s="12"/>
      <c r="AZ1718" s="12"/>
      <c r="BA1718" s="12"/>
      <c r="BB1718" s="12"/>
      <c r="BE1718" s="12"/>
      <c r="BF1718" s="12"/>
      <c r="BG1718" s="12"/>
      <c r="BH1718" s="12"/>
      <c r="BI1718" s="12"/>
      <c r="BK1718" s="12"/>
      <c r="BL1718" s="12"/>
      <c r="BM1718" s="12"/>
      <c r="BN1718" s="7"/>
    </row>
    <row r="1719" spans="41:66" x14ac:dyDescent="0.25">
      <c r="AO1719" s="12"/>
      <c r="AX1719" s="12"/>
      <c r="AY1719" s="12"/>
      <c r="AZ1719" s="12"/>
      <c r="BA1719" s="12"/>
      <c r="BB1719" s="12"/>
      <c r="BE1719" s="12"/>
      <c r="BF1719" s="12"/>
      <c r="BG1719" s="12"/>
      <c r="BH1719" s="12"/>
      <c r="BI1719" s="12"/>
      <c r="BK1719" s="12"/>
      <c r="BL1719" s="12"/>
      <c r="BM1719" s="12"/>
      <c r="BN1719" s="7"/>
    </row>
    <row r="1720" spans="41:66" x14ac:dyDescent="0.25">
      <c r="AO1720" s="12"/>
      <c r="AX1720" s="12"/>
      <c r="AY1720" s="12"/>
      <c r="AZ1720" s="12"/>
      <c r="BA1720" s="12"/>
      <c r="BB1720" s="12"/>
      <c r="BE1720" s="12"/>
      <c r="BF1720" s="12"/>
      <c r="BG1720" s="12"/>
      <c r="BH1720" s="12"/>
      <c r="BI1720" s="12"/>
      <c r="BK1720" s="12"/>
      <c r="BL1720" s="12"/>
      <c r="BM1720" s="12"/>
      <c r="BN1720" s="7"/>
    </row>
    <row r="1721" spans="41:66" x14ac:dyDescent="0.25">
      <c r="AO1721" s="12"/>
      <c r="AX1721" s="12"/>
      <c r="AY1721" s="12"/>
      <c r="AZ1721" s="12"/>
      <c r="BA1721" s="12"/>
      <c r="BB1721" s="12"/>
      <c r="BE1721" s="12"/>
      <c r="BF1721" s="12"/>
      <c r="BG1721" s="12"/>
      <c r="BH1721" s="12"/>
      <c r="BI1721" s="12"/>
      <c r="BK1721" s="12"/>
      <c r="BL1721" s="12"/>
      <c r="BM1721" s="12"/>
      <c r="BN1721" s="7"/>
    </row>
    <row r="1722" spans="41:66" x14ac:dyDescent="0.25">
      <c r="AO1722" s="12"/>
      <c r="AX1722" s="12"/>
      <c r="AY1722" s="12"/>
      <c r="AZ1722" s="12"/>
      <c r="BA1722" s="12"/>
      <c r="BB1722" s="12"/>
      <c r="BE1722" s="12"/>
      <c r="BF1722" s="12"/>
      <c r="BG1722" s="12"/>
      <c r="BH1722" s="12"/>
      <c r="BI1722" s="12"/>
      <c r="BK1722" s="12"/>
      <c r="BL1722" s="12"/>
      <c r="BM1722" s="12"/>
      <c r="BN1722" s="7"/>
    </row>
    <row r="1723" spans="41:66" x14ac:dyDescent="0.25">
      <c r="AO1723" s="12"/>
      <c r="AX1723" s="12"/>
      <c r="AY1723" s="12"/>
      <c r="AZ1723" s="12"/>
      <c r="BA1723" s="12"/>
      <c r="BB1723" s="12"/>
      <c r="BE1723" s="12"/>
      <c r="BF1723" s="12"/>
      <c r="BG1723" s="12"/>
      <c r="BH1723" s="12"/>
      <c r="BI1723" s="12"/>
      <c r="BK1723" s="12"/>
      <c r="BL1723" s="12"/>
      <c r="BM1723" s="12"/>
      <c r="BN1723" s="7"/>
    </row>
    <row r="1724" spans="41:66" x14ac:dyDescent="0.25">
      <c r="AO1724" s="12"/>
      <c r="AX1724" s="12"/>
      <c r="AY1724" s="12"/>
      <c r="AZ1724" s="12"/>
      <c r="BA1724" s="12"/>
      <c r="BB1724" s="12"/>
      <c r="BE1724" s="12"/>
      <c r="BF1724" s="12"/>
      <c r="BG1724" s="12"/>
      <c r="BH1724" s="12"/>
      <c r="BI1724" s="12"/>
      <c r="BK1724" s="12"/>
      <c r="BL1724" s="12"/>
      <c r="BM1724" s="12"/>
      <c r="BN1724" s="7"/>
    </row>
    <row r="1725" spans="41:66" x14ac:dyDescent="0.25">
      <c r="AO1725" s="12"/>
      <c r="AX1725" s="12"/>
      <c r="AY1725" s="12"/>
      <c r="AZ1725" s="12"/>
      <c r="BA1725" s="12"/>
      <c r="BB1725" s="12"/>
      <c r="BE1725" s="12"/>
      <c r="BF1725" s="12"/>
      <c r="BG1725" s="12"/>
      <c r="BH1725" s="12"/>
      <c r="BI1725" s="12"/>
      <c r="BK1725" s="12"/>
      <c r="BL1725" s="12"/>
      <c r="BM1725" s="12"/>
      <c r="BN1725" s="7"/>
    </row>
    <row r="1726" spans="41:66" x14ac:dyDescent="0.25">
      <c r="AO1726" s="12"/>
      <c r="AX1726" s="12"/>
      <c r="AY1726" s="12"/>
      <c r="AZ1726" s="12"/>
      <c r="BA1726" s="12"/>
      <c r="BB1726" s="12"/>
      <c r="BE1726" s="12"/>
      <c r="BF1726" s="12"/>
      <c r="BG1726" s="12"/>
      <c r="BH1726" s="12"/>
      <c r="BI1726" s="12"/>
      <c r="BK1726" s="12"/>
      <c r="BL1726" s="12"/>
      <c r="BM1726" s="12"/>
      <c r="BN1726" s="7"/>
    </row>
    <row r="1727" spans="41:66" x14ac:dyDescent="0.25">
      <c r="AO1727" s="12"/>
      <c r="AX1727" s="12"/>
      <c r="AY1727" s="12"/>
      <c r="AZ1727" s="12"/>
      <c r="BA1727" s="12"/>
      <c r="BB1727" s="12"/>
      <c r="BE1727" s="12"/>
      <c r="BF1727" s="12"/>
      <c r="BG1727" s="12"/>
      <c r="BH1727" s="12"/>
      <c r="BI1727" s="12"/>
      <c r="BK1727" s="12"/>
      <c r="BL1727" s="12"/>
      <c r="BM1727" s="12"/>
      <c r="BN1727" s="7"/>
    </row>
    <row r="1728" spans="41:66" x14ac:dyDescent="0.25">
      <c r="AO1728" s="12"/>
      <c r="AX1728" s="12"/>
      <c r="AY1728" s="12"/>
      <c r="AZ1728" s="12"/>
      <c r="BA1728" s="12"/>
      <c r="BB1728" s="12"/>
      <c r="BE1728" s="12"/>
      <c r="BF1728" s="12"/>
      <c r="BG1728" s="12"/>
      <c r="BH1728" s="12"/>
      <c r="BI1728" s="12"/>
      <c r="BK1728" s="12"/>
      <c r="BL1728" s="12"/>
      <c r="BM1728" s="12"/>
      <c r="BN1728" s="7"/>
    </row>
    <row r="1729" spans="1:80" x14ac:dyDescent="0.25">
      <c r="AO1729" s="12"/>
      <c r="AX1729" s="12"/>
      <c r="AY1729" s="12"/>
      <c r="AZ1729" s="12"/>
      <c r="BA1729" s="12"/>
      <c r="BB1729" s="12"/>
      <c r="BE1729" s="12"/>
      <c r="BF1729" s="12"/>
      <c r="BG1729" s="12"/>
      <c r="BH1729" s="12"/>
      <c r="BI1729" s="12"/>
      <c r="BK1729" s="12"/>
      <c r="BL1729" s="12"/>
      <c r="BM1729" s="12"/>
      <c r="BN1729" s="7"/>
    </row>
    <row r="1730" spans="1:80" x14ac:dyDescent="0.25">
      <c r="AO1730" s="12"/>
      <c r="AX1730" s="12"/>
      <c r="AY1730" s="12"/>
      <c r="AZ1730" s="12"/>
      <c r="BA1730" s="12"/>
      <c r="BB1730" s="12"/>
      <c r="BE1730" s="12"/>
      <c r="BF1730" s="12"/>
      <c r="BG1730" s="12"/>
      <c r="BH1730" s="12"/>
      <c r="BI1730" s="12"/>
      <c r="BK1730" s="12"/>
      <c r="BL1730" s="12"/>
      <c r="BM1730" s="12"/>
      <c r="BN1730" s="7"/>
    </row>
    <row r="1731" spans="1:80" x14ac:dyDescent="0.25">
      <c r="AO1731" s="12"/>
      <c r="AX1731" s="12"/>
      <c r="AY1731" s="12"/>
      <c r="AZ1731" s="12"/>
      <c r="BA1731" s="12"/>
      <c r="BB1731" s="12"/>
      <c r="BE1731" s="12"/>
      <c r="BF1731" s="12"/>
      <c r="BG1731" s="12"/>
      <c r="BH1731" s="12"/>
      <c r="BI1731" s="12"/>
      <c r="BK1731" s="12"/>
      <c r="BL1731" s="12"/>
      <c r="BM1731" s="12"/>
      <c r="BN1731" s="7"/>
    </row>
    <row r="1732" spans="1:80" x14ac:dyDescent="0.25">
      <c r="AO1732" s="12"/>
      <c r="AX1732" s="12"/>
      <c r="AY1732" s="12"/>
      <c r="AZ1732" s="12"/>
      <c r="BA1732" s="12"/>
      <c r="BB1732" s="12"/>
      <c r="BE1732" s="12"/>
      <c r="BF1732" s="12"/>
      <c r="BG1732" s="12"/>
      <c r="BH1732" s="12"/>
      <c r="BI1732" s="12"/>
      <c r="BK1732" s="12"/>
      <c r="BL1732" s="12"/>
      <c r="BM1732" s="12"/>
      <c r="BN1732" s="7"/>
    </row>
    <row r="1733" spans="1:80" x14ac:dyDescent="0.25">
      <c r="AO1733" s="12"/>
      <c r="AX1733" s="12"/>
      <c r="AY1733" s="12"/>
      <c r="AZ1733" s="12"/>
      <c r="BA1733" s="12"/>
      <c r="BB1733" s="12"/>
      <c r="BE1733" s="12"/>
      <c r="BF1733" s="12"/>
      <c r="BG1733" s="12"/>
      <c r="BH1733" s="12"/>
      <c r="BI1733" s="12"/>
      <c r="BK1733" s="12"/>
      <c r="BL1733" s="12"/>
      <c r="BM1733" s="12"/>
      <c r="BN1733" s="7"/>
    </row>
    <row r="1734" spans="1:80" x14ac:dyDescent="0.25">
      <c r="AO1734" s="12"/>
      <c r="AX1734" s="12"/>
      <c r="AY1734" s="12"/>
      <c r="AZ1734" s="12"/>
      <c r="BA1734" s="12"/>
      <c r="BB1734" s="12"/>
      <c r="BE1734" s="12"/>
      <c r="BF1734" s="12"/>
      <c r="BG1734" s="12"/>
      <c r="BH1734" s="12"/>
      <c r="BI1734" s="12"/>
      <c r="BK1734" s="12"/>
      <c r="BL1734" s="12"/>
      <c r="BM1734" s="12"/>
      <c r="BN1734" s="7"/>
    </row>
    <row r="1735" spans="1:80" x14ac:dyDescent="0.25">
      <c r="AO1735" s="12"/>
      <c r="AX1735" s="12"/>
      <c r="AY1735" s="12"/>
      <c r="AZ1735" s="12"/>
      <c r="BA1735" s="12"/>
      <c r="BB1735" s="12"/>
      <c r="BE1735" s="12"/>
      <c r="BF1735" s="12"/>
      <c r="BG1735" s="12"/>
      <c r="BH1735" s="12"/>
      <c r="BI1735" s="12"/>
      <c r="BK1735" s="12"/>
      <c r="BL1735" s="12"/>
      <c r="BM1735" s="12"/>
      <c r="BN1735" s="7"/>
    </row>
    <row r="1736" spans="1:80" x14ac:dyDescent="0.25">
      <c r="AO1736" s="12"/>
      <c r="AX1736" s="12"/>
      <c r="AY1736" s="12"/>
      <c r="AZ1736" s="12"/>
      <c r="BA1736" s="12"/>
      <c r="BB1736" s="12"/>
      <c r="BE1736" s="12"/>
      <c r="BF1736" s="12"/>
      <c r="BG1736" s="12"/>
      <c r="BH1736" s="12"/>
      <c r="BI1736" s="12"/>
      <c r="BK1736" s="12"/>
      <c r="BL1736" s="12"/>
      <c r="BM1736" s="12"/>
      <c r="BN1736" s="7"/>
    </row>
    <row r="1737" spans="1:80" x14ac:dyDescent="0.25">
      <c r="AO1737" s="12"/>
      <c r="AX1737" s="12"/>
      <c r="AY1737" s="12"/>
      <c r="AZ1737" s="12"/>
      <c r="BA1737" s="12"/>
      <c r="BB1737" s="12"/>
      <c r="BE1737" s="12"/>
      <c r="BF1737" s="12"/>
      <c r="BG1737" s="12"/>
      <c r="BH1737" s="12"/>
      <c r="BI1737" s="12"/>
      <c r="BK1737" s="12"/>
      <c r="BL1737" s="12"/>
      <c r="BM1737" s="12"/>
      <c r="BN1737" s="7"/>
    </row>
    <row r="1738" spans="1:80" x14ac:dyDescent="0.25">
      <c r="AO1738" s="12"/>
      <c r="AX1738" s="12"/>
      <c r="AY1738" s="12"/>
      <c r="AZ1738" s="12"/>
      <c r="BA1738" s="12"/>
      <c r="BB1738" s="12"/>
      <c r="BE1738" s="12"/>
      <c r="BF1738" s="12"/>
      <c r="BG1738" s="12"/>
      <c r="BH1738" s="12"/>
      <c r="BI1738" s="12"/>
      <c r="BK1738" s="12"/>
      <c r="BL1738" s="12"/>
      <c r="BM1738" s="12"/>
      <c r="BN1738" s="7"/>
    </row>
    <row r="1739" spans="1:80" x14ac:dyDescent="0.25">
      <c r="AO1739" s="12"/>
      <c r="AX1739" s="12"/>
      <c r="AY1739" s="12"/>
      <c r="AZ1739" s="12"/>
      <c r="BA1739" s="12"/>
      <c r="BB1739" s="12"/>
      <c r="BE1739" s="12"/>
      <c r="BF1739" s="12"/>
      <c r="BG1739" s="12"/>
      <c r="BH1739" s="12"/>
      <c r="BI1739" s="12"/>
      <c r="BK1739" s="12"/>
      <c r="BL1739" s="12"/>
      <c r="BM1739" s="12"/>
      <c r="BN1739" s="7"/>
    </row>
    <row r="1740" spans="1:80" x14ac:dyDescent="0.25">
      <c r="A1740" s="13"/>
      <c r="B1740" s="13"/>
      <c r="C1740" s="13"/>
      <c r="D1740" s="13"/>
      <c r="E1740" s="13"/>
      <c r="F1740" s="13"/>
      <c r="G1740" s="13"/>
      <c r="H1740" s="13"/>
      <c r="I1740" s="13"/>
      <c r="J1740" s="13"/>
      <c r="K1740" s="13"/>
      <c r="L1740" s="13"/>
      <c r="M1740" s="13"/>
      <c r="N1740" s="13"/>
      <c r="O1740" s="13"/>
      <c r="P1740" s="13"/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4"/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  <c r="AV1740" s="13"/>
      <c r="AW1740" s="13"/>
      <c r="AX1740" s="13"/>
      <c r="AY1740" s="13"/>
      <c r="AZ1740" s="13"/>
      <c r="BA1740" s="13"/>
      <c r="BB1740" s="13"/>
      <c r="BC1740" s="13"/>
      <c r="BD1740" s="13"/>
      <c r="BE1740" s="14"/>
      <c r="BF1740" s="13"/>
      <c r="BG1740" s="13"/>
      <c r="BH1740" s="13"/>
      <c r="BI1740" s="13"/>
      <c r="BK1740" s="13"/>
      <c r="BL1740" s="13"/>
      <c r="BM1740" s="15"/>
      <c r="BN1740" s="13"/>
      <c r="BO1740" s="13"/>
      <c r="BP1740" s="13"/>
      <c r="BQ1740" s="13"/>
      <c r="BR1740" s="13"/>
      <c r="BS1740" s="13"/>
      <c r="BT1740" s="13"/>
      <c r="BU1740" s="13"/>
      <c r="BV1740" s="13"/>
      <c r="BW1740" s="13"/>
      <c r="BX1740" s="13"/>
      <c r="BY1740" s="13"/>
      <c r="BZ1740" s="13"/>
      <c r="CA1740" s="13"/>
      <c r="CB1740" s="13"/>
    </row>
    <row r="1826" spans="54:54" x14ac:dyDescent="0.25">
      <c r="BB1826" s="1"/>
    </row>
    <row r="1847" spans="11:65" x14ac:dyDescent="0.25">
      <c r="AF1847" s="1"/>
      <c r="BE1847" s="1"/>
      <c r="BM1847" s="2"/>
    </row>
    <row r="1849" spans="11:65" x14ac:dyDescent="0.25">
      <c r="K1849" s="3"/>
    </row>
    <row r="1850" spans="11:65" x14ac:dyDescent="0.25">
      <c r="K1850" s="3"/>
    </row>
    <row r="1851" spans="11:65" x14ac:dyDescent="0.25">
      <c r="K1851" s="3"/>
    </row>
    <row r="1852" spans="11:65" x14ac:dyDescent="0.25">
      <c r="K1852" s="3"/>
    </row>
    <row r="1853" spans="11:65" x14ac:dyDescent="0.25">
      <c r="K1853" s="3"/>
    </row>
    <row r="1854" spans="11:65" x14ac:dyDescent="0.25">
      <c r="K1854" s="3"/>
    </row>
    <row r="1855" spans="11:65" x14ac:dyDescent="0.25">
      <c r="K1855" s="3"/>
      <c r="BB1855" s="1"/>
    </row>
    <row r="1856" spans="11:65" x14ac:dyDescent="0.25">
      <c r="K1856" s="3"/>
    </row>
    <row r="1857" spans="11:32" x14ac:dyDescent="0.25">
      <c r="K1857" s="3"/>
    </row>
    <row r="1858" spans="11:32" x14ac:dyDescent="0.25">
      <c r="K1858" s="3"/>
    </row>
    <row r="1859" spans="11:32" x14ac:dyDescent="0.25">
      <c r="K1859" s="3"/>
    </row>
    <row r="1860" spans="11:32" x14ac:dyDescent="0.25">
      <c r="K1860" s="3"/>
      <c r="AF1860" s="1"/>
    </row>
    <row r="1861" spans="11:32" x14ac:dyDescent="0.25">
      <c r="K1861" s="3"/>
    </row>
    <row r="1862" spans="11:32" x14ac:dyDescent="0.25">
      <c r="K1862" s="3"/>
    </row>
    <row r="1863" spans="11:32" x14ac:dyDescent="0.25">
      <c r="K1863" s="3"/>
    </row>
    <row r="1864" spans="11:32" x14ac:dyDescent="0.25">
      <c r="K1864" s="3"/>
    </row>
    <row r="1865" spans="11:32" x14ac:dyDescent="0.25">
      <c r="K1865" s="3"/>
    </row>
    <row r="1866" spans="11:32" x14ac:dyDescent="0.25">
      <c r="K1866" s="3"/>
    </row>
    <row r="1867" spans="11:32" x14ac:dyDescent="0.25">
      <c r="K1867" s="3"/>
    </row>
    <row r="1868" spans="11:32" x14ac:dyDescent="0.25">
      <c r="K1868" s="3"/>
    </row>
    <row r="1869" spans="11:32" x14ac:dyDescent="0.25">
      <c r="K1869" s="3"/>
    </row>
    <row r="1870" spans="11:32" x14ac:dyDescent="0.25">
      <c r="K1870" s="3"/>
    </row>
    <row r="1871" spans="11:32" x14ac:dyDescent="0.25">
      <c r="K1871" s="3"/>
    </row>
    <row r="1872" spans="11:32" x14ac:dyDescent="0.25">
      <c r="K1872" s="3"/>
    </row>
    <row r="1873" spans="11:11" x14ac:dyDescent="0.25">
      <c r="K1873" s="3"/>
    </row>
    <row r="1874" spans="11:11" x14ac:dyDescent="0.25">
      <c r="K1874" s="3"/>
    </row>
    <row r="1875" spans="11:11" x14ac:dyDescent="0.25">
      <c r="K1875" s="3"/>
    </row>
    <row r="1876" spans="11:11" x14ac:dyDescent="0.25">
      <c r="K1876" s="3"/>
    </row>
    <row r="1877" spans="11:11" x14ac:dyDescent="0.25">
      <c r="K1877" s="3"/>
    </row>
    <row r="1878" spans="11:11" x14ac:dyDescent="0.25">
      <c r="K1878" s="3"/>
    </row>
    <row r="1879" spans="11:11" x14ac:dyDescent="0.25">
      <c r="K1879" s="3"/>
    </row>
    <row r="1880" spans="11:11" x14ac:dyDescent="0.25">
      <c r="K1880" s="3"/>
    </row>
    <row r="1881" spans="11:11" x14ac:dyDescent="0.25">
      <c r="K1881" s="3"/>
    </row>
    <row r="1882" spans="11:11" x14ac:dyDescent="0.25">
      <c r="K1882" s="3"/>
    </row>
    <row r="1883" spans="11:11" x14ac:dyDescent="0.25">
      <c r="K1883" s="3"/>
    </row>
    <row r="1884" spans="11:11" x14ac:dyDescent="0.25">
      <c r="K1884" s="3"/>
    </row>
    <row r="1885" spans="11:11" x14ac:dyDescent="0.25">
      <c r="K1885" s="3"/>
    </row>
    <row r="1886" spans="11:11" x14ac:dyDescent="0.25">
      <c r="K1886" s="3"/>
    </row>
    <row r="1887" spans="11:11" x14ac:dyDescent="0.25">
      <c r="K1887" s="3"/>
    </row>
    <row r="1888" spans="11:11" x14ac:dyDescent="0.25">
      <c r="K1888" s="3"/>
    </row>
    <row r="1889" spans="11:11" x14ac:dyDescent="0.25">
      <c r="K1889" s="3"/>
    </row>
    <row r="1890" spans="11:11" x14ac:dyDescent="0.25">
      <c r="K1890" s="3"/>
    </row>
    <row r="1891" spans="11:11" x14ac:dyDescent="0.25">
      <c r="K1891" s="3"/>
    </row>
    <row r="1892" spans="11:11" x14ac:dyDescent="0.25">
      <c r="K1892" s="3"/>
    </row>
    <row r="1893" spans="11:11" x14ac:dyDescent="0.25">
      <c r="K1893" s="3"/>
    </row>
    <row r="1894" spans="11:11" x14ac:dyDescent="0.25">
      <c r="K1894" s="3"/>
    </row>
    <row r="1895" spans="11:11" x14ac:dyDescent="0.25">
      <c r="K1895" s="3"/>
    </row>
    <row r="1896" spans="11:11" x14ac:dyDescent="0.25">
      <c r="K1896" s="3"/>
    </row>
    <row r="1897" spans="11:11" x14ac:dyDescent="0.25">
      <c r="K1897" s="3"/>
    </row>
    <row r="1898" spans="11:11" x14ac:dyDescent="0.25">
      <c r="K1898" s="3"/>
    </row>
    <row r="1899" spans="11:11" x14ac:dyDescent="0.25">
      <c r="K1899" s="3"/>
    </row>
    <row r="1900" spans="11:11" x14ac:dyDescent="0.25">
      <c r="K1900" s="3"/>
    </row>
    <row r="1901" spans="11:11" x14ac:dyDescent="0.25">
      <c r="K1901" s="3"/>
    </row>
    <row r="1902" spans="11:11" x14ac:dyDescent="0.25">
      <c r="K1902" s="3"/>
    </row>
    <row r="1903" spans="11:11" x14ac:dyDescent="0.25">
      <c r="K1903" s="3"/>
    </row>
    <row r="1904" spans="11:11" x14ac:dyDescent="0.25">
      <c r="K1904" s="3"/>
    </row>
    <row r="1905" spans="11:11" x14ac:dyDescent="0.25">
      <c r="K1905" s="3"/>
    </row>
    <row r="1906" spans="11:11" x14ac:dyDescent="0.25">
      <c r="K1906" s="3"/>
    </row>
    <row r="1907" spans="11:11" x14ac:dyDescent="0.25">
      <c r="K1907" s="3"/>
    </row>
    <row r="1908" spans="11:11" x14ac:dyDescent="0.25">
      <c r="K1908" s="3"/>
    </row>
    <row r="1909" spans="11:11" x14ac:dyDescent="0.25">
      <c r="K1909" s="3"/>
    </row>
    <row r="1910" spans="11:11" x14ac:dyDescent="0.25">
      <c r="K1910" s="3"/>
    </row>
    <row r="1911" spans="11:11" x14ac:dyDescent="0.25">
      <c r="K1911" s="3"/>
    </row>
    <row r="1912" spans="11:11" x14ac:dyDescent="0.25">
      <c r="K1912" s="3"/>
    </row>
    <row r="1913" spans="11:11" x14ac:dyDescent="0.25">
      <c r="K1913" s="3"/>
    </row>
    <row r="1926" spans="51:51" x14ac:dyDescent="0.25">
      <c r="AY1926" s="8"/>
    </row>
    <row r="1947" spans="1:76" x14ac:dyDescent="0.25">
      <c r="A1947" s="6"/>
      <c r="B1947" s="6"/>
      <c r="C1947" s="6"/>
      <c r="D1947" s="6"/>
      <c r="E1947" s="6"/>
      <c r="F1947" s="6"/>
      <c r="G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  <c r="BE1947" s="6"/>
      <c r="BF1947" s="6"/>
      <c r="BG1947" s="6"/>
      <c r="BH1947" s="6"/>
      <c r="BI1947" s="6"/>
      <c r="BK1947" s="6"/>
      <c r="BL1947" s="6"/>
      <c r="BM1947" s="6"/>
      <c r="BN1947" s="6"/>
      <c r="BO1947" s="6"/>
      <c r="BP1947" s="6"/>
      <c r="BQ1947" s="6"/>
      <c r="BR1947" s="6"/>
      <c r="BS1947" s="6"/>
      <c r="BT1947" s="6"/>
      <c r="BU1947" s="6"/>
      <c r="BV1947" s="6"/>
      <c r="BW1947" s="6"/>
      <c r="BX1947" s="6"/>
    </row>
    <row r="1948" spans="1:76" x14ac:dyDescent="0.25">
      <c r="A1948" s="6"/>
      <c r="B1948" s="6"/>
      <c r="C1948" s="6"/>
      <c r="D1948" s="6"/>
      <c r="E1948" s="6"/>
      <c r="F1948" s="6"/>
      <c r="G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  <c r="BE1948" s="6"/>
      <c r="BF1948" s="6"/>
      <c r="BG1948" s="6"/>
      <c r="BH1948" s="6"/>
      <c r="BI1948" s="6"/>
      <c r="BK1948" s="6"/>
      <c r="BL1948" s="6"/>
      <c r="BM1948" s="6"/>
      <c r="BN1948" s="6"/>
      <c r="BO1948" s="6"/>
      <c r="BP1948" s="6"/>
      <c r="BQ1948" s="6"/>
      <c r="BR1948" s="6"/>
      <c r="BS1948" s="6"/>
      <c r="BT1948" s="6"/>
      <c r="BU1948" s="6"/>
      <c r="BV1948" s="6"/>
      <c r="BW1948" s="6"/>
      <c r="BX1948" s="6"/>
    </row>
    <row r="1949" spans="1:76" x14ac:dyDescent="0.25">
      <c r="A1949" s="6"/>
      <c r="B1949" s="6"/>
      <c r="C1949" s="6"/>
      <c r="D1949" s="6"/>
      <c r="E1949" s="6"/>
      <c r="F1949" s="6"/>
      <c r="G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  <c r="BE1949" s="6"/>
      <c r="BF1949" s="6"/>
      <c r="BG1949" s="6"/>
      <c r="BH1949" s="6"/>
      <c r="BI1949" s="6"/>
      <c r="BK1949" s="6"/>
      <c r="BL1949" s="6"/>
      <c r="BM1949" s="6"/>
      <c r="BN1949" s="6"/>
      <c r="BO1949" s="6"/>
      <c r="BP1949" s="6"/>
      <c r="BQ1949" s="6"/>
      <c r="BR1949" s="6"/>
      <c r="BS1949" s="6"/>
      <c r="BT1949" s="6"/>
      <c r="BU1949" s="6"/>
      <c r="BV1949" s="6"/>
      <c r="BW1949" s="6"/>
      <c r="BX1949" s="6"/>
    </row>
    <row r="1950" spans="1:76" x14ac:dyDescent="0.25">
      <c r="A1950" s="6"/>
      <c r="B1950" s="6"/>
      <c r="C1950" s="6"/>
      <c r="D1950" s="6"/>
      <c r="E1950" s="6"/>
      <c r="F1950" s="6"/>
      <c r="G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  <c r="BE1950" s="6"/>
      <c r="BF1950" s="6"/>
      <c r="BG1950" s="6"/>
      <c r="BH1950" s="6"/>
      <c r="BI1950" s="6"/>
      <c r="BK1950" s="6"/>
      <c r="BL1950" s="6"/>
      <c r="BM1950" s="6"/>
      <c r="BN1950" s="6"/>
      <c r="BO1950" s="6"/>
      <c r="BP1950" s="6"/>
      <c r="BQ1950" s="6"/>
      <c r="BR1950" s="6"/>
      <c r="BS1950" s="6"/>
      <c r="BT1950" s="6"/>
      <c r="BU1950" s="6"/>
      <c r="BV1950" s="6"/>
      <c r="BW1950" s="6"/>
      <c r="BX1950" s="6"/>
    </row>
    <row r="1951" spans="1:76" x14ac:dyDescent="0.25">
      <c r="A1951" s="6"/>
      <c r="B1951" s="6"/>
      <c r="C1951" s="6"/>
      <c r="D1951" s="6"/>
      <c r="E1951" s="6"/>
      <c r="F1951" s="6"/>
      <c r="G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  <c r="BE1951" s="6"/>
      <c r="BF1951" s="6"/>
      <c r="BG1951" s="6"/>
      <c r="BH1951" s="6"/>
      <c r="BI1951" s="6"/>
      <c r="BK1951" s="6"/>
      <c r="BL1951" s="6"/>
      <c r="BM1951" s="6"/>
      <c r="BN1951" s="6"/>
      <c r="BO1951" s="6"/>
      <c r="BP1951" s="6"/>
      <c r="BQ1951" s="6"/>
      <c r="BR1951" s="6"/>
      <c r="BS1951" s="6"/>
      <c r="BT1951" s="6"/>
      <c r="BU1951" s="6"/>
      <c r="BV1951" s="6"/>
      <c r="BW1951" s="6"/>
      <c r="BX1951" s="6"/>
    </row>
    <row r="1952" spans="1:76" x14ac:dyDescent="0.25">
      <c r="A1952" s="6"/>
      <c r="B1952" s="6"/>
      <c r="C1952" s="6"/>
      <c r="D1952" s="6"/>
      <c r="E1952" s="6"/>
      <c r="F1952" s="6"/>
      <c r="G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  <c r="BE1952" s="6"/>
      <c r="BF1952" s="6"/>
      <c r="BG1952" s="6"/>
      <c r="BH1952" s="6"/>
      <c r="BI1952" s="6"/>
      <c r="BK1952" s="6"/>
      <c r="BL1952" s="6"/>
      <c r="BM1952" s="6"/>
      <c r="BN1952" s="6"/>
      <c r="BO1952" s="6"/>
      <c r="BP1952" s="6"/>
      <c r="BQ1952" s="6"/>
      <c r="BR1952" s="6"/>
      <c r="BS1952" s="6"/>
      <c r="BT1952" s="6"/>
      <c r="BU1952" s="6"/>
      <c r="BV1952" s="6"/>
      <c r="BW1952" s="6"/>
      <c r="BX1952" s="6"/>
    </row>
    <row r="1953" spans="1:76" x14ac:dyDescent="0.25">
      <c r="A1953" s="6"/>
      <c r="B1953" s="6"/>
      <c r="C1953" s="6"/>
      <c r="D1953" s="6"/>
      <c r="E1953" s="6"/>
      <c r="F1953" s="6"/>
      <c r="G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  <c r="BE1953" s="6"/>
      <c r="BF1953" s="6"/>
      <c r="BG1953" s="6"/>
      <c r="BH1953" s="6"/>
      <c r="BI1953" s="6"/>
      <c r="BK1953" s="6"/>
      <c r="BL1953" s="6"/>
      <c r="BM1953" s="6"/>
      <c r="BN1953" s="6"/>
      <c r="BO1953" s="6"/>
      <c r="BP1953" s="6"/>
      <c r="BQ1953" s="6"/>
      <c r="BR1953" s="6"/>
      <c r="BS1953" s="6"/>
      <c r="BT1953" s="6"/>
      <c r="BU1953" s="6"/>
      <c r="BV1953" s="6"/>
      <c r="BW1953" s="6"/>
      <c r="BX1953" s="6"/>
    </row>
    <row r="1954" spans="1:76" x14ac:dyDescent="0.25">
      <c r="A1954" s="6"/>
      <c r="B1954" s="6"/>
      <c r="C1954" s="6"/>
      <c r="D1954" s="6"/>
      <c r="E1954" s="6"/>
      <c r="F1954" s="6"/>
      <c r="G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  <c r="BE1954" s="6"/>
      <c r="BF1954" s="6"/>
      <c r="BG1954" s="6"/>
      <c r="BH1954" s="6"/>
      <c r="BI1954" s="6"/>
      <c r="BK1954" s="6"/>
      <c r="BL1954" s="6"/>
      <c r="BM1954" s="6"/>
      <c r="BN1954" s="6"/>
      <c r="BO1954" s="6"/>
      <c r="BP1954" s="6"/>
      <c r="BQ1954" s="6"/>
      <c r="BR1954" s="6"/>
      <c r="BS1954" s="6"/>
      <c r="BT1954" s="6"/>
      <c r="BU1954" s="6"/>
      <c r="BV1954" s="6"/>
      <c r="BW1954" s="6"/>
      <c r="BX1954" s="6"/>
    </row>
    <row r="1955" spans="1:76" x14ac:dyDescent="0.25">
      <c r="A1955" s="6"/>
      <c r="B1955" s="6"/>
      <c r="C1955" s="6"/>
      <c r="D1955" s="6"/>
      <c r="E1955" s="6"/>
      <c r="F1955" s="6"/>
      <c r="G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  <c r="BE1955" s="6"/>
      <c r="BF1955" s="6"/>
      <c r="BG1955" s="6"/>
      <c r="BH1955" s="6"/>
      <c r="BI1955" s="6"/>
      <c r="BK1955" s="6"/>
      <c r="BL1955" s="6"/>
      <c r="BM1955" s="6"/>
      <c r="BN1955" s="6"/>
      <c r="BO1955" s="6"/>
      <c r="BP1955" s="6"/>
      <c r="BQ1955" s="6"/>
      <c r="BR1955" s="6"/>
      <c r="BS1955" s="6"/>
      <c r="BT1955" s="6"/>
      <c r="BU1955" s="6"/>
      <c r="BV1955" s="6"/>
      <c r="BW1955" s="6"/>
      <c r="BX1955" s="6"/>
    </row>
    <row r="1956" spans="1:76" x14ac:dyDescent="0.25">
      <c r="A1956" s="6"/>
      <c r="B1956" s="6"/>
      <c r="C1956" s="6"/>
      <c r="D1956" s="6"/>
      <c r="E1956" s="6"/>
      <c r="F1956" s="6"/>
      <c r="G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  <c r="BE1956" s="6"/>
      <c r="BF1956" s="6"/>
      <c r="BG1956" s="6"/>
      <c r="BH1956" s="6"/>
      <c r="BI1956" s="6"/>
      <c r="BK1956" s="6"/>
      <c r="BL1956" s="6"/>
      <c r="BM1956" s="6"/>
      <c r="BN1956" s="6"/>
      <c r="BO1956" s="6"/>
      <c r="BP1956" s="6"/>
      <c r="BQ1956" s="6"/>
      <c r="BR1956" s="6"/>
      <c r="BS1956" s="6"/>
      <c r="BT1956" s="6"/>
      <c r="BU1956" s="6"/>
      <c r="BV1956" s="6"/>
      <c r="BW1956" s="6"/>
      <c r="BX1956" s="6"/>
    </row>
    <row r="1957" spans="1:76" x14ac:dyDescent="0.25">
      <c r="A1957" s="6"/>
      <c r="B1957" s="6"/>
      <c r="C1957" s="6"/>
      <c r="D1957" s="6"/>
      <c r="E1957" s="6"/>
      <c r="F1957" s="6"/>
      <c r="G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  <c r="BE1957" s="6"/>
      <c r="BF1957" s="6"/>
      <c r="BG1957" s="6"/>
      <c r="BH1957" s="6"/>
      <c r="BI1957" s="6"/>
      <c r="BK1957" s="6"/>
      <c r="BL1957" s="6"/>
      <c r="BM1957" s="6"/>
      <c r="BN1957" s="6"/>
      <c r="BO1957" s="6"/>
      <c r="BP1957" s="6"/>
      <c r="BQ1957" s="6"/>
      <c r="BR1957" s="6"/>
      <c r="BS1957" s="6"/>
      <c r="BT1957" s="6"/>
      <c r="BU1957" s="6"/>
      <c r="BV1957" s="6"/>
      <c r="BW1957" s="6"/>
      <c r="BX1957" s="6"/>
    </row>
    <row r="1958" spans="1:76" x14ac:dyDescent="0.25">
      <c r="A1958" s="6"/>
      <c r="B1958" s="6"/>
      <c r="C1958" s="6"/>
      <c r="D1958" s="6"/>
      <c r="E1958" s="6"/>
      <c r="F1958" s="6"/>
      <c r="G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  <c r="BE1958" s="6"/>
      <c r="BF1958" s="6"/>
      <c r="BG1958" s="6"/>
      <c r="BH1958" s="6"/>
      <c r="BI1958" s="6"/>
      <c r="BK1958" s="6"/>
      <c r="BL1958" s="6"/>
      <c r="BM1958" s="6"/>
      <c r="BN1958" s="6"/>
      <c r="BO1958" s="6"/>
      <c r="BP1958" s="6"/>
      <c r="BQ1958" s="6"/>
      <c r="BR1958" s="6"/>
      <c r="BS1958" s="6"/>
      <c r="BT1958" s="6"/>
      <c r="BU1958" s="6"/>
      <c r="BV1958" s="6"/>
      <c r="BW1958" s="6"/>
      <c r="BX1958" s="6"/>
    </row>
    <row r="1959" spans="1:76" x14ac:dyDescent="0.25">
      <c r="A1959" s="6"/>
      <c r="B1959" s="6"/>
      <c r="C1959" s="6"/>
      <c r="D1959" s="6"/>
      <c r="E1959" s="6"/>
      <c r="F1959" s="6"/>
      <c r="G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  <c r="BE1959" s="6"/>
      <c r="BF1959" s="6"/>
      <c r="BG1959" s="6"/>
      <c r="BH1959" s="6"/>
      <c r="BI1959" s="6"/>
      <c r="BK1959" s="6"/>
      <c r="BL1959" s="6"/>
      <c r="BM1959" s="6"/>
      <c r="BN1959" s="6"/>
      <c r="BO1959" s="6"/>
      <c r="BP1959" s="6"/>
      <c r="BQ1959" s="6"/>
      <c r="BR1959" s="6"/>
      <c r="BS1959" s="6"/>
      <c r="BT1959" s="6"/>
      <c r="BU1959" s="6"/>
      <c r="BV1959" s="6"/>
      <c r="BW1959" s="6"/>
      <c r="BX1959" s="6"/>
    </row>
    <row r="1960" spans="1:76" x14ac:dyDescent="0.25">
      <c r="A1960" s="6"/>
      <c r="B1960" s="6"/>
      <c r="C1960" s="6"/>
      <c r="D1960" s="6"/>
      <c r="E1960" s="6"/>
      <c r="F1960" s="6"/>
      <c r="G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  <c r="BE1960" s="6"/>
      <c r="BF1960" s="6"/>
      <c r="BG1960" s="6"/>
      <c r="BH1960" s="6"/>
      <c r="BI1960" s="6"/>
      <c r="BK1960" s="6"/>
      <c r="BL1960" s="6"/>
      <c r="BM1960" s="6"/>
      <c r="BN1960" s="6"/>
      <c r="BO1960" s="6"/>
      <c r="BP1960" s="6"/>
      <c r="BQ1960" s="6"/>
      <c r="BR1960" s="6"/>
      <c r="BS1960" s="6"/>
      <c r="BT1960" s="6"/>
      <c r="BU1960" s="6"/>
      <c r="BV1960" s="6"/>
      <c r="BW1960" s="6"/>
      <c r="BX1960" s="6"/>
    </row>
    <row r="1961" spans="1:76" x14ac:dyDescent="0.25">
      <c r="A1961" s="6"/>
      <c r="B1961" s="6"/>
      <c r="C1961" s="6"/>
      <c r="D1961" s="6"/>
      <c r="E1961" s="6"/>
      <c r="F1961" s="6"/>
      <c r="G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  <c r="BE1961" s="6"/>
      <c r="BF1961" s="6"/>
      <c r="BG1961" s="6"/>
      <c r="BH1961" s="6"/>
      <c r="BI1961" s="6"/>
      <c r="BK1961" s="6"/>
      <c r="BL1961" s="6"/>
      <c r="BM1961" s="6"/>
      <c r="BN1961" s="6"/>
      <c r="BO1961" s="6"/>
      <c r="BP1961" s="6"/>
      <c r="BQ1961" s="6"/>
      <c r="BR1961" s="6"/>
      <c r="BS1961" s="6"/>
      <c r="BT1961" s="6"/>
      <c r="BU1961" s="6"/>
      <c r="BV1961" s="6"/>
      <c r="BW1961" s="6"/>
      <c r="BX1961" s="6"/>
    </row>
    <row r="1962" spans="1:76" x14ac:dyDescent="0.25">
      <c r="A1962" s="6"/>
      <c r="B1962" s="6"/>
      <c r="C1962" s="6"/>
      <c r="D1962" s="6"/>
      <c r="E1962" s="6"/>
      <c r="F1962" s="6"/>
      <c r="G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  <c r="BE1962" s="6"/>
      <c r="BF1962" s="6"/>
      <c r="BG1962" s="6"/>
      <c r="BH1962" s="6"/>
      <c r="BI1962" s="6"/>
      <c r="BK1962" s="6"/>
      <c r="BL1962" s="6"/>
      <c r="BM1962" s="6"/>
      <c r="BN1962" s="6"/>
      <c r="BO1962" s="6"/>
      <c r="BP1962" s="6"/>
      <c r="BQ1962" s="6"/>
      <c r="BR1962" s="6"/>
      <c r="BS1962" s="6"/>
      <c r="BT1962" s="6"/>
      <c r="BU1962" s="6"/>
      <c r="BV1962" s="6"/>
      <c r="BW1962" s="6"/>
      <c r="BX1962" s="6"/>
    </row>
    <row r="1963" spans="1:76" x14ac:dyDescent="0.25">
      <c r="A1963" s="6"/>
      <c r="B1963" s="6"/>
      <c r="C1963" s="6"/>
      <c r="D1963" s="6"/>
      <c r="E1963" s="6"/>
      <c r="F1963" s="6"/>
      <c r="G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  <c r="BE1963" s="6"/>
      <c r="BF1963" s="6"/>
      <c r="BG1963" s="6"/>
      <c r="BH1963" s="6"/>
      <c r="BI1963" s="6"/>
      <c r="BK1963" s="6"/>
      <c r="BL1963" s="6"/>
      <c r="BM1963" s="6"/>
      <c r="BN1963" s="6"/>
      <c r="BO1963" s="6"/>
      <c r="BP1963" s="6"/>
      <c r="BQ1963" s="6"/>
      <c r="BR1963" s="6"/>
      <c r="BS1963" s="6"/>
      <c r="BT1963" s="6"/>
      <c r="BU1963" s="6"/>
      <c r="BV1963" s="6"/>
      <c r="BW1963" s="6"/>
      <c r="BX1963" s="6"/>
    </row>
    <row r="1964" spans="1:76" x14ac:dyDescent="0.25">
      <c r="A1964" s="6"/>
      <c r="B1964" s="6"/>
      <c r="C1964" s="6"/>
      <c r="D1964" s="6"/>
      <c r="E1964" s="6"/>
      <c r="F1964" s="6"/>
      <c r="G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  <c r="BE1964" s="6"/>
      <c r="BF1964" s="6"/>
      <c r="BG1964" s="6"/>
      <c r="BH1964" s="6"/>
      <c r="BI1964" s="6"/>
      <c r="BK1964" s="6"/>
      <c r="BL1964" s="6"/>
      <c r="BM1964" s="6"/>
      <c r="BN1964" s="6"/>
      <c r="BO1964" s="6"/>
      <c r="BP1964" s="6"/>
      <c r="BQ1964" s="6"/>
      <c r="BR1964" s="6"/>
      <c r="BS1964" s="6"/>
      <c r="BT1964" s="6"/>
      <c r="BU1964" s="6"/>
      <c r="BV1964" s="6"/>
      <c r="BW1964" s="6"/>
      <c r="BX1964" s="6"/>
    </row>
    <row r="1965" spans="1:76" x14ac:dyDescent="0.25">
      <c r="A1965" s="6"/>
      <c r="B1965" s="6"/>
      <c r="C1965" s="6"/>
      <c r="D1965" s="6"/>
      <c r="E1965" s="6"/>
      <c r="F1965" s="6"/>
      <c r="G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  <c r="BE1965" s="6"/>
      <c r="BF1965" s="6"/>
      <c r="BG1965" s="6"/>
      <c r="BH1965" s="6"/>
      <c r="BI1965" s="6"/>
      <c r="BK1965" s="6"/>
      <c r="BL1965" s="6"/>
      <c r="BM1965" s="6"/>
      <c r="BN1965" s="6"/>
      <c r="BO1965" s="6"/>
      <c r="BP1965" s="6"/>
      <c r="BQ1965" s="6"/>
      <c r="BR1965" s="6"/>
      <c r="BS1965" s="6"/>
      <c r="BT1965" s="6"/>
      <c r="BU1965" s="6"/>
      <c r="BV1965" s="6"/>
      <c r="BW1965" s="6"/>
      <c r="BX1965" s="6"/>
    </row>
    <row r="1966" spans="1:76" x14ac:dyDescent="0.25">
      <c r="A1966" s="6"/>
      <c r="B1966" s="6"/>
      <c r="C1966" s="6"/>
      <c r="D1966" s="6"/>
      <c r="E1966" s="6"/>
      <c r="F1966" s="6"/>
      <c r="G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  <c r="BE1966" s="6"/>
      <c r="BF1966" s="6"/>
      <c r="BG1966" s="6"/>
      <c r="BH1966" s="6"/>
      <c r="BI1966" s="6"/>
      <c r="BK1966" s="6"/>
      <c r="BL1966" s="6"/>
      <c r="BM1966" s="6"/>
      <c r="BN1966" s="6"/>
      <c r="BO1966" s="6"/>
      <c r="BP1966" s="6"/>
      <c r="BQ1966" s="6"/>
      <c r="BR1966" s="6"/>
      <c r="BS1966" s="6"/>
      <c r="BT1966" s="6"/>
      <c r="BU1966" s="6"/>
      <c r="BV1966" s="6"/>
      <c r="BW1966" s="6"/>
      <c r="BX1966" s="6"/>
    </row>
    <row r="1967" spans="1:76" x14ac:dyDescent="0.25">
      <c r="A1967" s="6"/>
      <c r="B1967" s="6"/>
      <c r="C1967" s="6"/>
      <c r="D1967" s="6"/>
      <c r="E1967" s="6"/>
      <c r="F1967" s="6"/>
      <c r="G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  <c r="BE1967" s="6"/>
      <c r="BF1967" s="6"/>
      <c r="BG1967" s="6"/>
      <c r="BH1967" s="6"/>
      <c r="BI1967" s="6"/>
      <c r="BK1967" s="6"/>
      <c r="BL1967" s="6"/>
      <c r="BM1967" s="6"/>
      <c r="BN1967" s="6"/>
      <c r="BO1967" s="6"/>
      <c r="BP1967" s="6"/>
      <c r="BQ1967" s="6"/>
      <c r="BR1967" s="6"/>
      <c r="BS1967" s="6"/>
      <c r="BT1967" s="6"/>
      <c r="BU1967" s="6"/>
      <c r="BV1967" s="6"/>
      <c r="BW1967" s="6"/>
      <c r="BX1967" s="6"/>
    </row>
    <row r="2029" spans="32:65" x14ac:dyDescent="0.25">
      <c r="AF2029" s="1"/>
      <c r="BE2029" s="1"/>
      <c r="BM2029" s="2"/>
    </row>
    <row r="2037" spans="54:54" x14ac:dyDescent="0.25">
      <c r="BB2037" s="1"/>
    </row>
    <row r="2167" spans="51:51" x14ac:dyDescent="0.25">
      <c r="AY2167" s="8"/>
    </row>
    <row r="2177" spans="1:76" x14ac:dyDescent="0.25">
      <c r="I2177" s="8"/>
      <c r="BN2177" s="8"/>
    </row>
    <row r="2188" spans="1:76" x14ac:dyDescent="0.25">
      <c r="A2188" s="6"/>
      <c r="B2188" s="6"/>
      <c r="C2188" s="6"/>
      <c r="D2188" s="6"/>
      <c r="E2188" s="6"/>
      <c r="F2188" s="6"/>
      <c r="G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  <c r="BE2188" s="6"/>
      <c r="BF2188" s="6"/>
      <c r="BG2188" s="6"/>
      <c r="BH2188" s="6"/>
      <c r="BI2188" s="6"/>
      <c r="BK2188" s="6"/>
      <c r="BL2188" s="6"/>
      <c r="BM2188" s="6"/>
      <c r="BN2188" s="6"/>
      <c r="BO2188" s="6"/>
      <c r="BP2188" s="6"/>
      <c r="BQ2188" s="6"/>
      <c r="BR2188" s="6"/>
      <c r="BS2188" s="6"/>
      <c r="BT2188" s="6"/>
      <c r="BU2188" s="6"/>
      <c r="BV2188" s="6"/>
      <c r="BW2188" s="6"/>
      <c r="BX2188" s="6"/>
    </row>
    <row r="2189" spans="1:76" x14ac:dyDescent="0.25">
      <c r="A2189" s="6"/>
      <c r="B2189" s="6"/>
      <c r="C2189" s="6"/>
      <c r="D2189" s="6"/>
      <c r="E2189" s="6"/>
      <c r="F2189" s="6"/>
      <c r="G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  <c r="BE2189" s="6"/>
      <c r="BF2189" s="6"/>
      <c r="BG2189" s="6"/>
      <c r="BH2189" s="6"/>
      <c r="BI2189" s="6"/>
      <c r="BK2189" s="6"/>
      <c r="BL2189" s="6"/>
      <c r="BM2189" s="6"/>
      <c r="BN2189" s="6"/>
      <c r="BO2189" s="6"/>
      <c r="BP2189" s="6"/>
      <c r="BQ2189" s="6"/>
      <c r="BR2189" s="6"/>
      <c r="BS2189" s="6"/>
      <c r="BT2189" s="6"/>
      <c r="BU2189" s="6"/>
      <c r="BV2189" s="6"/>
      <c r="BW2189" s="6"/>
      <c r="BX2189" s="6"/>
    </row>
    <row r="2190" spans="1:76" x14ac:dyDescent="0.25">
      <c r="A2190" s="6"/>
      <c r="B2190" s="6"/>
      <c r="C2190" s="6"/>
      <c r="D2190" s="6"/>
      <c r="E2190" s="6"/>
      <c r="F2190" s="6"/>
      <c r="G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  <c r="BE2190" s="6"/>
      <c r="BF2190" s="6"/>
      <c r="BG2190" s="6"/>
      <c r="BH2190" s="6"/>
      <c r="BI2190" s="6"/>
      <c r="BK2190" s="6"/>
      <c r="BL2190" s="6"/>
      <c r="BM2190" s="6"/>
      <c r="BN2190" s="6"/>
      <c r="BO2190" s="6"/>
      <c r="BP2190" s="6"/>
      <c r="BQ2190" s="6"/>
      <c r="BR2190" s="6"/>
      <c r="BS2190" s="6"/>
      <c r="BT2190" s="6"/>
      <c r="BU2190" s="6"/>
      <c r="BV2190" s="6"/>
      <c r="BW2190" s="6"/>
      <c r="BX2190" s="6"/>
    </row>
    <row r="2191" spans="1:76" x14ac:dyDescent="0.25">
      <c r="A2191" s="6"/>
      <c r="B2191" s="6"/>
      <c r="C2191" s="6"/>
      <c r="D2191" s="6"/>
      <c r="E2191" s="6"/>
      <c r="F2191" s="6"/>
      <c r="G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  <c r="BE2191" s="6"/>
      <c r="BF2191" s="6"/>
      <c r="BG2191" s="6"/>
      <c r="BH2191" s="6"/>
      <c r="BI2191" s="6"/>
      <c r="BK2191" s="6"/>
      <c r="BL2191" s="6"/>
      <c r="BM2191" s="6"/>
      <c r="BN2191" s="6"/>
      <c r="BO2191" s="6"/>
      <c r="BP2191" s="6"/>
      <c r="BQ2191" s="6"/>
      <c r="BR2191" s="6"/>
      <c r="BS2191" s="6"/>
      <c r="BT2191" s="6"/>
      <c r="BU2191" s="6"/>
      <c r="BV2191" s="6"/>
      <c r="BW2191" s="6"/>
      <c r="BX2191" s="6"/>
    </row>
    <row r="2192" spans="1:76" x14ac:dyDescent="0.25">
      <c r="A2192" s="6"/>
      <c r="B2192" s="6"/>
      <c r="C2192" s="6"/>
      <c r="D2192" s="6"/>
      <c r="E2192" s="6"/>
      <c r="F2192" s="6"/>
      <c r="G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  <c r="BE2192" s="6"/>
      <c r="BF2192" s="6"/>
      <c r="BG2192" s="6"/>
      <c r="BH2192" s="6"/>
      <c r="BI2192" s="6"/>
      <c r="BK2192" s="6"/>
      <c r="BL2192" s="6"/>
      <c r="BM2192" s="6"/>
      <c r="BN2192" s="6"/>
      <c r="BO2192" s="6"/>
      <c r="BP2192" s="6"/>
      <c r="BQ2192" s="6"/>
      <c r="BR2192" s="6"/>
      <c r="BS2192" s="6"/>
      <c r="BT2192" s="6"/>
      <c r="BU2192" s="6"/>
      <c r="BV2192" s="6"/>
      <c r="BW2192" s="6"/>
      <c r="BX2192" s="6"/>
    </row>
    <row r="2221" spans="1:1" x14ac:dyDescent="0.25">
      <c r="A2221" s="5"/>
    </row>
    <row r="2240" spans="32:65" x14ac:dyDescent="0.25">
      <c r="AF2240" s="1"/>
      <c r="BE2240" s="1"/>
      <c r="BM2240" s="2"/>
    </row>
    <row r="2365" spans="1:1" x14ac:dyDescent="0.25">
      <c r="A2365" s="10"/>
    </row>
    <row r="2366" spans="1:1" x14ac:dyDescent="0.25">
      <c r="A2366" s="10"/>
    </row>
    <row r="2377" spans="57:57" x14ac:dyDescent="0.25">
      <c r="BE2377" s="1"/>
    </row>
    <row r="2411" spans="1:1" x14ac:dyDescent="0.25">
      <c r="A2411" s="5"/>
    </row>
    <row r="2455" spans="1:76" x14ac:dyDescent="0.25">
      <c r="A2455" s="6"/>
      <c r="B2455" s="6"/>
      <c r="C2455" s="6"/>
      <c r="D2455" s="6"/>
      <c r="E2455" s="6"/>
      <c r="F2455" s="6"/>
      <c r="G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  <c r="BE2455" s="6"/>
      <c r="BF2455" s="6"/>
      <c r="BG2455" s="6"/>
      <c r="BH2455" s="6"/>
      <c r="BI2455" s="6"/>
      <c r="BK2455" s="6"/>
      <c r="BL2455" s="6"/>
      <c r="BM2455" s="6"/>
      <c r="BN2455" s="6"/>
      <c r="BO2455" s="6"/>
      <c r="BP2455" s="6"/>
      <c r="BQ2455" s="6"/>
      <c r="BR2455" s="6"/>
      <c r="BS2455" s="6"/>
      <c r="BT2455" s="6"/>
      <c r="BU2455" s="6"/>
      <c r="BV2455" s="6"/>
      <c r="BW2455" s="6"/>
      <c r="BX2455" s="6"/>
    </row>
    <row r="2457" spans="1:76" x14ac:dyDescent="0.25">
      <c r="AR2457" s="6"/>
      <c r="AS2457" s="6"/>
      <c r="AT2457" s="6"/>
      <c r="AU2457" s="6"/>
      <c r="AV2457" s="6"/>
      <c r="AW2457" s="6"/>
    </row>
    <row r="2458" spans="1:76" x14ac:dyDescent="0.25">
      <c r="AR2458" s="6"/>
      <c r="AS2458" s="6"/>
      <c r="AT2458" s="6"/>
      <c r="AU2458" s="6"/>
      <c r="AV2458" s="6"/>
      <c r="AW2458" s="6"/>
    </row>
    <row r="2459" spans="1:76" x14ac:dyDescent="0.25">
      <c r="AR2459" s="6"/>
      <c r="AS2459" s="6"/>
      <c r="AT2459" s="6"/>
      <c r="AU2459" s="6"/>
      <c r="AV2459" s="6"/>
      <c r="AW2459" s="6"/>
    </row>
    <row r="2460" spans="1:76" x14ac:dyDescent="0.25">
      <c r="AR2460" s="6"/>
      <c r="AS2460" s="6"/>
      <c r="AT2460" s="6"/>
      <c r="AU2460" s="6"/>
      <c r="AV2460" s="6"/>
      <c r="AW2460" s="6"/>
    </row>
    <row r="2461" spans="1:76" x14ac:dyDescent="0.25">
      <c r="AR2461" s="6"/>
      <c r="AS2461" s="6"/>
      <c r="AT2461" s="6"/>
      <c r="AU2461" s="6"/>
      <c r="AV2461" s="6"/>
      <c r="AW2461" s="6"/>
    </row>
    <row r="2462" spans="1:76" x14ac:dyDescent="0.25">
      <c r="AR2462" s="6"/>
      <c r="AS2462" s="6"/>
      <c r="AT2462" s="6"/>
      <c r="AU2462" s="6"/>
      <c r="AV2462" s="6"/>
      <c r="AW2462" s="6"/>
    </row>
    <row r="2463" spans="1:76" x14ac:dyDescent="0.25">
      <c r="AR2463" s="6"/>
      <c r="AS2463" s="6"/>
      <c r="AT2463" s="6"/>
      <c r="AU2463" s="6"/>
      <c r="AV2463" s="6"/>
      <c r="AW2463" s="6"/>
    </row>
    <row r="2464" spans="1:76" x14ac:dyDescent="0.25">
      <c r="AR2464" s="6"/>
      <c r="AS2464" s="6"/>
      <c r="AT2464" s="6"/>
      <c r="AU2464" s="6"/>
      <c r="AV2464" s="6"/>
      <c r="AW2464" s="6"/>
    </row>
    <row r="2465" spans="41:76" x14ac:dyDescent="0.25">
      <c r="AR2465" s="6"/>
      <c r="AS2465" s="6"/>
      <c r="AT2465" s="6"/>
      <c r="AU2465" s="6"/>
      <c r="AV2465" s="6"/>
      <c r="AW2465" s="6"/>
    </row>
    <row r="2466" spans="41:76" x14ac:dyDescent="0.25">
      <c r="AO2466" s="6"/>
      <c r="AR2466" s="6"/>
      <c r="AS2466" s="6"/>
      <c r="AT2466" s="6"/>
      <c r="AU2466" s="6"/>
      <c r="AV2466" s="6"/>
      <c r="AW2466" s="6"/>
      <c r="AZ2466" s="6"/>
      <c r="BA2466" s="6"/>
      <c r="BB2466" s="6"/>
      <c r="BE2466" s="6"/>
      <c r="BF2466" s="6"/>
      <c r="BG2466" s="6"/>
      <c r="BH2466" s="6"/>
      <c r="BI2466" s="6"/>
      <c r="BK2466" s="6"/>
      <c r="BL2466" s="6"/>
      <c r="BO2466" s="6"/>
      <c r="BP2466" s="6"/>
      <c r="BQ2466" s="6"/>
      <c r="BR2466" s="6"/>
      <c r="BS2466" s="6"/>
      <c r="BT2466" s="6"/>
      <c r="BU2466" s="6"/>
      <c r="BV2466" s="6"/>
      <c r="BW2466" s="6"/>
      <c r="BX2466" s="6"/>
    </row>
    <row r="2467" spans="41:76" x14ac:dyDescent="0.25">
      <c r="AR2467" s="6"/>
      <c r="AS2467" s="6"/>
      <c r="AT2467" s="6"/>
      <c r="AU2467" s="6"/>
      <c r="AV2467" s="6"/>
      <c r="AW2467" s="6"/>
    </row>
    <row r="2831" spans="37:37" x14ac:dyDescent="0.25">
      <c r="AK2831" s="7"/>
    </row>
    <row r="2843" spans="57:57" x14ac:dyDescent="0.25">
      <c r="BE2843" s="1"/>
    </row>
    <row r="2961" spans="62:62" x14ac:dyDescent="0.25">
      <c r="BJ2961" s="16"/>
    </row>
    <row r="3111" spans="35:35" x14ac:dyDescent="0.25">
      <c r="AI3111" s="9"/>
    </row>
    <row r="3126" spans="32:65" x14ac:dyDescent="0.25">
      <c r="AF3126" s="1"/>
      <c r="BE3126" s="1"/>
      <c r="BM3126" s="2"/>
    </row>
    <row r="3216" spans="11:11" x14ac:dyDescent="0.25">
      <c r="K3216" s="3"/>
    </row>
    <row r="3217" spans="11:11" x14ac:dyDescent="0.25">
      <c r="K3217" s="3"/>
    </row>
    <row r="3218" spans="11:11" x14ac:dyDescent="0.25">
      <c r="K3218" s="3"/>
    </row>
    <row r="3219" spans="11:11" x14ac:dyDescent="0.25">
      <c r="K3219" s="3"/>
    </row>
    <row r="3220" spans="11:11" x14ac:dyDescent="0.25">
      <c r="K3220" s="3"/>
    </row>
    <row r="3221" spans="11:11" x14ac:dyDescent="0.25">
      <c r="K3221" s="3"/>
    </row>
    <row r="3222" spans="11:11" x14ac:dyDescent="0.25">
      <c r="K3222" s="3"/>
    </row>
    <row r="3223" spans="11:11" x14ac:dyDescent="0.25">
      <c r="K3223" s="3"/>
    </row>
    <row r="3224" spans="11:11" x14ac:dyDescent="0.25">
      <c r="K3224" s="3"/>
    </row>
    <row r="3225" spans="11:11" x14ac:dyDescent="0.25">
      <c r="K3225" s="3"/>
    </row>
    <row r="3226" spans="11:11" x14ac:dyDescent="0.25">
      <c r="K3226" s="3"/>
    </row>
    <row r="3227" spans="11:11" x14ac:dyDescent="0.25">
      <c r="K3227" s="3"/>
    </row>
    <row r="3228" spans="11:11" x14ac:dyDescent="0.25">
      <c r="K3228" s="3"/>
    </row>
    <row r="3229" spans="11:11" x14ac:dyDescent="0.25">
      <c r="K3229" s="3"/>
    </row>
    <row r="3230" spans="11:11" x14ac:dyDescent="0.25">
      <c r="K3230" s="3"/>
    </row>
    <row r="3231" spans="11:11" x14ac:dyDescent="0.25">
      <c r="K3231" s="3"/>
    </row>
    <row r="3232" spans="11:11" x14ac:dyDescent="0.25">
      <c r="K3232" s="3"/>
    </row>
    <row r="3233" spans="11:11" x14ac:dyDescent="0.25">
      <c r="K3233" s="3"/>
    </row>
    <row r="3234" spans="11:11" x14ac:dyDescent="0.25">
      <c r="K3234" s="3"/>
    </row>
    <row r="3235" spans="11:11" x14ac:dyDescent="0.25">
      <c r="K3235" s="3"/>
    </row>
    <row r="3236" spans="11:11" x14ac:dyDescent="0.25">
      <c r="K3236" s="3"/>
    </row>
    <row r="3237" spans="11:11" x14ac:dyDescent="0.25">
      <c r="K3237" s="3"/>
    </row>
    <row r="3238" spans="11:11" x14ac:dyDescent="0.25">
      <c r="K3238" s="3"/>
    </row>
    <row r="3239" spans="11:11" x14ac:dyDescent="0.25">
      <c r="K3239" s="3"/>
    </row>
    <row r="3240" spans="11:11" x14ac:dyDescent="0.25">
      <c r="K3240" s="3"/>
    </row>
    <row r="3241" spans="11:11" x14ac:dyDescent="0.25">
      <c r="K3241" s="3"/>
    </row>
    <row r="3242" spans="11:11" x14ac:dyDescent="0.25">
      <c r="K3242" s="3"/>
    </row>
    <row r="3243" spans="11:11" x14ac:dyDescent="0.25">
      <c r="K3243" s="3"/>
    </row>
    <row r="3244" spans="11:11" x14ac:dyDescent="0.25">
      <c r="K3244" s="3"/>
    </row>
    <row r="3245" spans="11:11" x14ac:dyDescent="0.25">
      <c r="K3245" s="3"/>
    </row>
    <row r="3246" spans="11:11" x14ac:dyDescent="0.25">
      <c r="K3246" s="3"/>
    </row>
    <row r="3247" spans="11:11" x14ac:dyDescent="0.25">
      <c r="K3247" s="3"/>
    </row>
    <row r="3249" spans="11:11" x14ac:dyDescent="0.25">
      <c r="K3249" s="3"/>
    </row>
    <row r="3250" spans="11:11" x14ac:dyDescent="0.25">
      <c r="K3250" s="3"/>
    </row>
    <row r="3251" spans="11:11" x14ac:dyDescent="0.25">
      <c r="K3251" s="3"/>
    </row>
    <row r="3252" spans="11:11" x14ac:dyDescent="0.25">
      <c r="K3252" s="3"/>
    </row>
    <row r="3253" spans="11:11" x14ac:dyDescent="0.25">
      <c r="K3253" s="3"/>
    </row>
    <row r="3254" spans="11:11" x14ac:dyDescent="0.25">
      <c r="K3254" s="3"/>
    </row>
    <row r="3255" spans="11:11" x14ac:dyDescent="0.25">
      <c r="K3255" s="3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2021-09-21T01:16:34Z</dcterms:created>
  <dcterms:modified xsi:type="dcterms:W3CDTF">2022-01-08T18:00:33Z</dcterms:modified>
</cp:coreProperties>
</file>